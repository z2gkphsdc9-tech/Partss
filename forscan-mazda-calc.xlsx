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10.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 ?>
<Relationships xmlns="http://schemas.openxmlformats.org/package/2006/relationships">
  <Relationship Id="rId1" Target="xl/workbook.xml" Type="http://schemas.openxmlformats.org/officeDocument/2006/relationships/officeDocument"/>
  <Relationship Id="rId3" Target="docProps/core.xml" Type="http://schemas.openxmlformats.org/package/2006/relationships/metadata/core-properties"/>
  <Relationship Id="rId2" Target="docProps/app.xml" Type="http://schemas.openxmlformats.org/officeDocument/2006/relationships/extended-properties"/>
</Relationships>

</file>

<file path=xl/workbook.xml><?xml version="1.0" encoding="utf-8"?>
<workbook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fileVersion appName="xl" lastEdited="4" lowestEdited="4" rupBuild="9302"/>
  <sheets>
    <sheet name="i-ACTIVSENSE" r:id="rId1" sheetId="1" state="visible"/>
    <sheet name="Donate &amp; Tutorial" r:id="rId2" sheetId="2" state="visible"/>
    <sheet name="BCMM" r:id="rId3" sheetId="3" state="visible"/>
    <sheet name="FBCM" r:id="rId4" sheetId="4" state="visible"/>
    <sheet name="FSC Gen 1" r:id="rId5" sheetId="5" state="visible"/>
    <sheet name="FSC Gen 2" r:id="rId6" sheetId="6" state="visible"/>
    <sheet name="IC" r:id="rId7" sheetId="7" state="visible"/>
    <sheet name="RBCM" r:id="rId8" sheetId="8" state="visible"/>
    <sheet name="SSU" r:id="rId9" sheetId="9" state="visible"/>
    <sheet name="ab Converter" r:id="rId10" sheetId="10" state="visible"/>
    <sheet name="CCC Converter" r:id="rId11" sheetId="11" state="visible"/>
    <sheet name="CCC Research" r:id="rId12" sheetId="12" state="visible"/>
    <sheet name="Changelog" r:id="rId13" sheetId="13" state="visible"/>
    <sheet name="4x4" r:id="rId14" sheetId="14" state="visible"/>
    <sheet name="BSM" r:id="rId15" sheetId="15" state="visible"/>
    <sheet name="GWU_MZ" r:id="rId16" sheetId="16" state="visible"/>
    <sheet name="HUD_MZ" r:id="rId17" sheetId="17" state="visible"/>
    <sheet name="RCM" r:id="rId18" sheetId="18" state="visible"/>
  </sheets>
  <definedNames/>
  <calcPr calcCompleted="true" calcMode="auto" calcOnSave="true" fullCalcOnLoad="false"/>
</workbook>
</file>

<file path=xl/comments1.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K7">
      <text>
        <r>
          <rPr>
            <rFont val="Tahoma"/>
            <b val="true"/>
            <color rgb="000000" tint="0"/>
            <sz val="9"/>
          </rPr>
          <t>Only for Mazda 6 GJ [VIN 300001+], CX-5 KE,</t>
        </r>
        <r>
          <t xml:space="preserve">
</t>
        </r>
        <r>
          <rPr>
            <rFont val="Tahoma"/>
            <b val="true"/>
            <color rgb="000000" tint="0"/>
            <sz val="9"/>
          </rPr>
          <t>CX-3 with radar sendor unit GMM1-67-XA1</t>
        </r>
      </text>
    </comment>
    <comment authorId="0" ref="J7">
      <text>
        <r>
          <rPr>
            <rFont val="Tahoma"/>
            <b val="true"/>
            <color rgb="000000" tint="0"/>
            <sz val="9"/>
          </rPr>
          <t>Only for Mazda 6 GJ [VIN 300001+], CX-5 KE,</t>
        </r>
        <r>
          <t xml:space="preserve">
</t>
        </r>
        <r>
          <rPr>
            <rFont val="Tahoma"/>
            <b val="true"/>
            <color rgb="000000" tint="0"/>
            <sz val="9"/>
          </rPr>
          <t>CX-3 with radar sendor unit GMM1-67-XA1</t>
        </r>
      </text>
    </comment>
    <comment authorId="0" ref="N15">
      <text>
        <r>
          <rPr>
            <rFont val="Tahoma"/>
            <b val="true"/>
            <color rgb="000000" tint="0"/>
            <sz val="9"/>
          </rPr>
          <t>Applicable to Mazda CX-5 KE</t>
        </r>
        <r>
          <t xml:space="preserve">
</t>
        </r>
        <r>
          <rPr>
            <rFont val="Tahoma"/>
            <b val="true"/>
            <color rgb="000000" tint="0"/>
            <sz val="9"/>
          </rPr>
          <t>Not applicable to Mazda 3 BM</t>
        </r>
      </text>
    </comment>
    <comment authorId="0" ref="P2">
      <text>
        <r>
          <rPr>
            <rFont val="Tahoma"/>
            <color rgb="000000" tint="0"/>
            <sz val="9"/>
          </rPr>
          <t>Blind Spot Monitoring (BSM) extends the existing Rear Vehicle Monitoring (RVM) system’s range while also adding Rear Cross Traffic Alert (RCTA)</t>
        </r>
      </text>
    </comment>
    <comment authorId="0" ref="Q2">
      <text>
        <r>
          <rPr>
            <rFont val="Tahoma"/>
            <color rgb="000000" tint="0"/>
            <sz val="9"/>
          </rPr>
          <t>Blind Spot Monitoring (BSM) extends the existing Rear Vehicle Monitoring (RVM) system’s range while also adding Rear Cross Traffic Alert (RCTA)</t>
        </r>
      </text>
    </comment>
    <comment authorId="0" ref="B7">
      <text>
        <r>
          <rPr>
            <rFont val="Tahoma"/>
            <b val="true"/>
            <color rgb="000000" tint="0"/>
            <sz val="9"/>
          </rPr>
          <t>Only for Mazda 6 GJ [VIN 300001+], CX-5 KE,</t>
        </r>
        <r>
          <t xml:space="preserve">
</t>
        </r>
        <r>
          <rPr>
            <rFont val="Tahoma"/>
            <b val="true"/>
            <color rgb="000000" tint="0"/>
            <sz val="9"/>
          </rPr>
          <t>CX-3 with radar sendor unit GMM1-67-XA1</t>
        </r>
      </text>
    </comment>
    <comment authorId="0" ref="C7">
      <text>
        <r>
          <rPr>
            <rFont val="Tahoma"/>
            <b val="true"/>
            <color rgb="000000" tint="0"/>
            <sz val="9"/>
          </rPr>
          <t>Only for Mazda 6 GJ [VIN 300001+], CX-5 KE,</t>
        </r>
        <r>
          <t xml:space="preserve">
</t>
        </r>
        <r>
          <rPr>
            <rFont val="Tahoma"/>
            <b val="true"/>
            <color rgb="000000" tint="0"/>
            <sz val="9"/>
          </rPr>
          <t>CX-3 with radar sendor unit GMM1-67-XA1</t>
        </r>
      </text>
    </comment>
    <comment authorId="0" ref="A4">
      <text>
        <r>
          <rPr>
            <rFont val="Tahoma"/>
            <b val="true"/>
            <color rgb="000000" tint="0"/>
            <sz val="9"/>
          </rPr>
          <t>Only for Mazda 3 BM and Mazda 6 GJ [VIN 100001-300000]</t>
        </r>
      </text>
    </comment>
    <comment authorId="0" ref="O2">
      <text>
        <r>
          <rPr>
            <rFont val="Tahoma"/>
            <color rgb="000000" tint="0"/>
            <sz val="9"/>
          </rPr>
          <t>Blind Spot Monitoring (BSM) extends the existing Rear Vehicle Monitoring (RVM) system’s range while also adding Rear Cross Traffic Alert (RCTA)</t>
        </r>
        <r>
          <t xml:space="preserve">
</t>
        </r>
      </text>
    </comment>
  </commentList>
</comments>
</file>

<file path=xl/comments2.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W11">
      <text>
        <r>
          <rPr>
            <rFont val="Tahoma"/>
            <b val="true"/>
            <color rgb="000000" tint="0"/>
            <sz val="9"/>
          </rPr>
          <t>Double click to see</t>
        </r>
      </text>
    </comment>
    <comment authorId="0" ref="AA6">
      <text>
        <r>
          <rPr>
            <rFont val="Tahoma"/>
            <b val="true"/>
            <color rgb="000000" tint="0"/>
            <sz val="9"/>
          </rPr>
          <t>Double click to see</t>
        </r>
      </text>
    </comment>
    <comment authorId="0" ref="AE6">
      <text>
        <r>
          <rPr>
            <rFont val="Tahoma"/>
            <b val="true"/>
            <color rgb="000000" tint="0"/>
            <sz val="9"/>
          </rPr>
          <t>Double click to see</t>
        </r>
      </text>
    </comment>
    <comment authorId="0" ref="AA9">
      <text>
        <r>
          <rPr>
            <rFont val="Tahoma"/>
            <b val="true"/>
            <color rgb="000000" tint="0"/>
            <sz val="9"/>
          </rPr>
          <t>Double click to see</t>
        </r>
      </text>
    </comment>
    <comment authorId="0" ref="S6">
      <text>
        <r>
          <rPr>
            <rFont val="Tahoma"/>
            <b val="true"/>
            <color rgb="000000" tint="0"/>
            <sz val="9"/>
          </rPr>
          <t>Double click to see</t>
        </r>
      </text>
    </comment>
  </commentList>
</comments>
</file>

<file path=xl/comments3.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AA8">
      <text>
        <r>
          <rPr>
            <rFont val="Tahoma"/>
            <b val="true"/>
            <color rgb="000000" tint="0"/>
            <sz val="9"/>
            <u val="single"/>
          </rPr>
          <t>Mazda model</t>
        </r>
        <r>
          <t xml:space="preserve">
</t>
        </r>
        <r>
          <rPr>
            <rFont val="Tahoma"/>
            <i val="true"/>
            <color rgb="000000" tint="0"/>
            <sz val="8"/>
          </rPr>
          <t>B2 (HEX) - Value:</t>
        </r>
        <r>
          <t xml:space="preserve">
</t>
        </r>
        <r>
          <rPr>
            <rFont val="Tahoma"/>
            <b val="true"/>
            <color rgb="000000" tint="0"/>
            <sz val="9"/>
          </rPr>
          <t>01</t>
        </r>
        <r>
          <rPr>
            <rFont val="Tahoma"/>
            <color rgb="000000" tint="0"/>
            <sz val="9"/>
          </rPr>
          <t xml:space="preserve"> - CX5KE;</t>
        </r>
        <r>
          <t xml:space="preserve">
</t>
        </r>
        <r>
          <rPr>
            <rFont val="Tahoma"/>
            <b val="true"/>
            <color rgb="000000" tint="0"/>
            <sz val="9"/>
          </rPr>
          <t>09</t>
        </r>
        <r>
          <rPr>
            <rFont val="Tahoma"/>
            <color rgb="000000" tint="0"/>
            <sz val="9"/>
          </rPr>
          <t xml:space="preserve"> - M6;</t>
        </r>
        <r>
          <t xml:space="preserve">
</t>
        </r>
        <r>
          <rPr>
            <rFont val="Tahoma"/>
            <b val="true"/>
            <color rgb="000000" tint="0"/>
            <sz val="9"/>
          </rPr>
          <t>11</t>
        </r>
        <r>
          <rPr>
            <rFont val="Tahoma"/>
            <color rgb="000000" tint="0"/>
            <sz val="9"/>
          </rPr>
          <t xml:space="preserve"> - CX9;</t>
        </r>
        <r>
          <t xml:space="preserve">
</t>
        </r>
        <r>
          <rPr>
            <rFont val="Tahoma"/>
            <b val="true"/>
            <color rgb="000000" tint="0"/>
            <sz val="9"/>
          </rPr>
          <t>19</t>
        </r>
        <r>
          <rPr>
            <rFont val="Tahoma"/>
            <color rgb="000000" tint="0"/>
            <sz val="9"/>
          </rPr>
          <t xml:space="preserve"> - M3;</t>
        </r>
        <r>
          <t xml:space="preserve">
</t>
        </r>
        <r>
          <rPr>
            <rFont val="Tahoma"/>
            <b val="true"/>
            <color rgb="000000" tint="0"/>
            <sz val="9"/>
          </rPr>
          <t>21</t>
        </r>
        <r>
          <rPr>
            <rFont val="Tahoma"/>
            <color rgb="000000" tint="0"/>
            <sz val="9"/>
          </rPr>
          <t xml:space="preserve"> - CX5KF, CX8;</t>
        </r>
        <r>
          <t xml:space="preserve">
</t>
        </r>
        <r>
          <rPr>
            <rFont val="Tahoma"/>
            <b val="true"/>
            <color rgb="000000" tint="0"/>
            <sz val="9"/>
          </rPr>
          <t>29</t>
        </r>
        <r>
          <rPr>
            <rFont val="Tahoma"/>
            <color rgb="000000" tint="0"/>
            <sz val="9"/>
          </rPr>
          <t xml:space="preserve"> - CX4</t>
        </r>
      </text>
    </comment>
    <comment authorId="0" ref="AE24">
      <text>
        <r>
          <rPr>
            <rFont val="Tahoma"/>
            <b val="true"/>
            <color rgb="000000" tint="0"/>
            <sz val="9"/>
          </rPr>
          <t>1 - LED front turn signal lights (HB/WGN only)</t>
        </r>
      </text>
    </comment>
    <comment authorId="0" ref="S10">
      <text>
        <r>
          <rPr>
            <rFont val="Tahoma"/>
            <b val="true"/>
            <color rgb="000000" tint="0"/>
            <sz val="9"/>
          </rPr>
          <t>1=M6 &amp; CX-4 only (except US)</t>
        </r>
      </text>
    </comment>
    <comment authorId="0" ref="AE7">
      <text>
        <r>
          <rPr>
            <rFont val="Tahoma"/>
            <b val="true"/>
            <color rgb="000000" tint="0"/>
            <sz val="9"/>
          </rPr>
          <t>tells car if single relay halogen headlights are equipped or dual relay HIDs</t>
        </r>
      </text>
    </comment>
    <comment authorId="0" ref="W9">
      <text>
        <r>
          <rPr>
            <rFont val="Tahoma"/>
            <b val="true"/>
            <color rgb="000000" tint="0"/>
            <sz val="9"/>
          </rPr>
          <t>1 - LED front+rear turn signal lights (Sedan only) &amp; with  proper hardware</t>
        </r>
        <r>
          <t xml:space="preserve">
</t>
        </r>
      </text>
    </comment>
    <comment authorId="0" ref="AA6">
      <text>
        <r>
          <rPr>
            <rFont val="Tahoma"/>
            <b val="true"/>
            <color rgb="000000" tint="0"/>
            <sz val="9"/>
          </rPr>
          <t>US / non US:</t>
        </r>
        <r>
          <t xml:space="preserve">
</t>
        </r>
        <r>
          <rPr>
            <rFont val="Tahoma"/>
            <i val="true"/>
            <color rgb="000000" tint="0"/>
            <sz val="9"/>
          </rPr>
          <t>b7b6 Value:</t>
        </r>
        <r>
          <t xml:space="preserve">
</t>
        </r>
        <r>
          <rPr>
            <rFont val="Tahoma"/>
            <b val="true"/>
            <color rgb="000000" tint="0"/>
            <sz val="9"/>
          </rPr>
          <t xml:space="preserve">00 - </t>
        </r>
        <r>
          <rPr>
            <rFont val="Tahoma"/>
            <color rgb="000000" tint="0"/>
            <sz val="9"/>
          </rPr>
          <t>non US;</t>
        </r>
        <r>
          <t xml:space="preserve">
</t>
        </r>
        <r>
          <rPr>
            <rFont val="Tahoma"/>
            <b val="true"/>
            <color rgb="000000" tint="0"/>
            <sz val="9"/>
          </rPr>
          <t xml:space="preserve">11 - </t>
        </r>
        <r>
          <rPr>
            <rFont val="Tahoma"/>
            <color rgb="000000" tint="0"/>
            <sz val="9"/>
          </rPr>
          <t>US</t>
        </r>
      </text>
    </comment>
    <comment authorId="0" ref="AE11">
      <text>
        <r>
          <rPr>
            <rFont val="Tahoma"/>
            <b val="true"/>
            <color rgb="000000" tint="0"/>
            <sz val="9"/>
          </rPr>
          <t>Headlight Washers:</t>
        </r>
        <r>
          <t xml:space="preserve">
</t>
        </r>
        <r>
          <rPr>
            <rFont val="Tahoma"/>
            <b val="true"/>
            <color rgb="000000" tint="0"/>
            <sz val="9"/>
          </rPr>
          <t>0</t>
        </r>
        <r>
          <rPr>
            <rFont val="Tahoma"/>
            <color rgb="000000" tint="0"/>
            <sz val="9"/>
          </rPr>
          <t xml:space="preserve"> - Not Present</t>
        </r>
        <r>
          <t xml:space="preserve">
</t>
        </r>
        <r>
          <rPr>
            <rFont val="Tahoma"/>
            <b val="true"/>
            <color rgb="000000" tint="0"/>
            <sz val="9"/>
          </rPr>
          <t>1</t>
        </r>
        <r>
          <rPr>
            <rFont val="Tahoma"/>
            <color rgb="000000" tint="0"/>
            <sz val="9"/>
          </rPr>
          <t xml:space="preserve"> - Present</t>
        </r>
      </text>
    </comment>
    <comment authorId="0" ref="S11">
      <text>
        <r>
          <rPr>
            <rFont val="Tahoma"/>
            <b val="true"/>
            <color rgb="000000" tint="0"/>
            <sz val="9"/>
          </rPr>
          <t>Daylight Running Light/Bambi (Fog Lights with High Beam):</t>
        </r>
        <r>
          <t xml:space="preserve">
</t>
        </r>
        <r>
          <rPr>
            <rFont val="Tahoma"/>
            <i val="true"/>
            <color rgb="000000" tint="0"/>
            <sz val="8"/>
          </rPr>
          <t>b2b1 - Value:</t>
        </r>
        <r>
          <t xml:space="preserve">
</t>
        </r>
        <r>
          <rPr>
            <rFont val="Tahoma"/>
            <b val="true"/>
            <color rgb="000000" tint="0"/>
            <sz val="9"/>
          </rPr>
          <t>00</t>
        </r>
        <r>
          <rPr>
            <rFont val="Tahoma"/>
            <color rgb="000000" tint="0"/>
            <sz val="9"/>
          </rPr>
          <t xml:space="preserve"> - DRL + Bambi</t>
        </r>
        <r>
          <t xml:space="preserve">
</t>
        </r>
        <r>
          <rPr>
            <rFont val="Tahoma"/>
            <b val="true"/>
            <color rgb="000000" tint="0"/>
            <sz val="9"/>
          </rPr>
          <t>01</t>
        </r>
        <r>
          <rPr>
            <rFont val="Tahoma"/>
            <color rgb="000000" tint="0"/>
            <sz val="9"/>
          </rPr>
          <t xml:space="preserve"> - Bambi w/o DRL</t>
        </r>
        <r>
          <t xml:space="preserve">
</t>
        </r>
        <r>
          <rPr>
            <rFont val="Tahoma"/>
            <b val="true"/>
            <color rgb="000000" tint="0"/>
            <sz val="9"/>
          </rPr>
          <t>10</t>
        </r>
        <r>
          <rPr>
            <rFont val="Tahoma"/>
            <color rgb="000000" tint="0"/>
            <sz val="9"/>
          </rPr>
          <t xml:space="preserve"> - DRL w/o Bambi</t>
        </r>
        <r>
          <t xml:space="preserve">
</t>
        </r>
        <r>
          <t xml:space="preserve">
</t>
        </r>
        <r>
          <rPr>
            <rFont val="Tahoma"/>
            <color rgb="000000" tint="0"/>
            <sz val="9"/>
          </rPr>
          <t>*Verified on Mazda 3 USA with Halogen headlights</t>
        </r>
        <r>
          <t xml:space="preserve">
</t>
        </r>
        <r>
          <rPr>
            <rFont val="Tahoma"/>
            <color rgb="000000" tint="0"/>
            <sz val="9"/>
          </rPr>
          <t>Also affects sensitivity of Light sensor (verified on Mazda 6 and CX-5)</t>
        </r>
      </text>
    </comment>
    <comment authorId="0" ref="W13">
      <text>
        <r>
          <rPr>
            <rFont val="Tahoma"/>
            <b val="true"/>
            <color rgb="000000" tint="0"/>
            <sz val="9"/>
          </rPr>
          <t>1 - Headlight Off Timer</t>
        </r>
      </text>
    </comment>
    <comment authorId="0" ref="AE12">
      <text>
        <r>
          <rPr>
            <rFont val="Tahoma"/>
            <color rgb="000000" tint="0"/>
            <sz val="9"/>
          </rPr>
          <t>Flashes hazards rapidly under emergency braking</t>
        </r>
        <r>
          <t xml:space="preserve">
</t>
        </r>
        <r>
          <t xml:space="preserve">
</t>
        </r>
        <r>
          <rPr>
            <rFont val="Tahoma"/>
            <b val="true"/>
            <color rgb="000000" tint="0"/>
            <sz val="9"/>
          </rPr>
          <t>ESS (Emergency Signal System):</t>
        </r>
        <r>
          <t xml:space="preserve">
</t>
        </r>
        <r>
          <rPr>
            <rFont val="Tahoma"/>
            <b val="true"/>
            <color rgb="000000" tint="0"/>
            <sz val="9"/>
          </rPr>
          <t>0</t>
        </r>
        <r>
          <rPr>
            <rFont val="Tahoma"/>
            <color rgb="000000" tint="0"/>
            <sz val="9"/>
          </rPr>
          <t xml:space="preserve"> - Disabled</t>
        </r>
        <r>
          <t xml:space="preserve">
</t>
        </r>
        <r>
          <rPr>
            <rFont val="Tahoma"/>
            <b val="true"/>
            <color rgb="000000" tint="0"/>
            <sz val="9"/>
          </rPr>
          <t>1</t>
        </r>
        <r>
          <rPr>
            <rFont val="Tahoma"/>
            <color rgb="000000" tint="0"/>
            <sz val="9"/>
          </rPr>
          <t xml:space="preserve"> - Enabled</t>
        </r>
      </text>
    </comment>
    <comment authorId="0" ref="AE10">
      <text>
        <r>
          <rPr>
            <rFont val="Tahoma"/>
            <b val="true"/>
            <color rgb="000000" tint="0"/>
            <sz val="9"/>
          </rPr>
          <t>Air Con.:</t>
        </r>
        <r>
          <t xml:space="preserve">
</t>
        </r>
        <r>
          <rPr>
            <rFont val="Tahoma"/>
            <b val="true"/>
            <color rgb="000000" tint="0"/>
            <sz val="9"/>
          </rPr>
          <t>0</t>
        </r>
        <r>
          <rPr>
            <rFont val="Tahoma"/>
            <color rgb="000000" tint="0"/>
            <sz val="9"/>
          </rPr>
          <t xml:space="preserve"> - Manual</t>
        </r>
        <r>
          <t xml:space="preserve">
</t>
        </r>
        <r>
          <rPr>
            <rFont val="Tahoma"/>
            <b val="true"/>
            <color rgb="000000" tint="0"/>
            <sz val="9"/>
          </rPr>
          <t>1</t>
        </r>
        <r>
          <rPr>
            <rFont val="Tahoma"/>
            <color rgb="000000" tint="0"/>
            <sz val="9"/>
          </rPr>
          <t xml:space="preserve"> - Full Auto</t>
        </r>
      </text>
    </comment>
  </commentList>
</comments>
</file>

<file path=xl/comments4.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S50">
      <text>
        <r>
          <rPr>
            <rFont val="Tahoma"/>
            <b val="true"/>
            <color rgb="000000" tint="0"/>
            <sz val="9"/>
          </rPr>
          <t>Safety - LDWS - Timing:</t>
        </r>
        <r>
          <t xml:space="preserve">
</t>
        </r>
        <r>
          <rPr>
            <rFont val="Tahoma"/>
            <i val="true"/>
            <color rgb="000000" tint="0"/>
            <sz val="8"/>
          </rPr>
          <t>b7b6b5 - Value</t>
        </r>
        <r>
          <t xml:space="preserve">
</t>
        </r>
        <r>
          <rPr>
            <rFont val="Tahoma"/>
            <b val="true"/>
            <color rgb="000000" tint="0"/>
            <sz val="9"/>
          </rPr>
          <t>001</t>
        </r>
        <r>
          <rPr>
            <rFont val="Tahoma"/>
            <color rgb="000000" tint="0"/>
            <sz val="9"/>
          </rPr>
          <t xml:space="preserve"> - Adaptive</t>
        </r>
        <r>
          <t xml:space="preserve">
</t>
        </r>
        <r>
          <rPr>
            <rFont val="Tahoma"/>
            <b val="true"/>
            <color rgb="000000" tint="0"/>
            <sz val="9"/>
          </rPr>
          <t>010</t>
        </r>
        <r>
          <rPr>
            <rFont val="Tahoma"/>
            <color rgb="000000" tint="0"/>
            <sz val="9"/>
          </rPr>
          <t xml:space="preserve"> - Early</t>
        </r>
        <r>
          <t xml:space="preserve">
</t>
        </r>
        <r>
          <rPr>
            <rFont val="Tahoma"/>
            <b val="true"/>
            <color rgb="000000" tint="0"/>
            <sz val="9"/>
          </rPr>
          <t>011</t>
        </r>
        <r>
          <rPr>
            <rFont val="Tahoma"/>
            <color rgb="000000" tint="0"/>
            <sz val="9"/>
          </rPr>
          <t xml:space="preserve"> - Medium</t>
        </r>
        <r>
          <t xml:space="preserve">
</t>
        </r>
        <r>
          <rPr>
            <rFont val="Tahoma"/>
            <b val="true"/>
            <color rgb="000000" tint="0"/>
            <sz val="9"/>
          </rPr>
          <t>100</t>
        </r>
        <r>
          <rPr>
            <rFont val="Tahoma"/>
            <color rgb="000000" tint="0"/>
            <sz val="9"/>
          </rPr>
          <t xml:space="preserve"> - Late</t>
        </r>
        <r>
          <t xml:space="preserve">
</t>
        </r>
        <r>
          <t xml:space="preserve">
</t>
        </r>
        <r>
          <rPr>
            <rFont val="Tahoma"/>
            <b val="true"/>
            <color rgb="000000" tint="0"/>
            <sz val="9"/>
          </rPr>
          <t>LAS - Intervention Timing:</t>
        </r>
        <r>
          <t xml:space="preserve">
</t>
        </r>
        <r>
          <rPr>
            <rFont val="Tahoma"/>
            <i val="true"/>
            <color rgb="000000" tint="0"/>
            <sz val="8"/>
          </rPr>
          <t>b7b6b5 - Value</t>
        </r>
        <r>
          <t xml:space="preserve">
</t>
        </r>
        <r>
          <rPr>
            <rFont val="Tahoma"/>
            <b val="true"/>
            <color rgb="000000" tint="0"/>
            <sz val="9"/>
          </rPr>
          <t>000</t>
        </r>
        <r>
          <rPr>
            <rFont val="Tahoma"/>
            <color rgb="000000" tint="0"/>
            <sz val="9"/>
          </rPr>
          <t xml:space="preserve"> - Late</t>
        </r>
        <r>
          <t xml:space="preserve">
</t>
        </r>
        <r>
          <rPr>
            <rFont val="Tahoma"/>
            <b val="true"/>
            <color rgb="000000" tint="0"/>
            <sz val="9"/>
          </rPr>
          <t>010</t>
        </r>
        <r>
          <rPr>
            <rFont val="Tahoma"/>
            <color rgb="000000" tint="0"/>
            <sz val="9"/>
          </rPr>
          <t xml:space="preserve"> - Early</t>
        </r>
      </text>
    </comment>
    <comment authorId="0" ref="W17">
      <text>
        <r>
          <rPr>
            <rFont val="Tahoma"/>
            <b val="true"/>
            <color rgb="000000" tint="0"/>
            <sz val="9"/>
          </rPr>
          <t>HBC</t>
        </r>
        <r>
          <rPr>
            <rFont val="Tahoma"/>
            <color rgb="000000" tint="0"/>
            <sz val="9"/>
          </rPr>
          <t xml:space="preserve"> (Default Setting):</t>
        </r>
        <r>
          <t xml:space="preserve">
</t>
        </r>
        <r>
          <rPr>
            <rFont val="Tahoma"/>
            <i val="true"/>
            <color rgb="000000" tint="0"/>
            <sz val="8"/>
          </rPr>
          <t>b7b6 - Value</t>
        </r>
        <r>
          <t xml:space="preserve">
</t>
        </r>
        <r>
          <rPr>
            <rFont val="Tahoma"/>
            <b val="true"/>
            <color rgb="000000" tint="0"/>
            <sz val="9"/>
          </rPr>
          <t>10</t>
        </r>
        <r>
          <rPr>
            <rFont val="Tahoma"/>
            <color rgb="000000" tint="0"/>
            <sz val="9"/>
          </rPr>
          <t xml:space="preserve"> - On</t>
        </r>
        <r>
          <t xml:space="preserve">
</t>
        </r>
        <r>
          <rPr>
            <rFont val="Tahoma"/>
            <b val="true"/>
            <color rgb="000000" tint="0"/>
            <sz val="9"/>
          </rPr>
          <t>01</t>
        </r>
        <r>
          <rPr>
            <rFont val="Tahoma"/>
            <color rgb="000000" tint="0"/>
            <sz val="9"/>
          </rPr>
          <t xml:space="preserve"> - Off</t>
        </r>
      </text>
    </comment>
    <comment authorId="0" ref="W50">
      <text>
        <r>
          <rPr>
            <rFont val="Tahoma"/>
            <b val="true"/>
            <color rgb="000000" tint="0"/>
            <sz val="9"/>
          </rPr>
          <t>Settings - HBC:</t>
        </r>
        <r>
          <t xml:space="preserve">
</t>
        </r>
        <r>
          <rPr>
            <rFont val="Tahoma"/>
            <i val="true"/>
            <color rgb="000000" tint="0"/>
            <sz val="8"/>
          </rPr>
          <t>b7b6 - Value</t>
        </r>
        <r>
          <t xml:space="preserve">
</t>
        </r>
        <r>
          <rPr>
            <rFont val="Tahoma"/>
            <b val="true"/>
            <color rgb="000000" tint="0"/>
            <sz val="9"/>
          </rPr>
          <t>10</t>
        </r>
        <r>
          <rPr>
            <rFont val="Tahoma"/>
            <color rgb="000000" tint="0"/>
            <sz val="9"/>
          </rPr>
          <t xml:space="preserve"> - On</t>
        </r>
        <r>
          <t xml:space="preserve">
</t>
        </r>
        <r>
          <rPr>
            <rFont val="Tahoma"/>
            <b val="true"/>
            <color rgb="000000" tint="0"/>
            <sz val="9"/>
          </rPr>
          <t>01</t>
        </r>
        <r>
          <rPr>
            <rFont val="Tahoma"/>
            <color rgb="000000" tint="0"/>
            <sz val="9"/>
          </rPr>
          <t xml:space="preserve"> - Off</t>
        </r>
      </text>
    </comment>
    <comment authorId="0" ref="S20">
      <text>
        <r>
          <rPr>
            <rFont val="Tahoma"/>
            <b val="true"/>
            <color rgb="000000" tint="0"/>
            <sz val="9"/>
          </rPr>
          <t>Default Safety - LDWS - Warning:</t>
        </r>
        <r>
          <t xml:space="preserve">
</t>
        </r>
        <r>
          <rPr>
            <rFont val="Tahoma"/>
            <i val="true"/>
            <color rgb="000000" tint="0"/>
            <sz val="8"/>
          </rPr>
          <t>b4b3b2 - Value</t>
        </r>
        <r>
          <t xml:space="preserve">
</t>
        </r>
        <r>
          <rPr>
            <rFont val="Tahoma"/>
            <b val="true"/>
            <color rgb="000000" tint="0"/>
            <sz val="9"/>
          </rPr>
          <t>000</t>
        </r>
        <r>
          <rPr>
            <rFont val="Tahoma"/>
            <color rgb="000000" tint="0"/>
            <sz val="9"/>
          </rPr>
          <t xml:space="preserve"> - Often</t>
        </r>
        <r>
          <t xml:space="preserve">
</t>
        </r>
        <r>
          <rPr>
            <rFont val="Tahoma"/>
            <b val="true"/>
            <color rgb="000000" tint="0"/>
            <sz val="9"/>
          </rPr>
          <t>010</t>
        </r>
        <r>
          <rPr>
            <rFont val="Tahoma"/>
            <color rgb="000000" tint="0"/>
            <sz val="9"/>
          </rPr>
          <t xml:space="preserve"> - Med</t>
        </r>
        <r>
          <t xml:space="preserve">
</t>
        </r>
        <r>
          <rPr>
            <rFont val="Tahoma"/>
            <b val="true"/>
            <color rgb="000000" tint="0"/>
            <sz val="9"/>
          </rPr>
          <t>100</t>
        </r>
        <r>
          <rPr>
            <rFont val="Tahoma"/>
            <color rgb="000000" tint="0"/>
            <sz val="9"/>
          </rPr>
          <t xml:space="preserve"> - Rare</t>
        </r>
        <r>
          <t xml:space="preserve">
</t>
        </r>
        <r>
          <t xml:space="preserve">
</t>
        </r>
        <r>
          <rPr>
            <rFont val="Tahoma"/>
            <b val="true"/>
            <color rgb="000000" tint="0"/>
            <sz val="9"/>
          </rPr>
          <t>LAS - Sensitivity:</t>
        </r>
        <r>
          <t xml:space="preserve">
</t>
        </r>
        <r>
          <rPr>
            <rFont val="Tahoma"/>
            <i val="true"/>
            <color rgb="000000" tint="0"/>
            <sz val="8"/>
          </rPr>
          <t>b4b3b2 - Value</t>
        </r>
        <r>
          <t xml:space="preserve">
</t>
        </r>
        <r>
          <rPr>
            <rFont val="Tahoma"/>
            <b val="true"/>
            <color rgb="000000" tint="0"/>
            <sz val="9"/>
          </rPr>
          <t>001</t>
        </r>
        <r>
          <rPr>
            <rFont val="Tahoma"/>
            <color rgb="000000" tint="0"/>
            <sz val="9"/>
          </rPr>
          <t xml:space="preserve"> - High</t>
        </r>
        <r>
          <t xml:space="preserve">
</t>
        </r>
        <r>
          <rPr>
            <rFont val="Tahoma"/>
            <b val="true"/>
            <color rgb="000000" tint="0"/>
            <sz val="9"/>
          </rPr>
          <t>011</t>
        </r>
        <r>
          <rPr>
            <rFont val="Tahoma"/>
            <color rgb="000000" tint="0"/>
            <sz val="9"/>
          </rPr>
          <t xml:space="preserve"> - Med</t>
        </r>
        <r>
          <t xml:space="preserve">
</t>
        </r>
        <r>
          <rPr>
            <rFont val="Tahoma"/>
            <b val="true"/>
            <color rgb="000000" tint="0"/>
            <sz val="9"/>
          </rPr>
          <t>100</t>
        </r>
        <r>
          <rPr>
            <rFont val="Tahoma"/>
            <color rgb="000000" tint="0"/>
            <sz val="9"/>
          </rPr>
          <t xml:space="preserve"> - Low</t>
        </r>
      </text>
    </comment>
    <comment authorId="0" ref="AA6">
      <text>
        <r>
          <rPr>
            <rFont val="Tahoma"/>
            <b val="true"/>
            <color rgb="000000" tint="0"/>
            <sz val="9"/>
          </rPr>
          <t>RHD/LHD:</t>
        </r>
        <r>
          <t xml:space="preserve">
</t>
        </r>
        <r>
          <rPr>
            <rFont val="Tahoma"/>
            <i val="true"/>
            <color rgb="000000" tint="0"/>
            <sz val="8"/>
          </rPr>
          <t>b7b6 - Value</t>
        </r>
        <r>
          <t xml:space="preserve">
</t>
        </r>
        <r>
          <rPr>
            <rFont val="Tahoma"/>
            <b val="true"/>
            <color rgb="000000" tint="0"/>
            <sz val="9"/>
          </rPr>
          <t>01</t>
        </r>
        <r>
          <rPr>
            <rFont val="Tahoma"/>
            <color rgb="000000" tint="0"/>
            <sz val="9"/>
          </rPr>
          <t xml:space="preserve"> - LHD</t>
        </r>
        <r>
          <t xml:space="preserve">
</t>
        </r>
        <r>
          <rPr>
            <rFont val="Tahoma"/>
            <b val="true"/>
            <color rgb="000000" tint="0"/>
            <sz val="9"/>
          </rPr>
          <t>10</t>
        </r>
        <r>
          <rPr>
            <rFont val="Tahoma"/>
            <color rgb="000000" tint="0"/>
            <sz val="9"/>
          </rPr>
          <t xml:space="preserve"> - RHD</t>
        </r>
      </text>
    </comment>
    <comment authorId="0" ref="W8">
      <text>
        <r>
          <rPr>
            <rFont val="Tahoma"/>
            <b val="true"/>
            <color rgb="000000" tint="0"/>
            <sz val="9"/>
          </rPr>
          <t>Body type:</t>
        </r>
        <r>
          <t xml:space="preserve">
</t>
        </r>
        <r>
          <rPr>
            <rFont val="Tahoma"/>
            <i val="true"/>
            <color rgb="000000" tint="0"/>
            <sz val="8"/>
          </rPr>
          <t>b5b4 - Value</t>
        </r>
        <r>
          <t xml:space="preserve">
</t>
        </r>
        <r>
          <rPr>
            <rFont val="Tahoma"/>
            <b val="true"/>
            <color rgb="000000" tint="0"/>
            <sz val="9"/>
          </rPr>
          <t>01</t>
        </r>
        <r>
          <rPr>
            <rFont val="Tahoma"/>
            <color rgb="000000" tint="0"/>
            <sz val="9"/>
          </rPr>
          <t xml:space="preserve"> - Sedan</t>
        </r>
        <r>
          <t xml:space="preserve">
</t>
        </r>
        <r>
          <rPr>
            <rFont val="Tahoma"/>
            <b val="true"/>
            <color rgb="000000" tint="0"/>
            <sz val="9"/>
          </rPr>
          <t>10</t>
        </r>
        <r>
          <rPr>
            <rFont val="Tahoma"/>
            <color rgb="000000" tint="0"/>
            <sz val="9"/>
          </rPr>
          <t xml:space="preserve"> - Wagon</t>
        </r>
        <r>
          <t xml:space="preserve">
</t>
        </r>
        <r>
          <rPr>
            <rFont val="Tahoma"/>
            <b val="true"/>
            <color rgb="000000" tint="0"/>
            <sz val="9"/>
          </rPr>
          <t>11</t>
        </r>
        <r>
          <rPr>
            <rFont val="Tahoma"/>
            <color rgb="000000" tint="0"/>
            <sz val="9"/>
          </rPr>
          <t xml:space="preserve"> - Hatchback</t>
        </r>
      </text>
    </comment>
    <comment authorId="0" ref="S17">
      <text>
        <r>
          <rPr>
            <rFont val="Tahoma"/>
            <b val="true"/>
            <color rgb="000000" tint="0"/>
            <sz val="9"/>
          </rPr>
          <t>Default Safety - LDWS - Timing:</t>
        </r>
        <r>
          <t xml:space="preserve">
</t>
        </r>
        <r>
          <rPr>
            <rFont val="Tahoma"/>
            <i val="true"/>
            <color rgb="000000" tint="0"/>
            <sz val="8"/>
          </rPr>
          <t>b7b6b5 - Value</t>
        </r>
        <r>
          <t xml:space="preserve">
</t>
        </r>
        <r>
          <rPr>
            <rFont val="Tahoma"/>
            <b val="true"/>
            <color rgb="000000" tint="0"/>
            <sz val="9"/>
          </rPr>
          <t>001</t>
        </r>
        <r>
          <rPr>
            <rFont val="Tahoma"/>
            <color rgb="000000" tint="0"/>
            <sz val="9"/>
          </rPr>
          <t xml:space="preserve"> - Adaptive</t>
        </r>
        <r>
          <t xml:space="preserve">
</t>
        </r>
        <r>
          <rPr>
            <rFont val="Tahoma"/>
            <b val="true"/>
            <color rgb="000000" tint="0"/>
            <sz val="9"/>
          </rPr>
          <t>010</t>
        </r>
        <r>
          <rPr>
            <rFont val="Tahoma"/>
            <color rgb="000000" tint="0"/>
            <sz val="9"/>
          </rPr>
          <t xml:space="preserve"> - Early</t>
        </r>
        <r>
          <t xml:space="preserve">
</t>
        </r>
        <r>
          <rPr>
            <rFont val="Tahoma"/>
            <b val="true"/>
            <color rgb="000000" tint="0"/>
            <sz val="9"/>
          </rPr>
          <t>011</t>
        </r>
        <r>
          <rPr>
            <rFont val="Tahoma"/>
            <color rgb="000000" tint="0"/>
            <sz val="9"/>
          </rPr>
          <t xml:space="preserve"> - Medium</t>
        </r>
        <r>
          <t xml:space="preserve">
</t>
        </r>
        <r>
          <rPr>
            <rFont val="Tahoma"/>
            <b val="true"/>
            <color rgb="000000" tint="0"/>
            <sz val="9"/>
          </rPr>
          <t>100</t>
        </r>
        <r>
          <rPr>
            <rFont val="Tahoma"/>
            <color rgb="000000" tint="0"/>
            <sz val="9"/>
          </rPr>
          <t xml:space="preserve"> - Late</t>
        </r>
        <r>
          <t xml:space="preserve">
</t>
        </r>
        <r>
          <t xml:space="preserve">
</t>
        </r>
        <r>
          <rPr>
            <rFont val="Tahoma"/>
            <b val="true"/>
            <color rgb="000000" tint="0"/>
            <sz val="9"/>
          </rPr>
          <t>LAS - Intervention Timing:</t>
        </r>
        <r>
          <t xml:space="preserve">
</t>
        </r>
        <r>
          <rPr>
            <rFont val="Tahoma"/>
            <i val="true"/>
            <color rgb="000000" tint="0"/>
            <sz val="8"/>
          </rPr>
          <t>b7b6b5 - Value</t>
        </r>
        <r>
          <t xml:space="preserve">
</t>
        </r>
        <r>
          <rPr>
            <rFont val="Tahoma"/>
            <b val="true"/>
            <color rgb="000000" tint="0"/>
            <sz val="9"/>
          </rPr>
          <t>000</t>
        </r>
        <r>
          <rPr>
            <rFont val="Tahoma"/>
            <color rgb="000000" tint="0"/>
            <sz val="9"/>
          </rPr>
          <t xml:space="preserve"> - Late</t>
        </r>
        <r>
          <t xml:space="preserve">
</t>
        </r>
        <r>
          <rPr>
            <rFont val="Tahoma"/>
            <b val="true"/>
            <color rgb="000000" tint="0"/>
            <sz val="9"/>
          </rPr>
          <t>010</t>
        </r>
        <r>
          <rPr>
            <rFont val="Tahoma"/>
            <color rgb="000000" tint="0"/>
            <sz val="9"/>
          </rPr>
          <t xml:space="preserve"> - Early</t>
        </r>
      </text>
    </comment>
    <comment authorId="0" ref="S6">
      <text>
        <r>
          <rPr>
            <rFont val="Tahoma"/>
            <b val="true"/>
            <color rgb="000000" tint="0"/>
            <sz val="9"/>
          </rPr>
          <t>LDWS/LAS/HBC/ALH:</t>
        </r>
        <r>
          <t xml:space="preserve">
</t>
        </r>
        <r>
          <rPr>
            <rFont val="Tahoma"/>
            <i val="true"/>
            <color rgb="000000" tint="0"/>
            <sz val="8"/>
          </rPr>
          <t>b7b6b5b4 - Value</t>
        </r>
        <r>
          <t xml:space="preserve">
</t>
        </r>
        <r>
          <rPr>
            <rFont val="Tahoma"/>
            <b val="true"/>
            <color rgb="000000" tint="0"/>
            <sz val="9"/>
          </rPr>
          <t>0000</t>
        </r>
        <r>
          <rPr>
            <rFont val="Tahoma"/>
            <color rgb="000000" tint="0"/>
            <sz val="9"/>
          </rPr>
          <t xml:space="preserve"> - ?</t>
        </r>
        <r>
          <t xml:space="preserve">
</t>
        </r>
        <r>
          <rPr>
            <rFont val="Tahoma"/>
            <b val="true"/>
            <color rgb="000000" tint="0"/>
            <sz val="9"/>
          </rPr>
          <t>0001</t>
        </r>
        <r>
          <rPr>
            <rFont val="Tahoma"/>
            <color rgb="000000" tint="0"/>
            <sz val="9"/>
          </rPr>
          <t xml:space="preserve"> - No LDWS/LAS/HBC/ALH</t>
        </r>
        <r>
          <t xml:space="preserve">
</t>
        </r>
        <r>
          <rPr>
            <rFont val="Tahoma"/>
            <b val="true"/>
            <color rgb="000000" tint="0"/>
            <sz val="9"/>
          </rPr>
          <t>0010</t>
        </r>
        <r>
          <rPr>
            <rFont val="Tahoma"/>
            <color rgb="000000" tint="0"/>
            <sz val="9"/>
          </rPr>
          <t xml:space="preserve"> - LDWS+HBC [FSC Gen 1]</t>
        </r>
        <r>
          <t xml:space="preserve">
</t>
        </r>
        <r>
          <rPr>
            <rFont val="Tahoma"/>
            <b val="true"/>
            <color rgb="000000" tint="0"/>
            <sz val="9"/>
          </rPr>
          <t>0011</t>
        </r>
        <r>
          <rPr>
            <rFont val="Tahoma"/>
            <color rgb="000000" tint="0"/>
            <sz val="9"/>
          </rPr>
          <t xml:space="preserve"> - HBC [?]</t>
        </r>
        <r>
          <t xml:space="preserve">
</t>
        </r>
        <r>
          <rPr>
            <rFont val="Tahoma"/>
            <b val="true"/>
            <color rgb="000000" tint="0"/>
            <sz val="9"/>
          </rPr>
          <t>0100</t>
        </r>
        <r>
          <rPr>
            <rFont val="Tahoma"/>
            <color rgb="000000" tint="0"/>
            <sz val="9"/>
          </rPr>
          <t xml:space="preserve"> - LDWS [FSC Gen 1]</t>
        </r>
        <r>
          <t xml:space="preserve">
</t>
        </r>
        <r>
          <rPr>
            <rFont val="Tahoma"/>
            <b val="true"/>
            <color rgb="000000" tint="0"/>
            <sz val="9"/>
          </rPr>
          <t>0101</t>
        </r>
        <r>
          <rPr>
            <rFont val="Tahoma"/>
            <color rgb="000000" tint="0"/>
            <sz val="9"/>
          </rPr>
          <t xml:space="preserve"> - LDWS+HBC [?]</t>
        </r>
        <r>
          <t xml:space="preserve">
</t>
        </r>
        <r>
          <rPr>
            <rFont val="Tahoma"/>
            <b val="true"/>
            <color rgb="000000" tint="0"/>
            <sz val="9"/>
          </rPr>
          <t>0110</t>
        </r>
        <r>
          <rPr>
            <rFont val="Tahoma"/>
            <color rgb="000000" tint="0"/>
            <sz val="9"/>
          </rPr>
          <t xml:space="preserve"> - ?</t>
        </r>
        <r>
          <t xml:space="preserve">
</t>
        </r>
        <r>
          <rPr>
            <rFont val="Tahoma"/>
            <b val="true"/>
            <color rgb="000000" tint="0"/>
            <sz val="9"/>
          </rPr>
          <t>0111</t>
        </r>
        <r>
          <rPr>
            <rFont val="Tahoma"/>
            <color rgb="000000" tint="0"/>
            <sz val="9"/>
          </rPr>
          <t xml:space="preserve"> - LDWS [?]</t>
        </r>
        <r>
          <t xml:space="preserve">
</t>
        </r>
        <r>
          <rPr>
            <rFont val="Tahoma"/>
            <b val="true"/>
            <color rgb="000000" tint="0"/>
            <sz val="9"/>
          </rPr>
          <t>1000</t>
        </r>
        <r>
          <rPr>
            <rFont val="Tahoma"/>
            <color rgb="000000" tint="0"/>
            <sz val="9"/>
          </rPr>
          <t xml:space="preserve"> - HBC [?]</t>
        </r>
        <r>
          <t xml:space="preserve">
</t>
        </r>
        <r>
          <rPr>
            <rFont val="Tahoma"/>
            <b val="true"/>
            <color rgb="000000" tint="0"/>
            <sz val="9"/>
          </rPr>
          <t>1001</t>
        </r>
        <r>
          <rPr>
            <rFont val="Tahoma"/>
            <color rgb="000000" tint="0"/>
            <sz val="9"/>
          </rPr>
          <t xml:space="preserve"> - LDWS+HBC [FSC Gen 2]</t>
        </r>
        <r>
          <t xml:space="preserve">
</t>
        </r>
        <r>
          <rPr>
            <rFont val="Tahoma"/>
            <b val="true"/>
            <color rgb="000000" tint="0"/>
            <sz val="9"/>
          </rPr>
          <t>1010</t>
        </r>
        <r>
          <rPr>
            <rFont val="Tahoma"/>
            <color rgb="000000" tint="0"/>
            <sz val="9"/>
          </rPr>
          <t xml:space="preserve"> - LDWS+ALH [FSC Gen 1/2]</t>
        </r>
        <r>
          <t xml:space="preserve">
</t>
        </r>
        <r>
          <rPr>
            <rFont val="Tahoma"/>
            <b val="true"/>
            <color rgb="000000" tint="0"/>
            <sz val="9"/>
          </rPr>
          <t>1011</t>
        </r>
        <r>
          <rPr>
            <rFont val="Tahoma"/>
            <color rgb="000000" tint="0"/>
            <sz val="9"/>
          </rPr>
          <t xml:space="preserve"> - LAS+ALH [FSC Gen 1/2]</t>
        </r>
        <r>
          <t xml:space="preserve">
</t>
        </r>
        <r>
          <rPr>
            <rFont val="Tahoma"/>
            <b val="true"/>
            <color rgb="000000" tint="0"/>
            <sz val="9"/>
          </rPr>
          <t>1100</t>
        </r>
        <r>
          <rPr>
            <rFont val="Tahoma"/>
            <color rgb="000000" tint="0"/>
            <sz val="9"/>
          </rPr>
          <t xml:space="preserve"> - LAS+HBC [FSC Gen 1/2]</t>
        </r>
        <r>
          <t xml:space="preserve">
</t>
        </r>
        <r>
          <rPr>
            <rFont val="Tahoma"/>
            <b val="true"/>
            <color rgb="000000" tint="0"/>
            <sz val="9"/>
          </rPr>
          <t>1101</t>
        </r>
        <r>
          <rPr>
            <rFont val="Tahoma"/>
            <color rgb="000000" tint="0"/>
            <sz val="9"/>
          </rPr>
          <t xml:space="preserve"> - LAS [FSC Gen 2]</t>
        </r>
        <r>
          <t xml:space="preserve">
</t>
        </r>
        <r>
          <rPr>
            <rFont val="Tahoma"/>
            <b val="true"/>
            <color rgb="000000" tint="0"/>
            <sz val="9"/>
          </rPr>
          <t>1110</t>
        </r>
        <r>
          <rPr>
            <rFont val="Tahoma"/>
            <color rgb="000000" tint="0"/>
            <sz val="9"/>
          </rPr>
          <t xml:space="preserve"> - ?</t>
        </r>
        <r>
          <t xml:space="preserve">
</t>
        </r>
        <r>
          <rPr>
            <rFont val="Tahoma"/>
            <b val="true"/>
            <color rgb="000000" tint="0"/>
            <sz val="9"/>
          </rPr>
          <t>1111</t>
        </r>
        <r>
          <rPr>
            <rFont val="Tahoma"/>
            <color rgb="000000" tint="0"/>
            <sz val="9"/>
          </rPr>
          <t xml:space="preserve"> - ?</t>
        </r>
      </text>
    </comment>
    <comment authorId="0" ref="S10">
      <text>
        <r>
          <rPr>
            <rFont val="Tahoma"/>
            <b val="true"/>
            <color rgb="000000" tint="0"/>
            <sz val="9"/>
          </rPr>
          <t>Car model:</t>
        </r>
        <r>
          <t xml:space="preserve">
</t>
        </r>
        <r>
          <rPr>
            <rFont val="Tahoma"/>
            <i val="true"/>
            <color rgb="000000" tint="0"/>
            <sz val="8"/>
          </rPr>
          <t>b3b2b1b0 - Value</t>
        </r>
        <r>
          <t xml:space="preserve">
</t>
        </r>
        <r>
          <rPr>
            <rFont val="Tahoma"/>
            <b val="true"/>
            <color rgb="000000" tint="0"/>
            <sz val="9"/>
          </rPr>
          <t>0001</t>
        </r>
        <r>
          <rPr>
            <rFont val="Tahoma"/>
            <color rgb="000000" tint="0"/>
            <sz val="9"/>
          </rPr>
          <t xml:space="preserve"> - CX-5</t>
        </r>
        <r>
          <t xml:space="preserve">
</t>
        </r>
        <r>
          <rPr>
            <rFont val="Tahoma"/>
            <b val="true"/>
            <color rgb="000000" tint="0"/>
            <sz val="9"/>
          </rPr>
          <t>0010</t>
        </r>
        <r>
          <rPr>
            <rFont val="Tahoma"/>
            <color rgb="000000" tint="0"/>
            <sz val="9"/>
          </rPr>
          <t xml:space="preserve"> - M6</t>
        </r>
        <r>
          <t xml:space="preserve">
</t>
        </r>
        <r>
          <rPr>
            <rFont val="Tahoma"/>
            <b val="true"/>
            <color rgb="000000" tint="0"/>
            <sz val="9"/>
          </rPr>
          <t>0011</t>
        </r>
        <r>
          <rPr>
            <rFont val="Tahoma"/>
            <color rgb="000000" tint="0"/>
            <sz val="9"/>
          </rPr>
          <t xml:space="preserve"> - M3</t>
        </r>
        <r>
          <t xml:space="preserve">
</t>
        </r>
        <r>
          <rPr>
            <rFont val="Tahoma"/>
            <b val="true"/>
            <color rgb="000000" tint="0"/>
            <sz val="9"/>
          </rPr>
          <t>0101</t>
        </r>
        <r>
          <rPr>
            <rFont val="Tahoma"/>
            <color rgb="000000" tint="0"/>
            <sz val="9"/>
          </rPr>
          <t xml:space="preserve"> - M2</t>
        </r>
        <r>
          <t xml:space="preserve">
</t>
        </r>
        <r>
          <rPr>
            <rFont val="Tahoma"/>
            <b val="true"/>
            <color rgb="000000" tint="0"/>
            <sz val="9"/>
          </rPr>
          <t>0110</t>
        </r>
        <r>
          <rPr>
            <rFont val="Tahoma"/>
            <color rgb="000000" tint="0"/>
            <sz val="9"/>
          </rPr>
          <t xml:space="preserve"> - MX-5</t>
        </r>
        <r>
          <t xml:space="preserve">
</t>
        </r>
        <r>
          <rPr>
            <rFont val="Tahoma"/>
            <b val="true"/>
            <color rgb="000000" tint="0"/>
            <sz val="9"/>
          </rPr>
          <t>0111</t>
        </r>
        <r>
          <rPr>
            <rFont val="Tahoma"/>
            <color rgb="000000" tint="0"/>
            <sz val="9"/>
          </rPr>
          <t xml:space="preserve"> - CX-9</t>
        </r>
      </text>
    </comment>
    <comment authorId="0" ref="AI52">
      <text>
        <r>
          <rPr>
            <rFont val="Tahoma"/>
            <b val="true"/>
            <color rgb="000000" tint="0"/>
            <sz val="9"/>
          </rPr>
          <t>LAS Intervention:</t>
        </r>
        <r>
          <t xml:space="preserve">
</t>
        </r>
        <r>
          <rPr>
            <rFont val="Tahoma"/>
            <b val="true"/>
            <color rgb="000000" tint="0"/>
            <sz val="9"/>
          </rPr>
          <t>0</t>
        </r>
        <r>
          <rPr>
            <rFont val="Tahoma"/>
            <color rgb="000000" tint="0"/>
            <sz val="9"/>
          </rPr>
          <t xml:space="preserve"> - Off</t>
        </r>
        <r>
          <t xml:space="preserve">
</t>
        </r>
        <r>
          <rPr>
            <rFont val="Tahoma"/>
            <b val="true"/>
            <color rgb="000000" tint="0"/>
            <sz val="9"/>
          </rPr>
          <t>1</t>
        </r>
        <r>
          <rPr>
            <rFont val="Tahoma"/>
            <color rgb="000000" tint="0"/>
            <sz val="9"/>
          </rPr>
          <t xml:space="preserve"> - On</t>
        </r>
      </text>
    </comment>
    <comment authorId="0" ref="W23">
      <text>
        <r>
          <rPr>
            <rFont val="Tahoma"/>
            <b val="true"/>
            <color rgb="000000" tint="0"/>
            <sz val="9"/>
            <u val="single"/>
          </rPr>
          <t>HBC (if b7=1)</t>
        </r>
        <r>
          <t xml:space="preserve">
</t>
        </r>
        <r>
          <rPr>
            <rFont val="Tahoma"/>
            <b val="true"/>
            <i val="true"/>
            <color rgb="000000" tint="0"/>
            <sz val="9"/>
          </rPr>
          <t>b1b0 - Value:</t>
        </r>
        <r>
          <t xml:space="preserve">
</t>
        </r>
        <r>
          <rPr>
            <rFont val="Tahoma"/>
            <b val="true"/>
            <color rgb="000000" tint="0"/>
            <sz val="9"/>
          </rPr>
          <t>10 =</t>
        </r>
        <r>
          <rPr>
            <rFont val="Tahoma"/>
            <color rgb="000000" tint="0"/>
            <sz val="9"/>
          </rPr>
          <t xml:space="preserve"> (JPN only) + (CX5KE-LHD);</t>
        </r>
        <r>
          <t xml:space="preserve">
</t>
        </r>
        <r>
          <rPr>
            <rFont val="Tahoma"/>
            <b val="true"/>
            <color rgb="000000" tint="0"/>
            <sz val="9"/>
          </rPr>
          <t>01 =</t>
        </r>
        <r>
          <rPr>
            <rFont val="Tahoma"/>
            <color rgb="000000" tint="0"/>
            <sz val="9"/>
          </rPr>
          <t xml:space="preserve"> LHD + AUS/ASIA + [CX5KE-RHD(except AUS)]</t>
        </r>
        <r>
          <t xml:space="preserve">
</t>
        </r>
      </text>
    </comment>
    <comment authorId="0" ref="S53">
      <text>
        <r>
          <rPr>
            <rFont val="Tahoma"/>
            <b val="true"/>
            <color rgb="000000" tint="0"/>
            <sz val="9"/>
          </rPr>
          <t>Safety - LDWS - Warning:</t>
        </r>
        <r>
          <t xml:space="preserve">
</t>
        </r>
        <r>
          <rPr>
            <rFont val="Tahoma"/>
            <i val="true"/>
            <color rgb="000000" tint="0"/>
            <sz val="8"/>
          </rPr>
          <t>b4b3b2 - Value</t>
        </r>
        <r>
          <t xml:space="preserve">
</t>
        </r>
        <r>
          <rPr>
            <rFont val="Tahoma"/>
            <b val="true"/>
            <color rgb="000000" tint="0"/>
            <sz val="9"/>
          </rPr>
          <t>000</t>
        </r>
        <r>
          <rPr>
            <rFont val="Tahoma"/>
            <color rgb="000000" tint="0"/>
            <sz val="9"/>
          </rPr>
          <t xml:space="preserve"> - Often</t>
        </r>
        <r>
          <t xml:space="preserve">
</t>
        </r>
        <r>
          <rPr>
            <rFont val="Tahoma"/>
            <b val="true"/>
            <color rgb="000000" tint="0"/>
            <sz val="9"/>
          </rPr>
          <t>010</t>
        </r>
        <r>
          <rPr>
            <rFont val="Tahoma"/>
            <color rgb="000000" tint="0"/>
            <sz val="9"/>
          </rPr>
          <t xml:space="preserve"> - Med</t>
        </r>
        <r>
          <t xml:space="preserve">
</t>
        </r>
        <r>
          <rPr>
            <rFont val="Tahoma"/>
            <b val="true"/>
            <color rgb="000000" tint="0"/>
            <sz val="9"/>
          </rPr>
          <t>100</t>
        </r>
        <r>
          <rPr>
            <rFont val="Tahoma"/>
            <color rgb="000000" tint="0"/>
            <sz val="9"/>
          </rPr>
          <t xml:space="preserve"> - Rare</t>
        </r>
        <r>
          <t xml:space="preserve">
</t>
        </r>
        <r>
          <t xml:space="preserve">
</t>
        </r>
        <r>
          <rPr>
            <rFont val="Tahoma"/>
            <b val="true"/>
            <color rgb="000000" tint="0"/>
            <sz val="9"/>
          </rPr>
          <t>LAS - Sensitivity:</t>
        </r>
        <r>
          <t xml:space="preserve">
</t>
        </r>
        <r>
          <rPr>
            <rFont val="Tahoma"/>
            <i val="true"/>
            <color rgb="000000" tint="0"/>
            <sz val="8"/>
          </rPr>
          <t>b4b3b2 - Value</t>
        </r>
        <r>
          <t xml:space="preserve">
</t>
        </r>
        <r>
          <rPr>
            <rFont val="Tahoma"/>
            <b val="true"/>
            <color rgb="000000" tint="0"/>
            <sz val="9"/>
          </rPr>
          <t>001</t>
        </r>
        <r>
          <rPr>
            <rFont val="Tahoma"/>
            <color rgb="000000" tint="0"/>
            <sz val="9"/>
          </rPr>
          <t xml:space="preserve"> - High</t>
        </r>
        <r>
          <t xml:space="preserve">
</t>
        </r>
        <r>
          <rPr>
            <rFont val="Tahoma"/>
            <b val="true"/>
            <color rgb="000000" tint="0"/>
            <sz val="9"/>
          </rPr>
          <t>011</t>
        </r>
        <r>
          <rPr>
            <rFont val="Tahoma"/>
            <color rgb="000000" tint="0"/>
            <sz val="9"/>
          </rPr>
          <t xml:space="preserve"> - Med</t>
        </r>
        <r>
          <t xml:space="preserve">
</t>
        </r>
        <r>
          <rPr>
            <rFont val="Tahoma"/>
            <b val="true"/>
            <color rgb="000000" tint="0"/>
            <sz val="9"/>
          </rPr>
          <t>100</t>
        </r>
        <r>
          <rPr>
            <rFont val="Tahoma"/>
            <color rgb="000000" tint="0"/>
            <sz val="9"/>
          </rPr>
          <t xml:space="preserve"> - Low</t>
        </r>
      </text>
    </comment>
    <comment authorId="0" ref="AI19">
      <text>
        <r>
          <rPr>
            <rFont val="Tahoma"/>
            <b val="true"/>
            <color rgb="000000" tint="0"/>
            <sz val="9"/>
          </rPr>
          <t>LAS Intervention:</t>
        </r>
        <r>
          <t xml:space="preserve">
</t>
        </r>
        <r>
          <rPr>
            <rFont val="Tahoma"/>
            <b val="true"/>
            <color rgb="000000" tint="0"/>
            <sz val="9"/>
          </rPr>
          <t>0</t>
        </r>
        <r>
          <rPr>
            <rFont val="Tahoma"/>
            <color rgb="000000" tint="0"/>
            <sz val="9"/>
          </rPr>
          <t xml:space="preserve"> - Off</t>
        </r>
        <r>
          <t xml:space="preserve">
</t>
        </r>
        <r>
          <rPr>
            <rFont val="Tahoma"/>
            <b val="true"/>
            <color rgb="000000" tint="0"/>
            <sz val="9"/>
          </rPr>
          <t>1</t>
        </r>
        <r>
          <rPr>
            <rFont val="Tahoma"/>
            <color rgb="000000" tint="0"/>
            <sz val="9"/>
          </rPr>
          <t xml:space="preserve"> - On</t>
        </r>
      </text>
    </comment>
    <comment authorId="0" ref="AA8">
      <text>
        <r>
          <rPr>
            <rFont val="Tahoma"/>
            <b val="true"/>
            <color rgb="000000" tint="0"/>
            <sz val="9"/>
          </rPr>
          <t>4WD:</t>
        </r>
        <r>
          <t xml:space="preserve">
</t>
        </r>
        <r>
          <rPr>
            <rFont val="Tahoma"/>
            <i val="true"/>
            <color rgb="000000" tint="0"/>
            <sz val="8"/>
          </rPr>
          <t>b5b4 - Value</t>
        </r>
        <r>
          <t xml:space="preserve">
</t>
        </r>
        <r>
          <rPr>
            <rFont val="Tahoma"/>
            <b val="true"/>
            <color rgb="000000" tint="0"/>
            <sz val="9"/>
          </rPr>
          <t>01</t>
        </r>
        <r>
          <rPr>
            <rFont val="Tahoma"/>
            <color rgb="000000" tint="0"/>
            <sz val="9"/>
          </rPr>
          <t xml:space="preserve"> - all cars w/o 4WD</t>
        </r>
        <r>
          <t xml:space="preserve">
</t>
        </r>
        <r>
          <rPr>
            <rFont val="Tahoma"/>
            <b val="true"/>
            <color rgb="000000" tint="0"/>
            <sz val="9"/>
          </rPr>
          <t>10</t>
        </r>
        <r>
          <rPr>
            <rFont val="Tahoma"/>
            <color rgb="000000" tint="0"/>
            <sz val="9"/>
          </rPr>
          <t xml:space="preserve"> - 4WD (only CX5-EU, CX5-JP, M6-JP w/o RVM)</t>
        </r>
      </text>
    </comment>
    <comment authorId="0" ref="AA12">
      <text>
        <r>
          <rPr>
            <rFont val="Tahoma"/>
            <b val="true"/>
            <color rgb="000000" tint="0"/>
            <sz val="9"/>
          </rPr>
          <t>SBS:</t>
        </r>
        <r>
          <t xml:space="preserve">
</t>
        </r>
        <r>
          <rPr>
            <rFont val="Tahoma"/>
            <i val="true"/>
            <color rgb="000000" tint="0"/>
            <sz val="8"/>
          </rPr>
          <t>b1b0 - Value</t>
        </r>
        <r>
          <t xml:space="preserve">
</t>
        </r>
        <r>
          <rPr>
            <rFont val="Tahoma"/>
            <b val="true"/>
            <color rgb="000000" tint="0"/>
            <sz val="9"/>
          </rPr>
          <t>01</t>
        </r>
        <r>
          <rPr>
            <rFont val="Tahoma"/>
            <color rgb="000000" tint="0"/>
            <sz val="9"/>
          </rPr>
          <t xml:space="preserve"> - no SBS</t>
        </r>
        <r>
          <t xml:space="preserve">
</t>
        </r>
        <r>
          <rPr>
            <rFont val="Tahoma"/>
            <b val="true"/>
            <color rgb="000000" tint="0"/>
            <sz val="9"/>
          </rPr>
          <t>10</t>
        </r>
        <r>
          <rPr>
            <rFont val="Tahoma"/>
            <color rgb="000000" tint="0"/>
            <sz val="9"/>
          </rPr>
          <t xml:space="preserve"> - SBS</t>
        </r>
      </text>
    </comment>
    <comment authorId="0" ref="AE6">
      <text>
        <r>
          <rPr>
            <rFont val="Tahoma"/>
            <color rgb="000000" tint="0"/>
            <sz val="9"/>
          </rPr>
          <t>Japan Market: LDWS minimum operating speed is 40 kmph</t>
        </r>
        <r>
          <t xml:space="preserve">
</t>
        </r>
        <r>
          <t xml:space="preserve">
</t>
        </r>
        <r>
          <rPr>
            <rFont val="Tahoma"/>
            <b val="true"/>
            <color rgb="000000" tint="0"/>
            <sz val="9"/>
          </rPr>
          <t>Market area</t>
        </r>
        <r>
          <t xml:space="preserve">
</t>
        </r>
        <r>
          <rPr>
            <rFont val="Tahoma"/>
            <i val="true"/>
            <color rgb="000000" tint="0"/>
            <sz val="8"/>
          </rPr>
          <t>b7b6b5b4 - Value</t>
        </r>
        <r>
          <t xml:space="preserve">
</t>
        </r>
        <r>
          <rPr>
            <rFont val="Tahoma"/>
            <b val="true"/>
            <color rgb="000000" tint="0"/>
            <sz val="9"/>
          </rPr>
          <t>0001</t>
        </r>
        <r>
          <rPr>
            <rFont val="Tahoma"/>
            <color rgb="000000" tint="0"/>
            <sz val="9"/>
          </rPr>
          <t xml:space="preserve"> - JP (RHD)</t>
        </r>
        <r>
          <t xml:space="preserve">
</t>
        </r>
        <r>
          <rPr>
            <rFont val="Tahoma"/>
            <b val="true"/>
            <color rgb="000000" tint="0"/>
            <sz val="9"/>
          </rPr>
          <t>0010</t>
        </r>
        <r>
          <rPr>
            <rFont val="Tahoma"/>
            <color rgb="000000" tint="0"/>
            <sz val="9"/>
          </rPr>
          <t xml:space="preserve"> - US/Can (LHD)</t>
        </r>
        <r>
          <t xml:space="preserve">
</t>
        </r>
        <r>
          <rPr>
            <rFont val="Tahoma"/>
            <b val="true"/>
            <color rgb="000000" tint="0"/>
            <sz val="9"/>
          </rPr>
          <t>0011</t>
        </r>
        <r>
          <rPr>
            <rFont val="Tahoma"/>
            <color rgb="000000" tint="0"/>
            <sz val="9"/>
          </rPr>
          <t xml:space="preserve"> - EU (LHD)</t>
        </r>
        <r>
          <t xml:space="preserve">
</t>
        </r>
        <r>
          <rPr>
            <rFont val="Tahoma"/>
            <b val="true"/>
            <color rgb="000000" tint="0"/>
            <sz val="9"/>
          </rPr>
          <t>0100</t>
        </r>
        <r>
          <rPr>
            <rFont val="Tahoma"/>
            <color rgb="000000" tint="0"/>
            <sz val="9"/>
          </rPr>
          <t xml:space="preserve"> - ?</t>
        </r>
        <r>
          <t xml:space="preserve">
</t>
        </r>
        <r>
          <rPr>
            <rFont val="Tahoma"/>
            <b val="true"/>
            <color rgb="000000" tint="0"/>
            <sz val="9"/>
          </rPr>
          <t>0101</t>
        </r>
        <r>
          <rPr>
            <rFont val="Tahoma"/>
            <color rgb="000000" tint="0"/>
            <sz val="9"/>
          </rPr>
          <t xml:space="preserve"> - AUS (RHD)</t>
        </r>
        <r>
          <t xml:space="preserve">
</t>
        </r>
        <r>
          <rPr>
            <rFont val="Tahoma"/>
            <b val="true"/>
            <color rgb="000000" tint="0"/>
            <sz val="9"/>
          </rPr>
          <t>0110</t>
        </r>
        <r>
          <rPr>
            <rFont val="Tahoma"/>
            <color rgb="000000" tint="0"/>
            <sz val="9"/>
          </rPr>
          <t xml:space="preserve"> - Asia (RHD)</t>
        </r>
        <r>
          <t xml:space="preserve">
</t>
        </r>
        <r>
          <rPr>
            <rFont val="Tahoma"/>
            <b val="true"/>
            <color rgb="000000" tint="0"/>
            <sz val="9"/>
          </rPr>
          <t>0111</t>
        </r>
        <r>
          <rPr>
            <rFont val="Tahoma"/>
            <color rgb="000000" tint="0"/>
            <sz val="9"/>
          </rPr>
          <t xml:space="preserve"> - Asia (LHD)</t>
        </r>
        <r>
          <t xml:space="preserve">
</t>
        </r>
        <r>
          <rPr>
            <rFont val="Tahoma"/>
            <b val="true"/>
            <color rgb="000000" tint="0"/>
            <sz val="9"/>
          </rPr>
          <t>1000</t>
        </r>
        <r>
          <rPr>
            <rFont val="Tahoma"/>
            <color rgb="000000" tint="0"/>
            <sz val="9"/>
          </rPr>
          <t xml:space="preserve"> - China (LHD)</t>
        </r>
      </text>
    </comment>
  </commentList>
</comments>
</file>

<file path=xl/comments5.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W50">
      <text>
        <r>
          <rPr>
            <rFont val="Tahoma"/>
            <b val="true"/>
            <color rgb="000000" tint="0"/>
            <sz val="9"/>
          </rPr>
          <t>HBC:</t>
        </r>
        <r>
          <t xml:space="preserve">
</t>
        </r>
        <r>
          <rPr>
            <rFont val="Tahoma"/>
            <i val="true"/>
            <color rgb="000000" tint="0"/>
            <sz val="8"/>
          </rPr>
          <t>b7b6 - Value</t>
        </r>
        <r>
          <t xml:space="preserve">
</t>
        </r>
        <r>
          <rPr>
            <rFont val="Tahoma"/>
            <b val="true"/>
            <color rgb="000000" tint="0"/>
            <sz val="9"/>
          </rPr>
          <t>10</t>
        </r>
        <r>
          <rPr>
            <rFont val="Tahoma"/>
            <color rgb="000000" tint="0"/>
            <sz val="9"/>
          </rPr>
          <t xml:space="preserve"> - On</t>
        </r>
        <r>
          <t xml:space="preserve">
</t>
        </r>
        <r>
          <rPr>
            <rFont val="Tahoma"/>
            <b val="true"/>
            <color rgb="000000" tint="0"/>
            <sz val="9"/>
          </rPr>
          <t>01</t>
        </r>
        <r>
          <rPr>
            <rFont val="Tahoma"/>
            <color rgb="000000" tint="0"/>
            <sz val="9"/>
          </rPr>
          <t xml:space="preserve"> - Off</t>
        </r>
      </text>
    </comment>
    <comment authorId="0" ref="AA9">
      <text>
        <r>
          <rPr>
            <rFont val="Tahoma"/>
            <b val="true"/>
            <color rgb="000000" tint="0"/>
            <sz val="9"/>
          </rPr>
          <t>SCBS-F:</t>
        </r>
        <r>
          <t xml:space="preserve">
</t>
        </r>
        <r>
          <rPr>
            <rFont val="Tahoma"/>
            <b val="true"/>
            <color rgb="000000" tint="0"/>
            <sz val="9"/>
          </rPr>
          <t>0</t>
        </r>
        <r>
          <rPr>
            <rFont val="Tahoma"/>
            <color rgb="000000" tint="0"/>
            <sz val="9"/>
          </rPr>
          <t xml:space="preserve"> - Disabled</t>
        </r>
        <r>
          <t xml:space="preserve">
</t>
        </r>
        <r>
          <rPr>
            <rFont val="Tahoma"/>
            <b val="true"/>
            <color rgb="000000" tint="0"/>
            <sz val="9"/>
          </rPr>
          <t>1</t>
        </r>
        <r>
          <rPr>
            <rFont val="Tahoma"/>
            <color rgb="000000" tint="0"/>
            <sz val="9"/>
          </rPr>
          <t xml:space="preserve"> - Enabled</t>
        </r>
      </text>
    </comment>
    <comment authorId="0" ref="AA50">
      <text>
        <r>
          <rPr>
            <rFont val="Tahoma"/>
            <b val="true"/>
            <color rgb="000000" tint="0"/>
            <sz val="9"/>
          </rPr>
          <t>SCBS-F:</t>
        </r>
        <r>
          <t xml:space="preserve">
</t>
        </r>
        <r>
          <rPr>
            <rFont val="Tahoma"/>
            <i val="true"/>
            <color rgb="000000" tint="0"/>
            <sz val="8"/>
          </rPr>
          <t>b7b6 - Value</t>
        </r>
        <r>
          <t xml:space="preserve">
</t>
        </r>
        <r>
          <rPr>
            <rFont val="Tahoma"/>
            <b val="true"/>
            <color rgb="000000" tint="0"/>
            <sz val="9"/>
          </rPr>
          <t>10</t>
        </r>
        <r>
          <rPr>
            <rFont val="Tahoma"/>
            <color rgb="000000" tint="0"/>
            <sz val="9"/>
          </rPr>
          <t xml:space="preserve"> - On</t>
        </r>
        <r>
          <t xml:space="preserve">
</t>
        </r>
        <r>
          <rPr>
            <rFont val="Tahoma"/>
            <b val="true"/>
            <color rgb="000000" tint="0"/>
            <sz val="9"/>
          </rPr>
          <t>01</t>
        </r>
        <r>
          <rPr>
            <rFont val="Tahoma"/>
            <color rgb="000000" tint="0"/>
            <sz val="9"/>
          </rPr>
          <t xml:space="preserve"> - Off</t>
        </r>
      </text>
    </comment>
    <comment authorId="0" ref="AA6">
      <text>
        <r>
          <rPr>
            <rFont val="Tahoma"/>
            <b val="true"/>
            <color rgb="000000" tint="0"/>
            <sz val="9"/>
          </rPr>
          <t>SCBS-F:</t>
        </r>
        <r>
          <t xml:space="preserve">
</t>
        </r>
        <r>
          <rPr>
            <rFont val="Tahoma"/>
            <b val="true"/>
            <color rgb="000000" tint="0"/>
            <sz val="9"/>
          </rPr>
          <t>0</t>
        </r>
        <r>
          <rPr>
            <rFont val="Tahoma"/>
            <color rgb="000000" tint="0"/>
            <sz val="9"/>
          </rPr>
          <t xml:space="preserve"> - Disabled</t>
        </r>
        <r>
          <t xml:space="preserve">
</t>
        </r>
        <r>
          <rPr>
            <rFont val="Tahoma"/>
            <b val="true"/>
            <color rgb="000000" tint="0"/>
            <sz val="9"/>
          </rPr>
          <t>1</t>
        </r>
        <r>
          <rPr>
            <rFont val="Tahoma"/>
            <color rgb="000000" tint="0"/>
            <sz val="9"/>
          </rPr>
          <t xml:space="preserve"> - Enabled</t>
        </r>
      </text>
    </comment>
    <comment authorId="0" ref="S17">
      <text>
        <r>
          <rPr>
            <rFont val="Tahoma"/>
            <b val="true"/>
            <color rgb="000000" tint="0"/>
            <sz val="9"/>
          </rPr>
          <t>LAS</t>
        </r>
        <r>
          <rPr>
            <rFont val="Tahoma"/>
            <color rgb="000000" tint="0"/>
            <sz val="9"/>
          </rPr>
          <t>:</t>
        </r>
        <r>
          <t xml:space="preserve">
</t>
        </r>
        <r>
          <rPr>
            <rFont val="Tahoma"/>
            <b val="true"/>
            <color rgb="000000" tint="0"/>
            <sz val="9"/>
          </rPr>
          <t>0</t>
        </r>
        <r>
          <rPr>
            <rFont val="Tahoma"/>
            <color rgb="000000" tint="0"/>
            <sz val="9"/>
          </rPr>
          <t xml:space="preserve"> - Disabled</t>
        </r>
        <r>
          <t xml:space="preserve">
</t>
        </r>
        <r>
          <rPr>
            <rFont val="Tahoma"/>
            <b val="true"/>
            <color rgb="000000" tint="0"/>
            <sz val="9"/>
          </rPr>
          <t>1</t>
        </r>
        <r>
          <rPr>
            <rFont val="Tahoma"/>
            <color rgb="000000" tint="0"/>
            <sz val="9"/>
          </rPr>
          <t xml:space="preserve"> - Enabled</t>
        </r>
      </text>
    </comment>
    <comment authorId="0" ref="AI12">
      <text>
        <r>
          <rPr>
            <rFont val="Tahoma"/>
            <b val="true"/>
            <color rgb="000000" tint="0"/>
            <sz val="9"/>
          </rPr>
          <t>LAS</t>
        </r>
        <r>
          <rPr>
            <rFont val="Tahoma"/>
            <color rgb="000000" tint="0"/>
            <sz val="9"/>
          </rPr>
          <t>:</t>
        </r>
        <r>
          <t xml:space="preserve">
</t>
        </r>
        <r>
          <rPr>
            <rFont val="Tahoma"/>
            <b val="true"/>
            <color rgb="000000" tint="0"/>
            <sz val="9"/>
          </rPr>
          <t>0</t>
        </r>
        <r>
          <rPr>
            <rFont val="Tahoma"/>
            <color rgb="000000" tint="0"/>
            <sz val="9"/>
          </rPr>
          <t xml:space="preserve"> - Disabled</t>
        </r>
        <r>
          <t xml:space="preserve">
</t>
        </r>
        <r>
          <rPr>
            <rFont val="Tahoma"/>
            <b val="true"/>
            <color rgb="000000" tint="0"/>
            <sz val="9"/>
          </rPr>
          <t>1</t>
        </r>
        <r>
          <rPr>
            <rFont val="Tahoma"/>
            <color rgb="000000" tint="0"/>
            <sz val="9"/>
          </rPr>
          <t xml:space="preserve"> - Enabled</t>
        </r>
      </text>
    </comment>
    <comment authorId="0" ref="S10">
      <text>
        <r>
          <rPr>
            <rFont val="Tahoma"/>
            <b val="true"/>
            <color rgb="000000" tint="0"/>
            <sz val="9"/>
          </rPr>
          <t>LDWS:</t>
        </r>
        <r>
          <t xml:space="preserve">
</t>
        </r>
        <r>
          <rPr>
            <rFont val="Tahoma"/>
            <i val="true"/>
            <color rgb="000000" tint="0"/>
            <sz val="8"/>
          </rPr>
          <t>b3b2 - Value</t>
        </r>
        <r>
          <t xml:space="preserve">
</t>
        </r>
        <r>
          <rPr>
            <rFont val="Tahoma"/>
            <b val="true"/>
            <color rgb="000000" tint="0"/>
            <sz val="9"/>
          </rPr>
          <t>00</t>
        </r>
        <r>
          <rPr>
            <rFont val="Tahoma"/>
            <color rgb="000000" tint="0"/>
            <sz val="9"/>
          </rPr>
          <t xml:space="preserve"> - Disabled</t>
        </r>
        <r>
          <t xml:space="preserve">
</t>
        </r>
        <r>
          <rPr>
            <rFont val="Tahoma"/>
            <b val="true"/>
            <color rgb="000000" tint="0"/>
            <sz val="9"/>
          </rPr>
          <t>11</t>
        </r>
        <r>
          <rPr>
            <rFont val="Tahoma"/>
            <color rgb="000000" tint="0"/>
            <sz val="9"/>
          </rPr>
          <t xml:space="preserve"> - Enabled</t>
        </r>
      </text>
    </comment>
    <comment authorId="0" ref="S22">
      <text>
        <r>
          <rPr>
            <rFont val="Tahoma"/>
            <b val="true"/>
            <color rgb="000000" tint="0"/>
            <sz val="9"/>
          </rPr>
          <t>LAS</t>
        </r>
        <r>
          <rPr>
            <rFont val="Tahoma"/>
            <color rgb="000000" tint="0"/>
            <sz val="9"/>
          </rPr>
          <t>:</t>
        </r>
        <r>
          <t xml:space="preserve">
</t>
        </r>
        <r>
          <rPr>
            <rFont val="Tahoma"/>
            <b val="true"/>
            <color rgb="000000" tint="0"/>
            <sz val="9"/>
          </rPr>
          <t>0</t>
        </r>
        <r>
          <rPr>
            <rFont val="Tahoma"/>
            <color rgb="000000" tint="0"/>
            <sz val="9"/>
          </rPr>
          <t xml:space="preserve"> - Disabled</t>
        </r>
        <r>
          <t xml:space="preserve">
</t>
        </r>
        <r>
          <rPr>
            <rFont val="Tahoma"/>
            <b val="true"/>
            <color rgb="000000" tint="0"/>
            <sz val="9"/>
          </rPr>
          <t>1</t>
        </r>
        <r>
          <rPr>
            <rFont val="Tahoma"/>
            <color rgb="000000" tint="0"/>
            <sz val="9"/>
          </rPr>
          <t xml:space="preserve"> - Enabled</t>
        </r>
      </text>
    </comment>
    <comment authorId="0" ref="AI7">
      <text>
        <r>
          <rPr>
            <rFont val="Tahoma"/>
            <b val="true"/>
            <color rgb="000000" tint="0"/>
            <sz val="9"/>
          </rPr>
          <t>LAS:</t>
        </r>
        <r>
          <t xml:space="preserve">
</t>
        </r>
        <r>
          <rPr>
            <rFont val="Tahoma"/>
            <i val="true"/>
            <color rgb="000000" tint="0"/>
            <sz val="8"/>
          </rPr>
          <t>b6b5b4 - Value</t>
        </r>
        <r>
          <t xml:space="preserve">
</t>
        </r>
        <r>
          <rPr>
            <rFont val="Tahoma"/>
            <b val="true"/>
            <color rgb="000000" tint="0"/>
            <sz val="9"/>
          </rPr>
          <t>000</t>
        </r>
        <r>
          <rPr>
            <rFont val="Tahoma"/>
            <color rgb="000000" tint="0"/>
            <sz val="9"/>
          </rPr>
          <t xml:space="preserve"> - Disabled</t>
        </r>
        <r>
          <t xml:space="preserve">
</t>
        </r>
        <r>
          <rPr>
            <rFont val="Tahoma"/>
            <b val="true"/>
            <color rgb="000000" tint="0"/>
            <sz val="9"/>
          </rPr>
          <t>111</t>
        </r>
        <r>
          <rPr>
            <rFont val="Tahoma"/>
            <color rgb="000000" tint="0"/>
            <sz val="9"/>
          </rPr>
          <t xml:space="preserve"> - Enabled</t>
        </r>
      </text>
    </comment>
    <comment authorId="0" ref="AA53">
      <text>
        <r>
          <rPr>
            <rFont val="Tahoma"/>
            <b val="true"/>
            <color rgb="000000" tint="0"/>
            <sz val="9"/>
          </rPr>
          <t>SCBS-F Warning Distance:</t>
        </r>
        <r>
          <t xml:space="preserve">
</t>
        </r>
        <r>
          <rPr>
            <rFont val="Tahoma"/>
            <i val="true"/>
            <color rgb="000000" tint="0"/>
            <sz val="8"/>
          </rPr>
          <t>b4b3 - Value</t>
        </r>
        <r>
          <t xml:space="preserve">
</t>
        </r>
        <r>
          <rPr>
            <rFont val="Tahoma"/>
            <b val="true"/>
            <color rgb="000000" tint="0"/>
            <sz val="9"/>
          </rPr>
          <t>01</t>
        </r>
        <r>
          <rPr>
            <rFont val="Tahoma"/>
            <color rgb="000000" tint="0"/>
            <sz val="9"/>
          </rPr>
          <t xml:space="preserve"> - Far</t>
        </r>
        <r>
          <t xml:space="preserve">
</t>
        </r>
        <r>
          <rPr>
            <rFont val="Tahoma"/>
            <b val="true"/>
            <color rgb="000000" tint="0"/>
            <sz val="9"/>
          </rPr>
          <t>10</t>
        </r>
        <r>
          <rPr>
            <rFont val="Tahoma"/>
            <color rgb="000000" tint="0"/>
            <sz val="9"/>
          </rPr>
          <t xml:space="preserve"> - Med</t>
        </r>
        <r>
          <t xml:space="preserve">
</t>
        </r>
        <r>
          <rPr>
            <rFont val="Tahoma"/>
            <b val="true"/>
            <color rgb="000000" tint="0"/>
            <sz val="9"/>
          </rPr>
          <t>11</t>
        </r>
        <r>
          <rPr>
            <rFont val="Tahoma"/>
            <color rgb="000000" tint="0"/>
            <sz val="9"/>
          </rPr>
          <t xml:space="preserve"> - Near</t>
        </r>
      </text>
    </comment>
    <comment authorId="0" ref="AI53">
      <text>
        <r>
          <rPr>
            <rFont val="Tahoma"/>
            <b val="true"/>
            <color rgb="000000" tint="0"/>
            <sz val="9"/>
          </rPr>
          <t>LDWS Alert:</t>
        </r>
        <r>
          <t xml:space="preserve">
</t>
        </r>
        <r>
          <rPr>
            <rFont val="Tahoma"/>
            <i val="true"/>
            <color rgb="000000" tint="0"/>
            <sz val="8"/>
          </rPr>
          <t>b4b3 - Value</t>
        </r>
        <r>
          <t xml:space="preserve">
</t>
        </r>
        <r>
          <rPr>
            <rFont val="Tahoma"/>
            <b val="true"/>
            <color rgb="000000" tint="0"/>
            <sz val="9"/>
          </rPr>
          <t>10</t>
        </r>
        <r>
          <rPr>
            <rFont val="Tahoma"/>
            <color rgb="000000" tint="0"/>
            <sz val="9"/>
          </rPr>
          <t xml:space="preserve"> - On</t>
        </r>
        <r>
          <t xml:space="preserve">
</t>
        </r>
        <r>
          <rPr>
            <rFont val="Tahoma"/>
            <b val="true"/>
            <color rgb="000000" tint="0"/>
            <sz val="9"/>
          </rPr>
          <t>01</t>
        </r>
        <r>
          <rPr>
            <rFont val="Tahoma"/>
            <color rgb="000000" tint="0"/>
            <sz val="9"/>
          </rPr>
          <t xml:space="preserve"> - Off</t>
        </r>
      </text>
    </comment>
    <comment authorId="0" ref="AI19">
      <text>
        <r>
          <rPr>
            <rFont val="Tahoma"/>
            <b val="true"/>
            <color rgb="000000" tint="0"/>
            <sz val="9"/>
          </rPr>
          <t xml:space="preserve">TSR: </t>
        </r>
        <r>
          <t xml:space="preserve">
</t>
        </r>
        <r>
          <rPr>
            <rFont val="Tahoma"/>
            <i val="true"/>
            <color rgb="000000" tint="0"/>
            <sz val="8"/>
          </rPr>
          <t>b5b4 - Value</t>
        </r>
        <r>
          <t xml:space="preserve">
</t>
        </r>
        <r>
          <rPr>
            <rFont val="Tahoma"/>
            <b val="true"/>
            <color rgb="000000" tint="0"/>
            <sz val="9"/>
          </rPr>
          <t>00</t>
        </r>
        <r>
          <rPr>
            <rFont val="Tahoma"/>
            <color rgb="000000" tint="0"/>
            <sz val="9"/>
          </rPr>
          <t xml:space="preserve"> - Enabled US</t>
        </r>
        <r>
          <t xml:space="preserve">
</t>
        </r>
        <r>
          <rPr>
            <rFont val="Tahoma"/>
            <b val="true"/>
            <color rgb="000000" tint="0"/>
            <sz val="9"/>
          </rPr>
          <t>01</t>
        </r>
        <r>
          <rPr>
            <rFont val="Tahoma"/>
            <color rgb="000000" tint="0"/>
            <sz val="9"/>
          </rPr>
          <t xml:space="preserve"> - Disabled</t>
        </r>
        <r>
          <t xml:space="preserve">
</t>
        </r>
        <r>
          <rPr>
            <rFont val="Tahoma"/>
            <b val="true"/>
            <color rgb="000000" tint="0"/>
            <sz val="9"/>
          </rPr>
          <t>10</t>
        </r>
        <r>
          <rPr>
            <rFont val="Tahoma"/>
            <color rgb="000000" tint="0"/>
            <sz val="9"/>
          </rPr>
          <t xml:space="preserve"> - Enabled EU</t>
        </r>
        <r>
          <t xml:space="preserve">
</t>
        </r>
        <r>
          <rPr>
            <rFont val="Tahoma"/>
            <b val="true"/>
            <color rgb="000000" tint="0"/>
            <sz val="9"/>
          </rPr>
          <t>11</t>
        </r>
        <r>
          <rPr>
            <rFont val="Tahoma"/>
            <color rgb="000000" tint="0"/>
            <sz val="9"/>
          </rPr>
          <t xml:space="preserve"> - Disabled</t>
        </r>
      </text>
    </comment>
    <comment authorId="0" ref="W6">
      <text>
        <r>
          <rPr>
            <rFont val="Tahoma"/>
            <b val="true"/>
            <color rgb="000000" tint="0"/>
            <sz val="9"/>
          </rPr>
          <t>HBC:</t>
        </r>
        <r>
          <t xml:space="preserve">
</t>
        </r>
        <r>
          <rPr>
            <rFont val="Tahoma"/>
            <b val="true"/>
            <color rgb="000000" tint="0"/>
            <sz val="9"/>
          </rPr>
          <t>0</t>
        </r>
        <r>
          <rPr>
            <rFont val="Tahoma"/>
            <color rgb="000000" tint="0"/>
            <sz val="9"/>
          </rPr>
          <t xml:space="preserve"> - Disabled</t>
        </r>
        <r>
          <t xml:space="preserve">
</t>
        </r>
        <r>
          <rPr>
            <rFont val="Tahoma"/>
            <b val="true"/>
            <color rgb="000000" tint="0"/>
            <sz val="9"/>
          </rPr>
          <t>1</t>
        </r>
        <r>
          <rPr>
            <rFont val="Tahoma"/>
            <color rgb="000000" tint="0"/>
            <sz val="9"/>
          </rPr>
          <t xml:space="preserve"> - Enabled</t>
        </r>
      </text>
    </comment>
    <comment authorId="0" ref="S7">
      <text>
        <r>
          <rPr>
            <rFont val="Tahoma"/>
            <b val="true"/>
            <color rgb="000000" tint="0"/>
            <sz val="9"/>
          </rPr>
          <t>LDWS:</t>
        </r>
        <r>
          <t xml:space="preserve">
</t>
        </r>
        <r>
          <rPr>
            <rFont val="Tahoma"/>
            <i val="true"/>
            <color rgb="000000" tint="0"/>
            <sz val="8"/>
          </rPr>
          <t>b6b5 - Value</t>
        </r>
        <r>
          <t xml:space="preserve">
</t>
        </r>
        <r>
          <rPr>
            <rFont val="Tahoma"/>
            <b val="true"/>
            <color rgb="000000" tint="0"/>
            <sz val="9"/>
          </rPr>
          <t>00</t>
        </r>
        <r>
          <rPr>
            <rFont val="Tahoma"/>
            <color rgb="000000" tint="0"/>
            <sz val="9"/>
          </rPr>
          <t xml:space="preserve"> - Disabled</t>
        </r>
        <r>
          <t xml:space="preserve">
</t>
        </r>
        <r>
          <rPr>
            <rFont val="Tahoma"/>
            <b val="true"/>
            <color rgb="000000" tint="0"/>
            <sz val="9"/>
          </rPr>
          <t>11</t>
        </r>
        <r>
          <rPr>
            <rFont val="Tahoma"/>
            <color rgb="000000" tint="0"/>
            <sz val="9"/>
          </rPr>
          <t xml:space="preserve"> - Enabled</t>
        </r>
      </text>
    </comment>
  </commentList>
</comments>
</file>

<file path=xl/comments6.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AE195">
      <text>
        <r>
          <rPr>
            <rFont val="Tahoma"/>
            <b val="true"/>
            <color rgb="000000" tint="0"/>
            <sz val="9"/>
          </rPr>
          <t>CMU - Test Screen - 95</t>
        </r>
        <r>
          <t xml:space="preserve">
</t>
        </r>
        <r>
          <rPr>
            <rFont val="Tahoma"/>
            <b val="true"/>
            <color rgb="000000" tint="0"/>
            <sz val="9"/>
          </rPr>
          <t>Steering Wheel Location:</t>
        </r>
        <r>
          <t xml:space="preserve">
</t>
        </r>
        <r>
          <rPr>
            <rFont val="Tahoma"/>
            <i val="true"/>
            <color rgb="000000" tint="0"/>
            <sz val="8"/>
          </rPr>
          <t>b5b4 - Value</t>
        </r>
        <r>
          <t xml:space="preserve">
</t>
        </r>
        <r>
          <rPr>
            <rFont val="Tahoma"/>
            <b val="true"/>
            <color rgb="000000" tint="0"/>
            <sz val="9"/>
          </rPr>
          <t>01</t>
        </r>
        <r>
          <rPr>
            <rFont val="Tahoma"/>
            <color rgb="000000" tint="0"/>
            <sz val="9"/>
          </rPr>
          <t xml:space="preserve"> - Left Hand Drive</t>
        </r>
        <r>
          <t xml:space="preserve">
</t>
        </r>
        <r>
          <rPr>
            <rFont val="Tahoma"/>
            <b val="true"/>
            <color rgb="000000" tint="0"/>
            <sz val="9"/>
          </rPr>
          <t>10</t>
        </r>
        <r>
          <rPr>
            <rFont val="Tahoma"/>
            <color rgb="000000" tint="0"/>
            <sz val="9"/>
          </rPr>
          <t xml:space="preserve"> - Right Hand Drive</t>
        </r>
      </text>
    </comment>
    <comment authorId="0" ref="W406">
      <text>
        <r>
          <rPr>
            <rFont val="Tahoma"/>
            <b val="true"/>
            <color rgb="000000" tint="0"/>
            <sz val="9"/>
          </rPr>
          <t>Applications - i-DM application:</t>
        </r>
        <r>
          <t xml:space="preserve">
</t>
        </r>
        <r>
          <rPr>
            <rFont val="Tahoma"/>
            <b val="true"/>
            <color rgb="000000" tint="0"/>
            <sz val="9"/>
          </rPr>
          <t>0</t>
        </r>
        <r>
          <rPr>
            <rFont val="Tahoma"/>
            <color rgb="000000" tint="0"/>
            <sz val="9"/>
          </rPr>
          <t xml:space="preserve"> - Disable</t>
        </r>
        <r>
          <t xml:space="preserve">
</t>
        </r>
        <r>
          <rPr>
            <rFont val="Tahoma"/>
            <b val="true"/>
            <color rgb="000000" tint="0"/>
            <sz val="9"/>
          </rPr>
          <t>1</t>
        </r>
        <r>
          <rPr>
            <rFont val="Tahoma"/>
            <color rgb="000000" tint="0"/>
            <sz val="9"/>
          </rPr>
          <t xml:space="preserve"> - Enable</t>
        </r>
      </text>
    </comment>
    <comment authorId="0" ref="AI261">
      <text>
        <r>
          <rPr>
            <rFont val="Tahoma"/>
            <b val="true"/>
            <color rgb="000000" tint="0"/>
            <sz val="9"/>
          </rPr>
          <t xml:space="preserve">Power Liftgate: </t>
        </r>
        <r>
          <t xml:space="preserve">
</t>
        </r>
        <r>
          <rPr>
            <rFont val="Tahoma"/>
            <b val="true"/>
            <color rgb="000000" tint="0"/>
            <sz val="9"/>
          </rPr>
          <t>1</t>
        </r>
        <r>
          <rPr>
            <rFont val="Tahoma"/>
            <color rgb="000000" tint="0"/>
            <sz val="9"/>
          </rPr>
          <t xml:space="preserve"> - Present</t>
        </r>
        <r>
          <t xml:space="preserve">
</t>
        </r>
        <r>
          <rPr>
            <rFont val="Tahoma"/>
            <b val="true"/>
            <color rgb="000000" tint="0"/>
            <sz val="9"/>
          </rPr>
          <t>0</t>
        </r>
        <r>
          <rPr>
            <rFont val="Tahoma"/>
            <color rgb="000000" tint="0"/>
            <sz val="9"/>
          </rPr>
          <t xml:space="preserve"> - Not present</t>
        </r>
      </text>
    </comment>
    <comment authorId="0" ref="S304">
      <text>
        <r>
          <rPr>
            <rFont val="Tahoma"/>
            <b val="true"/>
            <color rgb="000000" tint="0"/>
            <sz val="9"/>
            <u val="single"/>
          </rPr>
          <t>FOW/SBS/DRSS/MRCC Market Area</t>
        </r>
        <r>
          <t xml:space="preserve">
</t>
        </r>
        <r>
          <rPr>
            <rFont val="Tahoma"/>
            <i val="true"/>
            <color rgb="000000" tint="0"/>
            <sz val="9"/>
          </rPr>
          <t>b6b5b4 - Value:</t>
        </r>
        <r>
          <t xml:space="preserve">
</t>
        </r>
        <r>
          <rPr>
            <rFont val="Tahoma"/>
            <b val="true"/>
            <color rgb="000000" tint="0"/>
            <sz val="9"/>
          </rPr>
          <t xml:space="preserve">000 — </t>
        </r>
        <r>
          <rPr>
            <rFont val="Tahoma"/>
            <color rgb="000000" tint="0"/>
            <sz val="9"/>
          </rPr>
          <t>Japan;</t>
        </r>
        <r>
          <t xml:space="preserve">
</t>
        </r>
        <r>
          <rPr>
            <rFont val="Tahoma"/>
            <b val="true"/>
            <color rgb="000000" tint="0"/>
            <sz val="9"/>
          </rPr>
          <t xml:space="preserve">010 — </t>
        </r>
        <r>
          <rPr>
            <rFont val="Tahoma"/>
            <color rgb="000000" tint="0"/>
            <sz val="9"/>
          </rPr>
          <t>Europe;</t>
        </r>
        <r>
          <t xml:space="preserve">
</t>
        </r>
        <r>
          <rPr>
            <rFont val="Tahoma"/>
            <b val="true"/>
            <color rgb="000000" tint="0"/>
            <sz val="9"/>
          </rPr>
          <t xml:space="preserve">101 — </t>
        </r>
        <r>
          <rPr>
            <rFont val="Tahoma"/>
            <color rgb="000000" tint="0"/>
            <sz val="9"/>
          </rPr>
          <t>Japan;</t>
        </r>
        <r>
          <t xml:space="preserve">
</t>
        </r>
        <r>
          <rPr>
            <rFont val="Tahoma"/>
            <b val="true"/>
            <color rgb="000000" tint="0"/>
            <sz val="9"/>
          </rPr>
          <t>110 —</t>
        </r>
        <r>
          <rPr>
            <rFont val="Tahoma"/>
            <color rgb="000000" tint="0"/>
            <sz val="9"/>
          </rPr>
          <t xml:space="preserve"> US/Asia/Aus;</t>
        </r>
        <r>
          <t xml:space="preserve">
</t>
        </r>
        <r>
          <rPr>
            <rFont val="Tahoma"/>
            <b val="true"/>
            <color rgb="000000" tint="0"/>
            <sz val="9"/>
          </rPr>
          <t xml:space="preserve">111 — </t>
        </r>
        <r>
          <rPr>
            <rFont val="Tahoma"/>
            <color rgb="000000" tint="0"/>
            <sz val="9"/>
          </rPr>
          <t>US/Asia/Aus</t>
        </r>
      </text>
    </comment>
    <comment authorId="0" ref="AA7">
      <text>
        <r>
          <rPr>
            <rFont val="Tahoma"/>
            <b val="true"/>
            <color rgb="000000" tint="0"/>
            <sz val="9"/>
          </rPr>
          <t xml:space="preserve">Driver seatbelt beeper </t>
        </r>
        <r>
          <t xml:space="preserve">
</t>
        </r>
        <r>
          <rPr>
            <rFont val="Tahoma"/>
            <b val="true"/>
            <color rgb="000000" tint="0"/>
            <sz val="9"/>
          </rPr>
          <t xml:space="preserve">(at 20+ kmph when unfastened): </t>
        </r>
        <r>
          <t xml:space="preserve">
</t>
        </r>
        <r>
          <rPr>
            <rFont val="Tahoma"/>
            <color rgb="000000" tint="0"/>
            <sz val="9"/>
          </rPr>
          <t>0 - Disabled / 1 - Enabled</t>
        </r>
      </text>
    </comment>
    <comment authorId="0" ref="W404">
      <text>
        <r>
          <rPr>
            <rFont val="Tahoma"/>
            <b val="true"/>
            <color rgb="000000" tint="0"/>
            <sz val="9"/>
          </rPr>
          <t>Applications - Vehicle Telemetry Transfer sub-menu:</t>
        </r>
        <r>
          <t xml:space="preserve">
</t>
        </r>
        <r>
          <rPr>
            <rFont val="Tahoma"/>
            <b val="true"/>
            <color rgb="000000" tint="0"/>
            <sz val="9"/>
          </rPr>
          <t>0</t>
        </r>
        <r>
          <rPr>
            <rFont val="Tahoma"/>
            <color rgb="000000" tint="0"/>
            <sz val="9"/>
          </rPr>
          <t xml:space="preserve"> - Hide</t>
        </r>
        <r>
          <t xml:space="preserve">
</t>
        </r>
        <r>
          <rPr>
            <rFont val="Tahoma"/>
            <b val="true"/>
            <color rgb="000000" tint="0"/>
            <sz val="9"/>
          </rPr>
          <t>1</t>
        </r>
        <r>
          <rPr>
            <rFont val="Tahoma"/>
            <color rgb="000000" tint="0"/>
            <sz val="9"/>
          </rPr>
          <t xml:space="preserve"> - Show</t>
        </r>
      </text>
    </comment>
    <comment authorId="0" ref="W353">
      <text>
        <r>
          <rPr>
            <rFont val="Tahoma"/>
            <b val="true"/>
            <color rgb="000000" tint="0"/>
            <sz val="9"/>
          </rPr>
          <t>PTC Heater:</t>
        </r>
        <r>
          <t xml:space="preserve">
</t>
        </r>
        <r>
          <rPr>
            <rFont val="Tahoma"/>
            <i val="true"/>
            <color rgb="000000" tint="0"/>
            <sz val="8"/>
          </rPr>
          <t>b1b0 - Value</t>
        </r>
        <r>
          <t xml:space="preserve">
</t>
        </r>
        <r>
          <rPr>
            <rFont val="Tahoma"/>
            <b val="true"/>
            <color rgb="000000" tint="0"/>
            <sz val="9"/>
          </rPr>
          <t>01</t>
        </r>
        <r>
          <rPr>
            <rFont val="Tahoma"/>
            <color rgb="000000" tint="0"/>
            <sz val="9"/>
          </rPr>
          <t xml:space="preserve"> - Not Present</t>
        </r>
        <r>
          <t xml:space="preserve">
</t>
        </r>
        <r>
          <rPr>
            <rFont val="Tahoma"/>
            <b val="true"/>
            <color rgb="000000" tint="0"/>
            <sz val="9"/>
          </rPr>
          <t>10</t>
        </r>
        <r>
          <rPr>
            <rFont val="Tahoma"/>
            <color rgb="000000" tint="0"/>
            <sz val="9"/>
          </rPr>
          <t xml:space="preserve"> - Present</t>
        </r>
      </text>
    </comment>
    <comment authorId="0" ref="S320">
      <text>
        <r>
          <rPr>
            <rFont val="Tahoma"/>
            <b val="true"/>
            <color rgb="000000" tint="0"/>
            <sz val="9"/>
            <u val="single"/>
          </rPr>
          <t>M2/CX-3/MX-5 only!!!</t>
        </r>
        <r>
          <t xml:space="preserve">
</t>
        </r>
        <r>
          <rPr>
            <rFont val="Tahoma"/>
            <i val="true"/>
            <color rgb="000000" tint="0"/>
            <sz val="8"/>
          </rPr>
          <t>b1b0 - Value</t>
        </r>
        <r>
          <t xml:space="preserve">
</t>
        </r>
        <r>
          <rPr>
            <rFont val="Tahoma"/>
            <b val="true"/>
            <color rgb="000000" tint="0"/>
            <sz val="9"/>
          </rPr>
          <t xml:space="preserve">00 - </t>
        </r>
        <r>
          <rPr>
            <rFont val="Tahoma"/>
            <color rgb="000000" tint="0"/>
            <sz val="9"/>
          </rPr>
          <t>M3/M6/CX-5/CX-9;</t>
        </r>
        <r>
          <t xml:space="preserve">
</t>
        </r>
        <r>
          <rPr>
            <rFont val="Tahoma"/>
            <b val="true"/>
            <color rgb="000000" tint="0"/>
            <sz val="9"/>
          </rPr>
          <t xml:space="preserve">01 - </t>
        </r>
        <r>
          <rPr>
            <rFont val="Tahoma"/>
            <color rgb="000000" tint="0"/>
            <sz val="9"/>
          </rPr>
          <t>M2/CX-3/MX-5 if no HBC;</t>
        </r>
        <r>
          <t xml:space="preserve">
</t>
        </r>
        <r>
          <rPr>
            <rFont val="Tahoma"/>
            <b val="true"/>
            <color rgb="000000" tint="0"/>
            <sz val="9"/>
          </rPr>
          <t xml:space="preserve">10 - </t>
        </r>
        <r>
          <rPr>
            <rFont val="Tahoma"/>
            <color rgb="000000" tint="0"/>
            <sz val="9"/>
          </rPr>
          <t>HBC+LDWS</t>
        </r>
      </text>
    </comment>
    <comment authorId="0" ref="AA406">
      <text>
        <r>
          <rPr>
            <rFont val="Tahoma"/>
            <b val="true"/>
            <color rgb="000000" tint="0"/>
            <sz val="9"/>
          </rPr>
          <t>Backup Camera:</t>
        </r>
        <r>
          <t xml:space="preserve">
</t>
        </r>
        <r>
          <rPr>
            <rFont val="Tahoma"/>
            <b val="true"/>
            <color rgb="000000" tint="0"/>
            <sz val="9"/>
          </rPr>
          <t>1</t>
        </r>
        <r>
          <rPr>
            <rFont val="Tahoma"/>
            <color rgb="000000" tint="0"/>
            <sz val="9"/>
          </rPr>
          <t xml:space="preserve"> - with Dynamic Assist Lines (7 wires);</t>
        </r>
        <r>
          <t xml:space="preserve">
</t>
        </r>
        <r>
          <rPr>
            <rFont val="Tahoma"/>
            <b val="true"/>
            <color rgb="000000" tint="0"/>
            <sz val="9"/>
          </rPr>
          <t xml:space="preserve">0 </t>
        </r>
        <r>
          <rPr>
            <rFont val="Tahoma"/>
            <color rgb="000000" tint="0"/>
            <sz val="9"/>
          </rPr>
          <t>- with Fixed Assist Lines (4 wires)</t>
        </r>
      </text>
    </comment>
    <comment authorId="0" ref="AE243">
      <text>
        <r>
          <rPr>
            <rFont val="Tahoma"/>
            <b val="true"/>
            <color rgb="000000" tint="0"/>
            <sz val="9"/>
          </rPr>
          <t xml:space="preserve">EPB: </t>
        </r>
        <r>
          <t xml:space="preserve">
</t>
        </r>
        <r>
          <rPr>
            <rFont val="Tahoma"/>
            <b val="true"/>
            <color rgb="000000" tint="0"/>
            <sz val="9"/>
          </rPr>
          <t>1</t>
        </r>
        <r>
          <rPr>
            <rFont val="Tahoma"/>
            <color rgb="000000" tint="0"/>
            <sz val="9"/>
          </rPr>
          <t xml:space="preserve"> - Present</t>
        </r>
        <r>
          <t xml:space="preserve">
</t>
        </r>
        <r>
          <rPr>
            <rFont val="Tahoma"/>
            <b val="true"/>
            <color rgb="000000" tint="0"/>
            <sz val="9"/>
          </rPr>
          <t>0</t>
        </r>
        <r>
          <rPr>
            <rFont val="Tahoma"/>
            <color rgb="000000" tint="0"/>
            <sz val="9"/>
          </rPr>
          <t xml:space="preserve"> - Not Present</t>
        </r>
      </text>
    </comment>
    <comment authorId="0" ref="W260">
      <text>
        <r>
          <rPr>
            <rFont val="Tahoma"/>
            <b val="true"/>
            <color rgb="000000" tint="0"/>
            <sz val="9"/>
          </rPr>
          <t>Headlights:</t>
        </r>
        <r>
          <t xml:space="preserve">
</t>
        </r>
        <r>
          <rPr>
            <rFont val="Tahoma"/>
            <i val="true"/>
            <color rgb="000000" tint="0"/>
            <sz val="8"/>
          </rPr>
          <t>b6b5b4 - Value</t>
        </r>
        <r>
          <t xml:space="preserve">
</t>
        </r>
        <r>
          <rPr>
            <rFont val="Tahoma"/>
            <b val="true"/>
            <color rgb="000000" tint="0"/>
            <sz val="9"/>
          </rPr>
          <t>001</t>
        </r>
        <r>
          <rPr>
            <rFont val="Tahoma"/>
            <color rgb="000000" tint="0"/>
            <sz val="9"/>
          </rPr>
          <t xml:space="preserve"> - Halogen</t>
        </r>
        <r>
          <t xml:space="preserve">
</t>
        </r>
        <r>
          <rPr>
            <rFont val="Tahoma"/>
            <b val="true"/>
            <color rgb="000000" tint="0"/>
            <sz val="9"/>
          </rPr>
          <t>010</t>
        </r>
        <r>
          <rPr>
            <rFont val="Tahoma"/>
            <color rgb="000000" tint="0"/>
            <sz val="9"/>
          </rPr>
          <t xml:space="preserve"> - Xenon/LED</t>
        </r>
        <r>
          <t xml:space="preserve">
</t>
        </r>
        <r>
          <rPr>
            <rFont val="Tahoma"/>
            <b val="true"/>
            <color rgb="000000" tint="0"/>
            <sz val="9"/>
          </rPr>
          <t>011</t>
        </r>
        <r>
          <rPr>
            <rFont val="Tahoma"/>
            <color rgb="000000" tint="0"/>
            <sz val="9"/>
          </rPr>
          <t xml:space="preserve"> - Xenon/LED+AFS</t>
        </r>
        <r>
          <t xml:space="preserve">
</t>
        </r>
        <r>
          <rPr>
            <rFont val="Tahoma"/>
            <b val="true"/>
            <color rgb="000000" tint="0"/>
            <sz val="9"/>
          </rPr>
          <t>100</t>
        </r>
        <r>
          <rPr>
            <rFont val="Tahoma"/>
            <color rgb="000000" tint="0"/>
            <sz val="9"/>
          </rPr>
          <t xml:space="preserve"> - ALH (LED+ADB)</t>
        </r>
      </text>
    </comment>
    <comment authorId="0" ref="AA10">
      <text>
        <r>
          <rPr>
            <rFont val="Tahoma"/>
            <b val="true"/>
            <color rgb="000000" tint="0"/>
            <sz val="9"/>
          </rPr>
          <t>Speed Sound Alarm</t>
        </r>
        <r>
          <t xml:space="preserve">
</t>
        </r>
        <r>
          <rPr>
            <rFont val="Tahoma"/>
            <b val="true"/>
            <color rgb="000000" tint="0"/>
            <sz val="9"/>
          </rPr>
          <t xml:space="preserve">(Using info button on steering wheel): </t>
        </r>
        <r>
          <t xml:space="preserve">
</t>
        </r>
        <r>
          <rPr>
            <rFont val="Tahoma"/>
            <color rgb="000000" tint="0"/>
            <sz val="9"/>
          </rPr>
          <t>0 - Disabled / 1 - Enabled</t>
        </r>
      </text>
    </comment>
    <comment authorId="0" ref="S393">
      <text>
        <r>
          <rPr>
            <rFont val="Tahoma"/>
            <b val="true"/>
            <color rgb="000000" tint="0"/>
            <sz val="9"/>
            <u val="single"/>
          </rPr>
          <t>BOSE:</t>
        </r>
        <r>
          <t xml:space="preserve">
</t>
        </r>
        <r>
          <rPr>
            <rFont val="Tahoma"/>
            <i val="true"/>
            <color rgb="000000" tint="0"/>
            <sz val="8"/>
          </rPr>
          <t>b5b4 - Value</t>
        </r>
        <r>
          <t xml:space="preserve">
</t>
        </r>
        <r>
          <rPr>
            <rFont val="Tahoma"/>
            <b val="true"/>
            <color rgb="000000" tint="0"/>
            <sz val="9"/>
          </rPr>
          <t xml:space="preserve">01 - </t>
        </r>
        <r>
          <rPr>
            <rFont val="Tahoma"/>
            <color rgb="000000" tint="0"/>
            <sz val="9"/>
          </rPr>
          <t>No BOSE</t>
        </r>
        <r>
          <t xml:space="preserve">
</t>
        </r>
        <r>
          <rPr>
            <rFont val="Tahoma"/>
            <b val="true"/>
            <color rgb="000000" tint="0"/>
            <sz val="9"/>
          </rPr>
          <t xml:space="preserve">10 - </t>
        </r>
        <r>
          <rPr>
            <rFont val="Tahoma"/>
            <color rgb="000000" tint="0"/>
            <sz val="9"/>
          </rPr>
          <t>BOSE present</t>
        </r>
      </text>
    </comment>
    <comment authorId="0" ref="W17">
      <text>
        <r>
          <rPr>
            <rFont val="Tahoma"/>
            <b val="true"/>
            <color rgb="000000" tint="0"/>
            <sz val="9"/>
            <u val="single"/>
          </rPr>
          <t>Fuel Type</t>
        </r>
        <r>
          <t xml:space="preserve">
</t>
        </r>
        <r>
          <rPr>
            <rFont val="Tahoma"/>
            <i val="true"/>
            <color rgb="000000" tint="0"/>
            <sz val="9"/>
          </rPr>
          <t>b7b6b5b4 - Value:</t>
        </r>
        <r>
          <t xml:space="preserve">
</t>
        </r>
        <r>
          <rPr>
            <rFont val="Tahoma"/>
            <b val="true"/>
            <color rgb="000000" tint="0"/>
            <sz val="9"/>
          </rPr>
          <t xml:space="preserve">00= </t>
        </r>
        <r>
          <rPr>
            <rFont val="Tahoma"/>
            <color rgb="000000" tint="0"/>
            <sz val="9"/>
          </rPr>
          <t>P;</t>
        </r>
        <r>
          <t xml:space="preserve">
</t>
        </r>
        <r>
          <rPr>
            <rFont val="Tahoma"/>
            <b val="true"/>
            <color rgb="000000" tint="0"/>
            <sz val="9"/>
          </rPr>
          <t xml:space="preserve">01= </t>
        </r>
        <r>
          <rPr>
            <rFont val="Tahoma"/>
            <color rgb="000000" tint="0"/>
            <sz val="9"/>
          </rPr>
          <t>D;</t>
        </r>
        <r>
          <t xml:space="preserve">
</t>
        </r>
        <r>
          <rPr>
            <rFont val="Tahoma"/>
            <b val="true"/>
            <color rgb="000000" tint="0"/>
            <sz val="9"/>
          </rPr>
          <t xml:space="preserve">10= </t>
        </r>
        <r>
          <rPr>
            <rFont val="Tahoma"/>
            <color rgb="000000" tint="0"/>
            <sz val="9"/>
          </rPr>
          <t>P;</t>
        </r>
        <r>
          <t xml:space="preserve">
</t>
        </r>
        <r>
          <rPr>
            <rFont val="Tahoma"/>
            <b val="true"/>
            <color rgb="000000" tint="0"/>
            <sz val="9"/>
          </rPr>
          <t xml:space="preserve">11= </t>
        </r>
        <r>
          <rPr>
            <rFont val="Tahoma"/>
            <color rgb="000000" tint="0"/>
            <sz val="9"/>
          </rPr>
          <t>P</t>
        </r>
      </text>
    </comment>
    <comment authorId="0" ref="S490">
      <text>
        <r>
          <rPr>
            <rFont val="Tahoma"/>
            <b val="true"/>
            <color rgb="000000" tint="0"/>
            <sz val="9"/>
          </rPr>
          <t>100 = MX-5;</t>
        </r>
        <r>
          <t xml:space="preserve">
</t>
        </r>
        <r>
          <rPr>
            <rFont val="Tahoma"/>
            <b val="true"/>
            <color rgb="000000" tint="0"/>
            <sz val="9"/>
          </rPr>
          <t>011 = CX-3;</t>
        </r>
        <r>
          <t xml:space="preserve">
</t>
        </r>
        <r>
          <rPr>
            <rFont val="Tahoma"/>
            <b val="true"/>
            <color rgb="000000" tint="0"/>
            <sz val="9"/>
          </rPr>
          <t>010 = M2 HB;</t>
        </r>
        <r>
          <t xml:space="preserve">
</t>
        </r>
        <r>
          <rPr>
            <rFont val="Tahoma"/>
            <b val="true"/>
            <color rgb="000000" tint="0"/>
            <sz val="9"/>
          </rPr>
          <t>000 = M2 SD</t>
        </r>
      </text>
    </comment>
    <comment authorId="0" ref="A3">
      <text>
        <r>
          <rPr>
            <rFont val="Tahoma"/>
            <color rgb="000000" tint="0"/>
            <sz val="9"/>
          </rPr>
          <t>Paste whole IC module backup from FORScan here. Various length of 720-01 blocks are supported.</t>
        </r>
      </text>
    </comment>
    <comment authorId="0" ref="AI203">
      <text>
        <r>
          <rPr>
            <rFont val="Tahoma"/>
            <color rgb="000000" tint="0"/>
            <sz val="9"/>
          </rPr>
          <t>If you changed wheel size and your car's speedometer reports incorrect speed comparing to GPS</t>
        </r>
      </text>
    </comment>
    <comment authorId="0" ref="AE265">
      <text>
        <r>
          <rPr>
            <rFont val="Tahoma"/>
            <b val="true"/>
            <color rgb="000000" tint="0"/>
            <sz val="9"/>
          </rPr>
          <t>Headlight Levelling:</t>
        </r>
        <r>
          <t xml:space="preserve">
</t>
        </r>
        <r>
          <rPr>
            <rFont val="Tahoma"/>
            <i val="true"/>
            <color rgb="000000" tint="0"/>
            <sz val="8"/>
          </rPr>
          <t>b1b0 - Value</t>
        </r>
        <r>
          <t xml:space="preserve">
</t>
        </r>
        <r>
          <rPr>
            <rFont val="Tahoma"/>
            <b val="true"/>
            <color rgb="000000" tint="0"/>
            <sz val="9"/>
          </rPr>
          <t>00</t>
        </r>
        <r>
          <rPr>
            <rFont val="Tahoma"/>
            <color rgb="000000" tint="0"/>
            <sz val="9"/>
          </rPr>
          <t xml:space="preserve"> - No/Manual Type</t>
        </r>
        <r>
          <t xml:space="preserve">
</t>
        </r>
        <r>
          <rPr>
            <rFont val="Tahoma"/>
            <b val="true"/>
            <color rgb="000000" tint="0"/>
            <sz val="9"/>
          </rPr>
          <t>01</t>
        </r>
        <r>
          <rPr>
            <rFont val="Tahoma"/>
            <color rgb="000000" tint="0"/>
            <sz val="9"/>
          </rPr>
          <t xml:space="preserve"> - Auto Type [???]</t>
        </r>
        <r>
          <t xml:space="preserve">
</t>
        </r>
        <r>
          <rPr>
            <rFont val="Tahoma"/>
            <b val="true"/>
            <color rgb="000000" tint="0"/>
            <sz val="9"/>
          </rPr>
          <t>10</t>
        </r>
        <r>
          <rPr>
            <rFont val="Tahoma"/>
            <color rgb="000000" tint="0"/>
            <sz val="9"/>
          </rPr>
          <t xml:space="preserve"> - Auto Type [???]</t>
        </r>
        <r>
          <t xml:space="preserve">
</t>
        </r>
        <r>
          <rPr>
            <rFont val="Tahoma"/>
            <b val="true"/>
            <color rgb="000000" tint="0"/>
            <sz val="9"/>
          </rPr>
          <t>11</t>
        </r>
        <r>
          <rPr>
            <rFont val="Tahoma"/>
            <color rgb="000000" tint="0"/>
            <sz val="9"/>
          </rPr>
          <t xml:space="preserve"> - Auto Type [???]</t>
        </r>
      </text>
    </comment>
    <comment authorId="0" ref="AI359">
      <text>
        <r>
          <rPr>
            <rFont val="Tahoma"/>
            <b val="true"/>
            <color rgb="000000" tint="0"/>
            <sz val="9"/>
          </rPr>
          <t>Cruise control:</t>
        </r>
        <r>
          <t xml:space="preserve">
</t>
        </r>
        <r>
          <rPr>
            <rFont val="Tahoma"/>
            <i val="true"/>
            <color rgb="000000" tint="0"/>
            <sz val="8"/>
          </rPr>
          <t>b6b5b4 - Value</t>
        </r>
        <r>
          <t xml:space="preserve">
</t>
        </r>
        <r>
          <rPr>
            <rFont val="Tahoma"/>
            <b val="true"/>
            <color rgb="000000" tint="0"/>
            <sz val="9"/>
          </rPr>
          <t>001</t>
        </r>
        <r>
          <rPr>
            <rFont val="Tahoma"/>
            <color rgb="000000" tint="0"/>
            <sz val="9"/>
          </rPr>
          <t xml:space="preserve"> - Without CC</t>
        </r>
        <r>
          <t xml:space="preserve">
</t>
        </r>
        <r>
          <rPr>
            <rFont val="Tahoma"/>
            <b val="true"/>
            <color rgb="000000" tint="0"/>
            <sz val="9"/>
          </rPr>
          <t>010</t>
        </r>
        <r>
          <rPr>
            <rFont val="Tahoma"/>
            <color rgb="000000" tint="0"/>
            <sz val="9"/>
          </rPr>
          <t xml:space="preserve"> - Standard CC</t>
        </r>
        <r>
          <t xml:space="preserve">
</t>
        </r>
        <r>
          <rPr>
            <rFont val="Tahoma"/>
            <b val="true"/>
            <color rgb="000000" tint="0"/>
            <sz val="9"/>
          </rPr>
          <t>011</t>
        </r>
        <r>
          <rPr>
            <rFont val="Tahoma"/>
            <color rgb="000000" tint="0"/>
            <sz val="9"/>
          </rPr>
          <t xml:space="preserve"> - Standard MRCC</t>
        </r>
        <r>
          <t xml:space="preserve">
</t>
        </r>
        <r>
          <rPr>
            <rFont val="Tahoma"/>
            <b val="true"/>
            <color rgb="000000" tint="0"/>
            <sz val="9"/>
          </rPr>
          <t>100</t>
        </r>
        <r>
          <rPr>
            <rFont val="Tahoma"/>
            <color rgb="000000" tint="0"/>
            <sz val="9"/>
          </rPr>
          <t xml:space="preserve"> - CC with ASL</t>
        </r>
        <r>
          <t xml:space="preserve">
</t>
        </r>
        <r>
          <rPr>
            <rFont val="Tahoma"/>
            <b val="true"/>
            <color rgb="000000" tint="0"/>
            <sz val="9"/>
          </rPr>
          <t>101</t>
        </r>
        <r>
          <rPr>
            <rFont val="Tahoma"/>
            <color rgb="000000" tint="0"/>
            <sz val="9"/>
          </rPr>
          <t xml:space="preserve"> - MRCC with ASL</t>
        </r>
        <r>
          <t xml:space="preserve">
</t>
        </r>
        <r>
          <rPr>
            <rFont val="Tahoma"/>
            <b val="true"/>
            <color rgb="000000" tint="0"/>
            <sz val="9"/>
          </rPr>
          <t>111</t>
        </r>
        <r>
          <rPr>
            <rFont val="Tahoma"/>
            <color rgb="000000" tint="0"/>
            <sz val="9"/>
          </rPr>
          <t xml:space="preserve"> - MRCC with ISA</t>
        </r>
      </text>
    </comment>
    <comment authorId="0" ref="AE9">
      <text>
        <r>
          <rPr>
            <rFont val="Tahoma"/>
            <b val="true"/>
            <color rgb="000000" tint="0"/>
            <sz val="9"/>
          </rPr>
          <t>Parking Brake:</t>
        </r>
        <r>
          <t xml:space="preserve">
</t>
        </r>
        <r>
          <rPr>
            <rFont val="Tahoma"/>
            <b val="true"/>
            <color rgb="000000" tint="0"/>
            <sz val="9"/>
          </rPr>
          <t>0</t>
        </r>
        <r>
          <rPr>
            <rFont val="Tahoma"/>
            <color rgb="000000" tint="0"/>
            <sz val="9"/>
          </rPr>
          <t xml:space="preserve"> - Mechanical</t>
        </r>
        <r>
          <t xml:space="preserve">
</t>
        </r>
        <r>
          <rPr>
            <rFont val="Tahoma"/>
            <b val="true"/>
            <color rgb="000000" tint="0"/>
            <sz val="9"/>
          </rPr>
          <t>1</t>
        </r>
        <r>
          <rPr>
            <rFont val="Tahoma"/>
            <color rgb="000000" tint="0"/>
            <sz val="9"/>
          </rPr>
          <t xml:space="preserve"> - Electric (EPB)</t>
        </r>
      </text>
    </comment>
    <comment authorId="0" ref="W111">
      <text>
        <r>
          <rPr>
            <rFont val="Tahoma"/>
            <b val="true"/>
            <color rgb="000000" tint="0"/>
            <sz val="9"/>
          </rPr>
          <t>BSM Volume:</t>
        </r>
        <r>
          <t xml:space="preserve">
</t>
        </r>
        <r>
          <rPr>
            <rFont val="Tahoma"/>
            <i val="true"/>
            <color rgb="000000" tint="0"/>
            <sz val="8"/>
          </rPr>
          <t>b1b0 -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Off</t>
        </r>
        <r>
          <t xml:space="preserve">
</t>
        </r>
        <r>
          <rPr>
            <rFont val="Tahoma"/>
            <b val="true"/>
            <color rgb="000000" tint="0"/>
            <sz val="9"/>
          </rPr>
          <t>10</t>
        </r>
        <r>
          <rPr>
            <rFont val="Tahoma"/>
            <color rgb="000000" tint="0"/>
            <sz val="9"/>
          </rPr>
          <t xml:space="preserve"> - Low</t>
        </r>
        <r>
          <t xml:space="preserve">
</t>
        </r>
        <r>
          <rPr>
            <rFont val="Tahoma"/>
            <b val="true"/>
            <color rgb="000000" tint="0"/>
            <sz val="9"/>
          </rPr>
          <t>11</t>
        </r>
        <r>
          <rPr>
            <rFont val="Tahoma"/>
            <color rgb="000000" tint="0"/>
            <sz val="9"/>
          </rPr>
          <t xml:space="preserve"> - High</t>
        </r>
      </text>
    </comment>
    <comment authorId="0" ref="S107">
      <text>
        <r>
          <rPr>
            <rFont val="Tahoma"/>
            <b val="true"/>
            <color rgb="000000" tint="0"/>
            <sz val="9"/>
          </rPr>
          <t>Lighting - Light On Vol:</t>
        </r>
        <r>
          <t xml:space="preserve">
</t>
        </r>
        <r>
          <rPr>
            <rFont val="Tahoma"/>
            <i val="true"/>
            <color rgb="000000" tint="0"/>
            <sz val="8"/>
          </rPr>
          <t>b5b4 -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Off</t>
        </r>
        <r>
          <t xml:space="preserve">
</t>
        </r>
        <r>
          <rPr>
            <rFont val="Tahoma"/>
            <b val="true"/>
            <color rgb="000000" tint="0"/>
            <sz val="9"/>
          </rPr>
          <t>10</t>
        </r>
        <r>
          <rPr>
            <rFont val="Tahoma"/>
            <color rgb="000000" tint="0"/>
            <sz val="9"/>
          </rPr>
          <t xml:space="preserve"> - Low</t>
        </r>
        <r>
          <t xml:space="preserve">
</t>
        </r>
        <r>
          <rPr>
            <rFont val="Tahoma"/>
            <b val="true"/>
            <color rgb="000000" tint="0"/>
            <sz val="9"/>
          </rPr>
          <t>11</t>
        </r>
        <r>
          <rPr>
            <rFont val="Tahoma"/>
            <color rgb="000000" tint="0"/>
            <sz val="9"/>
          </rPr>
          <t xml:space="preserve"> - High</t>
        </r>
      </text>
    </comment>
    <comment authorId="0" ref="W105">
      <text>
        <r>
          <rPr>
            <rFont val="Tahoma"/>
            <b val="true"/>
            <color rgb="000000" tint="0"/>
            <sz val="9"/>
          </rPr>
          <t>SBS Volume:</t>
        </r>
        <r>
          <t xml:space="preserve">
</t>
        </r>
        <r>
          <rPr>
            <rFont val="Tahoma"/>
            <i val="true"/>
            <color rgb="000000" tint="0"/>
            <sz val="8"/>
          </rPr>
          <t>b7b6 -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Off</t>
        </r>
        <r>
          <t xml:space="preserve">
</t>
        </r>
        <r>
          <rPr>
            <rFont val="Tahoma"/>
            <b val="true"/>
            <color rgb="000000" tint="0"/>
            <sz val="9"/>
          </rPr>
          <t>10</t>
        </r>
        <r>
          <rPr>
            <rFont val="Tahoma"/>
            <color rgb="000000" tint="0"/>
            <sz val="9"/>
          </rPr>
          <t xml:space="preserve"> - Low</t>
        </r>
        <r>
          <t xml:space="preserve">
</t>
        </r>
        <r>
          <rPr>
            <rFont val="Tahoma"/>
            <b val="true"/>
            <color rgb="000000" tint="0"/>
            <sz val="9"/>
          </rPr>
          <t>11</t>
        </r>
        <r>
          <rPr>
            <rFont val="Tahoma"/>
            <color rgb="000000" tint="0"/>
            <sz val="9"/>
          </rPr>
          <t xml:space="preserve"> - High</t>
        </r>
        <r>
          <t xml:space="preserve">
</t>
        </r>
      </text>
    </comment>
    <comment authorId="0" ref="W348">
      <text>
        <r>
          <rPr>
            <rFont val="Tahoma"/>
            <b val="true"/>
            <color rgb="000000" tint="0"/>
            <sz val="9"/>
          </rPr>
          <t>Air Con.:</t>
        </r>
        <r>
          <t xml:space="preserve">
</t>
        </r>
        <r>
          <rPr>
            <rFont val="Tahoma"/>
            <i val="true"/>
            <color rgb="000000" tint="0"/>
            <sz val="8"/>
          </rPr>
          <t>b6b5 - Value</t>
        </r>
        <r>
          <t xml:space="preserve">
</t>
        </r>
        <r>
          <rPr>
            <rFont val="Tahoma"/>
            <b val="true"/>
            <color rgb="000000" tint="0"/>
            <sz val="9"/>
          </rPr>
          <t>01</t>
        </r>
        <r>
          <rPr>
            <rFont val="Tahoma"/>
            <color rgb="000000" tint="0"/>
            <sz val="9"/>
          </rPr>
          <t xml:space="preserve"> - Full Auto</t>
        </r>
        <r>
          <t xml:space="preserve">
</t>
        </r>
        <r>
          <rPr>
            <rFont val="Tahoma"/>
            <b val="true"/>
            <color rgb="000000" tint="0"/>
            <sz val="9"/>
          </rPr>
          <t>10</t>
        </r>
        <r>
          <rPr>
            <rFont val="Tahoma"/>
            <color rgb="000000" tint="0"/>
            <sz val="9"/>
          </rPr>
          <t xml:space="preserve"> - Manual</t>
        </r>
      </text>
    </comment>
    <comment authorId="0" ref="AA107">
      <text>
        <r>
          <rPr>
            <rFont val="Tahoma"/>
            <b val="true"/>
            <color rgb="000000" tint="0"/>
            <sz val="9"/>
          </rPr>
          <t>Sync Average and Trip A:</t>
        </r>
        <r>
          <t xml:space="preserve">
</t>
        </r>
        <r>
          <rPr>
            <rFont val="Tahoma"/>
            <i val="true"/>
            <color rgb="000000" tint="0"/>
            <sz val="8"/>
          </rPr>
          <t>b5b4 -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Off</t>
        </r>
        <r>
          <t xml:space="preserve">
</t>
        </r>
        <r>
          <rPr>
            <rFont val="Tahoma"/>
            <b val="true"/>
            <color rgb="000000" tint="0"/>
            <sz val="9"/>
          </rPr>
          <t>10</t>
        </r>
        <r>
          <rPr>
            <rFont val="Tahoma"/>
            <color rgb="000000" tint="0"/>
            <sz val="9"/>
          </rPr>
          <t xml:space="preserve"> - On</t>
        </r>
      </text>
    </comment>
    <comment authorId="0" ref="AE316">
      <text>
        <r>
          <rPr>
            <rFont val="Tahoma"/>
            <b val="true"/>
            <color rgb="000000" tint="0"/>
            <sz val="9"/>
            <u val="single"/>
          </rPr>
          <t>RVM/LCA</t>
        </r>
        <r>
          <t xml:space="preserve">
</t>
        </r>
        <r>
          <rPr>
            <rFont val="Tahoma"/>
            <i val="true"/>
            <color rgb="000000" tint="0"/>
            <sz val="8"/>
          </rPr>
          <t>b5b4 - Value</t>
        </r>
        <r>
          <t xml:space="preserve">
</t>
        </r>
        <r>
          <rPr>
            <rFont val="Tahoma"/>
            <b val="true"/>
            <color rgb="000000" tint="0"/>
            <sz val="9"/>
          </rPr>
          <t xml:space="preserve">01 - </t>
        </r>
        <r>
          <rPr>
            <rFont val="Tahoma"/>
            <color rgb="000000" tint="0"/>
            <sz val="9"/>
          </rPr>
          <t>no RVM;</t>
        </r>
        <r>
          <t xml:space="preserve">
</t>
        </r>
        <r>
          <rPr>
            <rFont val="Tahoma"/>
            <b val="true"/>
            <color rgb="000000" tint="0"/>
            <sz val="9"/>
          </rPr>
          <t xml:space="preserve">10 - </t>
        </r>
        <r>
          <rPr>
            <rFont val="Tahoma"/>
            <color rgb="000000" tint="0"/>
            <sz val="9"/>
          </rPr>
          <t>RVM (BM/GJ/KE, Doppler simulator for calibration)</t>
        </r>
      </text>
    </comment>
    <comment authorId="0" ref="S493">
      <text>
        <r>
          <rPr>
            <rFont val="Tahoma"/>
            <b val="true"/>
            <color rgb="000000" tint="0"/>
            <sz val="9"/>
          </rPr>
          <t>1=no ADL;</t>
        </r>
        <r>
          <t xml:space="preserve">
</t>
        </r>
        <r>
          <rPr>
            <rFont val="Tahoma"/>
            <b val="true"/>
            <color rgb="000000" tint="0"/>
            <sz val="9"/>
          </rPr>
          <t>0=ADL</t>
        </r>
      </text>
    </comment>
    <comment authorId="0" ref="AA370">
      <text>
        <r>
          <rPr>
            <rFont val="Tahoma"/>
            <b val="true"/>
            <color rgb="000000" tint="0"/>
            <sz val="9"/>
          </rPr>
          <t>SCBS:</t>
        </r>
        <r>
          <t xml:space="preserve">
</t>
        </r>
        <r>
          <rPr>
            <rFont val="Tahoma"/>
            <i val="true"/>
            <color rgb="000000" tint="0"/>
            <sz val="8"/>
          </rPr>
          <t>b6b5b4 - Value</t>
        </r>
        <r>
          <t xml:space="preserve">
</t>
        </r>
        <r>
          <rPr>
            <rFont val="Tahoma"/>
            <b val="true"/>
            <color rgb="000000" tint="0"/>
            <sz val="9"/>
          </rPr>
          <t>001</t>
        </r>
        <r>
          <rPr>
            <rFont val="Tahoma"/>
            <color rgb="000000" tint="0"/>
            <sz val="9"/>
          </rPr>
          <t xml:space="preserve"> - SCBS Off</t>
        </r>
        <r>
          <t xml:space="preserve">
</t>
        </r>
        <r>
          <rPr>
            <rFont val="Tahoma"/>
            <b val="true"/>
            <color rgb="000000" tint="0"/>
            <sz val="9"/>
          </rPr>
          <t>010</t>
        </r>
        <r>
          <rPr>
            <rFont val="Tahoma"/>
            <color rgb="000000" tint="0"/>
            <sz val="9"/>
          </rPr>
          <t xml:space="preserve"> - SCBS On (Laser Sensor)</t>
        </r>
        <r>
          <t xml:space="preserve">
</t>
        </r>
        <r>
          <rPr>
            <rFont val="Tahoma"/>
            <b val="true"/>
            <color rgb="000000" tint="0"/>
            <sz val="9"/>
          </rPr>
          <t>011</t>
        </r>
        <r>
          <rPr>
            <rFont val="Tahoma"/>
            <color rgb="000000" tint="0"/>
            <sz val="9"/>
          </rPr>
          <t xml:space="preserve"> - SCBS On (Laser Sensor, Japan only)</t>
        </r>
        <r>
          <t xml:space="preserve">
</t>
        </r>
        <r>
          <rPr>
            <rFont val="Tahoma"/>
            <b val="true"/>
            <color rgb="000000" tint="0"/>
            <sz val="9"/>
          </rPr>
          <t>100</t>
        </r>
        <r>
          <rPr>
            <rFont val="Tahoma"/>
            <color rgb="000000" tint="0"/>
            <sz val="9"/>
          </rPr>
          <t xml:space="preserve"> - SCBS On (FSC Gen 2)</t>
        </r>
        <r>
          <t xml:space="preserve">
</t>
        </r>
        <r>
          <rPr>
            <rFont val="Tahoma"/>
            <b val="true"/>
            <color rgb="000000" tint="0"/>
            <sz val="9"/>
          </rPr>
          <t>101</t>
        </r>
        <r>
          <rPr>
            <rFont val="Tahoma"/>
            <color rgb="000000" tint="0"/>
            <sz val="9"/>
          </rPr>
          <t xml:space="preserve"> - ? (Japan only)</t>
        </r>
      </text>
    </comment>
    <comment authorId="0" ref="AA8">
      <text>
        <r>
          <rPr>
            <rFont val="Tahoma"/>
            <b val="true"/>
            <color rgb="000000" tint="0"/>
            <sz val="9"/>
          </rPr>
          <t>Passenger seatbelt beeper</t>
        </r>
        <r>
          <t xml:space="preserve">
</t>
        </r>
        <r>
          <rPr>
            <rFont val="Tahoma"/>
            <b val="true"/>
            <color rgb="000000" tint="0"/>
            <sz val="9"/>
          </rPr>
          <t>(at 20+ kmph when unfastened):</t>
        </r>
        <r>
          <t xml:space="preserve">
</t>
        </r>
        <r>
          <rPr>
            <rFont val="Tahoma"/>
            <color rgb="000000" tint="0"/>
            <sz val="9"/>
          </rPr>
          <t>0 - Disabled / 1 - Enabled</t>
        </r>
      </text>
    </comment>
    <comment authorId="0" ref="S285">
      <text>
        <r>
          <rPr>
            <rFont val="Tahoma"/>
            <b val="true"/>
            <color rgb="000000" tint="0"/>
            <sz val="9"/>
          </rPr>
          <t>LAS (LKA):</t>
        </r>
        <r>
          <t xml:space="preserve">
</t>
        </r>
        <r>
          <rPr>
            <rFont val="Tahoma"/>
            <i val="true"/>
            <color rgb="000000" tint="0"/>
            <sz val="8"/>
          </rPr>
          <t>b3b2b1 - Value</t>
        </r>
        <r>
          <t xml:space="preserve">
</t>
        </r>
        <r>
          <rPr>
            <rFont val="Tahoma"/>
            <b val="true"/>
            <color rgb="000000" tint="0"/>
            <sz val="9"/>
          </rPr>
          <t>000</t>
        </r>
        <r>
          <rPr>
            <rFont val="Tahoma"/>
            <color rgb="000000" tint="0"/>
            <sz val="9"/>
          </rPr>
          <t xml:space="preserve"> - Disabled</t>
        </r>
        <r>
          <t xml:space="preserve">
</t>
        </r>
        <r>
          <rPr>
            <rFont val="Tahoma"/>
            <b val="true"/>
            <color rgb="000000" tint="0"/>
            <sz val="9"/>
          </rPr>
          <t>001</t>
        </r>
        <r>
          <rPr>
            <rFont val="Tahoma"/>
            <color rgb="000000" tint="0"/>
            <sz val="9"/>
          </rPr>
          <t xml:space="preserve"> - Enabled (M2, M3 [LHD], CX-5 [LHD/RHD], CX-8 [RHD], M6-WGN [LHD 2018-2020], M6-SDN [LHD 2015-2017])</t>
        </r>
        <r>
          <t xml:space="preserve">
</t>
        </r>
        <r>
          <rPr>
            <rFont val="Tahoma"/>
            <b val="true"/>
            <color rgb="000000" tint="0"/>
            <sz val="9"/>
          </rPr>
          <t>010</t>
        </r>
        <r>
          <rPr>
            <rFont val="Tahoma"/>
            <color rgb="000000" tint="0"/>
            <sz val="9"/>
          </rPr>
          <t xml:space="preserve"> - Enabled (M3 [RHD], CX-5 [LHD], CX-8 [LHD], M6-SDN [LHD 2018-2020], M6-WGN [LHD 2016-2017])</t>
        </r>
        <r>
          <t xml:space="preserve">
</t>
        </r>
        <r>
          <rPr>
            <rFont val="Tahoma"/>
            <b val="true"/>
            <color rgb="000000" tint="0"/>
            <sz val="9"/>
          </rPr>
          <t>011</t>
        </r>
        <r>
          <rPr>
            <rFont val="Tahoma"/>
            <color rgb="000000" tint="0"/>
            <sz val="9"/>
          </rPr>
          <t xml:space="preserve"> - Enabled (CX-9 [RHD], M6-WGN [RHD 2018-2020], M6-SDN [RHD 2015-2017])</t>
        </r>
        <r>
          <t xml:space="preserve">
</t>
        </r>
        <r>
          <rPr>
            <rFont val="Tahoma"/>
            <b val="true"/>
            <color rgb="000000" tint="0"/>
            <sz val="9"/>
          </rPr>
          <t>100</t>
        </r>
        <r>
          <rPr>
            <rFont val="Tahoma"/>
            <color rgb="000000" tint="0"/>
            <sz val="9"/>
          </rPr>
          <t xml:space="preserve"> - Enabled (CX-9 [LHD], M6-WGN [RHD 2015-2017], M6-SDN [RHD 2018-2020])</t>
        </r>
      </text>
    </comment>
    <comment authorId="0" ref="AA397">
      <text>
        <r>
          <rPr>
            <rFont val="Tahoma"/>
            <b val="true"/>
            <color rgb="000000" tint="0"/>
            <sz val="9"/>
          </rPr>
          <t>Seat heating:</t>
        </r>
        <r>
          <t xml:space="preserve">
</t>
        </r>
        <r>
          <rPr>
            <rFont val="Tahoma"/>
            <i val="true"/>
            <color rgb="000000" tint="0"/>
            <sz val="8"/>
          </rPr>
          <t>b1b0 - Value</t>
        </r>
        <r>
          <t xml:space="preserve">
</t>
        </r>
        <r>
          <rPr>
            <rFont val="Tahoma"/>
            <b val="true"/>
            <color rgb="000000" tint="0"/>
            <sz val="9"/>
          </rPr>
          <t>00</t>
        </r>
        <r>
          <rPr>
            <rFont val="Tahoma"/>
            <color rgb="000000" tint="0"/>
            <sz val="9"/>
          </rPr>
          <t xml:space="preserve"> - Cloth/Perforated Leather seats</t>
        </r>
        <r>
          <t xml:space="preserve">
</t>
        </r>
        <r>
          <rPr>
            <rFont val="Tahoma"/>
            <b val="true"/>
            <color rgb="000000" tint="0"/>
            <sz val="9"/>
          </rPr>
          <t>01</t>
        </r>
        <r>
          <rPr>
            <rFont val="Tahoma"/>
            <color rgb="000000" tint="0"/>
            <sz val="9"/>
          </rPr>
          <t xml:space="preserve"> - Leatherette seats</t>
        </r>
        <r>
          <t xml:space="preserve">
</t>
        </r>
        <r>
          <rPr>
            <rFont val="Tahoma"/>
            <b val="true"/>
            <color rgb="000000" tint="0"/>
            <sz val="9"/>
          </rPr>
          <t>10</t>
        </r>
        <r>
          <rPr>
            <rFont val="Tahoma"/>
            <color rgb="000000" tint="0"/>
            <sz val="9"/>
          </rPr>
          <t xml:space="preserve"> - ??</t>
        </r>
        <r>
          <t xml:space="preserve">
</t>
        </r>
        <r>
          <rPr>
            <rFont val="Tahoma"/>
            <b val="true"/>
            <color rgb="000000" tint="0"/>
            <sz val="9"/>
          </rPr>
          <t>11</t>
        </r>
        <r>
          <rPr>
            <rFont val="Tahoma"/>
            <color rgb="000000" tint="0"/>
            <sz val="9"/>
          </rPr>
          <t xml:space="preserve"> - ??</t>
        </r>
      </text>
    </comment>
    <comment authorId="0" ref="W107">
      <text>
        <r>
          <rPr>
            <rFont val="Tahoma"/>
            <b val="true"/>
            <color rgb="000000" tint="0"/>
            <sz val="9"/>
          </rPr>
          <t>RVM Volume:</t>
        </r>
        <r>
          <t xml:space="preserve">
</t>
        </r>
        <r>
          <rPr>
            <rFont val="Tahoma"/>
            <i val="true"/>
            <color rgb="000000" tint="0"/>
            <sz val="8"/>
          </rPr>
          <t>b5b4 -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Off</t>
        </r>
        <r>
          <t xml:space="preserve">
</t>
        </r>
        <r>
          <rPr>
            <rFont val="Tahoma"/>
            <b val="true"/>
            <color rgb="000000" tint="0"/>
            <sz val="9"/>
          </rPr>
          <t>10</t>
        </r>
        <r>
          <rPr>
            <rFont val="Tahoma"/>
            <color rgb="000000" tint="0"/>
            <sz val="9"/>
          </rPr>
          <t xml:space="preserve"> - Low</t>
        </r>
        <r>
          <t xml:space="preserve">
</t>
        </r>
        <r>
          <rPr>
            <rFont val="Tahoma"/>
            <b val="true"/>
            <color rgb="000000" tint="0"/>
            <sz val="9"/>
          </rPr>
          <t>11</t>
        </r>
        <r>
          <rPr>
            <rFont val="Tahoma"/>
            <color rgb="000000" tint="0"/>
            <sz val="9"/>
          </rPr>
          <t xml:space="preserve"> - High</t>
        </r>
      </text>
    </comment>
    <comment authorId="0" ref="AI262">
      <text>
        <r>
          <rPr>
            <rFont val="Tahoma"/>
            <b val="true"/>
            <color rgb="000000" tint="0"/>
            <sz val="9"/>
          </rPr>
          <t xml:space="preserve">Hands-Free Liftgate: </t>
        </r>
        <r>
          <t xml:space="preserve">
</t>
        </r>
        <r>
          <rPr>
            <rFont val="Tahoma"/>
            <b val="true"/>
            <color rgb="000000" tint="0"/>
            <sz val="9"/>
          </rPr>
          <t>1</t>
        </r>
        <r>
          <rPr>
            <rFont val="Tahoma"/>
            <color rgb="000000" tint="0"/>
            <sz val="9"/>
          </rPr>
          <t xml:space="preserve"> - Present</t>
        </r>
        <r>
          <t xml:space="preserve">
</t>
        </r>
        <r>
          <rPr>
            <rFont val="Tahoma"/>
            <b val="true"/>
            <color rgb="000000" tint="0"/>
            <sz val="9"/>
          </rPr>
          <t>0</t>
        </r>
        <r>
          <rPr>
            <rFont val="Tahoma"/>
            <color rgb="000000" tint="0"/>
            <sz val="9"/>
          </rPr>
          <t xml:space="preserve"> - Not present</t>
        </r>
      </text>
    </comment>
    <comment authorId="0" ref="S484">
      <text>
        <r>
          <rPr>
            <rFont val="Tahoma"/>
            <b val="true"/>
            <color rgb="000000" tint="0"/>
            <sz val="9"/>
          </rPr>
          <t>110 = JPN only;</t>
        </r>
        <r>
          <t xml:space="preserve">
</t>
        </r>
        <r>
          <rPr>
            <rFont val="Tahoma"/>
            <b val="true"/>
            <color rgb="000000" tint="0"/>
            <sz val="9"/>
          </rPr>
          <t>010 = AUS/ASIA;</t>
        </r>
        <r>
          <t xml:space="preserve">
</t>
        </r>
        <r>
          <rPr>
            <rFont val="Tahoma"/>
            <b val="true"/>
            <color rgb="000000" tint="0"/>
            <sz val="9"/>
          </rPr>
          <t>011 = EU/UK/US</t>
        </r>
      </text>
    </comment>
    <comment authorId="0" ref="W407">
      <text>
        <r>
          <rPr>
            <rFont val="Tahoma"/>
            <b val="true"/>
            <color rgb="000000" tint="0"/>
            <sz val="9"/>
          </rPr>
          <t>Applications - i-DM - Ending Screen setting:</t>
        </r>
        <r>
          <t xml:space="preserve">
</t>
        </r>
        <r>
          <rPr>
            <rFont val="Tahoma"/>
            <b val="true"/>
            <color rgb="000000" tint="0"/>
            <sz val="9"/>
          </rPr>
          <t>0</t>
        </r>
        <r>
          <rPr>
            <rFont val="Tahoma"/>
            <color rgb="000000" tint="0"/>
            <sz val="9"/>
          </rPr>
          <t xml:space="preserve"> - Hide</t>
        </r>
        <r>
          <t xml:space="preserve">
</t>
        </r>
        <r>
          <rPr>
            <rFont val="Tahoma"/>
            <b val="true"/>
            <color rgb="000000" tint="0"/>
            <sz val="9"/>
          </rPr>
          <t>1</t>
        </r>
        <r>
          <rPr>
            <rFont val="Tahoma"/>
            <color rgb="000000" tint="0"/>
            <sz val="9"/>
          </rPr>
          <t xml:space="preserve"> - Show</t>
        </r>
      </text>
    </comment>
    <comment authorId="0" ref="AA285">
      <text>
        <r>
          <rPr>
            <rFont val="Tahoma"/>
            <b val="true"/>
            <color rgb="000000" tint="0"/>
            <sz val="9"/>
          </rPr>
          <t>Parking sensors:</t>
        </r>
        <r>
          <t xml:space="preserve">
</t>
        </r>
        <r>
          <rPr>
            <rFont val="Tahoma"/>
            <i val="true"/>
            <color rgb="000000" tint="0"/>
            <sz val="8"/>
          </rPr>
          <t>b3b2 - Value</t>
        </r>
        <r>
          <t xml:space="preserve">
</t>
        </r>
        <r>
          <rPr>
            <rFont val="Tahoma"/>
            <b val="true"/>
            <color rgb="000000" tint="0"/>
            <sz val="9"/>
          </rPr>
          <t>00</t>
        </r>
        <r>
          <rPr>
            <rFont val="Tahoma"/>
            <color rgb="000000" tint="0"/>
            <sz val="9"/>
          </rPr>
          <t xml:space="preserve"> - w/o parking sensors</t>
        </r>
        <r>
          <t xml:space="preserve">
</t>
        </r>
        <r>
          <rPr>
            <rFont val="Tahoma"/>
            <b val="true"/>
            <color rgb="000000" tint="0"/>
            <sz val="9"/>
          </rPr>
          <t>01</t>
        </r>
        <r>
          <rPr>
            <rFont val="Tahoma"/>
            <color rgb="000000" tint="0"/>
            <sz val="9"/>
          </rPr>
          <t xml:space="preserve"> - Rear (w/o button &amp; overlay)</t>
        </r>
        <r>
          <t xml:space="preserve">
</t>
        </r>
        <r>
          <rPr>
            <rFont val="Tahoma"/>
            <b val="true"/>
            <color rgb="000000" tint="0"/>
            <sz val="9"/>
          </rPr>
          <t>11</t>
        </r>
        <r>
          <rPr>
            <rFont val="Tahoma"/>
            <color rgb="000000" tint="0"/>
            <sz val="9"/>
          </rPr>
          <t xml:space="preserve"> - Front &amp; Rear (with button &amp; overlay)</t>
        </r>
        <r>
          <t xml:space="preserve">
</t>
        </r>
        <r>
          <t xml:space="preserve">
</t>
        </r>
        <r>
          <rPr>
            <rFont val="Tahoma"/>
            <color rgb="000000" tint="0"/>
            <sz val="9"/>
          </rPr>
          <t>2017/18 (FSC 2gen) model and others:</t>
        </r>
        <r>
          <t xml:space="preserve">
</t>
        </r>
        <r>
          <rPr>
            <rFont val="Tahoma"/>
            <b val="true"/>
            <color rgb="000000" tint="0"/>
            <sz val="9"/>
          </rPr>
          <t>00</t>
        </r>
        <r>
          <rPr>
            <rFont val="Tahoma"/>
            <color rgb="000000" tint="0"/>
            <sz val="9"/>
          </rPr>
          <t xml:space="preserve"> - Rear (w/o button &amp; overlay)</t>
        </r>
        <r>
          <t xml:space="preserve">
</t>
        </r>
        <r>
          <rPr>
            <rFont val="Tahoma"/>
            <b val="true"/>
            <color rgb="000000" tint="0"/>
            <sz val="9"/>
          </rPr>
          <t>01</t>
        </r>
        <r>
          <rPr>
            <rFont val="Tahoma"/>
            <color rgb="000000" tint="0"/>
            <sz val="9"/>
          </rPr>
          <t xml:space="preserve"> - Front &amp; Rear (with button &amp; overlay)</t>
        </r>
        <r>
          <t xml:space="preserve">
</t>
        </r>
        <r>
          <t xml:space="preserve">
</t>
        </r>
        <r>
          <rPr>
            <rFont val="Tahoma"/>
            <b val="true"/>
            <color rgb="000000" tint="0"/>
            <sz val="9"/>
          </rPr>
          <t>See SCBS-R values too for more info!!!</t>
        </r>
      </text>
    </comment>
    <comment authorId="0" ref="AA292">
      <text>
        <r>
          <rPr>
            <rFont val="Tahoma"/>
            <b val="true"/>
            <color rgb="000000" tint="0"/>
            <sz val="9"/>
          </rPr>
          <t>FOW/SBS/DRSS/MRCC</t>
        </r>
        <r>
          <t xml:space="preserve">
</t>
        </r>
        <r>
          <rPr>
            <rFont val="Tahoma"/>
            <i val="true"/>
            <color rgb="000000" tint="0"/>
            <sz val="8"/>
          </rPr>
          <t>b7b6b5b4 - Value</t>
        </r>
        <r>
          <t xml:space="preserve">
</t>
        </r>
        <r>
          <rPr>
            <rFont val="Tahoma"/>
            <b val="true"/>
            <color rgb="000000" tint="0"/>
            <sz val="9"/>
          </rPr>
          <t>0000</t>
        </r>
        <r>
          <rPr>
            <rFont val="Tahoma"/>
            <color rgb="000000" tint="0"/>
            <sz val="9"/>
          </rPr>
          <t xml:space="preserve"> - Wrong conf.</t>
        </r>
        <r>
          <t xml:space="preserve">
</t>
        </r>
        <r>
          <rPr>
            <rFont val="Tahoma"/>
            <b val="true"/>
            <color rgb="000000" tint="0"/>
            <sz val="9"/>
          </rPr>
          <t>0001</t>
        </r>
        <r>
          <rPr>
            <rFont val="Tahoma"/>
            <color rgb="000000" tint="0"/>
            <sz val="9"/>
          </rPr>
          <t xml:space="preserve"> - no SBS/FOW/DRSS/MRCC</t>
        </r>
        <r>
          <t xml:space="preserve">
</t>
        </r>
        <r>
          <rPr>
            <rFont val="Tahoma"/>
            <b val="true"/>
            <color rgb="000000" tint="0"/>
            <sz val="9"/>
          </rPr>
          <t>0010</t>
        </r>
        <r>
          <rPr>
            <rFont val="Tahoma"/>
            <color rgb="000000" tint="0"/>
            <sz val="9"/>
          </rPr>
          <t xml:space="preserve"> - SBS/MRCC</t>
        </r>
        <r>
          <t xml:space="preserve">
</t>
        </r>
        <r>
          <rPr>
            <rFont val="Tahoma"/>
            <b val="true"/>
            <color rgb="000000" tint="0"/>
            <sz val="9"/>
          </rPr>
          <t>0011</t>
        </r>
        <r>
          <rPr>
            <rFont val="Tahoma"/>
            <color rgb="000000" tint="0"/>
            <sz val="9"/>
          </rPr>
          <t xml:space="preserve"> - MRCC</t>
        </r>
        <r>
          <t xml:space="preserve">
</t>
        </r>
        <r>
          <rPr>
            <rFont val="Tahoma"/>
            <b val="true"/>
            <color rgb="000000" tint="0"/>
            <sz val="9"/>
          </rPr>
          <t>0100</t>
        </r>
        <r>
          <rPr>
            <rFont val="Tahoma"/>
            <color rgb="000000" tint="0"/>
            <sz val="9"/>
          </rPr>
          <t xml:space="preserve"> - SBS</t>
        </r>
        <r>
          <t xml:space="preserve">
</t>
        </r>
        <r>
          <rPr>
            <rFont val="Tahoma"/>
            <b val="true"/>
            <color rgb="000000" tint="0"/>
            <sz val="9"/>
          </rPr>
          <t>0101</t>
        </r>
        <r>
          <rPr>
            <rFont val="Tahoma"/>
            <color rgb="000000" tint="0"/>
            <sz val="9"/>
          </rPr>
          <t xml:space="preserve"> - FOW</t>
        </r>
        <r>
          <t xml:space="preserve">
</t>
        </r>
        <r>
          <rPr>
            <rFont val="Tahoma"/>
            <b val="true"/>
            <color rgb="000000" tint="0"/>
            <sz val="9"/>
          </rPr>
          <t>0110</t>
        </r>
        <r>
          <rPr>
            <rFont val="Tahoma"/>
            <color rgb="000000" tint="0"/>
            <sz val="9"/>
          </rPr>
          <t xml:space="preserve"> - DRSS</t>
        </r>
        <r>
          <t xml:space="preserve">
</t>
        </r>
        <r>
          <rPr>
            <rFont val="Tahoma"/>
            <b val="true"/>
            <color rgb="000000" tint="0"/>
            <sz val="9"/>
          </rPr>
          <t>0111</t>
        </r>
        <r>
          <rPr>
            <rFont val="Tahoma"/>
            <color rgb="000000" tint="0"/>
            <sz val="9"/>
          </rPr>
          <t xml:space="preserve"> - SBS/DRSS/MRCC</t>
        </r>
        <r>
          <t xml:space="preserve">
</t>
        </r>
        <r>
          <rPr>
            <rFont val="Tahoma"/>
            <b val="true"/>
            <color rgb="000000" tint="0"/>
            <sz val="9"/>
          </rPr>
          <t>1000</t>
        </r>
        <r>
          <rPr>
            <rFont val="Tahoma"/>
            <color rgb="000000" tint="0"/>
            <sz val="9"/>
          </rPr>
          <t xml:space="preserve"> - FOW/DRSS/MRCC</t>
        </r>
        <r>
          <t xml:space="preserve">
</t>
        </r>
        <r>
          <rPr>
            <rFont val="Tahoma"/>
            <b val="true"/>
            <color rgb="000000" tint="0"/>
            <sz val="9"/>
          </rPr>
          <t>1001</t>
        </r>
        <r>
          <rPr>
            <rFont val="Tahoma"/>
            <color rgb="000000" tint="0"/>
            <sz val="9"/>
          </rPr>
          <t xml:space="preserve"> - FOW/MRCC</t>
        </r>
        <r>
          <t xml:space="preserve">
</t>
        </r>
        <r>
          <rPr>
            <rFont val="Tahoma"/>
            <b val="true"/>
            <color rgb="000000" tint="0"/>
            <sz val="9"/>
          </rPr>
          <t>1010</t>
        </r>
        <r>
          <rPr>
            <rFont val="Tahoma"/>
            <color rgb="000000" tint="0"/>
            <sz val="9"/>
          </rPr>
          <t xml:space="preserve"> - DRSS/MRCC</t>
        </r>
        <r>
          <t xml:space="preserve">
</t>
        </r>
        <r>
          <rPr>
            <rFont val="Tahoma"/>
            <b val="true"/>
            <color rgb="000000" tint="0"/>
            <sz val="9"/>
          </rPr>
          <t>1011</t>
        </r>
        <r>
          <rPr>
            <rFont val="Tahoma"/>
            <color rgb="000000" tint="0"/>
            <sz val="9"/>
          </rPr>
          <t xml:space="preserve"> - SBS/DRSS</t>
        </r>
        <r>
          <t xml:space="preserve">
</t>
        </r>
        <r>
          <rPr>
            <rFont val="Tahoma"/>
            <b val="true"/>
            <color rgb="000000" tint="0"/>
            <sz val="9"/>
          </rPr>
          <t>1100</t>
        </r>
        <r>
          <rPr>
            <rFont val="Tahoma"/>
            <color rgb="000000" tint="0"/>
            <sz val="9"/>
          </rPr>
          <t xml:space="preserve"> - FOW/DRSS</t>
        </r>
        <r>
          <t xml:space="preserve">
</t>
        </r>
        <r>
          <rPr>
            <rFont val="Tahoma"/>
            <b val="true"/>
            <color rgb="000000" tint="0"/>
            <sz val="9"/>
          </rPr>
          <t>1101</t>
        </r>
        <r>
          <rPr>
            <rFont val="Tahoma"/>
            <color rgb="000000" tint="0"/>
            <sz val="9"/>
          </rPr>
          <t xml:space="preserve"> - SBS/FOW/DRSS? Wrong conf.</t>
        </r>
        <r>
          <t xml:space="preserve">
</t>
        </r>
        <r>
          <rPr>
            <rFont val="Tahoma"/>
            <b val="true"/>
            <color rgb="000000" tint="0"/>
            <sz val="9"/>
          </rPr>
          <t>1110</t>
        </r>
        <r>
          <rPr>
            <rFont val="Tahoma"/>
            <color rgb="000000" tint="0"/>
            <sz val="9"/>
          </rPr>
          <t xml:space="preserve"> - SBS/FOW/DRSS? Wrong conf.</t>
        </r>
        <r>
          <t xml:space="preserve">
</t>
        </r>
        <r>
          <rPr>
            <rFont val="Tahoma"/>
            <b val="true"/>
            <color rgb="000000" tint="0"/>
            <sz val="9"/>
          </rPr>
          <t>1111</t>
        </r>
        <r>
          <rPr>
            <rFont val="Tahoma"/>
            <color rgb="000000" tint="0"/>
            <sz val="9"/>
          </rPr>
          <t xml:space="preserve"> - SBS/FOW/DRSS? Wrong conf.</t>
        </r>
      </text>
    </comment>
    <comment authorId="0" ref="S109">
      <text>
        <r>
          <rPr>
            <rFont val="Tahoma"/>
            <b val="true"/>
            <color rgb="000000" tint="0"/>
            <sz val="9"/>
          </rPr>
          <t>LDWS/LAS Warning type:</t>
        </r>
        <r>
          <t xml:space="preserve">
</t>
        </r>
        <r>
          <rPr>
            <rFont val="Tahoma"/>
            <i val="true"/>
            <color rgb="000000" tint="0"/>
            <sz val="8"/>
          </rPr>
          <t>b3b2 - Value</t>
        </r>
        <r>
          <t xml:space="preserve">
</t>
        </r>
        <r>
          <rPr>
            <rFont val="Tahoma"/>
            <b val="true"/>
            <color rgb="000000" tint="0"/>
            <sz val="9"/>
          </rPr>
          <t>00</t>
        </r>
        <r>
          <rPr>
            <rFont val="Tahoma"/>
            <color rgb="000000" tint="0"/>
            <sz val="9"/>
          </rPr>
          <t xml:space="preserve"> - Beep </t>
        </r>
        <r>
          <t xml:space="preserve">
</t>
        </r>
        <r>
          <rPr>
            <rFont val="Tahoma"/>
            <b val="true"/>
            <color rgb="000000" tint="0"/>
            <sz val="9"/>
          </rPr>
          <t>10</t>
        </r>
        <r>
          <rPr>
            <rFont val="Tahoma"/>
            <color rgb="000000" tint="0"/>
            <sz val="9"/>
          </rPr>
          <t xml:space="preserve"> - Rumble </t>
        </r>
        <r>
          <t xml:space="preserve">
</t>
        </r>
        <r>
          <rPr>
            <rFont val="Tahoma"/>
            <b val="true"/>
            <color rgb="000000" tint="0"/>
            <sz val="9"/>
          </rPr>
          <t>11</t>
        </r>
        <r>
          <rPr>
            <rFont val="Tahoma"/>
            <color rgb="000000" tint="0"/>
            <sz val="9"/>
          </rPr>
          <t xml:space="preserve"> - Vibration (LAS only)</t>
        </r>
      </text>
    </comment>
    <comment authorId="0" ref="AA199">
      <text>
        <r>
          <rPr>
            <rFont val="Tahoma"/>
            <b val="true"/>
            <color rgb="000000" tint="0"/>
            <sz val="9"/>
          </rPr>
          <t>CMU - Test Screen - 95</t>
        </r>
        <r>
          <t xml:space="preserve">
</t>
        </r>
        <r>
          <rPr>
            <rFont val="Tahoma"/>
            <b val="true"/>
            <color rgb="000000" tint="0"/>
            <sz val="9"/>
          </rPr>
          <t>Body Style:</t>
        </r>
        <r>
          <t xml:space="preserve">
</t>
        </r>
        <r>
          <rPr>
            <rFont val="Tahoma"/>
            <i val="true"/>
            <color rgb="000000" tint="0"/>
            <sz val="8"/>
          </rPr>
          <t>b1b0 - Value</t>
        </r>
        <r>
          <t xml:space="preserve">
</t>
        </r>
        <r>
          <rPr>
            <rFont val="Tahoma"/>
            <b val="true"/>
            <color rgb="000000" tint="0"/>
            <sz val="9"/>
          </rPr>
          <t xml:space="preserve">00 - </t>
        </r>
        <r>
          <rPr>
            <rFont val="Tahoma"/>
            <color rgb="000000" tint="0"/>
            <sz val="9"/>
          </rPr>
          <t>4SD</t>
        </r>
        <r>
          <t xml:space="preserve">
</t>
        </r>
        <r>
          <rPr>
            <rFont val="Tahoma"/>
            <b val="true"/>
            <color rgb="000000" tint="0"/>
            <sz val="9"/>
          </rPr>
          <t xml:space="preserve">01 - </t>
        </r>
        <r>
          <rPr>
            <rFont val="Tahoma"/>
            <color rgb="000000" tint="0"/>
            <sz val="9"/>
          </rPr>
          <t>5HB</t>
        </r>
        <r>
          <t xml:space="preserve">
</t>
        </r>
        <r>
          <rPr>
            <rFont val="Tahoma"/>
            <b val="true"/>
            <color rgb="000000" tint="0"/>
            <sz val="9"/>
          </rPr>
          <t xml:space="preserve">10 - </t>
        </r>
        <r>
          <rPr>
            <rFont val="Tahoma"/>
            <color rgb="000000" tint="0"/>
            <sz val="9"/>
          </rPr>
          <t>??? (MX-5 only)</t>
        </r>
      </text>
    </comment>
    <comment authorId="0" ref="W405">
      <text>
        <r>
          <rPr>
            <rFont val="Tahoma"/>
            <b val="true"/>
            <color rgb="000000" tint="0"/>
            <sz val="9"/>
          </rPr>
          <t>Applications - Driver Selection sub-menu:</t>
        </r>
        <r>
          <t xml:space="preserve">
</t>
        </r>
        <r>
          <rPr>
            <rFont val="Tahoma"/>
            <b val="true"/>
            <color rgb="000000" tint="0"/>
            <sz val="9"/>
          </rPr>
          <t>0</t>
        </r>
        <r>
          <rPr>
            <rFont val="Tahoma"/>
            <color rgb="000000" tint="0"/>
            <sz val="9"/>
          </rPr>
          <t xml:space="preserve"> - Hide</t>
        </r>
        <r>
          <t xml:space="preserve">
</t>
        </r>
        <r>
          <rPr>
            <rFont val="Tahoma"/>
            <b val="true"/>
            <color rgb="000000" tint="0"/>
            <sz val="9"/>
          </rPr>
          <t>1</t>
        </r>
        <r>
          <rPr>
            <rFont val="Tahoma"/>
            <color rgb="000000" tint="0"/>
            <sz val="9"/>
          </rPr>
          <t xml:space="preserve"> - Show</t>
        </r>
      </text>
    </comment>
    <comment authorId="0" ref="AE198">
      <text>
        <r>
          <rPr>
            <rFont val="Tahoma"/>
            <b val="true"/>
            <color rgb="000000" tint="0"/>
            <sz val="9"/>
          </rPr>
          <t>TCM:</t>
        </r>
        <r>
          <t xml:space="preserve">
</t>
        </r>
        <r>
          <rPr>
            <rFont val="Tahoma"/>
            <i val="true"/>
            <color rgb="000000" tint="0"/>
            <sz val="8"/>
          </rPr>
          <t>b2b1 - Value</t>
        </r>
        <r>
          <t xml:space="preserve">
</t>
        </r>
        <r>
          <rPr>
            <rFont val="Tahoma"/>
            <b val="true"/>
            <color rgb="000000" tint="0"/>
            <sz val="9"/>
          </rPr>
          <t>01</t>
        </r>
        <r>
          <rPr>
            <rFont val="Tahoma"/>
            <color rgb="000000" tint="0"/>
            <sz val="9"/>
          </rPr>
          <t xml:space="preserve"> - Manual</t>
        </r>
        <r>
          <t xml:space="preserve">
</t>
        </r>
        <r>
          <rPr>
            <rFont val="Tahoma"/>
            <b val="true"/>
            <color rgb="000000" tint="0"/>
            <sz val="9"/>
          </rPr>
          <t>10</t>
        </r>
        <r>
          <rPr>
            <rFont val="Tahoma"/>
            <color rgb="000000" tint="0"/>
            <sz val="9"/>
          </rPr>
          <t xml:space="preserve"> - Auto</t>
        </r>
      </text>
    </comment>
    <comment authorId="0" ref="AA6">
      <text>
        <r>
          <rPr>
            <rFont val="Tahoma"/>
            <b val="true"/>
            <color rgb="000000" tint="0"/>
            <sz val="9"/>
          </rPr>
          <t xml:space="preserve">Fuel Tank Level </t>
        </r>
        <r>
          <rPr>
            <rFont val="Tahoma"/>
            <color rgb="000000" tint="0"/>
            <sz val="9"/>
          </rPr>
          <t>related (CX-5/9)</t>
        </r>
      </text>
    </comment>
    <comment authorId="0" ref="S6">
      <text>
        <r>
          <rPr>
            <rFont val="Tahoma"/>
            <b val="true"/>
            <color rgb="000000" tint="0"/>
            <sz val="9"/>
          </rPr>
          <t xml:space="preserve">Rear seatbelt indicator and beep after unfastening: </t>
        </r>
        <r>
          <rPr>
            <rFont val="Tahoma"/>
            <color rgb="000000" tint="0"/>
            <sz val="9"/>
          </rPr>
          <t>0 - Disabled / 1 - Enabled</t>
        </r>
      </text>
    </comment>
    <comment authorId="0" ref="AA13">
      <text>
        <r>
          <rPr>
            <rFont val="Tahoma"/>
            <b val="true"/>
            <color rgb="000000" tint="0"/>
            <sz val="9"/>
          </rPr>
          <t>Ambient Temperature Warning Alarm (Ice mark and sound alarm when outside temperature is &lt;5°C): 0</t>
        </r>
        <r>
          <rPr>
            <rFont val="Tahoma"/>
            <color rgb="000000" tint="0"/>
            <sz val="9"/>
          </rPr>
          <t xml:space="preserve"> - Disabled / </t>
        </r>
        <r>
          <rPr>
            <rFont val="Tahoma"/>
            <b val="true"/>
            <color rgb="000000" tint="0"/>
            <sz val="9"/>
          </rPr>
          <t xml:space="preserve">1 </t>
        </r>
        <r>
          <rPr>
            <rFont val="Tahoma"/>
            <color rgb="000000" tint="0"/>
            <sz val="9"/>
          </rPr>
          <t>- Enabled</t>
        </r>
      </text>
    </comment>
    <comment authorId="0" ref="S226">
      <text>
        <r>
          <rPr>
            <rFont val="Tahoma"/>
            <b val="true"/>
            <color rgb="000000" tint="0"/>
            <sz val="9"/>
          </rPr>
          <t>CMU - Test Screen - 95</t>
        </r>
        <r>
          <t xml:space="preserve">
</t>
        </r>
        <r>
          <rPr>
            <rFont val="Tahoma"/>
            <b val="true"/>
            <color rgb="000000" tint="0"/>
            <sz val="9"/>
          </rPr>
          <t>Destination:</t>
        </r>
        <r>
          <t xml:space="preserve">
</t>
        </r>
        <r>
          <rPr>
            <rFont val="Tahoma"/>
            <i val="true"/>
            <color rgb="000000" tint="0"/>
            <sz val="8"/>
          </rPr>
          <t>HEX - b7b6b5b4b3b2b1b0 - Value</t>
        </r>
        <r>
          <t xml:space="preserve">
</t>
        </r>
        <r>
          <rPr>
            <rFont val="Tahoma"/>
            <b val="true"/>
            <color rgb="000000" tint="0"/>
            <sz val="9"/>
          </rPr>
          <t xml:space="preserve">11 - 00010001 - </t>
        </r>
        <r>
          <rPr>
            <rFont val="Tahoma"/>
            <color rgb="000000" tint="0"/>
            <sz val="9"/>
          </rPr>
          <t>Japan</t>
        </r>
        <r>
          <t xml:space="preserve">
</t>
        </r>
        <r>
          <rPr>
            <rFont val="Tahoma"/>
            <b val="true"/>
            <color rgb="000000" tint="0"/>
            <sz val="9"/>
          </rPr>
          <t xml:space="preserve">14 - 00010100 - </t>
        </r>
        <r>
          <rPr>
            <rFont val="Tahoma"/>
            <color rgb="000000" tint="0"/>
            <sz val="9"/>
          </rPr>
          <t>Japan</t>
        </r>
        <r>
          <t xml:space="preserve">
</t>
        </r>
        <r>
          <rPr>
            <rFont val="Tahoma"/>
            <b val="true"/>
            <color rgb="000000" tint="0"/>
            <sz val="9"/>
          </rPr>
          <t xml:space="preserve">21 - 00100001 - </t>
        </r>
        <r>
          <rPr>
            <rFont val="Tahoma"/>
            <color rgb="000000" tint="0"/>
            <sz val="9"/>
          </rPr>
          <t>North America</t>
        </r>
        <r>
          <t xml:space="preserve">
</t>
        </r>
        <r>
          <rPr>
            <rFont val="Tahoma"/>
            <b val="true"/>
            <color rgb="000000" tint="0"/>
            <sz val="9"/>
          </rPr>
          <t xml:space="preserve">24 - 00100100 - </t>
        </r>
        <r>
          <rPr>
            <rFont val="Tahoma"/>
            <color rgb="000000" tint="0"/>
            <sz val="9"/>
          </rPr>
          <t>North America 4WD</t>
        </r>
        <r>
          <t xml:space="preserve">
</t>
        </r>
        <r>
          <rPr>
            <rFont val="Tahoma"/>
            <b val="true"/>
            <color rgb="000000" tint="0"/>
            <sz val="9"/>
          </rPr>
          <t xml:space="preserve">31 - 00110001 - </t>
        </r>
        <r>
          <rPr>
            <rFont val="Tahoma"/>
            <color rgb="000000" tint="0"/>
            <sz val="9"/>
          </rPr>
          <t>EU</t>
        </r>
        <r>
          <t xml:space="preserve">
</t>
        </r>
        <r>
          <rPr>
            <rFont val="Tahoma"/>
            <b val="true"/>
            <color rgb="000000" tint="0"/>
            <sz val="9"/>
          </rPr>
          <t xml:space="preserve">34 - 00110100 - </t>
        </r>
        <r>
          <rPr>
            <rFont val="Tahoma"/>
            <color rgb="000000" tint="0"/>
            <sz val="9"/>
          </rPr>
          <t>EU 4WD</t>
        </r>
        <r>
          <t xml:space="preserve">
</t>
        </r>
        <r>
          <rPr>
            <rFont val="Tahoma"/>
            <b val="true"/>
            <color rgb="000000" tint="0"/>
            <sz val="9"/>
          </rPr>
          <t xml:space="preserve">41 - 01000001 - </t>
        </r>
        <r>
          <rPr>
            <rFont val="Tahoma"/>
            <color rgb="000000" tint="0"/>
            <sz val="9"/>
          </rPr>
          <t>UK w/TPMS</t>
        </r>
        <r>
          <t xml:space="preserve">
</t>
        </r>
        <r>
          <rPr>
            <rFont val="Tahoma"/>
            <b val="true"/>
            <color rgb="000000" tint="0"/>
            <sz val="9"/>
          </rPr>
          <t xml:space="preserve">44 - 01000100 - </t>
        </r>
        <r>
          <rPr>
            <rFont val="Tahoma"/>
            <color rgb="000000" tint="0"/>
            <sz val="9"/>
          </rPr>
          <t>UK w/TPMS 4WD</t>
        </r>
        <r>
          <t xml:space="preserve">
</t>
        </r>
        <r>
          <rPr>
            <rFont val="Tahoma"/>
            <b val="true"/>
            <color rgb="000000" tint="0"/>
            <sz val="9"/>
          </rPr>
          <t xml:space="preserve">51 - 01010001 - </t>
        </r>
        <r>
          <rPr>
            <rFont val="Tahoma"/>
            <color rgb="000000" tint="0"/>
            <sz val="9"/>
          </rPr>
          <t>ADR</t>
        </r>
        <r>
          <t xml:space="preserve">
</t>
        </r>
        <r>
          <rPr>
            <rFont val="Tahoma"/>
            <b val="true"/>
            <color rgb="000000" tint="0"/>
            <sz val="9"/>
          </rPr>
          <t>54 - 01010100 -</t>
        </r>
        <r>
          <rPr>
            <rFont val="Tahoma"/>
            <color rgb="000000" tint="0"/>
            <sz val="9"/>
          </rPr>
          <t xml:space="preserve"> ADR 4WD</t>
        </r>
        <r>
          <t xml:space="preserve">
</t>
        </r>
        <r>
          <rPr>
            <rFont val="Tahoma"/>
            <b val="true"/>
            <color rgb="000000" tint="0"/>
            <sz val="9"/>
          </rPr>
          <t xml:space="preserve">61 - 01100001 - </t>
        </r>
        <r>
          <rPr>
            <rFont val="Tahoma"/>
            <color rgb="000000" tint="0"/>
            <sz val="9"/>
          </rPr>
          <t>GNRL_RHD</t>
        </r>
        <r>
          <t xml:space="preserve">
</t>
        </r>
        <r>
          <rPr>
            <rFont val="Tahoma"/>
            <b val="true"/>
            <color rgb="000000" tint="0"/>
            <sz val="9"/>
          </rPr>
          <t xml:space="preserve">64 - 01100100 - </t>
        </r>
        <r>
          <rPr>
            <rFont val="Tahoma"/>
            <color rgb="000000" tint="0"/>
            <sz val="9"/>
          </rPr>
          <t>GNRL_RHD 4WD</t>
        </r>
        <r>
          <t xml:space="preserve">
</t>
        </r>
        <r>
          <rPr>
            <rFont val="Tahoma"/>
            <b val="true"/>
            <color rgb="000000" tint="0"/>
            <sz val="9"/>
          </rPr>
          <t xml:space="preserve">71 - 01110001 - </t>
        </r>
        <r>
          <rPr>
            <rFont val="Tahoma"/>
            <color rgb="000000" tint="0"/>
            <sz val="9"/>
          </rPr>
          <t>GNRL_LHD</t>
        </r>
        <r>
          <t xml:space="preserve">
</t>
        </r>
        <r>
          <rPr>
            <rFont val="Tahoma"/>
            <b val="true"/>
            <color rgb="000000" tint="0"/>
            <sz val="9"/>
          </rPr>
          <t xml:space="preserve">74 - 01110100 - </t>
        </r>
        <r>
          <rPr>
            <rFont val="Tahoma"/>
            <color rgb="000000" tint="0"/>
            <sz val="9"/>
          </rPr>
          <t>GNRL_LHD 4WD</t>
        </r>
        <r>
          <t xml:space="preserve">
</t>
        </r>
        <r>
          <rPr>
            <rFont val="Tahoma"/>
            <b val="true"/>
            <color rgb="000000" tint="0"/>
            <sz val="9"/>
          </rPr>
          <t xml:space="preserve">81 - 10000001 - </t>
        </r>
        <r>
          <rPr>
            <rFont val="Tahoma"/>
            <color rgb="000000" tint="0"/>
            <sz val="9"/>
          </rPr>
          <t>China</t>
        </r>
        <r>
          <t xml:space="preserve">
</t>
        </r>
        <r>
          <rPr>
            <rFont val="Tahoma"/>
            <b val="true"/>
            <color rgb="000000" tint="0"/>
            <sz val="9"/>
          </rPr>
          <t xml:space="preserve">84 - 10000100 - </t>
        </r>
        <r>
          <rPr>
            <rFont val="Tahoma"/>
            <color rgb="000000" tint="0"/>
            <sz val="9"/>
          </rPr>
          <t>China 4WD</t>
        </r>
        <r>
          <t xml:space="preserve">
</t>
        </r>
        <r>
          <t xml:space="preserve">
</t>
        </r>
        <r>
          <rPr>
            <rFont val="Tahoma"/>
            <color rgb="000000" tint="0"/>
            <sz val="9"/>
          </rPr>
          <t>Known differences:</t>
        </r>
        <r>
          <t xml:space="preserve">
</t>
        </r>
        <r>
          <rPr>
            <rFont val="Tahoma"/>
            <color rgb="000000" tint="0"/>
            <sz val="9"/>
          </rPr>
          <t>- A/C Eco mode of Dual-Zone Climate Control is present in EU and not present in North America (NA)</t>
        </r>
        <r>
          <t xml:space="preserve">
</t>
        </r>
        <r>
          <rPr>
            <rFont val="Tahoma"/>
            <color rgb="000000" tint="0"/>
            <sz val="9"/>
          </rPr>
          <t>- Max temperature of Dual Zone Climate Control is 32 °C for NA and 29 °C for EU</t>
        </r>
        <r>
          <t xml:space="preserve">
</t>
        </r>
        <r>
          <rPr>
            <rFont val="Tahoma"/>
            <color rgb="000000" tint="0"/>
            <sz val="9"/>
          </rPr>
          <t>- Recirculated air position cannot be enabled together with Windshield defroster in NA and can be enabled in EU</t>
        </r>
        <r>
          <t xml:space="preserve">
</t>
        </r>
        <r>
          <rPr>
            <rFont val="Tahoma"/>
            <color rgb="000000" tint="0"/>
            <sz val="9"/>
          </rPr>
          <t xml:space="preserve">- TSR function can recognize different regional road signs for EU and NA </t>
        </r>
        <r>
          <t xml:space="preserve">
</t>
        </r>
        <r>
          <rPr>
            <rFont val="Tahoma"/>
            <color rgb="000000" tint="0"/>
            <sz val="9"/>
          </rPr>
          <t>- Heater Control logic difference can cause EATC DTC between Europe and NA</t>
        </r>
      </text>
    </comment>
    <comment authorId="0" ref="AA284">
      <text>
        <r>
          <rPr>
            <rFont val="Tahoma"/>
            <b val="true"/>
            <color rgb="000000" tint="0"/>
            <sz val="9"/>
          </rPr>
          <t xml:space="preserve">Parking sensors: 0 </t>
        </r>
        <r>
          <rPr>
            <rFont val="Tahoma"/>
            <color rgb="000000" tint="0"/>
            <sz val="9"/>
          </rPr>
          <t>- Enabled,</t>
        </r>
        <r>
          <rPr>
            <rFont val="Tahoma"/>
            <b val="true"/>
            <color rgb="000000" tint="0"/>
            <sz val="9"/>
          </rPr>
          <t xml:space="preserve"> 1</t>
        </r>
        <r>
          <rPr>
            <rFont val="Tahoma"/>
            <color rgb="000000" tint="0"/>
            <sz val="9"/>
          </rPr>
          <t xml:space="preserve"> - Disabled</t>
        </r>
        <r>
          <t xml:space="preserve">
</t>
        </r>
        <r>
          <t xml:space="preserve">
</t>
        </r>
        <r>
          <rPr>
            <rFont val="Tahoma"/>
            <color rgb="000000" tint="0"/>
            <sz val="9"/>
          </rPr>
          <t>Realted to versions with Parking Sensor button with light in Switch Cluster</t>
        </r>
      </text>
    </comment>
    <comment authorId="0" ref="W337">
      <text>
        <r>
          <rPr>
            <rFont val="Tahoma"/>
            <b val="true"/>
            <color rgb="000000" tint="0"/>
            <sz val="9"/>
          </rPr>
          <t>BSM:</t>
        </r>
        <r>
          <t xml:space="preserve">
</t>
        </r>
        <r>
          <rPr>
            <rFont val="Tahoma"/>
            <i val="true"/>
            <color rgb="000000" tint="0"/>
            <sz val="8"/>
          </rPr>
          <t>b6b5b4b3b2b1b0 - Value</t>
        </r>
        <r>
          <t xml:space="preserve">
</t>
        </r>
        <r>
          <rPr>
            <rFont val="Tahoma"/>
            <b val="true"/>
            <color rgb="000000" tint="0"/>
            <sz val="9"/>
          </rPr>
          <t>0010000</t>
        </r>
        <r>
          <rPr>
            <rFont val="Tahoma"/>
            <color rgb="000000" tint="0"/>
            <sz val="9"/>
          </rPr>
          <t xml:space="preserve"> - No BSM</t>
        </r>
        <r>
          <t xml:space="preserve">
</t>
        </r>
        <r>
          <rPr>
            <rFont val="Tahoma"/>
            <b val="true"/>
            <color rgb="000000" tint="0"/>
            <sz val="9"/>
          </rPr>
          <t>0100000</t>
        </r>
        <r>
          <rPr>
            <rFont val="Tahoma"/>
            <color rgb="000000" tint="0"/>
            <sz val="9"/>
          </rPr>
          <t xml:space="preserve"> - BSM (BM/GJ/KE, Reflector for calibration)</t>
        </r>
        <r>
          <t xml:space="preserve">
</t>
        </r>
        <r>
          <rPr>
            <rFont val="Tahoma"/>
            <b val="true"/>
            <color rgb="000000" tint="0"/>
            <sz val="9"/>
          </rPr>
          <t>0110011</t>
        </r>
        <r>
          <rPr>
            <rFont val="Tahoma"/>
            <color rgb="000000" tint="0"/>
            <sz val="9"/>
          </rPr>
          <t xml:space="preserve"> - LCA w/BSM (BN, Doppler simulator for calibration) + 2/6/MX-5/CX-3/4/5</t>
        </r>
        <r>
          <t xml:space="preserve">
</t>
        </r>
        <r>
          <rPr>
            <rFont val="Tahoma"/>
            <b val="true"/>
            <color rgb="000000" tint="0"/>
            <sz val="9"/>
          </rPr>
          <t>1000000</t>
        </r>
        <r>
          <rPr>
            <rFont val="Tahoma"/>
            <color rgb="000000" tint="0"/>
            <sz val="9"/>
          </rPr>
          <t xml:space="preserve"> - BSM (BN/GL/TB/TC, Reflector for calibration)</t>
        </r>
        <r>
          <t xml:space="preserve">
</t>
        </r>
        <r>
          <rPr>
            <rFont val="Tahoma"/>
            <b val="true"/>
            <color rgb="000000" tint="0"/>
            <sz val="9"/>
          </rPr>
          <t>1010011</t>
        </r>
        <r>
          <rPr>
            <rFont val="Tahoma"/>
            <color rgb="000000" tint="0"/>
            <sz val="9"/>
          </rPr>
          <t xml:space="preserve"> - BSM (KF/FG)</t>
        </r>
      </text>
    </comment>
    <comment authorId="0" ref="AA282">
      <text>
        <r>
          <rPr>
            <rFont val="Tahoma"/>
            <b val="true"/>
            <color rgb="000000" tint="0"/>
            <sz val="9"/>
          </rPr>
          <t>SCBS-R:</t>
        </r>
        <r>
          <t xml:space="preserve">
</t>
        </r>
        <r>
          <rPr>
            <rFont val="Tahoma"/>
            <i val="true"/>
            <color rgb="000000" tint="0"/>
            <sz val="8"/>
          </rPr>
          <t>b6b5 - Value</t>
        </r>
        <r>
          <t xml:space="preserve">
</t>
        </r>
        <r>
          <rPr>
            <rFont val="Tahoma"/>
            <b val="true"/>
            <color rgb="000000" tint="0"/>
            <sz val="9"/>
          </rPr>
          <t>00</t>
        </r>
        <r>
          <rPr>
            <rFont val="Tahoma"/>
            <color rgb="000000" tint="0"/>
            <sz val="9"/>
          </rPr>
          <t xml:space="preserve"> - Off (W/Parking overlays Off)</t>
        </r>
        <r>
          <t xml:space="preserve">
</t>
        </r>
        <r>
          <rPr>
            <rFont val="Tahoma"/>
            <b val="true"/>
            <color rgb="000000" tint="0"/>
            <sz val="9"/>
          </rPr>
          <t>01</t>
        </r>
        <r>
          <rPr>
            <rFont val="Tahoma"/>
            <color rgb="000000" tint="0"/>
            <sz val="9"/>
          </rPr>
          <t xml:space="preserve"> - Off (W/Parking overlays On)</t>
        </r>
        <r>
          <t xml:space="preserve">
</t>
        </r>
        <r>
          <rPr>
            <rFont val="Tahoma"/>
            <b val="true"/>
            <color rgb="000000" tint="0"/>
            <sz val="9"/>
          </rPr>
          <t>10</t>
        </r>
        <r>
          <rPr>
            <rFont val="Tahoma"/>
            <color rgb="000000" tint="0"/>
            <sz val="9"/>
          </rPr>
          <t xml:space="preserve"> - On (W/Parking overlays On)</t>
        </r>
      </text>
    </comment>
    <comment authorId="0" ref="S458">
      <text>
        <r>
          <rPr>
            <rFont val="Tahoma"/>
            <b val="true"/>
            <color rgb="000000" tint="0"/>
            <sz val="9"/>
          </rPr>
          <t>Related to Low Level W/shield washer Liquid (in 720-01-01 B1 b5=1)</t>
        </r>
      </text>
    </comment>
    <comment authorId="0" ref="S10">
      <text>
        <r>
          <rPr>
            <rFont val="Tahoma"/>
            <b val="true"/>
            <color rgb="000000" tint="0"/>
            <sz val="9"/>
          </rPr>
          <t>Changes inscriptions in IC;</t>
        </r>
        <r>
          <t xml:space="preserve">
</t>
        </r>
        <r>
          <rPr>
            <rFont val="Tahoma"/>
            <b val="true"/>
            <color rgb="000000" tint="0"/>
            <sz val="9"/>
          </rPr>
          <t>De/Activates region-specific functions.</t>
        </r>
        <r>
          <t xml:space="preserve">
</t>
        </r>
        <r>
          <t xml:space="preserve">
</t>
        </r>
        <r>
          <rPr>
            <rFont val="Tahoma"/>
            <b val="true"/>
            <color rgb="000000" tint="0"/>
            <sz val="9"/>
          </rPr>
          <t>Region code:</t>
        </r>
        <r>
          <t xml:space="preserve">
</t>
        </r>
        <r>
          <rPr>
            <rFont val="Tahoma"/>
            <color rgb="000000" tint="0"/>
            <sz val="9"/>
          </rPr>
          <t>HEX [x</t>
        </r>
        <r>
          <rPr>
            <rFont val="Tahoma"/>
            <b val="true"/>
            <i val="true"/>
            <color rgb="000000" tint="0"/>
            <sz val="8"/>
          </rPr>
          <t>b3b2b1</t>
        </r>
        <r>
          <rPr>
            <rFont val="Tahoma"/>
            <i val="true"/>
            <color rgb="000000" tint="0"/>
            <sz val="8"/>
          </rPr>
          <t>b0] - Value (VIN code)</t>
        </r>
        <r>
          <t xml:space="preserve">
</t>
        </r>
        <r>
          <rPr>
            <rFont val="Tahoma"/>
            <color rgb="000000" tint="0"/>
            <sz val="9"/>
          </rPr>
          <t>x0 [x</t>
        </r>
        <r>
          <rPr>
            <rFont val="Tahoma"/>
            <b val="true"/>
            <color rgb="000000" tint="0"/>
            <sz val="9"/>
          </rPr>
          <t>000</t>
        </r>
        <r>
          <rPr>
            <rFont val="Tahoma"/>
            <color rgb="000000" tint="0"/>
            <sz val="9"/>
          </rPr>
          <t>0] - Japan</t>
        </r>
        <r>
          <t xml:space="preserve">
</t>
        </r>
        <r>
          <rPr>
            <rFont val="Tahoma"/>
            <color rgb="000000" tint="0"/>
            <sz val="9"/>
          </rPr>
          <t>x1 [x</t>
        </r>
        <r>
          <rPr>
            <rFont val="Tahoma"/>
            <b val="true"/>
            <color rgb="000000" tint="0"/>
            <sz val="9"/>
          </rPr>
          <t>000</t>
        </r>
        <r>
          <rPr>
            <rFont val="Tahoma"/>
            <color rgb="000000" tint="0"/>
            <sz val="9"/>
          </rPr>
          <t>1] - United Kingdom (JMZ)</t>
        </r>
        <r>
          <t xml:space="preserve">
</t>
        </r>
        <r>
          <rPr>
            <rFont val="Tahoma"/>
            <color rgb="000000" tint="0"/>
            <sz val="9"/>
          </rPr>
          <t>x2 [x</t>
        </r>
        <r>
          <rPr>
            <rFont val="Tahoma"/>
            <b val="true"/>
            <color rgb="000000" tint="0"/>
            <sz val="9"/>
          </rPr>
          <t>001</t>
        </r>
        <r>
          <rPr>
            <rFont val="Tahoma"/>
            <color rgb="000000" tint="0"/>
            <sz val="9"/>
          </rPr>
          <t>0] - ?</t>
        </r>
        <r>
          <t xml:space="preserve">
</t>
        </r>
        <r>
          <rPr>
            <rFont val="Tahoma"/>
            <color rgb="000000" tint="0"/>
            <sz val="9"/>
          </rPr>
          <t>x3 [x</t>
        </r>
        <r>
          <rPr>
            <rFont val="Tahoma"/>
            <b val="true"/>
            <color rgb="000000" tint="0"/>
            <sz val="9"/>
          </rPr>
          <t>001</t>
        </r>
        <r>
          <rPr>
            <rFont val="Tahoma"/>
            <color rgb="000000" tint="0"/>
            <sz val="9"/>
          </rPr>
          <t>1] - Europe (3MD, 3MZ, JMZ, MMZ)</t>
        </r>
        <r>
          <t xml:space="preserve">
</t>
        </r>
        <r>
          <rPr>
            <rFont val="Tahoma"/>
            <color rgb="000000" tint="0"/>
            <sz val="9"/>
          </rPr>
          <t>x4 [x</t>
        </r>
        <r>
          <rPr>
            <rFont val="Tahoma"/>
            <b val="true"/>
            <color rgb="000000" tint="0"/>
            <sz val="9"/>
          </rPr>
          <t>010</t>
        </r>
        <r>
          <rPr>
            <rFont val="Tahoma"/>
            <color rgb="000000" tint="0"/>
            <sz val="9"/>
          </rPr>
          <t>0] - ?</t>
        </r>
        <r>
          <t xml:space="preserve">
</t>
        </r>
        <r>
          <rPr>
            <rFont val="Tahoma"/>
            <color rgb="000000" tint="0"/>
            <sz val="9"/>
          </rPr>
          <t>x5 [x</t>
        </r>
        <r>
          <rPr>
            <rFont val="Tahoma"/>
            <b val="true"/>
            <color rgb="000000" tint="0"/>
            <sz val="9"/>
          </rPr>
          <t>010</t>
        </r>
        <r>
          <rPr>
            <rFont val="Tahoma"/>
            <color rgb="000000" tint="0"/>
            <sz val="9"/>
          </rPr>
          <t>1] - USA (3MZ, JM1, JM3)</t>
        </r>
        <r>
          <t xml:space="preserve">
</t>
        </r>
        <r>
          <rPr>
            <rFont val="Tahoma"/>
            <color rgb="000000" tint="0"/>
            <sz val="9"/>
          </rPr>
          <t>x6 [x</t>
        </r>
        <r>
          <rPr>
            <rFont val="Tahoma"/>
            <b val="true"/>
            <color rgb="000000" tint="0"/>
            <sz val="9"/>
          </rPr>
          <t>011</t>
        </r>
        <r>
          <rPr>
            <rFont val="Tahoma"/>
            <color rgb="000000" tint="0"/>
            <sz val="9"/>
          </rPr>
          <t>0] - Canada (JM1, 3MZ)</t>
        </r>
        <r>
          <t xml:space="preserve">
</t>
        </r>
        <r>
          <rPr>
            <rFont val="Tahoma"/>
            <color rgb="000000" tint="0"/>
            <sz val="9"/>
          </rPr>
          <t>x7 [x</t>
        </r>
        <r>
          <rPr>
            <rFont val="Tahoma"/>
            <b val="true"/>
            <color rgb="000000" tint="0"/>
            <sz val="9"/>
          </rPr>
          <t>011</t>
        </r>
        <r>
          <rPr>
            <rFont val="Tahoma"/>
            <color rgb="000000" tint="0"/>
            <sz val="9"/>
          </rPr>
          <t>1] - Canada (JM1, 3MZ)</t>
        </r>
        <r>
          <t xml:space="preserve">
</t>
        </r>
        <r>
          <rPr>
            <rFont val="Tahoma"/>
            <color rgb="000000" tint="0"/>
            <sz val="9"/>
          </rPr>
          <t>x8 [x</t>
        </r>
        <r>
          <rPr>
            <rFont val="Tahoma"/>
            <b val="true"/>
            <color rgb="000000" tint="0"/>
            <sz val="9"/>
          </rPr>
          <t>100</t>
        </r>
        <r>
          <rPr>
            <rFont val="Tahoma"/>
            <color rgb="000000" tint="0"/>
            <sz val="9"/>
          </rPr>
          <t>0] - Australia (JM0, MM0)</t>
        </r>
        <r>
          <t xml:space="preserve">
</t>
        </r>
        <r>
          <rPr>
            <rFont val="Tahoma"/>
            <color rgb="000000" tint="0"/>
            <sz val="9"/>
          </rPr>
          <t>x9 [x</t>
        </r>
        <r>
          <rPr>
            <rFont val="Tahoma"/>
            <b val="true"/>
            <color rgb="000000" tint="0"/>
            <sz val="9"/>
          </rPr>
          <t>100</t>
        </r>
        <r>
          <rPr>
            <rFont val="Tahoma"/>
            <color rgb="000000" tint="0"/>
            <sz val="9"/>
          </rPr>
          <t>1] - Australia (JM0, MM0)</t>
        </r>
        <r>
          <t xml:space="preserve">
</t>
        </r>
        <r>
          <rPr>
            <rFont val="Tahoma"/>
            <color rgb="000000" tint="0"/>
            <sz val="9"/>
          </rPr>
          <t>xA [x</t>
        </r>
        <r>
          <rPr>
            <rFont val="Tahoma"/>
            <b val="true"/>
            <color rgb="000000" tint="0"/>
            <sz val="9"/>
          </rPr>
          <t>101</t>
        </r>
        <r>
          <rPr>
            <rFont val="Tahoma"/>
            <color rgb="000000" tint="0"/>
            <sz val="9"/>
          </rPr>
          <t>0] - South America/Asia (3MZ, JM6, JM7, MM6, MM7, MM8, PP1, RN2)</t>
        </r>
        <r>
          <t xml:space="preserve">
</t>
        </r>
        <r>
          <rPr>
            <rFont val="Tahoma"/>
            <color rgb="000000" tint="0"/>
            <sz val="9"/>
          </rPr>
          <t>xB [x</t>
        </r>
        <r>
          <rPr>
            <rFont val="Tahoma"/>
            <b val="true"/>
            <color rgb="000000" tint="0"/>
            <sz val="9"/>
          </rPr>
          <t>101</t>
        </r>
        <r>
          <rPr>
            <rFont val="Tahoma"/>
            <color rgb="000000" tint="0"/>
            <sz val="9"/>
          </rPr>
          <t>1] - South America/Asia (JM7, JM8)</t>
        </r>
        <r>
          <t xml:space="preserve">
</t>
        </r>
        <r>
          <rPr>
            <rFont val="Tahoma"/>
            <color rgb="000000" tint="0"/>
            <sz val="9"/>
          </rPr>
          <t>xC [x</t>
        </r>
        <r>
          <rPr>
            <rFont val="Tahoma"/>
            <b val="true"/>
            <color rgb="000000" tint="0"/>
            <sz val="9"/>
          </rPr>
          <t>110</t>
        </r>
        <r>
          <rPr>
            <rFont val="Tahoma"/>
            <color rgb="000000" tint="0"/>
            <sz val="9"/>
          </rPr>
          <t>0] - ?</t>
        </r>
        <r>
          <t xml:space="preserve">
</t>
        </r>
        <r>
          <rPr>
            <rFont val="Tahoma"/>
            <color rgb="000000" tint="0"/>
            <sz val="9"/>
          </rPr>
          <t>xD [x</t>
        </r>
        <r>
          <rPr>
            <rFont val="Tahoma"/>
            <b val="true"/>
            <color rgb="000000" tint="0"/>
            <sz val="9"/>
          </rPr>
          <t>110</t>
        </r>
        <r>
          <rPr>
            <rFont val="Tahoma"/>
            <color rgb="000000" tint="0"/>
            <sz val="9"/>
          </rPr>
          <t>1] - China (LFP)</t>
        </r>
        <r>
          <t xml:space="preserve">
</t>
        </r>
        <r>
          <rPr>
            <rFont val="Tahoma"/>
            <color rgb="000000" tint="0"/>
            <sz val="9"/>
          </rPr>
          <t>xE [x</t>
        </r>
        <r>
          <rPr>
            <rFont val="Tahoma"/>
            <b val="true"/>
            <color rgb="000000" tint="0"/>
            <sz val="9"/>
          </rPr>
          <t>111</t>
        </r>
        <r>
          <rPr>
            <rFont val="Tahoma"/>
            <color rgb="000000" tint="0"/>
            <sz val="9"/>
          </rPr>
          <t>0] - Saudi Arabia (JM7)</t>
        </r>
        <r>
          <t xml:space="preserve">
</t>
        </r>
        <r>
          <rPr>
            <rFont val="Tahoma"/>
            <color rgb="000000" tint="0"/>
            <sz val="9"/>
          </rPr>
          <t>xF [x</t>
        </r>
        <r>
          <rPr>
            <rFont val="Tahoma"/>
            <b val="true"/>
            <color rgb="000000" tint="0"/>
            <sz val="9"/>
          </rPr>
          <t>111</t>
        </r>
        <r>
          <rPr>
            <rFont val="Tahoma"/>
            <color rgb="000000" tint="0"/>
            <sz val="9"/>
          </rPr>
          <t>1] - Saudi Arabia (JM5)</t>
        </r>
        <r>
          <t xml:space="preserve">
</t>
        </r>
        <r>
          <t xml:space="preserve">
</t>
        </r>
        <r>
          <rPr>
            <rFont val="Tahoma"/>
            <color rgb="000000" tint="0"/>
            <sz val="9"/>
          </rPr>
          <t>Known differences:</t>
        </r>
        <r>
          <t xml:space="preserve">
</t>
        </r>
        <r>
          <rPr>
            <rFont val="Tahoma"/>
            <color rgb="000000" tint="0"/>
            <sz val="9"/>
          </rPr>
          <t>- USA does not have front/rear Fog light indicator on IC [Mazda 3]</t>
        </r>
        <r>
          <t xml:space="preserve">
</t>
        </r>
        <r>
          <rPr>
            <rFont val="Tahoma"/>
            <color rgb="000000" tint="0"/>
            <sz val="9"/>
          </rPr>
          <t>- Road sign indication (TSR function) is different on Active Driving Display and IC display (i.e. square vs round speed limit signs)</t>
        </r>
        <r>
          <t xml:space="preserve">
</t>
        </r>
        <r>
          <rPr>
            <rFont val="Tahoma"/>
            <color rgb="000000" tint="0"/>
            <sz val="9"/>
          </rPr>
          <t>- Supported IC language list is different</t>
        </r>
        <r>
          <t xml:space="preserve">
</t>
        </r>
        <r>
          <rPr>
            <rFont val="Tahoma"/>
            <color rgb="000000" tint="0"/>
            <sz val="9"/>
          </rPr>
          <t>- IC indication is different (E/F vs 0/1 for Fuel; AVG vs Ø for average; "Range" vs gas pump icon; "Current" vs "") [Mazda 3]</t>
        </r>
        <r>
          <t xml:space="preserve">
</t>
        </r>
        <r>
          <rPr>
            <rFont val="Tahoma"/>
            <color rgb="000000" tint="0"/>
            <sz val="9"/>
          </rPr>
          <t>- LIM function is not supported in USA [Mazda 3]</t>
        </r>
        <r>
          <t xml:space="preserve">
</t>
        </r>
        <r>
          <rPr>
            <rFont val="Tahoma"/>
            <color rgb="000000" tint="0"/>
            <sz val="9"/>
          </rPr>
          <t>- LIM indicator is present in Europe [Mazda 3]</t>
        </r>
        <r>
          <t xml:space="preserve">
</t>
        </r>
        <r>
          <rPr>
            <rFont val="Tahoma"/>
            <color rgb="000000" tint="0"/>
            <sz val="9"/>
          </rPr>
          <t>- Compass icon and Cardinal+Ordinal direction (N, E, S, W, etc.) on IC is not present in Europe</t>
        </r>
        <r>
          <t xml:space="preserve">
</t>
        </r>
        <r>
          <rPr>
            <rFont val="Tahoma"/>
            <color rgb="000000" tint="0"/>
            <sz val="9"/>
          </rPr>
          <t>- Indicator Unit wiring and logic difference can cause Air Bag DTC between Europe and USA</t>
        </r>
      </text>
    </comment>
    <comment authorId="0" ref="W8">
      <text>
        <r>
          <rPr>
            <rFont val="Tahoma"/>
            <b val="true"/>
            <color rgb="000000" tint="0"/>
            <sz val="9"/>
          </rPr>
          <t xml:space="preserve">Low Level Windshield Washer Fluid indicator: </t>
        </r>
        <r>
          <rPr>
            <rFont val="Tahoma"/>
            <color rgb="000000" tint="0"/>
            <sz val="9"/>
          </rPr>
          <t>0 - Disabled / 1 - Enabled</t>
        </r>
      </text>
    </comment>
    <comment authorId="0" ref="AA469">
      <text>
        <r>
          <rPr>
            <rFont val="Tahoma"/>
            <b val="true"/>
            <color rgb="000000" tint="0"/>
            <sz val="9"/>
          </rPr>
          <t>00 = HALO M2;</t>
        </r>
        <r>
          <t xml:space="preserve">
</t>
        </r>
        <r>
          <rPr>
            <rFont val="Tahoma"/>
            <b val="true"/>
            <color rgb="000000" tint="0"/>
            <sz val="9"/>
          </rPr>
          <t>01 = HALO CX-3;</t>
        </r>
        <r>
          <t xml:space="preserve">
</t>
        </r>
        <r>
          <rPr>
            <rFont val="Tahoma"/>
            <b val="true"/>
            <color rgb="000000" tint="0"/>
            <sz val="9"/>
          </rPr>
          <t>11 = LED</t>
        </r>
      </text>
    </comment>
    <comment authorId="0" ref="S111">
      <text>
        <r>
          <rPr>
            <rFont val="Tahoma"/>
            <b val="true"/>
            <color rgb="000000" tint="0"/>
            <sz val="9"/>
          </rPr>
          <t>Turn - Indicator Volume:</t>
        </r>
        <r>
          <t xml:space="preserve">
</t>
        </r>
        <r>
          <rPr>
            <rFont val="Tahoma"/>
            <i val="true"/>
            <color rgb="000000" tint="0"/>
            <sz val="8"/>
          </rPr>
          <t>b1b0 -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Low</t>
        </r>
        <r>
          <t xml:space="preserve">
</t>
        </r>
        <r>
          <rPr>
            <rFont val="Tahoma"/>
            <b val="true"/>
            <color rgb="000000" tint="0"/>
            <sz val="9"/>
          </rPr>
          <t>10</t>
        </r>
        <r>
          <rPr>
            <rFont val="Tahoma"/>
            <color rgb="000000" tint="0"/>
            <sz val="9"/>
          </rPr>
          <t xml:space="preserve"> - High</t>
        </r>
      </text>
    </comment>
    <comment authorId="0" ref="AA382">
      <text>
        <r>
          <rPr>
            <rFont val="Tahoma"/>
            <b val="true"/>
            <color rgb="000000" tint="0"/>
            <sz val="9"/>
          </rPr>
          <t>i-ELOOP:</t>
        </r>
        <r>
          <t xml:space="preserve">
</t>
        </r>
        <r>
          <rPr>
            <rFont val="Tahoma"/>
            <i val="true"/>
            <color rgb="000000" tint="0"/>
            <sz val="8"/>
          </rPr>
          <t>b5b4 - Value</t>
        </r>
        <r>
          <t xml:space="preserve">
</t>
        </r>
        <r>
          <rPr>
            <rFont val="Tahoma"/>
            <b val="true"/>
            <color rgb="000000" tint="0"/>
            <sz val="9"/>
          </rPr>
          <t>01</t>
        </r>
        <r>
          <rPr>
            <rFont val="Tahoma"/>
            <color rgb="000000" tint="0"/>
            <sz val="9"/>
          </rPr>
          <t xml:space="preserve"> - Off</t>
        </r>
        <r>
          <t xml:space="preserve">
</t>
        </r>
        <r>
          <rPr>
            <rFont val="Tahoma"/>
            <b val="true"/>
            <color rgb="000000" tint="0"/>
            <sz val="9"/>
          </rPr>
          <t>10</t>
        </r>
        <r>
          <rPr>
            <rFont val="Tahoma"/>
            <color rgb="000000" tint="0"/>
            <sz val="9"/>
          </rPr>
          <t xml:space="preserve"> - On</t>
        </r>
      </text>
    </comment>
    <comment authorId="0" ref="S314">
      <text>
        <r>
          <rPr>
            <rFont val="Tahoma"/>
            <b val="true"/>
            <color rgb="000000" tint="0"/>
            <sz val="9"/>
          </rPr>
          <t>LDWS/LAS/HBC/ALH:</t>
        </r>
        <r>
          <t xml:space="preserve">
</t>
        </r>
        <r>
          <rPr>
            <rFont val="Tahoma"/>
            <i val="true"/>
            <color rgb="000000" tint="0"/>
            <sz val="8"/>
          </rPr>
          <t>b7b6b5b4 - Value</t>
        </r>
        <r>
          <t xml:space="preserve">
</t>
        </r>
        <r>
          <rPr>
            <rFont val="Tahoma"/>
            <b val="true"/>
            <color rgb="000000" tint="0"/>
            <sz val="9"/>
          </rPr>
          <t>0000</t>
        </r>
        <r>
          <rPr>
            <rFont val="Tahoma"/>
            <color rgb="000000" tint="0"/>
            <sz val="9"/>
          </rPr>
          <t xml:space="preserve"> - ?</t>
        </r>
        <r>
          <t xml:space="preserve">
</t>
        </r>
        <r>
          <rPr>
            <rFont val="Tahoma"/>
            <b val="true"/>
            <color rgb="000000" tint="0"/>
            <sz val="9"/>
          </rPr>
          <t>0001</t>
        </r>
        <r>
          <rPr>
            <rFont val="Tahoma"/>
            <color rgb="000000" tint="0"/>
            <sz val="9"/>
          </rPr>
          <t xml:space="preserve"> - No LDWS/LAS/HBC/ALH</t>
        </r>
        <r>
          <t xml:space="preserve">
</t>
        </r>
        <r>
          <rPr>
            <rFont val="Tahoma"/>
            <b val="true"/>
            <color rgb="000000" tint="0"/>
            <sz val="9"/>
          </rPr>
          <t>0010</t>
        </r>
        <r>
          <rPr>
            <rFont val="Tahoma"/>
            <color rgb="000000" tint="0"/>
            <sz val="9"/>
          </rPr>
          <t xml:space="preserve"> - LDWS+HBC [FSC Gen 1]</t>
        </r>
        <r>
          <t xml:space="preserve">
</t>
        </r>
        <r>
          <rPr>
            <rFont val="Tahoma"/>
            <b val="true"/>
            <color rgb="000000" tint="0"/>
            <sz val="9"/>
          </rPr>
          <t>0011</t>
        </r>
        <r>
          <rPr>
            <rFont val="Tahoma"/>
            <color rgb="000000" tint="0"/>
            <sz val="9"/>
          </rPr>
          <t xml:space="preserve"> - HBC [?]</t>
        </r>
        <r>
          <t xml:space="preserve">
</t>
        </r>
        <r>
          <rPr>
            <rFont val="Tahoma"/>
            <b val="true"/>
            <color rgb="000000" tint="0"/>
            <sz val="9"/>
          </rPr>
          <t>0100</t>
        </r>
        <r>
          <rPr>
            <rFont val="Tahoma"/>
            <color rgb="000000" tint="0"/>
            <sz val="9"/>
          </rPr>
          <t xml:space="preserve"> - LDWS [FSC Gen 1]</t>
        </r>
        <r>
          <t xml:space="preserve">
</t>
        </r>
        <r>
          <rPr>
            <rFont val="Tahoma"/>
            <b val="true"/>
            <color rgb="000000" tint="0"/>
            <sz val="9"/>
          </rPr>
          <t>0101</t>
        </r>
        <r>
          <rPr>
            <rFont val="Tahoma"/>
            <color rgb="000000" tint="0"/>
            <sz val="9"/>
          </rPr>
          <t xml:space="preserve"> - LDWS+HBC [?]</t>
        </r>
        <r>
          <t xml:space="preserve">
</t>
        </r>
        <r>
          <rPr>
            <rFont val="Tahoma"/>
            <b val="true"/>
            <color rgb="000000" tint="0"/>
            <sz val="9"/>
          </rPr>
          <t>0110</t>
        </r>
        <r>
          <rPr>
            <rFont val="Tahoma"/>
            <color rgb="000000" tint="0"/>
            <sz val="9"/>
          </rPr>
          <t xml:space="preserve"> - ?</t>
        </r>
        <r>
          <t xml:space="preserve">
</t>
        </r>
        <r>
          <rPr>
            <rFont val="Tahoma"/>
            <b val="true"/>
            <color rgb="000000" tint="0"/>
            <sz val="9"/>
          </rPr>
          <t>0111</t>
        </r>
        <r>
          <rPr>
            <rFont val="Tahoma"/>
            <color rgb="000000" tint="0"/>
            <sz val="9"/>
          </rPr>
          <t xml:space="preserve"> - LDWS [?]</t>
        </r>
        <r>
          <t xml:space="preserve">
</t>
        </r>
        <r>
          <rPr>
            <rFont val="Tahoma"/>
            <b val="true"/>
            <color rgb="000000" tint="0"/>
            <sz val="9"/>
          </rPr>
          <t>1000</t>
        </r>
        <r>
          <rPr>
            <rFont val="Tahoma"/>
            <color rgb="000000" tint="0"/>
            <sz val="9"/>
          </rPr>
          <t xml:space="preserve"> - HBC [?]</t>
        </r>
        <r>
          <t xml:space="preserve">
</t>
        </r>
        <r>
          <rPr>
            <rFont val="Tahoma"/>
            <b val="true"/>
            <color rgb="000000" tint="0"/>
            <sz val="9"/>
          </rPr>
          <t>1001</t>
        </r>
        <r>
          <rPr>
            <rFont val="Tahoma"/>
            <color rgb="000000" tint="0"/>
            <sz val="9"/>
          </rPr>
          <t xml:space="preserve"> - LDWS+HBC [FSC Gen 2]</t>
        </r>
        <r>
          <t xml:space="preserve">
</t>
        </r>
        <r>
          <rPr>
            <rFont val="Tahoma"/>
            <b val="true"/>
            <color rgb="000000" tint="0"/>
            <sz val="9"/>
          </rPr>
          <t>1010</t>
        </r>
        <r>
          <rPr>
            <rFont val="Tahoma"/>
            <color rgb="000000" tint="0"/>
            <sz val="9"/>
          </rPr>
          <t xml:space="preserve"> - LDWS+ALH [FSC Gen 1/2]</t>
        </r>
        <r>
          <t xml:space="preserve">
</t>
        </r>
        <r>
          <rPr>
            <rFont val="Tahoma"/>
            <b val="true"/>
            <color rgb="000000" tint="0"/>
            <sz val="9"/>
          </rPr>
          <t>1011</t>
        </r>
        <r>
          <rPr>
            <rFont val="Tahoma"/>
            <color rgb="000000" tint="0"/>
            <sz val="9"/>
          </rPr>
          <t xml:space="preserve"> - LAS+ALH [FSC Gen 1/2]</t>
        </r>
        <r>
          <t xml:space="preserve">
</t>
        </r>
        <r>
          <rPr>
            <rFont val="Tahoma"/>
            <b val="true"/>
            <color rgb="000000" tint="0"/>
            <sz val="9"/>
          </rPr>
          <t>1100</t>
        </r>
        <r>
          <rPr>
            <rFont val="Tahoma"/>
            <color rgb="000000" tint="0"/>
            <sz val="9"/>
          </rPr>
          <t xml:space="preserve"> - LAS+HBC [FSC Gen 1/2]</t>
        </r>
        <r>
          <t xml:space="preserve">
</t>
        </r>
        <r>
          <rPr>
            <rFont val="Tahoma"/>
            <b val="true"/>
            <color rgb="000000" tint="0"/>
            <sz val="9"/>
          </rPr>
          <t>1101</t>
        </r>
        <r>
          <rPr>
            <rFont val="Tahoma"/>
            <color rgb="000000" tint="0"/>
            <sz val="9"/>
          </rPr>
          <t xml:space="preserve"> - LAS [FSC Gen 2]</t>
        </r>
        <r>
          <t xml:space="preserve">
</t>
        </r>
        <r>
          <rPr>
            <rFont val="Tahoma"/>
            <b val="true"/>
            <color rgb="000000" tint="0"/>
            <sz val="9"/>
          </rPr>
          <t>1110</t>
        </r>
        <r>
          <rPr>
            <rFont val="Tahoma"/>
            <color rgb="000000" tint="0"/>
            <sz val="9"/>
          </rPr>
          <t xml:space="preserve"> - ?</t>
        </r>
        <r>
          <t xml:space="preserve">
</t>
        </r>
        <r>
          <rPr>
            <rFont val="Tahoma"/>
            <b val="true"/>
            <color rgb="000000" tint="0"/>
            <sz val="9"/>
          </rPr>
          <t>1111</t>
        </r>
        <r>
          <rPr>
            <rFont val="Tahoma"/>
            <color rgb="000000" tint="0"/>
            <sz val="9"/>
          </rPr>
          <t xml:space="preserve"> - ?</t>
        </r>
      </text>
    </comment>
    <comment authorId="0" ref="W214">
      <text>
        <r>
          <rPr>
            <rFont val="Tahoma"/>
            <b val="true"/>
            <color rgb="000000" tint="0"/>
            <sz val="9"/>
          </rPr>
          <t>(Do not change anything below)</t>
        </r>
      </text>
    </comment>
    <comment authorId="0" ref="AA11">
      <text>
        <r>
          <rPr>
            <rFont val="Tahoma"/>
            <b val="true"/>
            <color rgb="000000" tint="0"/>
            <sz val="9"/>
            <u val="single"/>
          </rPr>
          <t>BF11=</t>
        </r>
        <r>
          <t xml:space="preserve">
</t>
        </r>
        <r>
          <rPr>
            <rFont val="Tahoma"/>
            <i val="true"/>
            <color rgb="000000" tint="0"/>
            <sz val="9"/>
          </rPr>
          <t>b2b1- Value:</t>
        </r>
        <r>
          <t xml:space="preserve">
</t>
        </r>
        <r>
          <rPr>
            <rFont val="Tahoma"/>
            <b val="true"/>
            <color rgb="000000" tint="0"/>
            <sz val="9"/>
          </rPr>
          <t xml:space="preserve">00 - </t>
        </r>
        <r>
          <rPr>
            <rFont val="Tahoma"/>
            <color rgb="000000" tint="0"/>
            <sz val="9"/>
          </rPr>
          <t>BF11=000000000000,</t>
        </r>
        <r>
          <t xml:space="preserve">
</t>
        </r>
        <r>
          <rPr>
            <rFont val="Tahoma"/>
            <b val="true"/>
            <color rgb="000000" tint="0"/>
            <sz val="9"/>
          </rPr>
          <t xml:space="preserve">01 - </t>
        </r>
        <r>
          <rPr>
            <rFont val="Tahoma"/>
            <color rgb="000000" tint="0"/>
            <sz val="9"/>
          </rPr>
          <t>BF11&gt;000000000000,</t>
        </r>
        <r>
          <t xml:space="preserve">
</t>
        </r>
        <r>
          <rPr>
            <rFont val="Tahoma"/>
            <b val="true"/>
            <color rgb="000000" tint="0"/>
            <sz val="9"/>
          </rPr>
          <t xml:space="preserve">10 - </t>
        </r>
        <r>
          <rPr>
            <rFont val="Tahoma"/>
            <color rgb="000000" tint="0"/>
            <sz val="9"/>
          </rPr>
          <t>BF11=000000000000 (JP only)</t>
        </r>
      </text>
    </comment>
    <comment authorId="0" ref="AE7">
      <text>
        <r>
          <rPr>
            <rFont val="Tahoma"/>
            <b val="true"/>
            <color rgb="000000" tint="0"/>
            <sz val="9"/>
          </rPr>
          <t>Fuel Consumption Units</t>
        </r>
        <r>
          <rPr>
            <rFont val="Tahoma"/>
            <color rgb="000000" tint="0"/>
            <sz val="9"/>
          </rPr>
          <t xml:space="preserve">: </t>
        </r>
        <r>
          <rPr>
            <rFont val="Tahoma"/>
            <b val="true"/>
            <color rgb="000000" tint="0"/>
            <sz val="9"/>
          </rPr>
          <t>0</t>
        </r>
        <r>
          <rPr>
            <rFont val="Tahoma"/>
            <color rgb="000000" tint="0"/>
            <sz val="9"/>
          </rPr>
          <t xml:space="preserve"> - L/100 Km; </t>
        </r>
        <r>
          <rPr>
            <rFont val="Tahoma"/>
            <b val="true"/>
            <color rgb="000000" tint="0"/>
            <sz val="9"/>
          </rPr>
          <t>1</t>
        </r>
        <r>
          <rPr>
            <rFont val="Tahoma"/>
            <color rgb="000000" tint="0"/>
            <sz val="9"/>
          </rPr>
          <t xml:space="preserve"> - MPG</t>
        </r>
        <r>
          <t xml:space="preserve">
</t>
        </r>
        <r>
          <rPr>
            <rFont val="Tahoma"/>
            <color rgb="000000" tint="0"/>
            <sz val="9"/>
          </rPr>
          <t>Tested on Mazda 6 GJ</t>
        </r>
      </text>
    </comment>
    <comment authorId="0" ref="AA105">
      <text>
        <r>
          <rPr>
            <rFont val="Tahoma"/>
            <b val="true"/>
            <color rgb="000000" tint="0"/>
            <sz val="9"/>
          </rPr>
          <t>Adaptive headligts (AFS):</t>
        </r>
        <r>
          <t xml:space="preserve">
</t>
        </r>
        <r>
          <rPr>
            <rFont val="Tahoma"/>
            <i val="true"/>
            <color rgb="000000" tint="0"/>
            <sz val="8"/>
          </rPr>
          <t>b7b6 - Value</t>
        </r>
        <r>
          <t xml:space="preserve">
</t>
        </r>
        <r>
          <rPr>
            <rFont val="Tahoma"/>
            <b val="true"/>
            <color rgb="000000" tint="0"/>
            <sz val="9"/>
          </rPr>
          <t>10</t>
        </r>
        <r>
          <rPr>
            <rFont val="Tahoma"/>
            <color rgb="000000" tint="0"/>
            <sz val="9"/>
          </rPr>
          <t xml:space="preserve"> - On </t>
        </r>
        <r>
          <t xml:space="preserve">
</t>
        </r>
        <r>
          <rPr>
            <rFont val="Tahoma"/>
            <b val="true"/>
            <color rgb="000000" tint="0"/>
            <sz val="9"/>
          </rPr>
          <t>01</t>
        </r>
        <r>
          <rPr>
            <rFont val="Tahoma"/>
            <color rgb="000000" tint="0"/>
            <sz val="9"/>
          </rPr>
          <t xml:space="preserve"> - Off</t>
        </r>
      </text>
    </comment>
    <comment authorId="0" ref="S481">
      <text>
        <r>
          <rPr>
            <rFont val="Tahoma"/>
            <b val="true"/>
            <color rgb="000000" tint="0"/>
            <sz val="9"/>
          </rPr>
          <t>01 = JPN only;</t>
        </r>
        <r>
          <t xml:space="preserve">
</t>
        </r>
        <r>
          <rPr>
            <rFont val="Tahoma"/>
            <b val="true"/>
            <color rgb="000000" tint="0"/>
            <sz val="9"/>
          </rPr>
          <t>11 = any except JPN</t>
        </r>
      </text>
    </comment>
    <comment authorId="0" ref="W109">
      <text>
        <r>
          <rPr>
            <rFont val="Tahoma"/>
            <b val="true"/>
            <color rgb="000000" tint="0"/>
            <sz val="9"/>
          </rPr>
          <t>LDWS Volume:</t>
        </r>
        <r>
          <t xml:space="preserve">
</t>
        </r>
        <r>
          <rPr>
            <rFont val="Tahoma"/>
            <i val="true"/>
            <color rgb="000000" tint="0"/>
            <sz val="8"/>
          </rPr>
          <t>b3b2 -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Volume 1</t>
        </r>
        <r>
          <t xml:space="preserve">
</t>
        </r>
        <r>
          <rPr>
            <rFont val="Tahoma"/>
            <b val="true"/>
            <color rgb="000000" tint="0"/>
            <sz val="9"/>
          </rPr>
          <t>10</t>
        </r>
        <r>
          <rPr>
            <rFont val="Tahoma"/>
            <color rgb="000000" tint="0"/>
            <sz val="9"/>
          </rPr>
          <t xml:space="preserve"> - Volume 2</t>
        </r>
        <r>
          <t xml:space="preserve">
</t>
        </r>
        <r>
          <rPr>
            <rFont val="Tahoma"/>
            <b val="true"/>
            <color rgb="000000" tint="0"/>
            <sz val="9"/>
          </rPr>
          <t>11</t>
        </r>
        <r>
          <rPr>
            <rFont val="Tahoma"/>
            <color rgb="000000" tint="0"/>
            <sz val="9"/>
          </rPr>
          <t xml:space="preserve"> - Volume 3</t>
        </r>
      </text>
    </comment>
  </commentList>
</comments>
</file>

<file path=xl/comments7.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S13">
      <text>
        <r>
          <rPr>
            <rFont val="Tahoma"/>
            <b val="true"/>
            <color rgb="000000" tint="0"/>
            <sz val="9"/>
          </rPr>
          <t>Bonnet Lock:</t>
        </r>
        <r>
          <rPr>
            <rFont val="Tahoma"/>
            <color rgb="000000" tint="0"/>
            <sz val="9"/>
          </rPr>
          <t xml:space="preserve"> </t>
        </r>
        <r>
          <rPr>
            <rFont val="Tahoma"/>
            <b val="true"/>
            <color rgb="000000" tint="0"/>
            <sz val="9"/>
          </rPr>
          <t>0</t>
        </r>
        <r>
          <rPr>
            <rFont val="Tahoma"/>
            <color rgb="000000" tint="0"/>
            <sz val="9"/>
          </rPr>
          <t xml:space="preserve"> - OFF / </t>
        </r>
        <r>
          <rPr>
            <rFont val="Tahoma"/>
            <b val="true"/>
            <color rgb="000000" tint="0"/>
            <sz val="9"/>
          </rPr>
          <t>1</t>
        </r>
        <r>
          <rPr>
            <rFont val="Tahoma"/>
            <color rgb="000000" tint="0"/>
            <sz val="9"/>
          </rPr>
          <t xml:space="preserve"> - ON</t>
        </r>
      </text>
    </comment>
    <comment authorId="0" ref="W28">
      <text>
        <r>
          <rPr>
            <rFont val="Tahoma"/>
            <b val="true"/>
            <color rgb="000000" tint="0"/>
            <sz val="9"/>
          </rPr>
          <t xml:space="preserve">Lighting - Coming Home Light (Default setting): </t>
        </r>
        <r>
          <t xml:space="preserve">
</t>
        </r>
        <r>
          <rPr>
            <rFont val="Tahoma"/>
            <i val="true"/>
            <color rgb="000000" tint="0"/>
            <sz val="8"/>
          </rPr>
          <t>b7b6b5 - Value</t>
        </r>
        <r>
          <t xml:space="preserve">
</t>
        </r>
        <r>
          <rPr>
            <rFont val="Tahoma"/>
            <b val="true"/>
            <color rgb="000000" tint="0"/>
            <sz val="9"/>
          </rPr>
          <t>000</t>
        </r>
        <r>
          <rPr>
            <rFont val="Tahoma"/>
            <color rgb="000000" tint="0"/>
            <sz val="9"/>
          </rPr>
          <t xml:space="preserve"> - Off</t>
        </r>
        <r>
          <t xml:space="preserve">
</t>
        </r>
        <r>
          <rPr>
            <rFont val="Tahoma"/>
            <b val="true"/>
            <color rgb="000000" tint="0"/>
            <sz val="9"/>
          </rPr>
          <t>001</t>
        </r>
        <r>
          <rPr>
            <rFont val="Tahoma"/>
            <color rgb="000000" tint="0"/>
            <sz val="9"/>
          </rPr>
          <t xml:space="preserve"> - 30 s</t>
        </r>
        <r>
          <t xml:space="preserve">
</t>
        </r>
        <r>
          <rPr>
            <rFont val="Tahoma"/>
            <b val="true"/>
            <color rgb="000000" tint="0"/>
            <sz val="9"/>
          </rPr>
          <t>010</t>
        </r>
        <r>
          <rPr>
            <rFont val="Tahoma"/>
            <color rgb="000000" tint="0"/>
            <sz val="9"/>
          </rPr>
          <t xml:space="preserve"> - 60 s</t>
        </r>
        <r>
          <t xml:space="preserve">
</t>
        </r>
        <r>
          <rPr>
            <rFont val="Tahoma"/>
            <b val="true"/>
            <color rgb="000000" tint="0"/>
            <sz val="9"/>
          </rPr>
          <t>011</t>
        </r>
        <r>
          <rPr>
            <rFont val="Tahoma"/>
            <color rgb="000000" tint="0"/>
            <sz val="9"/>
          </rPr>
          <t xml:space="preserve"> - 90 s</t>
        </r>
        <r>
          <t xml:space="preserve">
</t>
        </r>
        <r>
          <rPr>
            <rFont val="Tahoma"/>
            <b val="true"/>
            <color rgb="000000" tint="0"/>
            <sz val="9"/>
          </rPr>
          <t>100</t>
        </r>
        <r>
          <rPr>
            <rFont val="Tahoma"/>
            <color rgb="000000" tint="0"/>
            <sz val="9"/>
          </rPr>
          <t xml:space="preserve"> - 120 s</t>
        </r>
      </text>
    </comment>
    <comment authorId="0" ref="W39">
      <text>
        <r>
          <rPr>
            <rFont val="Tahoma"/>
            <b val="true"/>
            <color rgb="000000" tint="0"/>
            <sz val="9"/>
          </rPr>
          <t>Lighting - Interior Light Timeout-Door Close:</t>
        </r>
        <r>
          <t xml:space="preserve">
</t>
        </r>
        <r>
          <rPr>
            <rFont val="Tahoma"/>
            <i val="true"/>
            <color rgb="000000" tint="0"/>
            <sz val="8"/>
          </rPr>
          <t>b7b6b5 - Value</t>
        </r>
        <r>
          <t xml:space="preserve">
</t>
        </r>
        <r>
          <rPr>
            <rFont val="Tahoma"/>
            <b val="true"/>
            <color rgb="000000" tint="0"/>
            <sz val="9"/>
          </rPr>
          <t>000</t>
        </r>
        <r>
          <rPr>
            <rFont val="Tahoma"/>
            <color rgb="000000" tint="0"/>
            <sz val="9"/>
          </rPr>
          <t xml:space="preserve"> - N/A</t>
        </r>
        <r>
          <t xml:space="preserve">
</t>
        </r>
        <r>
          <rPr>
            <rFont val="Tahoma"/>
            <b val="true"/>
            <color rgb="000000" tint="0"/>
            <sz val="9"/>
          </rPr>
          <t>001</t>
        </r>
        <r>
          <rPr>
            <rFont val="Tahoma"/>
            <color rgb="000000" tint="0"/>
            <sz val="9"/>
          </rPr>
          <t xml:space="preserve"> - 15 seconds</t>
        </r>
        <r>
          <t xml:space="preserve">
</t>
        </r>
        <r>
          <rPr>
            <rFont val="Tahoma"/>
            <b val="true"/>
            <color rgb="000000" tint="0"/>
            <sz val="9"/>
          </rPr>
          <t>010</t>
        </r>
        <r>
          <rPr>
            <rFont val="Tahoma"/>
            <color rgb="000000" tint="0"/>
            <sz val="9"/>
          </rPr>
          <t xml:space="preserve"> - 1,5 seconds</t>
        </r>
        <r>
          <t xml:space="preserve">
</t>
        </r>
        <r>
          <rPr>
            <rFont val="Tahoma"/>
            <b val="true"/>
            <color rgb="000000" tint="0"/>
            <sz val="9"/>
          </rPr>
          <t>011</t>
        </r>
        <r>
          <rPr>
            <rFont val="Tahoma"/>
            <color rgb="000000" tint="0"/>
            <sz val="9"/>
          </rPr>
          <t xml:space="preserve"> - 30 seconds</t>
        </r>
        <r>
          <t xml:space="preserve">
</t>
        </r>
        <r>
          <rPr>
            <rFont val="Tahoma"/>
            <b val="true"/>
            <color rgb="000000" tint="0"/>
            <sz val="9"/>
          </rPr>
          <t>100</t>
        </r>
        <r>
          <rPr>
            <rFont val="Tahoma"/>
            <color rgb="000000" tint="0"/>
            <sz val="9"/>
          </rPr>
          <t xml:space="preserve"> - 60 seconds</t>
        </r>
      </text>
    </comment>
    <comment authorId="0" ref="AA39">
      <text>
        <r>
          <rPr>
            <rFont val="Tahoma"/>
            <b val="true"/>
            <color rgb="000000" tint="0"/>
            <sz val="9"/>
          </rPr>
          <t>Lighting - Headlight Off Timer:</t>
        </r>
        <r>
          <t xml:space="preserve">
</t>
        </r>
        <r>
          <rPr>
            <rFont val="Tahoma"/>
            <i val="true"/>
            <color rgb="000000" tint="0"/>
            <sz val="8"/>
          </rPr>
          <t>b7b6b5 - Value</t>
        </r>
        <r>
          <t xml:space="preserve">
</t>
        </r>
        <r>
          <rPr>
            <rFont val="Tahoma"/>
            <b val="true"/>
            <color rgb="000000" tint="0"/>
            <sz val="9"/>
          </rPr>
          <t>000</t>
        </r>
        <r>
          <rPr>
            <rFont val="Tahoma"/>
            <color rgb="000000" tint="0"/>
            <sz val="9"/>
          </rPr>
          <t xml:space="preserve"> - N/A</t>
        </r>
        <r>
          <t xml:space="preserve">
</t>
        </r>
        <r>
          <rPr>
            <rFont val="Tahoma"/>
            <b val="true"/>
            <color rgb="000000" tint="0"/>
            <sz val="9"/>
          </rPr>
          <t>001</t>
        </r>
        <r>
          <rPr>
            <rFont val="Tahoma"/>
            <color rgb="000000" tint="0"/>
            <sz val="9"/>
          </rPr>
          <t xml:space="preserve"> - Off</t>
        </r>
        <r>
          <t xml:space="preserve">
</t>
        </r>
        <r>
          <rPr>
            <rFont val="Tahoma"/>
            <b val="true"/>
            <color rgb="000000" tint="0"/>
            <sz val="9"/>
          </rPr>
          <t>010</t>
        </r>
        <r>
          <rPr>
            <rFont val="Tahoma"/>
            <color rgb="000000" tint="0"/>
            <sz val="9"/>
          </rPr>
          <t xml:space="preserve"> - 30 seconds</t>
        </r>
        <r>
          <t xml:space="preserve">
</t>
        </r>
        <r>
          <rPr>
            <rFont val="Tahoma"/>
            <b val="true"/>
            <color rgb="000000" tint="0"/>
            <sz val="9"/>
          </rPr>
          <t>011</t>
        </r>
        <r>
          <rPr>
            <rFont val="Tahoma"/>
            <color rgb="000000" tint="0"/>
            <sz val="9"/>
          </rPr>
          <t xml:space="preserve"> - 60 seconds</t>
        </r>
        <r>
          <t xml:space="preserve">
</t>
        </r>
        <r>
          <rPr>
            <rFont val="Tahoma"/>
            <b val="true"/>
            <color rgb="000000" tint="0"/>
            <sz val="9"/>
          </rPr>
          <t>100</t>
        </r>
        <r>
          <rPr>
            <rFont val="Tahoma"/>
            <color rgb="000000" tint="0"/>
            <sz val="9"/>
          </rPr>
          <t xml:space="preserve"> - 90 seconds</t>
        </r>
        <r>
          <t xml:space="preserve">
</t>
        </r>
        <r>
          <rPr>
            <rFont val="Tahoma"/>
            <b val="true"/>
            <color rgb="000000" tint="0"/>
            <sz val="9"/>
          </rPr>
          <t>101</t>
        </r>
        <r>
          <rPr>
            <rFont val="Tahoma"/>
            <color rgb="000000" tint="0"/>
            <sz val="9"/>
          </rPr>
          <t xml:space="preserve"> - 120 seconds</t>
        </r>
      </text>
    </comment>
    <comment authorId="0" ref="W31">
      <text>
        <r>
          <rPr>
            <rFont val="Tahoma"/>
            <b val="true"/>
            <color rgb="000000" tint="0"/>
            <sz val="9"/>
          </rPr>
          <t>Lighting - Headlight Off Timer:</t>
        </r>
        <r>
          <rPr>
            <rFont val="Tahoma"/>
            <color rgb="000000" tint="0"/>
            <sz val="9"/>
          </rPr>
          <t xml:space="preserve"> </t>
        </r>
        <r>
          <rPr>
            <rFont val="Tahoma"/>
            <b val="true"/>
            <color rgb="000000" tint="0"/>
            <sz val="9"/>
          </rPr>
          <t>0</t>
        </r>
        <r>
          <rPr>
            <rFont val="Tahoma"/>
            <color rgb="000000" tint="0"/>
            <sz val="9"/>
          </rPr>
          <t xml:space="preserve"> - Show / </t>
        </r>
        <r>
          <rPr>
            <rFont val="Tahoma"/>
            <b val="true"/>
            <color rgb="000000" tint="0"/>
            <sz val="9"/>
          </rPr>
          <t>1</t>
        </r>
        <r>
          <rPr>
            <rFont val="Tahoma"/>
            <color rgb="000000" tint="0"/>
            <sz val="9"/>
          </rPr>
          <t xml:space="preserve"> - Hide</t>
        </r>
      </text>
    </comment>
    <comment authorId="0" ref="AE39">
      <text>
        <r>
          <rPr>
            <rFont val="Tahoma"/>
            <b val="true"/>
            <color rgb="000000" tint="0"/>
            <sz val="9"/>
          </rPr>
          <t>Rain Sensing Wiper:</t>
        </r>
        <r>
          <t xml:space="preserve">
</t>
        </r>
        <r>
          <rPr>
            <rFont val="Tahoma"/>
            <i val="true"/>
            <color rgb="000000" tint="0"/>
            <sz val="8"/>
          </rPr>
          <t>b7b6 -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10</t>
        </r>
        <r>
          <rPr>
            <rFont val="Tahoma"/>
            <color rgb="000000" tint="0"/>
            <sz val="9"/>
          </rPr>
          <t xml:space="preserve"> - Enabled</t>
        </r>
        <r>
          <t xml:space="preserve">
</t>
        </r>
        <r>
          <rPr>
            <rFont val="Tahoma"/>
            <b val="true"/>
            <color rgb="000000" tint="0"/>
            <sz val="9"/>
          </rPr>
          <t>01</t>
        </r>
        <r>
          <rPr>
            <rFont val="Tahoma"/>
            <color rgb="000000" tint="0"/>
            <sz val="9"/>
          </rPr>
          <t xml:space="preserve"> - Disabled</t>
        </r>
      </text>
    </comment>
    <comment authorId="0" ref="S18">
      <text>
        <r>
          <rPr>
            <rFont val="Tahoma"/>
            <b val="true"/>
            <color rgb="000000" tint="0"/>
            <sz val="9"/>
          </rPr>
          <t>Horn on Lock (Find My Car):</t>
        </r>
        <r>
          <rPr>
            <rFont val="Tahoma"/>
            <color rgb="000000" tint="0"/>
            <sz val="9"/>
          </rPr>
          <t xml:space="preserve"> </t>
        </r>
        <r>
          <rPr>
            <rFont val="Tahoma"/>
            <b val="true"/>
            <color rgb="000000" tint="0"/>
            <sz val="9"/>
          </rPr>
          <t>0</t>
        </r>
        <r>
          <rPr>
            <rFont val="Tahoma"/>
            <color rgb="000000" tint="0"/>
            <sz val="9"/>
          </rPr>
          <t xml:space="preserve"> - Disabled / </t>
        </r>
        <r>
          <rPr>
            <rFont val="Tahoma"/>
            <b val="true"/>
            <color rgb="000000" tint="0"/>
            <sz val="9"/>
          </rPr>
          <t>1</t>
        </r>
        <r>
          <rPr>
            <rFont val="Tahoma"/>
            <color rgb="000000" tint="0"/>
            <sz val="9"/>
          </rPr>
          <t xml:space="preserve"> - Enabled</t>
        </r>
        <r>
          <t xml:space="preserve">
</t>
        </r>
        <r>
          <t xml:space="preserve">
</t>
        </r>
        <r>
          <rPr>
            <rFont val="Tahoma"/>
            <color rgb="000000" tint="0"/>
            <sz val="9"/>
          </rPr>
          <t>To confirm that all doors and the liftgate have been locked, press the lock button again within 5 seconds. If they are closed and locked, the horn will sound.</t>
        </r>
      </text>
    </comment>
    <comment authorId="0" ref="AE31">
      <text>
        <r>
          <rPr>
            <rFont val="Tahoma"/>
            <b val="true"/>
            <color rgb="000000" tint="0"/>
            <sz val="9"/>
          </rPr>
          <t>Lighting - Coming/Leaving Home Light: 0</t>
        </r>
        <r>
          <rPr>
            <rFont val="Tahoma"/>
            <color rgb="000000" tint="0"/>
            <sz val="9"/>
          </rPr>
          <t xml:space="preserve"> - Hide / </t>
        </r>
        <r>
          <rPr>
            <rFont val="Tahoma"/>
            <b val="true"/>
            <color rgb="000000" tint="0"/>
            <sz val="9"/>
          </rPr>
          <t>1</t>
        </r>
        <r>
          <rPr>
            <rFont val="Tahoma"/>
            <color rgb="000000" tint="0"/>
            <sz val="9"/>
          </rPr>
          <t xml:space="preserve"> - Show</t>
        </r>
      </text>
    </comment>
    <comment authorId="0" ref="AI39">
      <text>
        <r>
          <rPr>
            <rFont val="Tahoma"/>
            <b val="true"/>
            <color rgb="000000" tint="0"/>
            <sz val="9"/>
          </rPr>
          <t>Coming Home Light:</t>
        </r>
        <r>
          <t xml:space="preserve">
</t>
        </r>
        <r>
          <rPr>
            <rFont val="Tahoma"/>
            <i val="true"/>
            <color rgb="000000" tint="0"/>
            <sz val="8"/>
          </rPr>
          <t>b7b6b5 - Value</t>
        </r>
        <r>
          <t xml:space="preserve">
</t>
        </r>
        <r>
          <rPr>
            <rFont val="Tahoma"/>
            <b val="true"/>
            <color rgb="000000" tint="0"/>
            <sz val="9"/>
          </rPr>
          <t>000</t>
        </r>
        <r>
          <rPr>
            <rFont val="Tahoma"/>
            <color rgb="000000" tint="0"/>
            <sz val="9"/>
          </rPr>
          <t xml:space="preserve"> - N/A</t>
        </r>
        <r>
          <t xml:space="preserve">
</t>
        </r>
        <r>
          <rPr>
            <rFont val="Tahoma"/>
            <b val="true"/>
            <color rgb="000000" tint="0"/>
            <sz val="9"/>
          </rPr>
          <t>001</t>
        </r>
        <r>
          <rPr>
            <rFont val="Tahoma"/>
            <color rgb="000000" tint="0"/>
            <sz val="9"/>
          </rPr>
          <t xml:space="preserve"> - OFF</t>
        </r>
        <r>
          <t xml:space="preserve">
</t>
        </r>
        <r>
          <rPr>
            <rFont val="Tahoma"/>
            <b val="true"/>
            <color rgb="000000" tint="0"/>
            <sz val="9"/>
          </rPr>
          <t>010</t>
        </r>
        <r>
          <rPr>
            <rFont val="Tahoma"/>
            <color rgb="000000" tint="0"/>
            <sz val="9"/>
          </rPr>
          <t xml:space="preserve"> - 30 sec</t>
        </r>
        <r>
          <t xml:space="preserve">
</t>
        </r>
        <r>
          <rPr>
            <rFont val="Tahoma"/>
            <b val="true"/>
            <color rgb="000000" tint="0"/>
            <sz val="9"/>
          </rPr>
          <t>011</t>
        </r>
        <r>
          <rPr>
            <rFont val="Tahoma"/>
            <color rgb="000000" tint="0"/>
            <sz val="9"/>
          </rPr>
          <t xml:space="preserve"> - 60 sec</t>
        </r>
        <r>
          <t xml:space="preserve">
</t>
        </r>
        <r>
          <rPr>
            <rFont val="Tahoma"/>
            <b val="true"/>
            <color rgb="000000" tint="0"/>
            <sz val="9"/>
          </rPr>
          <t>100</t>
        </r>
        <r>
          <rPr>
            <rFont val="Tahoma"/>
            <color rgb="000000" tint="0"/>
            <sz val="9"/>
          </rPr>
          <t xml:space="preserve"> - 90 sec</t>
        </r>
        <r>
          <t xml:space="preserve">
</t>
        </r>
        <r>
          <rPr>
            <rFont val="Tahoma"/>
            <b val="true"/>
            <color rgb="000000" tint="0"/>
            <sz val="9"/>
          </rPr>
          <t>101</t>
        </r>
        <r>
          <rPr>
            <rFont val="Tahoma"/>
            <color rgb="000000" tint="0"/>
            <sz val="9"/>
          </rPr>
          <t xml:space="preserve"> - 120 sec</t>
        </r>
      </text>
    </comment>
    <comment authorId="0" ref="AE12">
      <text>
        <r>
          <rPr>
            <rFont val="Tahoma"/>
            <b val="true"/>
            <color rgb="000000" tint="0"/>
            <sz val="9"/>
          </rPr>
          <t xml:space="preserve">Brake Light: </t>
        </r>
        <r>
          <t xml:space="preserve">
</t>
        </r>
        <r>
          <rPr>
            <rFont val="Tahoma"/>
            <i val="true"/>
            <color rgb="000000" tint="0"/>
            <sz val="8"/>
          </rPr>
          <t>b1b0 - Value</t>
        </r>
        <r>
          <t xml:space="preserve">
</t>
        </r>
        <r>
          <rPr>
            <rFont val="Tahoma"/>
            <b val="true"/>
            <color rgb="000000" tint="0"/>
            <sz val="9"/>
          </rPr>
          <t xml:space="preserve">00 - </t>
        </r>
        <r>
          <rPr>
            <rFont val="Tahoma"/>
            <color rgb="000000" tint="0"/>
            <sz val="9"/>
          </rPr>
          <t>Standard Brake</t>
        </r>
        <r>
          <t xml:space="preserve">
</t>
        </r>
        <r>
          <rPr>
            <rFont val="Tahoma"/>
            <b val="true"/>
            <color rgb="000000" tint="0"/>
            <sz val="9"/>
          </rPr>
          <t xml:space="preserve">01 - </t>
        </r>
        <r>
          <rPr>
            <rFont val="Tahoma"/>
            <color rgb="000000" tint="0"/>
            <sz val="9"/>
          </rPr>
          <t>MRCC Brake</t>
        </r>
        <r>
          <t xml:space="preserve">
</t>
        </r>
        <r>
          <rPr>
            <rFont val="Tahoma"/>
            <b val="true"/>
            <color rgb="000000" tint="0"/>
            <sz val="9"/>
          </rPr>
          <t xml:space="preserve">10 - </t>
        </r>
        <r>
          <rPr>
            <rFont val="Tahoma"/>
            <color rgb="000000" tint="0"/>
            <sz val="9"/>
          </rPr>
          <t>SCBS Brake</t>
        </r>
      </text>
    </comment>
    <comment authorId="0" ref="AA34">
      <text>
        <r>
          <rPr>
            <rFont val="Tahoma"/>
            <b val="true"/>
            <color rgb="000000" tint="0"/>
            <sz val="9"/>
          </rPr>
          <t xml:space="preserve">Lighting - Leaving Home Light (Default setting): </t>
        </r>
        <r>
          <t xml:space="preserve">
</t>
        </r>
        <r>
          <rPr>
            <rFont val="Tahoma"/>
            <b val="true"/>
            <color rgb="000000" tint="0"/>
            <sz val="9"/>
          </rPr>
          <t>0</t>
        </r>
        <r>
          <rPr>
            <rFont val="Tahoma"/>
            <color rgb="000000" tint="0"/>
            <sz val="9"/>
          </rPr>
          <t xml:space="preserve"> - Disabled / </t>
        </r>
        <r>
          <rPr>
            <rFont val="Tahoma"/>
            <b val="true"/>
            <color rgb="000000" tint="0"/>
            <sz val="9"/>
          </rPr>
          <t>1</t>
        </r>
        <r>
          <rPr>
            <rFont val="Tahoma"/>
            <color rgb="000000" tint="0"/>
            <sz val="9"/>
          </rPr>
          <t xml:space="preserve"> - Enabled</t>
        </r>
      </text>
    </comment>
    <comment authorId="0" ref="W11">
      <text>
        <r>
          <rPr>
            <rFont val="Tahoma"/>
            <b val="true"/>
            <color rgb="000000" tint="0"/>
            <sz val="9"/>
          </rPr>
          <t>no siren or intrusion module, only door open when locked theft deterent alarm</t>
        </r>
      </text>
    </comment>
    <comment authorId="0" ref="W32">
      <text>
        <r>
          <rPr>
            <rFont val="Tahoma"/>
            <b val="true"/>
            <color rgb="000000" tint="0"/>
            <sz val="9"/>
          </rPr>
          <t xml:space="preserve">Turn - 3-Flash Indicator (Default setting): </t>
        </r>
        <r>
          <t xml:space="preserve">
</t>
        </r>
        <r>
          <rPr>
            <rFont val="Tahoma"/>
            <b val="true"/>
            <color rgb="000000" tint="0"/>
            <sz val="9"/>
          </rPr>
          <t>0</t>
        </r>
        <r>
          <rPr>
            <rFont val="Tahoma"/>
            <color rgb="000000" tint="0"/>
            <sz val="9"/>
          </rPr>
          <t xml:space="preserve"> - Disabled / </t>
        </r>
        <r>
          <rPr>
            <rFont val="Tahoma"/>
            <b val="true"/>
            <color rgb="000000" tint="0"/>
            <sz val="9"/>
          </rPr>
          <t>1</t>
        </r>
        <r>
          <rPr>
            <rFont val="Tahoma"/>
            <color rgb="000000" tint="0"/>
            <sz val="9"/>
          </rPr>
          <t xml:space="preserve"> - Enabled</t>
        </r>
      </text>
    </comment>
    <comment authorId="0" ref="W33">
      <text>
        <r>
          <rPr>
            <rFont val="Tahoma"/>
            <b val="true"/>
            <color rgb="000000" tint="0"/>
            <sz val="9"/>
          </rPr>
          <t>Turn - 3-Flash Indicator:</t>
        </r>
        <r>
          <rPr>
            <rFont val="Tahoma"/>
            <color rgb="000000" tint="0"/>
            <sz val="9"/>
          </rPr>
          <t xml:space="preserve"> </t>
        </r>
        <r>
          <rPr>
            <rFont val="Tahoma"/>
            <b val="true"/>
            <color rgb="000000" tint="0"/>
            <sz val="9"/>
          </rPr>
          <t>0</t>
        </r>
        <r>
          <rPr>
            <rFont val="Tahoma"/>
            <color rgb="000000" tint="0"/>
            <sz val="9"/>
          </rPr>
          <t xml:space="preserve"> - Show / </t>
        </r>
        <r>
          <rPr>
            <rFont val="Tahoma"/>
            <b val="true"/>
            <color rgb="000000" tint="0"/>
            <sz val="9"/>
          </rPr>
          <t>1</t>
        </r>
        <r>
          <rPr>
            <rFont val="Tahoma"/>
            <color rgb="000000" tint="0"/>
            <sz val="9"/>
          </rPr>
          <t xml:space="preserve"> - Hide</t>
        </r>
      </text>
    </comment>
    <comment authorId="0" ref="AA33">
      <text>
        <r>
          <rPr>
            <rFont val="Tahoma"/>
            <b val="true"/>
            <color rgb="000000" tint="0"/>
            <sz val="9"/>
          </rPr>
          <t>Lighting - Auto Headlight On:</t>
        </r>
        <r>
          <rPr>
            <rFont val="Tahoma"/>
            <color rgb="000000" tint="0"/>
            <sz val="9"/>
          </rPr>
          <t xml:space="preserve"> </t>
        </r>
        <r>
          <rPr>
            <rFont val="Tahoma"/>
            <b val="true"/>
            <color rgb="000000" tint="0"/>
            <sz val="9"/>
          </rPr>
          <t>0</t>
        </r>
        <r>
          <rPr>
            <rFont val="Tahoma"/>
            <color rgb="000000" tint="0"/>
            <sz val="9"/>
          </rPr>
          <t xml:space="preserve"> - Show / </t>
        </r>
        <r>
          <rPr>
            <rFont val="Tahoma"/>
            <b val="true"/>
            <color rgb="000000" tint="0"/>
            <sz val="9"/>
          </rPr>
          <t>1</t>
        </r>
        <r>
          <rPr>
            <rFont val="Tahoma"/>
            <color rgb="000000" tint="0"/>
            <sz val="9"/>
          </rPr>
          <t xml:space="preserve"> - Hide</t>
        </r>
      </text>
    </comment>
    <comment authorId="0" ref="AA17">
      <text>
        <r>
          <rPr>
            <rFont val="Tahoma"/>
            <b val="true"/>
            <color rgb="000000" tint="0"/>
            <sz val="9"/>
            <u val="single"/>
          </rPr>
          <t>Bodystyle division</t>
        </r>
        <r>
          <t xml:space="preserve">
</t>
        </r>
        <r>
          <rPr>
            <rFont val="Tahoma"/>
            <i val="true"/>
            <color rgb="000000" tint="0"/>
            <sz val="8"/>
          </rPr>
          <t>b7b6b5b4 - Value:</t>
        </r>
        <r>
          <t xml:space="preserve">
</t>
        </r>
        <r>
          <rPr>
            <rFont val="Tahoma"/>
            <b val="true"/>
            <color rgb="000000" tint="0"/>
            <sz val="9"/>
          </rPr>
          <t xml:space="preserve">0000 - </t>
        </r>
        <r>
          <rPr>
            <rFont val="Tahoma"/>
            <color rgb="000000" tint="0"/>
            <sz val="9"/>
          </rPr>
          <t>SD-M6/SD-M3/HB-M3 (except with B1b2=1);</t>
        </r>
        <r>
          <t xml:space="preserve">
</t>
        </r>
        <r>
          <rPr>
            <rFont val="Tahoma"/>
            <b val="true"/>
            <color rgb="000000" tint="0"/>
            <sz val="9"/>
          </rPr>
          <t xml:space="preserve">0010 - </t>
        </r>
        <r>
          <rPr>
            <rFont val="Tahoma"/>
            <color rgb="000000" tint="0"/>
            <sz val="9"/>
          </rPr>
          <t>SD-M6 (only with B1b2=1);</t>
        </r>
        <r>
          <t xml:space="preserve">
</t>
        </r>
        <r>
          <rPr>
            <rFont val="Tahoma"/>
            <b val="true"/>
            <color rgb="000000" tint="0"/>
            <sz val="9"/>
          </rPr>
          <t xml:space="preserve">0100 - </t>
        </r>
        <r>
          <rPr>
            <rFont val="Tahoma"/>
            <color rgb="000000" tint="0"/>
            <sz val="9"/>
          </rPr>
          <t>HB-M3 (only with B1b2=1);</t>
        </r>
        <r>
          <t xml:space="preserve">
</t>
        </r>
        <r>
          <rPr>
            <rFont val="Tahoma"/>
            <b val="true"/>
            <color rgb="000000" tint="0"/>
            <sz val="9"/>
          </rPr>
          <t xml:space="preserve">0111 - </t>
        </r>
        <r>
          <rPr>
            <rFont val="Tahoma"/>
            <color rgb="000000" tint="0"/>
            <sz val="9"/>
          </rPr>
          <t>HB-M3 (41,71);</t>
        </r>
        <r>
          <t xml:space="preserve">
</t>
        </r>
        <r>
          <rPr>
            <rFont val="Tahoma"/>
            <b val="true"/>
            <color rgb="000000" tint="0"/>
            <sz val="9"/>
          </rPr>
          <t xml:space="preserve">1100 - </t>
        </r>
        <r>
          <rPr>
            <rFont val="Tahoma"/>
            <color rgb="000000" tint="0"/>
            <sz val="9"/>
          </rPr>
          <t>WGN</t>
        </r>
      </text>
    </comment>
    <comment authorId="0" ref="W21">
      <text>
        <r>
          <rPr>
            <rFont val="Tahoma"/>
            <b val="true"/>
            <color rgb="000000" tint="0"/>
            <sz val="9"/>
            <u val="single"/>
          </rPr>
          <t>Mazda model</t>
        </r>
        <r>
          <t xml:space="preserve">
</t>
        </r>
        <r>
          <rPr>
            <rFont val="Tahoma"/>
            <i val="true"/>
            <color rgb="000000" tint="0"/>
            <sz val="8"/>
          </rPr>
          <t>b3b2b1b0 - Value:</t>
        </r>
        <r>
          <t xml:space="preserve">
</t>
        </r>
        <r>
          <rPr>
            <rFont val="Tahoma"/>
            <b val="true"/>
            <color rgb="000000" tint="0"/>
            <sz val="9"/>
          </rPr>
          <t>0001</t>
        </r>
        <r>
          <rPr>
            <rFont val="Tahoma"/>
            <color rgb="000000" tint="0"/>
            <sz val="9"/>
          </rPr>
          <t xml:space="preserve"> - CX5-KE (11) + B1b1 (21), CX-9 (2016-17);</t>
        </r>
        <r>
          <t xml:space="preserve">
</t>
        </r>
        <r>
          <rPr>
            <rFont val="Tahoma"/>
            <b val="true"/>
            <color rgb="000000" tint="0"/>
            <sz val="9"/>
          </rPr>
          <t>0011</t>
        </r>
        <r>
          <rPr>
            <rFont val="Tahoma"/>
            <color rgb="000000" tint="0"/>
            <sz val="9"/>
          </rPr>
          <t xml:space="preserve"> - CX9 (51) + B1b1 (21);</t>
        </r>
        <r>
          <t xml:space="preserve">
</t>
        </r>
        <r>
          <rPr>
            <rFont val="Tahoma"/>
            <b val="true"/>
            <color rgb="000000" tint="0"/>
            <sz val="9"/>
          </rPr>
          <t>0100</t>
        </r>
        <r>
          <rPr>
            <rFont val="Tahoma"/>
            <color rgb="000000" tint="0"/>
            <sz val="9"/>
          </rPr>
          <t xml:space="preserve"> - M6 (11,31,51) + B1b1 (21);</t>
        </r>
        <r>
          <t xml:space="preserve">
</t>
        </r>
        <r>
          <rPr>
            <rFont val="Tahoma"/>
            <b val="true"/>
            <color rgb="000000" tint="0"/>
            <sz val="9"/>
          </rPr>
          <t>0100</t>
        </r>
        <r>
          <rPr>
            <rFont val="Tahoma"/>
            <color rgb="000000" tint="0"/>
            <sz val="9"/>
          </rPr>
          <t xml:space="preserve"> - CX5-KF (11,31,51,61,71) + B1b1 (21), CX8 (41,71);</t>
        </r>
        <r>
          <t xml:space="preserve">
</t>
        </r>
        <r>
          <rPr>
            <rFont val="Tahoma"/>
            <b val="true"/>
            <color rgb="000000" tint="0"/>
            <sz val="9"/>
          </rPr>
          <t>0111</t>
        </r>
        <r>
          <rPr>
            <rFont val="Tahoma"/>
            <color rgb="000000" tint="0"/>
            <sz val="9"/>
          </rPr>
          <t xml:space="preserve"> - M6 (31);</t>
        </r>
        <r>
          <t xml:space="preserve">
</t>
        </r>
        <r>
          <rPr>
            <rFont val="Tahoma"/>
            <b val="true"/>
            <color rgb="000000" tint="0"/>
            <sz val="9"/>
          </rPr>
          <t>1001</t>
        </r>
        <r>
          <rPr>
            <rFont val="Tahoma"/>
            <color rgb="000000" tint="0"/>
            <sz val="9"/>
          </rPr>
          <t xml:space="preserve"> - M6 (31,41);</t>
        </r>
        <r>
          <t xml:space="preserve">
</t>
        </r>
        <r>
          <rPr>
            <rFont val="Tahoma"/>
            <b val="true"/>
            <color rgb="000000" tint="0"/>
            <sz val="9"/>
          </rPr>
          <t>1010</t>
        </r>
        <r>
          <rPr>
            <rFont val="Tahoma"/>
            <color rgb="000000" tint="0"/>
            <sz val="9"/>
          </rPr>
          <t xml:space="preserve"> - M3 (11,31,61,71) + B1b1 (21) +  b4 (41,71);</t>
        </r>
        <r>
          <t xml:space="preserve">
</t>
        </r>
        <r>
          <rPr>
            <rFont val="Tahoma"/>
            <b val="true"/>
            <color rgb="000000" tint="0"/>
            <sz val="9"/>
          </rPr>
          <t>1100</t>
        </r>
        <r>
          <rPr>
            <rFont val="Tahoma"/>
            <color rgb="000000" tint="0"/>
            <sz val="9"/>
          </rPr>
          <t xml:space="preserve"> - M3 (only w/B1b1=0);</t>
        </r>
        <r>
          <t xml:space="preserve">
</t>
        </r>
        <r>
          <rPr>
            <rFont val="Tahoma"/>
            <b val="true"/>
            <color rgb="000000" tint="0"/>
            <sz val="9"/>
          </rPr>
          <t>1101</t>
        </r>
        <r>
          <rPr>
            <rFont val="Tahoma"/>
            <color rgb="000000" tint="0"/>
            <sz val="9"/>
          </rPr>
          <t xml:space="preserve"> - CX4 (84)</t>
        </r>
      </text>
    </comment>
    <comment authorId="0" ref="AI17">
      <text>
        <r>
          <rPr>
            <rFont val="Tahoma"/>
            <color rgb="000000" tint="0"/>
            <sz val="9"/>
          </rPr>
          <t xml:space="preserve">Vehicle -&gt; Doors -&gt; </t>
        </r>
        <r>
          <rPr>
            <rFont val="Tahoma"/>
            <b val="true"/>
            <color rgb="000000" tint="0"/>
            <sz val="9"/>
          </rPr>
          <t xml:space="preserve">Auto Door Lock </t>
        </r>
        <r>
          <rPr>
            <rFont val="Tahoma"/>
            <color rgb="000000" tint="0"/>
            <sz val="9"/>
          </rPr>
          <t>(Default Setting)</t>
        </r>
        <r>
          <rPr>
            <rFont val="Tahoma"/>
            <b val="true"/>
            <color rgb="000000" tint="0"/>
            <sz val="9"/>
          </rPr>
          <t>:</t>
        </r>
        <r>
          <t xml:space="preserve">
</t>
        </r>
        <r>
          <rPr>
            <rFont val="Tahoma"/>
            <i val="true"/>
            <color rgb="000000" tint="0"/>
            <sz val="9"/>
          </rPr>
          <t>b7b6b5b4 - Value</t>
        </r>
        <r>
          <t xml:space="preserve">
</t>
        </r>
        <r>
          <rPr>
            <rFont val="Tahoma"/>
            <b val="true"/>
            <color rgb="000000" tint="0"/>
            <sz val="9"/>
          </rPr>
          <t>0000</t>
        </r>
        <r>
          <rPr>
            <rFont val="Tahoma"/>
            <color rgb="000000" tint="0"/>
            <sz val="9"/>
          </rPr>
          <t xml:space="preserve"> - OFF</t>
        </r>
        <r>
          <t xml:space="preserve">
</t>
        </r>
        <r>
          <rPr>
            <rFont val="Tahoma"/>
            <b val="true"/>
            <color rgb="000000" tint="0"/>
            <sz val="9"/>
          </rPr>
          <t>0001</t>
        </r>
        <r>
          <rPr>
            <rFont val="Tahoma"/>
            <color rgb="000000" tint="0"/>
            <sz val="9"/>
          </rPr>
          <t xml:space="preserve"> - Lock: When Driving</t>
        </r>
        <r>
          <t xml:space="preserve">
</t>
        </r>
        <r>
          <rPr>
            <rFont val="Tahoma"/>
            <b val="true"/>
            <color rgb="000000" tint="0"/>
            <sz val="9"/>
          </rPr>
          <t>0010</t>
        </r>
        <r>
          <rPr>
            <rFont val="Tahoma"/>
            <color rgb="000000" tint="0"/>
            <sz val="9"/>
          </rPr>
          <t xml:space="preserve"> - Lock: When Driving / Unlock: IGN Off</t>
        </r>
        <r>
          <t xml:space="preserve">
</t>
        </r>
        <r>
          <rPr>
            <rFont val="Tahoma"/>
            <b val="true"/>
            <color rgb="000000" tint="0"/>
            <sz val="9"/>
          </rPr>
          <t>0011</t>
        </r>
        <r>
          <rPr>
            <rFont val="Tahoma"/>
            <color rgb="000000" tint="0"/>
            <sz val="9"/>
          </rPr>
          <t xml:space="preserve"> - Lock: Shifting Out of Park</t>
        </r>
        <r>
          <t xml:space="preserve">
</t>
        </r>
        <r>
          <rPr>
            <rFont val="Tahoma"/>
            <b val="true"/>
            <color rgb="000000" tint="0"/>
            <sz val="9"/>
          </rPr>
          <t>0100</t>
        </r>
        <r>
          <rPr>
            <rFont val="Tahoma"/>
            <color rgb="000000" tint="0"/>
            <sz val="9"/>
          </rPr>
          <t xml:space="preserve"> - Lock: Out of Park / Unlock: In Park</t>
        </r>
        <r>
          <t xml:space="preserve">
</t>
        </r>
        <r>
          <rPr>
            <rFont val="Tahoma"/>
            <b val="true"/>
            <color rgb="000000" tint="0"/>
            <sz val="9"/>
          </rPr>
          <t>0101</t>
        </r>
        <r>
          <rPr>
            <rFont val="Tahoma"/>
            <color rgb="000000" tint="0"/>
            <sz val="9"/>
          </rPr>
          <t xml:space="preserve"> - Lock: Out of Park / Unlock: In Park</t>
        </r>
        <r>
          <t xml:space="preserve">
</t>
        </r>
        <r>
          <rPr>
            <rFont val="Tahoma"/>
            <b val="true"/>
            <color rgb="000000" tint="0"/>
            <sz val="9"/>
          </rPr>
          <t>0110</t>
        </r>
        <r>
          <rPr>
            <rFont val="Tahoma"/>
            <color rgb="000000" tint="0"/>
            <sz val="9"/>
          </rPr>
          <t xml:space="preserve"> - Lock: Out of Park / Unlock: In Park</t>
        </r>
        <r>
          <t xml:space="preserve">
</t>
        </r>
        <r>
          <rPr>
            <rFont val="Tahoma"/>
            <b val="true"/>
            <color rgb="000000" tint="0"/>
            <sz val="9"/>
          </rPr>
          <t>0111</t>
        </r>
        <r>
          <rPr>
            <rFont val="Tahoma"/>
            <color rgb="000000" tint="0"/>
            <sz val="9"/>
          </rPr>
          <t xml:space="preserve"> - Lock: Out of Park / Unlock: In Park</t>
        </r>
        <r>
          <t xml:space="preserve">
</t>
        </r>
        <r>
          <rPr>
            <rFont val="Tahoma"/>
            <b val="true"/>
            <color rgb="000000" tint="0"/>
            <sz val="9"/>
          </rPr>
          <t>1000</t>
        </r>
        <r>
          <rPr>
            <rFont val="Tahoma"/>
            <color rgb="000000" tint="0"/>
            <sz val="9"/>
          </rPr>
          <t xml:space="preserve"> - Lock: Out of Park / Unlock: In Park</t>
        </r>
        <r>
          <t xml:space="preserve">
</t>
        </r>
        <r>
          <rPr>
            <rFont val="Tahoma"/>
            <b val="true"/>
            <color rgb="000000" tint="0"/>
            <sz val="9"/>
          </rPr>
          <t>1001</t>
        </r>
        <r>
          <rPr>
            <rFont val="Tahoma"/>
            <color rgb="000000" tint="0"/>
            <sz val="9"/>
          </rPr>
          <t xml:space="preserve"> - Lock: When Driving / Unlock: In Park</t>
        </r>
        <r>
          <t xml:space="preserve">
</t>
        </r>
        <r>
          <rPr>
            <rFont val="Tahoma"/>
            <b val="true"/>
            <color rgb="000000" tint="0"/>
            <sz val="9"/>
          </rPr>
          <t>1010</t>
        </r>
        <r>
          <rPr>
            <rFont val="Tahoma"/>
            <color rgb="000000" tint="0"/>
            <sz val="9"/>
          </rPr>
          <t xml:space="preserve"> - Incompatible configuration</t>
        </r>
        <r>
          <t xml:space="preserve">
</t>
        </r>
        <r>
          <rPr>
            <rFont val="Tahoma"/>
            <b val="true"/>
            <color rgb="000000" tint="0"/>
            <sz val="9"/>
          </rPr>
          <t>1011</t>
        </r>
        <r>
          <rPr>
            <rFont val="Tahoma"/>
            <color rgb="000000" tint="0"/>
            <sz val="9"/>
          </rPr>
          <t xml:space="preserve"> - Incompatible configuration</t>
        </r>
        <r>
          <t xml:space="preserve">
</t>
        </r>
        <r>
          <rPr>
            <rFont val="Tahoma"/>
            <b val="true"/>
            <color rgb="000000" tint="0"/>
            <sz val="9"/>
          </rPr>
          <t>1100</t>
        </r>
        <r>
          <rPr>
            <rFont val="Tahoma"/>
            <color rgb="000000" tint="0"/>
            <sz val="9"/>
          </rPr>
          <t xml:space="preserve"> - Incompatible configuration</t>
        </r>
        <r>
          <t xml:space="preserve">
</t>
        </r>
        <r>
          <rPr>
            <rFont val="Tahoma"/>
            <b val="true"/>
            <color rgb="000000" tint="0"/>
            <sz val="9"/>
          </rPr>
          <t>1101</t>
        </r>
        <r>
          <rPr>
            <rFont val="Tahoma"/>
            <color rgb="000000" tint="0"/>
            <sz val="9"/>
          </rPr>
          <t xml:space="preserve"> - Incompatible configuration</t>
        </r>
        <r>
          <t xml:space="preserve">
</t>
        </r>
        <r>
          <rPr>
            <rFont val="Tahoma"/>
            <b val="true"/>
            <color rgb="000000" tint="0"/>
            <sz val="9"/>
          </rPr>
          <t>1110</t>
        </r>
        <r>
          <rPr>
            <rFont val="Tahoma"/>
            <color rgb="000000" tint="0"/>
            <sz val="9"/>
          </rPr>
          <t xml:space="preserve"> - Incompatible configuration</t>
        </r>
        <r>
          <t xml:space="preserve">
</t>
        </r>
        <r>
          <rPr>
            <rFont val="Tahoma"/>
            <b val="true"/>
            <color rgb="000000" tint="0"/>
            <sz val="9"/>
          </rPr>
          <t>1111</t>
        </r>
        <r>
          <rPr>
            <rFont val="Tahoma"/>
            <color rgb="000000" tint="0"/>
            <sz val="9"/>
          </rPr>
          <t xml:space="preserve"> - Incompatible configuration</t>
        </r>
      </text>
    </comment>
    <comment authorId="0" ref="AI42">
      <text>
        <r>
          <rPr>
            <rFont val="Tahoma"/>
            <b val="true"/>
            <color rgb="000000" tint="0"/>
            <sz val="9"/>
          </rPr>
          <t>Leaving Home Light:</t>
        </r>
        <r>
          <t xml:space="preserve">
</t>
        </r>
        <r>
          <rPr>
            <rFont val="Tahoma"/>
            <i val="true"/>
            <color rgb="000000" tint="0"/>
            <sz val="8"/>
          </rPr>
          <t>b4b3 -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Disabled</t>
        </r>
        <r>
          <t xml:space="preserve">
</t>
        </r>
        <r>
          <rPr>
            <rFont val="Tahoma"/>
            <b val="true"/>
            <color rgb="000000" tint="0"/>
            <sz val="9"/>
          </rPr>
          <t>10</t>
        </r>
        <r>
          <rPr>
            <rFont val="Tahoma"/>
            <color rgb="000000" tint="0"/>
            <sz val="9"/>
          </rPr>
          <t xml:space="preserve"> - Enabled</t>
        </r>
      </text>
    </comment>
    <comment authorId="0" ref="AI10">
      <text>
        <r>
          <rPr>
            <rFont val="Tahoma"/>
            <b val="true"/>
            <color rgb="000000" tint="0"/>
            <sz val="9"/>
          </rPr>
          <t>Auxiliary key locks doors when door is open</t>
        </r>
        <r>
          <rPr>
            <rFont val="Tahoma"/>
            <color rgb="000000" tint="0"/>
            <sz val="9"/>
          </rPr>
          <t xml:space="preserve">: </t>
        </r>
        <r>
          <t xml:space="preserve">
</t>
        </r>
        <r>
          <rPr>
            <rFont val="Tahoma"/>
            <b val="true"/>
            <color rgb="000000" tint="0"/>
            <sz val="9"/>
          </rPr>
          <t>0</t>
        </r>
        <r>
          <rPr>
            <rFont val="Tahoma"/>
            <color rgb="000000" tint="0"/>
            <sz val="9"/>
          </rPr>
          <t> - OFF (When any door is open, auxiliary key does not lock any door lock)</t>
        </r>
        <r>
          <t xml:space="preserve">
</t>
        </r>
        <r>
          <rPr>
            <rFont val="Tahoma"/>
            <b val="true"/>
            <color rgb="000000" tint="0"/>
            <sz val="9"/>
          </rPr>
          <t>1</t>
        </r>
        <r>
          <rPr>
            <rFont val="Tahoma"/>
            <color rgb="000000" tint="0"/>
            <sz val="9"/>
          </rPr>
          <t> - ON (When any door is open, auxiliary key locks all door locks)</t>
        </r>
      </text>
    </comment>
    <comment authorId="0" ref="S11">
      <text>
        <r>
          <rPr>
            <rFont val="Tahoma"/>
            <b val="true"/>
            <color rgb="000000" tint="0"/>
            <sz val="9"/>
          </rPr>
          <t>Rear Fog Light (light + icon on IC): 0</t>
        </r>
        <r>
          <rPr>
            <rFont val="Tahoma"/>
            <color rgb="000000" tint="0"/>
            <sz val="9"/>
          </rPr>
          <t xml:space="preserve"> - Disabled / </t>
        </r>
        <r>
          <rPr>
            <rFont val="Tahoma"/>
            <b val="true"/>
            <color rgb="000000" tint="0"/>
            <sz val="9"/>
          </rPr>
          <t>1</t>
        </r>
        <r>
          <rPr>
            <rFont val="Tahoma"/>
            <color rgb="000000" tint="0"/>
            <sz val="9"/>
          </rPr>
          <t xml:space="preserve"> - Enabled</t>
        </r>
      </text>
    </comment>
    <comment authorId="0" ref="S39">
      <text>
        <r>
          <rPr>
            <rFont val="Tahoma"/>
            <color rgb="000000" tint="0"/>
            <sz val="9"/>
          </rPr>
          <t xml:space="preserve">Vehicle -&gt; Doors -&gt; </t>
        </r>
        <r>
          <rPr>
            <rFont val="Tahoma"/>
            <b val="true"/>
            <color rgb="000000" tint="0"/>
            <sz val="9"/>
          </rPr>
          <t>Auto Door Lock:</t>
        </r>
        <r>
          <t xml:space="preserve">
</t>
        </r>
        <r>
          <rPr>
            <rFont val="Tahoma"/>
            <i val="true"/>
            <color rgb="000000" tint="0"/>
            <sz val="8"/>
          </rPr>
          <t>b7b6b5b4 - Value</t>
        </r>
        <r>
          <t xml:space="preserve">
</t>
        </r>
        <r>
          <rPr>
            <rFont val="Tahoma"/>
            <b val="true"/>
            <color rgb="000000" tint="0"/>
            <sz val="9"/>
          </rPr>
          <t>0000</t>
        </r>
        <r>
          <rPr>
            <rFont val="Tahoma"/>
            <color rgb="000000" tint="0"/>
            <sz val="9"/>
          </rPr>
          <t xml:space="preserve"> - N/A</t>
        </r>
        <r>
          <t xml:space="preserve">
</t>
        </r>
        <r>
          <rPr>
            <rFont val="Tahoma"/>
            <b val="true"/>
            <color rgb="000000" tint="0"/>
            <sz val="9"/>
          </rPr>
          <t>0001</t>
        </r>
        <r>
          <rPr>
            <rFont val="Tahoma"/>
            <color rgb="000000" tint="0"/>
            <sz val="9"/>
          </rPr>
          <t xml:space="preserve"> - OFF</t>
        </r>
        <r>
          <t xml:space="preserve">
</t>
        </r>
        <r>
          <rPr>
            <rFont val="Tahoma"/>
            <b val="true"/>
            <color rgb="000000" tint="0"/>
            <sz val="9"/>
          </rPr>
          <t>0010</t>
        </r>
        <r>
          <rPr>
            <rFont val="Tahoma"/>
            <color rgb="000000" tint="0"/>
            <sz val="9"/>
          </rPr>
          <t xml:space="preserve"> - Lock: When driving</t>
        </r>
        <r>
          <t xml:space="preserve">
</t>
        </r>
        <r>
          <rPr>
            <rFont val="Tahoma"/>
            <b val="true"/>
            <color rgb="000000" tint="0"/>
            <sz val="9"/>
          </rPr>
          <t>0011</t>
        </r>
        <r>
          <rPr>
            <rFont val="Tahoma"/>
            <color rgb="000000" tint="0"/>
            <sz val="9"/>
          </rPr>
          <t xml:space="preserve"> - Lock: When driving / Unlock: IGN Off</t>
        </r>
        <r>
          <t xml:space="preserve">
</t>
        </r>
        <r>
          <rPr>
            <rFont val="Tahoma"/>
            <b val="true"/>
            <color rgb="000000" tint="0"/>
            <sz val="9"/>
          </rPr>
          <t>0100</t>
        </r>
        <r>
          <rPr>
            <rFont val="Tahoma"/>
            <color rgb="000000" tint="0"/>
            <sz val="9"/>
          </rPr>
          <t xml:space="preserve"> - Lock: Shifting Out of Park</t>
        </r>
        <r>
          <t xml:space="preserve">
</t>
        </r>
        <r>
          <rPr>
            <rFont val="Tahoma"/>
            <b val="true"/>
            <color rgb="000000" tint="0"/>
            <sz val="9"/>
          </rPr>
          <t>0101</t>
        </r>
        <r>
          <rPr>
            <rFont val="Tahoma"/>
            <color rgb="000000" tint="0"/>
            <sz val="9"/>
          </rPr>
          <t xml:space="preserve"> - Lock:  Out of Park / Unlock: In Park</t>
        </r>
        <r>
          <t xml:space="preserve">
</t>
        </r>
        <r>
          <rPr>
            <rFont val="Tahoma"/>
            <b val="true"/>
            <color rgb="000000" tint="0"/>
            <sz val="9"/>
          </rPr>
          <t>1010</t>
        </r>
        <r>
          <rPr>
            <rFont val="Tahoma"/>
            <color rgb="000000" tint="0"/>
            <sz val="9"/>
          </rPr>
          <t xml:space="preserve"> - Lock:  When driving / Unlock: in Park</t>
        </r>
      </text>
    </comment>
    <comment authorId="0" ref="W44">
      <text>
        <r>
          <rPr>
            <rFont val="Tahoma"/>
            <b val="true"/>
            <color rgb="000000" tint="0"/>
            <sz val="9"/>
          </rPr>
          <t>Lighting - Interior Light:</t>
        </r>
        <r>
          <t xml:space="preserve">
</t>
        </r>
        <r>
          <rPr>
            <rFont val="Tahoma"/>
            <i val="true"/>
            <color rgb="000000" tint="0"/>
            <sz val="8"/>
          </rPr>
          <t>b2b1b0 - Value:</t>
        </r>
        <r>
          <t xml:space="preserve">
</t>
        </r>
        <r>
          <rPr>
            <rFont val="Tahoma"/>
            <b val="true"/>
            <color rgb="000000" tint="0"/>
            <sz val="9"/>
          </rPr>
          <t>010</t>
        </r>
        <r>
          <rPr>
            <rFont val="Tahoma"/>
            <color rgb="000000" tint="0"/>
            <sz val="9"/>
          </rPr>
          <t xml:space="preserve"> - Low</t>
        </r>
        <r>
          <t xml:space="preserve">
</t>
        </r>
        <r>
          <rPr>
            <rFont val="Tahoma"/>
            <b val="true"/>
            <color rgb="000000" tint="0"/>
            <sz val="9"/>
          </rPr>
          <t>011</t>
        </r>
        <r>
          <rPr>
            <rFont val="Tahoma"/>
            <color rgb="000000" tint="0"/>
            <sz val="9"/>
          </rPr>
          <t xml:space="preserve"> - Medium</t>
        </r>
        <r>
          <t xml:space="preserve">
</t>
        </r>
        <r>
          <rPr>
            <rFont val="Tahoma"/>
            <b val="true"/>
            <color rgb="000000" tint="0"/>
            <sz val="9"/>
          </rPr>
          <t>100</t>
        </r>
        <r>
          <rPr>
            <rFont val="Tahoma"/>
            <color rgb="000000" tint="0"/>
            <sz val="9"/>
          </rPr>
          <t xml:space="preserve"> - Bright</t>
        </r>
      </text>
    </comment>
    <comment authorId="0" ref="AE41">
      <text>
        <r>
          <rPr>
            <rFont val="Tahoma"/>
            <b val="true"/>
            <color rgb="000000" tint="0"/>
            <sz val="9"/>
          </rPr>
          <t>Lighting - Auto Headlight On:</t>
        </r>
        <r>
          <t xml:space="preserve">
</t>
        </r>
        <r>
          <rPr>
            <rFont val="Tahoma"/>
            <i val="true"/>
            <color rgb="000000" tint="0"/>
            <sz val="8"/>
          </rPr>
          <t>b5b4b3 - Value</t>
        </r>
        <r>
          <t xml:space="preserve">
</t>
        </r>
        <r>
          <rPr>
            <rFont val="Tahoma"/>
            <b val="true"/>
            <color rgb="000000" tint="0"/>
            <sz val="9"/>
          </rPr>
          <t>000</t>
        </r>
        <r>
          <rPr>
            <rFont val="Tahoma"/>
            <color rgb="000000" tint="0"/>
            <sz val="9"/>
          </rPr>
          <t xml:space="preserve"> - N/A</t>
        </r>
        <r>
          <t xml:space="preserve">
</t>
        </r>
        <r>
          <rPr>
            <rFont val="Tahoma"/>
            <b val="true"/>
            <color rgb="000000" tint="0"/>
            <sz val="9"/>
          </rPr>
          <t>001</t>
        </r>
        <r>
          <rPr>
            <rFont val="Tahoma"/>
            <color rgb="000000" tint="0"/>
            <sz val="9"/>
          </rPr>
          <t xml:space="preserve"> - Low</t>
        </r>
        <r>
          <t xml:space="preserve">
</t>
        </r>
        <r>
          <rPr>
            <rFont val="Tahoma"/>
            <b val="true"/>
            <color rgb="000000" tint="0"/>
            <sz val="9"/>
          </rPr>
          <t>010</t>
        </r>
        <r>
          <rPr>
            <rFont val="Tahoma"/>
            <color rgb="000000" tint="0"/>
            <sz val="9"/>
          </rPr>
          <t xml:space="preserve"> - Med. Low</t>
        </r>
        <r>
          <t xml:space="preserve">
</t>
        </r>
        <r>
          <rPr>
            <rFont val="Tahoma"/>
            <b val="true"/>
            <color rgb="000000" tint="0"/>
            <sz val="9"/>
          </rPr>
          <t>011</t>
        </r>
        <r>
          <rPr>
            <rFont val="Tahoma"/>
            <color rgb="000000" tint="0"/>
            <sz val="9"/>
          </rPr>
          <t xml:space="preserve"> - Medium</t>
        </r>
        <r>
          <t xml:space="preserve">
</t>
        </r>
        <r>
          <rPr>
            <rFont val="Tahoma"/>
            <b val="true"/>
            <color rgb="000000" tint="0"/>
            <sz val="9"/>
          </rPr>
          <t>100</t>
        </r>
        <r>
          <rPr>
            <rFont val="Tahoma"/>
            <color rgb="000000" tint="0"/>
            <sz val="9"/>
          </rPr>
          <t xml:space="preserve"> - Med. High</t>
        </r>
        <r>
          <t xml:space="preserve">
</t>
        </r>
        <r>
          <rPr>
            <rFont val="Tahoma"/>
            <b val="true"/>
            <color rgb="000000" tint="0"/>
            <sz val="9"/>
          </rPr>
          <t>101</t>
        </r>
        <r>
          <rPr>
            <rFont val="Tahoma"/>
            <color rgb="000000" tint="0"/>
            <sz val="9"/>
          </rPr>
          <t xml:space="preserve"> - High</t>
        </r>
      </text>
    </comment>
    <comment authorId="0" ref="AI12">
      <text>
        <r>
          <rPr>
            <rFont val="Tahoma"/>
            <b val="true"/>
            <color rgb="000000" tint="0"/>
            <sz val="9"/>
          </rPr>
          <t>This dictates whether the key has to be near the trunk to allow it to open or if unlock button is enough on hatchback</t>
        </r>
      </text>
    </comment>
    <comment authorId="0" ref="S8">
      <text>
        <r>
          <rPr>
            <rFont val="Tahoma"/>
            <b val="true"/>
            <color rgb="000000" tint="0"/>
            <sz val="9"/>
          </rPr>
          <t>2-Step Door Unlock: 0</t>
        </r>
        <r>
          <rPr>
            <rFont val="Tahoma"/>
            <color rgb="000000" tint="0"/>
            <sz val="9"/>
          </rPr>
          <t xml:space="preserve"> - OFF / </t>
        </r>
        <r>
          <rPr>
            <rFont val="Tahoma"/>
            <b val="true"/>
            <color rgb="000000" tint="0"/>
            <sz val="9"/>
          </rPr>
          <t>1</t>
        </r>
        <r>
          <rPr>
            <rFont val="Tahoma"/>
            <color rgb="000000" tint="0"/>
            <sz val="9"/>
          </rPr>
          <t xml:space="preserve"> - ON</t>
        </r>
      </text>
    </comment>
    <comment authorId="0" ref="AI21">
      <text>
        <r>
          <rPr>
            <rFont val="Tahoma"/>
            <b val="true"/>
            <color rgb="000000" tint="0"/>
            <sz val="9"/>
          </rPr>
          <t>Auto Door Lock:</t>
        </r>
        <r>
          <rPr>
            <rFont val="Tahoma"/>
            <color rgb="000000" tint="0"/>
            <sz val="9"/>
          </rPr>
          <t xml:space="preserve"> </t>
        </r>
        <r>
          <rPr>
            <rFont val="Tahoma"/>
            <b val="true"/>
            <color rgb="000000" tint="0"/>
            <sz val="9"/>
          </rPr>
          <t>0</t>
        </r>
        <r>
          <rPr>
            <rFont val="Tahoma"/>
            <color rgb="000000" tint="0"/>
            <sz val="9"/>
          </rPr>
          <t xml:space="preserve"> - On / </t>
        </r>
        <r>
          <rPr>
            <rFont val="Tahoma"/>
            <b val="true"/>
            <color rgb="000000" tint="0"/>
            <sz val="9"/>
          </rPr>
          <t>1</t>
        </r>
        <r>
          <rPr>
            <rFont val="Tahoma"/>
            <color rgb="000000" tint="0"/>
            <sz val="9"/>
          </rPr>
          <t xml:space="preserve"> - Off</t>
        </r>
      </text>
    </comment>
    <comment authorId="0" ref="AA35">
      <text>
        <r>
          <rPr>
            <rFont val="Tahoma"/>
            <b val="true"/>
            <color rgb="000000" tint="0"/>
            <sz val="9"/>
          </rPr>
          <t>Lighting - Interior Light: 1</t>
        </r>
        <r>
          <rPr>
            <rFont val="Tahoma"/>
            <color rgb="000000" tint="0"/>
            <sz val="9"/>
          </rPr>
          <t xml:space="preserve"> - Show / </t>
        </r>
        <r>
          <rPr>
            <rFont val="Tahoma"/>
            <b val="true"/>
            <color rgb="000000" tint="0"/>
            <sz val="9"/>
          </rPr>
          <t>0</t>
        </r>
        <r>
          <rPr>
            <rFont val="Tahoma"/>
            <color rgb="000000" tint="0"/>
            <sz val="9"/>
          </rPr>
          <t xml:space="preserve"> - Hide</t>
        </r>
      </text>
    </comment>
    <comment authorId="0" ref="S6">
      <text>
        <r>
          <rPr>
            <rFont val="Tahoma"/>
            <b val="true"/>
            <color rgb="000000" tint="0"/>
            <sz val="9"/>
            <u val="single"/>
          </rPr>
          <t>Bodystyle</t>
        </r>
        <r>
          <t xml:space="preserve">
</t>
        </r>
        <r>
          <rPr>
            <rFont val="Tahoma"/>
            <i val="true"/>
            <color rgb="000000" tint="0"/>
            <sz val="9"/>
          </rPr>
          <t>b7b6 - values:</t>
        </r>
        <r>
          <t xml:space="preserve">
</t>
        </r>
        <r>
          <rPr>
            <rFont val="Tahoma"/>
            <b val="true"/>
            <color rgb="000000" tint="0"/>
            <sz val="9"/>
          </rPr>
          <t xml:space="preserve">00 - </t>
        </r>
        <r>
          <rPr>
            <rFont val="Tahoma"/>
            <color rgb="000000" tint="0"/>
            <sz val="9"/>
          </rPr>
          <t>Sedan;</t>
        </r>
        <r>
          <t xml:space="preserve">
</t>
        </r>
        <r>
          <rPr>
            <rFont val="Tahoma"/>
            <b val="true"/>
            <color rgb="000000" tint="0"/>
            <sz val="9"/>
          </rPr>
          <t xml:space="preserve">01 - </t>
        </r>
        <r>
          <rPr>
            <rFont val="Tahoma"/>
            <color rgb="000000" tint="0"/>
            <sz val="9"/>
          </rPr>
          <t>Hatchback;</t>
        </r>
        <r>
          <t xml:space="preserve">
</t>
        </r>
        <r>
          <rPr>
            <rFont val="Tahoma"/>
            <b val="true"/>
            <color rgb="000000" tint="0"/>
            <sz val="9"/>
          </rPr>
          <t xml:space="preserve">10 - </t>
        </r>
        <r>
          <rPr>
            <rFont val="Tahoma"/>
            <color rgb="000000" tint="0"/>
            <sz val="9"/>
          </rPr>
          <t>Wagon</t>
        </r>
      </text>
    </comment>
    <comment authorId="0" ref="S9">
      <text>
        <r>
          <rPr>
            <rFont val="Tahoma"/>
            <b val="true"/>
            <color rgb="000000" tint="0"/>
            <sz val="9"/>
          </rPr>
          <t>Burglar Alarm</t>
        </r>
        <r>
          <rPr>
            <rFont val="Tahoma"/>
            <color rgb="000000" tint="0"/>
            <sz val="9"/>
          </rPr>
          <t xml:space="preserve"> related:</t>
        </r>
        <r>
          <t xml:space="preserve">
</t>
        </r>
        <r>
          <rPr>
            <rFont val="Tahoma"/>
            <b val="true"/>
            <color rgb="000000" tint="0"/>
            <sz val="9"/>
          </rPr>
          <t>[1= if 731-01-01 B2b5=1]</t>
        </r>
      </text>
    </comment>
    <comment authorId="0" ref="W6">
      <text>
        <r>
          <rPr>
            <rFont val="Tahoma"/>
            <b val="true"/>
            <color rgb="000000" tint="0"/>
            <sz val="9"/>
          </rPr>
          <t>Auto Door Lock:</t>
        </r>
        <r>
          <rPr>
            <rFont val="Tahoma"/>
            <color rgb="000000" tint="0"/>
            <sz val="9"/>
          </rPr>
          <t xml:space="preserve"> 0 - OFF / 1 - ON</t>
        </r>
      </text>
    </comment>
    <comment authorId="0" ref="AA29">
      <text>
        <r>
          <rPr>
            <rFont val="Tahoma"/>
            <b val="true"/>
            <color rgb="000000" tint="0"/>
            <sz val="9"/>
          </rPr>
          <t>Rain Sensing Wiper: 0</t>
        </r>
        <r>
          <rPr>
            <rFont val="Tahoma"/>
            <color rgb="000000" tint="0"/>
            <sz val="9"/>
          </rPr>
          <t xml:space="preserve"> - Show / </t>
        </r>
        <r>
          <rPr>
            <rFont val="Tahoma"/>
            <b val="true"/>
            <color rgb="000000" tint="0"/>
            <sz val="9"/>
          </rPr>
          <t>1</t>
        </r>
        <r>
          <rPr>
            <rFont val="Tahoma"/>
            <color rgb="000000" tint="0"/>
            <sz val="9"/>
          </rPr>
          <t xml:space="preserve"> - Hide</t>
        </r>
      </text>
    </comment>
    <comment authorId="0" ref="S10">
      <text>
        <r>
          <rPr>
            <rFont val="Tahoma"/>
            <b val="true"/>
            <color rgb="000000" tint="0"/>
            <sz val="9"/>
          </rPr>
          <t>Burglar Alarm</t>
        </r>
        <r>
          <rPr>
            <rFont val="Tahoma"/>
            <color rgb="000000" tint="0"/>
            <sz val="9"/>
          </rPr>
          <t xml:space="preserve"> related:</t>
        </r>
        <r>
          <t xml:space="preserve">
</t>
        </r>
        <r>
          <rPr>
            <rFont val="Tahoma"/>
            <color rgb="000000" tint="0"/>
            <sz val="9"/>
          </rPr>
          <t>[1= only in reg.21/41/61/71/81+M6(31 with AKE)]</t>
        </r>
      </text>
    </comment>
    <comment authorId="0" ref="AA31">
      <text>
        <r>
          <rPr>
            <rFont val="Tahoma"/>
            <b val="true"/>
            <color rgb="000000" tint="0"/>
            <sz val="9"/>
          </rPr>
          <t>Lighting - Auto Headlight On (Default setting):</t>
        </r>
        <r>
          <t xml:space="preserve">
</t>
        </r>
        <r>
          <rPr>
            <rFont val="Tahoma"/>
            <i val="true"/>
            <color rgb="000000" tint="0"/>
            <sz val="8"/>
          </rPr>
          <t>b4b3 - Value</t>
        </r>
        <r>
          <t xml:space="preserve">
</t>
        </r>
        <r>
          <rPr>
            <rFont val="Tahoma"/>
            <b val="true"/>
            <color rgb="000000" tint="0"/>
            <sz val="9"/>
          </rPr>
          <t>00</t>
        </r>
        <r>
          <rPr>
            <rFont val="Tahoma"/>
            <color rgb="000000" tint="0"/>
            <sz val="9"/>
          </rPr>
          <t xml:space="preserve"> - Low</t>
        </r>
        <r>
          <t xml:space="preserve">
</t>
        </r>
        <r>
          <rPr>
            <rFont val="Tahoma"/>
            <b val="true"/>
            <color rgb="000000" tint="0"/>
            <sz val="9"/>
          </rPr>
          <t>01</t>
        </r>
        <r>
          <rPr>
            <rFont val="Tahoma"/>
            <color rgb="000000" tint="0"/>
            <sz val="9"/>
          </rPr>
          <t xml:space="preserve"> - Med. Low</t>
        </r>
        <r>
          <t xml:space="preserve">
</t>
        </r>
        <r>
          <rPr>
            <rFont val="Tahoma"/>
            <b val="true"/>
            <color rgb="000000" tint="0"/>
            <sz val="9"/>
          </rPr>
          <t>10</t>
        </r>
        <r>
          <rPr>
            <rFont val="Tahoma"/>
            <color rgb="000000" tint="0"/>
            <sz val="9"/>
          </rPr>
          <t xml:space="preserve"> - Medium</t>
        </r>
        <r>
          <t xml:space="preserve">
</t>
        </r>
        <r>
          <rPr>
            <rFont val="Tahoma"/>
            <b val="true"/>
            <color rgb="000000" tint="0"/>
            <sz val="9"/>
          </rPr>
          <t>11</t>
        </r>
        <r>
          <rPr>
            <rFont val="Tahoma"/>
            <color rgb="000000" tint="0"/>
            <sz val="9"/>
          </rPr>
          <t xml:space="preserve"> -  Med. High</t>
        </r>
      </text>
    </comment>
    <comment authorId="0" ref="AA42">
      <text>
        <r>
          <rPr>
            <rFont val="Tahoma"/>
            <b val="true"/>
            <color rgb="000000" tint="0"/>
            <sz val="9"/>
          </rPr>
          <t>3-Flash Indicator:</t>
        </r>
        <r>
          <t xml:space="preserve">
</t>
        </r>
        <r>
          <rPr>
            <rFont val="Tahoma"/>
            <i val="true"/>
            <color rgb="000000" tint="0"/>
            <sz val="8"/>
          </rPr>
          <t>b4b3 -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Disabled</t>
        </r>
        <r>
          <t xml:space="preserve">
</t>
        </r>
        <r>
          <rPr>
            <rFont val="Tahoma"/>
            <b val="true"/>
            <color rgb="000000" tint="0"/>
            <sz val="9"/>
          </rPr>
          <t>10</t>
        </r>
        <r>
          <rPr>
            <rFont val="Tahoma"/>
            <color rgb="000000" tint="0"/>
            <sz val="9"/>
          </rPr>
          <t xml:space="preserve"> - Enabled</t>
        </r>
      </text>
    </comment>
    <comment authorId="0" ref="W42">
      <text>
        <r>
          <rPr>
            <rFont val="Tahoma"/>
            <b val="true"/>
            <color rgb="000000" tint="0"/>
            <sz val="9"/>
          </rPr>
          <t>Lighting - Interior Light Timeout-Door Open:</t>
        </r>
        <r>
          <t xml:space="preserve">
</t>
        </r>
        <r>
          <rPr>
            <rFont val="Tahoma"/>
            <i val="true"/>
            <color rgb="000000" tint="0"/>
            <sz val="8"/>
          </rPr>
          <t>b4b3 -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- 30 min</t>
        </r>
        <r>
          <t xml:space="preserve">
</t>
        </r>
        <r>
          <rPr>
            <rFont val="Tahoma"/>
            <b val="true"/>
            <color rgb="000000" tint="0"/>
            <sz val="9"/>
          </rPr>
          <t>10</t>
        </r>
        <r>
          <rPr>
            <rFont val="Tahoma"/>
            <color rgb="000000" tint="0"/>
            <sz val="9"/>
          </rPr>
          <t xml:space="preserve"> - 60 min</t>
        </r>
        <r>
          <t xml:space="preserve">
</t>
        </r>
        <r>
          <rPr>
            <rFont val="Tahoma"/>
            <b val="true"/>
            <color rgb="000000" tint="0"/>
            <sz val="9"/>
          </rPr>
          <t>11</t>
        </r>
        <r>
          <rPr>
            <rFont val="Tahoma"/>
            <color rgb="000000" tint="0"/>
            <sz val="9"/>
          </rPr>
          <t xml:space="preserve"> - 10 min</t>
        </r>
      </text>
    </comment>
    <comment authorId="0" ref="AA28">
      <text>
        <r>
          <rPr>
            <rFont val="Tahoma"/>
            <b val="true"/>
            <color rgb="000000" tint="0"/>
            <sz val="9"/>
          </rPr>
          <t xml:space="preserve">Rain Sensing Wiper (Default setting): </t>
        </r>
        <r>
          <t xml:space="preserve">
</t>
        </r>
        <r>
          <rPr>
            <rFont val="Tahoma"/>
            <b val="true"/>
            <color rgb="000000" tint="0"/>
            <sz val="9"/>
          </rPr>
          <t>0</t>
        </r>
        <r>
          <rPr>
            <rFont val="Tahoma"/>
            <color rgb="000000" tint="0"/>
            <sz val="9"/>
          </rPr>
          <t xml:space="preserve"> - Disabled / </t>
        </r>
        <r>
          <rPr>
            <rFont val="Tahoma"/>
            <b val="true"/>
            <color rgb="000000" tint="0"/>
            <sz val="9"/>
          </rPr>
          <t>1</t>
        </r>
        <r>
          <rPr>
            <rFont val="Tahoma"/>
            <color rgb="000000" tint="0"/>
            <sz val="9"/>
          </rPr>
          <t xml:space="preserve"> - Enabled</t>
        </r>
      </text>
    </comment>
    <comment authorId="0" ref="AI7">
      <text>
        <r>
          <rPr>
            <rFont val="Tahoma"/>
            <b val="true"/>
            <color rgb="000000" tint="0"/>
            <sz val="9"/>
          </rPr>
          <t>Auxiliary key locks all doors with Ignition ON</t>
        </r>
        <r>
          <rPr>
            <rFont val="Tahoma"/>
            <color rgb="000000" tint="0"/>
            <sz val="9"/>
          </rPr>
          <t xml:space="preserve">: </t>
        </r>
        <r>
          <t xml:space="preserve">
</t>
        </r>
        <r>
          <rPr>
            <rFont val="Tahoma"/>
            <b val="true"/>
            <color rgb="000000" tint="0"/>
            <sz val="9"/>
          </rPr>
          <t>0</t>
        </r>
        <r>
          <rPr>
            <rFont val="Tahoma"/>
            <color rgb="000000" tint="0"/>
            <sz val="9"/>
          </rPr>
          <t> - OFF (When Ignition is ON, Auxiliary key locks only driver's door, unlocks only driver's door)</t>
        </r>
        <r>
          <t xml:space="preserve">
</t>
        </r>
        <r>
          <rPr>
            <rFont val="Tahoma"/>
            <b val="true"/>
            <color rgb="000000" tint="0"/>
            <sz val="9"/>
          </rPr>
          <t>1</t>
        </r>
        <r>
          <rPr>
            <rFont val="Tahoma"/>
            <color rgb="000000" tint="0"/>
            <sz val="9"/>
          </rPr>
          <t> - ON (When Ignition is ON, Auxiliary key locks all doors, unlocks only driver's door)</t>
        </r>
      </text>
    </comment>
  </commentList>
</comments>
</file>

<file path=xl/comments8.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AA19">
      <text>
        <r>
          <rPr>
            <rFont val="Tahoma"/>
            <b val="true"/>
            <color rgb="000000" tint="0"/>
            <sz val="9"/>
            <u val="single"/>
          </rPr>
          <t>Keyfob type:</t>
        </r>
        <r>
          <rPr>
            <rFont val="Tahoma"/>
            <color rgb="000000" tint="0"/>
            <sz val="9"/>
          </rPr>
          <t xml:space="preserve"> Bodystyle/Drive dependant</t>
        </r>
        <r>
          <t xml:space="preserve">
</t>
        </r>
        <r>
          <rPr>
            <rFont val="Tahoma"/>
            <color rgb="000000" tint="0"/>
            <sz val="9"/>
          </rPr>
          <t>Value (HEX):</t>
        </r>
        <r>
          <t xml:space="preserve">
</t>
        </r>
        <r>
          <rPr>
            <rFont val="Tahoma"/>
            <b val="true"/>
            <color rgb="000000" tint="0"/>
            <sz val="9"/>
          </rPr>
          <t>01</t>
        </r>
        <r>
          <rPr>
            <rFont val="Tahoma"/>
            <color rgb="000000" tint="0"/>
            <sz val="9"/>
          </rPr>
          <t xml:space="preserve"> - HB/WGN(RHD except AUS);</t>
        </r>
        <r>
          <t xml:space="preserve">
</t>
        </r>
        <r>
          <rPr>
            <rFont val="Tahoma"/>
            <b val="true"/>
            <color rgb="000000" tint="0"/>
            <sz val="9"/>
          </rPr>
          <t>03</t>
        </r>
        <r>
          <rPr>
            <rFont val="Tahoma"/>
            <color rgb="000000" tint="0"/>
            <sz val="9"/>
          </rPr>
          <t xml:space="preserve"> - SD(RHD except AUS);</t>
        </r>
        <r>
          <t xml:space="preserve">
</t>
        </r>
        <r>
          <rPr>
            <rFont val="Tahoma"/>
            <b val="true"/>
            <color rgb="000000" tint="0"/>
            <sz val="9"/>
          </rPr>
          <t>0D</t>
        </r>
        <r>
          <rPr>
            <rFont val="Tahoma"/>
            <color rgb="000000" tint="0"/>
            <sz val="9"/>
          </rPr>
          <t xml:space="preserve"> - WGN(except AUS) only when 731-01-01 B2=C2/C6;</t>
        </r>
        <r>
          <t xml:space="preserve">
</t>
        </r>
        <r>
          <rPr>
            <rFont val="Tahoma"/>
            <b val="true"/>
            <color rgb="000000" tint="0"/>
            <sz val="9"/>
          </rPr>
          <t>06</t>
        </r>
        <r>
          <rPr>
            <rFont val="Tahoma"/>
            <color rgb="000000" tint="0"/>
            <sz val="9"/>
          </rPr>
          <t xml:space="preserve"> - HB/WGN (US only);</t>
        </r>
        <r>
          <t xml:space="preserve">
</t>
        </r>
        <r>
          <rPr>
            <rFont val="Tahoma"/>
            <b val="true"/>
            <color rgb="000000" tint="0"/>
            <sz val="9"/>
          </rPr>
          <t>09</t>
        </r>
        <r>
          <rPr>
            <rFont val="Tahoma"/>
            <color rgb="000000" tint="0"/>
            <sz val="9"/>
          </rPr>
          <t xml:space="preserve"> - 4 Buttons (Open, Close, Trunk, Panic) - SD (US only); </t>
        </r>
        <r>
          <t xml:space="preserve">
</t>
        </r>
        <r>
          <rPr>
            <rFont val="Tahoma"/>
            <b val="true"/>
            <color rgb="000000" tint="0"/>
            <sz val="9"/>
          </rPr>
          <t>0E</t>
        </r>
        <r>
          <rPr>
            <rFont val="Tahoma"/>
            <color rgb="000000" tint="0"/>
            <sz val="9"/>
          </rPr>
          <t xml:space="preserve"> - WGN (US) only when  731-01-01 B2=D6/DE;</t>
        </r>
        <r>
          <t xml:space="preserve">
</t>
        </r>
        <r>
          <rPr>
            <rFont val="Tahoma"/>
            <b val="true"/>
            <color rgb="000000" tint="0"/>
            <sz val="9"/>
          </rPr>
          <t>18</t>
        </r>
        <r>
          <rPr>
            <rFont val="Tahoma"/>
            <color rgb="000000" tint="0"/>
            <sz val="9"/>
          </rPr>
          <t xml:space="preserve"> - 2 Buttons (Open, Close) - HB/WGN (LHD+AUS/SAfr);</t>
        </r>
        <r>
          <t xml:space="preserve">
</t>
        </r>
        <r>
          <rPr>
            <rFont val="Tahoma"/>
            <b val="true"/>
            <color rgb="000000" tint="0"/>
            <sz val="9"/>
          </rPr>
          <t>19</t>
        </r>
        <r>
          <rPr>
            <rFont val="Tahoma"/>
            <color rgb="000000" tint="0"/>
            <sz val="9"/>
          </rPr>
          <t xml:space="preserve"> - 3 Buttons (Open, Close, Trunk) - SD (LHD+AUS/SAfr);</t>
        </r>
        <r>
          <t xml:space="preserve">
</t>
        </r>
        <r>
          <rPr>
            <rFont val="Tahoma"/>
            <b val="true"/>
            <color rgb="000000" tint="0"/>
            <sz val="9"/>
          </rPr>
          <t>1E</t>
        </r>
        <r>
          <rPr>
            <rFont val="Tahoma"/>
            <color rgb="000000" tint="0"/>
            <sz val="9"/>
          </rPr>
          <t xml:space="preserve"> - WGN (LHD+AUS/UK only when 731-01-01 B2=6x/Ex);</t>
        </r>
        <r>
          <t xml:space="preserve">
</t>
        </r>
        <r>
          <rPr>
            <rFont val="Tahoma"/>
            <b val="true"/>
            <color rgb="000000" tint="0"/>
            <sz val="9"/>
          </rPr>
          <t>21</t>
        </r>
        <r>
          <rPr>
            <rFont val="Tahoma"/>
            <color rgb="000000" tint="0"/>
            <sz val="9"/>
          </rPr>
          <t xml:space="preserve"> - 4 Buttons (Open, Close, Trunk, Intrusion sensor) - SD (EU+UK only when 731-01-01 B2=68/E8/E0/C8);</t>
        </r>
        <r>
          <t xml:space="preserve">
</t>
        </r>
        <r>
          <rPr>
            <rFont val="Tahoma"/>
            <b val="true"/>
            <color rgb="000000" tint="0"/>
            <sz val="9"/>
          </rPr>
          <t>23</t>
        </r>
        <r>
          <rPr>
            <rFont val="Tahoma"/>
            <color rgb="000000" tint="0"/>
            <sz val="9"/>
          </rPr>
          <t xml:space="preserve"> - WGN (EU+UK only when 731-01-01 B2-C2/CA/C6/CE)</t>
        </r>
      </text>
    </comment>
    <comment authorId="0" ref="S29">
      <text>
        <r>
          <rPr>
            <rFont val="Tahoma"/>
            <b val="true"/>
            <color rgb="000000" tint="0"/>
            <sz val="9"/>
          </rPr>
          <t>Door Lock - Walk Away Lock option: 0</t>
        </r>
        <r>
          <rPr>
            <rFont val="Tahoma"/>
            <color rgb="000000" tint="0"/>
            <sz val="9"/>
          </rPr>
          <t xml:space="preserve"> - Enable</t>
        </r>
        <r>
          <t xml:space="preserve">
</t>
        </r>
        <r>
          <rPr>
            <rFont val="Tahoma"/>
            <b val="true"/>
            <color rgb="000000" tint="0"/>
            <sz val="9"/>
          </rPr>
          <t>1</t>
        </r>
        <r>
          <rPr>
            <rFont val="Tahoma"/>
            <color rgb="000000" tint="0"/>
            <sz val="9"/>
          </rPr>
          <t xml:space="preserve"> - Disable</t>
        </r>
      </text>
    </comment>
    <comment authorId="0" ref="S27">
      <text>
        <r>
          <rPr>
            <rFont val="Tahoma"/>
            <color rgb="000000" tint="0"/>
            <sz val="9"/>
          </rPr>
          <t>Wireless mode lock/unlock is ONLY displayed on monitor (for example it is possible to configure only display the "unlock Mode"(step-by-step opening) or together with "Lock when leaving car"</t>
        </r>
      </text>
    </comment>
    <comment authorId="0" ref="S21">
      <text>
        <r>
          <rPr>
            <rFont val="Tahoma"/>
            <b val="true"/>
            <color rgb="000000" tint="0"/>
            <sz val="9"/>
            <u val="single"/>
          </rPr>
          <t>AKE</t>
        </r>
        <r>
          <t xml:space="preserve">
</t>
        </r>
        <r>
          <rPr>
            <rFont val="Tahoma"/>
            <i val="true"/>
            <color rgb="000000" tint="0"/>
            <sz val="8"/>
          </rPr>
          <t>b3b2b1b0 -Value:</t>
        </r>
        <r>
          <t xml:space="preserve">
</t>
        </r>
        <r>
          <rPr>
            <rFont val="Tahoma"/>
            <b val="true"/>
            <color rgb="000000" tint="0"/>
            <sz val="9"/>
          </rPr>
          <t>0000</t>
        </r>
        <r>
          <rPr>
            <rFont val="Tahoma"/>
            <color rgb="000000" tint="0"/>
            <sz val="9"/>
          </rPr>
          <t xml:space="preserve"> - No AKE</t>
        </r>
        <r>
          <t xml:space="preserve">
</t>
        </r>
        <r>
          <rPr>
            <rFont val="Tahoma"/>
            <b val="true"/>
            <color rgb="000000" tint="0"/>
            <sz val="9"/>
          </rPr>
          <t>0110 -</t>
        </r>
        <r>
          <rPr>
            <rFont val="Tahoma"/>
            <color rgb="000000" tint="0"/>
            <sz val="9"/>
          </rPr>
          <t xml:space="preserve"> M2 (LHD), M3 (LHD);</t>
        </r>
        <r>
          <t xml:space="preserve">
</t>
        </r>
        <r>
          <rPr>
            <rFont val="Tahoma"/>
            <b val="true"/>
            <color rgb="000000" tint="0"/>
            <sz val="9"/>
          </rPr>
          <t>0111 -</t>
        </r>
        <r>
          <rPr>
            <rFont val="Tahoma"/>
            <color rgb="000000" tint="0"/>
            <sz val="9"/>
          </rPr>
          <t xml:space="preserve"> M6, M2 (RHD), CX3 (LHD), CX-4;</t>
        </r>
        <r>
          <t xml:space="preserve">
</t>
        </r>
        <r>
          <rPr>
            <rFont val="Tahoma"/>
            <b val="true"/>
            <color rgb="000000" tint="0"/>
            <sz val="9"/>
          </rPr>
          <t xml:space="preserve">1000 - </t>
        </r>
        <r>
          <rPr>
            <rFont val="Tahoma"/>
            <color rgb="000000" tint="0"/>
            <sz val="9"/>
          </rPr>
          <t>MX5, CX9, CX5 KE, M3 (RHD), CX3 (RHD);</t>
        </r>
        <r>
          <t xml:space="preserve">
</t>
        </r>
        <r>
          <rPr>
            <rFont val="Tahoma"/>
            <b val="true"/>
            <color rgb="000000" tint="0"/>
            <sz val="9"/>
          </rPr>
          <t xml:space="preserve">1001 - </t>
        </r>
        <r>
          <rPr>
            <rFont val="Tahoma"/>
            <color rgb="000000" tint="0"/>
            <sz val="9"/>
          </rPr>
          <t>CX8, CX5 KF (except US);</t>
        </r>
        <r>
          <t xml:space="preserve">
</t>
        </r>
        <r>
          <rPr>
            <rFont val="Tahoma"/>
            <b val="true"/>
            <color rgb="000000" tint="0"/>
            <sz val="9"/>
          </rPr>
          <t xml:space="preserve">1010 - </t>
        </r>
        <r>
          <rPr>
            <rFont val="Tahoma"/>
            <color rgb="000000" tint="0"/>
            <sz val="9"/>
          </rPr>
          <t>CX5 KF (US/CAN only)</t>
        </r>
      </text>
    </comment>
    <comment authorId="0" ref="S20">
      <text>
        <r>
          <rPr>
            <rFont val="Tahoma"/>
            <b val="true"/>
            <color rgb="000000" tint="0"/>
            <sz val="9"/>
          </rPr>
          <t>EU only</t>
        </r>
      </text>
    </comment>
    <comment authorId="0" ref="AI13">
      <text>
        <r>
          <rPr>
            <rFont val="Tahoma"/>
            <b val="true"/>
            <color rgb="000000" tint="0"/>
            <sz val="9"/>
          </rPr>
          <t>1</t>
        </r>
        <r>
          <rPr>
            <rFont val="Tahoma"/>
            <color rgb="000000" tint="0"/>
            <sz val="9"/>
          </rPr>
          <t>- if 720-04-27 B0=3x, 0- if 720-04-27 B0=2x ???</t>
        </r>
        <r>
          <t xml:space="preserve">
</t>
        </r>
        <r>
          <rPr>
            <rFont val="Tahoma"/>
            <b val="true"/>
            <color rgb="000000" tint="0"/>
            <sz val="9"/>
          </rPr>
          <t>Be careful with editing this byte, especially b0! Can brick SSU!</t>
        </r>
      </text>
    </comment>
    <comment authorId="0" ref="AA6">
      <text>
        <r>
          <rPr>
            <rFont val="Tahoma"/>
            <b val="true"/>
            <color rgb="000000" tint="0"/>
            <sz val="9"/>
          </rPr>
          <t>Advanced Keyless Entry: 0</t>
        </r>
        <r>
          <rPr>
            <rFont val="Tahoma"/>
            <color rgb="000000" tint="0"/>
            <sz val="9"/>
          </rPr>
          <t xml:space="preserve"> - Off</t>
        </r>
        <r>
          <t xml:space="preserve">
</t>
        </r>
        <r>
          <rPr>
            <rFont val="Tahoma"/>
            <b val="true"/>
            <color rgb="000000" tint="0"/>
            <sz val="9"/>
          </rPr>
          <t>1</t>
        </r>
        <r>
          <rPr>
            <rFont val="Tahoma"/>
            <color rgb="000000" tint="0"/>
            <sz val="9"/>
          </rPr>
          <t xml:space="preserve"> - On</t>
        </r>
      </text>
    </comment>
    <comment authorId="0" ref="S39">
      <text>
        <r>
          <rPr>
            <rFont val="Tahoma"/>
            <b val="true"/>
            <color rgb="000000" tint="0"/>
            <sz val="9"/>
          </rPr>
          <t>"Walk Away Lock" Submenu:</t>
        </r>
        <r>
          <t xml:space="preserve">
</t>
        </r>
        <r>
          <rPr>
            <rFont val="Tahoma"/>
            <i val="true"/>
            <color rgb="000000" tint="0"/>
            <sz val="8"/>
          </rPr>
          <t>b7b6 - Values</t>
        </r>
        <r>
          <t xml:space="preserve">
</t>
        </r>
        <r>
          <rPr>
            <rFont val="Tahoma"/>
            <b val="true"/>
            <color rgb="000000" tint="0"/>
            <sz val="9"/>
          </rPr>
          <t>00</t>
        </r>
        <r>
          <rPr>
            <rFont val="Tahoma"/>
            <color rgb="000000" tint="0"/>
            <sz val="9"/>
          </rPr>
          <t xml:space="preserve"> - Not Equipped</t>
        </r>
        <r>
          <t xml:space="preserve">
</t>
        </r>
        <r>
          <rPr>
            <rFont val="Tahoma"/>
            <b val="true"/>
            <color rgb="000000" tint="0"/>
            <sz val="9"/>
          </rPr>
          <t>01</t>
        </r>
        <r>
          <rPr>
            <rFont val="Tahoma"/>
            <color rgb="000000" tint="0"/>
            <sz val="9"/>
          </rPr>
          <t xml:space="preserve"> - Off</t>
        </r>
        <r>
          <t xml:space="preserve">
</t>
        </r>
        <r>
          <rPr>
            <rFont val="Tahoma"/>
            <b val="true"/>
            <color rgb="000000" tint="0"/>
            <sz val="9"/>
          </rPr>
          <t>10</t>
        </r>
        <r>
          <rPr>
            <rFont val="Tahoma"/>
            <color rgb="000000" tint="0"/>
            <sz val="9"/>
          </rPr>
          <t xml:space="preserve"> - On</t>
        </r>
      </text>
    </comment>
    <comment authorId="0" ref="AI17">
      <text>
        <r>
          <rPr>
            <rFont val="Tahoma"/>
            <b val="true"/>
            <color rgb="000000" tint="0"/>
            <sz val="9"/>
            <u val="single"/>
          </rPr>
          <t>Model/Drive dependant</t>
        </r>
        <r>
          <t xml:space="preserve">
</t>
        </r>
        <r>
          <rPr>
            <rFont val="Tahoma"/>
            <i val="true"/>
            <color rgb="000000" tint="0"/>
            <sz val="8"/>
          </rPr>
          <t>b7b6b5b4 - Value:</t>
        </r>
        <r>
          <t xml:space="preserve">
</t>
        </r>
        <r>
          <rPr>
            <rFont val="Tahoma"/>
            <b val="true"/>
            <color rgb="000000" tint="0"/>
            <sz val="9"/>
          </rPr>
          <t xml:space="preserve">0110 - </t>
        </r>
        <r>
          <rPr>
            <rFont val="Tahoma"/>
            <color rgb="000000" tint="0"/>
            <sz val="9"/>
          </rPr>
          <t>M3(LHD);</t>
        </r>
        <r>
          <t xml:space="preserve">
</t>
        </r>
        <r>
          <rPr>
            <rFont val="Tahoma"/>
            <b val="true"/>
            <color rgb="000000" tint="0"/>
            <sz val="9"/>
          </rPr>
          <t xml:space="preserve">0111 - </t>
        </r>
        <r>
          <rPr>
            <rFont val="Tahoma"/>
            <color rgb="000000" tint="0"/>
            <sz val="9"/>
          </rPr>
          <t>M2(LHD),M3(US);</t>
        </r>
        <r>
          <t xml:space="preserve">
</t>
        </r>
        <r>
          <rPr>
            <rFont val="Tahoma"/>
            <b val="true"/>
            <color rgb="000000" tint="0"/>
            <sz val="9"/>
          </rPr>
          <t xml:space="preserve">1000 - </t>
        </r>
        <r>
          <rPr>
            <rFont val="Tahoma"/>
            <color rgb="000000" tint="0"/>
            <sz val="9"/>
          </rPr>
          <t>M6(except US);</t>
        </r>
        <r>
          <t xml:space="preserve">
</t>
        </r>
        <r>
          <rPr>
            <rFont val="Tahoma"/>
            <b val="true"/>
            <color rgb="000000" tint="0"/>
            <sz val="9"/>
          </rPr>
          <t xml:space="preserve">1001 - </t>
        </r>
        <r>
          <rPr>
            <rFont val="Tahoma"/>
            <color rgb="000000" tint="0"/>
            <sz val="9"/>
          </rPr>
          <t>M2(RHD),M6(US)CX3(LHD), MX5(except US),CX5(except US),CX4,CX8,CX9(except US);</t>
        </r>
        <r>
          <t xml:space="preserve">
</t>
        </r>
        <r>
          <rPr>
            <rFont val="Tahoma"/>
            <b val="true"/>
            <color rgb="000000" tint="0"/>
            <sz val="9"/>
          </rPr>
          <t xml:space="preserve">1010 - </t>
        </r>
        <r>
          <rPr>
            <rFont val="Tahoma"/>
            <color rgb="000000" tint="0"/>
            <sz val="9"/>
          </rPr>
          <t xml:space="preserve">M3(RHD), MX5(US), CX3(RHD)+(US), CX5(US), CX9(US) </t>
        </r>
      </text>
    </comment>
    <comment authorId="0" ref="AE18">
      <text>
        <r>
          <rPr>
            <rFont val="Tahoma"/>
            <b val="true"/>
            <color rgb="000000" tint="0"/>
            <sz val="9"/>
            <u val="single"/>
          </rPr>
          <t>Model/Drive dependant</t>
        </r>
        <r>
          <t xml:space="preserve">
</t>
        </r>
        <r>
          <rPr>
            <rFont val="Tahoma"/>
            <i val="true"/>
            <color rgb="000000" tint="0"/>
            <sz val="8"/>
          </rPr>
          <t>Value:</t>
        </r>
        <r>
          <t xml:space="preserve">
</t>
        </r>
        <r>
          <rPr>
            <rFont val="Tahoma"/>
            <b val="true"/>
            <color rgb="000000" tint="0"/>
            <sz val="9"/>
          </rPr>
          <t xml:space="preserve">24 - </t>
        </r>
        <r>
          <rPr>
            <rFont val="Tahoma"/>
            <color rgb="000000" tint="0"/>
            <sz val="9"/>
          </rPr>
          <t>M3(LHD);</t>
        </r>
        <r>
          <t xml:space="preserve">
</t>
        </r>
        <r>
          <rPr>
            <rFont val="Tahoma"/>
            <b val="true"/>
            <color rgb="000000" tint="0"/>
            <sz val="9"/>
          </rPr>
          <t xml:space="preserve">25 - </t>
        </r>
        <r>
          <rPr>
            <rFont val="Tahoma"/>
            <color rgb="000000" tint="0"/>
            <sz val="9"/>
          </rPr>
          <t>CX4(LHD);</t>
        </r>
        <r>
          <t xml:space="preserve">
</t>
        </r>
        <r>
          <rPr>
            <rFont val="Tahoma"/>
            <b val="true"/>
            <color rgb="000000" tint="0"/>
            <sz val="9"/>
          </rPr>
          <t>26 -</t>
        </r>
        <r>
          <rPr>
            <rFont val="Tahoma"/>
            <color rgb="000000" tint="0"/>
            <sz val="9"/>
          </rPr>
          <t xml:space="preserve"> MX5(except US), CX5KF(except US),CX8(RHD);</t>
        </r>
        <r>
          <t xml:space="preserve">
</t>
        </r>
        <r>
          <rPr>
            <rFont val="Tahoma"/>
            <b val="true"/>
            <color rgb="000000" tint="0"/>
            <sz val="9"/>
          </rPr>
          <t>35 -</t>
        </r>
        <r>
          <rPr>
            <rFont val="Tahoma"/>
            <color rgb="000000" tint="0"/>
            <sz val="9"/>
          </rPr>
          <t xml:space="preserve"> M2(LHD),M3(US), CX3(LHD-ISR/NAM);</t>
        </r>
        <r>
          <t xml:space="preserve">
</t>
        </r>
        <r>
          <rPr>
            <rFont val="Tahoma"/>
            <b val="true"/>
            <color rgb="000000" tint="0"/>
            <sz val="9"/>
          </rPr>
          <t xml:space="preserve">37 - </t>
        </r>
        <r>
          <rPr>
            <rFont val="Tahoma"/>
            <color rgb="000000" tint="0"/>
            <sz val="9"/>
          </rPr>
          <t xml:space="preserve">CX9(except US), MX5(US); </t>
        </r>
        <r>
          <t xml:space="preserve">
</t>
        </r>
        <r>
          <rPr>
            <rFont val="Tahoma"/>
            <b val="true"/>
            <color rgb="000000" tint="0"/>
            <sz val="9"/>
          </rPr>
          <t xml:space="preserve">46 - </t>
        </r>
        <r>
          <rPr>
            <rFont val="Tahoma"/>
            <color rgb="000000" tint="0"/>
            <sz val="9"/>
          </rPr>
          <t>M6(except US);</t>
        </r>
        <r>
          <t xml:space="preserve">
</t>
        </r>
        <r>
          <rPr>
            <rFont val="Tahoma"/>
            <b val="true"/>
            <color rgb="000000" tint="0"/>
            <sz val="9"/>
          </rPr>
          <t xml:space="preserve">47 - </t>
        </r>
        <r>
          <rPr>
            <rFont val="Tahoma"/>
            <color rgb="000000" tint="0"/>
            <sz val="9"/>
          </rPr>
          <t>M2(RHD),CX3(LHD), M3(RHD),CX5KF(US), CX5KE(except US);</t>
        </r>
        <r>
          <t xml:space="preserve">
</t>
        </r>
        <r>
          <rPr>
            <rFont val="Tahoma"/>
            <b val="true"/>
            <color rgb="000000" tint="0"/>
            <sz val="9"/>
          </rPr>
          <t>48 -</t>
        </r>
        <r>
          <rPr>
            <rFont val="Tahoma"/>
            <color rgb="000000" tint="0"/>
            <sz val="9"/>
          </rPr>
          <t xml:space="preserve"> CX5KE(US),CX9(US);</t>
        </r>
        <r>
          <t xml:space="preserve">
</t>
        </r>
        <r>
          <rPr>
            <rFont val="Tahoma"/>
            <b val="true"/>
            <color rgb="000000" tint="0"/>
            <sz val="9"/>
          </rPr>
          <t xml:space="preserve">57 - </t>
        </r>
        <r>
          <rPr>
            <rFont val="Tahoma"/>
            <color rgb="000000" tint="0"/>
            <sz val="9"/>
          </rPr>
          <t>M6(US);</t>
        </r>
        <r>
          <t xml:space="preserve">
</t>
        </r>
        <r>
          <rPr>
            <rFont val="Tahoma"/>
            <b val="true"/>
            <color rgb="000000" tint="0"/>
            <sz val="9"/>
          </rPr>
          <t xml:space="preserve">58 - </t>
        </r>
        <r>
          <rPr>
            <rFont val="Tahoma"/>
            <color rgb="000000" tint="0"/>
            <sz val="9"/>
          </rPr>
          <t xml:space="preserve">CX3(US); </t>
        </r>
        <r>
          <t xml:space="preserve">
</t>
        </r>
        <r>
          <rPr>
            <rFont val="Tahoma"/>
            <b val="true"/>
            <color rgb="000000" tint="0"/>
            <sz val="9"/>
          </rPr>
          <t xml:space="preserve">79 - </t>
        </r>
        <r>
          <rPr>
            <rFont val="Tahoma"/>
            <color rgb="000000" tint="0"/>
            <sz val="9"/>
          </rPr>
          <t>CX3(RHD)</t>
        </r>
        <r>
          <t xml:space="preserve">
</t>
        </r>
      </text>
    </comment>
    <comment authorId="0" ref="AI9">
      <text>
        <r>
          <rPr>
            <rFont val="Tahoma"/>
            <b val="true"/>
            <color rgb="000000" tint="0"/>
            <sz val="9"/>
          </rPr>
          <t>1=sometimes &amp; only if 720-04-27 B0=10…</t>
        </r>
      </text>
    </comment>
    <comment authorId="0" ref="S43">
      <text>
        <r>
          <rPr>
            <rFont val="Tahoma"/>
            <b val="true"/>
            <color rgb="000000" tint="0"/>
            <sz val="9"/>
          </rPr>
          <t>"Unlock Mode (with remote)" Submenu:</t>
        </r>
        <r>
          <t xml:space="preserve">
</t>
        </r>
        <r>
          <rPr>
            <rFont val="Tahoma"/>
            <i val="true"/>
            <color rgb="000000" tint="0"/>
            <sz val="8"/>
          </rPr>
          <t>b3b2 - values</t>
        </r>
        <r>
          <t xml:space="preserve">
</t>
        </r>
        <r>
          <rPr>
            <rFont val="Tahoma"/>
            <b val="true"/>
            <color rgb="000000" tint="0"/>
            <sz val="9"/>
          </rPr>
          <t>00</t>
        </r>
        <r>
          <rPr>
            <rFont val="Tahoma"/>
            <color rgb="000000" tint="0"/>
            <sz val="9"/>
          </rPr>
          <t xml:space="preserve"> - Not Equipped</t>
        </r>
        <r>
          <t xml:space="preserve">
</t>
        </r>
        <r>
          <rPr>
            <rFont val="Tahoma"/>
            <b val="true"/>
            <color rgb="000000" tint="0"/>
            <sz val="9"/>
          </rPr>
          <t>01</t>
        </r>
        <r>
          <rPr>
            <rFont val="Tahoma"/>
            <color rgb="000000" tint="0"/>
            <sz val="9"/>
          </rPr>
          <t xml:space="preserve"> - 1x All doors</t>
        </r>
        <r>
          <t xml:space="preserve">
</t>
        </r>
        <r>
          <rPr>
            <rFont val="Tahoma"/>
            <b val="true"/>
            <color rgb="000000" tint="0"/>
            <sz val="9"/>
          </rPr>
          <t>10</t>
        </r>
        <r>
          <rPr>
            <rFont val="Tahoma"/>
            <color rgb="000000" tint="0"/>
            <sz val="9"/>
          </rPr>
          <t xml:space="preserve"> - 1x Driver door / 2x All doors</t>
        </r>
      </text>
    </comment>
    <comment authorId="0" ref="AE8">
      <text>
        <r>
          <rPr>
            <rFont val="Tahoma"/>
            <b val="true"/>
            <color rgb="000000" tint="0"/>
            <sz val="9"/>
          </rPr>
          <t>Beeps when ignition is in ACC and driver's door is open:</t>
        </r>
        <r>
          <t xml:space="preserve">
</t>
        </r>
        <r>
          <rPr>
            <rFont val="Tahoma"/>
            <b val="true"/>
            <color rgb="000000" tint="0"/>
            <sz val="9"/>
          </rPr>
          <t xml:space="preserve">0 - </t>
        </r>
        <r>
          <rPr>
            <rFont val="Tahoma"/>
            <color rgb="000000" tint="0"/>
            <sz val="9"/>
          </rPr>
          <t>Infinite</t>
        </r>
        <r>
          <t xml:space="preserve">
</t>
        </r>
        <r>
          <rPr>
            <rFont val="Tahoma"/>
            <b val="true"/>
            <color rgb="000000" tint="0"/>
            <sz val="9"/>
          </rPr>
          <t xml:space="preserve">1 - </t>
        </r>
        <r>
          <rPr>
            <rFont val="Tahoma"/>
            <color rgb="000000" tint="0"/>
            <sz val="9"/>
          </rPr>
          <t>6 beeps</t>
        </r>
      </text>
    </comment>
    <comment authorId="0" ref="W10">
      <text>
        <r>
          <rPr>
            <rFont val="Tahoma"/>
            <b val="true"/>
            <color rgb="000000" tint="0"/>
            <sz val="9"/>
          </rPr>
          <t>Bodystyle</t>
        </r>
        <r>
          <t xml:space="preserve">
</t>
        </r>
        <r>
          <rPr>
            <rFont val="Tahoma"/>
            <i val="true"/>
            <color rgb="000000" tint="0"/>
            <sz val="8"/>
          </rPr>
          <t>b3b2 - Value</t>
        </r>
        <r>
          <t xml:space="preserve">
</t>
        </r>
        <r>
          <rPr>
            <rFont val="Tahoma"/>
            <b val="true"/>
            <color rgb="000000" tint="0"/>
            <sz val="9"/>
          </rPr>
          <t xml:space="preserve">00 - </t>
        </r>
        <r>
          <rPr>
            <rFont val="Tahoma"/>
            <color rgb="000000" tint="0"/>
            <sz val="9"/>
          </rPr>
          <t>Sedan</t>
        </r>
        <r>
          <t xml:space="preserve">
</t>
        </r>
        <r>
          <rPr>
            <rFont val="Tahoma"/>
            <b val="true"/>
            <color rgb="000000" tint="0"/>
            <sz val="9"/>
          </rPr>
          <t xml:space="preserve">01 - </t>
        </r>
        <r>
          <rPr>
            <rFont val="Tahoma"/>
            <color rgb="000000" tint="0"/>
            <sz val="9"/>
          </rPr>
          <t>Wagon, HB (M2)</t>
        </r>
        <r>
          <t xml:space="preserve">
</t>
        </r>
        <r>
          <rPr>
            <rFont val="Tahoma"/>
            <b val="true"/>
            <color rgb="000000" tint="0"/>
            <sz val="9"/>
          </rPr>
          <t xml:space="preserve">10 - </t>
        </r>
        <r>
          <rPr>
            <rFont val="Tahoma"/>
            <color rgb="000000" tint="0"/>
            <sz val="9"/>
          </rPr>
          <t>Hatchback</t>
        </r>
      </text>
    </comment>
    <comment authorId="0" ref="S6">
      <text>
        <r>
          <rPr>
            <rFont val="Tahoma"/>
            <b val="true"/>
            <color rgb="000000" tint="0"/>
            <sz val="9"/>
            <u val="single"/>
          </rPr>
          <t>Mazda model</t>
        </r>
        <r>
          <t xml:space="preserve">
</t>
        </r>
        <r>
          <rPr>
            <rFont val="Tahoma"/>
            <i val="true"/>
            <color rgb="000000" tint="0"/>
            <sz val="8"/>
          </rPr>
          <t>b7b6b5b4 - Value:</t>
        </r>
        <r>
          <t xml:space="preserve">
</t>
        </r>
        <r>
          <rPr>
            <rFont val="Tahoma"/>
            <b val="true"/>
            <color rgb="000000" tint="0"/>
            <sz val="9"/>
          </rPr>
          <t xml:space="preserve">0000 - </t>
        </r>
        <r>
          <rPr>
            <rFont val="Tahoma"/>
            <color rgb="000000" tint="0"/>
            <sz val="9"/>
          </rPr>
          <t>CX-5 KE</t>
        </r>
        <r>
          <t xml:space="preserve">
</t>
        </r>
        <r>
          <rPr>
            <rFont val="Tahoma"/>
            <b val="true"/>
            <color rgb="000000" tint="0"/>
            <sz val="9"/>
          </rPr>
          <t>0001 -</t>
        </r>
        <r>
          <rPr>
            <rFont val="Tahoma"/>
            <color rgb="000000" tint="0"/>
            <sz val="9"/>
          </rPr>
          <t xml:space="preserve"> M6</t>
        </r>
        <r>
          <t xml:space="preserve">
</t>
        </r>
        <r>
          <rPr>
            <rFont val="Tahoma"/>
            <b val="true"/>
            <color rgb="000000" tint="0"/>
            <sz val="9"/>
          </rPr>
          <t>0010 -</t>
        </r>
        <r>
          <rPr>
            <rFont val="Tahoma"/>
            <color rgb="000000" tint="0"/>
            <sz val="9"/>
          </rPr>
          <t xml:space="preserve"> M3</t>
        </r>
        <r>
          <t xml:space="preserve">
</t>
        </r>
        <r>
          <rPr>
            <rFont val="Tahoma"/>
            <b val="true"/>
            <color rgb="000000" tint="0"/>
            <sz val="9"/>
          </rPr>
          <t>0011</t>
        </r>
        <r>
          <rPr>
            <rFont val="Tahoma"/>
            <color rgb="000000" tint="0"/>
            <sz val="9"/>
          </rPr>
          <t xml:space="preserve"> - M3</t>
        </r>
        <r>
          <t xml:space="preserve">
</t>
        </r>
        <r>
          <rPr>
            <rFont val="Tahoma"/>
            <b val="true"/>
            <color rgb="000000" tint="0"/>
            <sz val="9"/>
          </rPr>
          <t>0100 -</t>
        </r>
        <r>
          <rPr>
            <rFont val="Tahoma"/>
            <color rgb="000000" tint="0"/>
            <sz val="9"/>
          </rPr>
          <t xml:space="preserve"> M2/CX-3</t>
        </r>
        <r>
          <t xml:space="preserve">
</t>
        </r>
        <r>
          <rPr>
            <rFont val="Tahoma"/>
            <b val="true"/>
            <color rgb="000000" tint="0"/>
            <sz val="9"/>
          </rPr>
          <t xml:space="preserve">0101 - </t>
        </r>
        <r>
          <rPr>
            <rFont val="Tahoma"/>
            <color rgb="000000" tint="0"/>
            <sz val="9"/>
          </rPr>
          <t>MX-5</t>
        </r>
        <r>
          <t xml:space="preserve">
</t>
        </r>
        <r>
          <rPr>
            <rFont val="Tahoma"/>
            <b val="true"/>
            <color rgb="000000" tint="0"/>
            <sz val="9"/>
          </rPr>
          <t xml:space="preserve">1000 - </t>
        </r>
        <r>
          <rPr>
            <rFont val="Tahoma"/>
            <color rgb="000000" tint="0"/>
            <sz val="9"/>
          </rPr>
          <t>CX-4</t>
        </r>
        <r>
          <t xml:space="preserve">
</t>
        </r>
        <r>
          <rPr>
            <rFont val="Tahoma"/>
            <b val="true"/>
            <color rgb="000000" tint="0"/>
            <sz val="9"/>
          </rPr>
          <t xml:space="preserve">1010 - </t>
        </r>
        <r>
          <rPr>
            <rFont val="Tahoma"/>
            <color rgb="000000" tint="0"/>
            <sz val="9"/>
          </rPr>
          <t>CX-9</t>
        </r>
        <r>
          <t xml:space="preserve">
</t>
        </r>
        <r>
          <rPr>
            <rFont val="Tahoma"/>
            <b val="true"/>
            <color rgb="000000" tint="0"/>
            <sz val="9"/>
          </rPr>
          <t>1011 -</t>
        </r>
        <r>
          <rPr>
            <rFont val="Tahoma"/>
            <color rgb="000000" tint="0"/>
            <sz val="9"/>
          </rPr>
          <t xml:space="preserve"> CX-5 KF</t>
        </r>
        <r>
          <t xml:space="preserve">
</t>
        </r>
        <r>
          <rPr>
            <rFont val="Tahoma"/>
            <b val="true"/>
            <color rgb="000000" tint="0"/>
            <sz val="9"/>
          </rPr>
          <t xml:space="preserve">1100 - </t>
        </r>
        <r>
          <rPr>
            <rFont val="Tahoma"/>
            <color rgb="000000" tint="0"/>
            <sz val="9"/>
          </rPr>
          <t>CX-8</t>
        </r>
      </text>
    </comment>
    <comment authorId="0" ref="AI7">
      <text>
        <r>
          <rPr>
            <rFont val="Tahoma"/>
            <b val="true"/>
            <color rgb="000000" tint="0"/>
            <sz val="9"/>
          </rPr>
          <t>1= --&gt; 720-04-33 B2b1=1 (for M2/CX3/MX5)</t>
        </r>
      </text>
    </comment>
    <comment authorId="0" ref="AF4">
      <text>
        <r>
          <rPr>
            <rFont val="Tahoma"/>
            <color rgb="000000" tint="0"/>
            <sz val="9"/>
          </rPr>
          <t xml:space="preserve">Be careful with editing this byte, especially b0! </t>
        </r>
        <r>
          <rPr>
            <rFont val="Tahoma"/>
            <b val="true"/>
            <color rgb="000000" tint="0"/>
            <sz val="9"/>
          </rPr>
          <t>Can brick SSU!</t>
        </r>
      </text>
    </comment>
    <comment authorId="0" ref="S34">
      <text>
        <r>
          <rPr>
            <rFont val="Tahoma"/>
            <b val="true"/>
            <color rgb="000000" tint="0"/>
            <sz val="9"/>
          </rPr>
          <t>Door Lock - Unlock Mode sub-menu: 0</t>
        </r>
        <r>
          <rPr>
            <rFont val="Tahoma"/>
            <color rgb="000000" tint="0"/>
            <sz val="9"/>
          </rPr>
          <t xml:space="preserve"> - Enable</t>
        </r>
        <r>
          <t xml:space="preserve">
</t>
        </r>
        <r>
          <rPr>
            <rFont val="Tahoma"/>
            <b val="true"/>
            <color rgb="000000" tint="0"/>
            <sz val="9"/>
          </rPr>
          <t>1</t>
        </r>
        <r>
          <rPr>
            <rFont val="Tahoma"/>
            <color rgb="000000" tint="0"/>
            <sz val="9"/>
          </rPr>
          <t xml:space="preserve"> - Disable</t>
        </r>
      </text>
    </comment>
    <comment authorId="0" ref="S41">
      <text>
        <r>
          <rPr>
            <rFont val="Tahoma"/>
            <b val="true"/>
            <color rgb="000000" tint="0"/>
            <sz val="9"/>
          </rPr>
          <t>Auto Relock Time:</t>
        </r>
        <r>
          <t xml:space="preserve">
</t>
        </r>
        <r>
          <rPr>
            <rFont val="Tahoma"/>
            <i val="true"/>
            <color rgb="000000" tint="0"/>
            <sz val="8"/>
          </rPr>
          <t>b5b4 - Value</t>
        </r>
        <r>
          <t xml:space="preserve">
</t>
        </r>
        <r>
          <rPr>
            <rFont val="Tahoma"/>
            <b val="true"/>
            <color rgb="000000" tint="0"/>
            <sz val="9"/>
          </rPr>
          <t>00</t>
        </r>
        <r>
          <rPr>
            <rFont val="Tahoma"/>
            <color rgb="000000" tint="0"/>
            <sz val="9"/>
          </rPr>
          <t xml:space="preserve"> - NA</t>
        </r>
        <r>
          <t xml:space="preserve">
</t>
        </r>
        <r>
          <rPr>
            <rFont val="Tahoma"/>
            <b val="true"/>
            <color rgb="000000" tint="0"/>
            <sz val="9"/>
          </rPr>
          <t>01</t>
        </r>
        <r>
          <rPr>
            <rFont val="Tahoma"/>
            <color rgb="000000" tint="0"/>
            <sz val="9"/>
          </rPr>
          <t xml:space="preserve"> - 30</t>
        </r>
        <r>
          <t xml:space="preserve">
</t>
        </r>
        <r>
          <rPr>
            <rFont val="Tahoma"/>
            <b val="true"/>
            <color rgb="000000" tint="0"/>
            <sz val="9"/>
          </rPr>
          <t>10</t>
        </r>
        <r>
          <rPr>
            <rFont val="Tahoma"/>
            <color rgb="000000" tint="0"/>
            <sz val="9"/>
          </rPr>
          <t xml:space="preserve"> - 60</t>
        </r>
        <r>
          <t xml:space="preserve">
</t>
        </r>
        <r>
          <rPr>
            <rFont val="Tahoma"/>
            <b val="true"/>
            <color rgb="000000" tint="0"/>
            <sz val="9"/>
          </rPr>
          <t>11</t>
        </r>
        <r>
          <rPr>
            <rFont val="Tahoma"/>
            <color rgb="000000" tint="0"/>
            <sz val="9"/>
          </rPr>
          <t xml:space="preserve"> - 90</t>
        </r>
      </text>
    </comment>
    <comment authorId="0" ref="W35">
      <text>
        <r>
          <rPr>
            <rFont val="Tahoma"/>
            <b val="true"/>
            <color rgb="000000" tint="0"/>
            <sz val="9"/>
          </rPr>
          <t xml:space="preserve">Door Lock - Keyless Lock Beep Volume sub-menu: </t>
        </r>
        <r>
          <t xml:space="preserve">
</t>
        </r>
        <r>
          <rPr>
            <rFont val="Tahoma"/>
            <b val="true"/>
            <color rgb="000000" tint="0"/>
            <sz val="9"/>
          </rPr>
          <t>0</t>
        </r>
        <r>
          <rPr>
            <rFont val="Tahoma"/>
            <color rgb="000000" tint="0"/>
            <sz val="9"/>
          </rPr>
          <t xml:space="preserve"> - Enable</t>
        </r>
        <r>
          <t xml:space="preserve">
</t>
        </r>
        <r>
          <rPr>
            <rFont val="Tahoma"/>
            <b val="true"/>
            <color rgb="000000" tint="0"/>
            <sz val="9"/>
          </rPr>
          <t>1</t>
        </r>
        <r>
          <rPr>
            <rFont val="Tahoma"/>
            <color rgb="000000" tint="0"/>
            <sz val="9"/>
          </rPr>
          <t xml:space="preserve"> - Disable</t>
        </r>
      </text>
    </comment>
    <comment authorId="0" ref="AA8">
      <text>
        <r>
          <rPr>
            <rFont val="Tahoma"/>
            <b val="true"/>
            <color rgb="000000" tint="0"/>
            <sz val="9"/>
          </rPr>
          <t>1=in Market Area 41/South America &amp; if 726-01-01 B3b2=0 for M6 (Headlight Washers - OFF in Market Areas: 31/51)</t>
        </r>
      </text>
    </comment>
    <comment authorId="0" ref="AA12">
      <text>
        <r>
          <rPr>
            <rFont val="Tahoma"/>
            <b val="true"/>
            <color rgb="000000" tint="0"/>
            <sz val="9"/>
          </rPr>
          <t>Liftgate open button:</t>
        </r>
        <r>
          <t xml:space="preserve">
</t>
        </r>
        <r>
          <rPr>
            <rFont val="Tahoma"/>
            <b val="true"/>
            <color rgb="000000" tint="0"/>
            <sz val="9"/>
          </rPr>
          <t xml:space="preserve">0 - </t>
        </r>
        <r>
          <rPr>
            <rFont val="Tahoma"/>
            <color rgb="000000" tint="0"/>
            <sz val="9"/>
          </rPr>
          <t>Without Power Liftgate</t>
        </r>
        <r>
          <t xml:space="preserve">
</t>
        </r>
        <r>
          <rPr>
            <rFont val="Tahoma"/>
            <b val="true"/>
            <color rgb="000000" tint="0"/>
            <sz val="9"/>
          </rPr>
          <t xml:space="preserve">1 - </t>
        </r>
        <r>
          <rPr>
            <rFont val="Tahoma"/>
            <color rgb="000000" tint="0"/>
            <sz val="9"/>
          </rPr>
          <t>With Power Liftgate</t>
        </r>
        <r>
          <t xml:space="preserve">
</t>
        </r>
        <r>
          <t xml:space="preserve">
</t>
        </r>
        <r>
          <rPr>
            <rFont val="Tahoma"/>
            <color rgb="000000" tint="0"/>
            <sz val="9"/>
          </rPr>
          <t>Allows opening liftgate using the open button on the liftgate, when locks are locked and key in range.</t>
        </r>
      </text>
    </comment>
    <comment authorId="0" ref="W44">
      <text>
        <r>
          <rPr>
            <rFont val="Tahoma"/>
            <b val="true"/>
            <color rgb="000000" tint="0"/>
            <sz val="9"/>
          </rPr>
          <t>"Keyless lock beep volume" Submenu:</t>
        </r>
        <r>
          <t xml:space="preserve">
</t>
        </r>
        <r>
          <rPr>
            <rFont val="Tahoma"/>
            <i val="true"/>
            <color rgb="000000" tint="0"/>
            <sz val="8"/>
          </rPr>
          <t>b2b1b0 - value</t>
        </r>
        <r>
          <t xml:space="preserve">
</t>
        </r>
        <r>
          <rPr>
            <rFont val="Tahoma"/>
            <b val="true"/>
            <color rgb="000000" tint="0"/>
            <sz val="9"/>
          </rPr>
          <t>000</t>
        </r>
        <r>
          <rPr>
            <rFont val="Tahoma"/>
            <color rgb="000000" tint="0"/>
            <sz val="9"/>
          </rPr>
          <t xml:space="preserve"> - Not Equipped</t>
        </r>
        <r>
          <t xml:space="preserve">
</t>
        </r>
        <r>
          <rPr>
            <rFont val="Tahoma"/>
            <b val="true"/>
            <color rgb="000000" tint="0"/>
            <sz val="9"/>
          </rPr>
          <t>001</t>
        </r>
        <r>
          <rPr>
            <rFont val="Tahoma"/>
            <color rgb="000000" tint="0"/>
            <sz val="9"/>
          </rPr>
          <t xml:space="preserve"> - Off</t>
        </r>
        <r>
          <t xml:space="preserve">
</t>
        </r>
        <r>
          <rPr>
            <rFont val="Tahoma"/>
            <b val="true"/>
            <color rgb="000000" tint="0"/>
            <sz val="9"/>
          </rPr>
          <t>010</t>
        </r>
        <r>
          <rPr>
            <rFont val="Tahoma"/>
            <color rgb="000000" tint="0"/>
            <sz val="9"/>
          </rPr>
          <t xml:space="preserve"> - Low</t>
        </r>
        <r>
          <t xml:space="preserve">
</t>
        </r>
        <r>
          <rPr>
            <rFont val="Tahoma"/>
            <b val="true"/>
            <color rgb="000000" tint="0"/>
            <sz val="9"/>
          </rPr>
          <t>011</t>
        </r>
        <r>
          <rPr>
            <rFont val="Tahoma"/>
            <color rgb="000000" tint="0"/>
            <sz val="9"/>
          </rPr>
          <t xml:space="preserve"> - Med</t>
        </r>
        <r>
          <t xml:space="preserve">
</t>
        </r>
        <r>
          <rPr>
            <rFont val="Tahoma"/>
            <b val="true"/>
            <color rgb="000000" tint="0"/>
            <sz val="9"/>
          </rPr>
          <t>100</t>
        </r>
        <r>
          <rPr>
            <rFont val="Tahoma"/>
            <color rgb="000000" tint="0"/>
            <sz val="9"/>
          </rPr>
          <t xml:space="preserve"> - High</t>
        </r>
      </text>
    </comment>
  </commentList>
</comments>
</file>

<file path=xl/comments9.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B3">
      <text>
        <r>
          <rPr>
            <rFont val="Tahoma"/>
            <b val="true"/>
            <color rgb="000000" tint="0"/>
            <sz val="9"/>
          </rPr>
          <t>Change to 03 if needed</t>
        </r>
      </text>
    </comment>
  </commentList>
</comments>
</file>

<file path=xl/comments10.xml><?xml version="1.0" encoding="utf-8"?>
<comments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authors>
    <author/>
  </authors>
  <commentList>
    <comment authorId="0" ref="K4">
      <text>
        <r>
          <rPr>
            <rFont val="Tahoma"/>
            <b val="true"/>
            <color rgb="000000" tint="0"/>
            <sz val="9"/>
          </rPr>
          <t>706010125305130</t>
        </r>
        <r>
          <t xml:space="preserve">
</t>
        </r>
        <r>
          <rPr>
            <rFont val="Tahoma"/>
            <b val="true"/>
            <color rgb="000000" tint="0"/>
            <sz val="9"/>
          </rPr>
          <t>70601022C810000</t>
        </r>
        <r>
          <t xml:space="preserve">
</t>
        </r>
        <r>
          <rPr>
            <rFont val="Tahoma"/>
            <b val="true"/>
            <color rgb="000000" tint="0"/>
            <sz val="9"/>
          </rPr>
          <t>706010300000000</t>
        </r>
        <r>
          <t xml:space="preserve">
</t>
        </r>
      </text>
    </comment>
    <comment authorId="0" ref="F5">
      <text>
        <r>
          <rPr>
            <rFont val="Tahoma"/>
            <b val="true"/>
            <color rgb="000000" tint="0"/>
            <sz val="9"/>
          </rPr>
          <t>ADL</t>
        </r>
        <r>
          <t xml:space="preserve">
</t>
        </r>
      </text>
    </comment>
    <comment authorId="0" ref="N11">
      <text>
        <r>
          <rPr>
            <rFont val="Tahoma"/>
            <b val="true"/>
            <color rgb="000000" tint="0"/>
            <sz val="9"/>
          </rPr>
          <t>MRCC/SCBS</t>
        </r>
        <r>
          <t xml:space="preserve">
</t>
        </r>
      </text>
    </comment>
    <comment authorId="0" ref="T3">
      <text>
        <r>
          <rPr>
            <rFont val="Tahoma"/>
            <b val="true"/>
            <color rgb="000000" tint="0"/>
            <sz val="9"/>
          </rPr>
          <t>To TEST:</t>
        </r>
        <r>
          <t xml:space="preserve">
</t>
        </r>
        <r>
          <rPr>
            <rFont val="Tahoma"/>
            <color rgb="000000" tint="0"/>
            <sz val="9"/>
          </rPr>
          <t>681400320000</t>
        </r>
      </text>
    </comment>
    <comment authorId="0" ref="A8">
      <text>
        <r>
          <rPr>
            <rFont val="Tahoma"/>
            <b val="true"/>
            <color rgb="000000" tint="0"/>
            <sz val="9"/>
          </rPr>
          <t>RePack by Diakov:</t>
        </r>
        <r>
          <t xml:space="preserve">
</t>
        </r>
        <r>
          <rPr>
            <rFont val="Tahoma"/>
            <b val="true"/>
            <color rgb="000000" tint="0"/>
            <sz val="9"/>
          </rPr>
          <t>LED/ALS</t>
        </r>
      </text>
    </comment>
    <comment authorId="0" ref="A7">
      <text>
        <r>
          <rPr>
            <rFont val="Tahoma"/>
            <b val="true"/>
            <color rgb="000000" tint="0"/>
            <sz val="9"/>
          </rPr>
          <t xml:space="preserve">M6/USA/2018/LED/ALS+AFS/HBC/LDWS/LKAS/FOW/SBS/DRSS/TSR/MRCC/  </t>
        </r>
        <r>
          <rPr>
            <rFont val="Tahoma"/>
            <color rgb="000000" tint="0"/>
            <sz val="9"/>
          </rPr>
          <t>JM1GL1W55H1154420</t>
        </r>
      </text>
    </comment>
    <comment authorId="0" ref="M8">
      <text>
        <r>
          <rPr>
            <rFont val="Tahoma"/>
            <b val="true"/>
            <color rgb="000000" tint="0"/>
            <sz val="9"/>
          </rPr>
          <t>REAR+FRONT DEFOG / CLIMATE AUTO</t>
        </r>
      </text>
    </comment>
    <comment authorId="0" ref="H6">
      <text>
        <r>
          <rPr>
            <rFont val="Tahoma"/>
            <b val="true"/>
            <color rgb="000000" tint="0"/>
            <sz val="9"/>
          </rPr>
          <t>LED/ALS</t>
        </r>
        <r>
          <t xml:space="preserve">
</t>
        </r>
      </text>
    </comment>
    <comment authorId="0" ref="H4">
      <text>
        <r>
          <rPr>
            <rFont val="Tahoma"/>
            <b val="true"/>
            <color rgb="000000" tint="0"/>
            <sz val="9"/>
          </rPr>
          <t xml:space="preserve">2 = ALS: </t>
        </r>
        <r>
          <rPr>
            <rFont val="Tahoma"/>
            <color rgb="000000" tint="0"/>
            <sz val="9"/>
          </rPr>
          <t>AFS/ALM Type 1</t>
        </r>
      </text>
    </comment>
    <comment authorId="0" ref="T1">
      <text>
        <r>
          <rPr>
            <rFont val="Tahoma"/>
            <b val="true"/>
            <color rgb="000000" tint="0"/>
            <sz val="9"/>
          </rPr>
          <t>RePack by Diakov:</t>
        </r>
        <r>
          <t xml:space="preserve">
</t>
        </r>
        <r>
          <rPr>
            <rFont val="Tahoma"/>
            <color rgb="000000" tint="0"/>
            <sz val="9"/>
          </rPr>
          <t>Пробовать …9028</t>
        </r>
      </text>
    </comment>
    <comment authorId="0" ref="F3">
      <text>
        <r>
          <rPr>
            <rFont val="Tahoma"/>
            <b val="true"/>
            <color rgb="000000" tint="0"/>
            <sz val="9"/>
          </rPr>
          <t xml:space="preserve">0 = VMC </t>
        </r>
        <r>
          <rPr>
            <rFont val="Tahoma"/>
            <color rgb="000000" tint="0"/>
            <sz val="9"/>
          </rPr>
          <t>Not configured</t>
        </r>
      </text>
    </comment>
    <comment authorId="0" ref="G5">
      <text>
        <r>
          <rPr>
            <rFont val="Tahoma"/>
            <b val="true"/>
            <color rgb="000000" tint="0"/>
            <sz val="9"/>
          </rPr>
          <t>1 = No TPMS</t>
        </r>
      </text>
    </comment>
    <comment authorId="0" ref="N10">
      <text>
        <r>
          <rPr>
            <rFont val="Tahoma"/>
            <b val="true"/>
            <color rgb="000000" tint="0"/>
            <sz val="9"/>
          </rPr>
          <t>MRCC/SCBS</t>
        </r>
        <r>
          <t xml:space="preserve">
</t>
        </r>
      </text>
    </comment>
    <comment authorId="0" ref="M9">
      <text>
        <r>
          <rPr>
            <rFont val="Tahoma"/>
            <b val="true"/>
            <color rgb="000000" tint="0"/>
            <sz val="9"/>
          </rPr>
          <t>REAR+FRONT DEFOG / CLIMATE AUTO</t>
        </r>
        <r>
          <t xml:space="preserve">
</t>
        </r>
      </text>
    </comment>
    <comment authorId="0" ref="K1">
      <text>
        <r>
          <rPr>
            <rFont val="Tahoma"/>
            <b val="true"/>
            <color rgb="000000" tint="0"/>
            <sz val="9"/>
          </rPr>
          <t>LDWS                  - B0=41</t>
        </r>
        <r>
          <t xml:space="preserve">
</t>
        </r>
        <r>
          <rPr>
            <rFont val="Tahoma"/>
            <b val="true"/>
            <color rgb="000000" tint="0"/>
            <sz val="9"/>
          </rPr>
          <t>HBC/LDWS          - B0=2X</t>
        </r>
        <r>
          <t xml:space="preserve">
</t>
        </r>
        <r>
          <rPr>
            <rFont val="Tahoma"/>
            <b val="true"/>
            <color rgb="000000" tint="0"/>
            <sz val="9"/>
          </rPr>
          <t>HBC/LDWS/LKAS - B0=B0,C0,92,D1</t>
        </r>
        <r>
          <t xml:space="preserve">
</t>
        </r>
        <r>
          <rPr>
            <rFont val="Tahoma"/>
            <b val="true"/>
            <color rgb="000000" tint="0"/>
            <sz val="9"/>
          </rPr>
          <t>RVM                     - B3=2X</t>
        </r>
      </text>
    </comment>
    <comment authorId="0" ref="H9">
      <text>
        <r>
          <rPr>
            <rFont val="Tahoma"/>
            <b val="true"/>
            <color rgb="000000" tint="0"/>
            <sz val="9"/>
          </rPr>
          <t xml:space="preserve">ALH = </t>
        </r>
        <r>
          <rPr>
            <rFont val="Tahoma"/>
            <color rgb="000000" tint="0"/>
            <sz val="9"/>
          </rPr>
          <t>Adaptive Driving</t>
        </r>
      </text>
    </comment>
    <comment authorId="0" ref="L4">
      <text>
        <r>
          <rPr>
            <rFont val="Tahoma"/>
            <b val="true"/>
            <color rgb="000000" tint="0"/>
            <sz val="9"/>
          </rPr>
          <t xml:space="preserve">3 = BSM </t>
        </r>
        <r>
          <rPr>
            <rFont val="Tahoma"/>
            <color rgb="000000" tint="0"/>
            <sz val="9"/>
          </rPr>
          <t>Type2</t>
        </r>
        <r>
          <t xml:space="preserve">
</t>
        </r>
      </text>
    </comment>
    <comment authorId="0" ref="B10">
      <text>
        <r>
          <rPr>
            <rFont val="Tahoma"/>
            <color rgb="000000" tint="0"/>
            <sz val="9"/>
          </rPr>
          <t>JM3TCADY1J0204289</t>
        </r>
      </text>
    </comment>
    <comment authorId="0" ref="G3">
      <text>
        <r>
          <rPr>
            <rFont val="Tahoma"/>
            <b val="true"/>
            <color rgb="000000" tint="0"/>
            <sz val="9"/>
          </rPr>
          <t xml:space="preserve">3 = TPMS </t>
        </r>
        <r>
          <rPr>
            <rFont val="Tahoma"/>
            <color rgb="000000" tint="0"/>
            <sz val="9"/>
          </rPr>
          <t>Type 2</t>
        </r>
      </text>
    </comment>
    <comment authorId="0" ref="H8">
      <text>
        <r>
          <rPr>
            <rFont val="Tahoma"/>
            <b val="true"/>
            <color rgb="000000" tint="0"/>
            <sz val="9"/>
          </rPr>
          <t xml:space="preserve">ALS = </t>
        </r>
        <r>
          <rPr>
            <rFont val="Tahoma"/>
            <color rgb="000000" tint="0"/>
            <sz val="9"/>
          </rPr>
          <t>AFS/ALM Type 1</t>
        </r>
      </text>
    </comment>
    <comment authorId="0" ref="B7">
      <text>
        <r>
          <rPr>
            <rFont val="Tahoma"/>
            <color rgb="000000" tint="0"/>
            <sz val="9"/>
          </rPr>
          <t>JM1GL1W55H1154420</t>
        </r>
      </text>
    </comment>
    <comment authorId="0" ref="A11">
      <text>
        <r>
          <rPr>
            <rFont val="Tahoma"/>
            <b val="true"/>
            <color rgb="000000" tint="0"/>
            <sz val="9"/>
          </rPr>
          <t>CX-3GT/2016/LED/ALS+AFS/HBC/LDWS/BSM/SCBS/FOW/SBS/DRSS/ROOF/HUD/MRCC/</t>
        </r>
        <r>
          <rPr>
            <rFont val="Tahoma"/>
            <color rgb="000000" tint="0"/>
            <sz val="9"/>
          </rPr>
          <t xml:space="preserve">   JM1DKFD75G0135166</t>
        </r>
      </text>
    </comment>
    <comment authorId="0" ref="B5">
      <text>
        <r>
          <rPr>
            <rFont val="Tahoma"/>
            <color rgb="000000" tint="0"/>
            <sz val="9"/>
          </rPr>
          <t>JM7DK4W7AH0123903</t>
        </r>
      </text>
    </comment>
    <comment authorId="0" ref="B12">
      <text>
        <r>
          <rPr>
            <rFont val="Tahoma"/>
            <color rgb="000000" tint="0"/>
            <sz val="9"/>
          </rPr>
          <t>JM1DKDB77K0435078</t>
        </r>
      </text>
    </comment>
    <comment authorId="0" ref="A9">
      <text>
        <r>
          <rPr>
            <rFont val="Tahoma"/>
            <b val="true"/>
            <color rgb="000000" tint="0"/>
            <sz val="9"/>
          </rPr>
          <t xml:space="preserve">My M3/LED/ALH/LDWS/LKAS/HBC/BSM/SCBS/CC/   </t>
        </r>
        <r>
          <rPr>
            <rFont val="Tahoma"/>
            <color rgb="000000" tint="0"/>
            <sz val="9"/>
          </rPr>
          <t>JMZBM527801525067</t>
        </r>
      </text>
    </comment>
    <comment authorId="0" ref="G1">
      <text>
        <r>
          <rPr>
            <rFont val="Tahoma"/>
            <b val="true"/>
            <color rgb="000000" tint="0"/>
            <sz val="9"/>
          </rPr>
          <t>TPMS - B0=2X</t>
        </r>
      </text>
    </comment>
    <comment authorId="0" ref="A3">
      <text>
        <r>
          <rPr>
            <rFont val="Tahoma"/>
            <b val="true"/>
            <color rgb="000000" tint="0"/>
            <sz val="9"/>
          </rPr>
          <t>My M2/HALO/LDWS/</t>
        </r>
        <r>
          <rPr>
            <rFont val="Tahoma"/>
            <color rgb="000000" tint="0"/>
            <sz val="9"/>
          </rPr>
          <t xml:space="preserve">   3MDDJ5HVA3M135726</t>
        </r>
      </text>
    </comment>
    <comment authorId="0" ref="H7">
      <text>
        <r>
          <rPr>
            <rFont val="Tahoma"/>
            <b val="true"/>
            <color rgb="000000" tint="0"/>
            <sz val="9"/>
          </rPr>
          <t xml:space="preserve">AFS = </t>
        </r>
        <r>
          <rPr>
            <rFont val="Tahoma"/>
            <color rgb="000000" tint="0"/>
            <sz val="9"/>
          </rPr>
          <t>AFS/ALM Type 2</t>
        </r>
      </text>
    </comment>
    <comment authorId="0" ref="B4">
      <text>
        <r>
          <rPr>
            <rFont val="Tahoma"/>
            <color rgb="000000" tint="0"/>
            <sz val="9"/>
          </rPr>
          <t>3MDDJ5HVA3M135710</t>
        </r>
      </text>
    </comment>
    <comment authorId="0" ref="N3">
      <text>
        <r>
          <rPr>
            <rFont val="Tahoma"/>
            <b val="true"/>
            <color rgb="000000" tint="0"/>
            <sz val="9"/>
          </rPr>
          <t>CC/no SCBS</t>
        </r>
        <r>
          <t xml:space="preserve">
</t>
        </r>
      </text>
    </comment>
    <comment authorId="0" ref="B6">
      <text>
        <r>
          <rPr>
            <rFont val="Tahoma"/>
            <color rgb="000000" tint="0"/>
            <sz val="9"/>
          </rPr>
          <t>MM7DJ2HAAGW176537</t>
        </r>
      </text>
    </comment>
    <comment authorId="0" ref="L9">
      <text>
        <r>
          <rPr>
            <rFont val="Tahoma"/>
            <b val="true"/>
            <color rgb="000000" tint="0"/>
            <sz val="9"/>
          </rPr>
          <t>BSM</t>
        </r>
        <r>
          <t xml:space="preserve">
</t>
        </r>
      </text>
    </comment>
    <comment authorId="0" ref="B3">
      <text>
        <r>
          <rPr>
            <rFont val="Tahoma"/>
            <color rgb="000000" tint="0"/>
            <sz val="9"/>
          </rPr>
          <t>3MDDJ5HVA3M135726</t>
        </r>
        <r>
          <t xml:space="preserve">
</t>
        </r>
      </text>
    </comment>
    <comment authorId="0" ref="K8">
      <text>
        <r>
          <rPr>
            <rFont val="Tahoma"/>
            <b val="true"/>
            <color rgb="000000" tint="0"/>
            <sz val="9"/>
          </rPr>
          <t>NO FSC</t>
        </r>
        <r>
          <t xml:space="preserve">
</t>
        </r>
      </text>
    </comment>
    <comment authorId="0" ref="N7">
      <text>
        <r>
          <rPr>
            <rFont val="Tahoma"/>
            <b val="true"/>
            <color rgb="000000" tint="0"/>
            <sz val="9"/>
          </rPr>
          <t>MRCC/SCBS</t>
        </r>
        <r>
          <t xml:space="preserve">
</t>
        </r>
      </text>
    </comment>
    <comment authorId="0" ref="H11">
      <text>
        <r>
          <rPr>
            <rFont val="Tahoma"/>
            <b val="true"/>
            <color rgb="000000" tint="0"/>
            <sz val="9"/>
          </rPr>
          <t>LED/ALS+AFS</t>
        </r>
        <r>
          <t xml:space="preserve">
</t>
        </r>
      </text>
    </comment>
    <comment authorId="0" ref="L10">
      <text>
        <r>
          <rPr>
            <rFont val="Tahoma"/>
            <b val="true"/>
            <color rgb="000000" tint="0"/>
            <sz val="9"/>
          </rPr>
          <t>BSM</t>
        </r>
        <r>
          <t xml:space="preserve">
</t>
        </r>
      </text>
    </comment>
    <comment authorId="0" ref="J7">
      <text>
        <r>
          <rPr>
            <rFont val="Tahoma"/>
            <b val="true"/>
            <color rgb="000000" tint="0"/>
            <sz val="9"/>
          </rPr>
          <t>70B420784C80 = 1-145 km/h</t>
        </r>
      </text>
    </comment>
    <comment authorId="0" ref="K5">
      <text>
        <r>
          <rPr>
            <rFont val="Tahoma"/>
            <b val="true"/>
            <color rgb="000000" tint="0"/>
            <sz val="9"/>
          </rPr>
          <t>NO FSC</t>
        </r>
        <r>
          <t xml:space="preserve">
</t>
        </r>
      </text>
    </comment>
    <comment authorId="0" ref="G4">
      <text>
        <r>
          <rPr>
            <rFont val="Tahoma"/>
            <b val="true"/>
            <color rgb="000000" tint="0"/>
            <sz val="9"/>
          </rPr>
          <t xml:space="preserve">3 = TPMS </t>
        </r>
        <r>
          <rPr>
            <rFont val="Tahoma"/>
            <color rgb="000000" tint="0"/>
            <sz val="9"/>
          </rPr>
          <t>Type 2</t>
        </r>
      </text>
    </comment>
    <comment authorId="0" ref="U3">
      <text>
        <r>
          <rPr>
            <rFont val="Tahoma"/>
            <b val="true"/>
            <color rgb="000000" tint="0"/>
            <sz val="9"/>
          </rPr>
          <t>To TEST:</t>
        </r>
        <r>
          <t xml:space="preserve">
</t>
        </r>
        <r>
          <rPr>
            <rFont val="Tahoma"/>
            <color rgb="000000" tint="0"/>
            <sz val="9"/>
          </rPr>
          <t>42AC65000000</t>
        </r>
      </text>
    </comment>
    <comment authorId="0" ref="L3">
      <text>
        <r>
          <rPr>
            <rFont val="Tahoma"/>
            <b val="true"/>
            <color rgb="000000" tint="0"/>
            <sz val="9"/>
          </rPr>
          <t>1 = No BSM</t>
        </r>
      </text>
    </comment>
    <comment authorId="0" ref="A10">
      <text>
        <r>
          <rPr>
            <rFont val="Tahoma"/>
            <b val="true"/>
            <color rgb="000000" tint="0"/>
            <sz val="9"/>
          </rPr>
          <t xml:space="preserve">CX-9/2018/GT/LED/ALS+AFS/HBC/LDWS/LKAS/FOW/SBS/DRSS/MRCC/   </t>
        </r>
        <r>
          <rPr>
            <rFont val="Tahoma"/>
            <color rgb="000000" tint="0"/>
            <sz val="9"/>
          </rPr>
          <t>JM3TCADY1J0204289</t>
        </r>
      </text>
    </comment>
    <comment authorId="0" ref="L1">
      <text>
        <r>
          <rPr>
            <rFont val="Tahoma"/>
            <b val="true"/>
            <color rgb="000000" tint="0"/>
            <sz val="9"/>
          </rPr>
          <t>BSM - B3=33,40</t>
        </r>
        <r>
          <t xml:space="preserve">
</t>
        </r>
      </text>
    </comment>
    <comment authorId="0" ref="S1">
      <text>
        <r>
          <rPr>
            <rFont val="Tahoma"/>
            <b val="true"/>
            <color rgb="000000" tint="0"/>
            <sz val="9"/>
          </rPr>
          <t>RePack by Diakov:</t>
        </r>
        <r>
          <t xml:space="preserve">
</t>
        </r>
        <r>
          <rPr>
            <rFont val="Tahoma"/>
            <color rgb="000000" tint="0"/>
            <sz val="9"/>
          </rPr>
          <t>Пробовать …9028</t>
        </r>
      </text>
    </comment>
    <comment authorId="0" ref="L7">
      <text>
        <r>
          <rPr>
            <rFont val="Tahoma"/>
            <b val="true"/>
            <color rgb="000000" tint="0"/>
            <sz val="9"/>
          </rPr>
          <t>4 = BSM</t>
        </r>
        <r>
          <rPr>
            <rFont val="Tahoma"/>
            <color rgb="000000" tint="0"/>
            <sz val="9"/>
          </rPr>
          <t xml:space="preserve"> Type 3</t>
        </r>
      </text>
    </comment>
    <comment authorId="0" ref="G9">
      <text>
        <r>
          <rPr>
            <rFont val="Tahoma"/>
            <b val="true"/>
            <color rgb="000000" tint="0"/>
            <sz val="9"/>
          </rPr>
          <t>TPMS</t>
        </r>
        <r>
          <t xml:space="preserve">
</t>
        </r>
      </text>
    </comment>
    <comment authorId="0" ref="K9">
      <text>
        <r>
          <rPr>
            <rFont val="Tahoma"/>
            <b val="true"/>
            <color rgb="000000" tint="0"/>
            <sz val="9"/>
          </rPr>
          <t>70601016C80900072</t>
        </r>
        <r>
          <t xml:space="preserve">
</t>
        </r>
        <r>
          <rPr>
            <rFont val="Tahoma"/>
            <b val="true"/>
            <color rgb="000000" tint="0"/>
            <sz val="9"/>
          </rPr>
          <t>70601028400000010</t>
        </r>
        <r>
          <t xml:space="preserve">
</t>
        </r>
        <r>
          <rPr>
            <rFont val="Tahoma"/>
            <b val="true"/>
            <color rgb="000000" tint="0"/>
            <sz val="9"/>
          </rPr>
          <t>70601030000000000</t>
        </r>
      </text>
    </comment>
    <comment authorId="0" ref="H1">
      <text>
        <r>
          <rPr>
            <rFont val="Tahoma"/>
            <b val="true"/>
            <color rgb="000000" tint="0"/>
            <sz val="9"/>
          </rPr>
          <t>HALO       - B0=1X</t>
        </r>
        <r>
          <t xml:space="preserve">
</t>
        </r>
        <r>
          <rPr>
            <rFont val="Tahoma"/>
            <b val="true"/>
            <color rgb="000000" tint="0"/>
            <sz val="9"/>
          </rPr>
          <t>LED+ALS - B0=2X</t>
        </r>
        <r>
          <t xml:space="preserve">
</t>
        </r>
        <r>
          <rPr>
            <rFont val="Tahoma"/>
            <b val="true"/>
            <color rgb="000000" tint="0"/>
            <sz val="9"/>
          </rPr>
          <t>AFS+ALS - B0=3X</t>
        </r>
        <r>
          <t xml:space="preserve">
</t>
        </r>
        <r>
          <rPr>
            <rFont val="Tahoma"/>
            <b val="true"/>
            <color rgb="000000" tint="0"/>
            <sz val="9"/>
          </rPr>
          <t>ALH         - B0=4X</t>
        </r>
        <r>
          <t xml:space="preserve">
</t>
        </r>
      </text>
    </comment>
    <comment authorId="0" ref="K3">
      <text>
        <r>
          <rPr>
            <rFont val="Tahoma"/>
            <b val="true"/>
            <color rgb="000000" tint="0"/>
            <sz val="9"/>
          </rPr>
          <t>1 = No RVM</t>
        </r>
        <r>
          <t xml:space="preserve">
</t>
        </r>
        <r>
          <t xml:space="preserve">
</t>
        </r>
        <r>
          <rPr>
            <rFont val="Tahoma"/>
            <b val="true"/>
            <color rgb="000000" tint="0"/>
            <sz val="9"/>
          </rPr>
          <t>706010145305130</t>
        </r>
        <r>
          <t xml:space="preserve">
</t>
        </r>
        <r>
          <rPr>
            <rFont val="Tahoma"/>
            <b val="true"/>
            <color rgb="000000" tint="0"/>
            <sz val="9"/>
          </rPr>
          <t>70601022C000000</t>
        </r>
        <r>
          <t xml:space="preserve">
</t>
        </r>
        <r>
          <rPr>
            <rFont val="Tahoma"/>
            <b val="true"/>
            <color rgb="000000" tint="0"/>
            <sz val="9"/>
          </rPr>
          <t>706010300000000</t>
        </r>
      </text>
    </comment>
    <comment authorId="0" ref="A4">
      <text>
        <r>
          <rPr>
            <rFont val="Tahoma"/>
            <b val="true"/>
            <color rgb="000000" tint="0"/>
            <sz val="9"/>
          </rPr>
          <t xml:space="preserve">-710/SCBS/BSM/LED/ALS/LDWS/HBC/   </t>
        </r>
        <r>
          <rPr>
            <rFont val="Tahoma"/>
            <color rgb="000000" tint="0"/>
            <sz val="9"/>
          </rPr>
          <t>3MDDJ5HVA3M135710</t>
        </r>
      </text>
    </comment>
    <comment authorId="0" ref="N9">
      <text>
        <r>
          <rPr>
            <rFont val="Tahoma"/>
            <b val="true"/>
            <color rgb="000000" tint="0"/>
            <sz val="9"/>
          </rPr>
          <t>CC/SCBS</t>
        </r>
        <r>
          <t xml:space="preserve">
</t>
        </r>
      </text>
    </comment>
    <comment authorId="0" ref="M3">
      <text>
        <r>
          <rPr>
            <rFont val="Tahoma"/>
            <b val="true"/>
            <color rgb="000000" tint="0"/>
            <sz val="9"/>
          </rPr>
          <t xml:space="preserve">4 = EATC </t>
        </r>
        <r>
          <rPr>
            <rFont val="Tahoma"/>
            <color rgb="000000" tint="0"/>
            <sz val="9"/>
          </rPr>
          <t>Type 3</t>
        </r>
      </text>
    </comment>
    <comment authorId="0" ref="K7">
      <text>
        <r>
          <rPr>
            <rFont val="Tahoma"/>
            <b val="true"/>
            <color rgb="000000" tint="0"/>
            <sz val="9"/>
          </rPr>
          <t>70601016C80900072</t>
        </r>
        <r>
          <t xml:space="preserve">
</t>
        </r>
        <r>
          <rPr>
            <rFont val="Tahoma"/>
            <b val="true"/>
            <color rgb="000000" tint="0"/>
            <sz val="9"/>
          </rPr>
          <t>7060102841F000000</t>
        </r>
        <r>
          <t xml:space="preserve">
</t>
        </r>
        <r>
          <rPr>
            <rFont val="Tahoma"/>
            <b val="true"/>
            <color rgb="000000" tint="0"/>
            <sz val="9"/>
          </rPr>
          <t>70601032020000000</t>
        </r>
      </text>
    </comment>
    <comment authorId="0" ref="F6">
      <text>
        <r>
          <rPr>
            <rFont val="Tahoma"/>
            <b val="true"/>
            <color rgb="000000" tint="0"/>
            <sz val="9"/>
          </rPr>
          <t>ADL</t>
        </r>
        <r>
          <t xml:space="preserve">
</t>
        </r>
      </text>
    </comment>
    <comment authorId="0" ref="G6">
      <text>
        <r>
          <rPr>
            <rFont val="Tahoma"/>
            <b val="true"/>
            <color rgb="000000" tint="0"/>
            <sz val="9"/>
          </rPr>
          <t xml:space="preserve">5= TPMS </t>
        </r>
        <r>
          <rPr>
            <rFont val="Tahoma"/>
            <color rgb="000000" tint="0"/>
            <sz val="9"/>
          </rPr>
          <t>Type 4</t>
        </r>
      </text>
    </comment>
    <comment authorId="0" ref="B11">
      <text>
        <r>
          <rPr>
            <rFont val="Tahoma"/>
            <color rgb="000000" tint="0"/>
            <sz val="9"/>
          </rPr>
          <t>JM1DKFD75G0135166</t>
        </r>
      </text>
    </comment>
    <comment authorId="0" ref="K11">
      <text>
        <r>
          <rPr>
            <rFont val="Tahoma"/>
            <b val="true"/>
            <color rgb="000000" tint="0"/>
            <sz val="9"/>
          </rPr>
          <t>706010127205220</t>
        </r>
        <r>
          <t xml:space="preserve">
</t>
        </r>
        <r>
          <rPr>
            <rFont val="Tahoma"/>
            <b val="true"/>
            <color rgb="000000" tint="0"/>
            <sz val="9"/>
          </rPr>
          <t>706010250810000</t>
        </r>
        <r>
          <t xml:space="preserve">
</t>
        </r>
        <r>
          <rPr>
            <rFont val="Tahoma"/>
            <b val="true"/>
            <color rgb="000000" tint="0"/>
            <sz val="9"/>
          </rPr>
          <t>706010300000000</t>
        </r>
        <r>
          <t xml:space="preserve">
</t>
        </r>
      </text>
    </comment>
    <comment authorId="0" ref="N1">
      <text>
        <r>
          <rPr>
            <rFont val="Tahoma"/>
            <b val="true"/>
            <color rgb="000000" tint="0"/>
            <sz val="9"/>
          </rPr>
          <t>CC             - B0=2X</t>
        </r>
        <r>
          <t xml:space="preserve">
</t>
        </r>
        <r>
          <rPr>
            <rFont val="Tahoma"/>
            <b val="true"/>
            <color rgb="000000" tint="0"/>
            <sz val="9"/>
          </rPr>
          <t>MRCC        - B0=3X</t>
        </r>
        <r>
          <t xml:space="preserve">
</t>
        </r>
        <r>
          <rPr>
            <rFont val="Tahoma"/>
            <b val="true"/>
            <color rgb="000000" tint="0"/>
            <sz val="9"/>
          </rPr>
          <t>CC-LIM      - B0=4X</t>
        </r>
        <r>
          <t xml:space="preserve">
</t>
        </r>
        <r>
          <rPr>
            <rFont val="Tahoma"/>
            <b val="true"/>
            <color rgb="000000" tint="0"/>
            <sz val="9"/>
          </rPr>
          <t>MRCC-LIM - B0=5X</t>
        </r>
        <r>
          <t xml:space="preserve">
</t>
        </r>
      </text>
    </comment>
    <comment authorId="0" ref="G11">
      <text>
        <r>
          <rPr>
            <rFont val="Tahoma"/>
            <b val="true"/>
            <color rgb="000000" tint="0"/>
            <sz val="9"/>
          </rPr>
          <t>TPMS</t>
        </r>
        <r>
          <t xml:space="preserve">
</t>
        </r>
      </text>
    </comment>
    <comment authorId="0" ref="B9">
      <text>
        <r>
          <rPr>
            <rFont val="Tahoma"/>
            <color rgb="000000" tint="0"/>
            <sz val="9"/>
          </rPr>
          <t>JMZBM527801525067</t>
        </r>
      </text>
    </comment>
    <comment authorId="0" ref="K10">
      <text>
        <r>
          <rPr>
            <rFont val="Tahoma"/>
            <b val="true"/>
            <color rgb="000000" tint="0"/>
            <sz val="9"/>
          </rPr>
          <t>70601016C80900072</t>
        </r>
        <r>
          <t xml:space="preserve">
</t>
        </r>
        <r>
          <rPr>
            <rFont val="Tahoma"/>
            <b val="true"/>
            <color rgb="000000" tint="0"/>
            <sz val="9"/>
          </rPr>
          <t>7060102845C000000</t>
        </r>
        <r>
          <t xml:space="preserve">
</t>
        </r>
        <r>
          <rPr>
            <rFont val="Tahoma"/>
            <b val="true"/>
            <color rgb="000000" tint="0"/>
            <sz val="9"/>
          </rPr>
          <t>7060103C0C0000000</t>
        </r>
        <r>
          <t xml:space="preserve">
</t>
        </r>
      </text>
    </comment>
    <comment authorId="0" ref="K12">
      <text>
        <r>
          <rPr>
            <rFont val="Tahoma"/>
            <b val="true"/>
            <color rgb="000000" tint="0"/>
            <sz val="9"/>
          </rPr>
          <t>70601016C80900000</t>
        </r>
        <r>
          <t xml:space="preserve">
</t>
        </r>
        <r>
          <rPr>
            <rFont val="Tahoma"/>
            <b val="true"/>
            <color rgb="000000" tint="0"/>
            <sz val="9"/>
          </rPr>
          <t>7060102002C000010</t>
        </r>
        <r>
          <t xml:space="preserve">
</t>
        </r>
        <r>
          <rPr>
            <rFont val="Tahoma"/>
            <b val="true"/>
            <color rgb="000000" tint="0"/>
            <sz val="9"/>
          </rPr>
          <t>70601034040000000</t>
        </r>
        <r>
          <t xml:space="preserve">
</t>
        </r>
      </text>
    </comment>
    <comment authorId="0" ref="AO9">
      <text>
        <r>
          <rPr>
            <rFont val="Tahoma"/>
            <b val="true"/>
            <color rgb="000000" tint="0"/>
            <sz val="9"/>
          </rPr>
          <t>Changed to:</t>
        </r>
        <r>
          <t xml:space="preserve">
</t>
        </r>
        <r>
          <rPr>
            <rFont val="Tahoma"/>
            <b val="true"/>
            <color rgb="000000" tint="0"/>
            <sz val="9"/>
          </rPr>
          <t>F266 196A D8E2</t>
        </r>
        <r>
          <t xml:space="preserve">
</t>
        </r>
        <r>
          <rPr>
            <rFont val="Tahoma"/>
            <b val="true"/>
            <color rgb="000000" tint="0"/>
            <sz val="9"/>
          </rPr>
          <t>for ESS support</t>
        </r>
      </text>
    </comment>
    <comment authorId="0" ref="M10">
      <text>
        <r>
          <rPr>
            <rFont val="Tahoma"/>
            <b val="true"/>
            <color rgb="000000" tint="0"/>
            <sz val="9"/>
          </rPr>
          <t>REAR+FRONT DEFOG / CLIMATE AUTO</t>
        </r>
      </text>
    </comment>
    <comment authorId="0" ref="A5">
      <text>
        <r>
          <rPr>
            <rFont val="Tahoma"/>
            <b val="true"/>
            <color rgb="000000" tint="0"/>
            <sz val="9"/>
          </rPr>
          <t xml:space="preserve">CX-3/ADL/LED/ALS/  </t>
        </r>
        <r>
          <rPr>
            <rFont val="Tahoma"/>
            <color rgb="000000" tint="0"/>
            <sz val="9"/>
          </rPr>
          <t>JM7DK4W7AH0123903</t>
        </r>
      </text>
    </comment>
    <comment authorId="0" ref="B8">
      <text>
        <r>
          <rPr>
            <rFont val="Tahoma"/>
            <color rgb="000000" tint="0"/>
            <sz val="9"/>
          </rPr>
          <t>JMZBN62A801534308</t>
        </r>
      </text>
    </comment>
    <comment authorId="0" ref="L11">
      <text>
        <r>
          <rPr>
            <rFont val="Tahoma"/>
            <b val="true"/>
            <color rgb="000000" tint="0"/>
            <sz val="9"/>
          </rPr>
          <t>BSM</t>
        </r>
        <r>
          <t xml:space="preserve">
</t>
        </r>
      </text>
    </comment>
    <comment authorId="0" ref="L12">
      <text>
        <r>
          <rPr>
            <rFont val="Tahoma"/>
            <b val="true"/>
            <color rgb="000000" tint="0"/>
            <sz val="9"/>
          </rPr>
          <t>BSM</t>
        </r>
        <r>
          <t xml:space="preserve">
</t>
        </r>
      </text>
    </comment>
    <comment authorId="0" ref="I3">
      <text>
        <r>
          <rPr>
            <rFont val="Tahoma"/>
            <b val="true"/>
            <color rgb="000000" tint="0"/>
            <sz val="9"/>
          </rPr>
          <t>0 =</t>
        </r>
        <r>
          <rPr>
            <rFont val="Tahoma"/>
            <color rgb="000000" tint="0"/>
            <sz val="9"/>
          </rPr>
          <t xml:space="preserve"> Not configured</t>
        </r>
        <r>
          <t xml:space="preserve">
</t>
        </r>
      </text>
    </comment>
    <comment authorId="0" ref="N12">
      <text>
        <r>
          <rPr>
            <rFont val="Tahoma"/>
            <b val="true"/>
            <color rgb="000000" tint="0"/>
            <sz val="9"/>
          </rPr>
          <t>MRCC/SCBS</t>
        </r>
        <r>
          <t xml:space="preserve">
</t>
        </r>
      </text>
    </comment>
    <comment authorId="0" ref="N4">
      <text>
        <r>
          <rPr>
            <rFont val="Tahoma"/>
            <b val="true"/>
            <color rgb="000000" tint="0"/>
            <sz val="9"/>
          </rPr>
          <t>CC/SCBS</t>
        </r>
        <r>
          <t xml:space="preserve">
</t>
        </r>
      </text>
    </comment>
    <comment authorId="0" ref="S3">
      <text>
        <r>
          <rPr>
            <rFont val="Tahoma"/>
            <b val="true"/>
            <color rgb="000000" tint="0"/>
            <sz val="9"/>
          </rPr>
          <t>ToTEST:</t>
        </r>
        <r>
          <t xml:space="preserve">
</t>
        </r>
        <r>
          <rPr>
            <rFont val="Tahoma"/>
            <color rgb="000000" tint="0"/>
            <sz val="9"/>
          </rPr>
          <t>000008609028</t>
        </r>
      </text>
    </comment>
    <comment authorId="0" ref="U1">
      <text>
        <r>
          <rPr>
            <rFont val="Tahoma"/>
            <b val="true"/>
            <color rgb="000000" tint="0"/>
            <sz val="9"/>
          </rPr>
          <t>RePack by Diakov:</t>
        </r>
        <r>
          <t xml:space="preserve">
</t>
        </r>
        <r>
          <rPr>
            <rFont val="Tahoma"/>
            <color rgb="000000" tint="0"/>
            <sz val="9"/>
          </rPr>
          <t>Пробовать …9028</t>
        </r>
      </text>
    </comment>
    <comment authorId="0" ref="K6">
      <text>
        <r>
          <rPr>
            <rFont val="Tahoma"/>
            <b val="true"/>
            <color rgb="000000" tint="0"/>
            <sz val="9"/>
          </rPr>
          <t>NO FSC</t>
        </r>
        <r>
          <t xml:space="preserve">
</t>
        </r>
      </text>
    </comment>
    <comment authorId="0" ref="F1">
      <text>
        <r>
          <rPr>
            <rFont val="Tahoma"/>
            <b val="true"/>
            <color rgb="000000" tint="0"/>
            <sz val="9"/>
          </rPr>
          <t>ESS - B0=5X, 6X, 7X</t>
        </r>
        <r>
          <t xml:space="preserve">
</t>
        </r>
      </text>
    </comment>
    <comment authorId="0" ref="I1">
      <text>
        <r>
          <rPr>
            <rFont val="Tahoma"/>
            <b val="true"/>
            <color rgb="000000" tint="0"/>
            <sz val="9"/>
          </rPr>
          <t>SCBS-R - B3=4X</t>
        </r>
        <r>
          <t xml:space="preserve">
</t>
        </r>
        <r>
          <rPr>
            <rFont val="Tahoma"/>
            <b val="true"/>
            <color rgb="000000" tint="0"/>
            <sz val="9"/>
          </rPr>
          <t>DAA      - B5=X7</t>
        </r>
      </text>
    </comment>
    <comment authorId="0" ref="A6">
      <text>
        <r>
          <rPr>
            <rFont val="Tahoma"/>
            <b val="true"/>
            <color rgb="000000" tint="0"/>
            <sz val="9"/>
          </rPr>
          <t xml:space="preserve">M2/ADL/LED/ALS/  </t>
        </r>
        <r>
          <rPr>
            <rFont val="Tahoma"/>
            <color rgb="000000" tint="0"/>
            <sz val="9"/>
          </rPr>
          <t>MM7DJ2HAAGW176537</t>
        </r>
      </text>
    </comment>
    <comment authorId="0" ref="H3">
      <text>
        <r>
          <rPr>
            <rFont val="Tahoma"/>
            <b val="true"/>
            <color rgb="000000" tint="0"/>
            <sz val="9"/>
          </rPr>
          <t xml:space="preserve">1 = HALO: </t>
        </r>
        <r>
          <rPr>
            <rFont val="Tahoma"/>
            <color rgb="000000" tint="0"/>
            <sz val="9"/>
          </rPr>
          <t>NO AFS</t>
        </r>
      </text>
    </comment>
  </commentList>
</comments>
</file>

<file path=xl/sharedStrings.xml><?xml version="1.0" encoding="utf-8"?>
<sst xmlns="http://schemas.openxmlformats.org/spreadsheetml/2006/main" xmlns:a="http://schemas.openxmlformats.org/drawingml/2006/main" xmlns:a15="http://schemas.microsoft.com/office/drawing/2012/main" xmlns:asvg="http://schemas.microsoft.com/office/drawing/2016/SVG/main" xmlns:c="http://schemas.openxmlformats.org/drawingml/2006/chart" xmlns:co="http://ncloudtech.com" xmlns:co-ooxml="http://ncloudtech.com/ooxml" xmlns:m="http://schemas.openxmlformats.org/officeDocument/2006/math" xmlns:mc="http://schemas.openxmlformats.org/markup-compatibility/2006" xmlns:o="urn:schemas-microsoft-com:office:office" xmlns:p="http://schemas.openxmlformats.org/presentationml/2006/main" xmlns:pic="http://schemas.openxmlformats.org/drawingml/2006/picture" xmlns:r="http://schemas.openxmlformats.org/officeDocument/2006/relationships" xmlns:s="http://schemas.openxmlformats.org/officeDocument/2006/sharedTypes" xmlns:sl="http://schemas.openxmlformats.org/schemaLibrary/2006/main" xmlns:v="urn:schemas-microsoft-com:vml" xmlns:w="http://schemas.openxmlformats.org/wordprocessingml/2006/main" xmlns:w10="urn:schemas-microsoft-com:office:word" xmlns:w14="http://schemas.microsoft.com/office/word/2010/wordml" xmlns:w15="http://schemas.microsoft.com/office/word/2012/wordml" xmlns:wp="http://schemas.openxmlformats.org/drawingml/2006/wordprocessingDrawing" xmlns:wpg="http://schemas.microsoft.com/office/word/2010/wordprocessingGroup" xmlns:wps="http://schemas.microsoft.com/office/word/2010/wordprocessingShape" xmlns:x="urn:schemas-microsoft-com:office:excel" xmlns:x12ac="http://schemas.microsoft.com/office/spreadsheetml/2011/1/ac" xmlns:x14="http://schemas.microsoft.com/office/spreadsheetml/2009/9/main" xmlns:xdr="http://schemas.openxmlformats.org/drawingml/2006/spreadsheetDrawing" xmlns:xm="http://schemas.microsoft.com/office/excel/2006/main" mc:Ignorable="co co-ooxml w14 x14 w15">
  <si>
    <t>Part</t>
  </si>
  <si>
    <t>Related item</t>
  </si>
  <si>
    <t>Mazda Radar Cruise Control (MRCC) system</t>
  </si>
  <si>
    <t>Distance Recognition Support System (DRSS)</t>
  </si>
  <si>
    <t>Lane-keep assist system (LAS)</t>
  </si>
  <si>
    <t>Lane Departure Warning System (LDWS)</t>
  </si>
  <si>
    <t>Adaptive LED Headlights (ALH)</t>
  </si>
  <si>
    <t>High Beam Control (HBC) System</t>
  </si>
  <si>
    <t>Adaptive Front lighting System (AFS)</t>
  </si>
  <si>
    <t>Driver Attention Alert system (DAA)</t>
  </si>
  <si>
    <t>Smart Brake Support (SBS)</t>
  </si>
  <si>
    <t>Forward Obstruction Warning (FOW)</t>
  </si>
  <si>
    <t>Smart City Brake Support [Forward] (SCBS F)</t>
  </si>
  <si>
    <t>Advanced Smart City Brake Support (Advanced SCBS)</t>
  </si>
  <si>
    <t>Smart City Brake Support [Reverse] (SCBS R)</t>
  </si>
  <si>
    <t>Rear Vehicle Monitoring System (RVM)</t>
  </si>
  <si>
    <t>Blind Spot Monitoring (BSM) system</t>
  </si>
  <si>
    <t>Rear Cross Traffic Alert (RCTA)</t>
  </si>
  <si>
    <t>Traffic Sign Recognition System (TSR)</t>
  </si>
  <si>
    <t>Radar Sensor Unit</t>
  </si>
  <si>
    <t>x</t>
  </si>
  <si>
    <t>–</t>
  </si>
  <si>
    <t>Vehicle Control Module</t>
  </si>
  <si>
    <t>Stop Lamp Unit</t>
  </si>
  <si>
    <t>Forward Sensing Camera (FSC) Gen 1</t>
  </si>
  <si>
    <t>Forward Sensing Camera (FSC) Gen 1 w/SBS</t>
  </si>
  <si>
    <t>Forward Sensing Camera (FSC) Gen 2</t>
  </si>
  <si>
    <t>?</t>
  </si>
  <si>
    <t>Electric Power Steering Unit w/LKA</t>
  </si>
  <si>
    <t>Adaptive LED headlights control module</t>
  </si>
  <si>
    <t>Adaptive Front lighting System (AFS) control Unit</t>
  </si>
  <si>
    <t>Steering Angle Sensor (Clock Spring)</t>
  </si>
  <si>
    <t>Blind Spot Monitoring (BSM) control modules (R &amp; L)</t>
  </si>
  <si>
    <t>Parking assist unit (ultrasonic)</t>
  </si>
  <si>
    <t>Laser sensor (Lidar)</t>
  </si>
  <si>
    <t>Video AU (w S&amp;G)</t>
  </si>
  <si>
    <t>Video UA</t>
  </si>
  <si>
    <t>Video AU</t>
  </si>
  <si>
    <t>Video</t>
  </si>
  <si>
    <t>Video CA</t>
  </si>
  <si>
    <t>Video EU</t>
  </si>
  <si>
    <t>Video Saudi</t>
  </si>
  <si>
    <t>?: Maybe Applicable (Unsure)</t>
  </si>
  <si>
    <t>x: Applicable</t>
  </si>
  <si>
    <t>–: Not Applicable</t>
  </si>
  <si>
    <t>4-wheel Anti-lock Braking System (4W-ABS)</t>
  </si>
  <si>
    <t>Acceleration Control for AT</t>
  </si>
  <si>
    <t>Adjustable Speed Limiter (ASL)</t>
  </si>
  <si>
    <t>Advanced Keyless Entry System (AKE)</t>
  </si>
  <si>
    <t>Auto-Leveling Function (ALF, ALS)</t>
  </si>
  <si>
    <t>Dynamic Stability Control system (DSC)</t>
  </si>
  <si>
    <t>Electronic Brake Force Distribution (EBD)</t>
  </si>
  <si>
    <t>Emergency Brake Assist (EBA)</t>
  </si>
  <si>
    <t>Emergency Signal System (ESS)</t>
  </si>
  <si>
    <t>Hill Launch Assist (HLA)</t>
  </si>
  <si>
    <t>i-ACTIV AWD</t>
  </si>
  <si>
    <t>Intelligent Speed Assist (ISA)</t>
  </si>
  <si>
    <t>Roll Stability Control (RSC)</t>
  </si>
  <si>
    <t>Traction Control System (TCS)</t>
  </si>
  <si>
    <t>Color Legend:</t>
  </si>
  <si>
    <t>Confirmed by me personally, or by multiple users</t>
  </si>
  <si>
    <t>Reported by other users, not tested by me personally</t>
  </si>
  <si>
    <t>Tutorial on activating i-DM (Eng)</t>
  </si>
  <si>
    <t>Інструкція по активації функції i-DM (rus)</t>
  </si>
  <si>
    <r>
      <t xml:space="preserve">MS Office 97-2013 are not supported. 
</t>
    </r>
    <r>
      <t>Please use MS Office 2016+ or 365.</t>
    </r>
  </si>
  <si>
    <t>Інструкція по активації круїз контролю та Автозакривання дверей (rus)</t>
  </si>
  <si>
    <t>Tutorial on how to use this Excel file (Eng) - Part 1</t>
  </si>
  <si>
    <t>Part 2 of Tutorial (Eng)</t>
  </si>
  <si>
    <t>Інструкція по використанню цього Excel файлу (rus) - Частина 1</t>
  </si>
  <si>
    <t>Частина 2 інструкції (Укр)</t>
  </si>
  <si>
    <t>Links to cells in this document related to given functions</t>
  </si>
  <si>
    <t>A/C Eco Mode</t>
  </si>
  <si>
    <t>IC - 720-04-11 B0</t>
  </si>
  <si>
    <t>IC - 720-04-23 B4</t>
  </si>
  <si>
    <t>AFS (Adaptive Front lighting System)</t>
  </si>
  <si>
    <t>IC - 720-04-14 B1</t>
  </si>
  <si>
    <t>AKE (Advanced Keyless Entry) / Keyless</t>
  </si>
  <si>
    <t xml:space="preserve">SSU - 731-01-01 B2 </t>
  </si>
  <si>
    <t>SSU - 731-01-03 B1</t>
  </si>
  <si>
    <t>SSU - 731-02-01 B1</t>
  </si>
  <si>
    <t>SSU - 731-01-03 B0</t>
  </si>
  <si>
    <t>SSU - 731-01-02 B0</t>
  </si>
  <si>
    <t>ALH (Adaptive LED Headlights)</t>
  </si>
  <si>
    <t>FSC Gen 2 - 706-01-01 B4</t>
  </si>
  <si>
    <t>FSC Gen 2 - 706-02-01 B4</t>
  </si>
  <si>
    <t>IC - 720-04-19 B0</t>
  </si>
  <si>
    <t>Ambient Temperature Warning Alarm</t>
  </si>
  <si>
    <t>IC - 720-01-01 B2</t>
  </si>
  <si>
    <t>Auto Door Lock</t>
  </si>
  <si>
    <t>RBCM - 7B7-01-02 B4</t>
  </si>
  <si>
    <t>RBCM - 7B7-01-01 B1</t>
  </si>
  <si>
    <t>RBCM - 7B7-02-01 B0</t>
  </si>
  <si>
    <t>BSM [RVM+RCTA] (Blind Spot Monitoring [Rear Vehicle Monitoring + Rear Cross Traffic Alert])</t>
  </si>
  <si>
    <t>IC - 720-04-21 B1</t>
  </si>
  <si>
    <t>Cruise Control</t>
  </si>
  <si>
    <t>IC - 720-01-02 B0</t>
  </si>
  <si>
    <t>DAA (Driver Attention Alert)</t>
  </si>
  <si>
    <t>IC - 720-04-16 B4</t>
  </si>
  <si>
    <t>DRSS (Distance Recognition Support System)</t>
  </si>
  <si>
    <t>IC - 720-04-17 B2</t>
  </si>
  <si>
    <t>ESS (Emergency Signal System)</t>
  </si>
  <si>
    <t>FBCM - 726-01-01 B3</t>
  </si>
  <si>
    <t>FOW (Forward Obstruction Warning)</t>
  </si>
  <si>
    <t>HBC (High Beam Control)</t>
  </si>
  <si>
    <t>FSC Gen 1 - 706-01-01 B0</t>
  </si>
  <si>
    <t>Headlight Off Timer</t>
  </si>
  <si>
    <t>FBCM - 726-01-01 B1</t>
  </si>
  <si>
    <t>RBCM - 7B7-01-03 B1</t>
  </si>
  <si>
    <t>RBCM - 7B7-02-01 B2</t>
  </si>
  <si>
    <t>Headlight Levelling (ALF, ALS)</t>
  </si>
  <si>
    <t>IC - 720-04-14 B3</t>
  </si>
  <si>
    <t>i-DM</t>
  </si>
  <si>
    <t>IC - 720-04-27 B1</t>
  </si>
  <si>
    <t>i-eloop</t>
  </si>
  <si>
    <t>IC - 720-04-25 B2</t>
  </si>
  <si>
    <t>i-Stop</t>
  </si>
  <si>
    <t>SSU - 731-01-01 B1</t>
  </si>
  <si>
    <t>LAS (LKA) (Lane-keep assist system)</t>
  </si>
  <si>
    <t>FSC Gen 2 - 706-01-02 B0</t>
  </si>
  <si>
    <t>IC - 720-04-16 B0</t>
  </si>
  <si>
    <t>LDWS (Lane Departure Warning System)</t>
  </si>
  <si>
    <t>IC - 720-02-01 B0</t>
  </si>
  <si>
    <t>IC - 720-02-01 B1</t>
  </si>
  <si>
    <t xml:space="preserve">FSC Gen 1 - 706-01-01 B3 </t>
  </si>
  <si>
    <t>FSC Gen 2 (various unconfirmed)</t>
  </si>
  <si>
    <t>Low Level Windshield Washer Fluid indicator</t>
  </si>
  <si>
    <t>IC - 720-01-01 B1</t>
  </si>
  <si>
    <t>MRCC (Mazda Radar Cruise Control)</t>
  </si>
  <si>
    <t>RBCM - 7B7-01-01 B3</t>
  </si>
  <si>
    <t>IC - 720-04-17 B2 - B4</t>
  </si>
  <si>
    <t>IC - 720-04-18 B0 - B2</t>
  </si>
  <si>
    <t>Parking sensors</t>
  </si>
  <si>
    <t>IC - 720-04-16 B2</t>
  </si>
  <si>
    <t>Power Liftgate</t>
  </si>
  <si>
    <t>IC - 720-04-14 B4</t>
  </si>
  <si>
    <t>SSU - 731-01-01 B2</t>
  </si>
  <si>
    <t>Rear Fog Light</t>
  </si>
  <si>
    <t>RBCM - 7B7-01-01 B0</t>
  </si>
  <si>
    <t>IC - 720-01-01 B0</t>
  </si>
  <si>
    <t>Rear Glass Heating</t>
  </si>
  <si>
    <t>IC - 720-04-22 B1</t>
  </si>
  <si>
    <t>RVM (Rear Vehicle Monitoring)</t>
  </si>
  <si>
    <t>IC - 720-04-19 B3</t>
  </si>
  <si>
    <t>SBS (Smart Brake Support)</t>
  </si>
  <si>
    <t>SCBS-F (Smart City Brake Support [Forward])</t>
  </si>
  <si>
    <t>FSC Gen 2 - 706-01-01 B2</t>
  </si>
  <si>
    <t>FSC Gen 2 - 706-02-01 B2</t>
  </si>
  <si>
    <t>IC - 720-04-24 B2</t>
  </si>
  <si>
    <t>SCBS-R (Smart City Brake Support [Reverse])</t>
  </si>
  <si>
    <t>Seat heating</t>
  </si>
  <si>
    <t>IC - 720-04-26 B0</t>
  </si>
  <si>
    <t>Seatbelts</t>
  </si>
  <si>
    <t>Speed Sound Alarm</t>
  </si>
  <si>
    <t>TSR (Traffic Sign Recognition)</t>
  </si>
  <si>
    <t>FSC Gen 2 - 706-01-02 B4</t>
  </si>
  <si>
    <t>FORScan backup</t>
  </si>
  <si>
    <t>https://www.mazda3revolution.com/threads/change-configuration-explore-different-functions-asbuilt.169393/</t>
  </si>
  <si>
    <t>Orig</t>
  </si>
  <si>
    <t>New</t>
  </si>
  <si>
    <t>Editable fields by user</t>
  </si>
  <si>
    <t>;Block 1</t>
  </si>
  <si>
    <t>checksum</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</si>
  <si>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</si>
  <si>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726G1G1000000002F</t>
  </si>
  <si>
    <r>
      <t>726-01-01</t>
    </r>
    <r>
      <rPr>
        <b val="false"/>
        <color theme="1" tint="0"/>
        <sz val="11"/>
        <scheme val="minor"/>
      </rPr>
      <t xml:space="preserve"> B0 B1 B2 B3 B4 B5 in HEX</t>
    </r>
  </si>
  <si>
    <t>B0</t>
  </si>
  <si>
    <t>B1</t>
  </si>
  <si>
    <t>B2</t>
  </si>
  <si>
    <t>B3</t>
  </si>
  <si>
    <t>B4</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</si>
  <si>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</si>
  <si>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</si>
  <si>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</si>
  <si>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</si>
  <si>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theme="1" tint="0"/>
        <sz val="11"/>
        <scheme val="minor"/>
      </rPr>
      <t xml:space="preserve"> - CHECKSUM</t>
    </r>
  </si>
  <si>
    <t>;Block 2</t>
  </si>
  <si>
    <t>HEX</t>
  </si>
  <si>
    <t>07</t>
  </si>
  <si>
    <t>26</t>
  </si>
  <si>
    <t>01</t>
  </si>
  <si>
    <t>ORIG</t>
  </si>
  <si>
    <t>NEW</t>
  </si>
  <si>
    <t>bit</t>
  </si>
  <si>
    <t xml:space="preserve"> </t>
  </si>
  <si>
    <t>726G2G1000030</t>
  </si>
  <si>
    <t>BIN</t>
  </si>
  <si>
    <t>b7</t>
  </si>
  <si>
    <r>
      <rPr>
        <b val="true"/>
        <color theme="1" tint="0"/>
        <sz val="11"/>
        <scheme val="minor"/>
      </rPr>
      <t xml:space="preserve">Auto Door Lock
</t>
    </r>
    <r>
      <rPr>
        <i val="true"/>
        <color theme="1" tint="0"/>
        <sz val="10"/>
        <scheme val="minor"/>
      </rPr>
      <t xml:space="preserve">b7b6b5b4 - value:
</t>
    </r>
    <r>
      <rPr>
        <b val="true"/>
        <color theme="1" tint="0"/>
        <sz val="11"/>
        <scheme val="minor"/>
      </rPr>
      <t>0000</t>
    </r>
    <r>
      <rPr>
        <color theme="1" tint="0"/>
        <sz val="11"/>
        <scheme val="minor"/>
      </rPr>
      <t xml:space="preserve"> - Not equipped
</t>
    </r>
    <r>
      <rPr>
        <color theme="1" tint="0"/>
        <sz val="11"/>
        <scheme val="minor"/>
      </rPr>
      <t xml:space="preserve">No for CX3 EU
</t>
    </r>
    <r>
      <rPr>
        <b val="true"/>
        <color theme="1" tint="0"/>
        <sz val="11"/>
        <scheme val="minor"/>
      </rPr>
      <t xml:space="preserve">0001 </t>
    </r>
    <r>
      <rPr>
        <color theme="1" tint="0"/>
        <sz val="11"/>
        <scheme val="minor"/>
      </rPr>
      <t xml:space="preserve">- OFF
</t>
    </r>
    <r>
      <rPr>
        <b val="true"/>
        <color theme="1" tint="0"/>
        <sz val="11"/>
        <scheme val="minor"/>
      </rPr>
      <t>0010</t>
    </r>
    <r>
      <rPr>
        <color theme="1" tint="0"/>
        <sz val="11"/>
        <scheme val="minor"/>
      </rPr>
      <t xml:space="preserve"> - Lock: When driving
</t>
    </r>
    <r>
      <rPr>
        <b val="true"/>
        <color theme="1" tint="0"/>
        <sz val="11"/>
        <scheme val="minor"/>
      </rPr>
      <t>0011</t>
    </r>
    <r>
      <rPr>
        <color theme="1" tint="0"/>
        <sz val="11"/>
        <scheme val="minor"/>
      </rPr>
      <t xml:space="preserve"> - Lock: When driving / Unlock: IGN Off
</t>
    </r>
    <r>
      <rPr>
        <b val="true"/>
        <color theme="1" tint="0"/>
        <sz val="11"/>
        <scheme val="minor"/>
      </rPr>
      <t>0100</t>
    </r>
    <r>
      <rPr>
        <color theme="1" tint="0"/>
        <sz val="11"/>
        <scheme val="minor"/>
      </rPr>
      <t xml:space="preserve"> - Lock: Shifting Out of Park
</t>
    </r>
    <r>
      <rPr>
        <b val="true"/>
        <color theme="1" tint="0"/>
        <sz val="11"/>
        <scheme val="minor"/>
      </rPr>
      <t>0101</t>
    </r>
    <r>
      <rPr>
        <color theme="1" tint="0"/>
        <sz val="11"/>
        <scheme val="minor"/>
      </rPr>
      <t xml:space="preserve"> - Lock:  Out of Park / Unlock: In Park
</t>
    </r>
    <r>
      <rPr>
        <b val="true"/>
        <color theme="1" tint="0"/>
        <sz val="11"/>
        <scheme val="minor"/>
      </rPr>
      <t>1010</t>
    </r>
    <r>
      <rPr>
        <color theme="1" tint="0"/>
        <sz val="11"/>
        <scheme val="minor"/>
      </rPr>
      <t xml:space="preserve"> - Lock:  When driving / Unlock: in Park</t>
    </r>
  </si>
  <si>
    <r>
      <t xml:space="preserve">0 </t>
    </r>
    <r>
      <rPr>
        <b val="false"/>
        <color rgb="FF0000" tint="0"/>
        <sz val="11"/>
        <scheme val="minor"/>
      </rPr>
      <t>= Permanent value</t>
    </r>
  </si>
  <si>
    <r>
      <rPr>
        <b val="true"/>
        <color theme="1" tint="0"/>
        <sz val="11"/>
        <scheme val="minor"/>
      </rPr>
      <t xml:space="preserve">Timing Light (Door Closed):
</t>
    </r>
    <r>
      <rPr>
        <color theme="1" tint="0"/>
        <sz val="11"/>
        <scheme val="minor"/>
      </rPr>
      <t xml:space="preserve">b7b6b5 - value
</t>
    </r>
    <r>
      <rPr>
        <color theme="1" tint="0"/>
        <sz val="11"/>
        <scheme val="minor"/>
      </rPr>
      <t xml:space="preserve">001 - 15 sec
</t>
    </r>
    <r>
      <rPr>
        <color theme="1" tint="0"/>
        <sz val="11"/>
        <scheme val="minor"/>
      </rPr>
      <t xml:space="preserve">010 - 7,5 sec
</t>
    </r>
    <r>
      <rPr>
        <color theme="1" tint="0"/>
        <sz val="11"/>
        <scheme val="minor"/>
      </rPr>
      <t xml:space="preserve">011 - 30 sec
</t>
    </r>
    <r>
      <rPr>
        <color theme="1" tint="0"/>
        <sz val="11"/>
        <scheme val="minor"/>
      </rPr>
      <t>100 - 60 sec</t>
    </r>
  </si>
  <si>
    <r>
      <rPr>
        <b val="true"/>
        <color theme="1" tint="0"/>
        <sz val="11"/>
        <scheme val="minor"/>
      </rPr>
      <t xml:space="preserve">Auto Headlight:
</t>
    </r>
    <r>
      <rPr>
        <color theme="1" tint="0"/>
        <sz val="11"/>
        <scheme val="minor"/>
      </rPr>
      <t xml:space="preserve">b7b6b5b4 - value
</t>
    </r>
    <r>
      <rPr>
        <color theme="1" tint="0"/>
        <sz val="11"/>
        <scheme val="minor"/>
      </rPr>
      <t xml:space="preserve">0111 - Low
</t>
    </r>
    <r>
      <rPr>
        <color theme="1" tint="0"/>
        <sz val="11"/>
        <scheme val="minor"/>
      </rPr>
      <t xml:space="preserve">        1000 - Med Low
</t>
    </r>
    <r>
      <rPr>
        <color theme="1" tint="0"/>
        <sz val="11"/>
        <scheme val="minor"/>
      </rPr>
      <t xml:space="preserve">       1001 - Medium
</t>
    </r>
    <r>
      <rPr>
        <color theme="1" tint="0"/>
        <sz val="11"/>
        <scheme val="minor"/>
      </rPr>
      <t xml:space="preserve">         1010 - Med High
</t>
    </r>
    <r>
      <rPr>
        <color theme="1" tint="0"/>
        <sz val="11"/>
        <scheme val="minor"/>
      </rPr>
      <t>1011 - High</t>
    </r>
  </si>
  <si>
    <t>DEC</t>
  </si>
  <si>
    <t>b6</t>
  </si>
  <si>
    <r>
      <t xml:space="preserve">1 </t>
    </r>
    <r>
      <rPr>
        <b val="false"/>
        <color rgb="FF0000" tint="0"/>
        <sz val="11"/>
        <scheme val="minor"/>
      </rPr>
      <t>= Permanent value</t>
    </r>
  </si>
  <si>
    <t>FS</t>
  </si>
  <si>
    <t>b5</t>
  </si>
  <si>
    <t>function is unknown</t>
  </si>
  <si>
    <t>b4</t>
  </si>
  <si>
    <r>
      <rPr>
        <b val="true"/>
        <color theme="1" tint="0"/>
        <sz val="11"/>
        <scheme val="minor"/>
      </rPr>
      <t xml:space="preserve">3 flash Turn Signal:
</t>
    </r>
    <r>
      <rPr>
        <color theme="1" tint="0"/>
        <sz val="11"/>
        <scheme val="minor"/>
      </rPr>
      <t xml:space="preserve">b4b3 - Value
</t>
    </r>
    <r>
      <rPr>
        <color theme="1" tint="0"/>
        <sz val="11"/>
        <scheme val="minor"/>
      </rPr>
      <t xml:space="preserve">01 - OFF
</t>
    </r>
    <r>
      <rPr>
        <color theme="1" tint="0"/>
        <sz val="11"/>
        <scheme val="minor"/>
      </rPr>
      <t>10 - ON</t>
    </r>
  </si>
  <si>
    <r>
      <rPr>
        <b val="true"/>
        <color theme="1" tint="0"/>
        <sz val="11"/>
        <scheme val="minor"/>
      </rPr>
      <t xml:space="preserve">Timing Light (Door Opened):
</t>
    </r>
    <r>
      <rPr>
        <color theme="1" tint="0"/>
        <sz val="11"/>
        <scheme val="minor"/>
      </rPr>
      <t xml:space="preserve">b4b3 - value
</t>
    </r>
    <r>
      <rPr>
        <color theme="1" tint="0"/>
        <sz val="11"/>
        <scheme val="minor"/>
      </rPr>
      <t xml:space="preserve">01 - 30 min
</t>
    </r>
    <r>
      <rPr>
        <color theme="1" tint="0"/>
        <sz val="11"/>
        <scheme val="minor"/>
      </rPr>
      <t xml:space="preserve">10 - 60 min
</t>
    </r>
    <r>
      <rPr>
        <color theme="1" tint="0"/>
        <sz val="11"/>
        <scheme val="minor"/>
      </rPr>
      <t>11 - 10 min</t>
    </r>
  </si>
  <si>
    <t>b3</t>
  </si>
  <si>
    <r>
      <rPr>
        <b val="true"/>
        <color theme="1" tint="0"/>
        <sz val="11"/>
        <scheme val="minor"/>
      </rPr>
      <t xml:space="preserve">Auto Wiper:
</t>
    </r>
    <r>
      <rPr>
        <color theme="1" tint="0"/>
        <sz val="11"/>
        <scheme val="minor"/>
      </rPr>
      <t xml:space="preserve">b3b2 - Value
</t>
    </r>
    <r>
      <rPr>
        <color theme="1" tint="0"/>
        <sz val="11"/>
        <scheme val="minor"/>
      </rPr>
      <t xml:space="preserve">01 - OFF
</t>
    </r>
    <r>
      <rPr>
        <color theme="1" tint="0"/>
        <sz val="11"/>
        <scheme val="minor"/>
      </rPr>
      <t>10 - ON</t>
    </r>
  </si>
  <si>
    <r>
      <rPr>
        <b val="true"/>
        <color theme="1" tint="0"/>
        <sz val="11"/>
        <scheme val="minor"/>
      </rPr>
      <t xml:space="preserve">Leaving Home Light:
</t>
    </r>
    <r>
      <rPr>
        <color theme="1" tint="0"/>
        <sz val="11"/>
        <scheme val="minor"/>
      </rPr>
      <t xml:space="preserve">b3b2 - Value
</t>
    </r>
    <r>
      <rPr>
        <color theme="1" tint="0"/>
        <sz val="11"/>
        <scheme val="minor"/>
      </rPr>
      <t xml:space="preserve">01 - OFF
</t>
    </r>
    <r>
      <rPr>
        <color theme="1" tint="0"/>
        <sz val="11"/>
        <scheme val="minor"/>
      </rPr>
      <t>10 - ON 0 - OFF / 1 - ON</t>
    </r>
  </si>
  <si>
    <t>b2</t>
  </si>
  <si>
    <r>
      <rPr>
        <b val="true"/>
        <color theme="1" tint="0"/>
        <sz val="11"/>
        <scheme val="minor"/>
      </rPr>
      <t xml:space="preserve">Coming Home Light:
</t>
    </r>
    <r>
      <rPr>
        <color theme="1" tint="0"/>
        <sz val="11"/>
        <scheme val="minor"/>
      </rPr>
      <t xml:space="preserve">b2b1b0 - value
</t>
    </r>
    <r>
      <rPr>
        <color theme="1" tint="0"/>
        <sz val="11"/>
        <scheme val="minor"/>
      </rPr>
      <t xml:space="preserve">001 - OFF
</t>
    </r>
    <r>
      <rPr>
        <color theme="1" tint="0"/>
        <sz val="11"/>
        <scheme val="minor"/>
      </rPr>
      <t xml:space="preserve">010 - 30 sec
</t>
    </r>
    <r>
      <rPr>
        <color theme="1" tint="0"/>
        <sz val="11"/>
        <scheme val="minor"/>
      </rPr>
      <t xml:space="preserve">011 - 60 sec
</t>
    </r>
    <r>
      <rPr>
        <color theme="1" tint="0"/>
        <sz val="11"/>
        <scheme val="minor"/>
      </rPr>
      <t xml:space="preserve">100 - 90 sec
</t>
    </r>
    <r>
      <rPr>
        <color theme="1" tint="0"/>
        <sz val="11"/>
        <scheme val="minor"/>
      </rPr>
      <t>101 - 120 sec</t>
    </r>
  </si>
  <si>
    <r>
      <t xml:space="preserve">0 </t>
    </r>
    <r>
      <rPr>
        <b val="false"/>
        <color rgb="FF0000" tint="0"/>
        <sz val="11"/>
        <scheme val="minor"/>
      </rPr>
      <t>= Permanent value</t>
    </r>
  </si>
  <si>
    <t>b1</t>
  </si>
  <si>
    <r>
      <t xml:space="preserve">0 </t>
    </r>
    <r>
      <rPr>
        <b val="false"/>
        <color rgb="FF0000" tint="0"/>
        <sz val="11"/>
        <scheme val="minor"/>
      </rPr>
      <t>= Permanent value</t>
    </r>
  </si>
  <si>
    <t>b0</t>
  </si>
  <si>
    <r>
      <t xml:space="preserve">1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</si>
  <si>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</si>
  <si>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in HEX</t>
    </r>
  </si>
  <si>
    <r>
      <t>726-02-01</t>
    </r>
    <r>
      <rPr>
        <b val="false"/>
        <color theme="1" tint="0"/>
        <sz val="11"/>
        <scheme val="minor"/>
      </rPr>
      <t xml:space="preserve"> B0 B1 B2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</si>
  <si>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</si>
  <si>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</si>
  <si>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B2</t>
    </r>
    <r>
      <rPr>
        <color theme="1" tint="0"/>
        <sz val="11"/>
        <scheme val="minor"/>
      </rPr>
      <t xml:space="preserve"> - CHECKSUM</t>
    </r>
  </si>
  <si>
    <t>02</t>
  </si>
  <si>
    <r>
      <rPr>
        <color theme="1" tint="0"/>
        <sz val="11"/>
        <scheme val="minor"/>
      </rPr>
      <t>Accessory Burglar Alarm: 0 - OFF / 1 - ON</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</si>
  <si>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</si>
  <si>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726G1G100000000002F</t>
  </si>
  <si>
    <r>
      <t>726-01-01</t>
    </r>
    <r>
      <rPr>
        <b val="false"/>
        <color theme="1" tint="0"/>
        <sz val="11"/>
        <scheme val="minor"/>
      </rPr>
      <t xml:space="preserve"> B0 B1 B2 B3 B4 B5 in HEX</t>
    </r>
  </si>
  <si>
    <t>B5</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</si>
  <si>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</si>
  <si>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</si>
  <si>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</si>
  <si>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</si>
  <si>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</si>
  <si>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</si>
  <si>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t>726G1G2000000000030</t>
  </si>
  <si>
    <t>726G1G30000000031</t>
  </si>
  <si>
    <t>Rain/Light Sensor Present</t>
  </si>
  <si>
    <r>
      <t xml:space="preserve">0 </t>
    </r>
    <r>
      <rPr>
        <b val="false"/>
        <color rgb="FF0000" tint="0"/>
        <sz val="11"/>
        <scheme val="minor"/>
      </rPr>
      <t>= Permanent value</t>
    </r>
  </si>
  <si>
    <r>
      <rPr>
        <b val="true"/>
        <color theme="1" tint="0"/>
        <sz val="11"/>
        <scheme val="minor"/>
      </rPr>
      <t xml:space="preserve">US / non US:
</t>
    </r>
    <r>
      <rPr>
        <color theme="1" tint="0"/>
        <sz val="11"/>
        <scheme val="minor"/>
      </rPr>
      <t xml:space="preserve">b7b6 - Value
</t>
    </r>
    <r>
      <rPr>
        <b val="true"/>
        <color theme="1" tint="0"/>
        <sz val="11"/>
        <scheme val="minor"/>
      </rPr>
      <t>00</t>
    </r>
    <r>
      <rPr>
        <color theme="1" tint="0"/>
        <sz val="11"/>
        <scheme val="minor"/>
      </rPr>
      <t xml:space="preserve"> - non US
</t>
    </r>
    <r>
      <rPr>
        <b val="true"/>
        <color theme="1" tint="0"/>
        <sz val="11"/>
        <scheme val="minor"/>
      </rPr>
      <t>11</t>
    </r>
    <r>
      <rPr>
        <color theme="1" tint="0"/>
        <sz val="11"/>
        <scheme val="minor"/>
      </rPr>
      <t xml:space="preserve"> - North America</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</si>
  <si>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</si>
  <si>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</si>
  <si>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</si>
  <si>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t>0=HALO/ALH; 1=ALS/AFLS/ALH</t>
  </si>
  <si>
    <t>726G2G10030</t>
  </si>
  <si>
    <r>
      <t xml:space="preserve">1 </t>
    </r>
    <r>
      <rPr>
        <b val="false"/>
        <color rgb="FF0000" tint="0"/>
        <sz val="11"/>
        <scheme val="minor"/>
      </rPr>
      <t>= Permanent value</t>
    </r>
  </si>
  <si>
    <r>
      <rPr>
        <b val="true"/>
        <color theme="1" tint="0"/>
        <sz val="11"/>
        <scheme val="minor"/>
      </rPr>
      <t xml:space="preserve">Mazda model
</t>
    </r>
    <r>
      <rPr>
        <i val="true"/>
        <color theme="1" tint="0"/>
        <sz val="10"/>
        <scheme val="minor"/>
      </rPr>
      <t xml:space="preserve">B2 (HEX) - Value:
</t>
    </r>
    <r>
      <rPr>
        <b val="true"/>
        <color theme="1" tint="0"/>
        <sz val="11"/>
        <scheme val="minor"/>
      </rPr>
      <t>01</t>
    </r>
    <r>
      <rPr>
        <color theme="1" tint="0"/>
        <sz val="11"/>
        <scheme val="minor"/>
      </rPr>
      <t xml:space="preserve"> - CX5KE;
</t>
    </r>
    <r>
      <rPr>
        <b val="true"/>
        <color theme="1" tint="0"/>
        <sz val="11"/>
        <scheme val="minor"/>
      </rPr>
      <t>09</t>
    </r>
    <r>
      <rPr>
        <b val="true"/>
        <color theme="1" tint="0"/>
        <sz val="11"/>
        <scheme val="minor"/>
      </rPr>
      <t xml:space="preserve"> </t>
    </r>
    <r>
      <rPr>
        <color theme="1" tint="0"/>
        <sz val="11"/>
        <scheme val="minor"/>
      </rPr>
      <t xml:space="preserve">- M6;
</t>
    </r>
    <r>
      <rPr>
        <b val="true"/>
        <color theme="1" tint="0"/>
        <sz val="11"/>
        <scheme val="minor"/>
      </rPr>
      <t xml:space="preserve">11 </t>
    </r>
    <r>
      <rPr>
        <color theme="1" tint="0"/>
        <sz val="11"/>
        <scheme val="minor"/>
      </rPr>
      <t xml:space="preserve">- CX9;
</t>
    </r>
    <r>
      <rPr>
        <b val="true"/>
        <color theme="1" tint="0"/>
        <sz val="11"/>
        <scheme val="minor"/>
      </rPr>
      <t xml:space="preserve">19 </t>
    </r>
    <r>
      <rPr>
        <color theme="1" tint="0"/>
        <sz val="11"/>
        <scheme val="minor"/>
      </rPr>
      <t xml:space="preserve">- M3;
</t>
    </r>
    <r>
      <rPr>
        <b val="true"/>
        <color theme="1" tint="0"/>
        <sz val="11"/>
        <scheme val="minor"/>
      </rPr>
      <t>21</t>
    </r>
    <r>
      <rPr>
        <color theme="1" tint="0"/>
        <sz val="11"/>
        <scheme val="minor"/>
      </rPr>
      <t xml:space="preserve"> - CX5KF, CX8;
</t>
    </r>
    <r>
      <rPr>
        <b val="true"/>
        <color theme="1" tint="0"/>
        <sz val="11"/>
        <scheme val="minor"/>
      </rPr>
      <t xml:space="preserve">29 </t>
    </r>
    <r>
      <rPr>
        <color theme="1" tint="0"/>
        <sz val="11"/>
        <scheme val="minor"/>
      </rPr>
      <t>- CX4</t>
    </r>
  </si>
  <si>
    <r>
      <t xml:space="preserve">1 </t>
    </r>
    <r>
      <rPr>
        <b val="false"/>
        <color rgb="FF0000" tint="0"/>
        <sz val="11"/>
        <scheme val="minor"/>
      </rPr>
      <t>= Permanent value</t>
    </r>
  </si>
  <si>
    <r>
      <t xml:space="preserve">0 </t>
    </r>
    <r>
      <rPr>
        <b val="false"/>
        <color rgb="FF0000" tint="0"/>
        <sz val="11"/>
        <scheme val="minor"/>
      </rPr>
      <t>= Permanent value</t>
    </r>
  </si>
  <si>
    <t>;Block 3</t>
  </si>
  <si>
    <t>1 - LED front+rear turn signal lights (Sedan only)</t>
  </si>
  <si>
    <t>726G3G10031</t>
  </si>
  <si>
    <t>1=M6 &amp; CX-4 only (except US)</t>
  </si>
  <si>
    <r>
      <t xml:space="preserve">0 </t>
    </r>
    <r>
      <rPr>
        <b val="false"/>
        <color rgb="FF0000" tint="0"/>
        <sz val="11"/>
        <scheme val="minor"/>
      </rPr>
      <t>= Permanent value</t>
    </r>
  </si>
  <si>
    <r>
      <t>Air Con.: 0</t>
    </r>
    <r>
      <rPr>
        <b val="false"/>
        <color theme="1" tint="0"/>
        <sz val="11"/>
        <scheme val="minor"/>
      </rPr>
      <t xml:space="preserve"> - Manual / </t>
    </r>
    <r>
      <rPr>
        <b val="true"/>
        <color theme="1" tint="0"/>
        <sz val="11"/>
        <scheme val="minor"/>
      </rPr>
      <t>1</t>
    </r>
    <r>
      <rPr>
        <b val="false"/>
        <color theme="1" tint="0"/>
        <sz val="11"/>
        <scheme val="minor"/>
      </rPr>
      <t xml:space="preserve"> - Full Auto</t>
    </r>
  </si>
  <si>
    <r>
      <t xml:space="preserve">1 </t>
    </r>
    <r>
      <rPr>
        <b val="false"/>
        <color rgb="FF0000" tint="0"/>
        <sz val="11"/>
        <scheme val="minor"/>
      </rPr>
      <t>= Permanent value</t>
    </r>
  </si>
  <si>
    <t>;Block 4</t>
  </si>
  <si>
    <r>
      <rPr>
        <b val="true"/>
        <color theme="1" tint="0"/>
        <sz val="11"/>
        <scheme val="minor"/>
      </rPr>
      <t>Daylight Running Light/Bambi</t>
    </r>
    <r>
      <rPr>
        <color theme="1" tint="0"/>
        <sz val="11"/>
        <scheme val="minor"/>
      </rPr>
      <t xml:space="preserve">:
</t>
    </r>
    <r>
      <rPr>
        <i val="true"/>
        <color theme="1" tint="0"/>
        <sz val="10"/>
        <scheme val="minor"/>
      </rPr>
      <t xml:space="preserve">b2b1 - Value:
</t>
    </r>
    <r>
      <rPr>
        <b val="true"/>
        <color theme="1" tint="0"/>
        <sz val="11"/>
        <scheme val="minor"/>
      </rPr>
      <t>00</t>
    </r>
    <r>
      <rPr>
        <color theme="1" tint="0"/>
        <sz val="11"/>
        <scheme val="minor"/>
      </rPr>
      <t xml:space="preserve"> - DRL + Bambi
</t>
    </r>
    <r>
      <rPr>
        <b val="true"/>
        <color theme="1" tint="0"/>
        <sz val="11"/>
        <scheme val="minor"/>
      </rPr>
      <t>01</t>
    </r>
    <r>
      <rPr>
        <color theme="1" tint="0"/>
        <sz val="11"/>
        <scheme val="minor"/>
      </rPr>
      <t xml:space="preserve"> - Bambi w/o DRL
</t>
    </r>
    <r>
      <rPr>
        <b val="true"/>
        <color theme="1" tint="0"/>
        <sz val="11"/>
        <scheme val="minor"/>
      </rPr>
      <t>10</t>
    </r>
    <r>
      <rPr>
        <color theme="1" tint="0"/>
        <sz val="11"/>
        <scheme val="minor"/>
      </rPr>
      <t xml:space="preserve"> - DRL w/o Bambi</t>
    </r>
  </si>
  <si>
    <r>
      <t xml:space="preserve">0 </t>
    </r>
    <r>
      <rPr>
        <b val="false"/>
        <color rgb="FF0000" tint="0"/>
        <sz val="11"/>
        <scheme val="minor"/>
      </rPr>
      <t>= Permanent value</t>
    </r>
  </si>
  <si>
    <r>
      <t>Headlight Washers: 0</t>
    </r>
    <r>
      <rPr>
        <b val="false"/>
        <color theme="1" tint="0"/>
        <sz val="11"/>
        <scheme val="minor"/>
      </rPr>
      <t xml:space="preserve"> - Not Present / </t>
    </r>
    <r>
      <rPr>
        <b val="true"/>
        <color theme="1" tint="0"/>
        <sz val="11"/>
        <scheme val="minor"/>
      </rPr>
      <t>1</t>
    </r>
    <r>
      <rPr>
        <b val="false"/>
        <color theme="1" tint="0"/>
        <sz val="11"/>
        <scheme val="minor"/>
      </rPr>
      <t xml:space="preserve"> - Present</t>
    </r>
  </si>
  <si>
    <r>
      <t xml:space="preserve">0 </t>
    </r>
    <r>
      <rPr>
        <b val="false"/>
        <color rgb="FF0000" tint="0"/>
        <sz val="11"/>
        <scheme val="minor"/>
      </rPr>
      <t>= Permanent value</t>
    </r>
  </si>
  <si>
    <t>726G4G10032</t>
  </si>
  <si>
    <r>
      <t xml:space="preserve">0 </t>
    </r>
    <r>
      <rPr>
        <b val="false"/>
        <color rgb="FF0000" tint="0"/>
        <sz val="11"/>
        <scheme val="minor"/>
      </rPr>
      <t>= Permanent value</t>
    </r>
  </si>
  <si>
    <r>
      <t xml:space="preserve">ESS: 0 </t>
    </r>
    <r>
      <rPr>
        <b val="false"/>
        <color theme="1" tint="0"/>
        <sz val="11"/>
        <scheme val="minor"/>
      </rPr>
      <t xml:space="preserve">- Disabled / </t>
    </r>
    <r>
      <rPr>
        <b val="true"/>
        <color theme="1" tint="0"/>
        <sz val="11"/>
        <scheme val="minor"/>
      </rPr>
      <t>1</t>
    </r>
    <r>
      <rPr>
        <b val="false"/>
        <color theme="1" tint="0"/>
        <sz val="11"/>
        <scheme val="minor"/>
      </rPr>
      <t xml:space="preserve"> - Enabled</t>
    </r>
  </si>
  <si>
    <r>
      <t xml:space="preserve">0 </t>
    </r>
    <r>
      <rPr>
        <b val="false"/>
        <color rgb="FF0000" tint="0"/>
        <sz val="11"/>
        <scheme val="minor"/>
      </rPr>
      <t>= Permanent value</t>
    </r>
  </si>
  <si>
    <t>;Block 5</t>
  </si>
  <si>
    <t>1 - Headlight Off Timer</t>
  </si>
  <si>
    <r>
      <t xml:space="preserve">1 </t>
    </r>
    <r>
      <rPr>
        <b val="false"/>
        <color rgb="FF0000" tint="0"/>
        <sz val="11"/>
        <scheme val="minor"/>
      </rPr>
      <t>= Permanent value</t>
    </r>
  </si>
  <si>
    <r>
      <t xml:space="preserve">0 </t>
    </r>
    <r>
      <rPr>
        <b val="false"/>
        <color rgb="FF0000" tint="0"/>
        <sz val="11"/>
        <scheme val="minor"/>
      </rPr>
      <t>= Permanent value</t>
    </r>
  </si>
  <si>
    <t>726G5G10033</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</si>
  <si>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</si>
  <si>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726-01-02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</si>
  <si>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</si>
  <si>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</si>
  <si>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</si>
  <si>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</si>
  <si>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</si>
  <si>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</si>
  <si>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</si>
  <si>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</si>
  <si>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</si>
  <si>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</si>
  <si>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</si>
  <si>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</si>
  <si>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</si>
  <si>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</si>
  <si>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</si>
  <si>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</si>
  <si>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</si>
  <si>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</si>
  <si>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</si>
  <si>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</si>
  <si>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</si>
  <si>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</si>
  <si>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</si>
  <si>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</si>
  <si>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</si>
  <si>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</si>
  <si>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</si>
  <si>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</si>
  <si>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</si>
  <si>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</si>
  <si>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</si>
  <si>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</si>
  <si>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</si>
  <si>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t>1 - LED front turn signal lights (HB/WGN only)</t>
  </si>
  <si>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</si>
  <si>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in HEX</t>
    </r>
  </si>
  <si>
    <r>
      <t>726-01-03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</si>
  <si>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</si>
  <si>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</si>
  <si>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</si>
  <si>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</si>
  <si>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theme="1" tint="0"/>
        <sz val="11"/>
        <scheme val="minor"/>
      </rPr>
      <t xml:space="preserve"> - CHECKSUM</t>
    </r>
  </si>
  <si>
    <t>03</t>
  </si>
  <si>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</si>
  <si>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</si>
  <si>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</si>
  <si>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</si>
  <si>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</si>
  <si>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</si>
  <si>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</si>
  <si>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</si>
  <si>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</si>
  <si>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</si>
  <si>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</si>
  <si>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</si>
  <si>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</si>
  <si>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</si>
  <si>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</si>
  <si>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</si>
  <si>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</si>
  <si>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</si>
  <si>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</si>
  <si>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</si>
  <si>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</si>
  <si>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</si>
  <si>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in HEX</t>
    </r>
  </si>
  <si>
    <r>
      <t>726-02-01</t>
    </r>
    <r>
      <rPr>
        <b val="false"/>
        <color theme="1" tint="0"/>
        <sz val="11"/>
        <scheme val="minor"/>
      </rPr>
      <t xml:space="preserve"> B0 B1 in HEX</t>
    </r>
  </si>
  <si>
    <r>
      <rPr>
        <color rgb="7030A0" tint="0"/>
        <sz val="11"/>
        <scheme val="minor"/>
      </rPr>
      <t xml:space="preserve">B0 </t>
    </r>
    <r>
      <rPr>
        <color theme="1" tint="0"/>
        <sz val="11"/>
        <scheme val="minor"/>
      </rPr>
      <t>in BIN (0 or 1):</t>
    </r>
  </si>
  <si>
    <r>
      <rPr>
        <color rgb="FF0000" tint="0"/>
        <sz val="11"/>
        <scheme val="minor"/>
      </rPr>
      <t>B1</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</si>
  <si>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in HEX</t>
    </r>
  </si>
  <si>
    <r>
      <t>726-03-01</t>
    </r>
    <r>
      <rPr>
        <b val="false"/>
        <color theme="1" tint="0"/>
        <sz val="11"/>
        <scheme val="minor"/>
      </rPr>
      <t xml:space="preserve"> B0 B1 in HEX</t>
    </r>
  </si>
  <si>
    <r>
      <rPr>
        <color rgb="7030A0" tint="0"/>
        <sz val="11"/>
        <scheme val="minor"/>
      </rPr>
      <t xml:space="preserve">B0 </t>
    </r>
    <r>
      <rPr>
        <color theme="1" tint="0"/>
        <sz val="11"/>
        <scheme val="minor"/>
      </rPr>
      <t>in BIN (0 or 1):</t>
    </r>
  </si>
  <si>
    <r>
      <rPr>
        <color rgb="FF0000" tint="0"/>
        <sz val="11"/>
        <scheme val="minor"/>
      </rPr>
      <t>B1</t>
    </r>
    <r>
      <rPr>
        <color rgb="92D050" tint="0"/>
        <sz val="11"/>
        <scheme val="minor"/>
      </rPr>
      <t xml:space="preserve"> </t>
    </r>
    <r>
      <rPr>
        <color theme="1" tint="0"/>
        <sz val="11"/>
        <scheme val="minor"/>
      </rPr>
      <t>-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</si>
  <si>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in HEX</t>
    </r>
  </si>
  <si>
    <r>
      <t>726-04-01</t>
    </r>
    <r>
      <rPr>
        <b val="false"/>
        <color theme="1" tint="0"/>
        <sz val="11"/>
        <scheme val="minor"/>
      </rPr>
      <t xml:space="preserve"> B0 B1 in HEX</t>
    </r>
  </si>
  <si>
    <r>
      <rPr>
        <color rgb="7030A0" tint="0"/>
        <sz val="11"/>
        <scheme val="minor"/>
      </rPr>
      <t xml:space="preserve">B0 </t>
    </r>
    <r>
      <rPr>
        <color theme="1" tint="0"/>
        <sz val="11"/>
        <scheme val="minor"/>
      </rPr>
      <t>in BIN (0 or 1):</t>
    </r>
  </si>
  <si>
    <r>
      <rPr>
        <color rgb="FF0000" tint="0"/>
        <sz val="11"/>
        <scheme val="minor"/>
      </rPr>
      <t>B1</t>
    </r>
    <r>
      <rPr>
        <color theme="1" tint="0"/>
        <sz val="11"/>
        <scheme val="minor"/>
      </rPr>
      <t xml:space="preserve"> - CHECKSUM</t>
    </r>
  </si>
  <si>
    <t>04</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</si>
  <si>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in HEX</t>
    </r>
  </si>
  <si>
    <r>
      <t>726-05-01</t>
    </r>
    <r>
      <rPr>
        <b val="false"/>
        <color theme="1" tint="0"/>
        <sz val="11"/>
        <scheme val="minor"/>
      </rPr>
      <t xml:space="preserve"> B0 B1 in HEX</t>
    </r>
  </si>
  <si>
    <r>
      <rPr>
        <color rgb="7030A0" tint="0"/>
        <sz val="11"/>
        <scheme val="minor"/>
      </rPr>
      <t xml:space="preserve">B0 </t>
    </r>
    <r>
      <rPr>
        <color theme="1" tint="0"/>
        <sz val="11"/>
        <scheme val="minor"/>
      </rPr>
      <t>in BIN (0 or 1):</t>
    </r>
  </si>
  <si>
    <r>
      <rPr>
        <color rgb="FF0000" tint="0"/>
        <sz val="11"/>
        <scheme val="minor"/>
      </rPr>
      <t>B1</t>
    </r>
    <r>
      <rPr>
        <color theme="1" tint="0"/>
        <sz val="11"/>
        <scheme val="minor"/>
      </rPr>
      <t xml:space="preserve"> - CHECKSUM</t>
    </r>
  </si>
  <si>
    <t>05</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</si>
  <si>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</si>
  <si>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706G1G10000000000F</t>
  </si>
  <si>
    <r>
      <t>706-01-01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</si>
  <si>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</si>
  <si>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</si>
  <si>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</si>
  <si>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</si>
  <si>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</si>
  <si>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</si>
  <si>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706G1G2000000000010</t>
  </si>
  <si>
    <t>06</t>
  </si>
  <si>
    <t>706G1G3000000000011</t>
  </si>
  <si>
    <r>
      <rPr>
        <b val="true"/>
        <color theme="1" tint="0"/>
        <sz val="11"/>
        <scheme val="minor"/>
      </rPr>
      <t>LDWS/LAS/HBC/ALH</t>
    </r>
    <r>
      <rPr>
        <color theme="1" tint="0"/>
        <sz val="11"/>
        <scheme val="minor"/>
      </rPr>
      <t xml:space="preserve">:
</t>
    </r>
    <r>
      <rPr>
        <i val="true"/>
        <color theme="1" tint="0"/>
        <sz val="10"/>
        <scheme val="minor"/>
      </rPr>
      <t xml:space="preserve">b7b6b5b4 - Value
</t>
    </r>
    <r>
      <rPr>
        <b val="true"/>
        <color theme="1" tint="0"/>
        <sz val="11"/>
        <scheme val="minor"/>
      </rPr>
      <t>0000</t>
    </r>
    <r>
      <rPr>
        <color theme="1" tint="0"/>
        <sz val="11"/>
        <scheme val="minor"/>
      </rPr>
      <t xml:space="preserve"> - ?
</t>
    </r>
    <r>
      <rPr>
        <b val="true"/>
        <color theme="1" tint="0"/>
        <sz val="11"/>
        <scheme val="minor"/>
      </rPr>
      <t>0001</t>
    </r>
    <r>
      <rPr>
        <color theme="1" tint="0"/>
        <sz val="11"/>
        <scheme val="minor"/>
      </rPr>
      <t xml:space="preserve"> - No LDWS/LAS/HBC/ALH
</t>
    </r>
    <r>
      <rPr>
        <b val="true"/>
        <color theme="1" tint="0"/>
        <sz val="11"/>
        <scheme val="minor"/>
      </rPr>
      <t>0010</t>
    </r>
    <r>
      <rPr>
        <color theme="1" tint="0"/>
        <sz val="11"/>
        <scheme val="minor"/>
      </rPr>
      <t xml:space="preserve"> - LDWS+HBC [FSC Gen 1]
</t>
    </r>
    <r>
      <rPr>
        <b val="true"/>
        <color theme="1" tint="0"/>
        <sz val="11"/>
        <scheme val="minor"/>
      </rPr>
      <t>0011</t>
    </r>
    <r>
      <rPr>
        <color theme="1" tint="0"/>
        <sz val="11"/>
        <scheme val="minor"/>
      </rPr>
      <t xml:space="preserve"> - HBC [?]
</t>
    </r>
    <r>
      <rPr>
        <b val="true"/>
        <color theme="1" tint="0"/>
        <sz val="11"/>
        <scheme val="minor"/>
      </rPr>
      <t>0100</t>
    </r>
    <r>
      <rPr>
        <color theme="1" tint="0"/>
        <sz val="11"/>
        <scheme val="minor"/>
      </rPr>
      <t xml:space="preserve"> - LDWS [FSC Gen 1]
</t>
    </r>
    <r>
      <rPr>
        <b val="true"/>
        <color theme="1" tint="0"/>
        <sz val="11"/>
        <scheme val="minor"/>
      </rPr>
      <t>0101</t>
    </r>
    <r>
      <rPr>
        <color theme="1" tint="0"/>
        <sz val="11"/>
        <scheme val="minor"/>
      </rPr>
      <t xml:space="preserve"> - LDWS+HBC [?]
</t>
    </r>
    <r>
      <rPr>
        <b val="true"/>
        <color theme="1" tint="0"/>
        <sz val="11"/>
        <scheme val="minor"/>
      </rPr>
      <t>0110</t>
    </r>
    <r>
      <rPr>
        <color theme="1" tint="0"/>
        <sz val="11"/>
        <scheme val="minor"/>
      </rPr>
      <t xml:space="preserve"> - ?
</t>
    </r>
    <r>
      <rPr>
        <b val="true"/>
        <color theme="1" tint="0"/>
        <sz val="11"/>
        <scheme val="minor"/>
      </rPr>
      <t>0111</t>
    </r>
    <r>
      <rPr>
        <color theme="1" tint="0"/>
        <sz val="11"/>
        <scheme val="minor"/>
      </rPr>
      <t xml:space="preserve"> - LDWS [?]
</t>
    </r>
    <r>
      <rPr>
        <b val="true"/>
        <color theme="1" tint="0"/>
        <sz val="11"/>
        <scheme val="minor"/>
      </rPr>
      <t>1000</t>
    </r>
    <r>
      <rPr>
        <color theme="1" tint="0"/>
        <sz val="11"/>
        <scheme val="minor"/>
      </rPr>
      <t xml:space="preserve"> - HBC [?]
</t>
    </r>
    <r>
      <rPr>
        <b val="true"/>
        <color theme="1" tint="0"/>
        <sz val="11"/>
        <scheme val="minor"/>
      </rPr>
      <t>1001</t>
    </r>
    <r>
      <rPr>
        <color theme="1" tint="0"/>
        <sz val="11"/>
        <scheme val="minor"/>
      </rPr>
      <t xml:space="preserve"> - LDWS+HBC [FSC Gen 2]
</t>
    </r>
    <r>
      <rPr>
        <b val="true"/>
        <color theme="1" tint="0"/>
        <sz val="11"/>
        <scheme val="minor"/>
      </rPr>
      <t>1010</t>
    </r>
    <r>
      <rPr>
        <color theme="1" tint="0"/>
        <sz val="11"/>
        <scheme val="minor"/>
      </rPr>
      <t xml:space="preserve"> - LDWS+ALH [FSC Gen 1/2]
</t>
    </r>
    <r>
      <rPr>
        <b val="true"/>
        <color theme="1" tint="0"/>
        <sz val="11"/>
        <scheme val="minor"/>
      </rPr>
      <t>1011</t>
    </r>
    <r>
      <rPr>
        <color theme="1" tint="0"/>
        <sz val="11"/>
        <scheme val="minor"/>
      </rPr>
      <t xml:space="preserve"> - LAS+ALH [FSC Gen 1/2]
</t>
    </r>
    <r>
      <rPr>
        <b val="true"/>
        <color theme="1" tint="0"/>
        <sz val="11"/>
        <scheme val="minor"/>
      </rPr>
      <t>1100</t>
    </r>
    <r>
      <rPr>
        <color theme="1" tint="0"/>
        <sz val="11"/>
        <scheme val="minor"/>
      </rPr>
      <t xml:space="preserve"> - LAS+HBC [FSC Gen 1/2]
</t>
    </r>
    <r>
      <rPr>
        <b val="true"/>
        <color theme="1" tint="0"/>
        <sz val="11"/>
        <scheme val="minor"/>
      </rPr>
      <t>1101</t>
    </r>
    <r>
      <rPr>
        <color theme="1" tint="0"/>
        <sz val="11"/>
        <scheme val="minor"/>
      </rPr>
      <t xml:space="preserve"> - LAS [FSC Gen 2]
</t>
    </r>
    <r>
      <rPr>
        <b val="true"/>
        <color theme="1" tint="0"/>
        <sz val="11"/>
        <scheme val="minor"/>
      </rPr>
      <t>1110</t>
    </r>
    <r>
      <rPr>
        <color theme="1" tint="0"/>
        <sz val="11"/>
        <scheme val="minor"/>
      </rPr>
      <t xml:space="preserve"> - ?
</t>
    </r>
    <r>
      <rPr>
        <b val="true"/>
        <color theme="1" tint="0"/>
        <sz val="11"/>
        <scheme val="minor"/>
      </rPr>
      <t>1111</t>
    </r>
    <r>
      <rPr>
        <color theme="1" tint="0"/>
        <sz val="11"/>
        <scheme val="minor"/>
      </rPr>
      <t xml:space="preserve"> - ?</t>
    </r>
  </si>
  <si>
    <r>
      <t xml:space="preserve">0 </t>
    </r>
    <r>
      <rPr>
        <b val="false"/>
        <color rgb="FF0000" tint="0"/>
        <sz val="11"/>
        <scheme val="minor"/>
      </rPr>
      <t>= Permanent value</t>
    </r>
  </si>
  <si>
    <r>
      <rPr>
        <b val="true"/>
        <color theme="1" tint="0"/>
        <sz val="11"/>
        <scheme val="minor"/>
      </rPr>
      <t xml:space="preserve">RHD/LHD:
</t>
    </r>
    <r>
      <rPr>
        <i val="true"/>
        <color theme="1" tint="0"/>
        <sz val="10"/>
        <scheme val="minor"/>
      </rPr>
      <t xml:space="preserve">b7b6 - Value
</t>
    </r>
    <r>
      <rPr>
        <b val="true"/>
        <color theme="1" tint="0"/>
        <sz val="11"/>
        <scheme val="minor"/>
      </rPr>
      <t>01</t>
    </r>
    <r>
      <rPr>
        <color theme="1" tint="0"/>
        <sz val="11"/>
        <scheme val="minor"/>
      </rPr>
      <t xml:space="preserve"> - LHD
</t>
    </r>
    <r>
      <rPr>
        <b val="true"/>
        <color theme="1" tint="0"/>
        <sz val="11"/>
        <scheme val="minor"/>
      </rPr>
      <t>10</t>
    </r>
    <r>
      <rPr>
        <color theme="1" tint="0"/>
        <sz val="11"/>
        <scheme val="minor"/>
      </rPr>
      <t xml:space="preserve"> - RHD</t>
    </r>
  </si>
  <si>
    <r>
      <rPr>
        <b val="true"/>
        <color theme="1" tint="0"/>
        <sz val="11"/>
        <scheme val="minor"/>
      </rPr>
      <t xml:space="preserve">Market area
</t>
    </r>
    <r>
      <rPr>
        <i val="true"/>
        <color theme="1" tint="0"/>
        <sz val="10"/>
        <scheme val="minor"/>
      </rPr>
      <t xml:space="preserve">b7b6b5b4 - Value
</t>
    </r>
    <r>
      <rPr>
        <b val="true"/>
        <color theme="1" tint="0"/>
        <sz val="11"/>
        <scheme val="minor"/>
      </rPr>
      <t>0001</t>
    </r>
    <r>
      <rPr>
        <color theme="1" tint="0"/>
        <sz val="11"/>
        <scheme val="minor"/>
      </rPr>
      <t xml:space="preserve"> - JP (RHD)
</t>
    </r>
    <r>
      <rPr>
        <b val="true"/>
        <color theme="1" tint="0"/>
        <sz val="11"/>
        <scheme val="minor"/>
      </rPr>
      <t>0010</t>
    </r>
    <r>
      <rPr>
        <color theme="1" tint="0"/>
        <sz val="11"/>
        <scheme val="minor"/>
      </rPr>
      <t xml:space="preserve"> - US/Can (LHD)
</t>
    </r>
    <r>
      <rPr>
        <b val="true"/>
        <color theme="1" tint="0"/>
        <sz val="11"/>
        <scheme val="minor"/>
      </rPr>
      <t>0011</t>
    </r>
    <r>
      <rPr>
        <color theme="1" tint="0"/>
        <sz val="11"/>
        <scheme val="minor"/>
      </rPr>
      <t xml:space="preserve"> - EU (LHD)
</t>
    </r>
    <r>
      <rPr>
        <b val="true"/>
        <color theme="1" tint="0"/>
        <sz val="11"/>
        <scheme val="minor"/>
      </rPr>
      <t>0100</t>
    </r>
    <r>
      <rPr>
        <color theme="1" tint="0"/>
        <sz val="11"/>
        <scheme val="minor"/>
      </rPr>
      <t xml:space="preserve"> - ?
</t>
    </r>
    <r>
      <rPr>
        <b val="true"/>
        <color theme="1" tint="0"/>
        <sz val="11"/>
        <scheme val="minor"/>
      </rPr>
      <t>0101</t>
    </r>
    <r>
      <rPr>
        <color theme="1" tint="0"/>
        <sz val="11"/>
        <scheme val="minor"/>
      </rPr>
      <t xml:space="preserve"> - AUS (RHD)
</t>
    </r>
    <r>
      <rPr>
        <b val="true"/>
        <color theme="1" tint="0"/>
        <sz val="11"/>
        <scheme val="minor"/>
      </rPr>
      <t>0110</t>
    </r>
    <r>
      <rPr>
        <color theme="1" tint="0"/>
        <sz val="11"/>
        <scheme val="minor"/>
      </rPr>
      <t xml:space="preserve"> - Asia (RHD)
</t>
    </r>
    <r>
      <rPr>
        <b val="true"/>
        <color theme="1" tint="0"/>
        <sz val="11"/>
        <scheme val="minor"/>
      </rPr>
      <t xml:space="preserve">0111 </t>
    </r>
    <r>
      <rPr>
        <color theme="1" tint="0"/>
        <sz val="11"/>
        <scheme val="minor"/>
      </rPr>
      <t xml:space="preserve">- Asia (LHD)
</t>
    </r>
    <r>
      <rPr>
        <b val="true"/>
        <color theme="1" tint="0"/>
        <sz val="11"/>
        <scheme val="minor"/>
      </rPr>
      <t>1000</t>
    </r>
    <r>
      <rPr>
        <color theme="1" tint="0"/>
        <sz val="11"/>
        <scheme val="minor"/>
      </rPr>
      <t xml:space="preserve"> - China (LHD)</t>
    </r>
  </si>
  <si>
    <r>
      <t xml:space="preserve">0 </t>
    </r>
    <r>
      <rPr>
        <b val="false"/>
        <color rgb="FF0000" tint="0"/>
        <sz val="11"/>
        <scheme val="minor"/>
      </rPr>
      <t>= Permanent value</t>
    </r>
  </si>
  <si>
    <t>706G1G4000012</t>
  </si>
  <si>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</si>
  <si>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</si>
  <si>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Body type:
</t>
    </r>
    <r>
      <rPr>
        <i val="true"/>
        <color theme="1" tint="0"/>
        <sz val="10"/>
        <scheme val="minor"/>
      </rPr>
      <t xml:space="preserve">b5b4 - Value
</t>
    </r>
    <r>
      <rPr>
        <b val="true"/>
        <color theme="1" tint="0"/>
        <sz val="11"/>
        <scheme val="minor"/>
      </rPr>
      <t>01</t>
    </r>
    <r>
      <rPr>
        <color theme="1" tint="0"/>
        <sz val="11"/>
        <scheme val="minor"/>
      </rPr>
      <t xml:space="preserve"> - Sedan
</t>
    </r>
    <r>
      <rPr>
        <b val="true"/>
        <color theme="1" tint="0"/>
        <sz val="11"/>
        <scheme val="minor"/>
      </rPr>
      <t>10</t>
    </r>
    <r>
      <rPr>
        <color theme="1" tint="0"/>
        <sz val="11"/>
        <scheme val="minor"/>
      </rPr>
      <t xml:space="preserve"> - Wagon
</t>
    </r>
    <r>
      <rPr>
        <b val="true"/>
        <color theme="1" tint="0"/>
        <sz val="11"/>
        <scheme val="minor"/>
      </rPr>
      <t>11</t>
    </r>
    <r>
      <rPr>
        <color theme="1" tint="0"/>
        <sz val="11"/>
        <scheme val="minor"/>
      </rPr>
      <t xml:space="preserve"> - Hatchback</t>
    </r>
  </si>
  <si>
    <r>
      <rPr>
        <b val="true"/>
        <color theme="1" tint="0"/>
        <sz val="11"/>
        <scheme val="minor"/>
      </rPr>
      <t xml:space="preserve">4WD:
</t>
    </r>
    <r>
      <rPr>
        <i val="true"/>
        <color theme="1" tint="0"/>
        <sz val="10"/>
        <scheme val="minor"/>
      </rPr>
      <t xml:space="preserve">b5b4 - Value
</t>
    </r>
    <r>
      <rPr>
        <b val="true"/>
        <color theme="1" tint="0"/>
        <sz val="11"/>
        <scheme val="minor"/>
      </rPr>
      <t>01</t>
    </r>
    <r>
      <rPr>
        <color theme="1" tint="0"/>
        <sz val="11"/>
        <scheme val="minor"/>
      </rPr>
      <t xml:space="preserve"> - all cars w/o 4WD
</t>
    </r>
    <r>
      <rPr>
        <b val="true"/>
        <color theme="1" tint="0"/>
        <sz val="11"/>
        <scheme val="minor"/>
      </rPr>
      <t>10</t>
    </r>
    <r>
      <rPr>
        <color theme="1" tint="0"/>
        <sz val="11"/>
        <scheme val="minor"/>
      </rPr>
      <t xml:space="preserve"> - 4WD</t>
    </r>
    <r>
      <rPr>
        <b val="true"/>
        <color theme="1" tint="0"/>
        <sz val="11"/>
        <scheme val="minor"/>
      </rPr>
      <t xml:space="preserve"> </t>
    </r>
    <r>
      <rPr>
        <color theme="1" tint="0"/>
        <sz val="11"/>
        <scheme val="minor"/>
      </rPr>
      <t>(only CX5-EU, CX5-JP, M6-JP w/o RVM)</t>
    </r>
  </si>
  <si>
    <r>
      <t xml:space="preserve">0 </t>
    </r>
    <r>
      <rPr>
        <b val="false"/>
        <color rgb="FF0000" tint="0"/>
        <sz val="11"/>
        <scheme val="minor"/>
      </rPr>
      <t>= Permanent value</t>
    </r>
  </si>
  <si>
    <t>706G2G1000000000010</t>
  </si>
  <si>
    <r>
      <t xml:space="preserve">0 </t>
    </r>
    <r>
      <rPr>
        <b val="false"/>
        <color rgb="FF0000" tint="0"/>
        <sz val="11"/>
        <scheme val="minor"/>
      </rPr>
      <t>= Permanent value</t>
    </r>
  </si>
  <si>
    <t>706G2G2000000000011</t>
  </si>
  <si>
    <r>
      <rPr>
        <b val="true"/>
        <color theme="1" tint="0"/>
        <sz val="11"/>
        <scheme val="minor"/>
      </rPr>
      <t>Car model</t>
    </r>
    <r>
      <rPr>
        <color theme="1" tint="0"/>
        <sz val="11"/>
        <scheme val="minor"/>
      </rPr>
      <t xml:space="preserve">:
</t>
    </r>
    <r>
      <rPr>
        <i val="true"/>
        <color theme="1" tint="0"/>
        <sz val="10"/>
        <scheme val="minor"/>
      </rPr>
      <t xml:space="preserve">b3b2b1b0 - Value
</t>
    </r>
    <r>
      <rPr>
        <b val="true"/>
        <color theme="1" tint="0"/>
        <sz val="11"/>
        <scheme val="minor"/>
      </rPr>
      <t>0001</t>
    </r>
    <r>
      <rPr>
        <color theme="1" tint="0"/>
        <sz val="11"/>
        <scheme val="minor"/>
      </rPr>
      <t xml:space="preserve"> - CX-5
</t>
    </r>
    <r>
      <rPr>
        <b val="true"/>
        <color theme="1" tint="0"/>
        <sz val="11"/>
        <scheme val="minor"/>
      </rPr>
      <t>0010</t>
    </r>
    <r>
      <rPr>
        <color theme="1" tint="0"/>
        <sz val="11"/>
        <scheme val="minor"/>
      </rPr>
      <t xml:space="preserve"> - M6
</t>
    </r>
    <r>
      <rPr>
        <b val="true"/>
        <color theme="1" tint="0"/>
        <sz val="11"/>
        <scheme val="minor"/>
      </rPr>
      <t>0011</t>
    </r>
    <r>
      <rPr>
        <color theme="1" tint="0"/>
        <sz val="11"/>
        <scheme val="minor"/>
      </rPr>
      <t xml:space="preserve"> - M3
</t>
    </r>
    <r>
      <rPr>
        <b val="true"/>
        <color theme="1" tint="0"/>
        <sz val="11"/>
        <scheme val="minor"/>
      </rPr>
      <t>0101</t>
    </r>
    <r>
      <rPr>
        <color theme="1" tint="0"/>
        <sz val="11"/>
        <scheme val="minor"/>
      </rPr>
      <t xml:space="preserve"> - M2
</t>
    </r>
    <r>
      <rPr>
        <b val="true"/>
        <color theme="1" tint="0"/>
        <sz val="11"/>
        <scheme val="minor"/>
      </rPr>
      <t>0110</t>
    </r>
    <r>
      <rPr>
        <color theme="1" tint="0"/>
        <sz val="11"/>
        <scheme val="minor"/>
      </rPr>
      <t xml:space="preserve"> - MX-5
</t>
    </r>
    <r>
      <rPr>
        <b val="true"/>
        <color theme="1" tint="0"/>
        <sz val="11"/>
        <scheme val="minor"/>
      </rPr>
      <t>0111</t>
    </r>
    <r>
      <rPr>
        <color theme="1" tint="0"/>
        <sz val="11"/>
        <scheme val="minor"/>
      </rPr>
      <t xml:space="preserve"> - CX-9</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</si>
  <si>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</si>
  <si>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</si>
  <si>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</si>
  <si>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</si>
  <si>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706G2G3000012</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</si>
  <si>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</si>
  <si>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</si>
  <si>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</si>
  <si>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</si>
  <si>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</si>
  <si>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SBS</t>
    </r>
    <r>
      <rPr>
        <color theme="1" tint="0"/>
        <sz val="11"/>
        <scheme val="minor"/>
      </rPr>
      <t xml:space="preserve">:
</t>
    </r>
    <r>
      <rPr>
        <i val="true"/>
        <color theme="1" tint="0"/>
        <sz val="10"/>
        <scheme val="minor"/>
      </rPr>
      <t xml:space="preserve">b1b0 - Value
</t>
    </r>
    <r>
      <rPr>
        <b val="true"/>
        <color theme="1" tint="0"/>
        <sz val="11"/>
        <scheme val="minor"/>
      </rPr>
      <t>01</t>
    </r>
    <r>
      <rPr>
        <color theme="1" tint="0"/>
        <sz val="11"/>
        <scheme val="minor"/>
      </rPr>
      <t xml:space="preserve"> - no SBS
</t>
    </r>
    <r>
      <rPr>
        <b val="true"/>
        <color theme="1" tint="0"/>
        <sz val="11"/>
        <scheme val="minor"/>
      </rPr>
      <t>10</t>
    </r>
    <r>
      <rPr>
        <color theme="1" tint="0"/>
        <sz val="11"/>
        <scheme val="minor"/>
      </rPr>
      <t xml:space="preserve"> - SBS</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</si>
  <si>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</si>
  <si>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</si>
  <si>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</si>
  <si>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</si>
  <si>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</si>
  <si>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</si>
  <si>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706-01-02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</si>
  <si>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</si>
  <si>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</si>
  <si>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</si>
  <si>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</si>
  <si>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</si>
  <si>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</si>
  <si>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b val="true"/>
        <color theme="1" tint="0"/>
        <sz val="11"/>
        <scheme val="minor"/>
      </rPr>
      <t>Default Safety - LDWS - Timing</t>
    </r>
    <r>
      <rPr>
        <color theme="1" tint="0"/>
        <sz val="11"/>
        <scheme val="minor"/>
      </rPr>
      <t xml:space="preserve">:
</t>
    </r>
    <r>
      <rPr>
        <i val="true"/>
        <color theme="1" tint="0"/>
        <sz val="10"/>
        <scheme val="minor"/>
      </rPr>
      <t xml:space="preserve">b7b6b5 - Value
</t>
    </r>
    <r>
      <rPr>
        <b val="true"/>
        <color theme="1" tint="0"/>
        <sz val="11"/>
        <scheme val="minor"/>
      </rPr>
      <t>001</t>
    </r>
    <r>
      <rPr>
        <color theme="1" tint="0"/>
        <sz val="11"/>
        <scheme val="minor"/>
      </rPr>
      <t xml:space="preserve"> - Adaptive
</t>
    </r>
    <r>
      <rPr>
        <b val="true"/>
        <color theme="1" tint="0"/>
        <sz val="11"/>
        <scheme val="minor"/>
      </rPr>
      <t>010</t>
    </r>
    <r>
      <rPr>
        <color theme="1" tint="0"/>
        <sz val="11"/>
        <scheme val="minor"/>
      </rPr>
      <t xml:space="preserve"> - Early
</t>
    </r>
    <r>
      <rPr>
        <b val="true"/>
        <color theme="1" tint="0"/>
        <sz val="11"/>
        <scheme val="minor"/>
      </rPr>
      <t>011</t>
    </r>
    <r>
      <rPr>
        <color theme="1" tint="0"/>
        <sz val="11"/>
        <scheme val="minor"/>
      </rPr>
      <t xml:space="preserve"> - Medium
</t>
    </r>
    <r>
      <rPr>
        <b val="true"/>
        <color theme="1" tint="0"/>
        <sz val="11"/>
        <scheme val="minor"/>
      </rPr>
      <t>100</t>
    </r>
    <r>
      <rPr>
        <color theme="1" tint="0"/>
        <sz val="11"/>
        <scheme val="minor"/>
      </rPr>
      <t xml:space="preserve"> - Late
</t>
    </r>
    <r>
      <rPr>
        <b val="true"/>
        <color theme="1" tint="0"/>
        <sz val="11"/>
        <scheme val="minor"/>
      </rPr>
      <t>LAS - Intervention Timing</t>
    </r>
    <r>
      <rPr>
        <color theme="1" tint="0"/>
        <sz val="11"/>
        <scheme val="minor"/>
      </rPr>
      <t xml:space="preserve">:
</t>
    </r>
    <r>
      <rPr>
        <i val="true"/>
        <color theme="1" tint="0"/>
        <sz val="10"/>
        <scheme val="minor"/>
      </rPr>
      <t xml:space="preserve">b7b6b5 - Value
</t>
    </r>
    <r>
      <rPr>
        <b val="true"/>
        <color theme="1" tint="0"/>
        <sz val="11"/>
        <scheme val="minor"/>
      </rPr>
      <t>000</t>
    </r>
    <r>
      <rPr>
        <color theme="1" tint="0"/>
        <sz val="11"/>
        <scheme val="minor"/>
      </rPr>
      <t xml:space="preserve"> - Late
</t>
    </r>
    <r>
      <rPr>
        <b val="true"/>
        <color theme="1" tint="0"/>
        <sz val="11"/>
        <scheme val="minor"/>
      </rPr>
      <t>010</t>
    </r>
    <r>
      <rPr>
        <color theme="1" tint="0"/>
        <sz val="11"/>
        <scheme val="minor"/>
      </rPr>
      <t xml:space="preserve"> - Early</t>
    </r>
  </si>
  <si>
    <r>
      <rPr>
        <b val="true"/>
        <color theme="1" tint="0"/>
        <sz val="11"/>
        <scheme val="minor"/>
      </rPr>
      <t>HBC</t>
    </r>
    <r>
      <rPr>
        <color theme="1" tint="0"/>
        <sz val="11"/>
        <scheme val="minor"/>
      </rPr>
      <t xml:space="preserve"> (Default Setting):
</t>
    </r>
    <r>
      <rPr>
        <i val="true"/>
        <color theme="1" tint="0"/>
        <sz val="10"/>
        <scheme val="minor"/>
      </rPr>
      <t xml:space="preserve">b7b6 - Value
</t>
    </r>
    <r>
      <rPr>
        <b val="true"/>
        <color theme="1" tint="0"/>
        <sz val="11"/>
        <scheme val="minor"/>
      </rPr>
      <t>10</t>
    </r>
    <r>
      <rPr>
        <color theme="1" tint="0"/>
        <sz val="11"/>
        <scheme val="minor"/>
      </rPr>
      <t xml:space="preserve"> - On
</t>
    </r>
    <r>
      <rPr>
        <b val="true"/>
        <color theme="1" tint="0"/>
        <sz val="11"/>
        <scheme val="minor"/>
      </rPr>
      <t>01</t>
    </r>
    <r>
      <rPr>
        <color theme="1" tint="0"/>
        <sz val="11"/>
        <scheme val="minor"/>
      </rPr>
      <t xml:space="preserve"> - Off</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</si>
  <si>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</si>
  <si>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</si>
  <si>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</si>
  <si>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</si>
  <si>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</si>
  <si>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LDWS on</t>
    </r>
    <r>
      <rPr>
        <color theme="1" tint="0"/>
        <sz val="11"/>
        <scheme val="minor"/>
      </rPr>
      <t xml:space="preserve"> (always 1)</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</si>
  <si>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</si>
  <si>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</si>
  <si>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</si>
  <si>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LAS Intervention</t>
    </r>
    <r>
      <rPr>
        <color theme="1" tint="0"/>
        <sz val="11"/>
        <scheme val="minor"/>
      </rPr>
      <t xml:space="preserve">: </t>
    </r>
    <r>
      <rPr>
        <b val="true"/>
        <color theme="1" tint="0"/>
        <sz val="11"/>
        <scheme val="minor"/>
      </rPr>
      <t>0</t>
    </r>
    <r>
      <rPr>
        <color theme="1" tint="0"/>
        <sz val="11"/>
        <scheme val="minor"/>
      </rPr>
      <t xml:space="preserve"> - Off / </t>
    </r>
    <r>
      <rPr>
        <b val="true"/>
        <color theme="1" tint="0"/>
        <sz val="11"/>
        <scheme val="minor"/>
      </rPr>
      <t>1</t>
    </r>
    <r>
      <rPr>
        <color theme="1" tint="0"/>
        <sz val="11"/>
        <scheme val="minor"/>
      </rPr>
      <t xml:space="preserve"> - On</t>
    </r>
  </si>
  <si>
    <r>
      <rPr>
        <b val="true"/>
        <color theme="1" tint="0"/>
        <sz val="11"/>
        <scheme val="minor"/>
      </rPr>
      <t>Default Safety - LDWS - Warning</t>
    </r>
    <r>
      <rPr>
        <color theme="1" tint="0"/>
        <sz val="11"/>
        <scheme val="minor"/>
      </rPr>
      <t xml:space="preserve">:
</t>
    </r>
    <r>
      <rPr>
        <i val="true"/>
        <color theme="1" tint="0"/>
        <sz val="10"/>
        <scheme val="minor"/>
      </rPr>
      <t xml:space="preserve">b4b3b2 - Value
</t>
    </r>
    <r>
      <rPr>
        <b val="true"/>
        <color theme="1" tint="0"/>
        <sz val="11"/>
        <scheme val="minor"/>
      </rPr>
      <t>000</t>
    </r>
    <r>
      <rPr>
        <color theme="1" tint="0"/>
        <sz val="11"/>
        <scheme val="minor"/>
      </rPr>
      <t xml:space="preserve"> - Often
</t>
    </r>
    <r>
      <rPr>
        <b val="true"/>
        <color theme="1" tint="0"/>
        <sz val="11"/>
        <scheme val="minor"/>
      </rPr>
      <t>010</t>
    </r>
    <r>
      <rPr>
        <color theme="1" tint="0"/>
        <sz val="11"/>
        <scheme val="minor"/>
      </rPr>
      <t xml:space="preserve"> - Med
</t>
    </r>
    <r>
      <rPr>
        <b val="true"/>
        <color theme="1" tint="0"/>
        <sz val="11"/>
        <scheme val="minor"/>
      </rPr>
      <t>100</t>
    </r>
    <r>
      <rPr>
        <color theme="1" tint="0"/>
        <sz val="11"/>
        <scheme val="minor"/>
      </rPr>
      <t xml:space="preserve"> - Rare
</t>
    </r>
    <r>
      <rPr>
        <b val="true"/>
        <color theme="1" tint="0"/>
        <sz val="11"/>
        <scheme val="minor"/>
      </rPr>
      <t>LAS - Sensitivity</t>
    </r>
    <r>
      <rPr>
        <color theme="1" tint="0"/>
        <sz val="11"/>
        <scheme val="minor"/>
      </rPr>
      <t xml:space="preserve">:
</t>
    </r>
    <r>
      <rPr>
        <i val="true"/>
        <color theme="1" tint="0"/>
        <sz val="10"/>
        <scheme val="minor"/>
      </rPr>
      <t xml:space="preserve">b4b3b2 - Value
</t>
    </r>
    <r>
      <rPr>
        <b val="true"/>
        <color theme="1" tint="0"/>
        <sz val="11"/>
        <scheme val="minor"/>
      </rPr>
      <t>001</t>
    </r>
    <r>
      <rPr>
        <color theme="1" tint="0"/>
        <sz val="11"/>
        <scheme val="minor"/>
      </rPr>
      <t xml:space="preserve"> - High
</t>
    </r>
    <r>
      <rPr>
        <b val="true"/>
        <color theme="1" tint="0"/>
        <sz val="11"/>
        <scheme val="minor"/>
      </rPr>
      <t>011</t>
    </r>
    <r>
      <rPr>
        <color theme="1" tint="0"/>
        <sz val="11"/>
        <scheme val="minor"/>
      </rPr>
      <t xml:space="preserve"> - Med
</t>
    </r>
    <r>
      <rPr>
        <b val="true"/>
        <color theme="1" tint="0"/>
        <sz val="11"/>
        <scheme val="minor"/>
      </rPr>
      <t>100</t>
    </r>
    <r>
      <rPr>
        <color theme="1" tint="0"/>
        <sz val="11"/>
        <scheme val="minor"/>
      </rPr>
      <t xml:space="preserve"> - Low</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</si>
  <si>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</si>
  <si>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</si>
  <si>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</si>
  <si>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LDWS on/off when LAS on</t>
    </r>
    <r>
      <rPr>
        <color theme="1" tint="0"/>
        <sz val="11"/>
        <scheme val="minor"/>
      </rPr>
      <t xml:space="preserve">:
</t>
    </r>
    <r>
      <rPr>
        <color theme="1" tint="0"/>
        <sz val="11"/>
        <scheme val="minor"/>
      </rPr>
      <t xml:space="preserve">01 - Off
</t>
    </r>
    <r>
      <rPr>
        <color theme="1" tint="0"/>
        <sz val="11"/>
        <scheme val="minor"/>
      </rPr>
      <t>10 - On</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</si>
  <si>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</si>
  <si>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</si>
  <si>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</si>
  <si>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</si>
  <si>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</si>
  <si>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</si>
  <si>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</si>
  <si>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</si>
  <si>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HBC</t>
    </r>
    <r>
      <rPr>
        <color theme="1" tint="0"/>
        <sz val="11"/>
        <scheme val="minor"/>
      </rPr>
      <t xml:space="preserve"> (if b7=1)
</t>
    </r>
    <r>
      <rPr>
        <i val="true"/>
        <color theme="1" tint="0"/>
        <sz val="10"/>
        <scheme val="minor"/>
      </rPr>
      <t xml:space="preserve">b1b0 - Value:
</t>
    </r>
    <r>
      <rPr>
        <b val="true"/>
        <color theme="1" tint="0"/>
        <sz val="11"/>
        <scheme val="minor"/>
      </rPr>
      <t>10</t>
    </r>
    <r>
      <rPr>
        <color theme="1" tint="0"/>
        <sz val="11"/>
        <scheme val="minor"/>
      </rPr>
      <t xml:space="preserve"> = (JPN only) + (CX5KE-LHD)
</t>
    </r>
    <r>
      <rPr>
        <b val="true"/>
        <color theme="1" tint="0"/>
        <sz val="11"/>
        <scheme val="minor"/>
      </rPr>
      <t>01</t>
    </r>
    <r>
      <rPr>
        <color theme="1" tint="0"/>
        <sz val="11"/>
        <scheme val="minor"/>
      </rPr>
      <t xml:space="preserve"> = LHD + AUS/ASIA + CX5KE-RHD (except AUS)</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</si>
  <si>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</si>
  <si>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</si>
  <si>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</si>
  <si>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</si>
  <si>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</si>
  <si>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</si>
  <si>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</si>
  <si>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706-01-03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</si>
  <si>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</si>
  <si>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</si>
  <si>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</si>
  <si>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</si>
  <si>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</si>
  <si>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</si>
  <si>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</si>
  <si>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</si>
  <si>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</si>
  <si>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</si>
  <si>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</si>
  <si>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</si>
  <si>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</si>
  <si>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</si>
  <si>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</si>
  <si>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</si>
  <si>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</si>
  <si>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</si>
  <si>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</si>
  <si>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</si>
  <si>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</si>
  <si>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</si>
  <si>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</si>
  <si>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</si>
  <si>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</si>
  <si>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</si>
  <si>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</si>
  <si>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</si>
  <si>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</si>
  <si>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</si>
  <si>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</si>
  <si>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</si>
  <si>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</si>
  <si>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</si>
  <si>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</si>
  <si>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</si>
  <si>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</si>
  <si>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</si>
  <si>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</si>
  <si>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</si>
  <si>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</si>
  <si>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</si>
  <si>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</si>
  <si>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</si>
  <si>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</si>
  <si>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</si>
  <si>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in HEX</t>
    </r>
  </si>
  <si>
    <r>
      <t>706-01-04</t>
    </r>
    <r>
      <rPr>
        <b val="false"/>
        <color theme="1" tint="0"/>
        <sz val="11"/>
        <scheme val="minor"/>
      </rPr>
      <t xml:space="preserve"> B0 B1 B2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</si>
  <si>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</si>
  <si>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</si>
  <si>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B2</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</si>
  <si>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</si>
  <si>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</si>
  <si>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</si>
  <si>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</si>
  <si>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</si>
  <si>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</si>
  <si>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</si>
  <si>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</si>
  <si>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</si>
  <si>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</si>
  <si>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</si>
  <si>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</si>
  <si>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</si>
  <si>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</si>
  <si>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</si>
  <si>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</si>
  <si>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</si>
  <si>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706-02-01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</si>
  <si>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</si>
  <si>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</si>
  <si>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</si>
  <si>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</si>
  <si>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</si>
  <si>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</si>
  <si>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b val="true"/>
        <color theme="1" tint="0"/>
        <sz val="11"/>
        <scheme val="minor"/>
      </rPr>
      <t>Safety - LDWS - Timing</t>
    </r>
    <r>
      <rPr>
        <color theme="1" tint="0"/>
        <sz val="11"/>
        <scheme val="minor"/>
      </rPr>
      <t xml:space="preserve">:
</t>
    </r>
    <r>
      <rPr>
        <i val="true"/>
        <color theme="1" tint="0"/>
        <sz val="10"/>
        <scheme val="minor"/>
      </rPr>
      <t xml:space="preserve">b7b6b5 - Value
</t>
    </r>
    <r>
      <rPr>
        <b val="true"/>
        <color theme="1" tint="0"/>
        <sz val="11"/>
        <scheme val="minor"/>
      </rPr>
      <t>001</t>
    </r>
    <r>
      <rPr>
        <color theme="1" tint="0"/>
        <sz val="11"/>
        <scheme val="minor"/>
      </rPr>
      <t xml:space="preserve"> - Adaptive
</t>
    </r>
    <r>
      <rPr>
        <b val="true"/>
        <color theme="1" tint="0"/>
        <sz val="11"/>
        <scheme val="minor"/>
      </rPr>
      <t>010</t>
    </r>
    <r>
      <rPr>
        <color theme="1" tint="0"/>
        <sz val="11"/>
        <scheme val="minor"/>
      </rPr>
      <t xml:space="preserve"> - Early
</t>
    </r>
    <r>
      <rPr>
        <b val="true"/>
        <color theme="1" tint="0"/>
        <sz val="11"/>
        <scheme val="minor"/>
      </rPr>
      <t>011</t>
    </r>
    <r>
      <rPr>
        <color theme="1" tint="0"/>
        <sz val="11"/>
        <scheme val="minor"/>
      </rPr>
      <t xml:space="preserve"> - Medium
</t>
    </r>
    <r>
      <rPr>
        <b val="true"/>
        <color theme="1" tint="0"/>
        <sz val="11"/>
        <scheme val="minor"/>
      </rPr>
      <t>100</t>
    </r>
    <r>
      <rPr>
        <color theme="1" tint="0"/>
        <sz val="11"/>
        <scheme val="minor"/>
      </rPr>
      <t xml:space="preserve"> - Late
</t>
    </r>
    <r>
      <rPr>
        <b val="true"/>
        <color theme="1" tint="0"/>
        <sz val="11"/>
        <scheme val="minor"/>
      </rPr>
      <t xml:space="preserve">LAS - Intervention Timing:
</t>
    </r>
    <r>
      <rPr>
        <i val="true"/>
        <color theme="1" tint="0"/>
        <sz val="10"/>
        <scheme val="minor"/>
      </rPr>
      <t xml:space="preserve">b7b6b5 - Value
</t>
    </r>
    <r>
      <rPr>
        <b val="true"/>
        <color theme="1" tint="0"/>
        <sz val="11"/>
        <scheme val="minor"/>
      </rPr>
      <t>000</t>
    </r>
    <r>
      <rPr>
        <color theme="1" tint="0"/>
        <sz val="11"/>
        <scheme val="minor"/>
      </rPr>
      <t xml:space="preserve"> - Late
</t>
    </r>
    <r>
      <rPr>
        <b val="true"/>
        <color theme="1" tint="0"/>
        <sz val="11"/>
        <scheme val="minor"/>
      </rPr>
      <t>010</t>
    </r>
    <r>
      <rPr>
        <color theme="1" tint="0"/>
        <sz val="11"/>
        <scheme val="minor"/>
      </rPr>
      <t xml:space="preserve"> - Early</t>
    </r>
  </si>
  <si>
    <r>
      <rPr>
        <b val="true"/>
        <color theme="1" tint="0"/>
        <sz val="11"/>
        <scheme val="minor"/>
      </rPr>
      <t>Settings - HBC</t>
    </r>
    <r>
      <rPr>
        <color theme="1" tint="0"/>
        <sz val="11"/>
        <scheme val="minor"/>
      </rPr>
      <t xml:space="preserve">:
</t>
    </r>
    <r>
      <rPr>
        <i val="true"/>
        <color theme="1" tint="0"/>
        <sz val="10"/>
        <scheme val="minor"/>
      </rPr>
      <t xml:space="preserve">b7b6 - Value
</t>
    </r>
    <r>
      <rPr>
        <b val="true"/>
        <color theme="1" tint="0"/>
        <sz val="11"/>
        <scheme val="minor"/>
      </rPr>
      <t>10</t>
    </r>
    <r>
      <rPr>
        <color theme="1" tint="0"/>
        <sz val="11"/>
        <scheme val="minor"/>
      </rPr>
      <t xml:space="preserve"> - On
</t>
    </r>
    <r>
      <rPr>
        <b val="true"/>
        <color theme="1" tint="0"/>
        <sz val="11"/>
        <scheme val="minor"/>
      </rPr>
      <t>01</t>
    </r>
    <r>
      <rPr>
        <color theme="1" tint="0"/>
        <sz val="11"/>
        <scheme val="minor"/>
      </rPr>
      <t xml:space="preserve"> - Off</t>
    </r>
  </si>
  <si>
    <t>LDWS on (always 1)</t>
  </si>
  <si>
    <r>
      <rPr>
        <b val="true"/>
        <color theme="1" tint="0"/>
        <sz val="11"/>
        <scheme val="minor"/>
      </rPr>
      <t>LAS Intervention</t>
    </r>
    <r>
      <rPr>
        <color theme="1" tint="0"/>
        <sz val="11"/>
        <scheme val="minor"/>
      </rPr>
      <t xml:space="preserve">: </t>
    </r>
    <r>
      <rPr>
        <b val="true"/>
        <color theme="1" tint="0"/>
        <sz val="11"/>
        <scheme val="minor"/>
      </rPr>
      <t>0</t>
    </r>
    <r>
      <rPr>
        <color theme="1" tint="0"/>
        <sz val="11"/>
        <scheme val="minor"/>
      </rPr>
      <t xml:space="preserve"> - Off / </t>
    </r>
    <r>
      <rPr>
        <b val="true"/>
        <color theme="1" tint="0"/>
        <sz val="11"/>
        <scheme val="minor"/>
      </rPr>
      <t>1</t>
    </r>
    <r>
      <rPr>
        <color theme="1" tint="0"/>
        <sz val="11"/>
        <scheme val="minor"/>
      </rPr>
      <t xml:space="preserve"> - On</t>
    </r>
  </si>
  <si>
    <r>
      <rPr>
        <b val="true"/>
        <color theme="1" tint="0"/>
        <sz val="11"/>
        <scheme val="minor"/>
      </rPr>
      <t>Safety - LDWS - Warning</t>
    </r>
    <r>
      <rPr>
        <color theme="1" tint="0"/>
        <sz val="11"/>
        <scheme val="minor"/>
      </rPr>
      <t xml:space="preserve">:
</t>
    </r>
    <r>
      <rPr>
        <i val="true"/>
        <color theme="1" tint="0"/>
        <sz val="10"/>
        <scheme val="minor"/>
      </rPr>
      <t xml:space="preserve">b4b3b2 - Value
</t>
    </r>
    <r>
      <rPr>
        <b val="true"/>
        <color theme="1" tint="0"/>
        <sz val="11"/>
        <scheme val="minor"/>
      </rPr>
      <t>000</t>
    </r>
    <r>
      <rPr>
        <color theme="1" tint="0"/>
        <sz val="11"/>
        <scheme val="minor"/>
      </rPr>
      <t xml:space="preserve"> - Often
</t>
    </r>
    <r>
      <rPr>
        <b val="true"/>
        <color theme="1" tint="0"/>
        <sz val="11"/>
        <scheme val="minor"/>
      </rPr>
      <t>010</t>
    </r>
    <r>
      <rPr>
        <color theme="1" tint="0"/>
        <sz val="11"/>
        <scheme val="minor"/>
      </rPr>
      <t xml:space="preserve"> - Med
</t>
    </r>
    <r>
      <rPr>
        <b val="true"/>
        <color theme="1" tint="0"/>
        <sz val="11"/>
        <scheme val="minor"/>
      </rPr>
      <t>100</t>
    </r>
    <r>
      <rPr>
        <color theme="1" tint="0"/>
        <sz val="11"/>
        <scheme val="minor"/>
      </rPr>
      <t xml:space="preserve"> - Rare
</t>
    </r>
    <r>
      <rPr>
        <b val="true"/>
        <color theme="1" tint="0"/>
        <sz val="11"/>
        <scheme val="minor"/>
      </rPr>
      <t xml:space="preserve">LAS - Sensitivity:
</t>
    </r>
    <r>
      <rPr>
        <i val="true"/>
        <color theme="1" tint="0"/>
        <sz val="10"/>
        <scheme val="minor"/>
      </rPr>
      <t xml:space="preserve">b4b3b2 - Value
</t>
    </r>
    <r>
      <rPr>
        <b val="true"/>
        <color theme="1" tint="0"/>
        <sz val="11"/>
        <scheme val="minor"/>
      </rPr>
      <t>001</t>
    </r>
    <r>
      <rPr>
        <color theme="1" tint="0"/>
        <sz val="11"/>
        <scheme val="minor"/>
      </rPr>
      <t xml:space="preserve"> - High
</t>
    </r>
    <r>
      <rPr>
        <b val="true"/>
        <color theme="1" tint="0"/>
        <sz val="11"/>
        <scheme val="minor"/>
      </rPr>
      <t>011</t>
    </r>
    <r>
      <rPr>
        <color theme="1" tint="0"/>
        <sz val="11"/>
        <scheme val="minor"/>
      </rPr>
      <t xml:space="preserve"> - Med
</t>
    </r>
    <r>
      <rPr>
        <b val="true"/>
        <color theme="1" tint="0"/>
        <sz val="11"/>
        <scheme val="minor"/>
      </rPr>
      <t>100</t>
    </r>
    <r>
      <rPr>
        <color theme="1" tint="0"/>
        <sz val="11"/>
        <scheme val="minor"/>
      </rPr>
      <t xml:space="preserve"> - Low</t>
    </r>
  </si>
  <si>
    <r>
      <rPr>
        <b val="true"/>
        <color theme="1" tint="0"/>
        <sz val="11"/>
        <scheme val="minor"/>
      </rPr>
      <t>LDWS on/off when LAS on</t>
    </r>
    <r>
      <rPr>
        <color theme="1" tint="0"/>
        <sz val="11"/>
        <scheme val="minor"/>
      </rPr>
      <t xml:space="preserve">:
</t>
    </r>
    <r>
      <rPr>
        <color theme="1" tint="0"/>
        <sz val="11"/>
        <scheme val="minor"/>
      </rPr>
      <t xml:space="preserve">01 - Off
</t>
    </r>
    <r>
      <rPr>
        <color theme="1" tint="0"/>
        <sz val="11"/>
        <scheme val="minor"/>
      </rPr>
      <t>10 - On</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</si>
  <si>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</si>
  <si>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706-01-01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</si>
  <si>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</si>
  <si>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</si>
  <si>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</si>
  <si>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</si>
  <si>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</si>
  <si>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</si>
  <si>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</si>
  <si>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rPr>
        <b val="true"/>
        <color theme="1" tint="0"/>
        <sz val="11"/>
        <scheme val="minor"/>
      </rPr>
      <t>HBC</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</si>
  <si>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rPr>
        <b val="true"/>
        <color theme="1" tint="0"/>
        <sz val="11"/>
        <scheme val="minor"/>
      </rPr>
      <t>SCBS-F</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</si>
  <si>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</si>
  <si>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</si>
  <si>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LDWS</t>
    </r>
    <r>
      <rPr>
        <color theme="1" tint="0"/>
        <sz val="11"/>
        <scheme val="minor"/>
      </rPr>
      <t xml:space="preserve">:
</t>
    </r>
    <r>
      <rPr>
        <i val="true"/>
        <color theme="1" tint="0"/>
        <sz val="10"/>
        <scheme val="minor"/>
      </rPr>
      <t xml:space="preserve">b6b5 - Value
</t>
    </r>
    <r>
      <rPr>
        <b val="true"/>
        <color theme="1" tint="0"/>
        <sz val="11"/>
        <scheme val="minor"/>
      </rPr>
      <t>00</t>
    </r>
    <r>
      <rPr>
        <color theme="1" tint="0"/>
        <sz val="11"/>
        <scheme val="minor"/>
      </rPr>
      <t xml:space="preserve"> - Disabled
</t>
    </r>
    <r>
      <rPr>
        <b val="true"/>
        <color theme="1" tint="0"/>
        <sz val="11"/>
        <scheme val="minor"/>
      </rPr>
      <t>11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</si>
  <si>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</si>
  <si>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</si>
  <si>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</si>
  <si>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LAS</t>
    </r>
    <r>
      <rPr>
        <color theme="1" tint="0"/>
        <sz val="11"/>
        <scheme val="minor"/>
      </rPr>
      <t xml:space="preserve">:
</t>
    </r>
    <r>
      <rPr>
        <i val="true"/>
        <color theme="1" tint="0"/>
        <sz val="10"/>
        <scheme val="minor"/>
      </rPr>
      <t xml:space="preserve">b6b5b4 - Value
</t>
    </r>
    <r>
      <rPr>
        <b val="true"/>
        <color theme="1" tint="0"/>
        <sz val="11"/>
        <scheme val="minor"/>
      </rPr>
      <t>000</t>
    </r>
    <r>
      <rPr>
        <color theme="1" tint="0"/>
        <sz val="11"/>
        <scheme val="minor"/>
      </rPr>
      <t xml:space="preserve"> - Disabled
</t>
    </r>
    <r>
      <rPr>
        <b val="true"/>
        <color theme="1" tint="0"/>
        <sz val="11"/>
        <scheme val="minor"/>
      </rPr>
      <t>111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</si>
  <si>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</si>
  <si>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</si>
  <si>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</si>
  <si>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</si>
  <si>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</si>
  <si>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SCBS-F</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</si>
  <si>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</si>
  <si>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t>706G2G20011</t>
  </si>
  <si>
    <r>
      <rPr>
        <b val="true"/>
        <color theme="1" tint="0"/>
        <sz val="11"/>
        <scheme val="minor"/>
      </rPr>
      <t>LDWS</t>
    </r>
    <r>
      <rPr>
        <color theme="1" tint="0"/>
        <sz val="11"/>
        <scheme val="minor"/>
      </rPr>
      <t xml:space="preserve">:
</t>
    </r>
    <r>
      <rPr>
        <i val="true"/>
        <color theme="1" tint="0"/>
        <sz val="10"/>
        <scheme val="minor"/>
      </rPr>
      <t xml:space="preserve">b3b2 - Value
</t>
    </r>
    <r>
      <rPr>
        <b val="true"/>
        <color theme="1" tint="0"/>
        <sz val="11"/>
        <scheme val="minor"/>
      </rPr>
      <t>00</t>
    </r>
    <r>
      <rPr>
        <color theme="1" tint="0"/>
        <sz val="11"/>
        <scheme val="minor"/>
      </rPr>
      <t xml:space="preserve"> - Disabled
</t>
    </r>
    <r>
      <rPr>
        <b val="true"/>
        <color theme="1" tint="0"/>
        <sz val="11"/>
        <scheme val="minor"/>
      </rPr>
      <t>11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</si>
  <si>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</si>
  <si>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</si>
  <si>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</si>
  <si>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</si>
  <si>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</si>
  <si>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</si>
  <si>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</si>
  <si>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</si>
  <si>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</si>
  <si>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</si>
  <si>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</si>
  <si>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</si>
  <si>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LAS</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</si>
  <si>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</si>
  <si>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</si>
  <si>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</si>
  <si>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</si>
  <si>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</si>
  <si>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</si>
  <si>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706-01-02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</si>
  <si>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</si>
  <si>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</si>
  <si>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</si>
  <si>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</si>
  <si>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</si>
  <si>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</si>
  <si>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b val="true"/>
        <color theme="1" tint="0"/>
        <sz val="11"/>
        <scheme val="minor"/>
      </rPr>
      <t>LAS</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</si>
  <si>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rPr>
        <b val="true"/>
        <color theme="1" tint="0"/>
        <sz val="11"/>
        <scheme val="minor"/>
      </rPr>
      <t xml:space="preserve">Mazda model/market </t>
    </r>
    <r>
      <rPr>
        <color theme="1" tint="0"/>
        <sz val="11"/>
        <scheme val="minor"/>
      </rPr>
      <t>related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</si>
  <si>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</si>
  <si>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</si>
  <si>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</si>
  <si>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</si>
  <si>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</si>
  <si>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MX-5 only</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</si>
  <si>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</si>
  <si>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</si>
  <si>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</si>
  <si>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TSR</t>
    </r>
    <r>
      <rPr>
        <color theme="1" tint="0"/>
        <sz val="11"/>
        <scheme val="minor"/>
      </rPr>
      <t xml:space="preserve">: 
</t>
    </r>
    <r>
      <rPr>
        <i val="true"/>
        <color theme="1" tint="0"/>
        <sz val="10"/>
        <scheme val="minor"/>
      </rPr>
      <t xml:space="preserve">b5b4 - Value
</t>
    </r>
    <r>
      <rPr>
        <b val="true"/>
        <color theme="1" tint="0"/>
        <sz val="11"/>
        <scheme val="minor"/>
      </rPr>
      <t>00</t>
    </r>
    <r>
      <rPr>
        <color theme="1" tint="0"/>
        <sz val="11"/>
        <scheme val="minor"/>
      </rPr>
      <t xml:space="preserve"> - Enabled US
</t>
    </r>
    <r>
      <rPr>
        <b val="true"/>
        <color theme="1" tint="0"/>
        <sz val="11"/>
        <scheme val="minor"/>
      </rPr>
      <t>01</t>
    </r>
    <r>
      <rPr>
        <color theme="1" tint="0"/>
        <sz val="11"/>
        <scheme val="minor"/>
      </rPr>
      <t xml:space="preserve"> - Disabled
</t>
    </r>
    <r>
      <rPr>
        <b val="true"/>
        <color theme="1" tint="0"/>
        <sz val="11"/>
        <scheme val="minor"/>
      </rPr>
      <t>10</t>
    </r>
    <r>
      <rPr>
        <color theme="1" tint="0"/>
        <sz val="11"/>
        <scheme val="minor"/>
      </rPr>
      <t xml:space="preserve"> - Enabled EU
</t>
    </r>
    <r>
      <rPr>
        <b val="true"/>
        <color theme="1" tint="0"/>
        <sz val="11"/>
        <scheme val="minor"/>
      </rPr>
      <t>11</t>
    </r>
    <r>
      <rPr>
        <color theme="1" tint="0"/>
        <sz val="11"/>
        <scheme val="minor"/>
      </rPr>
      <t xml:space="preserve"> - Disabled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</si>
  <si>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</si>
  <si>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</si>
  <si>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</si>
  <si>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</si>
  <si>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</si>
  <si>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</si>
  <si>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</si>
  <si>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LAS</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</si>
  <si>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</si>
  <si>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</si>
  <si>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</si>
  <si>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</si>
  <si>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</si>
  <si>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</si>
  <si>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</si>
  <si>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</si>
  <si>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</si>
  <si>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</si>
  <si>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</si>
  <si>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</si>
  <si>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706-01-03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</si>
  <si>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</si>
  <si>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</si>
  <si>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</si>
  <si>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</si>
  <si>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</si>
  <si>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</si>
  <si>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Mazda model related</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</si>
  <si>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</si>
  <si>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</si>
  <si>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</si>
  <si>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</si>
  <si>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</si>
  <si>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</si>
  <si>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</si>
  <si>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</si>
  <si>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</si>
  <si>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</si>
  <si>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</si>
  <si>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</si>
  <si>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</si>
  <si>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</si>
  <si>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</si>
  <si>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</si>
  <si>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</si>
  <si>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</si>
  <si>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</si>
  <si>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LDWS default state related?</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</si>
  <si>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</si>
  <si>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</si>
  <si>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</si>
  <si>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</si>
  <si>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</si>
  <si>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</si>
  <si>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</si>
  <si>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</si>
  <si>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</si>
  <si>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</si>
  <si>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</si>
  <si>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in HEX</t>
    </r>
  </si>
  <si>
    <r>
      <t>706-01-04</t>
    </r>
    <r>
      <rPr>
        <b val="false"/>
        <color theme="1" tint="0"/>
        <sz val="11"/>
        <scheme val="minor"/>
      </rPr>
      <t xml:space="preserve"> B0 B1 B2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</si>
  <si>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</si>
  <si>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</si>
  <si>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B2</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</si>
  <si>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</si>
  <si>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</si>
  <si>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</si>
  <si>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</si>
  <si>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</si>
  <si>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</si>
  <si>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</si>
  <si>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</si>
  <si>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</si>
  <si>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</si>
  <si>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</si>
  <si>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</si>
  <si>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</si>
  <si>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</si>
  <si>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</si>
  <si>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</si>
  <si>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</si>
  <si>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706-02-01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</si>
  <si>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</si>
  <si>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</si>
  <si>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</si>
  <si>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</si>
  <si>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</si>
  <si>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</si>
  <si>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b val="true"/>
        <color theme="1" tint="0"/>
        <sz val="11"/>
        <scheme val="minor"/>
      </rPr>
      <t xml:space="preserve">HBC:
</t>
    </r>
    <r>
      <rPr>
        <i val="true"/>
        <color theme="1" tint="0"/>
        <sz val="10"/>
        <scheme val="minor"/>
      </rPr>
      <t xml:space="preserve">b7b6 - Value
</t>
    </r>
    <r>
      <rPr>
        <b val="true"/>
        <color theme="1" tint="0"/>
        <sz val="11"/>
        <scheme val="minor"/>
      </rPr>
      <t>10</t>
    </r>
    <r>
      <rPr>
        <color theme="1" tint="0"/>
        <sz val="11"/>
        <scheme val="minor"/>
      </rPr>
      <t xml:space="preserve"> - On
</t>
    </r>
    <r>
      <rPr>
        <b val="true"/>
        <color theme="1" tint="0"/>
        <sz val="11"/>
        <scheme val="minor"/>
      </rPr>
      <t>01</t>
    </r>
    <r>
      <rPr>
        <color theme="1" tint="0"/>
        <sz val="11"/>
        <scheme val="minor"/>
      </rPr>
      <t xml:space="preserve"> - Off</t>
    </r>
  </si>
  <si>
    <r>
      <rPr>
        <b val="true"/>
        <color theme="1" tint="0"/>
        <sz val="11"/>
        <scheme val="minor"/>
      </rPr>
      <t xml:space="preserve">SCBS-F:
</t>
    </r>
    <r>
      <rPr>
        <i val="true"/>
        <color theme="1" tint="0"/>
        <sz val="10"/>
        <scheme val="minor"/>
      </rPr>
      <t xml:space="preserve">b7b6 - Value
</t>
    </r>
    <r>
      <rPr>
        <b val="true"/>
        <color theme="1" tint="0"/>
        <sz val="11"/>
        <scheme val="minor"/>
      </rPr>
      <t>10</t>
    </r>
    <r>
      <rPr>
        <color theme="1" tint="0"/>
        <sz val="11"/>
        <scheme val="minor"/>
      </rPr>
      <t xml:space="preserve"> - On
</t>
    </r>
    <r>
      <rPr>
        <b val="true"/>
        <color theme="1" tint="0"/>
        <sz val="11"/>
        <scheme val="minor"/>
      </rPr>
      <t>01</t>
    </r>
    <r>
      <rPr>
        <color theme="1" tint="0"/>
        <sz val="11"/>
        <scheme val="minor"/>
      </rPr>
      <t xml:space="preserve"> - Off</t>
    </r>
  </si>
  <si>
    <t>11=LDWS related ?</t>
  </si>
  <si>
    <t>Alert Timing , 0 = Before, 1 = At</t>
  </si>
  <si>
    <t>Intervention, 1=On, 0=Off</t>
  </si>
  <si>
    <r>
      <rPr>
        <b val="true"/>
        <color theme="1" tint="0"/>
        <sz val="11"/>
        <scheme val="minor"/>
      </rPr>
      <t xml:space="preserve">SCBS-F Warning Distance:
</t>
    </r>
    <r>
      <rPr>
        <i val="true"/>
        <color theme="1" tint="0"/>
        <sz val="10"/>
        <scheme val="minor"/>
      </rPr>
      <t xml:space="preserve">b4b3 - Value
</t>
    </r>
    <r>
      <rPr>
        <b val="true"/>
        <color theme="1" tint="0"/>
        <sz val="11"/>
        <scheme val="minor"/>
      </rPr>
      <t>01</t>
    </r>
    <r>
      <rPr>
        <color theme="1" tint="0"/>
        <sz val="11"/>
        <scheme val="minor"/>
      </rPr>
      <t xml:space="preserve"> - Far
</t>
    </r>
    <r>
      <rPr>
        <b val="true"/>
        <color theme="1" tint="0"/>
        <sz val="11"/>
        <scheme val="minor"/>
      </rPr>
      <t>10</t>
    </r>
    <r>
      <rPr>
        <color theme="1" tint="0"/>
        <sz val="11"/>
        <scheme val="minor"/>
      </rPr>
      <t xml:space="preserve"> - Med
</t>
    </r>
    <r>
      <rPr>
        <b val="true"/>
        <color theme="1" tint="0"/>
        <sz val="11"/>
        <scheme val="minor"/>
      </rPr>
      <t>11</t>
    </r>
    <r>
      <rPr>
        <color theme="1" tint="0"/>
        <sz val="11"/>
        <scheme val="minor"/>
      </rPr>
      <t xml:space="preserve"> - Near</t>
    </r>
  </si>
  <si>
    <r>
      <rPr>
        <b val="true"/>
        <color theme="1" tint="0"/>
        <sz val="11"/>
        <scheme val="minor"/>
      </rPr>
      <t xml:space="preserve">LDWS Alert:
</t>
    </r>
    <r>
      <rPr>
        <i val="true"/>
        <color theme="1" tint="0"/>
        <sz val="10"/>
        <scheme val="minor"/>
      </rPr>
      <t xml:space="preserve">b4b3 - Value
</t>
    </r>
    <r>
      <rPr>
        <b val="true"/>
        <color theme="1" tint="0"/>
        <sz val="11"/>
        <scheme val="minor"/>
      </rPr>
      <t>10</t>
    </r>
    <r>
      <rPr>
        <color theme="1" tint="0"/>
        <sz val="11"/>
        <scheme val="minor"/>
      </rPr>
      <t xml:space="preserve"> - On
</t>
    </r>
    <r>
      <rPr>
        <b val="true"/>
        <color theme="1" tint="0"/>
        <sz val="11"/>
        <scheme val="minor"/>
      </rPr>
      <t>01</t>
    </r>
    <r>
      <rPr>
        <color theme="1" tint="0"/>
        <sz val="11"/>
        <scheme val="minor"/>
      </rPr>
      <t xml:space="preserve"> - Off</t>
    </r>
  </si>
  <si>
    <r>
      <t xml:space="preserve">11=LDWS related ?
</t>
    </r>
  </si>
  <si>
    <t>0=enable ALH ?</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</si>
  <si>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in HEX</t>
    </r>
  </si>
  <si>
    <r>
      <t>706-02-02</t>
    </r>
    <r>
      <rPr>
        <b val="false"/>
        <color theme="1" tint="0"/>
        <sz val="11"/>
        <scheme val="minor"/>
      </rPr>
      <t xml:space="preserve"> B0 B1 in HEX</t>
    </r>
  </si>
  <si>
    <r>
      <rPr>
        <color rgb="7030A0" tint="0"/>
        <sz val="11"/>
        <scheme val="minor"/>
      </rPr>
      <t xml:space="preserve">B0 </t>
    </r>
    <r>
      <rPr>
        <color theme="1" tint="0"/>
        <sz val="11"/>
        <scheme val="minor"/>
      </rPr>
      <t>in BIN (0 or 1):</t>
    </r>
  </si>
  <si>
    <r>
      <rPr>
        <color rgb="FF0000" tint="0"/>
        <sz val="11"/>
        <scheme val="minor"/>
      </rPr>
      <t>B1</t>
    </r>
    <r>
      <rPr>
        <color theme="1" tint="0"/>
        <sz val="11"/>
        <scheme val="minor"/>
      </rPr>
      <t xml:space="preserve"> - CHECKSUM</t>
    </r>
  </si>
  <si>
    <t>&lt;- CCC Checksum 720-04-01</t>
  </si>
  <si>
    <t>Original VIN</t>
  </si>
  <si>
    <t>;Block 1 &lt;- PASTE HERE</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</si>
  <si>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</si>
  <si>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720G1G1000000000029</t>
  </si>
  <si>
    <r>
      <t>720-01-01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</si>
  <si>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</si>
  <si>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</si>
  <si>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</si>
  <si>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</si>
  <si>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</si>
  <si>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</si>
  <si>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720G1G200000000002A</t>
  </si>
  <si>
    <t>20</t>
  </si>
  <si>
    <t>720G1G300000000002B</t>
  </si>
  <si>
    <r>
      <rPr>
        <b val="true"/>
        <color theme="1" tint="0"/>
        <sz val="11"/>
        <scheme val="minor"/>
      </rPr>
      <t>Rear seatbelt indicator and beep after unfastening</t>
    </r>
    <r>
      <rPr>
        <color theme="1" tint="0"/>
        <sz val="11"/>
        <scheme val="minor"/>
      </rPr>
      <t>: 0 - Disabled / 1 - Enabled</t>
    </r>
  </si>
  <si>
    <t>1=America/Singapore</t>
  </si>
  <si>
    <r>
      <rPr>
        <b val="true"/>
        <color theme="1" tint="0"/>
        <sz val="11"/>
        <scheme val="minor"/>
      </rPr>
      <t>Fuel Tank Level</t>
    </r>
    <r>
      <rPr>
        <color theme="1" tint="0"/>
        <sz val="11"/>
        <scheme val="minor"/>
      </rPr>
      <t xml:space="preserve"> related (CX-5/9)</t>
    </r>
  </si>
  <si>
    <r>
      <t xml:space="preserve">1 </t>
    </r>
    <r>
      <rPr>
        <b val="false"/>
        <color rgb="FF0000" tint="0"/>
        <sz val="11"/>
        <scheme val="minor"/>
      </rPr>
      <t>= Permanent value</t>
    </r>
  </si>
  <si>
    <t>720G1G400000000002C</t>
  </si>
  <si>
    <t>1=if 731-01-01 B2b3=1 --&gt; 720-01-03 -:- 720-01-09 = Value</t>
  </si>
  <si>
    <r>
      <rPr>
        <b val="true"/>
        <color theme="1" tint="0"/>
        <sz val="11"/>
        <scheme val="minor"/>
      </rPr>
      <t>Driver seatbelt beeper (at 20+ kmph when unfastened)</t>
    </r>
    <r>
      <rPr>
        <color theme="1" tint="0"/>
        <sz val="11"/>
        <scheme val="minor"/>
      </rPr>
      <t>: 0 - Disabled / 1 - Enabled</t>
    </r>
  </si>
  <si>
    <r>
      <rPr>
        <b val="true"/>
        <color theme="1" tint="0"/>
        <sz val="11"/>
        <scheme val="minor"/>
      </rPr>
      <t>Fuel Consumption Units</t>
    </r>
    <r>
      <rPr>
        <color theme="1" tint="0"/>
        <sz val="11"/>
        <scheme val="minor"/>
      </rPr>
      <t xml:space="preserve">: </t>
    </r>
    <r>
      <rPr>
        <b val="true"/>
        <color theme="1" tint="0"/>
        <sz val="11"/>
        <scheme val="minor"/>
      </rPr>
      <t>0</t>
    </r>
    <r>
      <rPr>
        <color theme="1" tint="0"/>
        <sz val="11"/>
        <scheme val="minor"/>
      </rPr>
      <t xml:space="preserve"> - L/100 Km; </t>
    </r>
    <r>
      <rPr>
        <b val="true"/>
        <color theme="1" tint="0"/>
        <sz val="11"/>
        <scheme val="minor"/>
      </rPr>
      <t>1</t>
    </r>
    <r>
      <rPr>
        <color theme="1" tint="0"/>
        <sz val="11"/>
        <scheme val="minor"/>
      </rPr>
      <t xml:space="preserve"> - MPG</t>
    </r>
  </si>
  <si>
    <r>
      <t xml:space="preserve">0 </t>
    </r>
    <r>
      <rPr>
        <b val="false"/>
        <color rgb="FF0000" tint="0"/>
        <sz val="11"/>
        <scheme val="minor"/>
      </rPr>
      <t>= Permanent value</t>
    </r>
  </si>
  <si>
    <t>720G1G500000000002D</t>
  </si>
  <si>
    <r>
      <t xml:space="preserve">1 </t>
    </r>
    <r>
      <rPr>
        <b val="false"/>
        <color rgb="FF0000" tint="0"/>
        <sz val="11"/>
        <scheme val="minor"/>
      </rPr>
      <t>= Permanent value</t>
    </r>
  </si>
  <si>
    <r>
      <rPr>
        <b val="true"/>
        <color theme="1" tint="0"/>
        <sz val="11"/>
        <scheme val="minor"/>
      </rPr>
      <t>Low Level Windshield Washer Fluid indicator</t>
    </r>
    <r>
      <rPr>
        <color theme="1" tint="0"/>
        <sz val="11"/>
        <scheme val="minor"/>
      </rPr>
      <t>: 0 - Disabled / 1 - Enabled</t>
    </r>
  </si>
  <si>
    <r>
      <rPr>
        <b val="true"/>
        <color theme="1" tint="0"/>
        <sz val="11"/>
        <scheme val="minor"/>
      </rPr>
      <t>Passenger seatbelt beeper (at 20+ kmph when unfastened)</t>
    </r>
    <r>
      <rPr>
        <color theme="1" tint="0"/>
        <sz val="11"/>
        <scheme val="minor"/>
      </rPr>
      <t>: 0 - Disabled / 1 - Enabled</t>
    </r>
  </si>
  <si>
    <r>
      <t xml:space="preserve">1 </t>
    </r>
    <r>
      <rPr>
        <b val="false"/>
        <color rgb="FF0000" tint="0"/>
        <sz val="11"/>
        <scheme val="minor"/>
      </rPr>
      <t>= Permanent value</t>
    </r>
  </si>
  <si>
    <t>720G1G60000002E</t>
  </si>
  <si>
    <r>
      <t xml:space="preserve">0 </t>
    </r>
    <r>
      <rPr>
        <b val="false"/>
        <color rgb="FF0000" tint="0"/>
        <sz val="11"/>
        <scheme val="minor"/>
      </rPr>
      <t>= Permanent value</t>
    </r>
  </si>
  <si>
    <r>
      <rPr>
        <b val="true"/>
        <color theme="1" tint="0"/>
        <sz val="11"/>
        <scheme val="minor"/>
      </rPr>
      <t>0</t>
    </r>
    <r>
      <rPr>
        <color theme="1" tint="0"/>
        <sz val="11"/>
        <scheme val="minor"/>
      </rPr>
      <t> - disable I-Stop; </t>
    </r>
    <r>
      <rPr>
        <b val="true"/>
        <color theme="1" tint="0"/>
        <sz val="11"/>
        <scheme val="minor"/>
      </rPr>
      <t>1</t>
    </r>
    <r>
      <rPr>
        <color theme="1" tint="0"/>
        <sz val="11"/>
        <scheme val="minor"/>
      </rPr>
      <t> - enable I-Stop (enable/disable button I-Stop and view logo "I-Stop" on Instrument Cluster)</t>
    </r>
  </si>
  <si>
    <r>
      <rPr>
        <b val="true"/>
        <color theme="1" tint="0"/>
        <sz val="11"/>
        <scheme val="minor"/>
      </rPr>
      <t>Parking Brake: 0</t>
    </r>
    <r>
      <rPr>
        <color theme="1" tint="0"/>
        <sz val="11"/>
        <scheme val="minor"/>
      </rPr>
      <t xml:space="preserve"> - Mechanical; </t>
    </r>
    <r>
      <rPr>
        <b val="true"/>
        <color theme="1" tint="0"/>
        <sz val="11"/>
        <scheme val="minor"/>
      </rPr>
      <t>1</t>
    </r>
    <r>
      <rPr>
        <color theme="1" tint="0"/>
        <sz val="11"/>
        <scheme val="minor"/>
      </rPr>
      <t xml:space="preserve"> - Electric (EPB)</t>
    </r>
  </si>
  <si>
    <r>
      <t xml:space="preserve">0 </t>
    </r>
    <r>
      <rPr>
        <b val="false"/>
        <color rgb="FF0000" tint="0"/>
        <sz val="11"/>
        <scheme val="minor"/>
      </rPr>
      <t>= Permanent value</t>
    </r>
  </si>
  <si>
    <r>
      <rPr>
        <b val="true"/>
        <color theme="1" tint="0"/>
        <sz val="11"/>
        <scheme val="minor"/>
      </rPr>
      <t xml:space="preserve">Region code:
</t>
    </r>
    <r>
      <rPr>
        <i val="true"/>
        <color theme="1" tint="0"/>
        <sz val="10"/>
        <scheme val="minor"/>
      </rPr>
      <t xml:space="preserve">b3b2b1 - Value
</t>
    </r>
    <r>
      <rPr>
        <b val="true"/>
        <color theme="1" tint="0"/>
        <sz val="11"/>
        <scheme val="minor"/>
      </rPr>
      <t>000</t>
    </r>
    <r>
      <rPr>
        <color theme="1" tint="0"/>
        <sz val="11"/>
        <scheme val="minor"/>
      </rPr>
      <t xml:space="preserve"> - Japan/UK
</t>
    </r>
    <r>
      <rPr>
        <b val="true"/>
        <color theme="1" tint="0"/>
        <sz val="11"/>
        <scheme val="minor"/>
      </rPr>
      <t>001</t>
    </r>
    <r>
      <rPr>
        <color theme="1" tint="0"/>
        <sz val="11"/>
        <scheme val="minor"/>
      </rPr>
      <t xml:space="preserve"> - Europe
</t>
    </r>
    <r>
      <rPr>
        <b val="true"/>
        <color theme="1" tint="0"/>
        <sz val="11"/>
        <scheme val="minor"/>
      </rPr>
      <t>010</t>
    </r>
    <r>
      <rPr>
        <color theme="1" tint="0"/>
        <sz val="11"/>
        <scheme val="minor"/>
      </rPr>
      <t xml:space="preserve"> - USA
</t>
    </r>
    <r>
      <rPr>
        <b val="true"/>
        <color theme="1" tint="0"/>
        <sz val="11"/>
        <scheme val="minor"/>
      </rPr>
      <t>011</t>
    </r>
    <r>
      <rPr>
        <color theme="1" tint="0"/>
        <sz val="11"/>
        <scheme val="minor"/>
      </rPr>
      <t xml:space="preserve"> - Canada
</t>
    </r>
    <r>
      <rPr>
        <b val="true"/>
        <color theme="1" tint="0"/>
        <sz val="11"/>
        <scheme val="minor"/>
      </rPr>
      <t>100</t>
    </r>
    <r>
      <rPr>
        <color theme="1" tint="0"/>
        <sz val="11"/>
        <scheme val="minor"/>
      </rPr>
      <t xml:space="preserve"> - Australia
</t>
    </r>
    <r>
      <rPr>
        <b val="true"/>
        <color theme="1" tint="0"/>
        <sz val="11"/>
        <scheme val="minor"/>
      </rPr>
      <t>101</t>
    </r>
    <r>
      <rPr>
        <color theme="1" tint="0"/>
        <sz val="11"/>
        <scheme val="minor"/>
      </rPr>
      <t xml:space="preserve"> - South Am./Asia
</t>
    </r>
    <r>
      <rPr>
        <b val="true"/>
        <color theme="1" tint="0"/>
        <sz val="11"/>
        <scheme val="minor"/>
      </rPr>
      <t>110</t>
    </r>
    <r>
      <rPr>
        <color theme="1" tint="0"/>
        <sz val="11"/>
        <scheme val="minor"/>
      </rPr>
      <t xml:space="preserve"> - China
</t>
    </r>
    <r>
      <rPr>
        <b val="true"/>
        <color theme="1" tint="0"/>
        <sz val="11"/>
        <scheme val="minor"/>
      </rPr>
      <t>111</t>
    </r>
    <r>
      <rPr>
        <color theme="1" tint="0"/>
        <sz val="11"/>
        <scheme val="minor"/>
      </rPr>
      <t xml:space="preserve"> - Saudi Arabia</t>
    </r>
  </si>
  <si>
    <t>1=used only in CX4</t>
  </si>
  <si>
    <r>
      <rPr>
        <b val="true"/>
        <color theme="1" tint="0"/>
        <sz val="11"/>
        <scheme val="minor"/>
      </rPr>
      <t>Speed Sound Alarm (Using info button on steering wheel)</t>
    </r>
    <r>
      <rPr>
        <color theme="1" tint="0"/>
        <sz val="11"/>
        <scheme val="minor"/>
      </rPr>
      <t>: 0 - Disabled / 1 - Enabled</t>
    </r>
  </si>
  <si>
    <r>
      <t xml:space="preserve">0 </t>
    </r>
    <r>
      <rPr>
        <b val="false"/>
        <color rgb="FF0000" tint="0"/>
        <sz val="11"/>
        <scheme val="minor"/>
      </rPr>
      <t>= Permanent value</t>
    </r>
  </si>
  <si>
    <r>
      <t xml:space="preserve">0 </t>
    </r>
    <r>
      <rPr>
        <b val="false"/>
        <color rgb="FF0000" tint="0"/>
        <sz val="11"/>
        <scheme val="minor"/>
      </rPr>
      <t>= Permanent value</t>
    </r>
  </si>
  <si>
    <t>720G2G100000000002A</t>
  </si>
  <si>
    <t>1=3MZ(M3)</t>
  </si>
  <si>
    <r>
      <rPr>
        <b val="true"/>
        <color theme="1" tint="0"/>
        <sz val="11"/>
        <scheme val="minor"/>
      </rPr>
      <t xml:space="preserve">BF11=
</t>
    </r>
    <r>
      <rPr>
        <i val="true"/>
        <color theme="1" tint="0"/>
        <sz val="10"/>
        <scheme val="minor"/>
      </rPr>
      <t xml:space="preserve">b2b1- Value:
</t>
    </r>
    <r>
      <rPr>
        <b val="true"/>
        <color theme="1" tint="0"/>
        <sz val="8"/>
        <scheme val="minor"/>
      </rPr>
      <t>00</t>
    </r>
    <r>
      <rPr>
        <color theme="1" tint="0"/>
        <sz val="8"/>
        <scheme val="minor"/>
      </rPr>
      <t xml:space="preserve">= BF11=000000000000,
</t>
    </r>
    <r>
      <rPr>
        <b val="true"/>
        <color theme="1" tint="0"/>
        <sz val="8"/>
        <scheme val="minor"/>
      </rPr>
      <t>01</t>
    </r>
    <r>
      <rPr>
        <color theme="1" tint="0"/>
        <sz val="8"/>
        <scheme val="minor"/>
      </rPr>
      <t xml:space="preserve">=BF11&gt;000000000000,
</t>
    </r>
    <r>
      <rPr>
        <b val="true"/>
        <color theme="1" tint="0"/>
        <sz val="8"/>
        <scheme val="minor"/>
      </rPr>
      <t>10</t>
    </r>
    <r>
      <rPr>
        <color theme="1" tint="0"/>
        <sz val="8"/>
        <scheme val="minor"/>
      </rPr>
      <t>= BF11=000000000000 (JP only)</t>
    </r>
  </si>
  <si>
    <r>
      <t xml:space="preserve">1 </t>
    </r>
    <r>
      <rPr>
        <b val="false"/>
        <color rgb="FF0000" tint="0"/>
        <sz val="11"/>
        <scheme val="minor"/>
      </rPr>
      <t>= Permanent value</t>
    </r>
  </si>
  <si>
    <r>
      <t xml:space="preserve">0 </t>
    </r>
    <r>
      <rPr>
        <b val="false"/>
        <color rgb="FF0000" tint="0"/>
        <sz val="11"/>
        <scheme val="minor"/>
      </rPr>
      <t>= Permanent value</t>
    </r>
  </si>
  <si>
    <t>1=D2.2L(M6,CX5); 1=JMZ(M3)</t>
  </si>
  <si>
    <r>
      <t xml:space="preserve">1 </t>
    </r>
    <r>
      <rPr>
        <b val="false"/>
        <color rgb="FF0000" tint="0"/>
        <sz val="11"/>
        <scheme val="minor"/>
      </rPr>
      <t>= Permanent value</t>
    </r>
  </si>
  <si>
    <r>
      <t xml:space="preserve">0 </t>
    </r>
    <r>
      <rPr>
        <b val="false"/>
        <color rgb="FF0000" tint="0"/>
        <sz val="11"/>
        <scheme val="minor"/>
      </rPr>
      <t>= Permanent value</t>
    </r>
  </si>
  <si>
    <t>720G3G1012C</t>
  </si>
  <si>
    <r>
      <rPr>
        <b val="true"/>
        <color theme="1" tint="0"/>
        <sz val="11"/>
        <scheme val="minor"/>
      </rPr>
      <t>TPMS</t>
    </r>
    <r>
      <rPr>
        <color theme="1" tint="0"/>
        <sz val="11"/>
        <scheme val="minor"/>
      </rPr>
      <t>: 0 - Disabled / 1 - Enabled</t>
    </r>
  </si>
  <si>
    <t>1=4WD/RWD, 1=D(M3)</t>
  </si>
  <si>
    <r>
      <rPr>
        <b val="true"/>
        <color theme="1" tint="0"/>
        <sz val="11"/>
        <scheme val="minor"/>
      </rPr>
      <t>Ambient Temperature Warning Alarm (Ice mark and sound alarm when outside temperature is &lt;5°C)</t>
    </r>
    <r>
      <rPr>
        <color theme="1" tint="0"/>
        <sz val="11"/>
        <scheme val="minor"/>
      </rPr>
      <t>: 0 - Disabled / 1 - Enabled</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</si>
  <si>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</si>
  <si>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</si>
  <si>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</si>
  <si>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H9</t>
  </si>
  <si>
    <t>HA</t>
  </si>
  <si>
    <t>720G4G100000000002C</t>
  </si>
  <si>
    <r>
      <t>720-01-02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</si>
  <si>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</si>
  <si>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</si>
  <si>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</si>
  <si>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</si>
  <si>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</si>
  <si>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</si>
  <si>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HB</t>
  </si>
  <si>
    <t>720G4G200000000002D</t>
  </si>
  <si>
    <t>HC</t>
  </si>
  <si>
    <t>720G4G300000000002E</t>
  </si>
  <si>
    <r>
      <rPr>
        <b val="true"/>
        <color theme="1" tint="0"/>
        <sz val="11"/>
        <scheme val="minor"/>
      </rPr>
      <t>0 </t>
    </r>
    <r>
      <rPr>
        <color theme="1" tint="0"/>
        <sz val="11"/>
        <scheme val="minor"/>
      </rPr>
      <t>- Digital display Cruise control on IC; </t>
    </r>
    <r>
      <rPr>
        <b val="true"/>
        <color theme="1" tint="0"/>
        <sz val="11"/>
        <scheme val="minor"/>
      </rPr>
      <t>1</t>
    </r>
    <r>
      <rPr>
        <color theme="1" tint="0"/>
        <sz val="11"/>
        <scheme val="minor"/>
      </rPr>
      <t> - NO digital display Cruise control on IC</t>
    </r>
  </si>
  <si>
    <r>
      <rPr>
        <b val="true"/>
        <color theme="1" tint="0"/>
        <sz val="11"/>
        <scheme val="minor"/>
      </rPr>
      <t xml:space="preserve">Fuel Type
</t>
    </r>
    <r>
      <rPr>
        <i val="true"/>
        <color theme="1" tint="0"/>
        <sz val="10"/>
        <scheme val="minor"/>
      </rPr>
      <t xml:space="preserve">b7b6b5b4 - Value:
</t>
    </r>
    <r>
      <rPr>
        <b val="true"/>
        <color theme="1" tint="0"/>
        <sz val="11"/>
        <scheme val="minor"/>
      </rPr>
      <t>00</t>
    </r>
    <r>
      <rPr>
        <color theme="1" tint="0"/>
        <sz val="11"/>
        <scheme val="minor"/>
      </rPr>
      <t xml:space="preserve">= P,
</t>
    </r>
    <r>
      <rPr>
        <b val="true"/>
        <color theme="1" tint="0"/>
        <sz val="11"/>
        <scheme val="minor"/>
      </rPr>
      <t>01</t>
    </r>
    <r>
      <rPr>
        <color theme="1" tint="0"/>
        <sz val="11"/>
        <scheme val="minor"/>
      </rPr>
      <t xml:space="preserve">= D,
</t>
    </r>
    <r>
      <rPr>
        <b val="true"/>
        <color theme="1" tint="0"/>
        <sz val="11"/>
        <scheme val="minor"/>
      </rPr>
      <t>10</t>
    </r>
    <r>
      <rPr>
        <color theme="1" tint="0"/>
        <sz val="11"/>
        <scheme val="minor"/>
      </rPr>
      <t>= P</t>
    </r>
    <r>
      <rPr>
        <color theme="1" tint="0"/>
        <sz val="11"/>
        <scheme val="minor"/>
      </rPr>
      <t xml:space="preserve">,
</t>
    </r>
    <r>
      <rPr>
        <b val="true"/>
        <color theme="1" tint="0"/>
        <sz val="11"/>
        <scheme val="minor"/>
      </rPr>
      <t>11</t>
    </r>
    <r>
      <rPr>
        <color theme="1" tint="0"/>
        <sz val="11"/>
        <scheme val="minor"/>
      </rPr>
      <t>= P</t>
    </r>
  </si>
  <si>
    <t>HD</t>
  </si>
  <si>
    <t>720G4G400000000002F</t>
  </si>
  <si>
    <r>
      <t xml:space="preserve">0 </t>
    </r>
    <r>
      <rPr>
        <b val="false"/>
        <color rgb="FF0000" tint="0"/>
        <sz val="11"/>
        <scheme val="minor"/>
      </rPr>
      <t>= Permanent value</t>
    </r>
  </si>
  <si>
    <t>HE</t>
  </si>
  <si>
    <t>720G4G5000000000030</t>
  </si>
  <si>
    <t>0=CX-9 only</t>
  </si>
  <si>
    <t>1=JP only</t>
  </si>
  <si>
    <t>HF</t>
  </si>
  <si>
    <t>720G4G6000000000031</t>
  </si>
  <si>
    <t>0=M2/CX3 only</t>
  </si>
  <si>
    <t>I0</t>
  </si>
  <si>
    <t>720G4G7000000000032</t>
  </si>
  <si>
    <t>TSR on IC related</t>
  </si>
  <si>
    <t>I1</t>
  </si>
  <si>
    <t>720G4G8000000000033</t>
  </si>
  <si>
    <r>
      <t xml:space="preserve">0 </t>
    </r>
    <r>
      <rPr>
        <b val="false"/>
        <color rgb="FF0000" tint="0"/>
        <sz val="11"/>
        <scheme val="minor"/>
      </rPr>
      <t>= Permanent value</t>
    </r>
  </si>
  <si>
    <t>1=AT; 0=MT</t>
  </si>
  <si>
    <r>
      <t xml:space="preserve">0 </t>
    </r>
    <r>
      <rPr>
        <b val="false"/>
        <color rgb="FF0000" tint="0"/>
        <sz val="11"/>
        <scheme val="minor"/>
      </rPr>
      <t>= Permanent value</t>
    </r>
  </si>
  <si>
    <r>
      <t xml:space="preserve">0 </t>
    </r>
    <r>
      <rPr>
        <b val="false"/>
        <color rgb="FF0000" tint="0"/>
        <sz val="11"/>
        <scheme val="minor"/>
      </rPr>
      <t>= Permanent value</t>
    </r>
  </si>
  <si>
    <t>I2</t>
  </si>
  <si>
    <t>720G4G9000000000034</t>
  </si>
  <si>
    <r>
      <t xml:space="preserve">0 </t>
    </r>
    <r>
      <rPr>
        <b val="false"/>
        <color rgb="FF0000" tint="0"/>
        <sz val="11"/>
        <scheme val="minor"/>
      </rPr>
      <t>= Permanent value</t>
    </r>
  </si>
  <si>
    <t>I3</t>
  </si>
  <si>
    <t>720G4GA00000000003B</t>
  </si>
  <si>
    <r>
      <t xml:space="preserve">0 </t>
    </r>
    <r>
      <rPr>
        <b val="false"/>
        <color rgb="FF0000" tint="0"/>
        <sz val="11"/>
        <scheme val="minor"/>
      </rPr>
      <t>= Permanent value</t>
    </r>
  </si>
  <si>
    <t>I4</t>
  </si>
  <si>
    <t>720G4GB00000000003C</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</si>
  <si>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</si>
  <si>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I5</t>
  </si>
  <si>
    <t>720G4GC00000000003D</t>
  </si>
  <si>
    <r>
      <t>720-01-03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</si>
  <si>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</si>
  <si>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</si>
  <si>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</si>
  <si>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</si>
  <si>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</si>
  <si>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</si>
  <si>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I6</t>
  </si>
  <si>
    <t>720G4GD00000000003E</t>
  </si>
  <si>
    <t>I7</t>
  </si>
  <si>
    <t>720G4GE00000000003F</t>
  </si>
  <si>
    <t>1=if 720-04-27 B0b4=1</t>
  </si>
  <si>
    <r>
      <t xml:space="preserve">0 </t>
    </r>
    <r>
      <rPr>
        <b val="false"/>
        <color rgb="FF0000" tint="0"/>
        <sz val="11"/>
        <scheme val="minor"/>
      </rPr>
      <t>= Permanent value</t>
    </r>
  </si>
  <si>
    <t>I8</t>
  </si>
  <si>
    <t>720G4GF000000000040</t>
  </si>
  <si>
    <r>
      <t xml:space="preserve">0 </t>
    </r>
    <r>
      <rPr>
        <b val="false"/>
        <color rgb="FF0000" tint="0"/>
        <sz val="11"/>
        <scheme val="minor"/>
      </rPr>
      <t>= Permanent value</t>
    </r>
  </si>
  <si>
    <r>
      <t xml:space="preserve">0 </t>
    </r>
    <r>
      <rPr>
        <b val="false"/>
        <color rgb="FF0000" tint="0"/>
        <sz val="11"/>
        <scheme val="minor"/>
      </rPr>
      <t>= Permanent value</t>
    </r>
  </si>
  <si>
    <t>I9</t>
  </si>
  <si>
    <t>720G4H0000000000041</t>
  </si>
  <si>
    <r>
      <t xml:space="preserve">0 </t>
    </r>
    <r>
      <rPr>
        <b val="false"/>
        <color rgb="FF0000" tint="0"/>
        <sz val="11"/>
        <scheme val="minor"/>
      </rPr>
      <t>= Permanent value</t>
    </r>
  </si>
  <si>
    <r>
      <t xml:space="preserve">0 </t>
    </r>
    <r>
      <rPr>
        <b val="false"/>
        <color rgb="FF0000" tint="0"/>
        <sz val="11"/>
        <scheme val="minor"/>
      </rPr>
      <t>= Permanent value</t>
    </r>
  </si>
  <si>
    <t>IA</t>
  </si>
  <si>
    <t>720G4H1000000000042</t>
  </si>
  <si>
    <r>
      <t xml:space="preserve">0 </t>
    </r>
    <r>
      <rPr>
        <b val="false"/>
        <color rgb="FF0000" tint="0"/>
        <sz val="11"/>
        <scheme val="minor"/>
      </rPr>
      <t>= Permanent value</t>
    </r>
  </si>
  <si>
    <r>
      <t xml:space="preserve">0 </t>
    </r>
    <r>
      <rPr>
        <b val="false"/>
        <color rgb="FF0000" tint="0"/>
        <sz val="11"/>
        <scheme val="minor"/>
      </rPr>
      <t>= Permanent value</t>
    </r>
  </si>
  <si>
    <t>IB</t>
  </si>
  <si>
    <t>720G4H2000000000043</t>
  </si>
  <si>
    <r>
      <t xml:space="preserve">0 </t>
    </r>
    <r>
      <rPr>
        <b val="false"/>
        <color rgb="FF0000" tint="0"/>
        <sz val="11"/>
        <scheme val="minor"/>
      </rPr>
      <t>= Permanent value</t>
    </r>
  </si>
  <si>
    <r>
      <t xml:space="preserve">0 </t>
    </r>
    <r>
      <rPr>
        <b val="false"/>
        <color rgb="FF0000" tint="0"/>
        <sz val="11"/>
        <scheme val="minor"/>
      </rPr>
      <t>= Permanent value</t>
    </r>
  </si>
  <si>
    <t>IC</t>
  </si>
  <si>
    <t>720G4H3000000000044</t>
  </si>
  <si>
    <r>
      <t xml:space="preserve">0 </t>
    </r>
    <r>
      <rPr>
        <b val="false"/>
        <color rgb="FF0000" tint="0"/>
        <sz val="11"/>
        <scheme val="minor"/>
      </rPr>
      <t>= Permanent value</t>
    </r>
  </si>
  <si>
    <r>
      <t xml:space="preserve">0 </t>
    </r>
    <r>
      <rPr>
        <b val="false"/>
        <color rgb="FF0000" tint="0"/>
        <sz val="11"/>
        <scheme val="minor"/>
      </rPr>
      <t>= Permanent value</t>
    </r>
  </si>
  <si>
    <t>ID</t>
  </si>
  <si>
    <t>720G4H400000000004B</t>
  </si>
  <si>
    <r>
      <t xml:space="preserve">0 </t>
    </r>
    <r>
      <rPr>
        <b val="false"/>
        <color rgb="FF0000" tint="0"/>
        <sz val="11"/>
        <scheme val="minor"/>
      </rPr>
      <t>= Permanent value</t>
    </r>
  </si>
  <si>
    <r>
      <t xml:space="preserve">0 </t>
    </r>
    <r>
      <rPr>
        <b val="false"/>
        <color rgb="FF0000" tint="0"/>
        <sz val="11"/>
        <scheme val="minor"/>
      </rPr>
      <t>= Permanent value</t>
    </r>
  </si>
  <si>
    <t>IE</t>
  </si>
  <si>
    <t>720G4H500000000004C</t>
  </si>
  <si>
    <r>
      <t xml:space="preserve">0 </t>
    </r>
    <r>
      <rPr>
        <b val="false"/>
        <color rgb="FF0000" tint="0"/>
        <sz val="11"/>
        <scheme val="minor"/>
      </rPr>
      <t>= Permanent value</t>
    </r>
  </si>
  <si>
    <r>
      <t xml:space="preserve">0 </t>
    </r>
    <r>
      <rPr>
        <b val="false"/>
        <color rgb="FF0000" tint="0"/>
        <sz val="11"/>
        <scheme val="minor"/>
      </rPr>
      <t>= Permanent value</t>
    </r>
  </si>
  <si>
    <t>IF</t>
  </si>
  <si>
    <t>720G4H600000000004D</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</si>
  <si>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</si>
  <si>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30</t>
  </si>
  <si>
    <t>J0</t>
  </si>
  <si>
    <t>720G4H700000000004E</t>
  </si>
  <si>
    <r>
      <t>720-01-04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</si>
  <si>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</si>
  <si>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</si>
  <si>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</si>
  <si>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</si>
  <si>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</si>
  <si>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</si>
  <si>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31</t>
  </si>
  <si>
    <t>J1</t>
  </si>
  <si>
    <t>720G4H800000000004F</t>
  </si>
  <si>
    <t>32</t>
  </si>
  <si>
    <t>J2</t>
  </si>
  <si>
    <t>720G4H9000000000050</t>
  </si>
  <si>
    <t>33</t>
  </si>
  <si>
    <t>J3</t>
  </si>
  <si>
    <t>720G4HA000000000051</t>
  </si>
  <si>
    <t>34</t>
  </si>
  <si>
    <t>J4</t>
  </si>
  <si>
    <t>720G4HB000000000052</t>
  </si>
  <si>
    <t>35</t>
  </si>
  <si>
    <t>J5</t>
  </si>
  <si>
    <t>720G4HC0053</t>
  </si>
  <si>
    <t>36</t>
  </si>
  <si>
    <t>J6</t>
  </si>
  <si>
    <t>37</t>
  </si>
  <si>
    <t>J7</t>
  </si>
  <si>
    <t>38</t>
  </si>
  <si>
    <t>J8</t>
  </si>
  <si>
    <t>39</t>
  </si>
  <si>
    <t>41</t>
  </si>
  <si>
    <t>A</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</si>
  <si>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</si>
  <si>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42</t>
  </si>
  <si>
    <t>B</t>
  </si>
  <si>
    <r>
      <t>720-01-05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</si>
  <si>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</si>
  <si>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</si>
  <si>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</si>
  <si>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</si>
  <si>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</si>
  <si>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</si>
  <si>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43</t>
  </si>
  <si>
    <t>C</t>
  </si>
  <si>
    <t>44</t>
  </si>
  <si>
    <t>D</t>
  </si>
  <si>
    <t>45</t>
  </si>
  <si>
    <t>E</t>
  </si>
  <si>
    <t>46</t>
  </si>
  <si>
    <t>F</t>
  </si>
  <si>
    <t>47</t>
  </si>
  <si>
    <t>G</t>
  </si>
  <si>
    <t>48</t>
  </si>
  <si>
    <t>H</t>
  </si>
  <si>
    <t>49</t>
  </si>
  <si>
    <t>I</t>
  </si>
  <si>
    <t>4A</t>
  </si>
  <si>
    <t>J</t>
  </si>
  <si>
    <t>4B</t>
  </si>
  <si>
    <t>K</t>
  </si>
  <si>
    <t>4C</t>
  </si>
  <si>
    <t>L</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</si>
  <si>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</si>
  <si>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Can be of different length on various cars</t>
  </si>
  <si>
    <t>4D</t>
  </si>
  <si>
    <t>M</t>
  </si>
  <si>
    <r>
      <t>720-01-06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</si>
  <si>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</si>
  <si>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</si>
  <si>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</si>
  <si>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</si>
  <si>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</si>
  <si>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</si>
  <si>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4E</t>
  </si>
  <si>
    <t>N</t>
  </si>
  <si>
    <t>4F</t>
  </si>
  <si>
    <t>O</t>
  </si>
  <si>
    <r>
      <t xml:space="preserve">0 </t>
    </r>
    <r>
      <rPr>
        <b val="false"/>
        <color rgb="FF0000" tint="0"/>
        <sz val="11"/>
        <scheme val="minor"/>
      </rPr>
      <t>= Permanent value</t>
    </r>
  </si>
  <si>
    <r>
      <t xml:space="preserve">0 </t>
    </r>
    <r>
      <rPr>
        <b val="false"/>
        <color rgb="FF0000" tint="0"/>
        <sz val="11"/>
        <scheme val="minor"/>
      </rPr>
      <t>= Permanent value</t>
    </r>
  </si>
  <si>
    <t>50</t>
  </si>
  <si>
    <t>P</t>
  </si>
  <si>
    <r>
      <t xml:space="preserve">0 </t>
    </r>
    <r>
      <rPr>
        <b val="false"/>
        <color rgb="FF0000" tint="0"/>
        <sz val="11"/>
        <scheme val="minor"/>
      </rPr>
      <t>= Permanent value</t>
    </r>
  </si>
  <si>
    <t>51</t>
  </si>
  <si>
    <t>Q</t>
  </si>
  <si>
    <r>
      <t xml:space="preserve">0 </t>
    </r>
    <r>
      <rPr>
        <b val="false"/>
        <color rgb="FF0000" tint="0"/>
        <sz val="11"/>
        <scheme val="minor"/>
      </rPr>
      <t>= Permanent value</t>
    </r>
  </si>
  <si>
    <t>52</t>
  </si>
  <si>
    <t>R</t>
  </si>
  <si>
    <r>
      <t xml:space="preserve">0 </t>
    </r>
    <r>
      <rPr>
        <b val="false"/>
        <color rgb="FF0000" tint="0"/>
        <sz val="11"/>
        <scheme val="minor"/>
      </rPr>
      <t>= Permanent value</t>
    </r>
  </si>
  <si>
    <t>53</t>
  </si>
  <si>
    <t>S</t>
  </si>
  <si>
    <r>
      <t xml:space="preserve">0 </t>
    </r>
    <r>
      <rPr>
        <b val="false"/>
        <color rgb="FF0000" tint="0"/>
        <sz val="11"/>
        <scheme val="minor"/>
      </rPr>
      <t>= Permanent value</t>
    </r>
  </si>
  <si>
    <t>54</t>
  </si>
  <si>
    <t>T</t>
  </si>
  <si>
    <r>
      <t xml:space="preserve">0 </t>
    </r>
    <r>
      <rPr>
        <b val="false"/>
        <color rgb="FF0000" tint="0"/>
        <sz val="11"/>
        <scheme val="minor"/>
      </rPr>
      <t>= Permanent value</t>
    </r>
  </si>
  <si>
    <t>55</t>
  </si>
  <si>
    <t>U</t>
  </si>
  <si>
    <r>
      <t xml:space="preserve">0 </t>
    </r>
    <r>
      <rPr>
        <b val="false"/>
        <color rgb="FF0000" tint="0"/>
        <sz val="11"/>
        <scheme val="minor"/>
      </rPr>
      <t>= Permanent value</t>
    </r>
  </si>
  <si>
    <r>
      <t xml:space="preserve">0 </t>
    </r>
    <r>
      <rPr>
        <b val="false"/>
        <color rgb="FF0000" tint="0"/>
        <sz val="11"/>
        <scheme val="minor"/>
      </rPr>
      <t>= Permanent value</t>
    </r>
  </si>
  <si>
    <t>56</t>
  </si>
  <si>
    <t>V</t>
  </si>
  <si>
    <r>
      <t xml:space="preserve">0 </t>
    </r>
    <r>
      <rPr>
        <b val="false"/>
        <color rgb="FF0000" tint="0"/>
        <sz val="11"/>
        <scheme val="minor"/>
      </rPr>
      <t>= Permanent value</t>
    </r>
  </si>
  <si>
    <r>
      <t xml:space="preserve">0 </t>
    </r>
    <r>
      <rPr>
        <b val="false"/>
        <color rgb="FF0000" tint="0"/>
        <sz val="11"/>
        <scheme val="minor"/>
      </rPr>
      <t>= Permanent value</t>
    </r>
  </si>
  <si>
    <t>57</t>
  </si>
  <si>
    <t>W</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</si>
  <si>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</si>
  <si>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Can be absent on some cars</t>
  </si>
  <si>
    <t>58</t>
  </si>
  <si>
    <t>X</t>
  </si>
  <si>
    <r>
      <t>720-01-07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</si>
  <si>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</si>
  <si>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</si>
  <si>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</si>
  <si>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</si>
  <si>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</si>
  <si>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</si>
  <si>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59</t>
  </si>
  <si>
    <t>Y</t>
  </si>
  <si>
    <t>5A</t>
  </si>
  <si>
    <t>Z</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</si>
  <si>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</si>
  <si>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</si>
  <si>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</si>
  <si>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</si>
  <si>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</si>
  <si>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</si>
  <si>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</si>
  <si>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</si>
  <si>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</si>
  <si>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</si>
  <si>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</si>
  <si>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</si>
  <si>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</si>
  <si>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</si>
  <si>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</si>
  <si>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</si>
  <si>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</si>
  <si>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</si>
  <si>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</si>
  <si>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</si>
  <si>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</si>
  <si>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</si>
  <si>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</si>
  <si>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</si>
  <si>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</si>
  <si>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</si>
  <si>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</si>
  <si>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</si>
  <si>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</si>
  <si>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</si>
  <si>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</si>
  <si>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720-01-08</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</si>
  <si>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</si>
  <si>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</si>
  <si>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</si>
  <si>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</si>
  <si>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</si>
  <si>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</si>
  <si>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08</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</si>
  <si>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</si>
  <si>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</si>
  <si>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</si>
  <si>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</si>
  <si>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</si>
  <si>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</si>
  <si>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</si>
  <si>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</si>
  <si>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</si>
  <si>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</si>
  <si>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</si>
  <si>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</si>
  <si>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</si>
  <si>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</si>
  <si>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</si>
  <si>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</si>
  <si>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</si>
  <si>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</si>
  <si>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</si>
  <si>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in HEX</t>
    </r>
  </si>
  <si>
    <r>
      <t>720-01-09</t>
    </r>
    <r>
      <rPr>
        <b val="false"/>
        <color theme="1" tint="0"/>
        <sz val="11"/>
        <scheme val="minor"/>
      </rPr>
      <t xml:space="preserve"> B0 B1 B2 B3 B4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</si>
  <si>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</si>
  <si>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</si>
  <si>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</si>
  <si>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</si>
  <si>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theme="1" tint="0"/>
        <sz val="11"/>
        <scheme val="minor"/>
      </rPr>
      <t xml:space="preserve"> - CHECKSUM</t>
    </r>
  </si>
  <si>
    <t>09</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</si>
  <si>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</si>
  <si>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</si>
  <si>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</si>
  <si>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</si>
  <si>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</si>
  <si>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</si>
  <si>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</si>
  <si>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</si>
  <si>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</si>
  <si>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</si>
  <si>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</si>
  <si>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</si>
  <si>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</si>
  <si>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</si>
  <si>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</si>
  <si>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</si>
  <si>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</si>
  <si>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</si>
  <si>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</si>
  <si>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</si>
  <si>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</si>
  <si>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</si>
  <si>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</si>
  <si>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720-02-01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</si>
  <si>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</si>
  <si>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</si>
  <si>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</si>
  <si>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</si>
  <si>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</si>
  <si>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</si>
  <si>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b val="true"/>
        <color theme="1" tint="0"/>
        <sz val="11"/>
        <scheme val="minor"/>
      </rPr>
      <t xml:space="preserve">SBS Volume:
</t>
    </r>
    <r>
      <rPr>
        <i val="true"/>
        <color theme="1" tint="0"/>
        <sz val="10"/>
        <scheme val="minor"/>
      </rPr>
      <t xml:space="preserve">b7b6 -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Off
</t>
    </r>
    <r>
      <rPr>
        <b val="true"/>
        <color theme="1" tint="0"/>
        <sz val="11"/>
        <scheme val="minor"/>
      </rPr>
      <t>10</t>
    </r>
    <r>
      <rPr>
        <color theme="1" tint="0"/>
        <sz val="11"/>
        <scheme val="minor"/>
      </rPr>
      <t xml:space="preserve"> - Low
</t>
    </r>
    <r>
      <rPr>
        <b val="true"/>
        <color theme="1" tint="0"/>
        <sz val="11"/>
        <scheme val="minor"/>
      </rPr>
      <t>11</t>
    </r>
    <r>
      <rPr>
        <color theme="1" tint="0"/>
        <sz val="11"/>
        <scheme val="minor"/>
      </rPr>
      <t xml:space="preserve"> - High
</t>
    </r>
  </si>
  <si>
    <r>
      <rPr>
        <b val="true"/>
        <color theme="1" tint="0"/>
        <sz val="11"/>
        <scheme val="minor"/>
      </rPr>
      <t>Adaptive headligts (AFS)</t>
    </r>
    <r>
      <rPr>
        <color theme="1" tint="0"/>
        <sz val="11"/>
        <scheme val="minor"/>
      </rPr>
      <t xml:space="preserve">:
</t>
    </r>
    <r>
      <rPr>
        <i val="true"/>
        <color theme="1" tint="0"/>
        <sz val="10"/>
        <scheme val="minor"/>
      </rPr>
      <t xml:space="preserve">b7b6 - Value
</t>
    </r>
    <r>
      <rPr>
        <b val="true"/>
        <color theme="1" tint="0"/>
        <sz val="11"/>
        <scheme val="minor"/>
      </rPr>
      <t>10</t>
    </r>
    <r>
      <rPr>
        <color theme="1" tint="0"/>
        <sz val="11"/>
        <scheme val="minor"/>
      </rPr>
      <t xml:space="preserve"> - On
</t>
    </r>
    <r>
      <rPr>
        <b val="true"/>
        <color theme="1" tint="0"/>
        <sz val="11"/>
        <scheme val="minor"/>
      </rPr>
      <t>01</t>
    </r>
    <r>
      <rPr>
        <color theme="1" tint="0"/>
        <sz val="11"/>
        <scheme val="minor"/>
      </rPr>
      <t xml:space="preserve"> - Off</t>
    </r>
  </si>
  <si>
    <r>
      <rPr>
        <b val="true"/>
        <color theme="1" tint="0"/>
        <sz val="11"/>
        <scheme val="minor"/>
      </rPr>
      <t xml:space="preserve">Lighting - Light On Vol:
</t>
    </r>
    <r>
      <rPr>
        <i val="true"/>
        <color theme="1" tint="0"/>
        <sz val="10"/>
        <scheme val="minor"/>
      </rPr>
      <t xml:space="preserve">b5b4 -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Off
</t>
    </r>
    <r>
      <rPr>
        <b val="true"/>
        <color theme="1" tint="0"/>
        <sz val="11"/>
        <scheme val="minor"/>
      </rPr>
      <t>10</t>
    </r>
    <r>
      <rPr>
        <color theme="1" tint="0"/>
        <sz val="11"/>
        <scheme val="minor"/>
      </rPr>
      <t xml:space="preserve"> - Low
</t>
    </r>
    <r>
      <rPr>
        <b val="true"/>
        <color theme="1" tint="0"/>
        <sz val="11"/>
        <scheme val="minor"/>
      </rPr>
      <t>11</t>
    </r>
    <r>
      <rPr>
        <color theme="1" tint="0"/>
        <sz val="11"/>
        <scheme val="minor"/>
      </rPr>
      <t xml:space="preserve"> - High</t>
    </r>
  </si>
  <si>
    <r>
      <rPr>
        <b val="true"/>
        <color theme="1" tint="0"/>
        <sz val="11"/>
        <scheme val="minor"/>
      </rPr>
      <t xml:space="preserve">RVM Volume:
</t>
    </r>
    <r>
      <rPr>
        <i val="true"/>
        <color theme="1" tint="0"/>
        <sz val="10"/>
        <scheme val="minor"/>
      </rPr>
      <t xml:space="preserve">b5b4 -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Off
</t>
    </r>
    <r>
      <rPr>
        <b val="true"/>
        <color theme="1" tint="0"/>
        <sz val="11"/>
        <scheme val="minor"/>
      </rPr>
      <t>10</t>
    </r>
    <r>
      <rPr>
        <color theme="1" tint="0"/>
        <sz val="11"/>
        <scheme val="minor"/>
      </rPr>
      <t xml:space="preserve"> - Low
</t>
    </r>
    <r>
      <rPr>
        <b val="true"/>
        <color theme="1" tint="0"/>
        <sz val="11"/>
        <scheme val="minor"/>
      </rPr>
      <t>11</t>
    </r>
    <r>
      <rPr>
        <color theme="1" tint="0"/>
        <sz val="11"/>
        <scheme val="minor"/>
      </rPr>
      <t xml:space="preserve"> - High</t>
    </r>
  </si>
  <si>
    <r>
      <rPr>
        <b val="true"/>
        <color theme="1" tint="0"/>
        <sz val="11"/>
        <scheme val="minor"/>
      </rPr>
      <t xml:space="preserve">Sync Average and Trip A:
</t>
    </r>
    <r>
      <rPr>
        <i val="true"/>
        <color theme="1" tint="0"/>
        <sz val="10"/>
        <scheme val="minor"/>
      </rPr>
      <t xml:space="preserve">b5b4 -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Off
</t>
    </r>
    <r>
      <rPr>
        <b val="true"/>
        <color theme="1" tint="0"/>
        <sz val="11"/>
        <scheme val="minor"/>
      </rPr>
      <t>10</t>
    </r>
    <r>
      <rPr>
        <color theme="1" tint="0"/>
        <sz val="11"/>
        <scheme val="minor"/>
      </rPr>
      <t xml:space="preserve"> - On</t>
    </r>
  </si>
  <si>
    <r>
      <rPr>
        <b val="true"/>
        <color theme="1" tint="0"/>
        <sz val="11"/>
        <scheme val="minor"/>
      </rPr>
      <t>LDWS/LAS Warning type</t>
    </r>
    <r>
      <rPr>
        <color theme="1" tint="0"/>
        <sz val="11"/>
        <scheme val="minor"/>
      </rPr>
      <t xml:space="preserve">:
</t>
    </r>
    <r>
      <rPr>
        <i val="true"/>
        <color theme="1" tint="0"/>
        <sz val="10"/>
        <scheme val="minor"/>
      </rPr>
      <t xml:space="preserve">b3b2 - Value
</t>
    </r>
    <r>
      <rPr>
        <b val="true"/>
        <color theme="1" tint="0"/>
        <sz val="11"/>
        <scheme val="minor"/>
      </rPr>
      <t>00</t>
    </r>
    <r>
      <rPr>
        <color theme="1" tint="0"/>
        <sz val="11"/>
        <scheme val="minor"/>
      </rPr>
      <t xml:space="preserve"> - Beep 
</t>
    </r>
    <r>
      <rPr>
        <b val="true"/>
        <color theme="1" tint="0"/>
        <sz val="11"/>
        <scheme val="minor"/>
      </rPr>
      <t>10</t>
    </r>
    <r>
      <rPr>
        <color theme="1" tint="0"/>
        <sz val="11"/>
        <scheme val="minor"/>
      </rPr>
      <t xml:space="preserve"> - Rumble 
</t>
    </r>
    <r>
      <rPr>
        <b val="true"/>
        <color theme="1" tint="0"/>
        <sz val="11"/>
        <scheme val="minor"/>
      </rPr>
      <t>11</t>
    </r>
    <r>
      <rPr>
        <color theme="1" tint="0"/>
        <sz val="11"/>
        <scheme val="minor"/>
      </rPr>
      <t xml:space="preserve"> - Vibration (LAS only)</t>
    </r>
  </si>
  <si>
    <r>
      <rPr>
        <b val="true"/>
        <color theme="1" tint="0"/>
        <sz val="11"/>
        <scheme val="minor"/>
      </rPr>
      <t xml:space="preserve">LDWS Volume:
</t>
    </r>
    <r>
      <rPr>
        <i val="true"/>
        <color theme="1" tint="0"/>
        <sz val="10"/>
        <scheme val="minor"/>
      </rPr>
      <t xml:space="preserve">b3b2 -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Volume 1
</t>
    </r>
    <r>
      <rPr>
        <b val="true"/>
        <color theme="1" tint="0"/>
        <sz val="11"/>
        <scheme val="minor"/>
      </rPr>
      <t>10</t>
    </r>
    <r>
      <rPr>
        <color theme="1" tint="0"/>
        <sz val="11"/>
        <scheme val="minor"/>
      </rPr>
      <t xml:space="preserve"> - Volume 2
</t>
    </r>
    <r>
      <rPr>
        <b val="true"/>
        <color theme="1" tint="0"/>
        <sz val="11"/>
        <scheme val="minor"/>
      </rPr>
      <t>11</t>
    </r>
    <r>
      <rPr>
        <color theme="1" tint="0"/>
        <sz val="11"/>
        <scheme val="minor"/>
      </rPr>
      <t xml:space="preserve"> - Volume 3</t>
    </r>
  </si>
  <si>
    <r>
      <rPr>
        <b val="true"/>
        <color theme="1" tint="0"/>
        <sz val="11"/>
        <scheme val="minor"/>
      </rPr>
      <t xml:space="preserve">Turn - Indicator Volume:
</t>
    </r>
    <r>
      <rPr>
        <i val="true"/>
        <color theme="1" tint="0"/>
        <sz val="10"/>
        <scheme val="minor"/>
      </rPr>
      <t xml:space="preserve">b1b0 -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Low
</t>
    </r>
    <r>
      <rPr>
        <b val="true"/>
        <color theme="1" tint="0"/>
        <sz val="11"/>
        <scheme val="minor"/>
      </rPr>
      <t>10</t>
    </r>
    <r>
      <rPr>
        <color theme="1" tint="0"/>
        <sz val="11"/>
        <scheme val="minor"/>
      </rPr>
      <t xml:space="preserve"> - High</t>
    </r>
  </si>
  <si>
    <r>
      <rPr>
        <b val="true"/>
        <color theme="1" tint="0"/>
        <sz val="11"/>
        <scheme val="minor"/>
      </rPr>
      <t xml:space="preserve">BSM Volume:
</t>
    </r>
    <r>
      <rPr>
        <i val="true"/>
        <color theme="1" tint="0"/>
        <sz val="10"/>
        <scheme val="minor"/>
      </rPr>
      <t xml:space="preserve">b1b0 -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Off
</t>
    </r>
    <r>
      <rPr>
        <b val="true"/>
        <color theme="1" tint="0"/>
        <sz val="11"/>
        <scheme val="minor"/>
      </rPr>
      <t>10</t>
    </r>
    <r>
      <rPr>
        <color theme="1" tint="0"/>
        <sz val="11"/>
        <scheme val="minor"/>
      </rPr>
      <t xml:space="preserve"> - Low
</t>
    </r>
    <r>
      <rPr>
        <b val="true"/>
        <color theme="1" tint="0"/>
        <sz val="11"/>
        <scheme val="minor"/>
      </rPr>
      <t>11</t>
    </r>
    <r>
      <rPr>
        <color theme="1" tint="0"/>
        <sz val="11"/>
        <scheme val="minor"/>
      </rPr>
      <t xml:space="preserve"> - High</t>
    </r>
  </si>
  <si>
    <t>CHECKSUM</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</si>
  <si>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</si>
  <si>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720-04-01</t>
    </r>
    <r>
      <rPr>
        <b val="false"/>
        <color theme="1" tint="0"/>
        <sz val="11"/>
        <scheme val="minor"/>
      </rPr>
      <t xml:space="preserve"> B0 B1 B2 B3 B4 B5 in HEX</t>
    </r>
  </si>
  <si>
    <r>
      <rPr>
        <color rgb="7030A0" tint="0"/>
        <sz val="11"/>
        <scheme val="minor"/>
      </rPr>
      <t>B0</t>
    </r>
    <r>
      <rPr>
        <color rgb="FF0000" tint="0"/>
        <sz val="11"/>
        <scheme val="minor"/>
      </rPr>
      <t>B1</t>
    </r>
    <r>
      <rPr>
        <color theme="1" tint="0"/>
        <sz val="11"/>
        <scheme val="minor"/>
      </rPr>
      <t xml:space="preserve"> - CHECKSUM</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</si>
  <si>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</si>
  <si>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</si>
  <si>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</si>
  <si>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</si>
  <si>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New B0B1</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</si>
  <si>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</si>
  <si>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</si>
  <si>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</si>
  <si>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</si>
  <si>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</si>
  <si>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B3</t>
    </r>
    <r>
      <rPr>
        <color rgb="000000" tint="0"/>
        <sz val="11"/>
        <scheme val="minor"/>
      </rPr>
      <t xml:space="preserve"> - Data Start Byte [C1]</t>
    </r>
  </si>
  <si>
    <r>
      <rPr>
        <b val="true"/>
        <color theme="4" tint="0"/>
        <sz val="11"/>
        <scheme val="minor"/>
      </rPr>
      <t>B4</t>
    </r>
    <r>
      <rPr>
        <color rgb="333333" tint="0"/>
        <sz val="11"/>
        <scheme val="minor"/>
      </rPr>
      <t> - Block#00</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</si>
  <si>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</si>
  <si>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</si>
  <si>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720-04-03</t>
    </r>
    <r>
      <rPr>
        <b val="false"/>
        <color theme="1" tint="0"/>
        <sz val="11"/>
        <scheme val="minor"/>
      </rPr>
      <t xml:space="preserve"> B0 B1 B2 B3 B4 B5 in HEX</t>
    </r>
  </si>
  <si>
    <r>
      <rPr>
        <color rgb="7030A0" tint="0"/>
        <sz val="11"/>
        <scheme val="minor"/>
      </rPr>
      <t xml:space="preserve">B0 </t>
    </r>
    <r>
      <rPr>
        <color theme="1" tint="0"/>
        <sz val="11"/>
        <scheme val="minor"/>
      </rPr>
      <t>- VIN#01</t>
    </r>
  </si>
  <si>
    <r>
      <rPr>
        <color rgb="FF0000" tint="0"/>
        <sz val="11"/>
        <scheme val="minor"/>
      </rPr>
      <t xml:space="preserve">B1 </t>
    </r>
    <r>
      <rPr>
        <color theme="1" tint="0"/>
        <sz val="11"/>
        <scheme val="minor"/>
      </rPr>
      <t>- VIN#02</t>
    </r>
  </si>
  <si>
    <r>
      <rPr>
        <color rgb="FFC000" tint="0"/>
        <sz val="11"/>
        <scheme val="minor"/>
      </rPr>
      <t xml:space="preserve">B2 </t>
    </r>
    <r>
      <rPr>
        <color theme="1" tint="0"/>
        <sz val="11"/>
        <scheme val="minor"/>
      </rPr>
      <t>- VIN#03</t>
    </r>
  </si>
  <si>
    <r>
      <rPr>
        <color rgb="FFFF00" tint="0"/>
        <sz val="11"/>
        <scheme val="minor"/>
      </rPr>
      <t xml:space="preserve">B3 </t>
    </r>
    <r>
      <rPr>
        <color theme="1" tint="0"/>
        <sz val="11"/>
        <scheme val="minor"/>
      </rPr>
      <t>- VIN#04</t>
    </r>
  </si>
  <si>
    <r>
      <rPr>
        <b val="true"/>
        <color theme="4" tint="0"/>
        <sz val="11"/>
        <scheme val="minor"/>
      </rPr>
      <t>B4</t>
    </r>
    <r>
      <rPr>
        <color rgb="333333" tint="0"/>
        <sz val="11"/>
        <scheme val="minor"/>
      </rPr>
      <t> - VIN#05</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</si>
  <si>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</si>
  <si>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</si>
  <si>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720-04-04</t>
    </r>
    <r>
      <rPr>
        <b val="false"/>
        <color theme="1" tint="0"/>
        <sz val="11"/>
        <scheme val="minor"/>
      </rPr>
      <t xml:space="preserve"> B0 B1 B2 B3 B4 B5 in HEX</t>
    </r>
  </si>
  <si>
    <r>
      <rPr>
        <color rgb="7030A0" tint="0"/>
        <sz val="11"/>
        <scheme val="minor"/>
      </rPr>
      <t xml:space="preserve">B0 </t>
    </r>
    <r>
      <rPr>
        <color theme="1" tint="0"/>
        <sz val="11"/>
        <scheme val="minor"/>
      </rPr>
      <t>- VIN#06</t>
    </r>
  </si>
  <si>
    <r>
      <rPr>
        <color rgb="FF0000" tint="0"/>
        <sz val="11"/>
        <scheme val="minor"/>
      </rPr>
      <t xml:space="preserve">B1 </t>
    </r>
    <r>
      <rPr>
        <color theme="1" tint="0"/>
        <sz val="11"/>
        <scheme val="minor"/>
      </rPr>
      <t>- Data Start Byte [C1]</t>
    </r>
  </si>
  <si>
    <r>
      <rPr>
        <color rgb="FFC000" tint="0"/>
        <sz val="11"/>
        <scheme val="minor"/>
      </rPr>
      <t xml:space="preserve">B2 </t>
    </r>
    <r>
      <rPr>
        <color theme="1" tint="0"/>
        <sz val="11"/>
        <scheme val="minor"/>
      </rPr>
      <t>- Block#01</t>
    </r>
  </si>
  <si>
    <r>
      <rPr>
        <color rgb="FFFF00" tint="0"/>
        <sz val="11"/>
        <scheme val="minor"/>
      </rPr>
      <t xml:space="preserve">B3 </t>
    </r>
    <r>
      <rPr>
        <color theme="1" tint="0"/>
        <sz val="11"/>
        <scheme val="minor"/>
      </rPr>
      <t>- VIN#07</t>
    </r>
  </si>
  <si>
    <r>
      <rPr>
        <b val="true"/>
        <color theme="4" tint="0"/>
        <sz val="11"/>
        <scheme val="minor"/>
      </rPr>
      <t>B4</t>
    </r>
    <r>
      <rPr>
        <color rgb="333333" tint="0"/>
        <sz val="11"/>
        <scheme val="minor"/>
      </rPr>
      <t> - VIN#08</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</si>
  <si>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</si>
  <si>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</si>
  <si>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720-04-05</t>
    </r>
    <r>
      <rPr>
        <b val="false"/>
        <color theme="1" tint="0"/>
        <sz val="11"/>
        <scheme val="minor"/>
      </rPr>
      <t xml:space="preserve"> B0 B1 B2 B3 B4 B5 in HEX</t>
    </r>
  </si>
  <si>
    <r>
      <rPr>
        <color rgb="7030A0" tint="0"/>
        <sz val="11"/>
        <scheme val="minor"/>
      </rPr>
      <t xml:space="preserve">B0 </t>
    </r>
    <r>
      <rPr>
        <color theme="1" tint="0"/>
        <sz val="11"/>
        <scheme val="minor"/>
      </rPr>
      <t>- VIN#09</t>
    </r>
  </si>
  <si>
    <r>
      <rPr>
        <color rgb="FF0000" tint="0"/>
        <sz val="11"/>
        <scheme val="minor"/>
      </rPr>
      <t xml:space="preserve">B1 </t>
    </r>
    <r>
      <rPr>
        <color theme="1" tint="0"/>
        <sz val="11"/>
        <scheme val="minor"/>
      </rPr>
      <t>- VIN#10</t>
    </r>
  </si>
  <si>
    <r>
      <rPr>
        <color rgb="FFC000" tint="0"/>
        <sz val="11"/>
        <scheme val="minor"/>
      </rPr>
      <t xml:space="preserve">B2 </t>
    </r>
    <r>
      <rPr>
        <color theme="1" tint="0"/>
        <sz val="11"/>
        <scheme val="minor"/>
      </rPr>
      <t>- VIN#11</t>
    </r>
  </si>
  <si>
    <r>
      <rPr>
        <color rgb="FFFF00" tint="0"/>
        <sz val="11"/>
        <scheme val="minor"/>
      </rPr>
      <t xml:space="preserve">B3 </t>
    </r>
    <r>
      <rPr>
        <color theme="1" tint="0"/>
        <sz val="11"/>
        <scheme val="minor"/>
      </rPr>
      <t>- VIN#12</t>
    </r>
  </si>
  <si>
    <r>
      <rPr>
        <b val="true"/>
        <color theme="4" tint="0"/>
        <sz val="11"/>
        <scheme val="minor"/>
      </rPr>
      <t>B4</t>
    </r>
    <r>
      <rPr>
        <color rgb="333333" tint="0"/>
        <sz val="11"/>
        <scheme val="minor"/>
      </rPr>
      <t xml:space="preserve"> - Data Start Byte [C1]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</si>
  <si>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</si>
  <si>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</si>
  <si>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720-04-06</t>
    </r>
    <r>
      <rPr>
        <b val="false"/>
        <color theme="1" tint="0"/>
        <sz val="11"/>
        <scheme val="minor"/>
      </rPr>
      <t xml:space="preserve"> B0 B1 B2 B3 B4 B5 in HEX</t>
    </r>
  </si>
  <si>
    <r>
      <rPr>
        <color rgb="7030A0" tint="0"/>
        <sz val="11"/>
        <scheme val="minor"/>
      </rPr>
      <t>B0</t>
    </r>
    <r>
      <rPr>
        <color rgb="000000" tint="0"/>
        <sz val="11"/>
        <scheme val="minor"/>
      </rPr>
      <t xml:space="preserve"> - Block#02</t>
    </r>
  </si>
  <si>
    <r>
      <rPr>
        <color rgb="FF0000" tint="0"/>
        <sz val="11"/>
        <scheme val="minor"/>
      </rPr>
      <t xml:space="preserve">B1 </t>
    </r>
    <r>
      <rPr>
        <color theme="1" tint="0"/>
        <sz val="11"/>
        <scheme val="minor"/>
      </rPr>
      <t>- VIN#13</t>
    </r>
  </si>
  <si>
    <r>
      <rPr>
        <color rgb="FFC000" tint="0"/>
        <sz val="11"/>
        <scheme val="minor"/>
      </rPr>
      <t xml:space="preserve">B2 </t>
    </r>
    <r>
      <rPr>
        <color theme="1" tint="0"/>
        <sz val="11"/>
        <scheme val="minor"/>
      </rPr>
      <t>- VIN#14</t>
    </r>
  </si>
  <si>
    <r>
      <rPr>
        <color rgb="FFFF00" tint="0"/>
        <sz val="11"/>
        <scheme val="minor"/>
      </rPr>
      <t xml:space="preserve">B3 </t>
    </r>
    <r>
      <rPr>
        <color theme="1" tint="0"/>
        <sz val="11"/>
        <scheme val="minor"/>
      </rPr>
      <t>- VIN#15</t>
    </r>
  </si>
  <si>
    <r>
      <rPr>
        <b val="true"/>
        <color theme="4" tint="0"/>
        <sz val="11"/>
        <scheme val="minor"/>
      </rPr>
      <t>B4</t>
    </r>
    <r>
      <rPr>
        <color rgb="333333" tint="0"/>
        <sz val="11"/>
        <scheme val="minor"/>
      </rPr>
      <t> - VIN#16</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</si>
  <si>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</si>
  <si>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</si>
  <si>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720-04-07</t>
    </r>
    <r>
      <rPr>
        <b val="false"/>
        <color theme="1" tint="0"/>
        <sz val="11"/>
        <scheme val="minor"/>
      </rPr>
      <t xml:space="preserve"> B0 B1 B2 B3 B4 B5 in HEX</t>
    </r>
  </si>
  <si>
    <r>
      <rPr>
        <color rgb="7030A0" tint="0"/>
        <sz val="11"/>
        <scheme val="minor"/>
      </rPr>
      <t xml:space="preserve">B0 </t>
    </r>
    <r>
      <rPr>
        <color theme="1" tint="0"/>
        <sz val="11"/>
        <scheme val="minor"/>
      </rPr>
      <t>- VIN#17</t>
    </r>
  </si>
  <si>
    <r>
      <rPr>
        <color rgb="FF0000" tint="0"/>
        <sz val="11"/>
        <scheme val="minor"/>
      </rPr>
      <t xml:space="preserve">B1 </t>
    </r>
    <r>
      <rPr>
        <color theme="1" tint="0"/>
        <sz val="11"/>
        <scheme val="minor"/>
      </rPr>
      <t>in BIN (0 or 1):</t>
    </r>
  </si>
  <si>
    <r>
      <rPr>
        <color rgb="FFC000" tint="0"/>
        <sz val="11"/>
        <scheme val="minor"/>
      </rPr>
      <t>B2</t>
    </r>
    <r>
      <rPr>
        <color theme="1" tint="0"/>
        <sz val="11"/>
        <scheme val="minor"/>
      </rPr>
      <t xml:space="preserve"> - Data Start Byte [C1]</t>
    </r>
  </si>
  <si>
    <r>
      <rPr>
        <color rgb="FFFF00" tint="0"/>
        <sz val="11"/>
        <scheme val="minor"/>
      </rPr>
      <t xml:space="preserve">B3 </t>
    </r>
    <r>
      <rPr>
        <color theme="1" tint="0"/>
        <sz val="11"/>
        <scheme val="minor"/>
      </rPr>
      <t>- Block#03</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</si>
  <si>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</si>
  <si>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</si>
  <si>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</si>
  <si>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</si>
  <si>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</si>
  <si>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</si>
  <si>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</si>
  <si>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</si>
  <si>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</si>
  <si>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</si>
  <si>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</si>
  <si>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720-04-08</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</si>
  <si>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</si>
  <si>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</si>
  <si>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</si>
  <si>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</si>
  <si>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</si>
  <si>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</si>
  <si>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</si>
  <si>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</si>
  <si>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</si>
  <si>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</si>
  <si>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</si>
  <si>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</si>
  <si>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</si>
  <si>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</si>
  <si>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Steering Wheel Location</t>
    </r>
    <r>
      <rPr>
        <color theme="1" tint="0"/>
        <sz val="11"/>
        <scheme val="minor"/>
      </rPr>
      <t xml:space="preserve">:
</t>
    </r>
    <r>
      <rPr>
        <i val="true"/>
        <color theme="1" tint="0"/>
        <sz val="10"/>
        <scheme val="minor"/>
      </rPr>
      <t xml:space="preserve">b5b4 - Value
</t>
    </r>
    <r>
      <rPr>
        <b val="true"/>
        <color theme="1" tint="0"/>
        <sz val="11"/>
        <scheme val="minor"/>
      </rPr>
      <t>01</t>
    </r>
    <r>
      <rPr>
        <color theme="1" tint="0"/>
        <sz val="11"/>
        <scheme val="minor"/>
      </rPr>
      <t xml:space="preserve"> - Left Hand Drive
</t>
    </r>
    <r>
      <rPr>
        <b val="true"/>
        <color theme="1" tint="0"/>
        <sz val="11"/>
        <scheme val="minor"/>
      </rPr>
      <t>10</t>
    </r>
    <r>
      <rPr>
        <color theme="1" tint="0"/>
        <sz val="11"/>
        <scheme val="minor"/>
      </rPr>
      <t xml:space="preserve"> - Right Hand Drive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</si>
  <si>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</si>
  <si>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</si>
  <si>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</si>
  <si>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</si>
  <si>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</si>
  <si>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</si>
  <si>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</si>
  <si>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</si>
  <si>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</si>
  <si>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TCM</t>
    </r>
    <r>
      <rPr>
        <color theme="1" tint="0"/>
        <sz val="11"/>
        <scheme val="minor"/>
      </rPr>
      <t xml:space="preserve">:
</t>
    </r>
    <r>
      <rPr>
        <i val="true"/>
        <color theme="1" tint="0"/>
        <sz val="10"/>
        <scheme val="minor"/>
      </rPr>
      <t xml:space="preserve">b2b1 - Value
</t>
    </r>
    <r>
      <rPr>
        <b val="true"/>
        <color theme="1" tint="0"/>
        <sz val="11"/>
        <scheme val="minor"/>
      </rPr>
      <t>01</t>
    </r>
    <r>
      <rPr>
        <color theme="1" tint="0"/>
        <sz val="11"/>
        <scheme val="minor"/>
      </rPr>
      <t xml:space="preserve"> - Manual
</t>
    </r>
    <r>
      <rPr>
        <b val="true"/>
        <color theme="1" tint="0"/>
        <sz val="11"/>
        <scheme val="minor"/>
      </rPr>
      <t>10</t>
    </r>
    <r>
      <rPr>
        <color theme="1" tint="0"/>
        <sz val="11"/>
        <scheme val="minor"/>
      </rPr>
      <t xml:space="preserve"> - Auto</t>
    </r>
  </si>
  <si>
    <r>
      <t xml:space="preserve">0 </t>
    </r>
    <r>
      <rPr>
        <b val="false"/>
        <color rgb="FF0000" tint="0"/>
        <sz val="11"/>
        <scheme val="minor"/>
      </rPr>
      <t>= Permanent value</t>
    </r>
  </si>
  <si>
    <r>
      <t xml:space="preserve">Body Style:
</t>
    </r>
    <r>
      <rPr>
        <b val="false"/>
        <i val="true"/>
        <color theme="1" tint="0"/>
        <sz val="10"/>
        <scheme val="minor"/>
      </rPr>
      <t xml:space="preserve">b1b0 - Value
</t>
    </r>
    <r>
      <rPr>
        <b val="true"/>
        <color theme="1" tint="0"/>
        <sz val="11"/>
        <scheme val="minor"/>
      </rPr>
      <t xml:space="preserve">00 - </t>
    </r>
    <r>
      <rPr>
        <b val="false"/>
        <color theme="1" tint="0"/>
        <sz val="11"/>
        <scheme val="minor"/>
      </rPr>
      <t xml:space="preserve">4SD
</t>
    </r>
    <r>
      <rPr>
        <b val="true"/>
        <color theme="1" tint="0"/>
        <sz val="11"/>
        <scheme val="minor"/>
      </rPr>
      <t>0</t>
    </r>
    <r>
      <rPr>
        <b val="true"/>
        <color theme="1" tint="0"/>
        <sz val="11"/>
        <scheme val="minor"/>
      </rPr>
      <t xml:space="preserve">1 - </t>
    </r>
    <r>
      <rPr>
        <b val="false"/>
        <color theme="1" tint="0"/>
        <sz val="11"/>
        <scheme val="minor"/>
      </rPr>
      <t xml:space="preserve">5HB
</t>
    </r>
    <r>
      <rPr>
        <b val="true"/>
        <color theme="1" tint="0"/>
        <sz val="11"/>
        <scheme val="minor"/>
      </rPr>
      <t>10</t>
    </r>
    <r>
      <rPr>
        <b val="false"/>
        <color theme="1" tint="0"/>
        <sz val="11"/>
        <scheme val="minor"/>
      </rPr>
      <t xml:space="preserve"> - ??? (MX-5 only)</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</si>
  <si>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</si>
  <si>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</si>
  <si>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</si>
  <si>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</si>
  <si>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</si>
  <si>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720-04-09</t>
    </r>
    <r>
      <rPr>
        <b val="false"/>
        <color theme="1" tint="0"/>
        <sz val="11"/>
        <scheme val="minor"/>
      </rPr>
      <t xml:space="preserve"> B0 B1 B2 B3 B4 B5 in HEX</t>
    </r>
  </si>
  <si>
    <r>
      <rPr>
        <color rgb="7030A0" tint="0"/>
        <sz val="11"/>
        <scheme val="minor"/>
      </rPr>
      <t xml:space="preserve">B0 </t>
    </r>
    <r>
      <rPr>
        <color theme="1" tint="0"/>
        <sz val="11"/>
        <scheme val="minor"/>
      </rPr>
      <t>- Data Start Byte [C1]</t>
    </r>
  </si>
  <si>
    <r>
      <rPr>
        <color rgb="FF0000" tint="0"/>
        <sz val="11"/>
        <scheme val="minor"/>
      </rPr>
      <t xml:space="preserve">B1 </t>
    </r>
    <r>
      <rPr>
        <color theme="1" tint="0"/>
        <sz val="11"/>
        <scheme val="minor"/>
      </rPr>
      <t>- Block#04</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</si>
  <si>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</si>
  <si>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</si>
  <si>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</si>
  <si>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</si>
  <si>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Speed Correction</t>
  </si>
  <si>
    <r>
      <t xml:space="preserve">0 </t>
    </r>
    <r>
      <rPr>
        <b val="false"/>
        <color rgb="FF0000" tint="0"/>
        <sz val="11"/>
        <scheme val="minor"/>
      </rPr>
      <t>= Permanent value</t>
    </r>
  </si>
  <si>
    <r>
      <t xml:space="preserve">0 </t>
    </r>
    <r>
      <rPr>
        <b val="false"/>
        <color rgb="FF0000" tint="0"/>
        <sz val="11"/>
        <scheme val="minor"/>
      </rPr>
      <t>= Permanent value</t>
    </r>
  </si>
  <si>
    <t>Enter Car value below:</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</si>
  <si>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</si>
  <si>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</si>
  <si>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</si>
  <si>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</si>
  <si>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Enter GPS value below:</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</si>
  <si>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</si>
  <si>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</si>
  <si>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</si>
  <si>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</si>
  <si>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Difference (calculated)</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</si>
  <si>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</si>
  <si>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</si>
  <si>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</si>
  <si>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</si>
  <si>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</si>
  <si>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</si>
  <si>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</si>
  <si>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</si>
  <si>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</si>
  <si>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</si>
  <si>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</si>
  <si>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 Config Start Byte [BF]</t>
    </r>
  </si>
  <si>
    <r>
      <rPr>
        <b val="true"/>
        <color theme="4" tint="0"/>
        <sz val="11"/>
        <scheme val="minor"/>
      </rPr>
      <t>B4</t>
    </r>
    <r>
      <rPr>
        <color rgb="333333" tint="0"/>
        <sz val="11"/>
        <scheme val="minor"/>
      </rPr>
      <t> - Block#01</t>
    </r>
  </si>
  <si>
    <r>
      <rPr>
        <color rgb="92D050" tint="0"/>
        <sz val="11"/>
        <scheme val="minor"/>
      </rPr>
      <t>B5</t>
    </r>
    <r>
      <rPr>
        <color theme="1" tint="0"/>
        <sz val="11"/>
        <scheme val="minor"/>
      </rPr>
      <t xml:space="preserve"> - CHECKSUM</t>
    </r>
  </si>
  <si>
    <t>10</t>
  </si>
  <si>
    <t>Old value (DEC):</t>
  </si>
  <si>
    <r>
      <t xml:space="preserve">0 </t>
    </r>
    <r>
      <rPr>
        <b val="false"/>
        <color rgb="FF0000" tint="0"/>
        <sz val="11"/>
        <scheme val="minor"/>
      </rPr>
      <t>= Permanent value</t>
    </r>
  </si>
  <si>
    <r>
      <t xml:space="preserve">0 </t>
    </r>
    <r>
      <rPr>
        <b val="false"/>
        <color rgb="FF0000" tint="0"/>
        <sz val="11"/>
        <scheme val="minor"/>
      </rPr>
      <t>= Permanent value</t>
    </r>
  </si>
  <si>
    <t>New value (DEC):</t>
  </si>
  <si>
    <r>
      <t xml:space="preserve">0 </t>
    </r>
    <r>
      <rPr>
        <b val="false"/>
        <color rgb="FF0000" tint="0"/>
        <sz val="11"/>
        <scheme val="minor"/>
      </rPr>
      <t>= Permanent value</t>
    </r>
  </si>
  <si>
    <r>
      <t xml:space="preserve">0 </t>
    </r>
    <r>
      <rPr>
        <b val="false"/>
        <color rgb="FF0000" tint="0"/>
        <sz val="11"/>
        <scheme val="minor"/>
      </rPr>
      <t>= Permanent value</t>
    </r>
  </si>
  <si>
    <t>09 B4 value (BIN):</t>
  </si>
  <si>
    <r>
      <t xml:space="preserve">0 </t>
    </r>
    <r>
      <rPr>
        <b val="false"/>
        <color rgb="FF0000" tint="0"/>
        <sz val="11"/>
        <scheme val="minor"/>
      </rPr>
      <t>= Permanent value</t>
    </r>
  </si>
  <si>
    <r>
      <t xml:space="preserve">0 </t>
    </r>
    <r>
      <rPr>
        <b val="false"/>
        <color rgb="FF0000" tint="0"/>
        <sz val="11"/>
        <scheme val="minor"/>
      </rPr>
      <t>= Permanent value</t>
    </r>
  </si>
  <si>
    <t>10 B1 value (BIN):</t>
  </si>
  <si>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</si>
  <si>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</si>
  <si>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</si>
  <si>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</si>
  <si>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</si>
  <si>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</si>
  <si>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</si>
  <si>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</si>
  <si>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</si>
  <si>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</si>
  <si>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11</t>
  </si>
  <si>
    <r>
      <rPr>
        <b val="true"/>
        <color theme="1" tint="0"/>
        <sz val="11"/>
        <scheme val="minor"/>
      </rPr>
      <t>Destination</t>
    </r>
    <r>
      <rPr>
        <color theme="1" tint="0"/>
        <sz val="11"/>
        <scheme val="minor"/>
      </rPr>
      <t xml:space="preserve">:
</t>
    </r>
    <r>
      <rPr>
        <i val="true"/>
        <color theme="1" tint="0"/>
        <sz val="10"/>
        <scheme val="minor"/>
      </rPr>
      <t xml:space="preserve">HEX - Value
</t>
    </r>
    <r>
      <rPr>
        <b val="true"/>
        <color theme="1" tint="0"/>
        <sz val="11"/>
        <scheme val="minor"/>
      </rPr>
      <t>11</t>
    </r>
    <r>
      <rPr>
        <color theme="1" tint="0"/>
        <sz val="11"/>
        <scheme val="minor"/>
      </rPr>
      <t xml:space="preserve">  - Japan
</t>
    </r>
    <r>
      <rPr>
        <b val="true"/>
        <color theme="1" tint="0"/>
        <sz val="11"/>
        <scheme val="minor"/>
      </rPr>
      <t>14</t>
    </r>
    <r>
      <rPr>
        <color theme="1" tint="0"/>
        <sz val="11"/>
        <scheme val="minor"/>
      </rPr>
      <t xml:space="preserve"> - Japan
</t>
    </r>
    <r>
      <rPr>
        <b val="true"/>
        <color theme="1" tint="0"/>
        <sz val="11"/>
        <scheme val="minor"/>
      </rPr>
      <t>21</t>
    </r>
    <r>
      <rPr>
        <color theme="1" tint="0"/>
        <sz val="11"/>
        <scheme val="minor"/>
      </rPr>
      <t xml:space="preserve"> - North America
</t>
    </r>
    <r>
      <rPr>
        <b val="true"/>
        <color theme="1" tint="0"/>
        <sz val="11"/>
        <scheme val="minor"/>
      </rPr>
      <t>24</t>
    </r>
    <r>
      <rPr>
        <color theme="1" tint="0"/>
        <sz val="11"/>
        <scheme val="minor"/>
      </rPr>
      <t xml:space="preserve"> - North America 4WD
</t>
    </r>
    <r>
      <rPr>
        <b val="true"/>
        <color theme="1" tint="0"/>
        <sz val="11"/>
        <scheme val="minor"/>
      </rPr>
      <t>31</t>
    </r>
    <r>
      <rPr>
        <color theme="1" tint="0"/>
        <sz val="11"/>
        <scheme val="minor"/>
      </rPr>
      <t xml:space="preserve"> - EU
</t>
    </r>
    <r>
      <rPr>
        <b val="true"/>
        <color theme="1" tint="0"/>
        <sz val="11"/>
        <scheme val="minor"/>
      </rPr>
      <t>34</t>
    </r>
    <r>
      <rPr>
        <color theme="1" tint="0"/>
        <sz val="11"/>
        <scheme val="minor"/>
      </rPr>
      <t xml:space="preserve"> - EU 4WD
</t>
    </r>
    <r>
      <rPr>
        <b val="true"/>
        <color theme="1" tint="0"/>
        <sz val="11"/>
        <scheme val="minor"/>
      </rPr>
      <t>41</t>
    </r>
    <r>
      <rPr>
        <color theme="1" tint="0"/>
        <sz val="11"/>
        <scheme val="minor"/>
      </rPr>
      <t xml:space="preserve"> - UK w/TPMS
</t>
    </r>
    <r>
      <rPr>
        <b val="true"/>
        <color theme="1" tint="0"/>
        <sz val="11"/>
        <scheme val="minor"/>
      </rPr>
      <t xml:space="preserve">44 </t>
    </r>
    <r>
      <rPr>
        <color theme="1" tint="0"/>
        <sz val="11"/>
        <scheme val="minor"/>
      </rPr>
      <t xml:space="preserve">- UK w/TPMS 4WD
</t>
    </r>
    <r>
      <rPr>
        <b val="true"/>
        <color theme="1" tint="0"/>
        <sz val="11"/>
        <scheme val="minor"/>
      </rPr>
      <t>51</t>
    </r>
    <r>
      <rPr>
        <color theme="1" tint="0"/>
        <sz val="11"/>
        <scheme val="minor"/>
      </rPr>
      <t xml:space="preserve"> - ADR
</t>
    </r>
    <r>
      <rPr>
        <b val="true"/>
        <color theme="1" tint="0"/>
        <sz val="11"/>
        <scheme val="minor"/>
      </rPr>
      <t xml:space="preserve">54 </t>
    </r>
    <r>
      <rPr>
        <color theme="1" tint="0"/>
        <sz val="11"/>
        <scheme val="minor"/>
      </rPr>
      <t xml:space="preserve">- ADR 4WD
</t>
    </r>
    <r>
      <rPr>
        <b val="true"/>
        <color theme="1" tint="0"/>
        <sz val="11"/>
        <scheme val="minor"/>
      </rPr>
      <t>61</t>
    </r>
    <r>
      <rPr>
        <color theme="1" tint="0"/>
        <sz val="11"/>
        <scheme val="minor"/>
      </rPr>
      <t xml:space="preserve"> - GNRL_RHD
</t>
    </r>
    <r>
      <rPr>
        <b val="true"/>
        <color theme="1" tint="0"/>
        <sz val="11"/>
        <scheme val="minor"/>
      </rPr>
      <t xml:space="preserve">64 </t>
    </r>
    <r>
      <rPr>
        <color theme="1" tint="0"/>
        <sz val="11"/>
        <scheme val="minor"/>
      </rPr>
      <t xml:space="preserve">- GNRL_RHD 4WD
</t>
    </r>
    <r>
      <rPr>
        <b val="true"/>
        <color theme="1" tint="0"/>
        <sz val="11"/>
        <scheme val="minor"/>
      </rPr>
      <t>71</t>
    </r>
    <r>
      <rPr>
        <color theme="1" tint="0"/>
        <sz val="11"/>
        <scheme val="minor"/>
      </rPr>
      <t xml:space="preserve"> - GNRL_LHD
</t>
    </r>
    <r>
      <rPr>
        <b val="true"/>
        <color theme="1" tint="0"/>
        <sz val="11"/>
        <scheme val="minor"/>
      </rPr>
      <t xml:space="preserve">74 </t>
    </r>
    <r>
      <rPr>
        <color theme="1" tint="0"/>
        <sz val="11"/>
        <scheme val="minor"/>
      </rPr>
      <t xml:space="preserve"> - GNRL_LHD 4WD
</t>
    </r>
    <r>
      <rPr>
        <b val="true"/>
        <color theme="1" tint="0"/>
        <sz val="11"/>
        <scheme val="minor"/>
      </rPr>
      <t>81</t>
    </r>
    <r>
      <rPr>
        <color theme="1" tint="0"/>
        <sz val="11"/>
        <scheme val="minor"/>
      </rPr>
      <t xml:space="preserve"> - China
</t>
    </r>
    <r>
      <rPr>
        <b val="true"/>
        <color theme="1" tint="0"/>
        <sz val="11"/>
        <scheme val="minor"/>
      </rPr>
      <t xml:space="preserve">84 </t>
    </r>
    <r>
      <rPr>
        <color theme="1" tint="0"/>
        <sz val="11"/>
        <scheme val="minor"/>
      </rPr>
      <t>- China 4WD</t>
    </r>
  </si>
  <si>
    <r>
      <rPr>
        <b val="false"/>
        <i val="true"/>
        <color theme="1" tint="0"/>
        <sz val="10"/>
        <scheme val="minor"/>
      </rPr>
      <t xml:space="preserve">Hex - Value
</t>
    </r>
    <r>
      <rPr>
        <b val="true"/>
        <color theme="1" tint="0"/>
        <sz val="11"/>
        <scheme val="minor"/>
      </rPr>
      <t xml:space="preserve">28 - ?
</t>
    </r>
    <r>
      <rPr>
        <b val="true"/>
        <color theme="1" tint="0"/>
        <sz val="11"/>
        <scheme val="minor"/>
      </rPr>
      <t xml:space="preserve">30 - ?
</t>
    </r>
    <r>
      <rPr>
        <b val="true"/>
        <color theme="1" tint="0"/>
        <sz val="11"/>
        <scheme val="minor"/>
      </rPr>
      <t xml:space="preserve">48 = 360VMC
</t>
    </r>
    <r>
      <rPr>
        <b val="true"/>
        <color theme="1" tint="0"/>
        <sz val="11"/>
        <scheme val="minor"/>
      </rPr>
      <t xml:space="preserve">49 - ?
</t>
    </r>
    <r>
      <rPr>
        <b val="true"/>
        <color theme="1" tint="0"/>
        <sz val="11"/>
        <scheme val="minor"/>
      </rPr>
      <t>4A - ?</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</si>
  <si>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</si>
  <si>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</si>
  <si>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</si>
  <si>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</si>
  <si>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</si>
  <si>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</si>
  <si>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</si>
  <si>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</si>
  <si>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</si>
  <si>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</si>
  <si>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</si>
  <si>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</si>
  <si>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</si>
  <si>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</si>
  <si>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</si>
  <si>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</si>
  <si>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</si>
  <si>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</si>
  <si>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</si>
  <si>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</si>
  <si>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</si>
  <si>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</si>
  <si>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</si>
  <si>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</si>
  <si>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</si>
  <si>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 Config Start Byte [BF]</t>
    </r>
  </si>
  <si>
    <r>
      <rPr>
        <color rgb="FFC000" tint="0"/>
        <sz val="11"/>
        <scheme val="minor"/>
      </rPr>
      <t xml:space="preserve">B2 </t>
    </r>
    <r>
      <rPr>
        <color theme="1" tint="0"/>
        <sz val="11"/>
        <scheme val="minor"/>
      </rPr>
      <t>- Block#02</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</si>
  <si>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</si>
  <si>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</si>
  <si>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</si>
  <si>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12</t>
  </si>
  <si>
    <r>
      <t xml:space="preserve">0 </t>
    </r>
    <r>
      <rPr>
        <b val="false"/>
        <color rgb="FF0000" tint="0"/>
        <sz val="11"/>
        <scheme val="minor"/>
      </rPr>
      <t>= Permanent value</t>
    </r>
  </si>
  <si>
    <r>
      <t xml:space="preserve">0 </t>
    </r>
    <r>
      <rPr>
        <b val="false"/>
        <color rgb="FF0000" tint="0"/>
        <sz val="11"/>
        <scheme val="minor"/>
      </rPr>
      <t>= Permanent value</t>
    </r>
  </si>
  <si>
    <t>1=AUTOHOLD</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</si>
  <si>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</si>
  <si>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</si>
  <si>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</si>
  <si>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</si>
  <si>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</si>
  <si>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</si>
  <si>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</si>
  <si>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</si>
  <si>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</si>
  <si>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</si>
  <si>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</si>
  <si>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</si>
  <si>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EPB: 1</t>
    </r>
    <r>
      <rPr>
        <color theme="1" tint="0"/>
        <sz val="11"/>
        <scheme val="minor"/>
      </rPr>
      <t xml:space="preserve"> - Present / </t>
    </r>
    <r>
      <rPr>
        <b val="true"/>
        <color theme="1" tint="0"/>
        <sz val="11"/>
        <scheme val="minor"/>
      </rPr>
      <t>0</t>
    </r>
    <r>
      <rPr>
        <color theme="1" tint="0"/>
        <sz val="11"/>
        <scheme val="minor"/>
      </rPr>
      <t xml:space="preserve"> - Not Present</t>
    </r>
  </si>
  <si>
    <r>
      <t xml:space="preserve">0 </t>
    </r>
    <r>
      <rPr>
        <b val="false"/>
        <color rgb="FF0000" tint="0"/>
        <sz val="11"/>
        <scheme val="minor"/>
      </rPr>
      <t>= Permanent value</t>
    </r>
  </si>
  <si>
    <r>
      <t xml:space="preserve">0 </t>
    </r>
    <r>
      <rPr>
        <b val="false"/>
        <color rgb="FF0000" tint="0"/>
        <sz val="11"/>
        <scheme val="minor"/>
      </rPr>
      <t>= Permanent value</t>
    </r>
  </si>
  <si>
    <t>1=MX-5 ONLY</t>
  </si>
  <si>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</si>
  <si>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</si>
  <si>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</si>
  <si>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</si>
  <si>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</si>
  <si>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</si>
  <si>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</si>
  <si>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Config Start Byte [BF]</t>
    </r>
  </si>
  <si>
    <r>
      <rPr>
        <color rgb="92D050" tint="0"/>
        <sz val="11"/>
        <scheme val="minor"/>
      </rPr>
      <t>B5</t>
    </r>
    <r>
      <rPr>
        <color theme="1" tint="0"/>
        <sz val="11"/>
        <scheme val="minor"/>
      </rPr>
      <t xml:space="preserve"> - CHECKSUM</t>
    </r>
  </si>
  <si>
    <t>13</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</si>
  <si>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</si>
  <si>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</si>
  <si>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</si>
  <si>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</si>
  <si>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</si>
  <si>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</si>
  <si>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</si>
  <si>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</si>
  <si>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</si>
  <si>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</si>
  <si>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</si>
  <si>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</si>
  <si>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</si>
  <si>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</si>
  <si>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</si>
  <si>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</si>
  <si>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</si>
  <si>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</si>
  <si>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</si>
  <si>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0 - TPMS off; 1 - TPMS on</t>
  </si>
  <si>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</si>
  <si>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</si>
  <si>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</si>
  <si>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720-04-14</t>
    </r>
    <r>
      <rPr>
        <b val="false"/>
        <color theme="1" tint="0"/>
        <sz val="11"/>
        <scheme val="minor"/>
      </rPr>
      <t xml:space="preserve"> B0 B1 B2 B3 B4 B5 in HEX</t>
    </r>
  </si>
  <si>
    <r>
      <rPr>
        <color rgb="7030A0" tint="0"/>
        <sz val="11"/>
        <scheme val="minor"/>
      </rPr>
      <t xml:space="preserve">B0 </t>
    </r>
    <r>
      <rPr>
        <color theme="1" tint="0"/>
        <sz val="11"/>
        <scheme val="minor"/>
      </rPr>
      <t>- Block#03</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</si>
  <si>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</si>
  <si>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</si>
  <si>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</si>
  <si>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</si>
  <si>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</si>
  <si>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14</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</si>
  <si>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</si>
  <si>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</si>
  <si>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</si>
  <si>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</si>
  <si>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Headlights</t>
    </r>
    <r>
      <rPr>
        <color theme="1" tint="0"/>
        <sz val="11"/>
        <scheme val="minor"/>
      </rPr>
      <t xml:space="preserve">:
</t>
    </r>
    <r>
      <rPr>
        <i val="true"/>
        <color theme="1" tint="0"/>
        <sz val="10"/>
        <scheme val="minor"/>
      </rPr>
      <t xml:space="preserve">b6b5b4 - Value
</t>
    </r>
    <r>
      <rPr>
        <b val="true"/>
        <color theme="1" tint="0"/>
        <sz val="11"/>
        <scheme val="minor"/>
      </rPr>
      <t>001</t>
    </r>
    <r>
      <rPr>
        <color theme="1" tint="0"/>
        <sz val="11"/>
        <scheme val="minor"/>
      </rPr>
      <t xml:space="preserve"> - Halogen
</t>
    </r>
    <r>
      <rPr>
        <b val="true"/>
        <color theme="1" tint="0"/>
        <sz val="11"/>
        <scheme val="minor"/>
      </rPr>
      <t>010</t>
    </r>
    <r>
      <rPr>
        <color theme="1" tint="0"/>
        <sz val="11"/>
        <scheme val="minor"/>
      </rPr>
      <t xml:space="preserve"> - Xenon/LED
</t>
    </r>
    <r>
      <rPr>
        <b val="true"/>
        <color theme="1" tint="0"/>
        <sz val="11"/>
        <scheme val="minor"/>
      </rPr>
      <t>011</t>
    </r>
    <r>
      <rPr>
        <color theme="1" tint="0"/>
        <sz val="11"/>
        <scheme val="minor"/>
      </rPr>
      <t xml:space="preserve"> - Xenon/LED+AFS
</t>
    </r>
    <r>
      <rPr>
        <b val="true"/>
        <color theme="1" tint="0"/>
        <sz val="11"/>
        <scheme val="minor"/>
      </rPr>
      <t>100</t>
    </r>
    <r>
      <rPr>
        <color theme="1" tint="0"/>
        <sz val="11"/>
        <scheme val="minor"/>
      </rPr>
      <t xml:space="preserve"> - ALH (LED+ADB)</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</si>
  <si>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</si>
  <si>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</si>
  <si>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</si>
  <si>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</si>
  <si>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</si>
  <si>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Power Liftgate: 1</t>
    </r>
    <r>
      <rPr>
        <b val="false"/>
        <color theme="1" tint="0"/>
        <sz val="11"/>
        <scheme val="minor"/>
      </rPr>
      <t xml:space="preserve"> - Present </t>
    </r>
    <r>
      <rPr>
        <b val="true"/>
        <color theme="1" tint="0"/>
        <sz val="11"/>
        <scheme val="minor"/>
      </rPr>
      <t>/ 0</t>
    </r>
    <r>
      <rPr>
        <b val="false"/>
        <color theme="1" tint="0"/>
        <sz val="11"/>
        <scheme val="minor"/>
      </rPr>
      <t xml:space="preserve"> - Not present</t>
    </r>
  </si>
  <si>
    <r>
      <t xml:space="preserve">0 </t>
    </r>
    <r>
      <rPr>
        <b val="false"/>
        <color rgb="FF0000" tint="0"/>
        <sz val="11"/>
        <scheme val="minor"/>
      </rPr>
      <t>= Permanent value</t>
    </r>
  </si>
  <si>
    <r>
      <t xml:space="preserve">0 </t>
    </r>
    <r>
      <rPr>
        <b val="false"/>
        <color rgb="FF0000" tint="0"/>
        <sz val="11"/>
        <scheme val="minor"/>
      </rPr>
      <t>= Permanent value</t>
    </r>
  </si>
  <si>
    <r>
      <t>Hands-Free Liftgate: 1</t>
    </r>
    <r>
      <rPr>
        <b val="false"/>
        <color theme="1" tint="0"/>
        <sz val="11"/>
        <scheme val="minor"/>
      </rPr>
      <t xml:space="preserve"> - Present </t>
    </r>
    <r>
      <rPr>
        <b val="true"/>
        <color theme="1" tint="0"/>
        <sz val="11"/>
        <scheme val="minor"/>
      </rPr>
      <t>/ 0</t>
    </r>
    <r>
      <rPr>
        <b val="false"/>
        <color theme="1" tint="0"/>
        <sz val="11"/>
        <scheme val="minor"/>
      </rPr>
      <t xml:space="preserve"> - Not present</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</si>
  <si>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</si>
  <si>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</si>
  <si>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</si>
  <si>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1=USA/Canada only together with b5</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</si>
  <si>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</si>
  <si>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</si>
  <si>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</si>
  <si>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</si>
  <si>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</si>
  <si>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</si>
  <si>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Headlight Levelling:
</t>
    </r>
    <r>
      <rPr>
        <i val="true"/>
        <color theme="1" tint="0"/>
        <sz val="10"/>
        <scheme val="minor"/>
      </rPr>
      <t xml:space="preserve">b1b0 - Value
</t>
    </r>
    <r>
      <rPr>
        <b val="true"/>
        <color theme="1" tint="0"/>
        <sz val="11"/>
        <scheme val="minor"/>
      </rPr>
      <t>00</t>
    </r>
    <r>
      <rPr>
        <color theme="1" tint="0"/>
        <sz val="11"/>
        <scheme val="minor"/>
      </rPr>
      <t xml:space="preserve"> - No/Manual Type
</t>
    </r>
    <r>
      <rPr>
        <b val="true"/>
        <color theme="1" tint="0"/>
        <sz val="11"/>
        <scheme val="minor"/>
      </rPr>
      <t>01</t>
    </r>
    <r>
      <rPr>
        <color theme="1" tint="0"/>
        <sz val="11"/>
        <scheme val="minor"/>
      </rPr>
      <t xml:space="preserve"> - Auto Type [???]
</t>
    </r>
    <r>
      <rPr>
        <b val="true"/>
        <color theme="1" tint="0"/>
        <sz val="11"/>
        <scheme val="minor"/>
      </rPr>
      <t>10</t>
    </r>
    <r>
      <rPr>
        <color theme="1" tint="0"/>
        <sz val="11"/>
        <scheme val="minor"/>
      </rPr>
      <t xml:space="preserve"> - Auto Type [???]
</t>
    </r>
    <r>
      <rPr>
        <b val="true"/>
        <color theme="1" tint="0"/>
        <sz val="11"/>
        <scheme val="minor"/>
      </rPr>
      <t>11</t>
    </r>
    <r>
      <rPr>
        <color theme="1" tint="0"/>
        <sz val="11"/>
        <scheme val="minor"/>
      </rPr>
      <t xml:space="preserve"> - Auto Type [???]</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</si>
  <si>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</si>
  <si>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</si>
  <si>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</si>
  <si>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</si>
  <si>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</si>
  <si>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</si>
  <si>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</si>
  <si>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</si>
  <si>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 Config Start Byte [BF]</t>
    </r>
  </si>
  <si>
    <r>
      <rPr>
        <color rgb="FFFF00" tint="0"/>
        <sz val="11"/>
        <scheme val="minor"/>
      </rPr>
      <t xml:space="preserve">B3 </t>
    </r>
    <r>
      <rPr>
        <color theme="1" tint="0"/>
        <sz val="11"/>
        <scheme val="minor"/>
      </rPr>
      <t>- Block#04</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</si>
  <si>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</si>
  <si>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</si>
  <si>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15</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</si>
  <si>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</si>
  <si>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</si>
  <si>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</si>
  <si>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</si>
  <si>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</si>
  <si>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</si>
  <si>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</si>
  <si>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</si>
  <si>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</si>
  <si>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</si>
  <si>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</si>
  <si>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</si>
  <si>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</si>
  <si>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</si>
  <si>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</si>
  <si>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</si>
  <si>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</si>
  <si>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</si>
  <si>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</si>
  <si>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</si>
  <si>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</si>
  <si>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</si>
  <si>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</si>
  <si>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</si>
  <si>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</si>
  <si>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</si>
  <si>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</si>
  <si>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</si>
  <si>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</si>
  <si>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16</t>
  </si>
  <si>
    <r>
      <t xml:space="preserve">SCBS-R </t>
    </r>
    <r>
      <rPr>
        <b val="false"/>
        <color theme="1" tint="0"/>
        <sz val="11"/>
        <scheme val="minor"/>
      </rPr>
      <t>related probably</t>
    </r>
    <r>
      <rPr>
        <b val="true"/>
        <color theme="1" tint="0"/>
        <sz val="11"/>
        <scheme val="minor"/>
      </rPr>
      <t xml:space="preserve"> / Maybe somehow related to EPS logic
</t>
    </r>
    <r>
      <rPr>
        <b val="true"/>
        <color theme="1" tint="0"/>
        <sz val="11"/>
        <scheme val="minor"/>
      </rPr>
      <t>https://www.mazda3revolution.com/threads/change-configuration-explore-different-functions-asbuilt.169393/post-2579611</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</si>
  <si>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</si>
  <si>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</si>
  <si>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SCBS-R:
</t>
    </r>
    <r>
      <rPr>
        <i val="true"/>
        <color theme="1" tint="0"/>
        <sz val="10"/>
        <scheme val="minor"/>
      </rPr>
      <t xml:space="preserve">b6b5 - Value
</t>
    </r>
    <r>
      <rPr>
        <b val="true"/>
        <color theme="1" tint="0"/>
        <sz val="11"/>
        <scheme val="minor"/>
      </rPr>
      <t>00</t>
    </r>
    <r>
      <rPr>
        <color theme="1" tint="0"/>
        <sz val="11"/>
        <scheme val="minor"/>
      </rPr>
      <t xml:space="preserve"> - Off (W/Parking overlays Off)
</t>
    </r>
    <r>
      <rPr>
        <b val="true"/>
        <color theme="1" tint="0"/>
        <sz val="11"/>
        <scheme val="minor"/>
      </rPr>
      <t>01</t>
    </r>
    <r>
      <rPr>
        <color theme="1" tint="0"/>
        <sz val="11"/>
        <scheme val="minor"/>
      </rPr>
      <t xml:space="preserve"> - Off (W/Parking overlays On)
</t>
    </r>
    <r>
      <rPr>
        <b val="true"/>
        <color theme="1" tint="0"/>
        <sz val="11"/>
        <scheme val="minor"/>
      </rPr>
      <t>10</t>
    </r>
    <r>
      <rPr>
        <color theme="1" tint="0"/>
        <sz val="11"/>
        <scheme val="minor"/>
      </rPr>
      <t xml:space="preserve"> - On (W/Parking overlays On)</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</si>
  <si>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</si>
  <si>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</si>
  <si>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</si>
  <si>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</si>
  <si>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Parking sensors</t>
    </r>
    <r>
      <rPr>
        <color theme="1" tint="0"/>
        <sz val="11"/>
        <scheme val="minor"/>
      </rPr>
      <t xml:space="preserve">: </t>
    </r>
    <r>
      <rPr>
        <b val="true"/>
        <color theme="1" tint="0"/>
        <sz val="11"/>
        <scheme val="minor"/>
      </rPr>
      <t>0</t>
    </r>
    <r>
      <rPr>
        <color theme="1" tint="0"/>
        <sz val="11"/>
        <scheme val="minor"/>
      </rPr>
      <t xml:space="preserve"> - Enabled, </t>
    </r>
    <r>
      <rPr>
        <b val="true"/>
        <color theme="1" tint="0"/>
        <sz val="11"/>
        <scheme val="minor"/>
      </rPr>
      <t>1</t>
    </r>
    <r>
      <rPr>
        <color theme="1" tint="0"/>
        <sz val="11"/>
        <scheme val="minor"/>
      </rPr>
      <t xml:space="preserve"> - Disabled</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</si>
  <si>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</si>
  <si>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</si>
  <si>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LAS (LKA):
</t>
    </r>
    <r>
      <rPr>
        <i val="true"/>
        <color theme="1" tint="0"/>
        <sz val="10"/>
        <scheme val="minor"/>
      </rPr>
      <t xml:space="preserve">b3b2b1 - Value
</t>
    </r>
    <r>
      <rPr>
        <b val="true"/>
        <color theme="1" tint="0"/>
        <sz val="11"/>
        <scheme val="minor"/>
      </rPr>
      <t>000</t>
    </r>
    <r>
      <rPr>
        <color theme="1" tint="0"/>
        <sz val="11"/>
        <scheme val="minor"/>
      </rPr>
      <t xml:space="preserve"> - Disabled
</t>
    </r>
    <r>
      <rPr>
        <b val="true"/>
        <color theme="1" tint="0"/>
        <sz val="11"/>
        <scheme val="minor"/>
      </rPr>
      <t>001</t>
    </r>
    <r>
      <rPr>
        <color theme="1" tint="0"/>
        <sz val="11"/>
        <scheme val="minor"/>
      </rPr>
      <t xml:space="preserve"> - Enabled (M2, M3 [LHD], CX-5 [LHD/RHD], CX-8 [RHD], M6-WGN [LHD 2018-2020], M6-SDN [LHD 2015-2017])
</t>
    </r>
    <r>
      <rPr>
        <b val="true"/>
        <color theme="1" tint="0"/>
        <sz val="11"/>
        <scheme val="minor"/>
      </rPr>
      <t>010</t>
    </r>
    <r>
      <rPr>
        <color theme="1" tint="0"/>
        <sz val="11"/>
        <scheme val="minor"/>
      </rPr>
      <t xml:space="preserve"> - Enabled (M3 [RHD], CX-5 [LHD], CX-8 [LHD], M6-SDN [LHD 2018-2020], M6-WGN [LHD 2016-2017])
</t>
    </r>
    <r>
      <rPr>
        <b val="true"/>
        <color theme="1" tint="0"/>
        <sz val="11"/>
        <scheme val="minor"/>
      </rPr>
      <t>011</t>
    </r>
    <r>
      <rPr>
        <color theme="1" tint="0"/>
        <sz val="11"/>
        <scheme val="minor"/>
      </rPr>
      <t xml:space="preserve"> - Enabled (CX-9 [RHD], M6-WGN [RHD 2018-2020], Md-SDN [RHD 2015-2017])
</t>
    </r>
    <r>
      <rPr>
        <b val="true"/>
        <color theme="1" tint="0"/>
        <sz val="11"/>
        <scheme val="minor"/>
      </rPr>
      <t>100</t>
    </r>
    <r>
      <rPr>
        <color theme="1" tint="0"/>
        <sz val="11"/>
        <scheme val="minor"/>
      </rPr>
      <t xml:space="preserve"> - Enabled (CX-9 [LHD], M6-WGN [RHD 2015-2017], M6-SDN [RHD 2018-2020])</t>
    </r>
  </si>
  <si>
    <r>
      <rPr>
        <b val="true"/>
        <color theme="1" tint="0"/>
        <sz val="11"/>
        <scheme val="minor"/>
      </rPr>
      <t>Parking sensors</t>
    </r>
    <r>
      <rPr>
        <color theme="1" tint="0"/>
        <sz val="11"/>
        <scheme val="minor"/>
      </rPr>
      <t xml:space="preserve">:
</t>
    </r>
    <r>
      <rPr>
        <i val="true"/>
        <color theme="1" tint="0"/>
        <sz val="10"/>
        <scheme val="minor"/>
      </rPr>
      <t xml:space="preserve">b3b2 - Value
</t>
    </r>
    <r>
      <rPr>
        <b val="true"/>
        <color theme="1" tint="0"/>
        <sz val="11"/>
        <scheme val="minor"/>
      </rPr>
      <t>00</t>
    </r>
    <r>
      <rPr>
        <color theme="1" tint="0"/>
        <sz val="11"/>
        <scheme val="minor"/>
      </rPr>
      <t xml:space="preserve"> - w/o parking sensors
</t>
    </r>
    <r>
      <rPr>
        <b val="true"/>
        <color theme="1" tint="0"/>
        <sz val="11"/>
        <scheme val="minor"/>
      </rPr>
      <t>01</t>
    </r>
    <r>
      <rPr>
        <color theme="1" tint="0"/>
        <sz val="11"/>
        <scheme val="minor"/>
      </rPr>
      <t xml:space="preserve"> - Rear (w/o button &amp; overlay)
</t>
    </r>
    <r>
      <rPr>
        <b val="true"/>
        <color theme="1" tint="0"/>
        <sz val="11"/>
        <scheme val="minor"/>
      </rPr>
      <t>11</t>
    </r>
    <r>
      <rPr>
        <color theme="1" tint="0"/>
        <sz val="11"/>
        <scheme val="minor"/>
      </rPr>
      <t xml:space="preserve"> - Front &amp; Rear (with button &amp; overlay)
</t>
    </r>
    <r>
      <rPr>
        <color theme="1" tint="0"/>
        <sz val="11"/>
        <scheme val="minor"/>
      </rPr>
      <t xml:space="preserve">2017/18 (FSC 2gen) model and others:
</t>
    </r>
    <r>
      <rPr>
        <b val="true"/>
        <color theme="1" tint="0"/>
        <sz val="11"/>
        <scheme val="minor"/>
      </rPr>
      <t>00</t>
    </r>
    <r>
      <rPr>
        <color theme="1" tint="0"/>
        <sz val="11"/>
        <scheme val="minor"/>
      </rPr>
      <t xml:space="preserve"> - Rear (w/o button &amp; overlay)
</t>
    </r>
    <r>
      <rPr>
        <b val="true"/>
        <color theme="1" tint="0"/>
        <sz val="11"/>
        <scheme val="minor"/>
      </rPr>
      <t>01</t>
    </r>
    <r>
      <rPr>
        <color theme="1" tint="0"/>
        <sz val="11"/>
        <scheme val="minor"/>
      </rPr>
      <t xml:space="preserve"> - Front &amp; Rear (with button &amp; overlay)</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</si>
  <si>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</si>
  <si>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</si>
  <si>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</si>
  <si>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</si>
  <si>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</si>
  <si>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</si>
  <si>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</si>
  <si>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Show DAA on CMU</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</si>
  <si>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</si>
  <si>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720-04-17</t>
    </r>
    <r>
      <rPr>
        <b val="false"/>
        <color theme="1" tint="0"/>
        <sz val="11"/>
        <scheme val="minor"/>
      </rPr>
      <t xml:space="preserve"> B0 B1 B2 B3 B4 B5 in HEX</t>
    </r>
  </si>
  <si>
    <r>
      <rPr>
        <color rgb="7030A0" tint="0"/>
        <sz val="11"/>
        <scheme val="minor"/>
      </rPr>
      <t xml:space="preserve">B0 </t>
    </r>
    <r>
      <rPr>
        <color theme="1" tint="0"/>
        <sz val="11"/>
        <scheme val="minor"/>
      </rPr>
      <t>- Config Start Byte [BF]</t>
    </r>
  </si>
  <si>
    <r>
      <rPr>
        <color rgb="FF0000" tint="0"/>
        <sz val="11"/>
        <scheme val="minor"/>
      </rPr>
      <t xml:space="preserve">B1 </t>
    </r>
    <r>
      <rPr>
        <color theme="1" tint="0"/>
        <sz val="11"/>
        <scheme val="minor"/>
      </rPr>
      <t>- Block#05</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</si>
  <si>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</si>
  <si>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</si>
  <si>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</si>
  <si>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</si>
  <si>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17</t>
  </si>
  <si>
    <r>
      <rPr>
        <b val="true"/>
        <color theme="1" tint="0"/>
        <sz val="11"/>
        <scheme val="minor"/>
      </rPr>
      <t xml:space="preserve">FOW/SBS/DRSS/MRCC
</t>
    </r>
    <r>
      <rPr>
        <i val="true"/>
        <color theme="1" tint="0"/>
        <sz val="10"/>
        <scheme val="minor"/>
      </rPr>
      <t xml:space="preserve">b7b6b5b4 - Value
</t>
    </r>
    <r>
      <rPr>
        <b val="true"/>
        <color theme="1" tint="0"/>
        <sz val="11"/>
        <scheme val="minor"/>
      </rPr>
      <t>0000</t>
    </r>
    <r>
      <rPr>
        <color theme="1" tint="0"/>
        <sz val="11"/>
        <scheme val="minor"/>
      </rPr>
      <t xml:space="preserve"> - Wrong conf.
</t>
    </r>
    <r>
      <rPr>
        <b val="true"/>
        <color theme="1" tint="0"/>
        <sz val="11"/>
        <scheme val="minor"/>
      </rPr>
      <t>0001</t>
    </r>
    <r>
      <rPr>
        <color theme="1" tint="0"/>
        <sz val="11"/>
        <scheme val="minor"/>
      </rPr>
      <t xml:space="preserve"> - no SBS/FOW/DRSS/MRCC
</t>
    </r>
    <r>
      <rPr>
        <b val="true"/>
        <color theme="1" tint="0"/>
        <sz val="11"/>
        <scheme val="minor"/>
      </rPr>
      <t>0010</t>
    </r>
    <r>
      <rPr>
        <color theme="1" tint="0"/>
        <sz val="11"/>
        <scheme val="minor"/>
      </rPr>
      <t xml:space="preserve"> - SBS/MRCC
</t>
    </r>
    <r>
      <rPr>
        <b val="true"/>
        <color theme="1" tint="0"/>
        <sz val="11"/>
        <scheme val="minor"/>
      </rPr>
      <t>0011</t>
    </r>
    <r>
      <rPr>
        <color theme="1" tint="0"/>
        <sz val="11"/>
        <scheme val="minor"/>
      </rPr>
      <t xml:space="preserve"> - MRCC
</t>
    </r>
    <r>
      <rPr>
        <b val="true"/>
        <color theme="1" tint="0"/>
        <sz val="11"/>
        <scheme val="minor"/>
      </rPr>
      <t>0100</t>
    </r>
    <r>
      <rPr>
        <color theme="1" tint="0"/>
        <sz val="11"/>
        <scheme val="minor"/>
      </rPr>
      <t xml:space="preserve"> - SBS
</t>
    </r>
    <r>
      <rPr>
        <b val="true"/>
        <color theme="1" tint="0"/>
        <sz val="11"/>
        <scheme val="minor"/>
      </rPr>
      <t>0101</t>
    </r>
    <r>
      <rPr>
        <color theme="1" tint="0"/>
        <sz val="11"/>
        <scheme val="minor"/>
      </rPr>
      <t xml:space="preserve"> - FOW
</t>
    </r>
    <r>
      <rPr>
        <b val="true"/>
        <color theme="1" tint="0"/>
        <sz val="11"/>
        <scheme val="minor"/>
      </rPr>
      <t>0110</t>
    </r>
    <r>
      <rPr>
        <color theme="1" tint="0"/>
        <sz val="11"/>
        <scheme val="minor"/>
      </rPr>
      <t xml:space="preserve"> - DRSS
</t>
    </r>
    <r>
      <rPr>
        <b val="true"/>
        <color theme="1" tint="0"/>
        <sz val="11"/>
        <scheme val="minor"/>
      </rPr>
      <t>0111</t>
    </r>
    <r>
      <rPr>
        <color theme="1" tint="0"/>
        <sz val="11"/>
        <scheme val="minor"/>
      </rPr>
      <t xml:space="preserve"> - SBS/DRSS/MRCC
</t>
    </r>
    <r>
      <rPr>
        <b val="true"/>
        <color theme="1" tint="0"/>
        <sz val="11"/>
        <scheme val="minor"/>
      </rPr>
      <t>1000</t>
    </r>
    <r>
      <rPr>
        <color theme="1" tint="0"/>
        <sz val="11"/>
        <scheme val="minor"/>
      </rPr>
      <t xml:space="preserve"> - FOW/DRSS/MRCC
</t>
    </r>
    <r>
      <rPr>
        <b val="true"/>
        <color theme="1" tint="0"/>
        <sz val="11"/>
        <scheme val="minor"/>
      </rPr>
      <t>1001</t>
    </r>
    <r>
      <rPr>
        <color theme="1" tint="0"/>
        <sz val="11"/>
        <scheme val="minor"/>
      </rPr>
      <t xml:space="preserve"> - FOW/MRCC
</t>
    </r>
    <r>
      <rPr>
        <b val="true"/>
        <color theme="1" tint="0"/>
        <sz val="11"/>
        <scheme val="minor"/>
      </rPr>
      <t>1010</t>
    </r>
    <r>
      <rPr>
        <color theme="1" tint="0"/>
        <sz val="11"/>
        <scheme val="minor"/>
      </rPr>
      <t xml:space="preserve"> - DRSS/MRCC
</t>
    </r>
    <r>
      <rPr>
        <b val="true"/>
        <color theme="1" tint="0"/>
        <sz val="11"/>
        <scheme val="minor"/>
      </rPr>
      <t>1011</t>
    </r>
    <r>
      <rPr>
        <color theme="1" tint="0"/>
        <sz val="11"/>
        <scheme val="minor"/>
      </rPr>
      <t xml:space="preserve"> - SBS/DRSS
</t>
    </r>
    <r>
      <rPr>
        <b val="true"/>
        <color theme="1" tint="0"/>
        <sz val="11"/>
        <scheme val="minor"/>
      </rPr>
      <t>1100</t>
    </r>
    <r>
      <rPr>
        <color theme="1" tint="0"/>
        <sz val="11"/>
        <scheme val="minor"/>
      </rPr>
      <t xml:space="preserve"> - FOW/DRSS
</t>
    </r>
    <r>
      <rPr>
        <b val="true"/>
        <color theme="1" tint="0"/>
        <sz val="11"/>
        <scheme val="minor"/>
      </rPr>
      <t>1101</t>
    </r>
    <r>
      <rPr>
        <color theme="1" tint="0"/>
        <sz val="11"/>
        <scheme val="minor"/>
      </rPr>
      <t xml:space="preserve"> - SBS/FOW/DRSS? Wrong conf.
</t>
    </r>
    <r>
      <rPr>
        <b val="true"/>
        <color theme="1" tint="0"/>
        <sz val="11"/>
        <scheme val="minor"/>
      </rPr>
      <t>1110</t>
    </r>
    <r>
      <rPr>
        <color theme="1" tint="0"/>
        <sz val="11"/>
        <scheme val="minor"/>
      </rPr>
      <t xml:space="preserve"> - SBS/FOW/DRSS? Wrong conf.
</t>
    </r>
    <r>
      <rPr>
        <b val="true"/>
        <color theme="1" tint="0"/>
        <sz val="11"/>
        <scheme val="minor"/>
      </rPr>
      <t>1111</t>
    </r>
    <r>
      <rPr>
        <color theme="1" tint="0"/>
        <sz val="11"/>
        <scheme val="minor"/>
      </rPr>
      <t xml:space="preserve"> - SBS/FOW/DRSS? Wrong conf.</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</si>
  <si>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</si>
  <si>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</si>
  <si>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</si>
  <si>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</si>
  <si>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</si>
  <si>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</si>
  <si>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</si>
  <si>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MRCC Stop&amp;Go</t>
    </r>
    <r>
      <rPr>
        <color theme="1" tint="0"/>
        <sz val="11"/>
        <scheme val="minor"/>
      </rPr>
      <t xml:space="preserve">: </t>
    </r>
    <r>
      <rPr>
        <b val="true"/>
        <color theme="1" tint="0"/>
        <sz val="11"/>
        <scheme val="minor"/>
      </rPr>
      <t>0</t>
    </r>
    <r>
      <rPr>
        <color theme="1" tint="0"/>
        <sz val="11"/>
        <scheme val="minor"/>
      </rPr>
      <t xml:space="preserve"> - Enabled / </t>
    </r>
    <r>
      <rPr>
        <b val="true"/>
        <color theme="1" tint="0"/>
        <sz val="11"/>
        <scheme val="minor"/>
      </rPr>
      <t>1</t>
    </r>
    <r>
      <rPr>
        <color theme="1" tint="0"/>
        <sz val="11"/>
        <scheme val="minor"/>
      </rPr>
      <t xml:space="preserve"> - Disabled</t>
    </r>
  </si>
  <si>
    <r>
      <rPr>
        <b val="true"/>
        <color theme="1" tint="0"/>
        <sz val="11"/>
        <scheme val="minor"/>
      </rPr>
      <t>MRCC Stop&amp;Go</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</si>
  <si>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</si>
  <si>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</si>
  <si>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</si>
  <si>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</si>
  <si>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</si>
  <si>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</si>
  <si>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720-04-18 </t>
    </r>
    <r>
      <rPr>
        <b val="false"/>
        <color theme="1" tint="0"/>
        <sz val="11"/>
        <scheme val="minor"/>
      </rPr>
      <t>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</si>
  <si>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</si>
  <si>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</si>
  <si>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</si>
  <si>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 Config Start Byte [BF]</t>
    </r>
  </si>
  <si>
    <r>
      <rPr>
        <b val="true"/>
        <color theme="4" tint="0"/>
        <sz val="11"/>
        <scheme val="minor"/>
      </rPr>
      <t>B4</t>
    </r>
    <r>
      <rPr>
        <color rgb="333333" tint="0"/>
        <sz val="11"/>
        <scheme val="minor"/>
      </rPr>
      <t> - Block#06</t>
    </r>
  </si>
  <si>
    <r>
      <rPr>
        <color rgb="92D050" tint="0"/>
        <sz val="11"/>
        <scheme val="minor"/>
      </rPr>
      <t>B5</t>
    </r>
    <r>
      <rPr>
        <color theme="1" tint="0"/>
        <sz val="11"/>
        <scheme val="minor"/>
      </rPr>
      <t xml:space="preserve"> - CHECKSUM</t>
    </r>
  </si>
  <si>
    <t>18</t>
  </si>
  <si>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</si>
  <si>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</si>
  <si>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Radar Market Area
</t>
    </r>
    <r>
      <rPr>
        <i val="true"/>
        <color theme="1" tint="0"/>
        <sz val="10"/>
        <scheme val="minor"/>
      </rPr>
      <t xml:space="preserve">b6b5b4 - Value:
</t>
    </r>
    <r>
      <rPr>
        <b val="true"/>
        <color theme="1" tint="0"/>
        <sz val="11"/>
        <scheme val="minor"/>
      </rPr>
      <t>000</t>
    </r>
    <r>
      <rPr>
        <color theme="1" tint="0"/>
        <sz val="11"/>
        <scheme val="minor"/>
      </rPr>
      <t xml:space="preserve"> — Japan
</t>
    </r>
    <r>
      <rPr>
        <b val="true"/>
        <color theme="1" tint="0"/>
        <sz val="11"/>
        <scheme val="minor"/>
      </rPr>
      <t>010</t>
    </r>
    <r>
      <rPr>
        <color theme="1" tint="0"/>
        <sz val="11"/>
        <scheme val="minor"/>
      </rPr>
      <t xml:space="preserve"> — Europe
</t>
    </r>
    <r>
      <rPr>
        <b val="true"/>
        <color theme="1" tint="0"/>
        <sz val="11"/>
        <scheme val="minor"/>
      </rPr>
      <t>101</t>
    </r>
    <r>
      <rPr>
        <color theme="1" tint="0"/>
        <sz val="11"/>
        <scheme val="minor"/>
      </rPr>
      <t xml:space="preserve"> — Japan
</t>
    </r>
    <r>
      <rPr>
        <b val="true"/>
        <color theme="1" tint="0"/>
        <sz val="11"/>
        <scheme val="minor"/>
      </rPr>
      <t>110</t>
    </r>
    <r>
      <rPr>
        <color theme="1" tint="0"/>
        <sz val="11"/>
        <scheme val="minor"/>
      </rPr>
      <t xml:space="preserve"> — US/Asia/Aus
</t>
    </r>
    <r>
      <rPr>
        <b val="true"/>
        <color theme="1" tint="0"/>
        <sz val="11"/>
        <scheme val="minor"/>
      </rPr>
      <t>111</t>
    </r>
    <r>
      <rPr>
        <color theme="1" tint="0"/>
        <sz val="11"/>
        <scheme val="minor"/>
      </rPr>
      <t xml:space="preserve"> — US/Asia/Aus</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</si>
  <si>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</si>
  <si>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</si>
  <si>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</si>
  <si>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</si>
  <si>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</si>
  <si>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</si>
  <si>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</si>
  <si>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</si>
  <si>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720-04-19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</si>
  <si>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</si>
  <si>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</si>
  <si>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</si>
  <si>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</si>
  <si>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</si>
  <si>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</si>
  <si>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19</t>
  </si>
  <si>
    <r>
      <rPr>
        <b val="true"/>
        <color theme="1" tint="0"/>
        <sz val="11"/>
        <scheme val="minor"/>
      </rPr>
      <t>LDWS/LAS/HBC/ALH</t>
    </r>
    <r>
      <rPr>
        <color theme="1" tint="0"/>
        <sz val="11"/>
        <scheme val="minor"/>
      </rPr>
      <t xml:space="preserve">:
</t>
    </r>
    <r>
      <rPr>
        <i val="true"/>
        <color theme="1" tint="0"/>
        <sz val="10"/>
        <scheme val="minor"/>
      </rPr>
      <t xml:space="preserve">b7b6b5b4 - Value
</t>
    </r>
    <r>
      <rPr>
        <b val="true"/>
        <color theme="1" tint="0"/>
        <sz val="11"/>
        <scheme val="minor"/>
      </rPr>
      <t>0000</t>
    </r>
    <r>
      <rPr>
        <color theme="1" tint="0"/>
        <sz val="11"/>
        <scheme val="minor"/>
      </rPr>
      <t xml:space="preserve"> - ?
</t>
    </r>
    <r>
      <rPr>
        <b val="true"/>
        <color theme="1" tint="0"/>
        <sz val="11"/>
        <scheme val="minor"/>
      </rPr>
      <t>0001</t>
    </r>
    <r>
      <rPr>
        <color theme="1" tint="0"/>
        <sz val="11"/>
        <scheme val="minor"/>
      </rPr>
      <t xml:space="preserve"> - No LDWS/LAS/HBC/ALH
</t>
    </r>
    <r>
      <rPr>
        <b val="true"/>
        <color theme="1" tint="0"/>
        <sz val="11"/>
        <scheme val="minor"/>
      </rPr>
      <t>0010</t>
    </r>
    <r>
      <rPr>
        <color theme="1" tint="0"/>
        <sz val="11"/>
        <scheme val="minor"/>
      </rPr>
      <t xml:space="preserve"> - LDWS+HBC [FSC Gen 1]
</t>
    </r>
    <r>
      <rPr>
        <b val="true"/>
        <color theme="1" tint="0"/>
        <sz val="11"/>
        <scheme val="minor"/>
      </rPr>
      <t>0011</t>
    </r>
    <r>
      <rPr>
        <color theme="1" tint="0"/>
        <sz val="11"/>
        <scheme val="minor"/>
      </rPr>
      <t xml:space="preserve"> - HBC [?]
</t>
    </r>
    <r>
      <rPr>
        <b val="true"/>
        <color theme="1" tint="0"/>
        <sz val="11"/>
        <scheme val="minor"/>
      </rPr>
      <t>0100</t>
    </r>
    <r>
      <rPr>
        <color theme="1" tint="0"/>
        <sz val="11"/>
        <scheme val="minor"/>
      </rPr>
      <t xml:space="preserve"> - LDWS [FSC Gen 1]
</t>
    </r>
    <r>
      <rPr>
        <b val="true"/>
        <color theme="1" tint="0"/>
        <sz val="11"/>
        <scheme val="minor"/>
      </rPr>
      <t>0101</t>
    </r>
    <r>
      <rPr>
        <color theme="1" tint="0"/>
        <sz val="11"/>
        <scheme val="minor"/>
      </rPr>
      <t xml:space="preserve"> - LDWS+HBC [?]
</t>
    </r>
    <r>
      <rPr>
        <b val="true"/>
        <color theme="1" tint="0"/>
        <sz val="11"/>
        <scheme val="minor"/>
      </rPr>
      <t>0110</t>
    </r>
    <r>
      <rPr>
        <color theme="1" tint="0"/>
        <sz val="11"/>
        <scheme val="minor"/>
      </rPr>
      <t xml:space="preserve"> - ?
</t>
    </r>
    <r>
      <rPr>
        <b val="true"/>
        <color theme="1" tint="0"/>
        <sz val="11"/>
        <scheme val="minor"/>
      </rPr>
      <t>0111</t>
    </r>
    <r>
      <rPr>
        <color theme="1" tint="0"/>
        <sz val="11"/>
        <scheme val="minor"/>
      </rPr>
      <t xml:space="preserve"> - LDWS [?]
</t>
    </r>
    <r>
      <rPr>
        <b val="true"/>
        <color theme="1" tint="0"/>
        <sz val="11"/>
        <scheme val="minor"/>
      </rPr>
      <t>1000</t>
    </r>
    <r>
      <rPr>
        <color theme="1" tint="0"/>
        <sz val="11"/>
        <scheme val="minor"/>
      </rPr>
      <t xml:space="preserve"> - HBC [?]
</t>
    </r>
    <r>
      <rPr>
        <b val="true"/>
        <color theme="1" tint="0"/>
        <sz val="11"/>
        <scheme val="minor"/>
      </rPr>
      <t>1001</t>
    </r>
    <r>
      <rPr>
        <color theme="1" tint="0"/>
        <sz val="11"/>
        <scheme val="minor"/>
      </rPr>
      <t xml:space="preserve"> - LDWS+HBC [FSC Gen 2]
</t>
    </r>
    <r>
      <rPr>
        <b val="true"/>
        <color theme="1" tint="0"/>
        <sz val="11"/>
        <scheme val="minor"/>
      </rPr>
      <t>1010</t>
    </r>
    <r>
      <rPr>
        <color theme="1" tint="0"/>
        <sz val="11"/>
        <scheme val="minor"/>
      </rPr>
      <t xml:space="preserve"> - LDWS+ALH [FSC Gen 1/2]
</t>
    </r>
    <r>
      <rPr>
        <b val="true"/>
        <color theme="1" tint="0"/>
        <sz val="11"/>
        <scheme val="minor"/>
      </rPr>
      <t>1011</t>
    </r>
    <r>
      <rPr>
        <color theme="1" tint="0"/>
        <sz val="11"/>
        <scheme val="minor"/>
      </rPr>
      <t xml:space="preserve"> - LAS+ALH [FSC Gen 1/2]
</t>
    </r>
    <r>
      <rPr>
        <b val="true"/>
        <color theme="1" tint="0"/>
        <sz val="11"/>
        <scheme val="minor"/>
      </rPr>
      <t>1100</t>
    </r>
    <r>
      <rPr>
        <color theme="1" tint="0"/>
        <sz val="11"/>
        <scheme val="minor"/>
      </rPr>
      <t xml:space="preserve"> - LAS+HBC [FSC Gen 1/2]
</t>
    </r>
    <r>
      <rPr>
        <b val="true"/>
        <color theme="1" tint="0"/>
        <sz val="11"/>
        <scheme val="minor"/>
      </rPr>
      <t>1101</t>
    </r>
    <r>
      <rPr>
        <color theme="1" tint="0"/>
        <sz val="11"/>
        <scheme val="minor"/>
      </rPr>
      <t xml:space="preserve"> - LAS [FSC Gen 2]
</t>
    </r>
    <r>
      <rPr>
        <b val="true"/>
        <color theme="1" tint="0"/>
        <sz val="11"/>
        <scheme val="minor"/>
      </rPr>
      <t>1110</t>
    </r>
    <r>
      <rPr>
        <color theme="1" tint="0"/>
        <sz val="11"/>
        <scheme val="minor"/>
      </rPr>
      <t xml:space="preserve"> - ?
</t>
    </r>
    <r>
      <rPr>
        <b val="true"/>
        <color theme="1" tint="0"/>
        <sz val="11"/>
        <scheme val="minor"/>
      </rPr>
      <t>1111</t>
    </r>
    <r>
      <rPr>
        <color theme="1" tint="0"/>
        <sz val="11"/>
        <scheme val="minor"/>
      </rPr>
      <t xml:space="preserve"> - ?</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</si>
  <si>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</si>
  <si>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</si>
  <si>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</si>
  <si>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</si>
  <si>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</si>
  <si>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</si>
  <si>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</si>
  <si>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</si>
  <si>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</si>
  <si>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RVM/LCA
</t>
    </r>
    <r>
      <rPr>
        <i val="true"/>
        <color theme="1" tint="0"/>
        <sz val="10"/>
        <scheme val="minor"/>
      </rPr>
      <t xml:space="preserve">b5b4 - Value
</t>
    </r>
    <r>
      <rPr>
        <b val="true"/>
        <color theme="1" tint="0"/>
        <sz val="11"/>
        <scheme val="minor"/>
      </rPr>
      <t>01</t>
    </r>
    <r>
      <rPr>
        <color theme="1" tint="0"/>
        <sz val="11"/>
        <scheme val="minor"/>
      </rPr>
      <t xml:space="preserve"> - no RVM;
</t>
    </r>
    <r>
      <rPr>
        <b val="true"/>
        <color theme="1" tint="0"/>
        <sz val="11"/>
        <scheme val="minor"/>
      </rPr>
      <t xml:space="preserve">10 </t>
    </r>
    <r>
      <rPr>
        <color theme="1" tint="0"/>
        <sz val="11"/>
        <scheme val="minor"/>
      </rPr>
      <t xml:space="preserve">- RVM
</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</si>
  <si>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</si>
  <si>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</si>
  <si>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</si>
  <si>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</si>
  <si>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</si>
  <si>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</si>
  <si>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</si>
  <si>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</si>
  <si>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</si>
  <si>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</si>
  <si>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</si>
  <si>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</si>
  <si>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M2/CX-3/MX-5 only!
</t>
    </r>
    <r>
      <rPr>
        <i val="true"/>
        <color theme="1" tint="0"/>
        <sz val="10"/>
        <scheme val="minor"/>
      </rPr>
      <t xml:space="preserve">b1b0 - Value
</t>
    </r>
    <r>
      <rPr>
        <b val="true"/>
        <color theme="1" tint="0"/>
        <sz val="11"/>
        <scheme val="minor"/>
      </rPr>
      <t>00</t>
    </r>
    <r>
      <rPr>
        <color theme="1" tint="0"/>
        <sz val="11"/>
        <scheme val="minor"/>
      </rPr>
      <t xml:space="preserve"> - M3/M6/CX-5/CX-9;
</t>
    </r>
    <r>
      <rPr>
        <b val="true"/>
        <color theme="1" tint="0"/>
        <sz val="11"/>
        <scheme val="minor"/>
      </rPr>
      <t>01</t>
    </r>
    <r>
      <rPr>
        <color theme="1" tint="0"/>
        <sz val="11"/>
        <scheme val="minor"/>
      </rPr>
      <t xml:space="preserve"> - M2/CX-3/MX-5 (if no HBC);
</t>
    </r>
    <r>
      <rPr>
        <b val="true"/>
        <color theme="1" tint="0"/>
        <sz val="11"/>
        <scheme val="minor"/>
      </rPr>
      <t xml:space="preserve">10 </t>
    </r>
    <r>
      <rPr>
        <color theme="1" tint="0"/>
        <sz val="11"/>
        <scheme val="minor"/>
      </rPr>
      <t>- HBC+LDWS</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</si>
  <si>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</si>
  <si>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</si>
  <si>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</si>
  <si>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</si>
  <si>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</si>
  <si>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</si>
  <si>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</si>
  <si>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</si>
  <si>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</si>
  <si>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720-04-20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</si>
  <si>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</si>
  <si>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 Config Start Byte [BF]</t>
    </r>
  </si>
  <si>
    <r>
      <rPr>
        <color rgb="FFC000" tint="0"/>
        <sz val="11"/>
        <scheme val="minor"/>
      </rPr>
      <t xml:space="preserve">B2 </t>
    </r>
    <r>
      <rPr>
        <color theme="1" tint="0"/>
        <sz val="11"/>
        <scheme val="minor"/>
      </rPr>
      <t>- Block#07</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</si>
  <si>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</si>
  <si>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</si>
  <si>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</si>
  <si>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</si>
  <si>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</si>
  <si>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</si>
  <si>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</si>
  <si>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</si>
  <si>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</si>
  <si>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</si>
  <si>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</si>
  <si>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</si>
  <si>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1=any M6/CX5KE (exceprt those having 720-01-01 B2=60/78/79)</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</si>
  <si>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</si>
  <si>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</si>
  <si>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</si>
  <si>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</si>
  <si>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</si>
  <si>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</si>
  <si>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</si>
  <si>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</si>
  <si>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</si>
  <si>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</si>
  <si>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</si>
  <si>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</si>
  <si>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</si>
  <si>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</si>
  <si>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720-04-21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</si>
  <si>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</si>
  <si>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</si>
  <si>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</si>
  <si>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</si>
  <si>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Config Start Byte [BF]</t>
    </r>
  </si>
  <si>
    <r>
      <rPr>
        <color rgb="92D050" tint="0"/>
        <sz val="11"/>
        <scheme val="minor"/>
      </rPr>
      <t>B5</t>
    </r>
    <r>
      <rPr>
        <color theme="1" tint="0"/>
        <sz val="11"/>
        <scheme val="minor"/>
      </rPr>
      <t xml:space="preserve"> - CHECKSUM</t>
    </r>
  </si>
  <si>
    <t>21</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</si>
  <si>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</si>
  <si>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</si>
  <si>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</si>
  <si>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</si>
  <si>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</si>
  <si>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BSM</t>
    </r>
    <r>
      <rPr>
        <color theme="1" tint="0"/>
        <sz val="11"/>
        <scheme val="minor"/>
      </rPr>
      <t xml:space="preserve">:
</t>
    </r>
    <r>
      <rPr>
        <i val="true"/>
        <color theme="1" tint="0"/>
        <sz val="10"/>
        <scheme val="minor"/>
      </rPr>
      <t xml:space="preserve">b6b5b4b3b2b1b0 - Value
</t>
    </r>
    <r>
      <rPr>
        <b val="true"/>
        <color theme="1" tint="0"/>
        <sz val="11"/>
        <scheme val="minor"/>
      </rPr>
      <t>0010000</t>
    </r>
    <r>
      <rPr>
        <color theme="1" tint="0"/>
        <sz val="11"/>
        <scheme val="minor"/>
      </rPr>
      <t xml:space="preserve"> - No BSM
</t>
    </r>
    <r>
      <rPr>
        <b val="true"/>
        <color theme="1" tint="0"/>
        <sz val="11"/>
        <scheme val="minor"/>
      </rPr>
      <t>0100000</t>
    </r>
    <r>
      <rPr>
        <color theme="1" tint="0"/>
        <sz val="11"/>
        <scheme val="minor"/>
      </rPr>
      <t xml:space="preserve"> - BSM
</t>
    </r>
    <r>
      <rPr>
        <b val="true"/>
        <color theme="1" tint="0"/>
        <sz val="11"/>
        <scheme val="minor"/>
      </rPr>
      <t>0110011</t>
    </r>
    <r>
      <rPr>
        <color theme="1" tint="0"/>
        <sz val="11"/>
        <scheme val="minor"/>
      </rPr>
      <t xml:space="preserve"> - LCA w/BSM
</t>
    </r>
    <r>
      <rPr>
        <b val="true"/>
        <color theme="1" tint="0"/>
        <sz val="11"/>
        <scheme val="minor"/>
      </rPr>
      <t>1000000</t>
    </r>
    <r>
      <rPr>
        <color theme="1" tint="0"/>
        <sz val="11"/>
        <scheme val="minor"/>
      </rPr>
      <t xml:space="preserve"> - BSM
</t>
    </r>
    <r>
      <rPr>
        <b val="true"/>
        <color theme="1" tint="0"/>
        <sz val="11"/>
        <scheme val="minor"/>
      </rPr>
      <t>1010011</t>
    </r>
    <r>
      <rPr>
        <color theme="1" tint="0"/>
        <sz val="11"/>
        <scheme val="minor"/>
      </rPr>
      <t xml:space="preserve"> - BSM
</t>
    </r>
  </si>
  <si>
    <t>1 - ?????</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</si>
  <si>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</si>
  <si>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</si>
  <si>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</si>
  <si>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</si>
  <si>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</si>
  <si>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</si>
  <si>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Only when b6 = 1</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</si>
  <si>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</si>
  <si>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</si>
  <si>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</si>
  <si>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</si>
  <si>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</si>
  <si>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</si>
  <si>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</si>
  <si>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</si>
  <si>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</si>
  <si>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</si>
  <si>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720-04-22</t>
    </r>
    <r>
      <rPr>
        <b val="false"/>
        <color theme="1" tint="0"/>
        <sz val="11"/>
        <scheme val="minor"/>
      </rPr>
      <t xml:space="preserve"> B0 B1 B2 B3 B4 B5 in HEX</t>
    </r>
  </si>
  <si>
    <r>
      <rPr>
        <color rgb="7030A0" tint="0"/>
        <sz val="11"/>
        <scheme val="minor"/>
      </rPr>
      <t xml:space="preserve">B0 </t>
    </r>
    <r>
      <rPr>
        <color theme="1" tint="0"/>
        <sz val="11"/>
        <scheme val="minor"/>
      </rPr>
      <t>- Block#08</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</si>
  <si>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</si>
  <si>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</si>
  <si>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</si>
  <si>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</si>
  <si>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</si>
  <si>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22</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</si>
  <si>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</si>
  <si>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</si>
  <si>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</si>
  <si>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</si>
  <si>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Air Con.:
</t>
    </r>
    <r>
      <rPr>
        <i val="true"/>
        <color theme="1" tint="0"/>
        <sz val="10"/>
        <scheme val="minor"/>
      </rPr>
      <t xml:space="preserve">b6b5 - Value
</t>
    </r>
    <r>
      <rPr>
        <b val="true"/>
        <color theme="1" tint="0"/>
        <sz val="11"/>
        <scheme val="minor"/>
      </rPr>
      <t>01</t>
    </r>
    <r>
      <rPr>
        <color theme="1" tint="0"/>
        <sz val="11"/>
        <scheme val="minor"/>
      </rPr>
      <t xml:space="preserve"> - Full Auto
</t>
    </r>
    <r>
      <rPr>
        <b val="true"/>
        <color theme="1" tint="0"/>
        <sz val="11"/>
        <scheme val="minor"/>
      </rPr>
      <t>10</t>
    </r>
    <r>
      <rPr>
        <color theme="1" tint="0"/>
        <sz val="11"/>
        <scheme val="minor"/>
      </rPr>
      <t xml:space="preserve"> - Manual</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</si>
  <si>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</si>
  <si>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</si>
  <si>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</si>
  <si>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</si>
  <si>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</si>
  <si>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PTC Heater:
</t>
    </r>
    <r>
      <rPr>
        <i val="true"/>
        <color theme="1" tint="0"/>
        <sz val="10"/>
        <scheme val="minor"/>
      </rPr>
      <t xml:space="preserve">b1b0 - Value
</t>
    </r>
    <r>
      <rPr>
        <b val="true"/>
        <color theme="1" tint="0"/>
        <sz val="11"/>
        <scheme val="minor"/>
      </rPr>
      <t>01</t>
    </r>
    <r>
      <rPr>
        <color theme="1" tint="0"/>
        <sz val="11"/>
        <scheme val="minor"/>
      </rPr>
      <t xml:space="preserve"> - Not Present
</t>
    </r>
    <r>
      <rPr>
        <b val="true"/>
        <color theme="1" tint="0"/>
        <sz val="11"/>
        <scheme val="minor"/>
      </rPr>
      <t>10</t>
    </r>
    <r>
      <rPr>
        <color theme="1" tint="0"/>
        <sz val="11"/>
        <scheme val="minor"/>
      </rPr>
      <t xml:space="preserve"> - Present</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</si>
  <si>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</si>
  <si>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</si>
  <si>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720-04-23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</si>
  <si>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</si>
  <si>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</si>
  <si>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B2</t>
    </r>
    <r>
      <rPr>
        <color theme="1" tint="0"/>
        <sz val="11"/>
        <scheme val="minor"/>
      </rPr>
      <t xml:space="preserve"> - Config Start Byte [BF]</t>
    </r>
  </si>
  <si>
    <r>
      <rPr>
        <color rgb="FFFF00" tint="0"/>
        <sz val="11"/>
        <scheme val="minor"/>
      </rPr>
      <t xml:space="preserve">B3 </t>
    </r>
    <r>
      <rPr>
        <color theme="1" tint="0"/>
        <sz val="11"/>
        <scheme val="minor"/>
      </rPr>
      <t>- Block#09</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</si>
  <si>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</si>
  <si>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</si>
  <si>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23</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</si>
  <si>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</si>
  <si>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</si>
  <si>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</si>
  <si>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</si>
  <si>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Cruise control</t>
    </r>
    <r>
      <rPr>
        <color theme="1" tint="0"/>
        <sz val="11"/>
        <scheme val="minor"/>
      </rPr>
      <t xml:space="preserve">:
</t>
    </r>
    <r>
      <rPr>
        <i val="true"/>
        <color theme="1" tint="0"/>
        <sz val="10"/>
        <scheme val="minor"/>
      </rPr>
      <t xml:space="preserve">b6b5b4 - Value
</t>
    </r>
    <r>
      <rPr>
        <b val="true"/>
        <color theme="1" tint="0"/>
        <sz val="11"/>
        <scheme val="minor"/>
      </rPr>
      <t>001</t>
    </r>
    <r>
      <rPr>
        <color theme="1" tint="0"/>
        <sz val="11"/>
        <scheme val="minor"/>
      </rPr>
      <t xml:space="preserve"> - Without CC
</t>
    </r>
    <r>
      <rPr>
        <b val="true"/>
        <color theme="1" tint="0"/>
        <sz val="11"/>
        <scheme val="minor"/>
      </rPr>
      <t>010</t>
    </r>
    <r>
      <rPr>
        <color theme="1" tint="0"/>
        <sz val="11"/>
        <scheme val="minor"/>
      </rPr>
      <t xml:space="preserve"> - Standard CC
</t>
    </r>
    <r>
      <rPr>
        <b val="true"/>
        <color theme="1" tint="0"/>
        <sz val="11"/>
        <scheme val="minor"/>
      </rPr>
      <t>011</t>
    </r>
    <r>
      <rPr>
        <color theme="1" tint="0"/>
        <sz val="11"/>
        <scheme val="minor"/>
      </rPr>
      <t xml:space="preserve"> - Standard MRCC
</t>
    </r>
    <r>
      <rPr>
        <b val="true"/>
        <color theme="1" tint="0"/>
        <sz val="11"/>
        <scheme val="minor"/>
      </rPr>
      <t>100</t>
    </r>
    <r>
      <rPr>
        <color theme="1" tint="0"/>
        <sz val="11"/>
        <scheme val="minor"/>
      </rPr>
      <t xml:space="preserve"> - CC with ASL
</t>
    </r>
    <r>
      <rPr>
        <b val="true"/>
        <color theme="1" tint="0"/>
        <sz val="11"/>
        <scheme val="minor"/>
      </rPr>
      <t>101</t>
    </r>
    <r>
      <rPr>
        <color theme="1" tint="0"/>
        <sz val="11"/>
        <scheme val="minor"/>
      </rPr>
      <t xml:space="preserve"> - MRCC with ASL
</t>
    </r>
    <r>
      <rPr>
        <b val="true"/>
        <color theme="1" tint="0"/>
        <sz val="11"/>
        <scheme val="minor"/>
      </rPr>
      <t>111</t>
    </r>
    <r>
      <rPr>
        <color theme="1" tint="0"/>
        <sz val="11"/>
        <scheme val="minor"/>
      </rPr>
      <t xml:space="preserve"> - MRCC with ISA</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</si>
  <si>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</si>
  <si>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</si>
  <si>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</si>
  <si>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</si>
  <si>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Related to button mapping of Cruise Control function</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</si>
  <si>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</si>
  <si>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</si>
  <si>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</si>
  <si>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</si>
  <si>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720-04-24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</si>
  <si>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</si>
  <si>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</si>
  <si>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</si>
  <si>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</si>
  <si>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</si>
  <si>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</si>
  <si>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24</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</si>
  <si>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</si>
  <si>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</si>
  <si>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</si>
  <si>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</si>
  <si>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</si>
  <si>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</si>
  <si>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</si>
  <si>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SCBS:
</t>
    </r>
    <r>
      <rPr>
        <i val="true"/>
        <color theme="1" tint="0"/>
        <sz val="10"/>
        <scheme val="minor"/>
      </rPr>
      <t xml:space="preserve">b6b5b4 - Value
</t>
    </r>
    <r>
      <rPr>
        <b val="true"/>
        <color theme="1" tint="0"/>
        <sz val="11"/>
        <scheme val="minor"/>
      </rPr>
      <t>001</t>
    </r>
    <r>
      <rPr>
        <color theme="1" tint="0"/>
        <sz val="11"/>
        <scheme val="minor"/>
      </rPr>
      <t xml:space="preserve"> - SCBS Off
</t>
    </r>
    <r>
      <rPr>
        <b val="true"/>
        <color theme="1" tint="0"/>
        <sz val="11"/>
        <scheme val="minor"/>
      </rPr>
      <t>010</t>
    </r>
    <r>
      <rPr>
        <color theme="1" tint="0"/>
        <sz val="11"/>
        <scheme val="minor"/>
      </rPr>
      <t xml:space="preserve"> - SCBS On (Laser Sensor)
</t>
    </r>
    <r>
      <rPr>
        <b val="true"/>
        <color theme="1" tint="0"/>
        <sz val="11"/>
        <scheme val="minor"/>
      </rPr>
      <t>011</t>
    </r>
    <r>
      <rPr>
        <color theme="1" tint="0"/>
        <sz val="11"/>
        <scheme val="minor"/>
      </rPr>
      <t xml:space="preserve"> - SCBS On (Laser Sensor, Japan only)
</t>
    </r>
    <r>
      <rPr>
        <b val="true"/>
        <color theme="1" tint="0"/>
        <sz val="11"/>
        <scheme val="minor"/>
      </rPr>
      <t>100</t>
    </r>
    <r>
      <rPr>
        <color theme="1" tint="0"/>
        <sz val="11"/>
        <scheme val="minor"/>
      </rPr>
      <t xml:space="preserve"> - SCBS On (FSC Gen 2)
</t>
    </r>
    <r>
      <rPr>
        <b val="true"/>
        <color theme="1" tint="0"/>
        <sz val="11"/>
        <scheme val="minor"/>
      </rPr>
      <t>101</t>
    </r>
    <r>
      <rPr>
        <color theme="1" tint="0"/>
        <sz val="11"/>
        <scheme val="minor"/>
      </rPr>
      <t xml:space="preserve"> - ? (Japan only)</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</si>
  <si>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</si>
  <si>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</si>
  <si>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</si>
  <si>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</si>
  <si>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</si>
  <si>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</si>
  <si>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</si>
  <si>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Only when B2 b0 = 1 AND SCBS = 010 or 011</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</si>
  <si>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</si>
  <si>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</si>
  <si>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</si>
  <si>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Only when B3 b4 = 1 AND SCBS = 010 or 011</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</si>
  <si>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</si>
  <si>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720-04-25</t>
    </r>
    <r>
      <rPr>
        <b val="false"/>
        <color theme="1" tint="0"/>
        <sz val="11"/>
        <scheme val="minor"/>
      </rPr>
      <t xml:space="preserve"> B0 B1 B2 B3 B4 B5 in HEX</t>
    </r>
  </si>
  <si>
    <r>
      <rPr>
        <color rgb="7030A0" tint="0"/>
        <sz val="11"/>
        <scheme val="minor"/>
      </rPr>
      <t xml:space="preserve">B0 </t>
    </r>
    <r>
      <rPr>
        <color theme="1" tint="0"/>
        <sz val="11"/>
        <scheme val="minor"/>
      </rPr>
      <t>- Config Start Byte [BF]</t>
    </r>
  </si>
  <si>
    <r>
      <rPr>
        <color rgb="FF0000" tint="0"/>
        <sz val="11"/>
        <scheme val="minor"/>
      </rPr>
      <t xml:space="preserve">B1 </t>
    </r>
    <r>
      <rPr>
        <color theme="1" tint="0"/>
        <sz val="11"/>
        <scheme val="minor"/>
      </rPr>
      <t>- Block#10</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</si>
  <si>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</si>
  <si>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</si>
  <si>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</si>
  <si>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</si>
  <si>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25</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</si>
  <si>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</si>
  <si>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</si>
  <si>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</si>
  <si>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</si>
  <si>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</si>
  <si>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</si>
  <si>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i-ELOOP:
</t>
    </r>
    <r>
      <rPr>
        <i val="true"/>
        <color theme="1" tint="0"/>
        <sz val="10"/>
        <scheme val="minor"/>
      </rPr>
      <t xml:space="preserve">b5b4 - Value
</t>
    </r>
    <r>
      <rPr>
        <b val="true"/>
        <color theme="1" tint="0"/>
        <sz val="11"/>
        <scheme val="minor"/>
      </rPr>
      <t>01</t>
    </r>
    <r>
      <rPr>
        <color theme="1" tint="0"/>
        <sz val="11"/>
        <scheme val="minor"/>
      </rPr>
      <t xml:space="preserve"> - Off
</t>
    </r>
    <r>
      <rPr>
        <b val="true"/>
        <color theme="1" tint="0"/>
        <sz val="11"/>
        <scheme val="minor"/>
      </rPr>
      <t>10</t>
    </r>
    <r>
      <rPr>
        <color theme="1" tint="0"/>
        <sz val="11"/>
        <scheme val="minor"/>
      </rPr>
      <t xml:space="preserve"> - On</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</si>
  <si>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</si>
  <si>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</si>
  <si>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</si>
  <si>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</si>
  <si>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</si>
  <si>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</si>
  <si>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</si>
  <si>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</si>
  <si>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</si>
  <si>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</si>
  <si>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</si>
  <si>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</si>
  <si>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</si>
  <si>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</si>
  <si>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</si>
  <si>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</si>
  <si>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720-04-26 </t>
    </r>
    <r>
      <rPr>
        <b val="false"/>
        <color theme="1" tint="0"/>
        <sz val="11"/>
        <scheme val="minor"/>
      </rPr>
      <t>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</si>
  <si>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</si>
  <si>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</si>
  <si>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FF00" tint="0"/>
        <sz val="11"/>
        <scheme val="minor"/>
      </rPr>
      <t xml:space="preserve">B3 </t>
    </r>
    <r>
      <rPr>
        <color theme="1" tint="0"/>
        <sz val="11"/>
        <scheme val="minor"/>
      </rPr>
      <t>- Config Start Byte [BF]</t>
    </r>
  </si>
  <si>
    <r>
      <rPr>
        <b val="true"/>
        <color theme="4" tint="0"/>
        <sz val="11"/>
        <scheme val="minor"/>
      </rPr>
      <t>B4</t>
    </r>
    <r>
      <rPr>
        <color rgb="333333" tint="0"/>
        <sz val="11"/>
        <scheme val="minor"/>
      </rPr>
      <t> - Block#11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</si>
  <si>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</si>
  <si>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</si>
  <si>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</si>
  <si>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</si>
  <si>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</si>
  <si>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</si>
  <si>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BOSE:
</t>
    </r>
    <r>
      <rPr>
        <i val="true"/>
        <color theme="1" tint="0"/>
        <sz val="10"/>
        <scheme val="minor"/>
      </rPr>
      <t xml:space="preserve">b5b4 - Value
</t>
    </r>
    <r>
      <rPr>
        <b val="true"/>
        <color theme="1" tint="0"/>
        <sz val="11"/>
        <scheme val="minor"/>
      </rPr>
      <t>01</t>
    </r>
    <r>
      <rPr>
        <color theme="1" tint="0"/>
        <sz val="11"/>
        <scheme val="minor"/>
      </rPr>
      <t xml:space="preserve"> - No BOSE
</t>
    </r>
    <r>
      <rPr>
        <b val="true"/>
        <color theme="1" tint="0"/>
        <sz val="11"/>
        <scheme val="minor"/>
      </rPr>
      <t>10</t>
    </r>
    <r>
      <rPr>
        <color theme="1" tint="0"/>
        <sz val="11"/>
        <scheme val="minor"/>
      </rPr>
      <t xml:space="preserve"> -BOSE present</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</si>
  <si>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</si>
  <si>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</si>
  <si>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</si>
  <si>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</si>
  <si>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</si>
  <si>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</si>
  <si>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Seat heating (?):
</t>
    </r>
    <r>
      <rPr>
        <i val="true"/>
        <color theme="1" tint="0"/>
        <sz val="10"/>
        <scheme val="minor"/>
      </rPr>
      <t xml:space="preserve">b1b0 - Value
</t>
    </r>
    <r>
      <rPr>
        <b val="true"/>
        <color theme="1" tint="0"/>
        <sz val="11"/>
        <scheme val="minor"/>
      </rPr>
      <t>00</t>
    </r>
    <r>
      <rPr>
        <color theme="1" tint="0"/>
        <sz val="11"/>
        <scheme val="minor"/>
      </rPr>
      <t xml:space="preserve"> - Cloth/Perforated Leather seats
</t>
    </r>
    <r>
      <rPr>
        <b val="true"/>
        <color theme="1" tint="0"/>
        <sz val="11"/>
        <scheme val="minor"/>
      </rPr>
      <t>01</t>
    </r>
    <r>
      <rPr>
        <color theme="1" tint="0"/>
        <sz val="11"/>
        <scheme val="minor"/>
      </rPr>
      <t xml:space="preserve"> - Leatherette seats
</t>
    </r>
    <r>
      <rPr>
        <b val="true"/>
        <color theme="1" tint="0"/>
        <sz val="11"/>
        <scheme val="minor"/>
      </rPr>
      <t>10</t>
    </r>
    <r>
      <rPr>
        <color theme="1" tint="0"/>
        <sz val="11"/>
        <scheme val="minor"/>
      </rPr>
      <t xml:space="preserve"> - ??
</t>
    </r>
    <r>
      <rPr>
        <b val="true"/>
        <color theme="1" tint="0"/>
        <sz val="11"/>
        <scheme val="minor"/>
      </rPr>
      <t>11</t>
    </r>
    <r>
      <rPr>
        <color theme="1" tint="0"/>
        <sz val="11"/>
        <scheme val="minor"/>
      </rPr>
      <t xml:space="preserve"> - ??</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</si>
  <si>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</si>
  <si>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</si>
  <si>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720-04-27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</si>
  <si>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</si>
  <si>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</si>
  <si>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</si>
  <si>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</si>
  <si>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</si>
  <si>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</si>
  <si>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27</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</si>
  <si>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</si>
  <si>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</si>
  <si>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</si>
  <si>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</si>
  <si>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</si>
  <si>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</si>
  <si>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</si>
  <si>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CMU; 0 = RCU</t>
  </si>
  <si>
    <r>
      <rPr>
        <b val="true"/>
        <color theme="1" tint="0"/>
        <sz val="11"/>
        <scheme val="minor"/>
      </rPr>
      <t>Applications - Vehicle Telemetry Transfer sub-menu</t>
    </r>
    <r>
      <rPr>
        <color theme="1" tint="0"/>
        <sz val="11"/>
        <scheme val="minor"/>
      </rPr>
      <t xml:space="preserve">: </t>
    </r>
    <r>
      <rPr>
        <b val="true"/>
        <color theme="1" tint="0"/>
        <sz val="11"/>
        <scheme val="minor"/>
      </rPr>
      <t>0</t>
    </r>
    <r>
      <rPr>
        <color theme="1" tint="0"/>
        <sz val="11"/>
        <scheme val="minor"/>
      </rPr>
      <t xml:space="preserve"> - Hide / </t>
    </r>
    <r>
      <rPr>
        <b val="true"/>
        <color theme="1" tint="0"/>
        <sz val="11"/>
        <scheme val="minor"/>
      </rPr>
      <t>1</t>
    </r>
    <r>
      <rPr>
        <color theme="1" tint="0"/>
        <sz val="11"/>
        <scheme val="minor"/>
      </rPr>
      <t xml:space="preserve"> - Show</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</si>
  <si>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</si>
  <si>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</si>
  <si>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Applications - Driver Selection sub-menu</t>
    </r>
    <r>
      <rPr>
        <color theme="1" tint="0"/>
        <sz val="11"/>
        <scheme val="minor"/>
      </rPr>
      <t xml:space="preserve">: </t>
    </r>
    <r>
      <rPr>
        <b val="true"/>
        <color theme="1" tint="0"/>
        <sz val="11"/>
        <scheme val="minor"/>
      </rPr>
      <t>0</t>
    </r>
    <r>
      <rPr>
        <color theme="1" tint="0"/>
        <sz val="11"/>
        <scheme val="minor"/>
      </rPr>
      <t xml:space="preserve"> - Hide / </t>
    </r>
    <r>
      <rPr>
        <b val="true"/>
        <color theme="1" tint="0"/>
        <sz val="11"/>
        <scheme val="minor"/>
      </rPr>
      <t>1</t>
    </r>
    <r>
      <rPr>
        <color theme="1" tint="0"/>
        <sz val="11"/>
        <scheme val="minor"/>
      </rPr>
      <t xml:space="preserve"> - Show</t>
    </r>
  </si>
  <si>
    <r>
      <t xml:space="preserve">0 </t>
    </r>
    <r>
      <rPr>
        <b val="false"/>
        <color rgb="FF0000" tint="0"/>
        <sz val="11"/>
        <scheme val="minor"/>
      </rPr>
      <t>= Permanent value</t>
    </r>
  </si>
  <si>
    <r>
      <rPr>
        <b val="true"/>
        <color theme="1" tint="0"/>
        <sz val="11"/>
        <scheme val="minor"/>
      </rPr>
      <t>Applications - i-DM application</t>
    </r>
    <r>
      <rPr>
        <color theme="1" tint="0"/>
        <sz val="11"/>
        <scheme val="minor"/>
      </rPr>
      <t xml:space="preserve">: </t>
    </r>
    <r>
      <rPr>
        <b val="true"/>
        <color theme="1" tint="0"/>
        <sz val="11"/>
        <scheme val="minor"/>
      </rPr>
      <t>0</t>
    </r>
    <r>
      <rPr>
        <color theme="1" tint="0"/>
        <sz val="11"/>
        <scheme val="minor"/>
      </rPr>
      <t xml:space="preserve"> - Disable / </t>
    </r>
    <r>
      <rPr>
        <b val="true"/>
        <color theme="1" tint="0"/>
        <sz val="11"/>
        <scheme val="minor"/>
      </rPr>
      <t>1</t>
    </r>
    <r>
      <rPr>
        <color theme="1" tint="0"/>
        <sz val="11"/>
        <scheme val="minor"/>
      </rPr>
      <t xml:space="preserve"> - Enable</t>
    </r>
  </si>
  <si>
    <r>
      <rPr>
        <b val="true"/>
        <color theme="1" tint="0"/>
        <sz val="11"/>
        <scheme val="minor"/>
      </rPr>
      <t xml:space="preserve">Backup Camera:
</t>
    </r>
    <r>
      <rPr>
        <b val="true"/>
        <color theme="1" tint="0"/>
        <sz val="11"/>
        <scheme val="minor"/>
      </rPr>
      <t>1</t>
    </r>
    <r>
      <rPr>
        <color theme="1" tint="0"/>
        <sz val="11"/>
        <scheme val="minor"/>
      </rPr>
      <t xml:space="preserve"> - with Dynamic Assist Lines (7 wires);
</t>
    </r>
    <r>
      <rPr>
        <b val="true"/>
        <color theme="1" tint="0"/>
        <sz val="11"/>
        <scheme val="minor"/>
      </rPr>
      <t>0</t>
    </r>
    <r>
      <rPr>
        <color theme="1" tint="0"/>
        <sz val="11"/>
        <scheme val="minor"/>
      </rPr>
      <t xml:space="preserve"> - with Fixed Assist Lines (4 wires)</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</si>
  <si>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</si>
  <si>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</si>
  <si>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</si>
  <si>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Applications - i-DM - Ending Screen setting</t>
    </r>
    <r>
      <rPr>
        <color theme="1" tint="0"/>
        <sz val="11"/>
        <scheme val="minor"/>
      </rPr>
      <t xml:space="preserve">: </t>
    </r>
    <r>
      <rPr>
        <b val="true"/>
        <color theme="1" tint="0"/>
        <sz val="11"/>
        <scheme val="minor"/>
      </rPr>
      <t>0</t>
    </r>
    <r>
      <rPr>
        <color theme="1" tint="0"/>
        <sz val="11"/>
        <scheme val="minor"/>
      </rPr>
      <t xml:space="preserve"> - Hide / </t>
    </r>
    <r>
      <rPr>
        <b val="true"/>
        <color theme="1" tint="0"/>
        <sz val="11"/>
        <scheme val="minor"/>
      </rPr>
      <t>1</t>
    </r>
    <r>
      <rPr>
        <color theme="1" tint="0"/>
        <sz val="11"/>
        <scheme val="minor"/>
      </rPr>
      <t xml:space="preserve"> - Show</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</si>
  <si>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</si>
  <si>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</si>
  <si>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</si>
  <si>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</si>
  <si>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</si>
  <si>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</si>
  <si>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</si>
  <si>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720-04-28 </t>
    </r>
    <r>
      <rPr>
        <b val="false"/>
        <color theme="1" tint="0"/>
        <sz val="11"/>
        <scheme val="minor"/>
      </rPr>
      <t>B0 B1 B2 B3 B4 B5 in HEX</t>
    </r>
  </si>
  <si>
    <r>
      <rPr>
        <color rgb="7030A0" tint="0"/>
        <sz val="11"/>
        <scheme val="minor"/>
      </rPr>
      <t xml:space="preserve">B0 </t>
    </r>
    <r>
      <rPr>
        <color theme="1" tint="0"/>
        <sz val="11"/>
        <scheme val="minor"/>
      </rPr>
      <t>in BIN (0 or 1):</t>
    </r>
  </si>
  <si>
    <r>
      <rPr>
        <color rgb="FFC000" tint="0"/>
        <sz val="11"/>
        <scheme val="minor"/>
      </rPr>
      <t xml:space="preserve">B2 </t>
    </r>
    <r>
      <rPr>
        <color theme="1" tint="0"/>
        <sz val="11"/>
        <scheme val="minor"/>
      </rPr>
      <t>- Block#12</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</si>
  <si>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</si>
  <si>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</si>
  <si>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</si>
  <si>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28</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</si>
  <si>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</si>
  <si>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</si>
  <si>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</si>
  <si>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</si>
  <si>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</si>
  <si>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</si>
  <si>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</si>
  <si>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</si>
  <si>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</si>
  <si>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</si>
  <si>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</si>
  <si>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</si>
  <si>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</si>
  <si>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Mazda 2, CX-3, MX-5 only  -- Mazda 2, CX-3, MX-5 only  -- Mazda 2, CX-3, MX-5 only  -- Mazda 2, CX-3, MX-5 only  -- Mazda 2, CX-3, MX-5 only</t>
  </si>
  <si>
    <r>
      <t>720-04-29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</si>
  <si>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</si>
  <si>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</si>
  <si>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</si>
  <si>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</si>
  <si>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Config Start Byte [BF]</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</si>
  <si>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</si>
  <si>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</si>
  <si>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</si>
  <si>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</si>
  <si>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</si>
  <si>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</si>
  <si>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</si>
  <si>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</si>
  <si>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</si>
  <si>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</si>
  <si>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</si>
  <si>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</si>
  <si>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</si>
  <si>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</si>
  <si>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</si>
  <si>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</si>
  <si>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</si>
  <si>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</si>
  <si>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</si>
  <si>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720-04-30 </t>
    </r>
    <r>
      <rPr>
        <b val="false"/>
        <color theme="1" tint="0"/>
        <sz val="11"/>
        <scheme val="minor"/>
      </rPr>
      <t>B0 B1 B2 B3 B4 B5 in HEX</t>
    </r>
  </si>
  <si>
    <r>
      <rPr>
        <color rgb="7030A0" tint="0"/>
        <sz val="11"/>
        <scheme val="minor"/>
      </rPr>
      <t xml:space="preserve">B0 </t>
    </r>
    <r>
      <rPr>
        <color theme="1" tint="0"/>
        <sz val="11"/>
        <scheme val="minor"/>
      </rPr>
      <t>- Block#13</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</si>
  <si>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</si>
  <si>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</si>
  <si>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</si>
  <si>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</si>
  <si>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</si>
  <si>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</si>
  <si>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</si>
  <si>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</si>
  <si>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</si>
  <si>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</si>
  <si>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</si>
  <si>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</si>
  <si>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</si>
  <si>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</si>
  <si>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</si>
  <si>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</si>
  <si>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</si>
  <si>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</si>
  <si>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</si>
  <si>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</si>
  <si>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</si>
  <si>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</si>
  <si>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</si>
  <si>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</si>
  <si>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</si>
  <si>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</si>
  <si>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</si>
  <si>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</si>
  <si>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</si>
  <si>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</si>
  <si>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</si>
  <si>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</si>
  <si>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</si>
  <si>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</si>
  <si>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</si>
  <si>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</si>
  <si>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</si>
  <si>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</si>
  <si>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720-04-31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</si>
  <si>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</si>
  <si>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</si>
  <si>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 Config Start Byte [BF]</t>
    </r>
  </si>
  <si>
    <r>
      <rPr>
        <color rgb="FFFF00" tint="0"/>
        <sz val="11"/>
        <scheme val="minor"/>
      </rPr>
      <t xml:space="preserve">B3 </t>
    </r>
    <r>
      <rPr>
        <color theme="1" tint="0"/>
        <sz val="11"/>
        <scheme val="minor"/>
      </rPr>
      <t>- Block#14</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</si>
  <si>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</si>
  <si>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</si>
  <si>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</si>
  <si>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</si>
  <si>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</si>
  <si>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</si>
  <si>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</si>
  <si>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</si>
  <si>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</si>
  <si>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</si>
  <si>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</si>
  <si>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</si>
  <si>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</si>
  <si>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</si>
  <si>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</si>
  <si>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</si>
  <si>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</si>
  <si>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</si>
  <si>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</si>
  <si>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</si>
  <si>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</si>
  <si>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</si>
  <si>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</si>
  <si>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</si>
  <si>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</si>
  <si>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</si>
  <si>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</si>
  <si>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720-04-32 </t>
    </r>
    <r>
      <rPr>
        <b val="false"/>
        <color theme="1" tint="0"/>
        <sz val="11"/>
        <scheme val="minor"/>
      </rPr>
      <t>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</si>
  <si>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</si>
  <si>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</si>
  <si>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</si>
  <si>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</si>
  <si>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</si>
  <si>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</si>
  <si>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</si>
  <si>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</si>
  <si>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</si>
  <si>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Related to Low Level W/shield washer Liquid (in 720-01-01 B1 b5=1)</t>
  </si>
  <si>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</si>
  <si>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</si>
  <si>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</si>
  <si>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</si>
  <si>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</si>
  <si>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</si>
  <si>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0 = MX-5, 1 = CX-3/Mazda 2</t>
  </si>
  <si>
    <t>1=all Areas except 61/71 + Israel</t>
  </si>
  <si>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</si>
  <si>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</si>
  <si>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</si>
  <si>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</si>
  <si>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1=Areas 61/71 except Israel</t>
  </si>
  <si>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</si>
  <si>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</si>
  <si>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</si>
  <si>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t>1=300 M2/CX-3/MX-5</t>
  </si>
  <si>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</si>
  <si>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</si>
  <si>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</si>
  <si>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t>1=300 LED M2/CX-3/MX-5</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</si>
  <si>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</si>
  <si>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</si>
  <si>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</si>
  <si>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</si>
  <si>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</si>
  <si>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</si>
  <si>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</si>
  <si>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</si>
  <si>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</si>
  <si>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</si>
  <si>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</si>
  <si>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</si>
  <si>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</si>
  <si>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720-04-33</t>
    </r>
    <r>
      <rPr>
        <b val="false"/>
        <color theme="1" tint="0"/>
        <sz val="11"/>
        <scheme val="minor"/>
      </rPr>
      <t xml:space="preserve"> B0 B1 B2 B3 B4 B5 in HEX</t>
    </r>
  </si>
  <si>
    <r>
      <rPr>
        <color rgb="7030A0" tint="0"/>
        <sz val="11"/>
        <scheme val="minor"/>
      </rPr>
      <t xml:space="preserve">B0 </t>
    </r>
    <r>
      <rPr>
        <color theme="1" tint="0"/>
        <sz val="11"/>
        <scheme val="minor"/>
      </rPr>
      <t>- Config Start Byte [BF]</t>
    </r>
  </si>
  <si>
    <r>
      <rPr>
        <color rgb="FF0000" tint="0"/>
        <sz val="11"/>
        <scheme val="minor"/>
      </rPr>
      <t xml:space="preserve">B1 </t>
    </r>
    <r>
      <rPr>
        <color theme="1" tint="0"/>
        <sz val="11"/>
        <scheme val="minor"/>
      </rPr>
      <t>- Block#15</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</si>
  <si>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</si>
  <si>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</si>
  <si>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</si>
  <si>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</si>
  <si>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</si>
  <si>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t>1=US CX-3 HALO</t>
  </si>
  <si>
    <r>
      <t xml:space="preserve">00 = HALO M2;
</t>
    </r>
    <r>
      <t xml:space="preserve">01 = HALO CX-3;
</t>
    </r>
    <r>
      <t>11 = LED</t>
    </r>
  </si>
  <si>
    <t>1=US</t>
  </si>
  <si>
    <r>
      <t xml:space="preserve">0 </t>
    </r>
    <r>
      <rPr>
        <b val="false"/>
        <color rgb="FF0000" tint="0"/>
        <sz val="11"/>
        <scheme val="minor"/>
      </rPr>
      <t>= Permanent value</t>
    </r>
  </si>
  <si>
    <t>1-MX-5</t>
  </si>
  <si>
    <r>
      <t xml:space="preserve">0 </t>
    </r>
    <r>
      <rPr>
        <b val="false"/>
        <color rgb="FF0000" tint="0"/>
        <sz val="11"/>
        <scheme val="minor"/>
      </rPr>
      <t>= Permanent value</t>
    </r>
  </si>
  <si>
    <t>1=Areas 21/51/61/71</t>
  </si>
  <si>
    <t>1=if  720-04-32 B3b7=1</t>
  </si>
  <si>
    <r>
      <t xml:space="preserve">0 </t>
    </r>
    <r>
      <rPr>
        <b val="false"/>
        <color rgb="FF0000" tint="0"/>
        <sz val="11"/>
        <scheme val="minor"/>
      </rPr>
      <t>= Permanent value</t>
    </r>
  </si>
  <si>
    <t>1=Areas 31/41/CAN/ISR/Malay</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</si>
  <si>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</si>
  <si>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</si>
  <si>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</si>
  <si>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</si>
  <si>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</si>
  <si>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1=300 in MX-5</t>
  </si>
  <si>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</si>
  <si>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</si>
  <si>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720-04-34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</si>
  <si>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</si>
  <si>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</si>
  <si>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</si>
  <si>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 Config Start Byte [BF]</t>
    </r>
  </si>
  <si>
    <r>
      <rPr>
        <b val="true"/>
        <color theme="4" tint="0"/>
        <sz val="11"/>
        <scheme val="minor"/>
      </rPr>
      <t>B4</t>
    </r>
    <r>
      <rPr>
        <color rgb="333333" tint="0"/>
        <sz val="11"/>
        <scheme val="minor"/>
      </rPr>
      <t> - Block#16</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</si>
  <si>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</si>
  <si>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</si>
  <si>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</si>
  <si>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</si>
  <si>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if 720-04-27 B0=3x in M2/CX3/MX5</t>
  </si>
  <si>
    <r>
      <t xml:space="preserve">0 </t>
    </r>
    <r>
      <rPr>
        <b val="false"/>
        <color rgb="FF0000" tint="0"/>
        <sz val="11"/>
        <scheme val="minor"/>
      </rPr>
      <t>= Permanent value</t>
    </r>
  </si>
  <si>
    <r>
      <t xml:space="preserve">01 = JPN only;
</t>
    </r>
    <r>
      <t xml:space="preserve">11 = any except JPN
</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</si>
  <si>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</si>
  <si>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</si>
  <si>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</si>
  <si>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</si>
  <si>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</si>
  <si>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</si>
  <si>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</si>
  <si>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110 = JPN only;
</t>
    </r>
    <r>
      <t xml:space="preserve">010 = AUS/ASIA;
</t>
    </r>
    <r>
      <t>011 = EU/UK/US</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</si>
  <si>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</si>
  <si>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</si>
  <si>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</si>
  <si>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</si>
  <si>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</si>
  <si>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</si>
  <si>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</si>
  <si>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720-04-35 </t>
    </r>
    <r>
      <rPr>
        <b val="false"/>
        <color theme="1" tint="0"/>
        <sz val="11"/>
        <scheme val="minor"/>
      </rPr>
      <t>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</si>
  <si>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</si>
  <si>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</si>
  <si>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</si>
  <si>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</si>
  <si>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</si>
  <si>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</si>
  <si>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100 - MX-5;
</t>
    </r>
    <r>
      <t xml:space="preserve">011 - CX-3;
</t>
    </r>
    <r>
      <t xml:space="preserve">010 - M2 HB;
</t>
    </r>
    <r>
      <t>000 = M2 SD</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</si>
  <si>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</si>
  <si>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</si>
  <si>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</si>
  <si>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</si>
  <si>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</si>
  <si>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</si>
  <si>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</si>
  <si>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</si>
  <si>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</si>
  <si>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t>1 =no ADL; 0=ADL</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</si>
  <si>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</si>
  <si>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</si>
  <si>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</si>
  <si>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</si>
  <si>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</si>
  <si>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</si>
  <si>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</si>
  <si>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</si>
  <si>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</si>
  <si>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</si>
  <si>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</si>
  <si>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</si>
  <si>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</si>
  <si>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</si>
  <si>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</si>
  <si>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</si>
  <si>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</si>
  <si>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720-04-36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</si>
  <si>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</si>
  <si>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 Config Start Byte [BF]</t>
    </r>
  </si>
  <si>
    <r>
      <rPr>
        <color rgb="FFC000" tint="0"/>
        <sz val="11"/>
        <scheme val="minor"/>
      </rPr>
      <t xml:space="preserve">B2 </t>
    </r>
    <r>
      <rPr>
        <color theme="1" tint="0"/>
        <sz val="11"/>
        <scheme val="minor"/>
      </rPr>
      <t>- Block#17</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</si>
  <si>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</si>
  <si>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</si>
  <si>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</si>
  <si>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</si>
  <si>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</si>
  <si>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</si>
  <si>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</si>
  <si>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</si>
  <si>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</si>
  <si>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</si>
  <si>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t>1 - Advanced SCBS equipped MX-5</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</si>
  <si>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</si>
  <si>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</si>
  <si>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</si>
  <si>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 i-STOP equipped</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</si>
  <si>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</si>
  <si>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</si>
  <si>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</si>
  <si>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</si>
  <si>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720-04-37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</si>
  <si>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</si>
  <si>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</si>
  <si>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</si>
  <si>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</si>
  <si>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Config Start Byte [BF]</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</si>
  <si>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</si>
  <si>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</si>
  <si>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</si>
  <si>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</si>
  <si>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</si>
  <si>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</si>
  <si>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</si>
  <si>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</si>
  <si>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</si>
  <si>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</si>
  <si>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</si>
  <si>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</si>
  <si>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</si>
  <si>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</si>
  <si>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</si>
  <si>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</si>
  <si>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</si>
  <si>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</si>
  <si>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</si>
  <si>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</si>
  <si>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</si>
  <si>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</si>
  <si>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</si>
  <si>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</si>
  <si>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</si>
  <si>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</si>
  <si>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</si>
  <si>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</si>
  <si>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</si>
  <si>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</si>
  <si>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</si>
  <si>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</si>
  <si>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</si>
  <si>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720-04-38</t>
    </r>
    <r>
      <rPr>
        <b val="false"/>
        <color theme="1" tint="0"/>
        <sz val="11"/>
        <scheme val="minor"/>
      </rPr>
      <t xml:space="preserve"> B0 B1 B2 B3 B4 B5 in HEX</t>
    </r>
  </si>
  <si>
    <r>
      <rPr>
        <color rgb="7030A0" tint="0"/>
        <sz val="11"/>
        <scheme val="minor"/>
      </rPr>
      <t xml:space="preserve">B0 </t>
    </r>
    <r>
      <rPr>
        <color theme="1" tint="0"/>
        <sz val="11"/>
        <scheme val="minor"/>
      </rPr>
      <t>- Block#18</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</si>
  <si>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</si>
  <si>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</si>
  <si>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</si>
  <si>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</si>
  <si>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</si>
  <si>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</si>
  <si>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</si>
  <si>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</si>
  <si>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</si>
  <si>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</si>
  <si>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</si>
  <si>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</si>
  <si>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</si>
  <si>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</si>
  <si>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</si>
  <si>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</si>
  <si>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</si>
  <si>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</si>
  <si>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</si>
  <si>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</si>
  <si>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</si>
  <si>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</si>
  <si>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</si>
  <si>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</si>
  <si>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</si>
  <si>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</si>
  <si>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</si>
  <si>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</si>
  <si>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</si>
  <si>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</si>
  <si>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</si>
  <si>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</si>
  <si>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</si>
  <si>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</si>
  <si>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</si>
  <si>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</si>
  <si>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</si>
  <si>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</si>
  <si>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720-04-39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</si>
  <si>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</si>
  <si>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</si>
  <si>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 Config Start Byte [BF]</t>
    </r>
  </si>
  <si>
    <r>
      <rPr>
        <color rgb="FFFF00" tint="0"/>
        <sz val="11"/>
        <scheme val="minor"/>
      </rPr>
      <t xml:space="preserve">B3 </t>
    </r>
    <r>
      <rPr>
        <color theme="1" tint="0"/>
        <sz val="11"/>
        <scheme val="minor"/>
      </rPr>
      <t>- Block#19</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</si>
  <si>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</si>
  <si>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</si>
  <si>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</si>
  <si>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</si>
  <si>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</si>
  <si>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</si>
  <si>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</si>
  <si>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</si>
  <si>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</si>
  <si>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</si>
  <si>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</si>
  <si>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</si>
  <si>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</si>
  <si>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</si>
  <si>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</si>
  <si>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</si>
  <si>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</si>
  <si>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</si>
  <si>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</si>
  <si>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</si>
  <si>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</si>
  <si>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</si>
  <si>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</si>
  <si>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</si>
  <si>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</si>
  <si>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</si>
  <si>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</si>
  <si>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</si>
  <si>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</si>
  <si>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</si>
  <si>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</si>
  <si>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</si>
  <si>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</si>
  <si>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</si>
  <si>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</si>
  <si>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</si>
  <si>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</si>
  <si>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</si>
  <si>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</si>
  <si>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</si>
  <si>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</si>
  <si>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</si>
  <si>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</si>
  <si>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</si>
  <si>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</si>
  <si>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</si>
  <si>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</si>
  <si>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</si>
  <si>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</si>
  <si>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</si>
  <si>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</si>
  <si>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</si>
  <si>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</si>
  <si>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</si>
  <si>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</si>
  <si>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</si>
  <si>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</si>
  <si>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</si>
  <si>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</si>
  <si>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</si>
  <si>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</si>
  <si>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</si>
  <si>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</si>
  <si>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</si>
  <si>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</si>
  <si>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</si>
  <si>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</si>
  <si>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</si>
  <si>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</si>
  <si>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</si>
  <si>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</si>
  <si>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</si>
  <si>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</si>
  <si>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</si>
  <si>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720-04-41</t>
    </r>
    <r>
      <rPr>
        <b val="false"/>
        <color theme="1" tint="0"/>
        <sz val="11"/>
        <scheme val="minor"/>
      </rPr>
      <t xml:space="preserve"> B0 B1 B2 B3 B4 B5 in HEX</t>
    </r>
  </si>
  <si>
    <r>
      <rPr>
        <color rgb="7030A0" tint="0"/>
        <sz val="11"/>
        <scheme val="minor"/>
      </rPr>
      <t xml:space="preserve">B0 </t>
    </r>
    <r>
      <rPr>
        <color theme="1" tint="0"/>
        <sz val="11"/>
        <scheme val="minor"/>
      </rPr>
      <t>- Config Start Byte [BF]</t>
    </r>
  </si>
  <si>
    <r>
      <rPr>
        <color rgb="FF0000" tint="0"/>
        <sz val="11"/>
        <scheme val="minor"/>
      </rPr>
      <t xml:space="preserve">B1 </t>
    </r>
    <r>
      <rPr>
        <color theme="1" tint="0"/>
        <sz val="11"/>
        <scheme val="minor"/>
      </rPr>
      <t>- Block#1A</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</si>
  <si>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</si>
  <si>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</si>
  <si>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</si>
  <si>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</si>
  <si>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</si>
  <si>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</si>
  <si>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</si>
  <si>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</si>
  <si>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</si>
  <si>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</si>
  <si>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</si>
  <si>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</si>
  <si>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</si>
  <si>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</si>
  <si>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</si>
  <si>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</si>
  <si>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</si>
  <si>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</si>
  <si>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</si>
  <si>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</si>
  <si>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</si>
  <si>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</si>
  <si>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</si>
  <si>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</si>
  <si>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</si>
  <si>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</si>
  <si>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</si>
  <si>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</si>
  <si>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</si>
  <si>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</si>
  <si>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</si>
  <si>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</si>
  <si>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</si>
  <si>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 Config Start Byte [BF]</t>
    </r>
  </si>
  <si>
    <r>
      <rPr>
        <b val="true"/>
        <color theme="4" tint="0"/>
        <sz val="11"/>
        <scheme val="minor"/>
      </rPr>
      <t>B4</t>
    </r>
    <r>
      <rPr>
        <color rgb="333333" tint="0"/>
        <sz val="11"/>
        <scheme val="minor"/>
      </rPr>
      <t> - Block#1B</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</si>
  <si>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</si>
  <si>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</si>
  <si>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</si>
  <si>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</si>
  <si>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</si>
  <si>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</si>
  <si>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</si>
  <si>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</si>
  <si>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</si>
  <si>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</si>
  <si>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</si>
  <si>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</si>
  <si>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</si>
  <si>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</si>
  <si>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</si>
  <si>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</si>
  <si>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</si>
  <si>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</si>
  <si>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</si>
  <si>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</si>
  <si>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</si>
  <si>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</si>
  <si>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</si>
  <si>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</si>
  <si>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</si>
  <si>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</si>
  <si>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</si>
  <si>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</si>
  <si>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</si>
  <si>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</si>
  <si>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</si>
  <si>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</si>
  <si>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</si>
  <si>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</si>
  <si>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</si>
  <si>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</si>
  <si>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</si>
  <si>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</si>
  <si>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</si>
  <si>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</si>
  <si>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</si>
  <si>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</si>
  <si>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</si>
  <si>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</si>
  <si>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</si>
  <si>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</si>
  <si>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</si>
  <si>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</si>
  <si>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</si>
  <si>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</si>
  <si>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</si>
  <si>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</si>
  <si>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</si>
  <si>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</si>
  <si>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</si>
  <si>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</si>
  <si>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</si>
  <si>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</si>
  <si>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</si>
  <si>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</si>
  <si>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</si>
  <si>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</si>
  <si>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</si>
  <si>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</si>
  <si>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</si>
  <si>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</si>
  <si>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</si>
  <si>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</si>
  <si>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</si>
  <si>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</si>
  <si>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</si>
  <si>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</si>
  <si>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</si>
  <si>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</si>
  <si>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</si>
  <si>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 Config Start Byte [BF]</t>
    </r>
  </si>
  <si>
    <r>
      <rPr>
        <color rgb="FFC000" tint="0"/>
        <sz val="11"/>
        <scheme val="minor"/>
      </rPr>
      <t xml:space="preserve">B2 </t>
    </r>
    <r>
      <rPr>
        <color theme="1" tint="0"/>
        <sz val="11"/>
        <scheme val="minor"/>
      </rPr>
      <t>- Block#1C</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</si>
  <si>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</si>
  <si>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</si>
  <si>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</si>
  <si>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</si>
  <si>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</si>
  <si>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</si>
  <si>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</si>
  <si>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</si>
  <si>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</si>
  <si>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</si>
  <si>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</si>
  <si>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</si>
  <si>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</si>
  <si>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</si>
  <si>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</si>
  <si>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</si>
  <si>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</si>
  <si>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</si>
  <si>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</si>
  <si>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</si>
  <si>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</si>
  <si>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</si>
  <si>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</si>
  <si>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</si>
  <si>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</si>
  <si>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</si>
  <si>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</si>
  <si>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</si>
  <si>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</si>
  <si>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</si>
  <si>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</si>
  <si>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</si>
  <si>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Config Start Byte [BF]</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</si>
  <si>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</si>
  <si>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</si>
  <si>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</si>
  <si>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</si>
  <si>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</si>
  <si>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</si>
  <si>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</si>
  <si>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</si>
  <si>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</si>
  <si>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</si>
  <si>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</si>
  <si>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</si>
  <si>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</si>
  <si>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</si>
  <si>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</si>
  <si>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</si>
  <si>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</si>
  <si>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</si>
  <si>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</si>
  <si>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</si>
  <si>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</si>
  <si>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</si>
  <si>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</si>
  <si>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</si>
  <si>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</si>
  <si>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</si>
  <si>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</si>
  <si>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</si>
  <si>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</si>
  <si>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</si>
  <si>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</si>
  <si>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</si>
  <si>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</si>
  <si>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720-04-46</t>
    </r>
    <r>
      <rPr>
        <b val="false"/>
        <color theme="1" tint="0"/>
        <sz val="11"/>
        <scheme val="minor"/>
      </rPr>
      <t xml:space="preserve"> B0 B1 B2 B3 B4 B5 in HEX</t>
    </r>
  </si>
  <si>
    <r>
      <rPr>
        <color rgb="7030A0" tint="0"/>
        <sz val="11"/>
        <scheme val="minor"/>
      </rPr>
      <t xml:space="preserve">B0 </t>
    </r>
    <r>
      <rPr>
        <color theme="1" tint="0"/>
        <sz val="11"/>
        <scheme val="minor"/>
      </rPr>
      <t>- Block#1D</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</si>
  <si>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</si>
  <si>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</si>
  <si>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</si>
  <si>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</si>
  <si>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</si>
  <si>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</si>
  <si>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</si>
  <si>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</si>
  <si>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</si>
  <si>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</si>
  <si>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</si>
  <si>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</si>
  <si>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</si>
  <si>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</si>
  <si>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</si>
  <si>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</si>
  <si>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</si>
  <si>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</si>
  <si>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</si>
  <si>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</si>
  <si>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</si>
  <si>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</si>
  <si>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</si>
  <si>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</si>
  <si>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</si>
  <si>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</si>
  <si>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</si>
  <si>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</si>
  <si>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</si>
  <si>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</si>
  <si>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</si>
  <si>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</si>
  <si>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</si>
  <si>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</si>
  <si>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</si>
  <si>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</si>
  <si>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</si>
  <si>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</si>
  <si>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</si>
  <si>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</si>
  <si>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</si>
  <si>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 Config Start Byte [BF]</t>
    </r>
  </si>
  <si>
    <r>
      <rPr>
        <color rgb="FFFF00" tint="0"/>
        <sz val="11"/>
        <scheme val="minor"/>
      </rPr>
      <t xml:space="preserve">B3 </t>
    </r>
    <r>
      <rPr>
        <color theme="1" tint="0"/>
        <sz val="11"/>
        <scheme val="minor"/>
      </rPr>
      <t>- Block#1E</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</si>
  <si>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</si>
  <si>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</si>
  <si>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</si>
  <si>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</si>
  <si>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</si>
  <si>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</si>
  <si>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</si>
  <si>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</si>
  <si>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</si>
  <si>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</si>
  <si>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</si>
  <si>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</si>
  <si>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</si>
  <si>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</si>
  <si>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</si>
  <si>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</si>
  <si>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</si>
  <si>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</si>
  <si>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</si>
  <si>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</si>
  <si>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</si>
  <si>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</si>
  <si>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</si>
  <si>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</si>
  <si>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</si>
  <si>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</si>
  <si>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</si>
  <si>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720-04-48</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</si>
  <si>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</si>
  <si>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</si>
  <si>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</si>
  <si>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</si>
  <si>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</si>
  <si>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</si>
  <si>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</si>
  <si>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</si>
  <si>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</si>
  <si>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</si>
  <si>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</si>
  <si>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</si>
  <si>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</si>
  <si>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</si>
  <si>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</si>
  <si>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</si>
  <si>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</si>
  <si>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</si>
  <si>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</si>
  <si>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</si>
  <si>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</si>
  <si>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</si>
  <si>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</si>
  <si>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</si>
  <si>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</si>
  <si>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</si>
  <si>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</si>
  <si>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</si>
  <si>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</si>
  <si>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</si>
  <si>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</si>
  <si>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</si>
  <si>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</si>
  <si>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</si>
  <si>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</si>
  <si>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</si>
  <si>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</si>
  <si>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</si>
  <si>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</si>
  <si>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</si>
  <si>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</si>
  <si>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</si>
  <si>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</si>
  <si>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</si>
  <si>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</si>
  <si>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</si>
  <si>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</si>
  <si>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720-04-49</t>
    </r>
    <r>
      <rPr>
        <b val="false"/>
        <color theme="1" tint="0"/>
        <sz val="11"/>
        <scheme val="minor"/>
      </rPr>
      <t xml:space="preserve"> B0 B1 B2 B3 B4 B5 in HEX</t>
    </r>
  </si>
  <si>
    <r>
      <rPr>
        <color rgb="7030A0" tint="0"/>
        <sz val="11"/>
        <scheme val="minor"/>
      </rPr>
      <t xml:space="preserve">B0 </t>
    </r>
    <r>
      <rPr>
        <color theme="1" tint="0"/>
        <sz val="11"/>
        <scheme val="minor"/>
      </rPr>
      <t>- Config Start Byte [BF]</t>
    </r>
  </si>
  <si>
    <r>
      <rPr>
        <color rgb="FF0000" tint="0"/>
        <sz val="11"/>
        <scheme val="minor"/>
      </rPr>
      <t xml:space="preserve">B1 </t>
    </r>
    <r>
      <rPr>
        <color theme="1" tint="0"/>
        <sz val="11"/>
        <scheme val="minor"/>
      </rPr>
      <t>- Block#1F</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</si>
  <si>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</si>
  <si>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</si>
  <si>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</si>
  <si>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</si>
  <si>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</si>
  <si>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</si>
  <si>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</si>
  <si>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</si>
  <si>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</si>
  <si>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</si>
  <si>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</si>
  <si>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</si>
  <si>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</si>
  <si>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</si>
  <si>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</si>
  <si>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</si>
  <si>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</si>
  <si>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</si>
  <si>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</si>
  <si>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</si>
  <si>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</si>
  <si>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</si>
  <si>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</si>
  <si>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</si>
  <si>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</si>
  <si>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</si>
  <si>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</si>
  <si>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</si>
  <si>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720-04-50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</si>
  <si>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</si>
  <si>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</si>
  <si>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</si>
  <si>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 Config Start Byte [BF]</t>
    </r>
  </si>
  <si>
    <r>
      <rPr>
        <b val="true"/>
        <color theme="4" tint="0"/>
        <sz val="11"/>
        <scheme val="minor"/>
      </rPr>
      <t>B4</t>
    </r>
    <r>
      <rPr>
        <color rgb="333333" tint="0"/>
        <sz val="11"/>
        <scheme val="minor"/>
      </rPr>
      <t> - Block#20</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</si>
  <si>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</si>
  <si>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</si>
  <si>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</si>
  <si>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</si>
  <si>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</si>
  <si>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</si>
  <si>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</si>
  <si>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</si>
  <si>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</si>
  <si>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</si>
  <si>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</si>
  <si>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</si>
  <si>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</si>
  <si>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</si>
  <si>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</si>
  <si>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</si>
  <si>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</si>
  <si>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</si>
  <si>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</si>
  <si>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</si>
  <si>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</si>
  <si>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</si>
  <si>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</si>
  <si>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</si>
  <si>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</si>
  <si>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</si>
  <si>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720-04-51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</si>
  <si>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</si>
  <si>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</si>
  <si>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</si>
  <si>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</si>
  <si>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</si>
  <si>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</si>
  <si>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</si>
  <si>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</si>
  <si>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</si>
  <si>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</si>
  <si>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</si>
  <si>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</si>
  <si>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</si>
  <si>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</si>
  <si>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</si>
  <si>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</si>
  <si>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</si>
  <si>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</si>
  <si>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</si>
  <si>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</si>
  <si>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</si>
  <si>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</si>
  <si>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</si>
  <si>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</si>
  <si>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</si>
  <si>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</si>
  <si>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</si>
  <si>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</si>
  <si>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</si>
  <si>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</si>
  <si>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</si>
  <si>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</si>
  <si>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</si>
  <si>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</si>
  <si>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</si>
  <si>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</si>
  <si>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</si>
  <si>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</si>
  <si>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</si>
  <si>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</si>
  <si>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</si>
  <si>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</si>
  <si>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</si>
  <si>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</si>
  <si>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</si>
  <si>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</si>
  <si>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720-04-52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</si>
  <si>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</si>
  <si>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 Config Start Byte [BF]</t>
    </r>
  </si>
  <si>
    <r>
      <rPr>
        <color rgb="FFC000" tint="0"/>
        <sz val="11"/>
        <scheme val="minor"/>
      </rPr>
      <t xml:space="preserve">B2 </t>
    </r>
    <r>
      <rPr>
        <color theme="1" tint="0"/>
        <sz val="11"/>
        <scheme val="minor"/>
      </rPr>
      <t>- Block#21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</si>
  <si>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</si>
  <si>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</si>
  <si>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</si>
  <si>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</si>
  <si>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</si>
  <si>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</si>
  <si>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</si>
  <si>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</si>
  <si>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</si>
  <si>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</si>
  <si>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</si>
  <si>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</si>
  <si>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</si>
  <si>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</si>
  <si>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</si>
  <si>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</si>
  <si>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in HEX</t>
    </r>
  </si>
  <si>
    <r>
      <t xml:space="preserve">720-04-53 </t>
    </r>
    <r>
      <rPr>
        <b val="false"/>
        <color theme="1" tint="0"/>
        <sz val="11"/>
        <scheme val="minor"/>
      </rPr>
      <t>B0 B1 B2 B3 B4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</si>
  <si>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</si>
  <si>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</si>
  <si>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</si>
  <si>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</si>
  <si>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</si>
  <si>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</si>
  <si>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</si>
  <si>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</si>
  <si>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</si>
  <si>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</si>
  <si>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</si>
  <si>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</si>
  <si>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</si>
  <si>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</si>
  <si>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</si>
  <si>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</si>
  <si>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</si>
  <si>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</si>
  <si>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</si>
  <si>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</si>
  <si>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</si>
  <si>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</si>
  <si>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</si>
  <si>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</si>
  <si>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</si>
  <si>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</si>
  <si>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</si>
  <si>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</si>
  <si>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</si>
  <si>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</si>
  <si>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</si>
  <si>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</si>
  <si>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</si>
  <si>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</si>
  <si>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</si>
  <si>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</si>
  <si>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7B7G1G10000000000C0</t>
  </si>
  <si>
    <r>
      <t>7B7-01-01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</si>
  <si>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</si>
  <si>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</si>
  <si>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</si>
  <si>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</si>
  <si>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</si>
  <si>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</si>
  <si>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t>7B7G1G20000000000C1</t>
  </si>
  <si>
    <t>B7</t>
  </si>
  <si>
    <t>7B7G1G300000000C2</t>
  </si>
  <si>
    <r>
      <rPr>
        <b val="true"/>
        <color theme="1" tint="0"/>
        <sz val="11"/>
        <scheme val="minor"/>
      </rPr>
      <t xml:space="preserve">Bodystyle
</t>
    </r>
    <r>
      <rPr>
        <color theme="1" tint="0"/>
        <sz val="11"/>
        <scheme val="minor"/>
      </rPr>
      <t xml:space="preserve">     </t>
    </r>
    <r>
      <rPr>
        <i val="true"/>
        <color theme="1" tint="0"/>
        <sz val="11"/>
        <scheme val="minor"/>
      </rPr>
      <t xml:space="preserve"> </t>
    </r>
    <r>
      <rPr>
        <i val="true"/>
        <color theme="1" tint="0"/>
        <sz val="10"/>
        <scheme val="minor"/>
      </rPr>
      <t xml:space="preserve"> b7b6 - values:
</t>
    </r>
    <r>
      <rPr>
        <b val="true"/>
        <color theme="1" tint="0"/>
        <sz val="11"/>
        <scheme val="minor"/>
      </rPr>
      <t>00</t>
    </r>
    <r>
      <rPr>
        <color theme="1" tint="0"/>
        <sz val="11"/>
        <scheme val="minor"/>
      </rPr>
      <t xml:space="preserve"> - Sedan,
</t>
    </r>
    <r>
      <rPr>
        <b val="true"/>
        <color theme="1" tint="0"/>
        <sz val="11"/>
        <scheme val="minor"/>
      </rPr>
      <t>01</t>
    </r>
    <r>
      <rPr>
        <color theme="1" tint="0"/>
        <sz val="11"/>
        <scheme val="minor"/>
      </rPr>
      <t xml:space="preserve"> - Hatchback,
</t>
    </r>
    <r>
      <rPr>
        <b val="true"/>
        <color theme="1" tint="0"/>
        <sz val="11"/>
        <scheme val="minor"/>
      </rPr>
      <t>10</t>
    </r>
    <r>
      <rPr>
        <color theme="1" tint="0"/>
        <sz val="11"/>
        <scheme val="minor"/>
      </rPr>
      <t xml:space="preserve"> - Wagon</t>
    </r>
  </si>
  <si>
    <r>
      <rPr>
        <b val="true"/>
        <color theme="1" tint="0"/>
        <sz val="11"/>
        <scheme val="minor"/>
      </rPr>
      <t xml:space="preserve">Auto Door Lock: </t>
    </r>
    <r>
      <rPr>
        <color theme="1" tint="0"/>
        <sz val="11"/>
        <scheme val="minor"/>
      </rPr>
      <t>0 - OFF / 1 - ON</t>
    </r>
  </si>
  <si>
    <r>
      <t xml:space="preserve">0 </t>
    </r>
    <r>
      <rPr>
        <b val="false"/>
        <color rgb="FF0000" tint="0"/>
        <sz val="11"/>
        <scheme val="minor"/>
      </rPr>
      <t>= Permanent value</t>
    </r>
  </si>
  <si>
    <r>
      <t xml:space="preserve">0 </t>
    </r>
    <r>
      <rPr>
        <b val="false"/>
        <color rgb="FF0000" tint="0"/>
        <sz val="11"/>
        <scheme val="minor"/>
      </rPr>
      <t>= Permanent value</t>
    </r>
  </si>
  <si>
    <t>1=Central lock from driver's latch-lever</t>
  </si>
  <si>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</si>
  <si>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</si>
  <si>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</si>
  <si>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Auxiliary key locks all doors with Ignition ON</t>
    </r>
    <r>
      <rPr>
        <color theme="1" tint="0"/>
        <sz val="11"/>
        <scheme val="minor"/>
      </rPr>
      <t>: 0 - OFF / 1 - ON</t>
    </r>
  </si>
  <si>
    <t>7B7G2G10000000000C1</t>
  </si>
  <si>
    <r>
      <rPr>
        <b val="true"/>
        <color theme="1" tint="0"/>
        <sz val="11"/>
        <scheme val="minor"/>
      </rPr>
      <t>2-Step Door Unlock</t>
    </r>
    <r>
      <rPr>
        <color theme="1" tint="0"/>
        <sz val="11"/>
        <scheme val="minor"/>
      </rPr>
      <t xml:space="preserve">: </t>
    </r>
    <r>
      <rPr>
        <b val="true"/>
        <color theme="1" tint="0"/>
        <sz val="11"/>
        <scheme val="minor"/>
      </rPr>
      <t>0</t>
    </r>
    <r>
      <rPr>
        <color theme="1" tint="0"/>
        <sz val="11"/>
        <scheme val="minor"/>
      </rPr>
      <t xml:space="preserve"> - OFF / </t>
    </r>
    <r>
      <rPr>
        <b val="true"/>
        <color theme="1" tint="0"/>
        <sz val="11"/>
        <scheme val="minor"/>
      </rPr>
      <t>1</t>
    </r>
    <r>
      <rPr>
        <color theme="1" tint="0"/>
        <sz val="11"/>
        <scheme val="minor"/>
      </rPr>
      <t xml:space="preserve"> - ON</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</si>
  <si>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</si>
  <si>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</si>
  <si>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</si>
  <si>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</si>
  <si>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Burglar Alarm </t>
    </r>
    <r>
      <rPr>
        <b val="false"/>
        <color theme="1" tint="0"/>
        <sz val="11"/>
        <scheme val="minor"/>
      </rPr>
      <t>related</t>
    </r>
    <r>
      <rPr>
        <b val="true"/>
        <color theme="1" tint="0"/>
        <sz val="11"/>
        <scheme val="minor"/>
      </rPr>
      <t xml:space="preserve">: 1 
</t>
    </r>
    <r>
      <rPr>
        <b val="false"/>
        <color theme="1" tint="0"/>
        <sz val="11"/>
        <scheme val="minor"/>
      </rPr>
      <t>[1= if 731-01-01 B2b5=1]</t>
    </r>
  </si>
  <si>
    <r>
      <rPr>
        <b val="true"/>
        <color theme="1" tint="0"/>
        <sz val="11"/>
        <scheme val="minor"/>
      </rPr>
      <t>1=</t>
    </r>
    <r>
      <rPr>
        <color theme="1" tint="0"/>
        <sz val="11"/>
        <scheme val="minor"/>
      </rPr>
      <t>always ON</t>
    </r>
    <r>
      <rPr>
        <color theme="1" tint="0"/>
        <sz val="11"/>
        <scheme val="minor"/>
      </rPr>
      <t xml:space="preserve"> (OFF only in JP)</t>
    </r>
  </si>
  <si>
    <r>
      <t xml:space="preserve">0 </t>
    </r>
    <r>
      <rPr>
        <b val="false"/>
        <color rgb="FF0000" tint="0"/>
        <sz val="11"/>
        <scheme val="minor"/>
      </rPr>
      <t>= Permanent value</t>
    </r>
  </si>
  <si>
    <r>
      <t xml:space="preserve">0 </t>
    </r>
    <r>
      <rPr>
        <b val="false"/>
        <color rgb="FF0000" tint="0"/>
        <sz val="11"/>
        <scheme val="minor"/>
      </rPr>
      <t>= Permanent value</t>
    </r>
  </si>
  <si>
    <t>together with b1</t>
  </si>
  <si>
    <t>7B7G3G100C2</t>
  </si>
  <si>
    <r>
      <rPr>
        <b val="true"/>
        <color theme="1" tint="0"/>
        <sz val="11"/>
        <scheme val="minor"/>
      </rPr>
      <t xml:space="preserve">Burglar Alarm </t>
    </r>
    <r>
      <rPr>
        <color theme="1" tint="0"/>
        <sz val="11"/>
        <scheme val="minor"/>
      </rPr>
      <t>related</t>
    </r>
    <r>
      <rPr>
        <b val="true"/>
        <color theme="1" tint="0"/>
        <sz val="11"/>
        <scheme val="minor"/>
      </rPr>
      <t xml:space="preserve">: 1
</t>
    </r>
    <r>
      <rPr>
        <color theme="1" tint="0"/>
        <sz val="11"/>
        <scheme val="minor"/>
      </rPr>
      <t>[1= only in reg.</t>
    </r>
    <r>
      <rPr>
        <color theme="1" tint="0"/>
        <sz val="11"/>
        <scheme val="minor"/>
      </rPr>
      <t>21/41/61/71/81+M6(31 with AKE)]</t>
    </r>
  </si>
  <si>
    <r>
      <rPr>
        <b val="true"/>
        <color theme="1" tint="0"/>
        <sz val="11"/>
        <scheme val="minor"/>
      </rPr>
      <t>0</t>
    </r>
    <r>
      <rPr>
        <color theme="1" tint="0"/>
        <sz val="11"/>
        <scheme val="minor"/>
      </rPr>
      <t xml:space="preserve"> - 1x blinker when doors close from remote control or </t>
    </r>
    <r>
      <rPr>
        <b val="true"/>
        <color theme="1" tint="0"/>
        <sz val="11"/>
        <scheme val="minor"/>
      </rPr>
      <t>1</t>
    </r>
    <r>
      <rPr>
        <color theme="1" tint="0"/>
        <sz val="11"/>
        <scheme val="minor"/>
      </rPr>
      <t xml:space="preserve"> - no blinker when doors close from remote control</t>
    </r>
  </si>
  <si>
    <r>
      <t xml:space="preserve">0 </t>
    </r>
    <r>
      <rPr>
        <b val="false"/>
        <color rgb="FF0000" tint="0"/>
        <sz val="11"/>
        <scheme val="minor"/>
      </rPr>
      <t>= Permanent value</t>
    </r>
  </si>
  <si>
    <r>
      <rPr>
        <b val="true"/>
        <color theme="1" tint="0"/>
        <sz val="11"/>
        <scheme val="minor"/>
      </rPr>
      <t>Auxiliary key locks doors when door is open</t>
    </r>
    <r>
      <rPr>
        <color theme="1" tint="0"/>
        <sz val="11"/>
        <scheme val="minor"/>
      </rPr>
      <t>: 0 - OFF / 1 - ON</t>
    </r>
  </si>
  <si>
    <r>
      <rPr>
        <b val="true"/>
        <color theme="1" tint="0"/>
        <sz val="11"/>
        <scheme val="minor"/>
      </rPr>
      <t>Rear Fog Light (light + icon on IC)</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</si>
  <si>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t>North American Alarm</t>
  </si>
  <si>
    <r>
      <t xml:space="preserve">0 </t>
    </r>
    <r>
      <rPr>
        <b val="false"/>
        <color rgb="FF0000" tint="0"/>
        <sz val="11"/>
        <scheme val="minor"/>
      </rPr>
      <t>= Permanent value</t>
    </r>
  </si>
  <si>
    <r>
      <t xml:space="preserve">1 </t>
    </r>
    <r>
      <rPr>
        <b val="false"/>
        <color rgb="FF0000" tint="0"/>
        <sz val="11"/>
        <scheme val="minor"/>
      </rPr>
      <t>= Permanent value</t>
    </r>
  </si>
  <si>
    <t>Related to ADL</t>
  </si>
  <si>
    <r>
      <rPr>
        <b val="true"/>
        <color theme="1" tint="0"/>
        <sz val="11"/>
        <scheme val="minor"/>
      </rPr>
      <t>0</t>
    </r>
    <r>
      <rPr>
        <color theme="1" tint="0"/>
        <sz val="11"/>
        <scheme val="minor"/>
      </rPr>
      <t xml:space="preserve"> - no blinker when doors open from remote control or </t>
    </r>
    <r>
      <rPr>
        <b val="true"/>
        <color theme="1" tint="0"/>
        <sz val="11"/>
        <scheme val="minor"/>
      </rPr>
      <t>1</t>
    </r>
    <r>
      <rPr>
        <color theme="1" tint="0"/>
        <sz val="11"/>
        <scheme val="minor"/>
      </rPr>
      <t xml:space="preserve"> - 3x blinker when doors open from remote control (w/alarm system)</t>
    </r>
  </si>
  <si>
    <r>
      <t xml:space="preserve">0 </t>
    </r>
    <r>
      <rPr>
        <b val="false"/>
        <color rgb="FF0000" tint="0"/>
        <sz val="11"/>
        <scheme val="minor"/>
      </rPr>
      <t>= Permanent value</t>
    </r>
  </si>
  <si>
    <r>
      <rPr>
        <b val="true"/>
        <color theme="1" tint="0"/>
        <sz val="11"/>
        <scheme val="minor"/>
      </rPr>
      <t>Brake Light</t>
    </r>
    <r>
      <rPr>
        <color theme="1" tint="0"/>
        <sz val="11"/>
        <scheme val="minor"/>
      </rPr>
      <t xml:space="preserve">: 
</t>
    </r>
    <r>
      <rPr>
        <i val="true"/>
        <color theme="1" tint="0"/>
        <sz val="10"/>
        <scheme val="minor"/>
      </rPr>
      <t xml:space="preserve">b1b0 - Value
</t>
    </r>
    <r>
      <rPr>
        <b val="true"/>
        <color theme="1" tint="0"/>
        <sz val="11"/>
        <scheme val="minor"/>
      </rPr>
      <t xml:space="preserve">00 </t>
    </r>
    <r>
      <rPr>
        <color theme="1" tint="0"/>
        <sz val="11"/>
        <scheme val="minor"/>
      </rPr>
      <t xml:space="preserve">- Standard Brake
</t>
    </r>
    <r>
      <rPr>
        <b val="true"/>
        <color theme="1" tint="0"/>
        <sz val="11"/>
        <scheme val="minor"/>
      </rPr>
      <t>01</t>
    </r>
    <r>
      <rPr>
        <color theme="1" tint="0"/>
        <sz val="11"/>
        <scheme val="minor"/>
      </rPr>
      <t xml:space="preserve"> - MRCC Brake
</t>
    </r>
    <r>
      <rPr>
        <b val="true"/>
        <color theme="1" tint="0"/>
        <sz val="11"/>
        <scheme val="minor"/>
      </rPr>
      <t>10</t>
    </r>
    <r>
      <rPr>
        <color theme="1" tint="0"/>
        <sz val="11"/>
        <scheme val="minor"/>
      </rPr>
      <t xml:space="preserve"> - SCBS Brake</t>
    </r>
  </si>
  <si>
    <t>Key Proximity Not Needed for Hatch</t>
  </si>
  <si>
    <r>
      <rPr>
        <b val="true"/>
        <color theme="1" tint="0"/>
        <sz val="11"/>
        <scheme val="minor"/>
      </rPr>
      <t>Bonnet Lock</t>
    </r>
    <r>
      <rPr>
        <color theme="1" tint="0"/>
        <sz val="11"/>
        <scheme val="minor"/>
      </rPr>
      <t xml:space="preserve">: </t>
    </r>
    <r>
      <rPr>
        <b val="true"/>
        <color theme="1" tint="0"/>
        <sz val="11"/>
        <scheme val="minor"/>
      </rPr>
      <t xml:space="preserve">0 </t>
    </r>
    <r>
      <rPr>
        <color theme="1" tint="0"/>
        <sz val="11"/>
        <scheme val="minor"/>
      </rPr>
      <t>- OFF /</t>
    </r>
    <r>
      <rPr>
        <b val="true"/>
        <color theme="1" tint="0"/>
        <sz val="11"/>
        <scheme val="minor"/>
      </rPr>
      <t xml:space="preserve"> 1</t>
    </r>
    <r>
      <rPr>
        <color theme="1" tint="0"/>
        <sz val="11"/>
        <scheme val="minor"/>
      </rPr>
      <t xml:space="preserve"> - ON</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</si>
  <si>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</si>
  <si>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</si>
  <si>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</si>
  <si>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</si>
  <si>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7B7-01-02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</si>
  <si>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</si>
  <si>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</si>
  <si>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</si>
  <si>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</si>
  <si>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</si>
  <si>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</si>
  <si>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r>
      <t xml:space="preserve">1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</si>
  <si>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</si>
  <si>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Bodystyle division:
</t>
    </r>
    <r>
      <rPr>
        <i val="true"/>
        <color theme="1" tint="0"/>
        <sz val="10"/>
        <scheme val="minor"/>
      </rPr>
      <t>b7b6b5b4 - Value</t>
    </r>
    <r>
      <rPr>
        <color theme="1" tint="0"/>
        <sz val="10"/>
        <scheme val="minor"/>
      </rPr>
      <t xml:space="preserve">:
</t>
    </r>
    <r>
      <rPr>
        <b val="true"/>
        <color theme="1" tint="0"/>
        <sz val="11"/>
        <scheme val="minor"/>
      </rPr>
      <t xml:space="preserve">0000 - </t>
    </r>
    <r>
      <rPr>
        <color theme="1" tint="0"/>
        <sz val="11"/>
        <scheme val="minor"/>
      </rPr>
      <t xml:space="preserve">SD-M6/SD-M3/HB-M3 (except with B1b2=1);
</t>
    </r>
    <r>
      <rPr>
        <b val="true"/>
        <color theme="1" tint="0"/>
        <sz val="11"/>
        <scheme val="minor"/>
      </rPr>
      <t xml:space="preserve">0010 - </t>
    </r>
    <r>
      <rPr>
        <color theme="1" tint="0"/>
        <sz val="11"/>
        <scheme val="minor"/>
      </rPr>
      <t xml:space="preserve">SD-M6 (only with B1b2=1);
</t>
    </r>
    <r>
      <rPr>
        <b val="true"/>
        <color theme="1" tint="0"/>
        <sz val="11"/>
        <scheme val="minor"/>
      </rPr>
      <t xml:space="preserve">0100 - </t>
    </r>
    <r>
      <rPr>
        <color theme="1" tint="0"/>
        <sz val="11"/>
        <scheme val="minor"/>
      </rPr>
      <t xml:space="preserve">HB-M3 (only with B1b2=1);
</t>
    </r>
    <r>
      <rPr>
        <b val="true"/>
        <color theme="1" tint="0"/>
        <sz val="11"/>
        <scheme val="minor"/>
      </rPr>
      <t xml:space="preserve">0111 - </t>
    </r>
    <r>
      <rPr>
        <color theme="1" tint="0"/>
        <sz val="11"/>
        <scheme val="minor"/>
      </rPr>
      <t xml:space="preserve">HB-M3 (41,71);
</t>
    </r>
    <r>
      <rPr>
        <b val="true"/>
        <color theme="1" tint="0"/>
        <sz val="11"/>
        <scheme val="minor"/>
      </rPr>
      <t>1100</t>
    </r>
    <r>
      <rPr>
        <color theme="1" tint="0"/>
        <sz val="11"/>
        <scheme val="minor"/>
      </rPr>
      <t xml:space="preserve"> - WGN</t>
    </r>
  </si>
  <si>
    <t>Related to North American Alarm (7B7-01-01 B1b2=1)</t>
  </si>
  <si>
    <r>
      <t xml:space="preserve">Vehicle -&gt; Doors -&gt; </t>
    </r>
    <r>
      <rPr>
        <b val="true"/>
        <color theme="1" tint="0"/>
        <sz val="11"/>
        <scheme val="minor"/>
      </rPr>
      <t>Auto Door Lock</t>
    </r>
    <r>
      <rPr>
        <color theme="1" tint="0"/>
        <sz val="11"/>
        <scheme val="minor"/>
      </rPr>
      <t xml:space="preserve"> (Default Setting)</t>
    </r>
    <r>
      <rPr>
        <b val="true"/>
        <color theme="1" tint="0"/>
        <sz val="11"/>
        <scheme val="minor"/>
      </rPr>
      <t xml:space="preserve">:
</t>
    </r>
    <r>
      <rPr>
        <i val="true"/>
        <color theme="1" tint="0"/>
        <sz val="10"/>
        <scheme val="minor"/>
      </rPr>
      <t xml:space="preserve">b7b6b5b4 - Value
</t>
    </r>
    <r>
      <rPr>
        <b val="true"/>
        <color theme="1" tint="0"/>
        <sz val="11"/>
        <scheme val="minor"/>
      </rPr>
      <t>0000</t>
    </r>
    <r>
      <rPr>
        <color theme="1" tint="0"/>
        <sz val="11"/>
        <scheme val="minor"/>
      </rPr>
      <t xml:space="preserve"> - OFF
</t>
    </r>
    <r>
      <rPr>
        <b val="true"/>
        <color theme="1" tint="0"/>
        <sz val="11"/>
        <scheme val="minor"/>
      </rPr>
      <t>0001</t>
    </r>
    <r>
      <rPr>
        <color theme="1" tint="0"/>
        <sz val="11"/>
        <scheme val="minor"/>
      </rPr>
      <t xml:space="preserve"> - Lock: When Driving
</t>
    </r>
    <r>
      <rPr>
        <b val="true"/>
        <color theme="1" tint="0"/>
        <sz val="11"/>
        <scheme val="minor"/>
      </rPr>
      <t>0010</t>
    </r>
    <r>
      <rPr>
        <color theme="1" tint="0"/>
        <sz val="11"/>
        <scheme val="minor"/>
      </rPr>
      <t xml:space="preserve"> - Lock: When Driving / Unlock: IGN Off
</t>
    </r>
    <r>
      <rPr>
        <b val="true"/>
        <color theme="1" tint="0"/>
        <sz val="11"/>
        <scheme val="minor"/>
      </rPr>
      <t>0011</t>
    </r>
    <r>
      <rPr>
        <color theme="1" tint="0"/>
        <sz val="11"/>
        <scheme val="minor"/>
      </rPr>
      <t xml:space="preserve"> - Lock: Shifting Out of Park
</t>
    </r>
    <r>
      <rPr>
        <b val="true"/>
        <color theme="1" tint="0"/>
        <sz val="11"/>
        <scheme val="minor"/>
      </rPr>
      <t>0100</t>
    </r>
    <r>
      <rPr>
        <color theme="1" tint="0"/>
        <sz val="11"/>
        <scheme val="minor"/>
      </rPr>
      <t xml:space="preserve"> - Lock: Out of Park / Unlock: In Park
</t>
    </r>
    <r>
      <rPr>
        <b val="true"/>
        <color theme="1" tint="0"/>
        <sz val="11"/>
        <scheme val="minor"/>
      </rPr>
      <t>0101</t>
    </r>
    <r>
      <rPr>
        <color theme="1" tint="0"/>
        <sz val="11"/>
        <scheme val="minor"/>
      </rPr>
      <t xml:space="preserve"> - Lock: Out of Park / Unlock: In Park
</t>
    </r>
    <r>
      <rPr>
        <b val="true"/>
        <color theme="1" tint="0"/>
        <sz val="11"/>
        <scheme val="minor"/>
      </rPr>
      <t>0110</t>
    </r>
    <r>
      <rPr>
        <color theme="1" tint="0"/>
        <sz val="11"/>
        <scheme val="minor"/>
      </rPr>
      <t xml:space="preserve"> - Lock: Out of Park / Unlock: In Park
</t>
    </r>
    <r>
      <rPr>
        <b val="true"/>
        <color theme="1" tint="0"/>
        <sz val="11"/>
        <scheme val="minor"/>
      </rPr>
      <t>0111</t>
    </r>
    <r>
      <rPr>
        <color theme="1" tint="0"/>
        <sz val="11"/>
        <scheme val="minor"/>
      </rPr>
      <t xml:space="preserve"> - Lock: Out of Park / Unlock: In Park
</t>
    </r>
    <r>
      <rPr>
        <b val="true"/>
        <color theme="1" tint="0"/>
        <sz val="11"/>
        <scheme val="minor"/>
      </rPr>
      <t>1000</t>
    </r>
    <r>
      <rPr>
        <color theme="1" tint="0"/>
        <sz val="11"/>
        <scheme val="minor"/>
      </rPr>
      <t xml:space="preserve"> - Lock: Out of Park / Unlock: In Park
</t>
    </r>
    <r>
      <rPr>
        <b val="true"/>
        <color theme="1" tint="0"/>
        <sz val="11"/>
        <scheme val="minor"/>
      </rPr>
      <t>1001</t>
    </r>
    <r>
      <rPr>
        <color theme="1" tint="0"/>
        <sz val="11"/>
        <scheme val="minor"/>
      </rPr>
      <t xml:space="preserve"> - Lock: When Driving / Unlock: In Park
</t>
    </r>
    <r>
      <rPr>
        <b val="true"/>
        <color theme="1" tint="0"/>
        <sz val="11"/>
        <scheme val="minor"/>
      </rPr>
      <t>1010</t>
    </r>
    <r>
      <rPr>
        <color theme="1" tint="0"/>
        <sz val="11"/>
        <scheme val="minor"/>
      </rPr>
      <t xml:space="preserve"> - Incompatible configuration
</t>
    </r>
    <r>
      <rPr>
        <b val="true"/>
        <color theme="1" tint="0"/>
        <sz val="11"/>
        <scheme val="minor"/>
      </rPr>
      <t>1011</t>
    </r>
    <r>
      <rPr>
        <color theme="1" tint="0"/>
        <sz val="11"/>
        <scheme val="minor"/>
      </rPr>
      <t xml:space="preserve"> - Incompatible configuration
</t>
    </r>
    <r>
      <rPr>
        <b val="true"/>
        <color theme="1" tint="0"/>
        <sz val="11"/>
        <scheme val="minor"/>
      </rPr>
      <t>1100</t>
    </r>
    <r>
      <rPr>
        <color theme="1" tint="0"/>
        <sz val="11"/>
        <scheme val="minor"/>
      </rPr>
      <t xml:space="preserve"> - Incompatible configuration
</t>
    </r>
    <r>
      <rPr>
        <b val="true"/>
        <color theme="1" tint="0"/>
        <sz val="11"/>
        <scheme val="minor"/>
      </rPr>
      <t>1101</t>
    </r>
    <r>
      <rPr>
        <color theme="1" tint="0"/>
        <sz val="11"/>
        <scheme val="minor"/>
      </rPr>
      <t xml:space="preserve"> - Incompatible configuration
</t>
    </r>
    <r>
      <rPr>
        <b val="true"/>
        <color theme="1" tint="0"/>
        <sz val="11"/>
        <scheme val="minor"/>
      </rPr>
      <t>1110</t>
    </r>
    <r>
      <rPr>
        <color theme="1" tint="0"/>
        <sz val="11"/>
        <scheme val="minor"/>
      </rPr>
      <t xml:space="preserve"> - Incompatible configuration
</t>
    </r>
    <r>
      <rPr>
        <b val="true"/>
        <color theme="1" tint="0"/>
        <sz val="11"/>
        <scheme val="minor"/>
      </rPr>
      <t>1111</t>
    </r>
    <r>
      <rPr>
        <color theme="1" tint="0"/>
        <sz val="11"/>
        <scheme val="minor"/>
      </rPr>
      <t xml:space="preserve"> - Incompatible configuration</t>
    </r>
  </si>
  <si>
    <r>
      <rPr>
        <b val="true"/>
        <color theme="1" tint="0"/>
        <sz val="11"/>
        <scheme val="minor"/>
      </rPr>
      <t>Horn on Lock (Find My Car)</t>
    </r>
    <r>
      <rPr>
        <color theme="1" tint="0"/>
        <sz val="11"/>
        <scheme val="minor"/>
      </rPr>
      <t xml:space="preserve">: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</si>
  <si>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</si>
  <si>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t>Intrusion Sensor</t>
  </si>
  <si>
    <t>0 - It does not allow to open the trunk in the Drive mode (D) or 1 - It allows you to open the trunk in the Drive mode (D) tested on CX5</t>
  </si>
  <si>
    <r>
      <t xml:space="preserve">0 </t>
    </r>
    <r>
      <rPr>
        <b val="false"/>
        <color rgb="FF0000" tint="0"/>
        <sz val="11"/>
        <scheme val="minor"/>
      </rPr>
      <t>= Permanent value</t>
    </r>
  </si>
  <si>
    <r>
      <rPr>
        <b val="true"/>
        <color theme="1" tint="0"/>
        <sz val="11"/>
        <scheme val="minor"/>
      </rPr>
      <t>Burglar Alarm</t>
    </r>
    <r>
      <rPr>
        <color theme="1" tint="0"/>
        <sz val="11"/>
        <scheme val="minor"/>
      </rPr>
      <t xml:space="preserve"> related</t>
    </r>
  </si>
  <si>
    <r>
      <t xml:space="preserve">0 </t>
    </r>
    <r>
      <rPr>
        <b val="false"/>
        <color rgb="FF0000" tint="0"/>
        <sz val="11"/>
        <scheme val="minor"/>
      </rPr>
      <t>= Permanent value</t>
    </r>
  </si>
  <si>
    <r>
      <rPr>
        <b val="true"/>
        <color theme="1" tint="0"/>
        <sz val="11"/>
        <scheme val="minor"/>
      </rPr>
      <t>1=</t>
    </r>
    <r>
      <rPr>
        <color theme="1" tint="0"/>
        <sz val="11"/>
        <scheme val="minor"/>
      </rPr>
      <t>M3</t>
    </r>
    <r>
      <rPr>
        <color theme="1" tint="0"/>
        <sz val="11"/>
        <scheme val="minor"/>
      </rPr>
      <t xml:space="preserve"> (only in 41/71)</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</si>
  <si>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</si>
  <si>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</si>
  <si>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Mazda model
</t>
    </r>
    <r>
      <rPr>
        <i val="true"/>
        <color theme="1" tint="0"/>
        <sz val="10"/>
        <scheme val="minor"/>
      </rPr>
      <t>b3b2b1b0 - Value</t>
    </r>
    <r>
      <rPr>
        <color theme="1" tint="0"/>
        <sz val="10"/>
        <scheme val="minor"/>
      </rPr>
      <t xml:space="preserve">:
</t>
    </r>
    <r>
      <rPr>
        <b val="true"/>
        <color theme="1" tint="0"/>
        <sz val="11"/>
        <scheme val="minor"/>
      </rPr>
      <t>0001</t>
    </r>
    <r>
      <rPr>
        <color theme="1" tint="0"/>
        <sz val="11"/>
        <scheme val="minor"/>
      </rPr>
      <t xml:space="preserve"> - CX5-KE (</t>
    </r>
    <r>
      <rPr>
        <color theme="1" tint="0"/>
        <sz val="8"/>
        <scheme val="minor"/>
      </rPr>
      <t>11</t>
    </r>
    <r>
      <rPr>
        <color theme="1" tint="0"/>
        <sz val="11"/>
        <scheme val="minor"/>
      </rPr>
      <t>) + B1b1 (</t>
    </r>
    <r>
      <rPr>
        <color theme="1" tint="0"/>
        <sz val="8"/>
        <scheme val="minor"/>
      </rPr>
      <t>21</t>
    </r>
    <r>
      <rPr>
        <color theme="1" tint="0"/>
        <sz val="11"/>
        <scheme val="minor"/>
      </rPr>
      <t xml:space="preserve">), CX-9 (2016-17);
</t>
    </r>
    <r>
      <rPr>
        <b val="true"/>
        <color theme="1" tint="0"/>
        <sz val="11"/>
        <scheme val="minor"/>
      </rPr>
      <t>0011</t>
    </r>
    <r>
      <rPr>
        <color theme="1" tint="0"/>
        <sz val="11"/>
        <scheme val="minor"/>
      </rPr>
      <t xml:space="preserve"> - CX9 (</t>
    </r>
    <r>
      <rPr>
        <color theme="1" tint="0"/>
        <sz val="8"/>
        <scheme val="minor"/>
      </rPr>
      <t>51</t>
    </r>
    <r>
      <rPr>
        <color theme="1" tint="0"/>
        <sz val="11"/>
        <scheme val="minor"/>
      </rPr>
      <t>) + B1b1 (</t>
    </r>
    <r>
      <rPr>
        <color theme="1" tint="0"/>
        <sz val="8"/>
        <scheme val="minor"/>
      </rPr>
      <t>21</t>
    </r>
    <r>
      <rPr>
        <color theme="1" tint="0"/>
        <sz val="11"/>
        <scheme val="minor"/>
      </rPr>
      <t xml:space="preserve">);
</t>
    </r>
    <r>
      <rPr>
        <b val="true"/>
        <color theme="1" tint="0"/>
        <sz val="11"/>
        <scheme val="minor"/>
      </rPr>
      <t>0100</t>
    </r>
    <r>
      <rPr>
        <color theme="1" tint="0"/>
        <sz val="11"/>
        <scheme val="minor"/>
      </rPr>
      <t xml:space="preserve"> - M6 (</t>
    </r>
    <r>
      <rPr>
        <color theme="1" tint="0"/>
        <sz val="8"/>
        <scheme val="minor"/>
      </rPr>
      <t>11,31,51</t>
    </r>
    <r>
      <rPr>
        <color theme="1" tint="0"/>
        <sz val="11"/>
        <scheme val="minor"/>
      </rPr>
      <t>) + B1b1 (</t>
    </r>
    <r>
      <rPr>
        <color theme="1" tint="0"/>
        <sz val="8"/>
        <scheme val="minor"/>
      </rPr>
      <t>21</t>
    </r>
    <r>
      <rPr>
        <color theme="1" tint="0"/>
        <sz val="11"/>
        <scheme val="minor"/>
      </rPr>
      <t xml:space="preserve">);
</t>
    </r>
    <r>
      <rPr>
        <b val="true"/>
        <color theme="1" tint="0"/>
        <sz val="11"/>
        <scheme val="minor"/>
      </rPr>
      <t>0100</t>
    </r>
    <r>
      <rPr>
        <color theme="1" tint="0"/>
        <sz val="11"/>
        <scheme val="minor"/>
      </rPr>
      <t xml:space="preserve"> - CX5-KF (</t>
    </r>
    <r>
      <rPr>
        <color theme="1" tint="0"/>
        <sz val="8"/>
        <scheme val="minor"/>
      </rPr>
      <t>11,31,51,61,71</t>
    </r>
    <r>
      <rPr>
        <color theme="1" tint="0"/>
        <sz val="11"/>
        <scheme val="minor"/>
      </rPr>
      <t>) + B1b1 (</t>
    </r>
    <r>
      <rPr>
        <color theme="1" tint="0"/>
        <sz val="8"/>
        <scheme val="minor"/>
      </rPr>
      <t>21</t>
    </r>
    <r>
      <rPr>
        <color theme="1" tint="0"/>
        <sz val="11"/>
        <scheme val="minor"/>
      </rPr>
      <t>), CX8 (</t>
    </r>
    <r>
      <rPr>
        <color theme="1" tint="0"/>
        <sz val="8"/>
        <scheme val="minor"/>
      </rPr>
      <t>41,71</t>
    </r>
    <r>
      <rPr>
        <color theme="1" tint="0"/>
        <sz val="11"/>
        <scheme val="minor"/>
      </rPr>
      <t xml:space="preserve">);
</t>
    </r>
    <r>
      <rPr>
        <b val="true"/>
        <color theme="1" tint="0"/>
        <sz val="11"/>
        <scheme val="minor"/>
      </rPr>
      <t>0111</t>
    </r>
    <r>
      <rPr>
        <color theme="1" tint="0"/>
        <sz val="11"/>
        <scheme val="minor"/>
      </rPr>
      <t xml:space="preserve"> - M6 (</t>
    </r>
    <r>
      <rPr>
        <color theme="1" tint="0"/>
        <sz val="8"/>
        <scheme val="minor"/>
      </rPr>
      <t>31</t>
    </r>
    <r>
      <rPr>
        <color theme="1" tint="0"/>
        <sz val="11"/>
        <scheme val="minor"/>
      </rPr>
      <t xml:space="preserve">);
</t>
    </r>
    <r>
      <rPr>
        <b val="true"/>
        <color theme="1" tint="0"/>
        <sz val="11"/>
        <scheme val="minor"/>
      </rPr>
      <t>1001</t>
    </r>
    <r>
      <rPr>
        <color theme="1" tint="0"/>
        <sz val="11"/>
        <scheme val="minor"/>
      </rPr>
      <t xml:space="preserve"> - M6 (</t>
    </r>
    <r>
      <rPr>
        <color theme="1" tint="0"/>
        <sz val="8"/>
        <scheme val="minor"/>
      </rPr>
      <t>31,41</t>
    </r>
    <r>
      <rPr>
        <color theme="1" tint="0"/>
        <sz val="11"/>
        <scheme val="minor"/>
      </rPr>
      <t xml:space="preserve">);
</t>
    </r>
    <r>
      <rPr>
        <b val="true"/>
        <color theme="1" tint="0"/>
        <sz val="11"/>
        <scheme val="minor"/>
      </rPr>
      <t>1010</t>
    </r>
    <r>
      <rPr>
        <color theme="1" tint="0"/>
        <sz val="11"/>
        <scheme val="minor"/>
      </rPr>
      <t xml:space="preserve"> - M3 (</t>
    </r>
    <r>
      <rPr>
        <color theme="1" tint="0"/>
        <sz val="8"/>
        <scheme val="minor"/>
      </rPr>
      <t>11,31,61,71</t>
    </r>
    <r>
      <rPr>
        <color theme="1" tint="0"/>
        <sz val="11"/>
        <scheme val="minor"/>
      </rPr>
      <t>) + B1b1 (</t>
    </r>
    <r>
      <rPr>
        <color theme="1" tint="0"/>
        <sz val="8"/>
        <scheme val="minor"/>
      </rPr>
      <t>21</t>
    </r>
    <r>
      <rPr>
        <color theme="1" tint="0"/>
        <sz val="11"/>
        <scheme val="minor"/>
      </rPr>
      <t>) +  b4 (</t>
    </r>
    <r>
      <rPr>
        <color theme="1" tint="0"/>
        <sz val="8"/>
        <scheme val="minor"/>
      </rPr>
      <t>41,71</t>
    </r>
    <r>
      <rPr>
        <color theme="1" tint="0"/>
        <sz val="11"/>
        <scheme val="minor"/>
      </rPr>
      <t xml:space="preserve">);
</t>
    </r>
    <r>
      <rPr>
        <b val="true"/>
        <color theme="1" tint="0"/>
        <sz val="11"/>
        <scheme val="minor"/>
      </rPr>
      <t>1100</t>
    </r>
    <r>
      <rPr>
        <color theme="1" tint="0"/>
        <sz val="11"/>
        <scheme val="minor"/>
      </rPr>
      <t xml:space="preserve"> - M3 (</t>
    </r>
    <r>
      <rPr>
        <color theme="1" tint="0"/>
        <sz val="8"/>
        <scheme val="minor"/>
      </rPr>
      <t>only w/B1b1=0</t>
    </r>
    <r>
      <rPr>
        <color theme="1" tint="0"/>
        <sz val="11"/>
        <scheme val="minor"/>
      </rPr>
      <t xml:space="preserve">);
</t>
    </r>
    <r>
      <rPr>
        <b val="true"/>
        <color theme="1" tint="0"/>
        <sz val="11"/>
        <scheme val="minor"/>
      </rPr>
      <t>1101</t>
    </r>
    <r>
      <rPr>
        <color theme="1" tint="0"/>
        <sz val="11"/>
        <scheme val="minor"/>
      </rPr>
      <t xml:space="preserve"> - CX4 (</t>
    </r>
    <r>
      <rPr>
        <color theme="1" tint="0"/>
        <sz val="8"/>
        <scheme val="minor"/>
      </rPr>
      <t>84</t>
    </r>
    <r>
      <rPr>
        <color theme="1" tint="0"/>
        <sz val="11"/>
        <scheme val="minor"/>
      </rPr>
      <t>)</t>
    </r>
  </si>
  <si>
    <r>
      <t xml:space="preserve">0 </t>
    </r>
    <r>
      <rPr>
        <b val="false"/>
        <color rgb="FF0000" tint="0"/>
        <sz val="11"/>
        <scheme val="minor"/>
      </rPr>
      <t>= Permanent value</t>
    </r>
  </si>
  <si>
    <t>1- if 720-04-27 B0=3x</t>
  </si>
  <si>
    <r>
      <rPr>
        <b val="true"/>
        <color theme="1" tint="0"/>
        <sz val="11"/>
        <scheme val="minor"/>
      </rPr>
      <t xml:space="preserve">Auto Door Lock: </t>
    </r>
    <r>
      <rPr>
        <b val="true"/>
        <color theme="1" tint="0"/>
        <sz val="11"/>
        <scheme val="minor"/>
      </rPr>
      <t>0</t>
    </r>
    <r>
      <rPr>
        <color theme="1" tint="0"/>
        <sz val="11"/>
        <scheme val="minor"/>
      </rPr>
      <t xml:space="preserve"> - ON / </t>
    </r>
    <r>
      <rPr>
        <b val="true"/>
        <color theme="1" tint="0"/>
        <sz val="11"/>
        <scheme val="minor"/>
      </rPr>
      <t>1</t>
    </r>
    <r>
      <rPr>
        <color theme="1" tint="0"/>
        <sz val="11"/>
        <scheme val="minor"/>
      </rPr>
      <t xml:space="preserve"> - OFF</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</si>
  <si>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</si>
  <si>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</si>
  <si>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</si>
  <si>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1=only some M6 2013-2015 in JP/US/EU</t>
  </si>
  <si>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</si>
  <si>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</si>
  <si>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</si>
  <si>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</si>
  <si>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</si>
  <si>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</si>
  <si>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</si>
  <si>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in HEX</t>
    </r>
  </si>
  <si>
    <r>
      <t>7B7-01-03</t>
    </r>
    <r>
      <rPr>
        <b val="false"/>
        <color theme="1" tint="0"/>
        <sz val="11"/>
        <scheme val="minor"/>
      </rPr>
      <t xml:space="preserve"> B0 B1 B2 B3 B4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</si>
  <si>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</si>
  <si>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</si>
  <si>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</si>
  <si>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</si>
  <si>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theme="1" tint="0"/>
        <sz val="11"/>
        <scheme val="minor"/>
      </rPr>
      <t xml:space="preserve"> - CHECKSUM</t>
    </r>
  </si>
  <si>
    <r>
      <t xml:space="preserve">0 </t>
    </r>
    <r>
      <rPr>
        <b val="false"/>
        <color rgb="FF0000" tint="0"/>
        <sz val="11"/>
        <scheme val="minor"/>
      </rPr>
      <t>= Permanent value</t>
    </r>
  </si>
  <si>
    <r>
      <rPr>
        <b val="true"/>
        <color theme="1" tint="0"/>
        <sz val="11"/>
        <scheme val="minor"/>
      </rPr>
      <t>Lighting - Coming Home Light</t>
    </r>
    <r>
      <rPr>
        <color theme="1" tint="0"/>
        <sz val="11"/>
        <scheme val="minor"/>
      </rPr>
      <t xml:space="preserve"> (Default setting): 
</t>
    </r>
    <r>
      <rPr>
        <i val="true"/>
        <color theme="1" tint="0"/>
        <sz val="9"/>
        <scheme val="minor"/>
      </rPr>
      <t xml:space="preserve">b7b6b5 - Value
</t>
    </r>
    <r>
      <rPr>
        <b val="true"/>
        <color theme="1" tint="0"/>
        <sz val="11"/>
        <scheme val="minor"/>
      </rPr>
      <t>000</t>
    </r>
    <r>
      <rPr>
        <color theme="1" tint="0"/>
        <sz val="11"/>
        <scheme val="minor"/>
      </rPr>
      <t xml:space="preserve"> - Off
</t>
    </r>
    <r>
      <rPr>
        <b val="true"/>
        <color theme="1" tint="0"/>
        <sz val="11"/>
        <scheme val="minor"/>
      </rPr>
      <t>001</t>
    </r>
    <r>
      <rPr>
        <color theme="1" tint="0"/>
        <sz val="11"/>
        <scheme val="minor"/>
      </rPr>
      <t xml:space="preserve"> - 30 s
</t>
    </r>
    <r>
      <rPr>
        <b val="true"/>
        <color theme="1" tint="0"/>
        <sz val="11"/>
        <scheme val="minor"/>
      </rPr>
      <t>010</t>
    </r>
    <r>
      <rPr>
        <color theme="1" tint="0"/>
        <sz val="11"/>
        <scheme val="minor"/>
      </rPr>
      <t xml:space="preserve"> - 60 s
</t>
    </r>
    <r>
      <rPr>
        <b val="true"/>
        <color theme="1" tint="0"/>
        <sz val="11"/>
        <scheme val="minor"/>
      </rPr>
      <t>011</t>
    </r>
    <r>
      <rPr>
        <color theme="1" tint="0"/>
        <sz val="11"/>
        <scheme val="minor"/>
      </rPr>
      <t xml:space="preserve"> - 90 s
</t>
    </r>
    <r>
      <rPr>
        <b val="true"/>
        <color theme="1" tint="0"/>
        <sz val="11"/>
        <scheme val="minor"/>
      </rPr>
      <t>100</t>
    </r>
    <r>
      <rPr>
        <color theme="1" tint="0"/>
        <sz val="11"/>
        <scheme val="minor"/>
      </rPr>
      <t xml:space="preserve"> - 120 s</t>
    </r>
  </si>
  <si>
    <r>
      <rPr>
        <b val="true"/>
        <color theme="1" tint="0"/>
        <sz val="11"/>
        <scheme val="minor"/>
      </rPr>
      <t>Rain Sensing Wiper</t>
    </r>
    <r>
      <rPr>
        <color theme="1" tint="0"/>
        <sz val="11"/>
        <scheme val="minor"/>
      </rPr>
      <t xml:space="preserve"> (Default setting):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</si>
  <si>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</si>
  <si>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</si>
  <si>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Rain Sensing Wiper</t>
    </r>
    <r>
      <rPr>
        <color theme="1" tint="0"/>
        <sz val="11"/>
        <scheme val="minor"/>
      </rPr>
      <t xml:space="preserve">: </t>
    </r>
    <r>
      <rPr>
        <b val="true"/>
        <color theme="1" tint="0"/>
        <sz val="11"/>
        <scheme val="minor"/>
      </rPr>
      <t>0</t>
    </r>
    <r>
      <rPr>
        <color theme="1" tint="0"/>
        <sz val="11"/>
        <scheme val="minor"/>
      </rPr>
      <t xml:space="preserve"> - Show / </t>
    </r>
    <r>
      <rPr>
        <b val="true"/>
        <color theme="1" tint="0"/>
        <sz val="11"/>
        <scheme val="minor"/>
      </rPr>
      <t>1</t>
    </r>
    <r>
      <rPr>
        <color theme="1" tint="0"/>
        <sz val="11"/>
        <scheme val="minor"/>
      </rPr>
      <t xml:space="preserve"> - Hide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</si>
  <si>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</si>
  <si>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</si>
  <si>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</si>
  <si>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</si>
  <si>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Lighting - Headlight Off Timer</t>
    </r>
    <r>
      <rPr>
        <color theme="1" tint="0"/>
        <sz val="11"/>
        <scheme val="minor"/>
      </rPr>
      <t xml:space="preserve">: </t>
    </r>
    <r>
      <rPr>
        <b val="true"/>
        <color theme="1" tint="0"/>
        <sz val="11"/>
        <scheme val="minor"/>
      </rPr>
      <t>0</t>
    </r>
    <r>
      <rPr>
        <color theme="1" tint="0"/>
        <sz val="11"/>
        <scheme val="minor"/>
      </rPr>
      <t xml:space="preserve"> - Show / </t>
    </r>
    <r>
      <rPr>
        <b val="true"/>
        <color theme="1" tint="0"/>
        <sz val="11"/>
        <scheme val="minor"/>
      </rPr>
      <t>1</t>
    </r>
    <r>
      <rPr>
        <color theme="1" tint="0"/>
        <sz val="11"/>
        <scheme val="minor"/>
      </rPr>
      <t xml:space="preserve"> - Hide</t>
    </r>
  </si>
  <si>
    <r>
      <rPr>
        <b val="true"/>
        <color theme="1" tint="0"/>
        <sz val="11"/>
        <scheme val="minor"/>
      </rPr>
      <t>Lighting - Auto Headlight On</t>
    </r>
    <r>
      <rPr>
        <color theme="1" tint="0"/>
        <sz val="11"/>
        <scheme val="minor"/>
      </rPr>
      <t xml:space="preserve"> (Default setting):
</t>
    </r>
    <r>
      <rPr>
        <i val="true"/>
        <color theme="1" tint="0"/>
        <sz val="10"/>
        <scheme val="minor"/>
      </rPr>
      <t xml:space="preserve">b4b3 - Value
</t>
    </r>
    <r>
      <rPr>
        <b val="true"/>
        <color theme="1" tint="0"/>
        <sz val="11"/>
        <scheme val="minor"/>
      </rPr>
      <t>00</t>
    </r>
    <r>
      <rPr>
        <color theme="1" tint="0"/>
        <sz val="11"/>
        <scheme val="minor"/>
      </rPr>
      <t xml:space="preserve"> - Low
</t>
    </r>
    <r>
      <rPr>
        <b val="true"/>
        <color theme="1" tint="0"/>
        <sz val="11"/>
        <scheme val="minor"/>
      </rPr>
      <t>01</t>
    </r>
    <r>
      <rPr>
        <color theme="1" tint="0"/>
        <sz val="11"/>
        <scheme val="minor"/>
      </rPr>
      <t xml:space="preserve"> - Med. Low
</t>
    </r>
    <r>
      <rPr>
        <b val="true"/>
        <color theme="1" tint="0"/>
        <sz val="11"/>
        <scheme val="minor"/>
      </rPr>
      <t>10</t>
    </r>
    <r>
      <rPr>
        <color theme="1" tint="0"/>
        <sz val="11"/>
        <scheme val="minor"/>
      </rPr>
      <t xml:space="preserve"> - Medium
</t>
    </r>
    <r>
      <rPr>
        <b val="true"/>
        <color theme="1" tint="0"/>
        <sz val="11"/>
        <scheme val="minor"/>
      </rPr>
      <t>11</t>
    </r>
    <r>
      <rPr>
        <color theme="1" tint="0"/>
        <sz val="11"/>
        <scheme val="minor"/>
      </rPr>
      <t xml:space="preserve"> -  Med. High</t>
    </r>
  </si>
  <si>
    <r>
      <rPr>
        <b val="true"/>
        <color theme="1" tint="0"/>
        <sz val="11"/>
        <scheme val="minor"/>
      </rPr>
      <t>Lighting - Coming/Leaving Home Light</t>
    </r>
    <r>
      <rPr>
        <color theme="1" tint="0"/>
        <sz val="11"/>
        <scheme val="minor"/>
      </rPr>
      <t xml:space="preserve">: </t>
    </r>
    <r>
      <rPr>
        <b val="true"/>
        <color theme="1" tint="0"/>
        <sz val="11"/>
        <scheme val="minor"/>
      </rPr>
      <t>0</t>
    </r>
    <r>
      <rPr>
        <color theme="1" tint="0"/>
        <sz val="11"/>
        <scheme val="minor"/>
      </rPr>
      <t xml:space="preserve"> - Hide / </t>
    </r>
    <r>
      <rPr>
        <b val="true"/>
        <color theme="1" tint="0"/>
        <sz val="11"/>
        <scheme val="minor"/>
      </rPr>
      <t>1</t>
    </r>
    <r>
      <rPr>
        <color theme="1" tint="0"/>
        <sz val="11"/>
        <scheme val="minor"/>
      </rPr>
      <t xml:space="preserve"> - Show</t>
    </r>
  </si>
  <si>
    <r>
      <t xml:space="preserve">0 </t>
    </r>
    <r>
      <rPr>
        <b val="false"/>
        <color rgb="FF0000" tint="0"/>
        <sz val="11"/>
        <scheme val="minor"/>
      </rPr>
      <t>= Permanent value</t>
    </r>
  </si>
  <si>
    <r>
      <rPr>
        <b val="true"/>
        <color theme="1" tint="0"/>
        <sz val="11"/>
        <scheme val="minor"/>
      </rPr>
      <t>Turn - 3-Flash Indicator</t>
    </r>
    <r>
      <rPr>
        <color theme="1" tint="0"/>
        <sz val="11"/>
        <scheme val="minor"/>
      </rPr>
      <t xml:space="preserve"> (Default setting):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</si>
  <si>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</si>
  <si>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</si>
  <si>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Turn - 3-Flash Indicator</t>
    </r>
    <r>
      <rPr>
        <color theme="1" tint="0"/>
        <sz val="11"/>
        <scheme val="minor"/>
      </rPr>
      <t xml:space="preserve">: </t>
    </r>
    <r>
      <rPr>
        <b val="true"/>
        <color theme="1" tint="0"/>
        <sz val="11"/>
        <scheme val="minor"/>
      </rPr>
      <t xml:space="preserve">0 </t>
    </r>
    <r>
      <rPr>
        <color theme="1" tint="0"/>
        <sz val="11"/>
        <scheme val="minor"/>
      </rPr>
      <t xml:space="preserve">- Show / </t>
    </r>
    <r>
      <rPr>
        <b val="true"/>
        <color theme="1" tint="0"/>
        <sz val="11"/>
        <scheme val="minor"/>
      </rPr>
      <t>1</t>
    </r>
    <r>
      <rPr>
        <color theme="1" tint="0"/>
        <sz val="11"/>
        <scheme val="minor"/>
      </rPr>
      <t xml:space="preserve"> - Hide</t>
    </r>
  </si>
  <si>
    <r>
      <rPr>
        <b val="true"/>
        <color theme="1" tint="0"/>
        <sz val="11"/>
        <scheme val="minor"/>
      </rPr>
      <t>Lighting - Auto Headlight On</t>
    </r>
    <r>
      <rPr>
        <color theme="1" tint="0"/>
        <sz val="11"/>
        <scheme val="minor"/>
      </rPr>
      <t xml:space="preserve">: </t>
    </r>
    <r>
      <rPr>
        <b val="true"/>
        <color theme="1" tint="0"/>
        <sz val="11"/>
        <scheme val="minor"/>
      </rPr>
      <t>0</t>
    </r>
    <r>
      <rPr>
        <color theme="1" tint="0"/>
        <sz val="11"/>
        <scheme val="minor"/>
      </rPr>
      <t xml:space="preserve"> - Show / </t>
    </r>
    <r>
      <rPr>
        <b val="true"/>
        <color theme="1" tint="0"/>
        <sz val="11"/>
        <scheme val="minor"/>
      </rPr>
      <t>1</t>
    </r>
    <r>
      <rPr>
        <color theme="1" tint="0"/>
        <sz val="11"/>
        <scheme val="minor"/>
      </rPr>
      <t xml:space="preserve"> - Hide</t>
    </r>
  </si>
  <si>
    <r>
      <t xml:space="preserve">0 </t>
    </r>
    <r>
      <rPr>
        <b val="false"/>
        <color rgb="FF0000" tint="0"/>
        <sz val="11"/>
        <scheme val="minor"/>
      </rPr>
      <t>= Permanent value</t>
    </r>
  </si>
  <si>
    <r>
      <t xml:space="preserve">0 </t>
    </r>
    <r>
      <rPr>
        <b val="false"/>
        <color rgb="FF0000" tint="0"/>
        <sz val="11"/>
        <scheme val="minor"/>
      </rPr>
      <t>= Permanent value</t>
    </r>
  </si>
  <si>
    <t>1- Display Lock Beep Volume on CMU; 0 - NO Display Lock Beep Volume on CMU</t>
  </si>
  <si>
    <r>
      <rPr>
        <b val="true"/>
        <color theme="1" tint="0"/>
        <sz val="11"/>
        <scheme val="minor"/>
      </rPr>
      <t>Lighting - Leaving Home Light</t>
    </r>
    <r>
      <rPr>
        <color theme="1" tint="0"/>
        <sz val="11"/>
        <scheme val="minor"/>
      </rPr>
      <t xml:space="preserve"> (Default setting): </t>
    </r>
    <r>
      <rPr>
        <b val="true"/>
        <color theme="1" tint="0"/>
        <sz val="11"/>
        <scheme val="minor"/>
      </rPr>
      <t>0</t>
    </r>
    <r>
      <rPr>
        <color theme="1" tint="0"/>
        <sz val="11"/>
        <scheme val="minor"/>
      </rPr>
      <t xml:space="preserve"> - Disabled / </t>
    </r>
    <r>
      <rPr>
        <b val="true"/>
        <color theme="1" tint="0"/>
        <sz val="11"/>
        <scheme val="minor"/>
      </rPr>
      <t>1</t>
    </r>
    <r>
      <rPr>
        <color theme="1" tint="0"/>
        <sz val="11"/>
        <scheme val="minor"/>
      </rPr>
      <t xml:space="preserve"> - Enabled</t>
    </r>
  </si>
  <si>
    <r>
      <t xml:space="preserve">0 </t>
    </r>
    <r>
      <rPr>
        <b val="false"/>
        <color rgb="FF0000" tint="0"/>
        <sz val="11"/>
        <scheme val="minor"/>
      </rPr>
      <t>= Permanent value</t>
    </r>
  </si>
  <si>
    <t>1=only when 726-01-01 B1b4=1</t>
  </si>
  <si>
    <r>
      <rPr>
        <b val="true"/>
        <color theme="1" tint="0"/>
        <sz val="11"/>
        <scheme val="minor"/>
      </rPr>
      <t>Lighting - Interior Light</t>
    </r>
    <r>
      <rPr>
        <color theme="1" tint="0"/>
        <sz val="11"/>
        <scheme val="minor"/>
      </rPr>
      <t xml:space="preserve">: </t>
    </r>
    <r>
      <rPr>
        <b val="true"/>
        <color theme="1" tint="0"/>
        <sz val="11"/>
        <scheme val="minor"/>
      </rPr>
      <t>1</t>
    </r>
    <r>
      <rPr>
        <color theme="1" tint="0"/>
        <sz val="11"/>
        <scheme val="minor"/>
      </rPr>
      <t xml:space="preserve"> - Show / </t>
    </r>
    <r>
      <rPr>
        <b val="true"/>
        <color theme="1" tint="0"/>
        <sz val="11"/>
        <scheme val="minor"/>
      </rPr>
      <t>0</t>
    </r>
    <r>
      <rPr>
        <color theme="1" tint="0"/>
        <sz val="11"/>
        <scheme val="minor"/>
      </rPr>
      <t xml:space="preserve"> - Hide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</si>
  <si>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</si>
  <si>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</si>
  <si>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7B7-02-01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</si>
  <si>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</si>
  <si>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</si>
  <si>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</si>
  <si>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</si>
  <si>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</si>
  <si>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</si>
  <si>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Vehicle -&gt; Doors -&gt;</t>
    </r>
    <r>
      <rPr>
        <b val="true"/>
        <color theme="1" tint="0"/>
        <sz val="11"/>
        <scheme val="minor"/>
      </rPr>
      <t xml:space="preserve"> Auto Door Lock:
</t>
    </r>
    <r>
      <rPr>
        <i val="true"/>
        <color theme="1" tint="0"/>
        <sz val="10"/>
        <scheme val="minor"/>
      </rPr>
      <t xml:space="preserve">b7b6b5b4 - Value
</t>
    </r>
    <r>
      <rPr>
        <b val="true"/>
        <color theme="1" tint="0"/>
        <sz val="11"/>
        <scheme val="minor"/>
      </rPr>
      <t>0000</t>
    </r>
    <r>
      <rPr>
        <color theme="1" tint="0"/>
        <sz val="11"/>
        <scheme val="minor"/>
      </rPr>
      <t xml:space="preserve"> - N/A
</t>
    </r>
    <r>
      <rPr>
        <b val="true"/>
        <color theme="1" tint="0"/>
        <sz val="11"/>
        <scheme val="minor"/>
      </rPr>
      <t>0001</t>
    </r>
    <r>
      <rPr>
        <color theme="1" tint="0"/>
        <sz val="11"/>
        <scheme val="minor"/>
      </rPr>
      <t xml:space="preserve"> - OFF
</t>
    </r>
    <r>
      <rPr>
        <b val="true"/>
        <color theme="1" tint="0"/>
        <sz val="11"/>
        <scheme val="minor"/>
      </rPr>
      <t>0010</t>
    </r>
    <r>
      <rPr>
        <color theme="1" tint="0"/>
        <sz val="11"/>
        <scheme val="minor"/>
      </rPr>
      <t xml:space="preserve"> - Lock: When driving
</t>
    </r>
    <r>
      <rPr>
        <b val="true"/>
        <color theme="1" tint="0"/>
        <sz val="11"/>
        <scheme val="minor"/>
      </rPr>
      <t>0011</t>
    </r>
    <r>
      <rPr>
        <color theme="1" tint="0"/>
        <sz val="11"/>
        <scheme val="minor"/>
      </rPr>
      <t xml:space="preserve"> - Lock: When driving / Unlock: IGN Off
</t>
    </r>
    <r>
      <rPr>
        <b val="true"/>
        <color theme="1" tint="0"/>
        <sz val="11"/>
        <scheme val="minor"/>
      </rPr>
      <t>0100</t>
    </r>
    <r>
      <rPr>
        <color theme="1" tint="0"/>
        <sz val="11"/>
        <scheme val="minor"/>
      </rPr>
      <t xml:space="preserve"> - Lock: Shifting Out of Park
</t>
    </r>
    <r>
      <rPr>
        <b val="true"/>
        <color theme="1" tint="0"/>
        <sz val="11"/>
        <scheme val="minor"/>
      </rPr>
      <t>0101</t>
    </r>
    <r>
      <rPr>
        <color theme="1" tint="0"/>
        <sz val="11"/>
        <scheme val="minor"/>
      </rPr>
      <t xml:space="preserve"> - Lock:  Out of Park / Unlock: In Park
</t>
    </r>
    <r>
      <rPr>
        <b val="true"/>
        <color theme="1" tint="0"/>
        <sz val="11"/>
        <scheme val="minor"/>
      </rPr>
      <t>1010</t>
    </r>
    <r>
      <rPr>
        <color theme="1" tint="0"/>
        <sz val="11"/>
        <scheme val="minor"/>
      </rPr>
      <t xml:space="preserve"> - Lock:  When driving / Unlock: in Park</t>
    </r>
  </si>
  <si>
    <r>
      <rPr>
        <b val="true"/>
        <color theme="1" tint="0"/>
        <sz val="11"/>
        <scheme val="minor"/>
      </rPr>
      <t>Lighting - Interior Light Timeout-Door Close</t>
    </r>
    <r>
      <rPr>
        <color theme="1" tint="0"/>
        <sz val="11"/>
        <scheme val="minor"/>
      </rPr>
      <t xml:space="preserve">:
</t>
    </r>
    <r>
      <rPr>
        <i val="true"/>
        <color theme="1" tint="0"/>
        <sz val="10"/>
        <scheme val="minor"/>
      </rPr>
      <t xml:space="preserve">b7b6b5 - Value
</t>
    </r>
    <r>
      <rPr>
        <b val="true"/>
        <color theme="1" tint="0"/>
        <sz val="11"/>
        <scheme val="minor"/>
      </rPr>
      <t>000</t>
    </r>
    <r>
      <rPr>
        <color theme="1" tint="0"/>
        <sz val="11"/>
        <scheme val="minor"/>
      </rPr>
      <t xml:space="preserve"> - NA
</t>
    </r>
    <r>
      <rPr>
        <b val="true"/>
        <color theme="1" tint="0"/>
        <sz val="11"/>
        <scheme val="minor"/>
      </rPr>
      <t>001</t>
    </r>
    <r>
      <rPr>
        <color theme="1" tint="0"/>
        <sz val="11"/>
        <scheme val="minor"/>
      </rPr>
      <t xml:space="preserve"> - 15 seconds
</t>
    </r>
    <r>
      <rPr>
        <b val="true"/>
        <color theme="1" tint="0"/>
        <sz val="11"/>
        <scheme val="minor"/>
      </rPr>
      <t>010</t>
    </r>
    <r>
      <rPr>
        <color theme="1" tint="0"/>
        <sz val="11"/>
        <scheme val="minor"/>
      </rPr>
      <t xml:space="preserve"> - 1,5 seconds
</t>
    </r>
    <r>
      <rPr>
        <b val="true"/>
        <color theme="1" tint="0"/>
        <sz val="11"/>
        <scheme val="minor"/>
      </rPr>
      <t>011</t>
    </r>
    <r>
      <rPr>
        <color theme="1" tint="0"/>
        <sz val="11"/>
        <scheme val="minor"/>
      </rPr>
      <t xml:space="preserve"> - 30 seconds
</t>
    </r>
    <r>
      <rPr>
        <b val="true"/>
        <color theme="1" tint="0"/>
        <sz val="11"/>
        <scheme val="minor"/>
      </rPr>
      <t>100</t>
    </r>
    <r>
      <rPr>
        <color theme="1" tint="0"/>
        <sz val="11"/>
        <scheme val="minor"/>
      </rPr>
      <t xml:space="preserve"> - 60 seconds</t>
    </r>
  </si>
  <si>
    <r>
      <rPr>
        <b val="true"/>
        <color theme="1" tint="0"/>
        <sz val="11"/>
        <scheme val="minor"/>
      </rPr>
      <t>Lighting - Headlight Off Timer</t>
    </r>
    <r>
      <rPr>
        <color theme="1" tint="0"/>
        <sz val="11"/>
        <scheme val="minor"/>
      </rPr>
      <t xml:space="preserve">:
</t>
    </r>
    <r>
      <rPr>
        <i val="true"/>
        <color theme="1" tint="0"/>
        <sz val="10"/>
        <scheme val="minor"/>
      </rPr>
      <t xml:space="preserve">b7b6b5 - Value
</t>
    </r>
    <r>
      <rPr>
        <b val="true"/>
        <color theme="1" tint="0"/>
        <sz val="11"/>
        <scheme val="minor"/>
      </rPr>
      <t>000</t>
    </r>
    <r>
      <rPr>
        <color theme="1" tint="0"/>
        <sz val="11"/>
        <scheme val="minor"/>
      </rPr>
      <t xml:space="preserve"> - N/A
</t>
    </r>
    <r>
      <rPr>
        <b val="true"/>
        <color theme="1" tint="0"/>
        <sz val="11"/>
        <scheme val="minor"/>
      </rPr>
      <t>001</t>
    </r>
    <r>
      <rPr>
        <color theme="1" tint="0"/>
        <sz val="11"/>
        <scheme val="minor"/>
      </rPr>
      <t xml:space="preserve"> - Off
</t>
    </r>
    <r>
      <rPr>
        <b val="true"/>
        <color theme="1" tint="0"/>
        <sz val="11"/>
        <scheme val="minor"/>
      </rPr>
      <t>010</t>
    </r>
    <r>
      <rPr>
        <color theme="1" tint="0"/>
        <sz val="11"/>
        <scheme val="minor"/>
      </rPr>
      <t xml:space="preserve"> - 30 seconds
</t>
    </r>
    <r>
      <rPr>
        <b val="true"/>
        <color theme="1" tint="0"/>
        <sz val="11"/>
        <scheme val="minor"/>
      </rPr>
      <t>011</t>
    </r>
    <r>
      <rPr>
        <color theme="1" tint="0"/>
        <sz val="11"/>
        <scheme val="minor"/>
      </rPr>
      <t xml:space="preserve"> - 60 seconds
</t>
    </r>
    <r>
      <rPr>
        <b val="true"/>
        <color theme="1" tint="0"/>
        <sz val="11"/>
        <scheme val="minor"/>
      </rPr>
      <t>100</t>
    </r>
    <r>
      <rPr>
        <color theme="1" tint="0"/>
        <sz val="11"/>
        <scheme val="minor"/>
      </rPr>
      <t xml:space="preserve"> - 90 seconds
</t>
    </r>
    <r>
      <rPr>
        <b val="true"/>
        <color theme="1" tint="0"/>
        <sz val="11"/>
        <scheme val="minor"/>
      </rPr>
      <t>101</t>
    </r>
    <r>
      <rPr>
        <color theme="1" tint="0"/>
        <sz val="11"/>
        <scheme val="minor"/>
      </rPr>
      <t xml:space="preserve"> - 120 seconds</t>
    </r>
  </si>
  <si>
    <r>
      <rPr>
        <b val="true"/>
        <color theme="1" tint="0"/>
        <sz val="11"/>
        <scheme val="minor"/>
      </rPr>
      <t xml:space="preserve">Rain Sensing Wiper:
</t>
    </r>
    <r>
      <rPr>
        <i val="true"/>
        <color theme="1" tint="0"/>
        <sz val="10"/>
        <scheme val="minor"/>
      </rPr>
      <t xml:space="preserve">b7b6 - Value
</t>
    </r>
    <r>
      <rPr>
        <b val="true"/>
        <color theme="1" tint="0"/>
        <sz val="11"/>
        <scheme val="minor"/>
      </rPr>
      <t>00</t>
    </r>
    <r>
      <rPr>
        <color theme="1" tint="0"/>
        <sz val="11"/>
        <scheme val="minor"/>
      </rPr>
      <t xml:space="preserve"> - N/A
</t>
    </r>
    <r>
      <rPr>
        <b val="true"/>
        <color theme="1" tint="0"/>
        <sz val="11"/>
        <scheme val="minor"/>
      </rPr>
      <t>10</t>
    </r>
    <r>
      <rPr>
        <color theme="1" tint="0"/>
        <sz val="11"/>
        <scheme val="minor"/>
      </rPr>
      <t xml:space="preserve"> - Enabled
</t>
    </r>
    <r>
      <rPr>
        <b val="true"/>
        <color theme="1" tint="0"/>
        <sz val="11"/>
        <scheme val="minor"/>
      </rPr>
      <t>01</t>
    </r>
    <r>
      <rPr>
        <color theme="1" tint="0"/>
        <sz val="11"/>
        <scheme val="minor"/>
      </rPr>
      <t xml:space="preserve"> - Disabled</t>
    </r>
  </si>
  <si>
    <r>
      <rPr>
        <b val="true"/>
        <color theme="1" tint="0"/>
        <sz val="11"/>
        <scheme val="minor"/>
      </rPr>
      <t xml:space="preserve">Coming Home Light:
</t>
    </r>
    <r>
      <rPr>
        <i val="true"/>
        <color theme="1" tint="0"/>
        <sz val="10"/>
        <scheme val="minor"/>
      </rPr>
      <t xml:space="preserve">b7b6b5 - Value
</t>
    </r>
    <r>
      <rPr>
        <b val="true"/>
        <color theme="1" tint="0"/>
        <sz val="11"/>
        <scheme val="minor"/>
      </rPr>
      <t>000</t>
    </r>
    <r>
      <rPr>
        <color theme="1" tint="0"/>
        <sz val="11"/>
        <scheme val="minor"/>
      </rPr>
      <t xml:space="preserve"> - N/A
</t>
    </r>
    <r>
      <rPr>
        <b val="true"/>
        <color theme="1" tint="0"/>
        <sz val="11"/>
        <scheme val="minor"/>
      </rPr>
      <t>001</t>
    </r>
    <r>
      <rPr>
        <color theme="1" tint="0"/>
        <sz val="11"/>
        <scheme val="minor"/>
      </rPr>
      <t xml:space="preserve"> - OFF
</t>
    </r>
    <r>
      <rPr>
        <b val="true"/>
        <color theme="1" tint="0"/>
        <sz val="11"/>
        <scheme val="minor"/>
      </rPr>
      <t>010</t>
    </r>
    <r>
      <rPr>
        <color theme="1" tint="0"/>
        <sz val="11"/>
        <scheme val="minor"/>
      </rPr>
      <t xml:space="preserve"> - 30 sec
</t>
    </r>
    <r>
      <rPr>
        <b val="true"/>
        <color theme="1" tint="0"/>
        <sz val="11"/>
        <scheme val="minor"/>
      </rPr>
      <t>011</t>
    </r>
    <r>
      <rPr>
        <color theme="1" tint="0"/>
        <sz val="11"/>
        <scheme val="minor"/>
      </rPr>
      <t xml:space="preserve"> - 60 sec
</t>
    </r>
    <r>
      <rPr>
        <b val="true"/>
        <color theme="1" tint="0"/>
        <sz val="11"/>
        <scheme val="minor"/>
      </rPr>
      <t>100</t>
    </r>
    <r>
      <rPr>
        <color theme="1" tint="0"/>
        <sz val="11"/>
        <scheme val="minor"/>
      </rPr>
      <t xml:space="preserve"> - 90 sec
</t>
    </r>
    <r>
      <rPr>
        <b val="true"/>
        <color theme="1" tint="0"/>
        <sz val="11"/>
        <scheme val="minor"/>
      </rPr>
      <t>101</t>
    </r>
    <r>
      <rPr>
        <color theme="1" tint="0"/>
        <sz val="11"/>
        <scheme val="minor"/>
      </rPr>
      <t xml:space="preserve"> - 120 sec</t>
    </r>
  </si>
  <si>
    <r>
      <rPr>
        <b val="true"/>
        <color theme="1" tint="0"/>
        <sz val="11"/>
        <scheme val="minor"/>
      </rPr>
      <t xml:space="preserve">Lighting - Auto Headlight On:
</t>
    </r>
    <r>
      <rPr>
        <i val="true"/>
        <color theme="1" tint="0"/>
        <sz val="10"/>
        <scheme val="minor"/>
      </rPr>
      <t xml:space="preserve">b5b4b3 - Value
</t>
    </r>
    <r>
      <rPr>
        <b val="true"/>
        <color theme="1" tint="0"/>
        <sz val="11"/>
        <scheme val="minor"/>
      </rPr>
      <t>000</t>
    </r>
    <r>
      <rPr>
        <color theme="1" tint="0"/>
        <sz val="11"/>
        <scheme val="minor"/>
      </rPr>
      <t xml:space="preserve"> - N/A
</t>
    </r>
    <r>
      <rPr>
        <b val="true"/>
        <color theme="1" tint="0"/>
        <sz val="11"/>
        <scheme val="minor"/>
      </rPr>
      <t>001</t>
    </r>
    <r>
      <rPr>
        <color theme="1" tint="0"/>
        <sz val="11"/>
        <scheme val="minor"/>
      </rPr>
      <t xml:space="preserve"> - Low
</t>
    </r>
    <r>
      <rPr>
        <b val="true"/>
        <color theme="1" tint="0"/>
        <sz val="11"/>
        <scheme val="minor"/>
      </rPr>
      <t>010</t>
    </r>
    <r>
      <rPr>
        <color theme="1" tint="0"/>
        <sz val="11"/>
        <scheme val="minor"/>
      </rPr>
      <t xml:space="preserve"> - Med. Low
</t>
    </r>
    <r>
      <rPr>
        <b val="true"/>
        <color theme="1" tint="0"/>
        <sz val="11"/>
        <scheme val="minor"/>
      </rPr>
      <t>011</t>
    </r>
    <r>
      <rPr>
        <color theme="1" tint="0"/>
        <sz val="11"/>
        <scheme val="minor"/>
      </rPr>
      <t xml:space="preserve"> - Medium
</t>
    </r>
    <r>
      <rPr>
        <b val="true"/>
        <color theme="1" tint="0"/>
        <sz val="11"/>
        <scheme val="minor"/>
      </rPr>
      <t>100</t>
    </r>
    <r>
      <rPr>
        <color theme="1" tint="0"/>
        <sz val="11"/>
        <scheme val="minor"/>
      </rPr>
      <t xml:space="preserve"> - Med. High
</t>
    </r>
    <r>
      <rPr>
        <b val="true"/>
        <color theme="1" tint="0"/>
        <sz val="11"/>
        <scheme val="minor"/>
      </rPr>
      <t>101</t>
    </r>
    <r>
      <rPr>
        <color theme="1" tint="0"/>
        <sz val="11"/>
        <scheme val="minor"/>
      </rPr>
      <t xml:space="preserve"> - High</t>
    </r>
  </si>
  <si>
    <r>
      <rPr>
        <b val="true"/>
        <color theme="1" tint="0"/>
        <sz val="11"/>
        <scheme val="minor"/>
      </rPr>
      <t xml:space="preserve">Lighting - Interior Light Timeout-Door Open:
</t>
    </r>
    <r>
      <rPr>
        <i val="true"/>
        <color theme="1" tint="0"/>
        <sz val="10"/>
        <scheme val="minor"/>
      </rPr>
      <t xml:space="preserve">b4b3 -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- 30 min
</t>
    </r>
    <r>
      <rPr>
        <b val="true"/>
        <color theme="1" tint="0"/>
        <sz val="11"/>
        <scheme val="minor"/>
      </rPr>
      <t>10</t>
    </r>
    <r>
      <rPr>
        <color theme="1" tint="0"/>
        <sz val="11"/>
        <scheme val="minor"/>
      </rPr>
      <t xml:space="preserve"> - 60 min
</t>
    </r>
    <r>
      <rPr>
        <b val="true"/>
        <color theme="1" tint="0"/>
        <sz val="11"/>
        <scheme val="minor"/>
      </rPr>
      <t>11</t>
    </r>
    <r>
      <rPr>
        <color theme="1" tint="0"/>
        <sz val="11"/>
        <scheme val="minor"/>
      </rPr>
      <t xml:space="preserve"> - 10 min</t>
    </r>
  </si>
  <si>
    <r>
      <rPr>
        <b val="true"/>
        <color theme="1" tint="0"/>
        <sz val="11"/>
        <scheme val="minor"/>
      </rPr>
      <t xml:space="preserve">3-Flash Indicator:
</t>
    </r>
    <r>
      <rPr>
        <i val="true"/>
        <color theme="1" tint="0"/>
        <sz val="10"/>
        <scheme val="minor"/>
      </rPr>
      <t xml:space="preserve">b4b3 -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Disabled
</t>
    </r>
    <r>
      <rPr>
        <b val="true"/>
        <color theme="1" tint="0"/>
        <sz val="11"/>
        <scheme val="minor"/>
      </rPr>
      <t>10</t>
    </r>
    <r>
      <rPr>
        <color theme="1" tint="0"/>
        <sz val="11"/>
        <scheme val="minor"/>
      </rPr>
      <t xml:space="preserve"> - Enabled</t>
    </r>
  </si>
  <si>
    <r>
      <rPr>
        <b val="true"/>
        <color theme="1" tint="0"/>
        <sz val="11"/>
        <scheme val="minor"/>
      </rPr>
      <t xml:space="preserve">Leaving Home Light:
</t>
    </r>
    <r>
      <rPr>
        <i val="true"/>
        <color theme="1" tint="0"/>
        <sz val="10"/>
        <scheme val="minor"/>
      </rPr>
      <t xml:space="preserve">b4b3 -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Disabled
</t>
    </r>
    <r>
      <rPr>
        <b val="true"/>
        <color theme="1" tint="0"/>
        <sz val="11"/>
        <scheme val="minor"/>
      </rPr>
      <t>10</t>
    </r>
    <r>
      <rPr>
        <color theme="1" tint="0"/>
        <sz val="11"/>
        <scheme val="minor"/>
      </rPr>
      <t xml:space="preserve"> - Enabled</t>
    </r>
  </si>
  <si>
    <r>
      <rPr>
        <b val="true"/>
        <color theme="1" tint="0"/>
        <sz val="11"/>
        <scheme val="minor"/>
      </rPr>
      <t>Lighting - Interior Light</t>
    </r>
    <r>
      <rPr>
        <color theme="1" tint="0"/>
        <sz val="11"/>
        <scheme val="minor"/>
      </rPr>
      <t xml:space="preserve">:
</t>
    </r>
    <r>
      <rPr>
        <i val="true"/>
        <color theme="1" tint="0"/>
        <sz val="10"/>
        <scheme val="minor"/>
      </rPr>
      <t xml:space="preserve">b2b1b0 - Value:
</t>
    </r>
    <r>
      <rPr>
        <b val="true"/>
        <color theme="1" tint="0"/>
        <sz val="11"/>
        <scheme val="minor"/>
      </rPr>
      <t>010</t>
    </r>
    <r>
      <rPr>
        <color theme="1" tint="0"/>
        <sz val="11"/>
        <scheme val="minor"/>
      </rPr>
      <t xml:space="preserve"> - Low
</t>
    </r>
    <r>
      <rPr>
        <b val="true"/>
        <color theme="1" tint="0"/>
        <sz val="11"/>
        <scheme val="minor"/>
      </rPr>
      <t>011</t>
    </r>
    <r>
      <rPr>
        <color theme="1" tint="0"/>
        <sz val="11"/>
        <scheme val="minor"/>
      </rPr>
      <t xml:space="preserve"> - Medium
</t>
    </r>
    <r>
      <rPr>
        <b val="true"/>
        <color theme="1" tint="0"/>
        <sz val="11"/>
        <scheme val="minor"/>
      </rPr>
      <t>100</t>
    </r>
    <r>
      <rPr>
        <color theme="1" tint="0"/>
        <sz val="11"/>
        <scheme val="minor"/>
      </rPr>
      <t xml:space="preserve"> - Bright</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</si>
  <si>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</si>
  <si>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731G1G100000000003A</t>
  </si>
  <si>
    <r>
      <t>731-01-01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</si>
  <si>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</si>
  <si>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</si>
  <si>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</si>
  <si>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</si>
  <si>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</si>
  <si>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</si>
  <si>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731G1G200000000003B</t>
  </si>
  <si>
    <t>731G1G30000003C</t>
  </si>
  <si>
    <r>
      <rPr>
        <b val="true"/>
        <color theme="1" tint="0"/>
        <sz val="11"/>
        <scheme val="minor"/>
      </rPr>
      <t xml:space="preserve">Mazda model
</t>
    </r>
    <r>
      <rPr>
        <i val="true"/>
        <color theme="1" tint="0"/>
        <sz val="10"/>
        <scheme val="minor"/>
      </rPr>
      <t>b7b6b5b4 - Value</t>
    </r>
    <r>
      <rPr>
        <color theme="1" tint="0"/>
        <sz val="10"/>
        <scheme val="minor"/>
      </rPr>
      <t xml:space="preserve">:
</t>
    </r>
    <r>
      <rPr>
        <b val="true"/>
        <color theme="1" tint="0"/>
        <sz val="11"/>
        <scheme val="minor"/>
      </rPr>
      <t>0000</t>
    </r>
    <r>
      <rPr>
        <color theme="1" tint="0"/>
        <sz val="11"/>
        <scheme val="minor"/>
      </rPr>
      <t xml:space="preserve"> — CX-5 KE
</t>
    </r>
    <r>
      <rPr>
        <b val="true"/>
        <color theme="1" tint="0"/>
        <sz val="11"/>
        <scheme val="minor"/>
      </rPr>
      <t xml:space="preserve">0001 </t>
    </r>
    <r>
      <rPr>
        <color theme="1" tint="0"/>
        <sz val="11"/>
        <scheme val="minor"/>
      </rPr>
      <t xml:space="preserve">— M6
</t>
    </r>
    <r>
      <rPr>
        <b val="true"/>
        <color theme="1" tint="0"/>
        <sz val="11"/>
        <scheme val="minor"/>
      </rPr>
      <t>0010</t>
    </r>
    <r>
      <rPr>
        <color theme="1" tint="0"/>
        <sz val="11"/>
        <scheme val="minor"/>
      </rPr>
      <t xml:space="preserve"> — M3
</t>
    </r>
    <r>
      <rPr>
        <b val="true"/>
        <color theme="1" tint="0"/>
        <sz val="11"/>
        <scheme val="minor"/>
      </rPr>
      <t>0011</t>
    </r>
    <r>
      <rPr>
        <color theme="1" tint="0"/>
        <sz val="11"/>
        <scheme val="minor"/>
      </rPr>
      <t xml:space="preserve"> — M3
</t>
    </r>
    <r>
      <rPr>
        <b val="true"/>
        <color theme="1" tint="0"/>
        <sz val="11"/>
        <scheme val="minor"/>
      </rPr>
      <t>0100</t>
    </r>
    <r>
      <rPr>
        <color theme="1" tint="0"/>
        <sz val="11"/>
        <scheme val="minor"/>
      </rPr>
      <t xml:space="preserve"> — M2/CX-3
</t>
    </r>
    <r>
      <rPr>
        <b val="true"/>
        <color theme="1" tint="0"/>
        <sz val="11"/>
        <scheme val="minor"/>
      </rPr>
      <t>0101</t>
    </r>
    <r>
      <rPr>
        <color theme="1" tint="0"/>
        <sz val="11"/>
        <scheme val="minor"/>
      </rPr>
      <t xml:space="preserve"> — MX-5
</t>
    </r>
    <r>
      <rPr>
        <b val="true"/>
        <color theme="1" tint="0"/>
        <sz val="11"/>
        <scheme val="minor"/>
      </rPr>
      <t xml:space="preserve">1000 </t>
    </r>
    <r>
      <rPr>
        <color theme="1" tint="0"/>
        <sz val="11"/>
        <scheme val="minor"/>
      </rPr>
      <t xml:space="preserve">— CX-4
</t>
    </r>
    <r>
      <rPr>
        <b val="true"/>
        <color theme="1" tint="0"/>
        <sz val="11"/>
        <scheme val="minor"/>
      </rPr>
      <t>1010</t>
    </r>
    <r>
      <rPr>
        <color theme="1" tint="0"/>
        <sz val="11"/>
        <scheme val="minor"/>
      </rPr>
      <t xml:space="preserve"> — CX-9
</t>
    </r>
    <r>
      <rPr>
        <b val="true"/>
        <color theme="1" tint="0"/>
        <sz val="11"/>
        <scheme val="minor"/>
      </rPr>
      <t>1011</t>
    </r>
    <r>
      <rPr>
        <color theme="1" tint="0"/>
        <sz val="11"/>
        <scheme val="minor"/>
      </rPr>
      <t xml:space="preserve"> — CX-5 KF
</t>
    </r>
    <r>
      <rPr>
        <b val="true"/>
        <color theme="1" tint="0"/>
        <sz val="11"/>
        <scheme val="minor"/>
      </rPr>
      <t>1100</t>
    </r>
    <r>
      <rPr>
        <color theme="1" tint="0"/>
        <sz val="11"/>
        <scheme val="minor"/>
      </rPr>
      <t xml:space="preserve"> — CX-8</t>
    </r>
  </si>
  <si>
    <r>
      <t xml:space="preserve">0 </t>
    </r>
    <r>
      <rPr>
        <b val="false"/>
        <color rgb="FF0000" tint="0"/>
        <sz val="11"/>
        <scheme val="minor"/>
      </rPr>
      <t>= Permanent value</t>
    </r>
  </si>
  <si>
    <r>
      <rPr>
        <b val="true"/>
        <color theme="1" tint="0"/>
        <sz val="11"/>
        <scheme val="minor"/>
      </rPr>
      <t>Advanced Keyless Entry</t>
    </r>
    <r>
      <rPr>
        <color theme="1" tint="0"/>
        <sz val="11"/>
        <scheme val="minor"/>
      </rPr>
      <t xml:space="preserve">: </t>
    </r>
    <r>
      <rPr>
        <b val="true"/>
        <color theme="1" tint="0"/>
        <sz val="11"/>
        <scheme val="minor"/>
      </rPr>
      <t>0</t>
    </r>
    <r>
      <rPr>
        <color theme="1" tint="0"/>
        <sz val="11"/>
        <scheme val="minor"/>
      </rPr>
      <t xml:space="preserve"> - Off / </t>
    </r>
    <r>
      <rPr>
        <b val="true"/>
        <color theme="1" tint="0"/>
        <sz val="11"/>
        <scheme val="minor"/>
      </rPr>
      <t>1</t>
    </r>
    <r>
      <rPr>
        <color theme="1" tint="0"/>
        <sz val="11"/>
        <scheme val="minor"/>
      </rPr>
      <t xml:space="preserve"> - On</t>
    </r>
  </si>
  <si>
    <t>1 = non-EU/UK 5HB Body Style only</t>
  </si>
  <si>
    <t>1=RHD, 0=LHD (+UK&amp;SA)</t>
  </si>
  <si>
    <r>
      <t xml:space="preserve">1 </t>
    </r>
    <r>
      <rPr>
        <b val="false"/>
        <sz val="11"/>
        <scheme val="minor"/>
      </rPr>
      <t>= only Saudi</t>
    </r>
  </si>
  <si>
    <r>
      <t xml:space="preserve">1 </t>
    </r>
    <r>
      <rPr>
        <b val="false"/>
        <color rgb="FF0000" tint="0"/>
        <sz val="11"/>
        <scheme val="minor"/>
      </rPr>
      <t>= Permanent value</t>
    </r>
  </si>
  <si>
    <r>
      <t xml:space="preserve">0 </t>
    </r>
    <r>
      <rPr>
        <b val="false"/>
        <color rgb="FF0000" tint="0"/>
        <sz val="11"/>
        <scheme val="minor"/>
      </rPr>
      <t>= Permanent value</t>
    </r>
  </si>
  <si>
    <t>1= --&gt; 720-04-33 B2b1=1 (for M2/CX3/MX5)</t>
  </si>
  <si>
    <t>731G2G10000003B</t>
  </si>
  <si>
    <r>
      <rPr>
        <b val="true"/>
        <color theme="1" tint="0"/>
        <sz val="11"/>
        <scheme val="minor"/>
      </rPr>
      <t>TCM</t>
    </r>
    <r>
      <rPr>
        <color theme="1" tint="0"/>
        <sz val="11"/>
        <scheme val="minor"/>
      </rPr>
      <t xml:space="preserve">: </t>
    </r>
    <r>
      <rPr>
        <b val="true"/>
        <color theme="1" tint="0"/>
        <sz val="11"/>
        <scheme val="minor"/>
      </rPr>
      <t xml:space="preserve"> 0</t>
    </r>
    <r>
      <rPr>
        <color theme="1" tint="0"/>
        <sz val="11"/>
        <scheme val="minor"/>
      </rPr>
      <t xml:space="preserve"> - AT / </t>
    </r>
    <r>
      <rPr>
        <b val="true"/>
        <color theme="1" tint="0"/>
        <sz val="11"/>
        <scheme val="minor"/>
      </rPr>
      <t>1</t>
    </r>
    <r>
      <rPr>
        <color theme="1" tint="0"/>
        <sz val="11"/>
        <scheme val="minor"/>
      </rPr>
      <t xml:space="preserve"> - MT</t>
    </r>
  </si>
  <si>
    <t>1=in Market Area 41/South America &amp; if 726-01-01 B3b2=0 for M6 ("Headlight Washers" - OFF in Market Areas: 31/51)</t>
  </si>
  <si>
    <r>
      <rPr>
        <b val="true"/>
        <color theme="1" tint="0"/>
        <sz val="11"/>
        <scheme val="minor"/>
      </rPr>
      <t>Beeps when ignition is in ACC and driver's door is open</t>
    </r>
    <r>
      <rPr>
        <color theme="1" tint="0"/>
        <sz val="11"/>
        <scheme val="minor"/>
      </rPr>
      <t xml:space="preserve">:
</t>
    </r>
    <r>
      <rPr>
        <b val="true"/>
        <color theme="1" tint="0"/>
        <sz val="11"/>
        <scheme val="minor"/>
      </rPr>
      <t>0</t>
    </r>
    <r>
      <rPr>
        <color theme="1" tint="0"/>
        <sz val="11"/>
        <scheme val="minor"/>
      </rPr>
      <t xml:space="preserve"> - Infinite
</t>
    </r>
    <r>
      <rPr>
        <b val="true"/>
        <color theme="1" tint="0"/>
        <sz val="11"/>
        <scheme val="minor"/>
      </rPr>
      <t>1</t>
    </r>
    <r>
      <rPr>
        <color theme="1" tint="0"/>
        <sz val="11"/>
        <scheme val="minor"/>
      </rPr>
      <t xml:space="preserve"> - 6 beeps</t>
    </r>
  </si>
  <si>
    <r>
      <rPr>
        <b val="true"/>
        <color theme="1" tint="0"/>
        <sz val="11"/>
        <scheme val="minor"/>
      </rPr>
      <t>i-Stop</t>
    </r>
    <r>
      <rPr>
        <color theme="1" tint="0"/>
        <sz val="11"/>
        <scheme val="minor"/>
      </rPr>
      <t xml:space="preserve">: </t>
    </r>
    <r>
      <rPr>
        <b val="true"/>
        <color theme="1" tint="0"/>
        <sz val="11"/>
        <scheme val="minor"/>
      </rPr>
      <t>0</t>
    </r>
    <r>
      <rPr>
        <color theme="1" tint="0"/>
        <sz val="11"/>
        <scheme val="minor"/>
      </rPr>
      <t xml:space="preserve"> - OFF / </t>
    </r>
    <r>
      <rPr>
        <b val="true"/>
        <color theme="1" tint="0"/>
        <sz val="11"/>
        <scheme val="minor"/>
      </rPr>
      <t>1</t>
    </r>
    <r>
      <rPr>
        <color theme="1" tint="0"/>
        <sz val="11"/>
        <scheme val="minor"/>
      </rPr>
      <t xml:space="preserve"> - ON</t>
    </r>
  </si>
  <si>
    <r>
      <rPr>
        <b val="true"/>
        <color theme="1" tint="0"/>
        <sz val="11"/>
        <scheme val="minor"/>
      </rPr>
      <t>2-step Unlock mode</t>
    </r>
    <r>
      <rPr>
        <color theme="1" tint="0"/>
        <sz val="11"/>
        <scheme val="minor"/>
      </rPr>
      <t xml:space="preserve">: </t>
    </r>
    <r>
      <rPr>
        <b val="true"/>
        <color theme="1" tint="0"/>
        <sz val="11"/>
        <scheme val="minor"/>
      </rPr>
      <t>0</t>
    </r>
    <r>
      <rPr>
        <color theme="1" tint="0"/>
        <sz val="11"/>
        <scheme val="minor"/>
      </rPr>
      <t xml:space="preserve"> - OFF / </t>
    </r>
    <r>
      <rPr>
        <b val="true"/>
        <color theme="1" tint="0"/>
        <sz val="11"/>
        <scheme val="minor"/>
      </rPr>
      <t>1</t>
    </r>
    <r>
      <rPr>
        <color theme="1" tint="0"/>
        <sz val="11"/>
        <scheme val="minor"/>
      </rPr>
      <t xml:space="preserve"> - ON (in addition to 731-01-01 B2b2=1 only in US)</t>
    </r>
  </si>
  <si>
    <r>
      <t xml:space="preserve">1 </t>
    </r>
    <r>
      <rPr>
        <b val="false"/>
        <color theme="1" tint="0"/>
        <sz val="11"/>
        <scheme val="minor"/>
      </rPr>
      <t>= North America</t>
    </r>
    <r>
      <rPr>
        <b val="true"/>
        <color theme="1" tint="0"/>
        <sz val="11"/>
        <scheme val="minor"/>
      </rPr>
      <t xml:space="preserve"> </t>
    </r>
    <r>
      <rPr>
        <b val="false"/>
        <color theme="1" tint="0"/>
        <sz val="11"/>
        <scheme val="minor"/>
      </rPr>
      <t>only</t>
    </r>
  </si>
  <si>
    <t>1=sometimes &amp; only if 720-04-27 B0=10…</t>
  </si>
  <si>
    <t>1=RHD, 0=LHD</t>
  </si>
  <si>
    <r>
      <rPr>
        <b val="true"/>
        <color theme="1" tint="0"/>
        <sz val="11"/>
        <scheme val="minor"/>
      </rPr>
      <t xml:space="preserve">Bodystyle
</t>
    </r>
    <r>
      <rPr>
        <i val="true"/>
        <color theme="1" tint="0"/>
        <sz val="10"/>
        <scheme val="minor"/>
      </rPr>
      <t xml:space="preserve">b3b2 - Value
</t>
    </r>
    <r>
      <rPr>
        <b val="true"/>
        <color theme="1" tint="0"/>
        <sz val="11"/>
        <scheme val="minor"/>
      </rPr>
      <t>00</t>
    </r>
    <r>
      <rPr>
        <color theme="1" tint="0"/>
        <sz val="11"/>
        <scheme val="minor"/>
      </rPr>
      <t xml:space="preserve"> - Sedan
</t>
    </r>
    <r>
      <rPr>
        <b val="true"/>
        <color theme="1" tint="0"/>
        <sz val="11"/>
        <scheme val="minor"/>
      </rPr>
      <t>01</t>
    </r>
    <r>
      <rPr>
        <color theme="1" tint="0"/>
        <sz val="11"/>
        <scheme val="minor"/>
      </rPr>
      <t xml:space="preserve"> - Wagon, HB (M2)
</t>
    </r>
    <r>
      <rPr>
        <b val="true"/>
        <color theme="1" tint="0"/>
        <sz val="11"/>
        <scheme val="minor"/>
      </rPr>
      <t>10</t>
    </r>
    <r>
      <rPr>
        <color theme="1" tint="0"/>
        <sz val="11"/>
        <scheme val="minor"/>
      </rPr>
      <t xml:space="preserve"> - Hatchback</t>
    </r>
  </si>
  <si>
    <t>1--&gt;720-01-01 B1b6=1</t>
  </si>
  <si>
    <r>
      <t xml:space="preserve">0 </t>
    </r>
    <r>
      <rPr>
        <b val="false"/>
        <color rgb="FF0000" tint="0"/>
        <sz val="11"/>
        <scheme val="minor"/>
      </rPr>
      <t>= Permanent value</t>
    </r>
  </si>
  <si>
    <r>
      <t xml:space="preserve">0 </t>
    </r>
    <r>
      <rPr>
        <b val="false"/>
        <color rgb="FF0000" tint="0"/>
        <sz val="11"/>
        <scheme val="minor"/>
      </rPr>
      <t>= Permanent value</t>
    </r>
  </si>
  <si>
    <t>1=only some M2(depends only &amp; exclusively on "PCM Part #")</t>
  </si>
  <si>
    <r>
      <rPr>
        <b val="true"/>
        <color theme="1" tint="0"/>
        <sz val="11"/>
        <scheme val="minor"/>
      </rPr>
      <t>2-step Unlock mode</t>
    </r>
    <r>
      <rPr>
        <color theme="1" tint="0"/>
        <sz val="11"/>
        <scheme val="minor"/>
      </rPr>
      <t xml:space="preserve">: </t>
    </r>
    <r>
      <rPr>
        <b val="true"/>
        <color theme="1" tint="0"/>
        <sz val="11"/>
        <scheme val="minor"/>
      </rPr>
      <t>0</t>
    </r>
    <r>
      <rPr>
        <color theme="1" tint="0"/>
        <sz val="11"/>
        <scheme val="minor"/>
      </rPr>
      <t xml:space="preserve"> - Off / </t>
    </r>
    <r>
      <rPr>
        <b val="true"/>
        <color theme="1" tint="0"/>
        <sz val="11"/>
        <scheme val="minor"/>
      </rPr>
      <t>1</t>
    </r>
    <r>
      <rPr>
        <color theme="1" tint="0"/>
        <sz val="11"/>
        <scheme val="minor"/>
      </rPr>
      <t xml:space="preserve"> - On</t>
    </r>
  </si>
  <si>
    <r>
      <t xml:space="preserve">1 </t>
    </r>
    <r>
      <rPr>
        <b val="false"/>
        <color rgb="FF0000" tint="0"/>
        <sz val="11"/>
        <scheme val="minor"/>
      </rPr>
      <t>= Permanent value</t>
    </r>
  </si>
  <si>
    <r>
      <t xml:space="preserve">0 </t>
    </r>
    <r>
      <rPr>
        <b val="false"/>
        <color rgb="FF0000" tint="0"/>
        <sz val="11"/>
        <scheme val="minor"/>
      </rPr>
      <t>= Permanent value</t>
    </r>
  </si>
  <si>
    <t>1=only Saudi</t>
  </si>
  <si>
    <r>
      <t xml:space="preserve">0 </t>
    </r>
    <r>
      <rPr>
        <b val="false"/>
        <color rgb="FF0000" tint="0"/>
        <sz val="11"/>
        <scheme val="minor"/>
      </rPr>
      <t>= Permanent value</t>
    </r>
  </si>
  <si>
    <r>
      <rPr>
        <b val="true"/>
        <color theme="1" tint="0"/>
        <sz val="11"/>
        <scheme val="minor"/>
      </rPr>
      <t xml:space="preserve">Liftgate open button:
</t>
    </r>
    <r>
      <rPr>
        <b val="true"/>
        <color theme="1" tint="0"/>
        <sz val="11"/>
        <scheme val="minor"/>
      </rPr>
      <t xml:space="preserve">0 - </t>
    </r>
    <r>
      <rPr>
        <color theme="1" tint="0"/>
        <sz val="11"/>
        <scheme val="minor"/>
      </rPr>
      <t xml:space="preserve">Without Power Liftgate
</t>
    </r>
    <r>
      <rPr>
        <b val="true"/>
        <color theme="1" tint="0"/>
        <sz val="11"/>
        <scheme val="minor"/>
      </rPr>
      <t xml:space="preserve">1 - </t>
    </r>
    <r>
      <rPr>
        <color theme="1" tint="0"/>
        <sz val="11"/>
        <scheme val="minor"/>
      </rPr>
      <t>With Power Liftgate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</si>
  <si>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</si>
  <si>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</si>
  <si>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</si>
  <si>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</si>
  <si>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t>1- if 720-04-27 B0=3x, 0- if 720-04-27 B0=2x ???</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</si>
  <si>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</si>
  <si>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731-01-02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</si>
  <si>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</si>
  <si>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</si>
  <si>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</si>
  <si>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</si>
  <si>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</si>
  <si>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</si>
  <si>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</si>
  <si>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</si>
  <si>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</si>
  <si>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</si>
  <si>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Model/Drive dependant
</t>
    </r>
    <r>
      <rPr>
        <i val="true"/>
        <color theme="1" tint="0"/>
        <sz val="10"/>
        <scheme val="minor"/>
      </rPr>
      <t>b7b6b5b4 - Value</t>
    </r>
    <r>
      <rPr>
        <color theme="1" tint="0"/>
        <sz val="10"/>
        <scheme val="minor"/>
      </rPr>
      <t xml:space="preserve">:
</t>
    </r>
    <r>
      <rPr>
        <b val="true"/>
        <color theme="1" tint="0"/>
        <sz val="8"/>
        <scheme val="minor"/>
      </rPr>
      <t>0110</t>
    </r>
    <r>
      <rPr>
        <color theme="1" tint="0"/>
        <sz val="8"/>
        <scheme val="minor"/>
      </rPr>
      <t xml:space="preserve"> — M3(LHD),
</t>
    </r>
    <r>
      <rPr>
        <b val="true"/>
        <color theme="1" tint="0"/>
        <sz val="8"/>
        <scheme val="minor"/>
      </rPr>
      <t>0111</t>
    </r>
    <r>
      <rPr>
        <color theme="1" tint="0"/>
        <sz val="8"/>
        <scheme val="minor"/>
      </rPr>
      <t xml:space="preserve"> — M2(LHD),M3(US),
</t>
    </r>
    <r>
      <rPr>
        <color theme="1" tint="0"/>
        <sz val="8"/>
        <scheme val="minor"/>
      </rPr>
      <t>1</t>
    </r>
    <r>
      <rPr>
        <b val="true"/>
        <color theme="1" tint="0"/>
        <sz val="8"/>
        <scheme val="minor"/>
      </rPr>
      <t>000</t>
    </r>
    <r>
      <rPr>
        <color theme="1" tint="0"/>
        <sz val="8"/>
        <scheme val="minor"/>
      </rPr>
      <t xml:space="preserve"> — M6(except US),
</t>
    </r>
    <r>
      <rPr>
        <b val="true"/>
        <color theme="1" tint="0"/>
        <sz val="8"/>
        <scheme val="minor"/>
      </rPr>
      <t>1001</t>
    </r>
    <r>
      <rPr>
        <color theme="1" tint="0"/>
        <sz val="8"/>
        <scheme val="minor"/>
      </rPr>
      <t xml:space="preserve"> — M2(RHD),M6(US)CX3(LHD), MX5(except US),CX5(except US),CX4,CX8,CX9(except US),
</t>
    </r>
    <r>
      <rPr>
        <b val="true"/>
        <color theme="1" tint="0"/>
        <sz val="8"/>
        <scheme val="minor"/>
      </rPr>
      <t>1010</t>
    </r>
    <r>
      <rPr>
        <color theme="1" tint="0"/>
        <sz val="8"/>
        <scheme val="minor"/>
      </rPr>
      <t xml:space="preserve"> — M3(RHD), MX5(US), CX3(RHD)+(US), CX5(US), CX9(US) </t>
    </r>
  </si>
  <si>
    <t>1=JP only CX5/CX8 with 720-04-14 B4b5=1</t>
  </si>
  <si>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</si>
  <si>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</si>
  <si>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Model/Drive dependant
</t>
    </r>
    <r>
      <rPr>
        <i val="true"/>
        <color theme="1" tint="0"/>
        <sz val="10"/>
        <scheme val="minor"/>
      </rPr>
      <t>Value</t>
    </r>
    <r>
      <rPr>
        <color theme="1" tint="0"/>
        <sz val="10"/>
        <scheme val="minor"/>
      </rPr>
      <t xml:space="preserve">:
</t>
    </r>
    <r>
      <rPr>
        <b val="true"/>
        <color theme="1" tint="0"/>
        <sz val="8"/>
        <scheme val="minor"/>
      </rPr>
      <t>24</t>
    </r>
    <r>
      <rPr>
        <color theme="1" tint="0"/>
        <sz val="8"/>
        <scheme val="minor"/>
      </rPr>
      <t xml:space="preserve"> — M3(LHD);
</t>
    </r>
    <r>
      <rPr>
        <b val="true"/>
        <color theme="1" tint="0"/>
        <sz val="8"/>
        <scheme val="minor"/>
      </rPr>
      <t>25</t>
    </r>
    <r>
      <rPr>
        <color theme="1" tint="0"/>
        <sz val="8"/>
        <scheme val="minor"/>
      </rPr>
      <t xml:space="preserve"> — CX4(LHD);
</t>
    </r>
    <r>
      <rPr>
        <b val="true"/>
        <color theme="1" tint="0"/>
        <sz val="8"/>
        <scheme val="minor"/>
      </rPr>
      <t>26</t>
    </r>
    <r>
      <rPr>
        <color theme="1" tint="0"/>
        <sz val="8"/>
        <scheme val="minor"/>
      </rPr>
      <t xml:space="preserve"> — MX5(except US), CX5KF(except US),CX8(RHD);
</t>
    </r>
    <r>
      <rPr>
        <b val="true"/>
        <color theme="1" tint="0"/>
        <sz val="8"/>
        <scheme val="minor"/>
      </rPr>
      <t>35</t>
    </r>
    <r>
      <rPr>
        <color theme="1" tint="0"/>
        <sz val="8"/>
        <scheme val="minor"/>
      </rPr>
      <t xml:space="preserve"> — M2(LHD),M3(US), CX3(LHD-ISR/NAM);
</t>
    </r>
    <r>
      <rPr>
        <b val="true"/>
        <color theme="1" tint="0"/>
        <sz val="8"/>
        <scheme val="minor"/>
      </rPr>
      <t>37</t>
    </r>
    <r>
      <rPr>
        <color theme="1" tint="0"/>
        <sz val="8"/>
        <scheme val="minor"/>
      </rPr>
      <t xml:space="preserve"> — CX9(except US), MX5(US); 
</t>
    </r>
    <r>
      <rPr>
        <b val="true"/>
        <color theme="1" tint="0"/>
        <sz val="8"/>
        <scheme val="minor"/>
      </rPr>
      <t>46</t>
    </r>
    <r>
      <rPr>
        <color theme="1" tint="0"/>
        <sz val="8"/>
        <scheme val="minor"/>
      </rPr>
      <t xml:space="preserve"> — M6(except US);
</t>
    </r>
    <r>
      <rPr>
        <b val="true"/>
        <color theme="1" tint="0"/>
        <sz val="8"/>
        <scheme val="minor"/>
      </rPr>
      <t>47</t>
    </r>
    <r>
      <rPr>
        <color theme="1" tint="0"/>
        <sz val="8"/>
        <scheme val="minor"/>
      </rPr>
      <t xml:space="preserve"> — M2(RHD),CX3(LHD), M3(RHD),CX5KF(US), CX5KE(except US);
</t>
    </r>
    <r>
      <rPr>
        <b val="true"/>
        <color theme="1" tint="0"/>
        <sz val="8"/>
        <scheme val="minor"/>
      </rPr>
      <t>48</t>
    </r>
    <r>
      <rPr>
        <color theme="1" tint="0"/>
        <sz val="8"/>
        <scheme val="minor"/>
      </rPr>
      <t xml:space="preserve"> — CX5KE(US),CX9(US);
</t>
    </r>
    <r>
      <rPr>
        <b val="true"/>
        <color theme="1" tint="0"/>
        <sz val="8"/>
        <scheme val="minor"/>
      </rPr>
      <t>57</t>
    </r>
    <r>
      <rPr>
        <color theme="1" tint="0"/>
        <sz val="8"/>
        <scheme val="minor"/>
      </rPr>
      <t xml:space="preserve"> —M6(US);
</t>
    </r>
    <r>
      <rPr>
        <b val="true"/>
        <color theme="1" tint="0"/>
        <sz val="8"/>
        <scheme val="minor"/>
      </rPr>
      <t>58</t>
    </r>
    <r>
      <rPr>
        <color theme="1" tint="0"/>
        <sz val="8"/>
        <scheme val="minor"/>
      </rPr>
      <t xml:space="preserve"> — CX3(US); 
</t>
    </r>
    <r>
      <rPr>
        <b val="true"/>
        <color theme="1" tint="0"/>
        <sz val="8"/>
        <scheme val="minor"/>
      </rPr>
      <t>79</t>
    </r>
    <r>
      <rPr>
        <color theme="1" tint="0"/>
        <sz val="8"/>
        <scheme val="minor"/>
      </rPr>
      <t xml:space="preserve"> —CX3(RHD)</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</si>
  <si>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</si>
  <si>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</si>
  <si>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 xml:space="preserve">Keyfob type: </t>
    </r>
    <r>
      <rPr>
        <color theme="1" tint="0"/>
        <sz val="11"/>
        <scheme val="minor"/>
      </rPr>
      <t xml:space="preserve">Bodystyle/Drive dependant
</t>
    </r>
    <r>
      <rPr>
        <i val="true"/>
        <color theme="1" tint="0"/>
        <sz val="10"/>
        <scheme val="minor"/>
      </rPr>
      <t>Value (HEX)</t>
    </r>
    <r>
      <rPr>
        <color theme="1" tint="0"/>
        <sz val="10"/>
        <scheme val="minor"/>
      </rPr>
      <t xml:space="preserve">:
</t>
    </r>
    <r>
      <rPr>
        <b val="true"/>
        <color theme="1" tint="0"/>
        <sz val="11"/>
        <scheme val="minor"/>
      </rPr>
      <t>01</t>
    </r>
    <r>
      <rPr>
        <color theme="1" tint="0"/>
        <sz val="11"/>
        <scheme val="minor"/>
      </rPr>
      <t xml:space="preserve"> - HB/WGN (RHD except AUS);
</t>
    </r>
    <r>
      <rPr>
        <b val="true"/>
        <color theme="1" tint="0"/>
        <sz val="11"/>
        <scheme val="minor"/>
      </rPr>
      <t>03</t>
    </r>
    <r>
      <rPr>
        <color theme="1" tint="0"/>
        <sz val="11"/>
        <scheme val="minor"/>
      </rPr>
      <t xml:space="preserve"> - SD (RHD except AUS);
</t>
    </r>
    <r>
      <rPr>
        <b val="true"/>
        <color theme="1" tint="0"/>
        <sz val="11"/>
        <scheme val="minor"/>
      </rPr>
      <t>0D</t>
    </r>
    <r>
      <rPr>
        <color theme="1" tint="0"/>
        <sz val="11"/>
        <scheme val="minor"/>
      </rPr>
      <t xml:space="preserve"> - WGN (except AUS) only when 731-01-01 B2=C2/C6;
</t>
    </r>
    <r>
      <rPr>
        <b val="true"/>
        <color theme="1" tint="0"/>
        <sz val="11"/>
        <scheme val="minor"/>
      </rPr>
      <t>06</t>
    </r>
    <r>
      <rPr>
        <color theme="1" tint="0"/>
        <sz val="11"/>
        <scheme val="minor"/>
      </rPr>
      <t xml:space="preserve"> - HB/WGN (US only);
</t>
    </r>
    <r>
      <rPr>
        <b val="true"/>
        <color theme="1" tint="0"/>
        <sz val="11"/>
        <scheme val="minor"/>
      </rPr>
      <t>09</t>
    </r>
    <r>
      <rPr>
        <color theme="1" tint="0"/>
        <sz val="11"/>
        <scheme val="minor"/>
      </rPr>
      <t xml:space="preserve"> - 4 Buttons (Open, Close, Trunk, Panic) - SD (US only); 
</t>
    </r>
    <r>
      <rPr>
        <b val="true"/>
        <color theme="1" tint="0"/>
        <sz val="11"/>
        <scheme val="minor"/>
      </rPr>
      <t>0E</t>
    </r>
    <r>
      <rPr>
        <color theme="1" tint="0"/>
        <sz val="11"/>
        <scheme val="minor"/>
      </rPr>
      <t xml:space="preserve"> - WGN (US) only when  731-01-01 B2=D6/DE;
</t>
    </r>
    <r>
      <rPr>
        <b val="true"/>
        <color theme="1" tint="0"/>
        <sz val="11"/>
        <scheme val="minor"/>
      </rPr>
      <t xml:space="preserve">18 </t>
    </r>
    <r>
      <rPr>
        <color theme="1" tint="0"/>
        <sz val="11"/>
        <scheme val="minor"/>
      </rPr>
      <t xml:space="preserve">- 2 Buttons (Open, Close) - HB/WGN (LHD+AUS/SAfr);
</t>
    </r>
    <r>
      <rPr>
        <b val="true"/>
        <color theme="1" tint="0"/>
        <sz val="11"/>
        <scheme val="minor"/>
      </rPr>
      <t>19</t>
    </r>
    <r>
      <rPr>
        <color theme="1" tint="0"/>
        <sz val="11"/>
        <scheme val="minor"/>
      </rPr>
      <t xml:space="preserve"> - 3 Buttons (Open, Close, Trunk) - SD (LHD+AUS/SAfr);
</t>
    </r>
    <r>
      <rPr>
        <b val="true"/>
        <color theme="1" tint="0"/>
        <sz val="11"/>
        <scheme val="minor"/>
      </rPr>
      <t>1E</t>
    </r>
    <r>
      <rPr>
        <color theme="1" tint="0"/>
        <sz val="11"/>
        <scheme val="minor"/>
      </rPr>
      <t xml:space="preserve"> - WGN (LHD+AUS/UK only when 731-01-01 B2=6x/Ex);
</t>
    </r>
    <r>
      <rPr>
        <b val="true"/>
        <color theme="1" tint="0"/>
        <sz val="11"/>
        <scheme val="minor"/>
      </rPr>
      <t>21</t>
    </r>
    <r>
      <rPr>
        <color theme="1" tint="0"/>
        <sz val="11"/>
        <scheme val="minor"/>
      </rPr>
      <t xml:space="preserve"> - 4 Buttons (Open, Close, Trunk, Intrusion sensor) - SD (EU+UK only when 731-01-01 B2=68/E8/E0/C8);
</t>
    </r>
    <r>
      <rPr>
        <b val="true"/>
        <color theme="1" tint="0"/>
        <sz val="11"/>
        <scheme val="minor"/>
      </rPr>
      <t>23</t>
    </r>
    <r>
      <rPr>
        <color theme="1" tint="0"/>
        <sz val="11"/>
        <scheme val="minor"/>
      </rPr>
      <t xml:space="preserve"> - WGN (EU+UK only when 731-01-01 B2-C2/CA/C6/CE)</t>
    </r>
  </si>
  <si>
    <r>
      <rPr>
        <b val="true"/>
        <color theme="1" tint="0"/>
        <sz val="11"/>
        <scheme val="minor"/>
      </rPr>
      <t>i-Stop</t>
    </r>
    <r>
      <rPr>
        <color theme="1" tint="0"/>
        <sz val="11"/>
        <scheme val="minor"/>
      </rPr>
      <t>: 0 - OFF / 1 - ON (EU only)</t>
    </r>
  </si>
  <si>
    <r>
      <t xml:space="preserve">0 </t>
    </r>
    <r>
      <rPr>
        <b val="false"/>
        <color rgb="FF0000" tint="0"/>
        <sz val="11"/>
        <scheme val="minor"/>
      </rPr>
      <t>= Permanent value</t>
    </r>
  </si>
  <si>
    <r>
      <rPr>
        <b val="true"/>
        <color theme="1" tint="0"/>
        <sz val="11"/>
        <scheme val="minor"/>
      </rPr>
      <t xml:space="preserve">AKE:
</t>
    </r>
    <r>
      <rPr>
        <i val="true"/>
        <color theme="1" tint="0"/>
        <sz val="10"/>
        <scheme val="minor"/>
      </rPr>
      <t>b3b2b1b0 -</t>
    </r>
    <r>
      <rPr>
        <color theme="1" tint="0"/>
        <sz val="10"/>
        <scheme val="minor"/>
      </rPr>
      <t xml:space="preserve"> </t>
    </r>
    <r>
      <rPr>
        <i val="true"/>
        <color theme="1" tint="0"/>
        <sz val="10"/>
        <scheme val="minor"/>
      </rPr>
      <t xml:space="preserve">Value:
</t>
    </r>
    <r>
      <rPr>
        <b val="true"/>
        <color theme="1" tint="0"/>
        <sz val="11"/>
        <scheme val="minor"/>
      </rPr>
      <t>0000</t>
    </r>
    <r>
      <rPr>
        <color theme="1" tint="0"/>
        <sz val="11"/>
        <scheme val="minor"/>
      </rPr>
      <t xml:space="preserve"> - No AKE
</t>
    </r>
    <r>
      <rPr>
        <b val="true"/>
        <color theme="1" tint="0"/>
        <sz val="11"/>
        <scheme val="minor"/>
      </rPr>
      <t>0110</t>
    </r>
    <r>
      <rPr>
        <color theme="1" tint="0"/>
        <sz val="11"/>
        <scheme val="minor"/>
      </rPr>
      <t xml:space="preserve"> - M2 (LHD), M3 (LHD);
</t>
    </r>
    <r>
      <rPr>
        <b val="true"/>
        <color theme="1" tint="0"/>
        <sz val="11"/>
        <scheme val="minor"/>
      </rPr>
      <t>0111</t>
    </r>
    <r>
      <rPr>
        <color theme="1" tint="0"/>
        <sz val="11"/>
        <scheme val="minor"/>
      </rPr>
      <t xml:space="preserve"> - M6, M2 (RHD), CX3 (LHD), CX-4;
</t>
    </r>
    <r>
      <rPr>
        <b val="true"/>
        <color theme="1" tint="0"/>
        <sz val="11"/>
        <scheme val="minor"/>
      </rPr>
      <t>1000</t>
    </r>
    <r>
      <rPr>
        <color theme="1" tint="0"/>
        <sz val="11"/>
        <scheme val="minor"/>
      </rPr>
      <t xml:space="preserve"> - MX5, CX9, CX5KE, M3 (RHD), CX3 (RHD);
</t>
    </r>
    <r>
      <rPr>
        <b val="true"/>
        <color theme="1" tint="0"/>
        <sz val="11"/>
        <scheme val="minor"/>
      </rPr>
      <t>1001</t>
    </r>
    <r>
      <rPr>
        <color theme="1" tint="0"/>
        <sz val="11"/>
        <scheme val="minor"/>
      </rPr>
      <t xml:space="preserve"> - CX8, CX5 KF
</t>
    </r>
    <r>
      <rPr>
        <color theme="1" tint="0"/>
        <sz val="11"/>
        <scheme val="minor"/>
      </rPr>
      <t xml:space="preserve"> (except US);
</t>
    </r>
    <r>
      <rPr>
        <b val="true"/>
        <color theme="1" tint="0"/>
        <sz val="11"/>
        <scheme val="minor"/>
      </rPr>
      <t>1010</t>
    </r>
    <r>
      <rPr>
        <color theme="1" tint="0"/>
        <sz val="11"/>
        <scheme val="minor"/>
      </rPr>
      <t xml:space="preserve"> - CX5 KF (US/CAN only)</t>
    </r>
  </si>
  <si>
    <r>
      <t xml:space="preserve">0 </t>
    </r>
    <r>
      <rPr>
        <b val="false"/>
        <color rgb="FF0000" tint="0"/>
        <sz val="11"/>
        <scheme val="minor"/>
      </rPr>
      <t>= Permanent value</t>
    </r>
  </si>
  <si>
    <t>1=MT+i-STOP, 0=Other</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</si>
  <si>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</si>
  <si>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</si>
  <si>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</si>
  <si>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</si>
  <si>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in HEX</t>
    </r>
  </si>
  <si>
    <r>
      <t>731-01-03</t>
    </r>
    <r>
      <rPr>
        <b val="false"/>
        <color theme="1" tint="0"/>
        <sz val="11"/>
        <scheme val="minor"/>
      </rPr>
      <t xml:space="preserve"> B0 B1 B2 B3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</si>
  <si>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</si>
  <si>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</si>
  <si>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</si>
  <si>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 CHECKSUM</t>
    </r>
  </si>
  <si>
    <t>Hover mouse for info</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</si>
  <si>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</si>
  <si>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</si>
  <si>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</si>
  <si>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Door Lock - Walk Away Lock option</t>
    </r>
    <r>
      <rPr>
        <color theme="1" tint="0"/>
        <sz val="11"/>
        <scheme val="minor"/>
      </rPr>
      <t xml:space="preserve">: </t>
    </r>
    <r>
      <rPr>
        <b val="true"/>
        <color theme="1" tint="0"/>
        <sz val="11"/>
        <scheme val="minor"/>
      </rPr>
      <t>0</t>
    </r>
    <r>
      <rPr>
        <color theme="1" tint="0"/>
        <sz val="11"/>
        <scheme val="minor"/>
      </rPr>
      <t xml:space="preserve"> - Enable / </t>
    </r>
    <r>
      <rPr>
        <b val="true"/>
        <color theme="1" tint="0"/>
        <sz val="11"/>
        <scheme val="minor"/>
      </rPr>
      <t>1</t>
    </r>
    <r>
      <rPr>
        <color theme="1" tint="0"/>
        <sz val="11"/>
        <scheme val="minor"/>
      </rPr>
      <t xml:space="preserve"> - Disable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</si>
  <si>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</si>
  <si>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</si>
  <si>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</si>
  <si>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1 </t>
    </r>
    <r>
      <rPr>
        <b val="false"/>
        <color rgb="FF0000" tint="0"/>
        <sz val="11"/>
        <scheme val="minor"/>
      </rPr>
      <t>= Permanent value</t>
    </r>
  </si>
  <si>
    <r>
      <t xml:space="preserve">0 </t>
    </r>
    <r>
      <rPr>
        <b val="false"/>
        <color rgb="FF0000" tint="0"/>
        <sz val="11"/>
        <scheme val="minor"/>
      </rPr>
      <t>= Permanent value</t>
    </r>
  </si>
  <si>
    <t xml:space="preserve">1 - Visibility Unlock mode </t>
  </si>
  <si>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</si>
  <si>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</si>
  <si>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</si>
  <si>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</si>
  <si>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</si>
  <si>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Door Lock - Unlock Mode sub-menu</t>
    </r>
    <r>
      <rPr>
        <color theme="1" tint="0"/>
        <sz val="11"/>
        <scheme val="minor"/>
      </rPr>
      <t xml:space="preserve">: </t>
    </r>
    <r>
      <rPr>
        <b val="true"/>
        <color theme="1" tint="0"/>
        <sz val="11"/>
        <scheme val="minor"/>
      </rPr>
      <t>0</t>
    </r>
    <r>
      <rPr>
        <color theme="1" tint="0"/>
        <sz val="11"/>
        <scheme val="minor"/>
      </rPr>
      <t xml:space="preserve"> - Enable / </t>
    </r>
    <r>
      <rPr>
        <b val="true"/>
        <color theme="1" tint="0"/>
        <sz val="11"/>
        <scheme val="minor"/>
      </rPr>
      <t>1</t>
    </r>
    <r>
      <rPr>
        <color theme="1" tint="0"/>
        <sz val="11"/>
        <scheme val="minor"/>
      </rPr>
      <t xml:space="preserve"> - Disable</t>
    </r>
  </si>
  <si>
    <r>
      <t xml:space="preserve">0 </t>
    </r>
    <r>
      <rPr>
        <b val="false"/>
        <color rgb="FF0000" tint="0"/>
        <sz val="11"/>
        <scheme val="minor"/>
      </rPr>
      <t>= Permanent value</t>
    </r>
  </si>
  <si>
    <r>
      <t xml:space="preserve">0 </t>
    </r>
    <r>
      <rPr>
        <b val="false"/>
        <color rgb="FF0000" tint="0"/>
        <sz val="11"/>
        <scheme val="minor"/>
      </rPr>
      <t>= Permanent value</t>
    </r>
  </si>
  <si>
    <r>
      <t xml:space="preserve">0 </t>
    </r>
    <r>
      <rPr>
        <b val="false"/>
        <color rgb="FF0000" tint="0"/>
        <sz val="11"/>
        <scheme val="minor"/>
      </rPr>
      <t>= Permanent value</t>
    </r>
  </si>
  <si>
    <r>
      <rPr>
        <b val="true"/>
        <color theme="1" tint="0"/>
        <sz val="11"/>
        <scheme val="minor"/>
      </rPr>
      <t>Door Lock - Keyless Lock Beep Volume sub-menu</t>
    </r>
    <r>
      <rPr>
        <color theme="1" tint="0"/>
        <sz val="11"/>
        <scheme val="minor"/>
      </rPr>
      <t xml:space="preserve">: </t>
    </r>
    <r>
      <rPr>
        <b val="true"/>
        <color theme="1" tint="0"/>
        <sz val="11"/>
        <scheme val="minor"/>
      </rPr>
      <t>0</t>
    </r>
    <r>
      <rPr>
        <color theme="1" tint="0"/>
        <sz val="11"/>
        <scheme val="minor"/>
      </rPr>
      <t xml:space="preserve"> - Enable / </t>
    </r>
    <r>
      <rPr>
        <b val="true"/>
        <color theme="1" tint="0"/>
        <sz val="11"/>
        <scheme val="minor"/>
      </rPr>
      <t>1</t>
    </r>
    <r>
      <rPr>
        <color theme="1" tint="0"/>
        <sz val="11"/>
        <scheme val="minor"/>
      </rPr>
      <t xml:space="preserve"> - Disable</t>
    </r>
  </si>
  <si>
    <r>
      <t xml:space="preserve">0 </t>
    </r>
    <r>
      <rPr>
        <b val="false"/>
        <color rgb="FF0000" tint="0"/>
        <sz val="11"/>
        <scheme val="minor"/>
      </rPr>
      <t>= Permanent value</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</si>
  <si>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in HEX</t>
    </r>
  </si>
  <si>
    <r>
      <t>731-02-01</t>
    </r>
    <r>
      <rPr>
        <b val="false"/>
        <color theme="1" tint="0"/>
        <sz val="11"/>
        <scheme val="minor"/>
      </rPr>
      <t xml:space="preserve"> B0 B1 B2 B3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</si>
  <si>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</si>
  <si>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</si>
  <si>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</si>
  <si>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B3</t>
    </r>
    <r>
      <rPr>
        <color theme="1" tint="0"/>
        <sz val="11"/>
        <scheme val="minor"/>
      </rPr>
      <t xml:space="preserve"> - CHECKSUM</t>
    </r>
  </si>
  <si>
    <r>
      <rPr>
        <b val="true"/>
        <color theme="1" tint="0"/>
        <sz val="11"/>
        <scheme val="minor"/>
      </rPr>
      <t xml:space="preserve">"Walk Away Lock" Submenu:
</t>
    </r>
    <r>
      <rPr>
        <i val="true"/>
        <color theme="1" tint="0"/>
        <sz val="10"/>
        <scheme val="minor"/>
      </rPr>
      <t xml:space="preserve">b7b6 - Values
</t>
    </r>
    <r>
      <rPr>
        <b val="true"/>
        <color theme="1" tint="0"/>
        <sz val="11"/>
        <scheme val="minor"/>
      </rPr>
      <t>00</t>
    </r>
    <r>
      <rPr>
        <color theme="1" tint="0"/>
        <sz val="11"/>
        <scheme val="minor"/>
      </rPr>
      <t xml:space="preserve"> - Not Equipped
</t>
    </r>
    <r>
      <rPr>
        <b val="true"/>
        <color theme="1" tint="0"/>
        <sz val="11"/>
        <scheme val="minor"/>
      </rPr>
      <t>01</t>
    </r>
    <r>
      <rPr>
        <color theme="1" tint="0"/>
        <sz val="11"/>
        <scheme val="minor"/>
      </rPr>
      <t xml:space="preserve"> - Off
</t>
    </r>
    <r>
      <rPr>
        <b val="true"/>
        <color theme="1" tint="0"/>
        <sz val="11"/>
        <scheme val="minor"/>
      </rPr>
      <t>10</t>
    </r>
    <r>
      <rPr>
        <color theme="1" tint="0"/>
        <sz val="11"/>
        <scheme val="minor"/>
      </rPr>
      <t xml:space="preserve"> - On</t>
    </r>
  </si>
  <si>
    <r>
      <rPr>
        <b val="true"/>
        <color theme="1" tint="0"/>
        <sz val="11"/>
        <scheme val="minor"/>
      </rPr>
      <t xml:space="preserve">Auto Relock Time:
</t>
    </r>
    <r>
      <rPr>
        <i val="true"/>
        <color theme="1" tint="0"/>
        <sz val="10"/>
        <scheme val="minor"/>
      </rPr>
      <t xml:space="preserve">b5b4 - Value
</t>
    </r>
    <r>
      <rPr>
        <b val="true"/>
        <color theme="1" tint="0"/>
        <sz val="11"/>
        <scheme val="minor"/>
      </rPr>
      <t>00</t>
    </r>
    <r>
      <rPr>
        <color theme="1" tint="0"/>
        <sz val="11"/>
        <scheme val="minor"/>
      </rPr>
      <t xml:space="preserve"> - NA
</t>
    </r>
    <r>
      <rPr>
        <b val="true"/>
        <color theme="1" tint="0"/>
        <sz val="11"/>
        <scheme val="minor"/>
      </rPr>
      <t>01</t>
    </r>
    <r>
      <rPr>
        <color theme="1" tint="0"/>
        <sz val="11"/>
        <scheme val="minor"/>
      </rPr>
      <t xml:space="preserve"> - 30
</t>
    </r>
    <r>
      <rPr>
        <b val="true"/>
        <color theme="1" tint="0"/>
        <sz val="11"/>
        <scheme val="minor"/>
      </rPr>
      <t>10</t>
    </r>
    <r>
      <rPr>
        <color theme="1" tint="0"/>
        <sz val="11"/>
        <scheme val="minor"/>
      </rPr>
      <t xml:space="preserve"> - 60
</t>
    </r>
    <r>
      <rPr>
        <b val="true"/>
        <color theme="1" tint="0"/>
        <sz val="11"/>
        <scheme val="minor"/>
      </rPr>
      <t>11</t>
    </r>
    <r>
      <rPr>
        <color theme="1" tint="0"/>
        <sz val="11"/>
        <scheme val="minor"/>
      </rPr>
      <t xml:space="preserve"> - 90</t>
    </r>
  </si>
  <si>
    <r>
      <rPr>
        <b val="true"/>
        <color theme="1" tint="0"/>
        <sz val="11"/>
        <scheme val="minor"/>
      </rPr>
      <t xml:space="preserve">"Unlock Mode (with remote)" Submenu:
</t>
    </r>
    <r>
      <rPr>
        <i val="true"/>
        <color theme="1" tint="0"/>
        <sz val="10"/>
        <scheme val="minor"/>
      </rPr>
      <t xml:space="preserve"> b3b2 - values
</t>
    </r>
    <r>
      <rPr>
        <color theme="1" tint="0"/>
        <sz val="11"/>
        <scheme val="minor"/>
      </rPr>
      <t xml:space="preserve">   </t>
    </r>
    <r>
      <rPr>
        <b val="true"/>
        <color theme="1" tint="0"/>
        <sz val="11"/>
        <scheme val="minor"/>
      </rPr>
      <t>00</t>
    </r>
    <r>
      <rPr>
        <color theme="1" tint="0"/>
        <sz val="11"/>
        <scheme val="minor"/>
      </rPr>
      <t xml:space="preserve"> - Not Equipped
</t>
    </r>
    <r>
      <rPr>
        <b val="true"/>
        <color theme="1" tint="0"/>
        <sz val="11"/>
        <scheme val="minor"/>
      </rPr>
      <t>01</t>
    </r>
    <r>
      <rPr>
        <color theme="1" tint="0"/>
        <sz val="11"/>
        <scheme val="minor"/>
      </rPr>
      <t xml:space="preserve"> - 1x All doors
</t>
    </r>
    <r>
      <rPr>
        <color theme="1" tint="0"/>
        <sz val="11"/>
        <scheme val="minor"/>
      </rPr>
      <t xml:space="preserve">    </t>
    </r>
    <r>
      <rPr>
        <b val="true"/>
        <color theme="1" tint="0"/>
        <sz val="11"/>
        <scheme val="minor"/>
      </rPr>
      <t>10</t>
    </r>
    <r>
      <rPr>
        <color theme="1" tint="0"/>
        <sz val="11"/>
        <scheme val="minor"/>
      </rPr>
      <t xml:space="preserve"> - 1x Driver door / 2x All doors</t>
    </r>
  </si>
  <si>
    <r>
      <rPr>
        <b val="true"/>
        <color theme="1" tint="0"/>
        <sz val="11"/>
        <scheme val="minor"/>
      </rPr>
      <t xml:space="preserve">"Keyless lock beep volume" Submenu:
</t>
    </r>
    <r>
      <rPr>
        <i val="true"/>
        <color theme="1" tint="0"/>
        <sz val="10"/>
        <scheme val="minor"/>
      </rPr>
      <t xml:space="preserve">b2b1b0 - Value
</t>
    </r>
    <r>
      <rPr>
        <color theme="1" tint="0"/>
        <sz val="11"/>
        <scheme val="minor"/>
      </rPr>
      <t xml:space="preserve">    </t>
    </r>
    <r>
      <rPr>
        <b val="true"/>
        <color theme="1" tint="0"/>
        <sz val="11"/>
        <scheme val="minor"/>
      </rPr>
      <t>000</t>
    </r>
    <r>
      <rPr>
        <color theme="1" tint="0"/>
        <sz val="11"/>
        <scheme val="minor"/>
      </rPr>
      <t xml:space="preserve"> - Not Equipped
</t>
    </r>
    <r>
      <rPr>
        <color theme="1" tint="0"/>
        <sz val="11"/>
        <scheme val="minor"/>
      </rPr>
      <t xml:space="preserve">    </t>
    </r>
    <r>
      <rPr>
        <b val="true"/>
        <color theme="1" tint="0"/>
        <sz val="11"/>
        <scheme val="minor"/>
      </rPr>
      <t>001</t>
    </r>
    <r>
      <rPr>
        <color theme="1" tint="0"/>
        <sz val="11"/>
        <scheme val="minor"/>
      </rPr>
      <t xml:space="preserve"> - Off
</t>
    </r>
    <r>
      <rPr>
        <color theme="1" tint="0"/>
        <sz val="11"/>
        <scheme val="minor"/>
      </rPr>
      <t xml:space="preserve">    </t>
    </r>
    <r>
      <rPr>
        <b val="true"/>
        <color theme="1" tint="0"/>
        <sz val="11"/>
        <scheme val="minor"/>
      </rPr>
      <t>010</t>
    </r>
    <r>
      <rPr>
        <color theme="1" tint="0"/>
        <sz val="11"/>
        <scheme val="minor"/>
      </rPr>
      <t xml:space="preserve"> - Low
</t>
    </r>
    <r>
      <rPr>
        <color theme="1" tint="0"/>
        <sz val="11"/>
        <scheme val="minor"/>
      </rPr>
      <t xml:space="preserve">    </t>
    </r>
    <r>
      <rPr>
        <b val="true"/>
        <color theme="1" tint="0"/>
        <sz val="11"/>
        <scheme val="minor"/>
      </rPr>
      <t>011</t>
    </r>
    <r>
      <rPr>
        <color theme="1" tint="0"/>
        <sz val="11"/>
        <scheme val="minor"/>
      </rPr>
      <t xml:space="preserve"> - Med
</t>
    </r>
    <r>
      <rPr>
        <color theme="1" tint="0"/>
        <sz val="11"/>
        <scheme val="minor"/>
      </rPr>
      <t xml:space="preserve">    </t>
    </r>
    <r>
      <rPr>
        <b val="true"/>
        <color theme="1" tint="0"/>
        <sz val="11"/>
        <scheme val="minor"/>
      </rPr>
      <t>100</t>
    </r>
    <r>
      <rPr>
        <color theme="1" tint="0"/>
        <sz val="11"/>
        <scheme val="minor"/>
      </rPr>
      <t xml:space="preserve"> - High</t>
    </r>
  </si>
  <si>
    <r>
      <t xml:space="preserve">&lt;- Paste WHOLE data from *.ab file into the cell. Use formula line to paste everything in </t>
    </r>
    <r>
      <rPr>
        <b val="true"/>
        <color rgb="FF0000" tint="0"/>
        <sz val="11"/>
        <scheme val="minor"/>
      </rPr>
      <t>single cell</t>
    </r>
    <r>
      <rPr>
        <color theme="1" tint="0"/>
        <sz val="11"/>
        <scheme val="minor"/>
      </rPr>
      <t>, or double click the cell before pasting.</t>
    </r>
  </si>
  <si>
    <t>Guide:</t>
  </si>
  <si>
    <t>FBCM</t>
  </si>
  <si>
    <t>FSC</t>
  </si>
  <si>
    <t>RBCM</t>
  </si>
  <si>
    <t>RCM</t>
  </si>
  <si>
    <t>SSU</t>
  </si>
  <si>
    <t>Open Mazda As-Built Search Engine (https://www6.b2b.mazda.co.jp/AsBuilt/)</t>
  </si>
  <si>
    <t>Or use this Alternative</t>
  </si>
  <si>
    <t>Enter desired VIN</t>
  </si>
  <si>
    <t>Click Submit</t>
  </si>
  <si>
    <t>Click CCC Data</t>
  </si>
  <si>
    <t>Click Download File</t>
  </si>
  <si>
    <t>Open file with Notepad</t>
  </si>
  <si>
    <t>Select all (Ctrl-A) and Copy (Ctrl-C)</t>
  </si>
  <si>
    <r>
      <t xml:space="preserve">Paste copied data in A1 cell of this sheet </t>
    </r>
    <r>
      <rPr>
        <b val="true"/>
        <color rgb="FF0000" tint="0"/>
        <sz val="11"/>
        <u val="single"/>
        <scheme val="minor"/>
      </rPr>
      <t>inside of the CELL</t>
    </r>
  </si>
  <si>
    <r>
      <t xml:space="preserve">Copy final data from corresponding columns and paste them </t>
    </r>
    <r>
      <rPr>
        <color rgb="FF0000" tint="0"/>
        <sz val="11"/>
        <scheme val="minor"/>
      </rPr>
      <t>AS VALUES</t>
    </r>
    <r>
      <rPr>
        <color rgb="006100" tint="0"/>
        <sz val="11"/>
        <scheme val="minor"/>
      </rPr>
      <t xml:space="preserve"> into tabs.</t>
    </r>
  </si>
  <si>
    <r>
      <t>For IC - first Copy-</t>
    </r>
    <r>
      <rPr>
        <color rgb="FF0000" tint="0"/>
        <sz val="11"/>
        <scheme val="minor"/>
      </rPr>
      <t>PasteAsValue</t>
    </r>
    <r>
      <rPr>
        <color rgb="006100" tint="0"/>
        <sz val="11"/>
        <scheme val="minor"/>
      </rPr>
      <t xml:space="preserve"> Block 1, then Block 4.</t>
    </r>
  </si>
  <si>
    <t>CCC Data:</t>
  </si>
  <si>
    <t>Paste here</t>
  </si>
  <si>
    <t>Final without checksum</t>
  </si>
  <si>
    <t>Copy paste column L as Value below:</t>
  </si>
  <si>
    <t>Pre-BF</t>
  </si>
  <si>
    <t>RHD / LHT COUNTRIES:</t>
  </si>
  <si>
    <t>C103</t>
  </si>
  <si>
    <t>AUSTRALIA</t>
  </si>
  <si>
    <t>C104</t>
  </si>
  <si>
    <t>BAHAMAS</t>
  </si>
  <si>
    <t>BF-01</t>
  </si>
  <si>
    <t>CYPRUS</t>
  </si>
  <si>
    <t>BF-02</t>
  </si>
  <si>
    <t>ENGLAND</t>
  </si>
  <si>
    <t>BF-03</t>
  </si>
  <si>
    <t>GB</t>
  </si>
  <si>
    <t>BF-04</t>
  </si>
  <si>
    <t>UK</t>
  </si>
  <si>
    <t>Copy what's inside &lt;CCC_DATA&gt; tags</t>
  </si>
  <si>
    <t>BF-05</t>
  </si>
  <si>
    <t>HONG KONG</t>
  </si>
  <si>
    <t>Paste copied data in B1 cell of this sheet</t>
  </si>
  <si>
    <t>BF-06</t>
  </si>
  <si>
    <t>INDIA</t>
  </si>
  <si>
    <t>Copy final data from column F (depending on your car it's either 28 or 53 lines)</t>
  </si>
  <si>
    <t>BF-07</t>
  </si>
  <si>
    <t>INDONESIA</t>
  </si>
  <si>
    <t>Copy data from column L</t>
  </si>
  <si>
    <t>Paste data into IC sheet in A15 cell as Values</t>
  </si>
  <si>
    <t>BF-08</t>
  </si>
  <si>
    <t>IRELAND</t>
  </si>
  <si>
    <t>Paste data into column O as Values</t>
  </si>
  <si>
    <t>BF-09</t>
  </si>
  <si>
    <t>JAPAN</t>
  </si>
  <si>
    <t>Copy data from column O</t>
  </si>
  <si>
    <t>BF-10</t>
  </si>
  <si>
    <t>MACAU</t>
  </si>
  <si>
    <t>Paste data into CCC Research sheet in column C (first empty line) as Transpose</t>
  </si>
  <si>
    <t>BF-11</t>
  </si>
  <si>
    <t>MALAYSIA</t>
  </si>
  <si>
    <t>BF-12</t>
  </si>
  <si/>
  <si>
    <t>MALTA</t>
  </si>
  <si>
    <t>© by Nikodim</t>
  </si>
  <si>
    <t>BF-13</t>
  </si>
  <si>
    <t>NEW ZELAND</t>
  </si>
  <si>
    <t>BF-14</t>
  </si>
  <si>
    <t>PAKISTAN</t>
  </si>
  <si>
    <t>BF-15</t>
  </si>
  <si>
    <t>SCOTLAAND</t>
  </si>
  <si>
    <t>BF-16</t>
  </si>
  <si>
    <t>SEYSHELLES</t>
  </si>
  <si>
    <t>BF-17</t>
  </si>
  <si>
    <t>SINGAPORE</t>
  </si>
  <si>
    <t>BF-18</t>
  </si>
  <si>
    <t>SOUTH AFRICA</t>
  </si>
  <si>
    <t>BF-19</t>
  </si>
  <si>
    <t>SRI LANKA</t>
  </si>
  <si>
    <t>BF-1A</t>
  </si>
  <si>
    <t>THAILAND</t>
  </si>
  <si>
    <t>BF-1B</t>
  </si>
  <si>
    <t>BF-1C</t>
  </si>
  <si>
    <t>BF-1D</t>
  </si>
  <si>
    <t>BF-1E</t>
  </si>
  <si>
    <t>BF-1F</t>
  </si>
  <si>
    <t>29</t>
  </si>
  <si>
    <t>BF-20</t>
  </si>
  <si>
    <t>BF-21</t>
  </si>
  <si>
    <t>40</t>
  </si>
  <si>
    <r>
      <t xml:space="preserve">ADL - </t>
    </r>
    <r>
      <rPr>
        <rFont val="Arial"/>
        <b val="true"/>
        <color rgb="FF0000" tint="0"/>
        <sz val="8"/>
      </rPr>
      <t>red script</t>
    </r>
  </si>
  <si>
    <t>VIN</t>
  </si>
  <si>
    <t>AUDIO ?</t>
  </si>
  <si>
    <t>Market Region</t>
  </si>
  <si>
    <t>AUTOHOLD / TPMS</t>
  </si>
  <si>
    <t>HALO/LED/AFS/ALH</t>
  </si>
  <si>
    <t>SCBS-R / DAA</t>
  </si>
  <si>
    <t>FOW/SBS/DRSS</t>
  </si>
  <si>
    <t>HBC/LDWS/LKAS</t>
  </si>
  <si>
    <t>BSM</t>
  </si>
  <si>
    <t>CC/MRCC/SCBS</t>
  </si>
  <si>
    <t>BOSE</t>
  </si>
  <si>
    <t>i_DM</t>
  </si>
  <si>
    <t>M2/CX-3</t>
  </si>
  <si>
    <t>ADL M2/CX-3 ???</t>
  </si>
  <si>
    <t>ESS ?</t>
  </si>
  <si>
    <t>BCMM / FBCM</t>
  </si>
  <si>
    <t>BF Block</t>
  </si>
  <si>
    <t>PASTE BELOW as Transpose</t>
  </si>
  <si>
    <t>BF-01 = VMC</t>
  </si>
  <si>
    <t>BF-02 = TPMS</t>
  </si>
  <si>
    <t>BF-03 = AFS</t>
  </si>
  <si>
    <t>BF-04 = PSM</t>
  </si>
  <si>
    <t>BF-06 = RVM</t>
  </si>
  <si>
    <t>BF-07 = BSM</t>
  </si>
  <si>
    <t>BF-08 = EATC</t>
  </si>
  <si>
    <t>BF-09 = CC</t>
  </si>
  <si>
    <t>731-01-01</t>
  </si>
  <si>
    <t>731-01-02</t>
  </si>
  <si>
    <t>731-01-03</t>
  </si>
  <si>
    <t>706-01-01</t>
  </si>
  <si>
    <t>706-01-02</t>
  </si>
  <si>
    <t>726-01-01</t>
  </si>
  <si>
    <t>726-01-02</t>
  </si>
  <si>
    <t>726-01-03</t>
  </si>
  <si>
    <t>7B7-01-01</t>
  </si>
  <si>
    <t>7B7-01-02</t>
  </si>
  <si>
    <t>7B7-01-03</t>
  </si>
  <si>
    <t>My M2/2016/AT/HB/HALO/LDWS/CC/KE/</t>
  </si>
  <si>
    <t>3MDDJ5HVA3M135726</t>
  </si>
  <si>
    <t>2D5A0100FFFFFFFFC100334D44444A35C101485641334D31C102333537323600C103380001899400C104000007660000</t>
  </si>
  <si>
    <t>380001899400</t>
  </si>
  <si>
    <t>000007660000</t>
  </si>
  <si>
    <t>310000000000</t>
  </si>
  <si>
    <t>200000000003</t>
  </si>
  <si>
    <t>100000000000</t>
  </si>
  <si>
    <t>309064000000</t>
  </si>
  <si>
    <t>410000100000</t>
  </si>
  <si>
    <t>000000100000</t>
  </si>
  <si>
    <t>412200777700</t>
  </si>
  <si>
    <t>200000100000</t>
  </si>
  <si>
    <t>200380000000</t>
  </si>
  <si>
    <t>7613955A55F2</t>
  </si>
  <si>
    <t>000000000000</t>
  </si>
  <si>
    <r>
      <t>00400860</t>
    </r>
    <r>
      <rPr>
        <rFont val="Arial"/>
        <color rgb="FF0000" tint="0"/>
        <sz val="11"/>
      </rPr>
      <t>A</t>
    </r>
    <r>
      <rPr>
        <rFont val="Arial"/>
        <color theme="1" tint="0"/>
        <sz val="11"/>
      </rPr>
      <t>028</t>
    </r>
  </si>
  <si>
    <r>
      <rPr>
        <rFont val="Arial"/>
        <color rgb="FF0000" tint="0"/>
        <sz val="11"/>
      </rPr>
      <t>0</t>
    </r>
    <r>
      <rPr>
        <rFont val="Arial"/>
        <color theme="1" tint="0"/>
        <sz val="11"/>
      </rPr>
      <t>81400330000</t>
    </r>
  </si>
  <si>
    <r>
      <t>50</t>
    </r>
    <r>
      <rPr>
        <rFont val="Arial"/>
        <color rgb="FF0000" tint="0"/>
        <sz val="11"/>
      </rPr>
      <t>20</t>
    </r>
    <r>
      <rPr>
        <rFont val="Arial"/>
        <color theme="1" tint="0"/>
        <sz val="11"/>
      </rPr>
      <t>65000000</t>
    </r>
  </si>
  <si>
    <t>002200000000</t>
  </si>
  <si>
    <t>4408 4024 200A</t>
  </si>
  <si>
    <t>0009 1835 7001</t>
  </si>
  <si>
    <t>4221 009F</t>
  </si>
  <si>
    <t>4530 5130 0005</t>
  </si>
  <si>
    <t>2C81 0000 00XX</t>
  </si>
  <si>
    <t>0813 3898 1A</t>
  </si>
  <si>
    <t>0000 30</t>
  </si>
  <si>
    <t>M2-710/2016/HB/LED/ALS/HBC/LDWS/SCBS/BSM/AKE</t>
  </si>
  <si>
    <t>3MDDJ5HVA3M135710</t>
  </si>
  <si>
    <t>2E7C0100FFFFFFFFC100334D44444A35C101485641334D31C102333537313000C103380001899400C104000007810000</t>
  </si>
  <si>
    <t>000007810000</t>
  </si>
  <si>
    <t>200002000000</t>
  </si>
  <si>
    <t>308FFC000000</t>
  </si>
  <si>
    <t>220000100000</t>
  </si>
  <si>
    <t>000000330000</t>
  </si>
  <si>
    <t>212200777700</t>
  </si>
  <si>
    <t>200000211000</t>
  </si>
  <si>
    <r>
      <t>00400860</t>
    </r>
    <r>
      <rPr>
        <rFont val="Arial"/>
        <color rgb="FF0000" tint="0"/>
        <sz val="11"/>
      </rPr>
      <t>A</t>
    </r>
    <r>
      <rPr>
        <rFont val="Arial"/>
        <color theme="1" tint="0"/>
        <sz val="11"/>
      </rPr>
      <t>028</t>
    </r>
  </si>
  <si>
    <t>681400330000</t>
  </si>
  <si>
    <r>
      <t>50</t>
    </r>
    <r>
      <rPr>
        <rFont val="Arial"/>
        <color rgb="FF0000" tint="0"/>
        <sz val="11"/>
      </rPr>
      <t>20</t>
    </r>
    <r>
      <rPr>
        <rFont val="Arial"/>
        <color theme="1" tint="0"/>
        <sz val="11"/>
      </rPr>
      <t>65000000</t>
    </r>
  </si>
  <si>
    <t>4408 C024 208A</t>
  </si>
  <si>
    <t>0609 1835 7007</t>
  </si>
  <si>
    <t>0220 005E</t>
  </si>
  <si>
    <t>2530 5130 00E5</t>
  </si>
  <si>
    <t>2C81 0000 00BD</t>
  </si>
  <si>
    <t>CX-3/ADL/RHD/LED/ALS/BOSE/A-CLI</t>
  </si>
  <si>
    <t>JM7DK4W7AH0123903</t>
  </si>
  <si>
    <t>2D510100FFFFFFFFC1004A4D37444B34C101573741483031C102323339303300C103380001891400C104000008140000</t>
  </si>
  <si>
    <t>380001891400</t>
  </si>
  <si>
    <t>000008140000</t>
  </si>
  <si>
    <t>740000000000</t>
  </si>
  <si>
    <t>200000000001</t>
  </si>
  <si>
    <t>200003000000</t>
  </si>
  <si>
    <t>338F50000000</t>
  </si>
  <si>
    <t>110000100000</t>
  </si>
  <si>
    <t>100000100000</t>
  </si>
  <si>
    <t>100000200000</t>
  </si>
  <si>
    <t>200381000000</t>
  </si>
  <si>
    <t>000008609028</t>
  </si>
  <si>
    <t>701400320000</t>
  </si>
  <si>
    <t>62AC65200000</t>
  </si>
  <si>
    <t>042200000000</t>
  </si>
  <si>
    <t>4014 C084 20F2</t>
  </si>
  <si>
    <t>0709 1847 903A</t>
  </si>
  <si>
    <t>0224 0062</t>
  </si>
  <si>
    <t>M2/HB/ADL/RHD/LED/ALS/A-CLI</t>
  </si>
  <si>
    <t>MM7DJ2HAAGW176537</t>
  </si>
  <si>
    <t>2ED00100FFFFFFFFC1004D4D37444A32C101484141475731C102373635333700C103380001899400C104000007810000</t>
  </si>
  <si>
    <t>710000000000</t>
  </si>
  <si>
    <t>200000000005</t>
  </si>
  <si>
    <t>200383000000</t>
  </si>
  <si>
    <t>42AC65200000</t>
  </si>
  <si>
    <t>4408 C084 20EA</t>
  </si>
  <si>
    <t>380A 2894 2D</t>
  </si>
  <si>
    <t>M6/USA/2018/LED/AFLS/ADL/HBC/LDWS/LAS/A-SCBS/FOW/SBS/DRSS/TSR/MRCC/BOSE</t>
  </si>
  <si>
    <t>JM1GL1W55H1154420</t>
  </si>
  <si>
    <t>1CF40080FFFFFFFFC1004A4D31474C31C101573535483131C102353434323000C103380038889400C1040000082C0000</t>
  </si>
  <si>
    <t>380038889400</t>
  </si>
  <si>
    <t>0000082C0000</t>
  </si>
  <si>
    <t>210000000000</t>
  </si>
  <si>
    <t>220000000117</t>
  </si>
  <si>
    <t>300002000000</t>
  </si>
  <si>
    <t>314200000000</t>
  </si>
  <si>
    <t>70B420784F80</t>
  </si>
  <si>
    <t>C00000100000</t>
  </si>
  <si>
    <t>100000400000</t>
  </si>
  <si>
    <t>212009000000</t>
  </si>
  <si>
    <t>310000400000</t>
  </si>
  <si>
    <t>100000200003</t>
  </si>
  <si>
    <t>3003A4000000</t>
  </si>
  <si>
    <t>1001 D414 2154</t>
  </si>
  <si>
    <t>0709  0957 903B</t>
  </si>
  <si>
    <t>1424 0074</t>
  </si>
  <si>
    <t>6C80 9000 72FD</t>
  </si>
  <si>
    <t>841F 0000 00B3</t>
  </si>
  <si>
    <t>F567 C928 D854</t>
  </si>
  <si>
    <t>66AA D356 56BF</t>
  </si>
  <si>
    <t>525A AAA6 2D</t>
  </si>
  <si>
    <t>29D4 0005 6D2F</t>
  </si>
  <si>
    <t>E504 0380 204D</t>
  </si>
  <si>
    <t>0028 9210 8C</t>
  </si>
  <si>
    <t>M3/LED/ALS/A-CLI</t>
  </si>
  <si>
    <t>JMZBN62A801534308</t>
  </si>
  <si>
    <t>19520080FFFFFFFFC1004A4D5A424E36C101324138303135C102333433303800C10338001B089400C104000007B50000</t>
  </si>
  <si>
    <t>38001B089400</t>
  </si>
  <si>
    <t>000007B50000</t>
  </si>
  <si>
    <t>22000000000B</t>
  </si>
  <si>
    <t>200001000000</t>
  </si>
  <si>
    <t>308000240006</t>
  </si>
  <si>
    <t>212001000000</t>
  </si>
  <si>
    <t>300390000000</t>
  </si>
  <si>
    <t>2010 4024 21EF</t>
  </si>
  <si>
    <t>1009 1924 60F1</t>
  </si>
  <si>
    <t>F266 196E D8E6</t>
  </si>
  <si>
    <t>5811 AAE6 2A</t>
  </si>
  <si>
    <t>0550 0004 A3BC</t>
  </si>
  <si>
    <t>A50A 0308 0883</t>
  </si>
  <si>
    <t>0038 9210 9C</t>
  </si>
  <si>
    <t>My M3/2017/LED/ALH/HBC/LDWS/LAS/A-SCBS/BSM/RCTA/DAA/A-CLI 2Z</t>
  </si>
  <si>
    <t>JMZBM527801525067</t>
  </si>
  <si>
    <t>1A940080FFFFFFFFC1004A4D5A424D35C101323738303135C102323530363700C10338001B089400C104000007B50000</t>
  </si>
  <si>
    <t>200000000013</t>
  </si>
  <si>
    <t>400001000000</t>
  </si>
  <si>
    <t>308200440007</t>
  </si>
  <si>
    <t>B00000100000</t>
  </si>
  <si>
    <t>210000400000</t>
  </si>
  <si>
    <t>2000 4024 21DF</t>
  </si>
  <si>
    <t>0009 1924 60E1</t>
  </si>
  <si>
    <t>8400 0000 10A4</t>
  </si>
  <si>
    <t>0450 0006 A3BD</t>
  </si>
  <si>
    <t>CX-9/2018/GT/LED/AFLS/ADL/HBC/LDWS/LAS/A-SCBS/TSR/FOW/SBS/DRSS/MRCC/BOSE</t>
  </si>
  <si>
    <t>JM3TCADY1J0204289</t>
  </si>
  <si>
    <t>1B310080FFFFFFFFC1004A4D33544341C1014459314A3032C102303432383900C10338003C091400C104000009110000</t>
  </si>
  <si>
    <t>38003C091400</t>
  </si>
  <si>
    <t>000009110000</t>
  </si>
  <si>
    <t>222000000001</t>
  </si>
  <si>
    <t>300001280000</t>
  </si>
  <si>
    <t>320800240006</t>
  </si>
  <si>
    <t>72B420600F00</t>
  </si>
  <si>
    <t>000000400000</t>
  </si>
  <si>
    <t>100000200015</t>
  </si>
  <si>
    <t>300384000000</t>
  </si>
  <si>
    <t>A005 DE94 2172</t>
  </si>
  <si>
    <t>0809 0E48 A042</t>
  </si>
  <si>
    <t>845C 0000 00F0</t>
  </si>
  <si>
    <t>F567 D168 D89C</t>
  </si>
  <si>
    <t>66AA D357 56C0</t>
  </si>
  <si>
    <t>52AA AAA6 7D</t>
  </si>
  <si>
    <t>A8D0 0005 7FBC</t>
  </si>
  <si>
    <t>E503 C308 2094</t>
  </si>
  <si>
    <t>0028 9310 8D</t>
  </si>
  <si>
    <t>CX-3GT/2016/LED/AFLS/ADD/HBC/LDWS/BSM/SCBS/FOW/SBS/DRSS/ROOF/MRCC/BOSE</t>
  </si>
  <si>
    <t>JM1DKFD75G0135166</t>
  </si>
  <si>
    <t>2E990100FFFFFFFFC1004A4D31444B46C101443735473031C102333531363600C103380001891400C104000008140000</t>
  </si>
  <si>
    <t>240000000000</t>
  </si>
  <si>
    <t>300003000000</t>
  </si>
  <si>
    <t>348F50000000</t>
  </si>
  <si>
    <t>300000211000</t>
  </si>
  <si>
    <t>000000000112</t>
  </si>
  <si>
    <r>
      <t>00000860</t>
    </r>
    <r>
      <rPr>
        <rFont val="Arial"/>
        <color rgb="FF0000" tint="0"/>
        <sz val="11"/>
      </rPr>
      <t>A</t>
    </r>
    <r>
      <rPr>
        <rFont val="Arial"/>
        <color theme="1" tint="0"/>
        <sz val="11"/>
      </rPr>
      <t>028</t>
    </r>
  </si>
  <si>
    <t>707D80330000</t>
  </si>
  <si>
    <t>6BFE65200000</t>
  </si>
  <si>
    <t>4005 D494 2007</t>
  </si>
  <si>
    <t>0709 0658 A049</t>
  </si>
  <si>
    <t>2720 5220 00C8</t>
  </si>
  <si>
    <t>5081 0000 00E1</t>
  </si>
  <si>
    <t>CX-3/2019/LED/AFLS/HBC/LDWS/A-SCBS/BSM/FOW/SBS/DRSS/MRCC</t>
  </si>
  <si>
    <t>JM1DKDB77K0435078</t>
  </si>
  <si>
    <t>30900100FFFFFFFFC1004A4D31444B44C1014237374B3034C102333530373800C103380001891400C104000007EF0000</t>
  </si>
  <si>
    <t>000007EF0000</t>
  </si>
  <si>
    <t>22C000000001</t>
  </si>
  <si>
    <t>300001000000</t>
  </si>
  <si>
    <t>344F50000000</t>
  </si>
  <si>
    <t>920000100000</t>
  </si>
  <si>
    <t>3003A5000000</t>
  </si>
  <si>
    <r>
      <t>00000D68</t>
    </r>
    <r>
      <rPr>
        <rFont val="Arial"/>
        <color rgb="FF0000" tint="0"/>
        <sz val="11"/>
      </rPr>
      <t>A</t>
    </r>
    <r>
      <rPr>
        <rFont val="Arial"/>
        <color theme="1" tint="0"/>
        <sz val="11"/>
      </rPr>
      <t>028</t>
    </r>
  </si>
  <si>
    <t>707D8033C000</t>
  </si>
  <si>
    <t>4005 5C94 2190</t>
  </si>
  <si>
    <t>0009 0658 A042</t>
  </si>
  <si>
    <t>5421 00B1</t>
  </si>
  <si>
    <t>6C80 9000 008B</t>
  </si>
  <si>
    <t>002C 0000 104C</t>
  </si>
  <si>
    <t>M2/2016/AT/Aus/HB/RHD/LED/ALS/ADD/SCBS/i-STOP/A-CLI</t>
  </si>
  <si>
    <t>MM0DJ2HAA0W237221</t>
  </si>
  <si>
    <t>2E3C0100FFFFFFFFC1004D4D30444A32C101484141305732C102333732323100C10338000189A400C104000007810000</t>
  </si>
  <si>
    <t>38000189A400</t>
  </si>
  <si>
    <t>510000000000</t>
  </si>
  <si>
    <t>00000860A028</t>
  </si>
  <si>
    <t>502465000000</t>
  </si>
  <si>
    <t>4818 4084 A0FE</t>
  </si>
  <si>
    <t>0009 1847 9033</t>
  </si>
  <si>
    <t>M2/2019/AT/Aus/HB/RHD/LED/ALS/ESS/LDWS/LAS/A-SCBS/SCBS-R/BSM/RCTA/TSR/AKE</t>
  </si>
  <si>
    <t>MM0DJ2HAA0W608120</t>
  </si>
  <si>
    <t>2F350100FFFFFFFFC1004D4D30444A32C101484141305736C102303831323000C10338000189A400C104000007810000</t>
  </si>
  <si>
    <t>304200408006</t>
  </si>
  <si>
    <t>D10000100000</t>
  </si>
  <si>
    <t>410000400000</t>
  </si>
  <si>
    <t>300093000000</t>
  </si>
  <si>
    <t>00000968A028</t>
  </si>
  <si>
    <t>711400324000</t>
  </si>
  <si>
    <t>4818 4084 A1FF</t>
  </si>
  <si>
    <t>6C00 9000 727D</t>
  </si>
  <si>
    <t>84B8 0000 206C</t>
  </si>
  <si>
    <t>CX-3/2015/LED/ALS/LDWS/SCBS/BSM/A-CLI/i-STOP</t>
  </si>
  <si>
    <t>JMZDKFW7620103683</t>
  </si>
  <si>
    <t>2D530100FFFFFFFFC1004A4D5A444B46C101573736323031C102303336383300C103380001891200C104000008140000</t>
  </si>
  <si>
    <t>380001891200</t>
  </si>
  <si>
    <t>340000000000</t>
  </si>
  <si>
    <t>32CF50000000</t>
  </si>
  <si>
    <t>400000211000</t>
  </si>
  <si>
    <t>702065000000</t>
  </si>
  <si>
    <t>4034 C024 20B2</t>
  </si>
  <si>
    <t>170D 1847 904E</t>
  </si>
  <si>
    <t>4720 5130 00F7</t>
  </si>
  <si>
    <t>2C00 0000 003C</t>
  </si>
  <si>
    <t>CX-3/2017/MT/LED/AFLS/HBC/LDWS/A-SCBS/BSM/DAA/TSR/FOW/SBS/DRSS/MRCC-LIM/A-CLI/i-STOP/BOSE</t>
  </si>
  <si>
    <t>JMZDK6W7601324261</t>
  </si>
  <si>
    <t>30640100FFFFFFFFC1004A4D5A444B36C101573736303133C102323432363100C103380001891200C104000008140000</t>
  </si>
  <si>
    <t>330F50400007</t>
  </si>
  <si>
    <t>70B4202845F0</t>
  </si>
  <si>
    <t>510000400000</t>
  </si>
  <si>
    <t>300391000000</t>
  </si>
  <si>
    <t>00000D68A028</t>
  </si>
  <si>
    <t>681400334000</t>
  </si>
  <si>
    <t>4034 C024 21B3</t>
  </si>
  <si>
    <t>0028 0000 0038</t>
  </si>
  <si>
    <t>M3/2017/AT/LED/ALH/ESS/HBC/LDWS/LAS/A-SCBS/SCBS-R/BSM/RCTA/FOW/SBS/DRSS/MRCC/DAA/TSR/A-CLI</t>
  </si>
  <si>
    <t>BM5FP404374</t>
  </si>
  <si>
    <t>1B630080FFFFFFFFC100424D35465034C101303433373400C102000000000000C10338001B08A400C104000007B50000</t>
  </si>
  <si>
    <t>38001B08A400</t>
  </si>
  <si>
    <t>110000000000</t>
  </si>
  <si>
    <t>400003000000</t>
  </si>
  <si>
    <t>308400430007</t>
  </si>
  <si>
    <t>70B420500A80</t>
  </si>
  <si>
    <t>310000500000</t>
  </si>
  <si>
    <t>301F90000000</t>
  </si>
  <si>
    <t>2810 C404 A1DB</t>
  </si>
  <si>
    <t>0809 0347 A036</t>
  </si>
  <si>
    <t>8400 0000 0094</t>
  </si>
  <si>
    <t>E266 196A D8D2</t>
  </si>
  <si>
    <t>0140 0005 A3A9</t>
  </si>
  <si>
    <t>0038 9010 9A</t>
  </si>
  <si>
    <t>M2/2018/4WD/LED/ALS/HBC/LDWS/A-SCBS/SCBS-R/BSM/RCTA/A-CLI</t>
  </si>
  <si>
    <t>DJ3AS502090</t>
  </si>
  <si>
    <t>2DAA0100FFFFFFFFC100444A33415335C101303230393000C102000000000000C10338000189A400C104000007660000</t>
  </si>
  <si>
    <t>144900000000</t>
  </si>
  <si>
    <t>305064470006</t>
  </si>
  <si>
    <t>110000500000</t>
  </si>
  <si>
    <t>00400D68A028</t>
  </si>
  <si>
    <t>600400264000</t>
  </si>
  <si>
    <t>042240000000</t>
  </si>
  <si>
    <t>4C18 C484 A187</t>
  </si>
  <si>
    <t>0709 0147 9023</t>
  </si>
  <si>
    <t>0078 0000 1098</t>
  </si>
  <si>
    <t>M2/2015/LED/ALS/ESS/SCBS/BSM/RCTA/A-CLI</t>
  </si>
  <si>
    <t>DJ3FS120838</t>
  </si>
  <si>
    <t>2C230100FFFFFFFFC100444A33465331C101323038333800C102000000000000C10338000189A400C104000007660000</t>
  </si>
  <si>
    <t>359064000000</t>
  </si>
  <si>
    <t>100000311000</t>
  </si>
  <si>
    <t>201F80000000</t>
  </si>
  <si>
    <t>600400260000</t>
  </si>
  <si>
    <t>4C18 C484 A086</t>
  </si>
  <si>
    <t>M2/LED/ALH/ESS/HBC/LDWS/A-SCBS/SCBS-R/BSM/RCTA/DAA/FOW/SBS/DRSS/MRCC/A-CLI</t>
  </si>
  <si>
    <t>DJ5FS504690</t>
  </si>
  <si>
    <t>2FAC0100FFFFFFFFC100444A35465335C101303436393000C102000000000000C10338000189A400C104000007810000</t>
  </si>
  <si>
    <t>114A00000000</t>
  </si>
  <si>
    <t>308FFC470007</t>
  </si>
  <si>
    <t>70B420000001</t>
  </si>
  <si>
    <t>A20000100000</t>
  </si>
  <si>
    <t>222200337700</t>
  </si>
  <si>
    <t>4818 C484 A183</t>
  </si>
  <si>
    <t>0078 0000 0088</t>
  </si>
  <si>
    <t>CX-3/2015/D/AT/RHD/LED/AFLS/ESS/HBC/LDWS/SCBS/BSM/RCTA/FOW/SBS/DRSS/MRCC/A-CLI</t>
  </si>
  <si>
    <t>DK5FW100870</t>
  </si>
  <si>
    <t>2D3A0100FFFFFFFFC100444B35465731C101303038373000C102000000000000C103380001892400C104000008140000</t>
  </si>
  <si>
    <t>380001892400</t>
  </si>
  <si>
    <t>324F50000000</t>
  </si>
  <si>
    <t>300000311000</t>
  </si>
  <si>
    <t>201F81000000</t>
  </si>
  <si>
    <t>702465000000</t>
  </si>
  <si>
    <t>4814 C484 A07E</t>
  </si>
  <si>
    <t>0809 0179 A066</t>
  </si>
  <si>
    <t>2720 9210 00F8</t>
  </si>
  <si>
    <t>2C82 0000 00BE</t>
  </si>
  <si>
    <t>CX-3/2015/D/AT/RHD/LED/AFLS/ESS/SCBS/BSM/RCTA/CC/A-CLI</t>
  </si>
  <si>
    <t>DK5FW107943</t>
  </si>
  <si>
    <t>2B130100FFFFFFFFC100444B35465731C101303739343300C102000000000000C103380001892400C104000008140000</t>
  </si>
  <si>
    <t>200000311000</t>
  </si>
  <si>
    <t>CX-5-Touring/2020/AT/RHD/LED/ALS/ADL/ESS/ADD/HBC/LDWS/LAS/A-SCBS/SCBS-R/BSM/RCTA/DAA/EPB/TSR/MRCC-LIM/FOW/SBS/DRSS/A-CLI2Z/KE/AUTOHOLD</t>
  </si>
  <si>
    <t>JM0KF4WLA00380353</t>
  </si>
  <si>
    <t>1E5D0080FFFFFFFFC1004A4D304B4634C101574C41303033C102383033353300C103380039092400C104000008974000</t>
  </si>
  <si>
    <t>380039092400</t>
  </si>
  <si>
    <t>000008974000</t>
  </si>
  <si>
    <t>540000000000</t>
  </si>
  <si>
    <t>22C000000005</t>
  </si>
  <si>
    <t>000000534000</t>
  </si>
  <si>
    <t>30E090000000</t>
  </si>
  <si>
    <t>B814 C884 A1F3</t>
  </si>
  <si>
    <t>0909 1826 901B</t>
  </si>
  <si>
    <t>8420 0000 00B4</t>
  </si>
  <si>
    <t>E266 216A D8DA</t>
  </si>
  <si>
    <t>66AA 0054 56EA</t>
  </si>
  <si>
    <t>81D0 0005 A7BD</t>
  </si>
  <si>
    <t>A504 C308 2055</t>
  </si>
  <si>
    <t>CX-5-Akera/2020/AT/RHD/LED/ALH/ADL/ADD/ESS/HBC/LDWS/LAS/A-SCBS/SCBS-R/DAA/TSR/MRCC-LIM/FOW/SBS/DRSS/EPB/BOSE/A-CLI2Z/AUTOHOLD</t>
  </si>
  <si>
    <t>JM0KF4WLA00380857</t>
  </si>
  <si>
    <t>1F5F0080FFFFFFFFC1004A4D304B4634C101574C41303033C102383038353700C103380039092400C104000008BE4000</t>
  </si>
  <si>
    <t>000008BE4000</t>
  </si>
  <si>
    <t>544840000000</t>
  </si>
  <si>
    <t>400002200000</t>
  </si>
  <si>
    <t>100000200001</t>
  </si>
  <si>
    <t>38E090000000</t>
  </si>
  <si>
    <t>B814 CA84 A1F5</t>
  </si>
  <si>
    <t>0909 2326 9026</t>
  </si>
  <si>
    <t>F166 216A D8E9</t>
  </si>
  <si>
    <t>0038 9110 9B</t>
  </si>
  <si>
    <t>MX-5/2017/AT/LED/AFLS/HBC/LDWS/BSM/RCTA/A-CLI/i-ELOOP/BOSE</t>
  </si>
  <si>
    <t>JM1NDAM79H0107244</t>
  </si>
  <si>
    <t>2B480100FFFFFFFFC1004A4D314E4441C1014D3739483031C102303732343400C1033800090A1400C104000007570000</t>
  </si>
  <si>
    <t>3800090A1400</t>
  </si>
  <si>
    <t>000007570000</t>
  </si>
  <si>
    <t>21000000012B</t>
  </si>
  <si>
    <t>320000000000</t>
  </si>
  <si>
    <t>210000100000</t>
  </si>
  <si>
    <t>100000200011</t>
  </si>
  <si>
    <t>000000000113</t>
  </si>
  <si>
    <t>00000840A028</t>
  </si>
  <si>
    <t>8BBA65200000</t>
  </si>
  <si>
    <t>742200000000</t>
  </si>
  <si>
    <t>5001 D414 2194</t>
  </si>
  <si>
    <t>0809 0937 A02C</t>
  </si>
  <si>
    <t>2610 5120 00B6</t>
  </si>
  <si>
    <t>CX-5/2015/LED/AFLS/ADL/HBC/LDWS/SCBS/FOW/SBS/DRSS/MRCC/BOSE/A-CLI</t>
  </si>
  <si>
    <t>JM3KE2DY0G0795607</t>
  </si>
  <si>
    <t>1C9E0080FFFFFFFFC1004A4D334B4532C101445930473037C102393536303700C103380029891400C104000008BE0000</t>
  </si>
  <si>
    <t>380029891400</t>
  </si>
  <si>
    <t>000008BE0000</t>
  </si>
  <si>
    <t>220000000003</t>
  </si>
  <si>
    <t>314000000000</t>
  </si>
  <si>
    <t>900000100000</t>
  </si>
  <si>
    <t>100000204000</t>
  </si>
  <si>
    <t>0005 D494 20C7</t>
  </si>
  <si>
    <t>0809 0648 A03A</t>
  </si>
  <si>
    <t>9120 5220 0032</t>
  </si>
  <si>
    <t>5082 0000 00E2</t>
  </si>
  <si>
    <t>F567 C128 D84C</t>
  </si>
  <si>
    <t>65AA D354 56BC</t>
  </si>
  <si>
    <t>E501 C300 208A</t>
  </si>
  <si>
    <t>CX9/2016/AT/LED/AFLS/ADL/ADD/EPB/HBC/LDWS/LAS/SCBS/A-BSM/RCTA/MRCC/FOW/SBS/DRSS/MRCC/BOSE/A-CLI3Z</t>
  </si>
  <si>
    <t>JM3TCBDY1G0105714</t>
  </si>
  <si>
    <t>1BE00080FFFFFFFFC1004A4D33544342C101445931473031C102303537313400C10338003C091400C104000009110000</t>
  </si>
  <si>
    <t>222000000003</t>
  </si>
  <si>
    <t>320800200006</t>
  </si>
  <si>
    <t>310000211000</t>
  </si>
  <si>
    <t>200384000000</t>
  </si>
  <si>
    <t>A005 D694 2069</t>
  </si>
  <si>
    <t>C820 5220 0069</t>
  </si>
  <si>
    <t>7081 0000 7071</t>
  </si>
  <si>
    <t>F467 D168 D89B</t>
  </si>
  <si>
    <t>66AA D357 56CO</t>
  </si>
  <si>
    <t>A9D4 0005 7FC1</t>
  </si>
  <si>
    <t>E501 C388 2012</t>
  </si>
  <si>
    <t>CX-3/2017/ADL/RHD/HALO/BOSE</t>
  </si>
  <si>
    <t>JM7DK4W7AH0123905</t>
  </si>
  <si>
    <t>2D530100FFFFFFFFC1004A4D37444B34C101573741483031C102323339303500C103380001891400C104000008140000</t>
  </si>
  <si>
    <t>CX-3/2018/Diesel/LED/AFLS/ADD/HBC/LDWS/A-SCBS/BSM/DAA/TSR/FOW/SBS/DRSS/MRCC-LIM/BOSE/A-CLI2Z</t>
  </si>
  <si>
    <t>JMZDK6WS601350192</t>
  </si>
  <si>
    <t>31020100FFFFFFFFC1004A4D5A444B36C101575336303133C102353031393200C103380001891200C104000008140000</t>
  </si>
  <si>
    <t>338F50400007</t>
  </si>
  <si>
    <t>CX-5/2015/LED/AFLS/HBC/LDWS/SCBS/RVM/A-CLI</t>
  </si>
  <si>
    <t>JMZKEN91600325859</t>
  </si>
  <si>
    <t>18E30080FFFFFFFFC1004A4D5A4B454EC101393136303033C102323538353900C103380029891200C104000008970000</t>
  </si>
  <si>
    <t>380029891200</t>
  </si>
  <si>
    <t>000008970000</t>
  </si>
  <si>
    <t>30C000000000</t>
  </si>
  <si>
    <t>200000200000</t>
  </si>
  <si>
    <t>0034 C024 2072</t>
  </si>
  <si>
    <t>180C 1847 904E</t>
  </si>
  <si>
    <t>2120 5130 00D1</t>
  </si>
  <si>
    <t>F266 016E D8CE</t>
  </si>
  <si>
    <t>64AA D354 56BB</t>
  </si>
  <si>
    <t>8550 0006 A13C</t>
  </si>
  <si>
    <t>A501 C300 0832</t>
  </si>
  <si>
    <t>0018 9000 6A</t>
  </si>
  <si>
    <t>CX-5/2015/LED/ALH/ESS/HBC/LDWS/LAS/SCBS/SCBS-R/BSM/DAA/DPL/BOSE/A-CLI</t>
  </si>
  <si>
    <t>JMZKEN91600408705</t>
  </si>
  <si>
    <t>1B130080FFFFFFFFC1004A4D5A4B454EC101393136303034C102303837303500C103380029891200C104000008BE0000</t>
  </si>
  <si>
    <t>400002000000</t>
  </si>
  <si>
    <t>30C400440007</t>
  </si>
  <si>
    <t>100000330000</t>
  </si>
  <si>
    <t>200388000000</t>
  </si>
  <si>
    <t>180D 1847 904F</t>
  </si>
  <si>
    <t>B120 6130 0071</t>
  </si>
  <si>
    <t>8C82 0000 708E</t>
  </si>
  <si>
    <t>F266 012A D88A</t>
  </si>
  <si>
    <t>CX-5/2017/LED/ALH/ADL/HBC/LDWS/LAS/A-SCBS/SCBS-R/BSM/DAA/TSR/BOSE/A-CLI/AUTOHOLD</t>
  </si>
  <si>
    <t>JMZKF6W1600610116</t>
  </si>
  <si>
    <t>1C680080FFFFFFFFC1004A4D5A4B4636C101573136303036C102313031313600C103380039091200C104000008BE0000</t>
  </si>
  <si>
    <t>380039091200</t>
  </si>
  <si>
    <t>312840000000</t>
  </si>
  <si>
    <t>B034 CA24 212D</t>
  </si>
  <si>
    <t>190D 2326 903A</t>
  </si>
  <si>
    <t>F266 216E D8EE</t>
  </si>
  <si>
    <t>85D0 0005 A5BF</t>
  </si>
  <si>
    <t>CX-5/2017/LED/AFLS/ADL/HBC/LDWS/LAS/A-SCBS/SCBS-R/BSM/RCTA/DAA/TSR/A-CLI</t>
  </si>
  <si>
    <t>JMZKF6W7600622961</t>
  </si>
  <si>
    <t>1BA80080FFFFFFFFC1004A4D5A4B4636C101573736303036C102323239363100C103380039091200C104000008970000</t>
  </si>
  <si>
    <t>304400440007</t>
  </si>
  <si>
    <t>300398000000</t>
  </si>
  <si>
    <t>B034 4824 21AB</t>
  </si>
  <si>
    <t>100D 1826 9026</t>
  </si>
  <si>
    <t>MX-5/2019/MT/RHD/LED/ALH/HBC/LDWS/A-SCBS/SCBS-R/BSM/RCTA/TSR/A-CLI/i-ELOOP/BOSE/AKE</t>
  </si>
  <si>
    <t>JMZND6E7600410233</t>
  </si>
  <si>
    <t>2E5E0100FFFFFFFFC1004A4D5A4E4436C101453736303034C102313032333300C1033800090A1200C104000007570000</t>
  </si>
  <si>
    <t>3800090A1200</t>
  </si>
  <si>
    <t>210000000139</t>
  </si>
  <si>
    <t>320000400007</t>
  </si>
  <si>
    <t>200000200011</t>
  </si>
  <si>
    <t>7A5B955A55F3</t>
  </si>
  <si>
    <t>00000848A028</t>
  </si>
  <si>
    <t>693400334000</t>
  </si>
  <si>
    <t>902465000000</t>
  </si>
  <si>
    <t>642200000000</t>
  </si>
  <si>
    <t>5030 C824 21C7</t>
  </si>
  <si>
    <t>180D 1926 902F</t>
  </si>
  <si>
    <t>0098 0000 40E8</t>
  </si>
  <si>
    <t>MX-5/2015/MT/RHD/LED/ALS/LDWS/M-CLI</t>
  </si>
  <si>
    <t>JMZND6E7610101720</t>
  </si>
  <si>
    <t>2D040100FFFFFFFFC1004A4D5A4E4436C101453736313031C102303137323000C1033800090A1200C104000007570000</t>
  </si>
  <si>
    <t>21000000003B</t>
  </si>
  <si>
    <t>308000000000</t>
  </si>
  <si>
    <t>683400330000</t>
  </si>
  <si>
    <t>402200000000</t>
  </si>
  <si>
    <t>5020 4024 202E</t>
  </si>
  <si>
    <t>0009 1926 9013</t>
  </si>
  <si>
    <t>4610 5130 00E6</t>
  </si>
  <si>
    <t>MX-5/2017/MT/RHD/LED/AFLS/HBC/LDWS/BSM/BOSE/A-CLI</t>
  </si>
  <si>
    <t>JMZND6E7640127095</t>
  </si>
  <si>
    <t>2D4D0100FFFFFFFFC1004A4D5A4E4436C101453736343031C102323730393500C1033800090A1200C104000007570000</t>
  </si>
  <si>
    <t>200000200001</t>
  </si>
  <si>
    <t>442200000000</t>
  </si>
  <si>
    <t>5030 C024 20BE</t>
  </si>
  <si>
    <t>2610 5130 00C6</t>
  </si>
  <si>
    <t>CX-5/2017/D/2.2L/AT/LED/ALH/ESS/HBC/LDWS/LAS/A-SCBS/SCBS-R/A-BSM/RCTA/FOW/SBS/DRSS/MRCC/DAA/TSR/A-CLI/AUTOHOLD</t>
  </si>
  <si>
    <t>KF2P123489</t>
  </si>
  <si>
    <t>1BCA0080FFFFFFFFC1004B4632503132C101333438390000C102000000000000C103380039092400C104000008970000</t>
  </si>
  <si>
    <t>113040000000</t>
  </si>
  <si>
    <t>400001200000</t>
  </si>
  <si>
    <t>30C200430007</t>
  </si>
  <si>
    <t>72B420000000</t>
  </si>
  <si>
    <t>222009000000</t>
  </si>
  <si>
    <t>301F98000000</t>
  </si>
  <si>
    <t>B814 C684 A1F1</t>
  </si>
  <si>
    <t>4909 0D26 9050</t>
  </si>
  <si>
    <t>8140 0005 A329</t>
  </si>
  <si>
    <t>A504 C308 083D</t>
  </si>
  <si>
    <t>M2-Pure/2019/AT/HB/RHD/LED/ALS/ESS/LDWS/LAS/A-SCBS/BSM/RCTA/M-CLI</t>
  </si>
  <si>
    <t>MM0DJ2HAA0W608356</t>
  </si>
  <si>
    <t>2EA10100FFFFFFFFC1004D4D30444A32C101484141305736C102303833353600C10338000189A400C104000007660000</t>
  </si>
  <si>
    <t>000009682028</t>
  </si>
  <si>
    <t>610000324000</t>
  </si>
  <si>
    <t>84B8 0000 307C</t>
  </si>
  <si>
    <t>M2/2017/SD/RHD/HALO/ESS/SCBS/SCBS-R/M-CLI/ESS?</t>
  </si>
  <si>
    <t>MM0DL2SAA0W333175</t>
  </si>
  <si>
    <t>2D770100FFFFFFFFC1004D4D30444C32C101534141305733C102333331373500C10338000188A400C104000007660000</t>
  </si>
  <si>
    <t>38000188A400</t>
  </si>
  <si>
    <t>311064400006</t>
  </si>
  <si>
    <t>210000211000</t>
  </si>
  <si>
    <t>30E393000000</t>
  </si>
  <si>
    <t>000000324000</t>
  </si>
  <si>
    <t>102465000000</t>
  </si>
  <si>
    <t>4810 4004 A177</t>
  </si>
  <si>
    <t>0009 1947 9034</t>
  </si>
  <si>
    <t>M2/SD/RHD/LED/ALS/ADL/CC</t>
  </si>
  <si>
    <t>MM8DL2S3A0W439819</t>
  </si>
  <si>
    <t>2EC90100FFFFFFFFC1004D4D38444C32C101533341305734C102333938313900C10338000188A400C104000007660000</t>
  </si>
  <si>
    <t>610000000000</t>
  </si>
  <si>
    <t>30D064200006</t>
  </si>
  <si>
    <t>200000000000</t>
  </si>
  <si>
    <t>300393000000</t>
  </si>
  <si>
    <t>000009689028</t>
  </si>
  <si>
    <t>701400324000</t>
  </si>
  <si>
    <t>03A865200000</t>
  </si>
  <si>
    <t>162200000000</t>
  </si>
  <si>
    <t>4C10 C004 A1FB</t>
  </si>
  <si>
    <t>0709 0347 9025</t>
  </si>
  <si>
    <t>M2/HB/RHD?/LED/ALS/LDWS/SCBS/BSM/RCTA/MRCC/A-CLI</t>
  </si>
  <si>
    <t>MMZDJ6HVAZW357049</t>
  </si>
  <si>
    <t>2F1C0100FFFFFFFFC1004D4D5A444A36C1014856415A5733C102353730343900C103380001899400C104000007810000</t>
  </si>
  <si>
    <t>200000000007</t>
  </si>
  <si>
    <t>310FFC000000</t>
  </si>
  <si>
    <t>410000211000</t>
  </si>
  <si>
    <t>681400324000</t>
  </si>
  <si>
    <t>4408 4084 206A</t>
  </si>
  <si>
    <t>4530 5170 0045</t>
  </si>
  <si>
    <t>M2/2016/HB/LED/ALS/ADL/A-CLI</t>
  </si>
  <si>
    <t>RN2DJ5AA6FC021498</t>
  </si>
  <si>
    <t>2E3B0100FFFFFFFFC100524E32444A35C101414136464330C102323134393800C103380001899400C104000007810000</t>
  </si>
  <si>
    <t>000008601028</t>
  </si>
  <si>
    <t>701000320000</t>
  </si>
  <si>
    <t>43AC65200000</t>
  </si>
  <si>
    <t>4018 C084 20F6</t>
  </si>
  <si>
    <t>CX-3/2016/2.0L/RHD/LED/ALS/ESS/HBC/LDWS/A-SCBS/SCBS-R/BSM/RCTA/A-CLI</t>
  </si>
  <si>
    <t>DKEFW100717</t>
  </si>
  <si>
    <t>2C830100FFFFFFFFC100444B45465731C101303037313700C102000000000000C103380001892400C104000008140000</t>
  </si>
  <si>
    <t>324F50430006</t>
  </si>
  <si>
    <t>301F91000000</t>
  </si>
  <si>
    <t>4814 C484 A17F</t>
  </si>
  <si>
    <t>0028 0000 1048</t>
  </si>
  <si>
    <t>CX-3/2017/RHD/LED/ALH/ESS/ADL/HBC/LDWS/A-SCBS/SCBS-R/BSM/RCTA/FOW/SBS/DRSS/MRCC/DAA/A-CLI/AUTOHOLD</t>
  </si>
  <si>
    <t>MM8DK2W7A0W308751</t>
  </si>
  <si>
    <t>322A0100FFFFFFFFC1004D4D38444B32C101573741305733C102303837353100C103380001892400C104000008140000</t>
  </si>
  <si>
    <t>614800000000</t>
  </si>
  <si>
    <t>354F50448007</t>
  </si>
  <si>
    <t>70B424600F00</t>
  </si>
  <si>
    <t>380391000000</t>
  </si>
  <si>
    <t>63AC65200000</t>
  </si>
  <si>
    <t>002F 0000 104F</t>
  </si>
  <si>
    <t>CX-3/2017/RHD/HALO/ESS/ADL/BSM/RCTA/CC/A-CLI/AUTOHOLD</t>
  </si>
  <si>
    <t>MM8DK2W7A0W308759</t>
  </si>
  <si>
    <t>2E220100FFFFFFFFC1004D4D38444B32C101573741305733C102303837353900C103380001892400C104000007EF0000</t>
  </si>
  <si>
    <t>330F50000000</t>
  </si>
  <si>
    <t>000009681028</t>
  </si>
  <si>
    <t>200000324000</t>
  </si>
  <si>
    <t>4814 C084 A17B</t>
  </si>
  <si>
    <t>M2/4WD/RHD/LED/ALH/ESS/HBC/LDWS/SCBS/SCBS-R/BSM/RCTA/FOW/SBS/DRSS/MRCC/DAA/A-CLI</t>
  </si>
  <si>
    <t>DJ3AS302209</t>
  </si>
  <si>
    <t>2FAC0100FFFFFFFFC100444A33415333C101303232303900C102000000000000C10338000189A400C104000007660000</t>
  </si>
  <si>
    <t>140000000000</t>
  </si>
  <si>
    <t>305064420007</t>
  </si>
  <si>
    <t>310000311000</t>
  </si>
  <si>
    <t>A530 9210 0086</t>
  </si>
  <si>
    <t>M3/HALO/ESS/ADL/A-CLI</t>
  </si>
  <si>
    <t>RN2BM4AA6FC015380</t>
  </si>
  <si>
    <t>194B0080FFFFFFFFC100524E32424D34C101414136464330C102313533383000C10338001B089400C104000007B50000</t>
  </si>
  <si>
    <t>308000100000</t>
  </si>
  <si>
    <t>2010 C004 204E</t>
  </si>
  <si>
    <t>0609 1924 60E7</t>
  </si>
  <si>
    <t>7166 192A D821</t>
  </si>
  <si>
    <t>09D8 0004 670C</t>
  </si>
  <si>
    <t>A50A 0300 2093</t>
  </si>
  <si>
    <t>0010 5400 26</t>
  </si>
  <si>
    <t>CX-5-Touring/2020/4WD/AT/RHD/LED/ALS/ADL/ESS/ADD/HBC/LDWS/LAS/A-SCBS/SCBS-R/A-BSM/RCTA/DAA/EPB/TSR/MRCC-LIM/FOW/SBS/DRSS/A-CLI2Z/KE/AUTOHOLD</t>
  </si>
  <si>
    <t>JM0KF4WLA00400743</t>
  </si>
  <si>
    <t>1D990080FFFFFFFFC1004A4D304B4634C101574C41303034C102303037343300C103380039092400C104000008974000</t>
  </si>
  <si>
    <t>22D000000005</t>
  </si>
  <si>
    <t>C01000100000</t>
  </si>
  <si>
    <t>300090000000</t>
  </si>
  <si>
    <t>CX-5-Maxx/2014/RHD/4WD/HALO/CC/A-CLI</t>
  </si>
  <si>
    <t>JM0KE102100282508</t>
  </si>
  <si>
    <t>18680080FFFFFFFFC1004A4D304B4531C101303231303032C102383235303800C103380029892400C104000008970000</t>
  </si>
  <si>
    <t>380029892400</t>
  </si>
  <si>
    <t>0814 4084 A0BA</t>
  </si>
  <si>
    <t>0008 1847 9032</t>
  </si>
  <si>
    <t>E066 012A D878</t>
  </si>
  <si>
    <t>8150 0004 A338</t>
  </si>
  <si>
    <t>CX-5-Akera/2017/4WD/RHD/ADL/LED/ALH/HBC/LDWS/LAS/A-SCBS/SCBS-R/A-BSM/RCTA/FOW/SBS/DRSS/MRCC-LIM/DAA/TSR/BOSE/A-CLI/AUTOHOLD</t>
  </si>
  <si>
    <t>JM0KF4W2A00145879</t>
  </si>
  <si>
    <t>1F370080FFFFFFFFC1004A4D304B4634C101573241303031C102343538373900C103380039092400C104000008BE0000</t>
  </si>
  <si>
    <t>543040000000</t>
  </si>
  <si>
    <t>22C000000009</t>
  </si>
  <si>
    <t>30C200440007</t>
  </si>
  <si>
    <t>30E398000000</t>
  </si>
  <si>
    <t>B814 C284 A1ED</t>
  </si>
  <si>
    <t>66AA D354 56BD</t>
  </si>
  <si>
    <t>M3-Astina/2015/RHD/LED/AFLS/HBC/LDWS/SCBS/FOW/SBS/DRSS/MRCC/BOSE/A-CLI</t>
  </si>
  <si>
    <t>JM0BM543810180376</t>
  </si>
  <si>
    <t>1C1A0080FFFFFFFFC1004A4D30424D35C101343338313031C102383033373600C10338001B09A400C104000007BD0000</t>
  </si>
  <si>
    <t>38001B09A400</t>
  </si>
  <si>
    <t>000007BD0000</t>
  </si>
  <si>
    <t>20000000000D</t>
  </si>
  <si>
    <t>308000240000</t>
  </si>
  <si>
    <t>000000200000</t>
  </si>
  <si>
    <t>300000200000</t>
  </si>
  <si>
    <t>2818 C084 A05E</t>
  </si>
  <si>
    <t>0809 1847 A04B</t>
  </si>
  <si>
    <t>2330 9250 0044</t>
  </si>
  <si>
    <t>F166 196E D8E5</t>
  </si>
  <si>
    <t>4150 0005 A3F9</t>
  </si>
  <si>
    <t>A50C 4300 08BD</t>
  </si>
  <si>
    <t>M3-Astina/2017/SD/RHD/ESS/LED/ALH/HBC/LDWS/LAS/A-SCBS/SCBS-R/A-BSM/RCTA/MRCC/DAA/TSR/BOSE/A-CLI</t>
  </si>
  <si>
    <t>JM0BN523610184666</t>
  </si>
  <si>
    <t>1E240080FFFFFFFFC1004A4D30424E35C101323336313031C102383436363600C10338001B08A200C104000007BD0000</t>
  </si>
  <si>
    <t>38001B08A200</t>
  </si>
  <si>
    <t>22000000000D</t>
  </si>
  <si>
    <t>308400400007</t>
  </si>
  <si>
    <t>30E390000000</t>
  </si>
  <si>
    <t>2830 C004 A1F7</t>
  </si>
  <si>
    <t>080D 1947 A050</t>
  </si>
  <si>
    <t>F166 196A D8E1</t>
  </si>
  <si>
    <t>0150 0005 A3B9</t>
  </si>
  <si>
    <t>M6-GT/2018/RHD/ADL/LED/AFLS/ESS/HBC/LDWS/LAS/A-SCBS/SCBS-R/A-BSM/RCTA/FOW/SBS/DRSS/MRCC-LIM/BOSE/A-CLI/AUTOHOLD</t>
  </si>
  <si>
    <t>JM0GL103200307646</t>
  </si>
  <si>
    <t>1F2B0080FFFFFFFFC1004A4D30474C31C101303332303033C102303736343600C10338003888A400C1040000082C0000</t>
  </si>
  <si>
    <t>38003888A400</t>
  </si>
  <si>
    <t>22C000000501</t>
  </si>
  <si>
    <t>30C800448007</t>
  </si>
  <si>
    <t>710000400000</t>
  </si>
  <si>
    <t>1810 E004 A1E7</t>
  </si>
  <si>
    <t>0709 1946 802A</t>
  </si>
  <si>
    <t>84A8 0000 205C</t>
  </si>
  <si>
    <t>F976 096A D8E9</t>
  </si>
  <si>
    <t>11D0 0005 E78D</t>
  </si>
  <si>
    <t>A504 0300 208D</t>
  </si>
  <si>
    <t>0138 9010 9B</t>
  </si>
  <si>
    <t>M6-Touring/2017/RHD/LED/ALS/ESS/A-SCBS/SCBS-R/A-BSM/RCTA/CC/DAA/BOSE/A-CLI</t>
  </si>
  <si>
    <t>JM0GL103100125338</t>
  </si>
  <si>
    <t>1A7C0080FFFFFFFFC1004A4D30474C31C101303331303031C102323533333800C10338003888A400C104000008190000</t>
  </si>
  <si>
    <t>000008190000</t>
  </si>
  <si>
    <t>220000000215</t>
  </si>
  <si>
    <t>340000440007</t>
  </si>
  <si>
    <t>200000200003</t>
  </si>
  <si>
    <t>1810 6004 A167</t>
  </si>
  <si>
    <t>0009 1946 8023</t>
  </si>
  <si>
    <t>0000 9000 009F</t>
  </si>
  <si>
    <t>0018 0000 1038</t>
  </si>
  <si>
    <t>F966 092A D899</t>
  </si>
  <si>
    <t>1150 0006 E30A</t>
  </si>
  <si>
    <t>A504 0308 087D</t>
  </si>
  <si>
    <t>M3-GT/2018/ADL/LED/AFLS/HBC/LDWS/LAS/A-SCBS/A-BSM/RCTA/FOW/SBS/DRSS/MRCC/BOSE/A-CLI</t>
  </si>
  <si>
    <t>3MZBN1W33JM241208</t>
  </si>
  <si>
    <t>1CBE0080FFFFFFFFC100334D5A424E31C1015733334A4D32C102343132303800C10338001B089400C104000007BD0000</t>
  </si>
  <si>
    <t>22000000000F</t>
  </si>
  <si>
    <t>310200100000</t>
  </si>
  <si>
    <t>2001 D414 2164</t>
  </si>
  <si>
    <t>0609 0935 70F8</t>
  </si>
  <si>
    <t>8407 0000 009B</t>
  </si>
  <si>
    <t>F567 F968 D8A4</t>
  </si>
  <si>
    <t>28D0 0005 6D2A</t>
  </si>
  <si>
    <t>E50A 0308 20DB</t>
  </si>
  <si>
    <t>CX-5-GT/2019/4WD/ADL/LED/AFLS/HBC/LDWS/LAS/A-SCBS/A-BSM/RCTA/FOW/SBS/DRSS/MRCC/BOSE/A-CLI/AUTOHOLD</t>
  </si>
  <si>
    <t>JM3KFBDM9K0632425</t>
  </si>
  <si>
    <t>1D2B0080FFFFFFFFC1004A4D334B4642C101444D394B3036C102333234323500C103380039091400C104000008BE4000</t>
  </si>
  <si>
    <t>380039091400</t>
  </si>
  <si>
    <t>314400000000</t>
  </si>
  <si>
    <t>3000A4000000</t>
  </si>
  <si>
    <t>B005 DE94 2182</t>
  </si>
  <si>
    <t>0A09 0E47 A043</t>
  </si>
  <si>
    <t>8424 0000 10C8</t>
  </si>
  <si>
    <t>F567 E168 D8AC</t>
  </si>
  <si>
    <t>66AA 0056 56EC</t>
  </si>
  <si>
    <t>E504 C308 2095</t>
  </si>
  <si>
    <t>CX-9-T/2019/4WD/ADL/LED/ALS/HBC/LDWS/LAS/A-SCBS/SCBS-R/A-BSM/RCTA/FOW/SBS/DRSS/MRCC/BOSE/A-CLI/AUTOHOLD?</t>
  </si>
  <si>
    <t>JM3TCBCY8K0331453</t>
  </si>
  <si>
    <t>1D690080FFFFFFFFC1004A4D33544342C1014359384B3033C102333134353300C10338003C091400C104000008F90000</t>
  </si>
  <si>
    <t>000008F90000</t>
  </si>
  <si>
    <t>22A000000001</t>
  </si>
  <si>
    <t>200001280000</t>
  </si>
  <si>
    <t>31C800240006</t>
  </si>
  <si>
    <t>845C 0000 1000</t>
  </si>
  <si>
    <t>MX-5-GT/2018/LED/AFLS/ESS/HBC/LDWS/BSM/RCTA/CC/BOSE/A-CLI</t>
  </si>
  <si>
    <t>JM1NDAM70J0206184</t>
  </si>
  <si>
    <t>2C190100FFFFFFFFC1004A4D314E4441C1014D37304A3032C102303631383400C1033800090A1400C104000007570000</t>
  </si>
  <si>
    <t>210000000129</t>
  </si>
  <si>
    <t>300380000000</t>
  </si>
  <si>
    <t>717D8033C000</t>
  </si>
  <si>
    <t>5001 DC14 219C</t>
  </si>
  <si>
    <t>CX9-T/2019/RHD/ADL/ESS/LED/ALS/HBC/LDWS/LAS/A-SCBS/SCBS-R/A-BSM/RCTA/FOW/SBS/DRSS/MRCC/DAA/TSR/A-CLI</t>
  </si>
  <si>
    <t>JM0TC2WLA00333332</t>
  </si>
  <si>
    <t>1E340080FFFFFFFFC1004A4D30544332C101574C41303033C102333333333200C10338003C092400C104000008F90000</t>
  </si>
  <si>
    <t>38003C092400</t>
  </si>
  <si>
    <t>31C600440007</t>
  </si>
  <si>
    <t>A814 C884 A1E3</t>
  </si>
  <si>
    <t>0809 1837 902B</t>
  </si>
  <si>
    <t>8458 0000 00EC</t>
  </si>
  <si>
    <t>F066 116A D8D8</t>
  </si>
  <si>
    <t>A503 C308 2054</t>
  </si>
  <si>
    <t>CX9-Azami/2017/RHD/ESS/LED/ALH/HBC/LDWS/LAS/SCBS/SCBS-R/A-BSM/RCTA/FOW/SBS/DRSS/MRCC/DAA/BOSE/A-CLI</t>
  </si>
  <si>
    <t>JM0TC2WLA00112419</t>
  </si>
  <si>
    <t>1D200080FFFFFFFFC1004A4D30544332C101574C41303031C102313234313900C10338003C092400C104000009110000</t>
  </si>
  <si>
    <t>320600440007</t>
  </si>
  <si>
    <t>72B420784F80</t>
  </si>
  <si>
    <t>200000200015</t>
  </si>
  <si>
    <t>20E390000000</t>
  </si>
  <si>
    <t>A814 C284 A0DC</t>
  </si>
  <si>
    <t>0809 2337 9036</t>
  </si>
  <si>
    <t>B820 9250 00C9</t>
  </si>
  <si>
    <t>8C81 0000 708D</t>
  </si>
  <si>
    <t>F066 112A D898</t>
  </si>
  <si>
    <t>66AA D355 56BE</t>
  </si>
  <si>
    <t>8150 0005 A339</t>
  </si>
  <si>
    <t>A501 C308 083A</t>
  </si>
  <si>
    <t>MX-5-Thai/2017/RHD/ADL/ESS/LED/AFLS/HBC/LDWS/CC/BOSE/A-CLI</t>
  </si>
  <si>
    <t>JM6ND2E7AJ0100677</t>
  </si>
  <si>
    <t>2D810100FFFFFFFFC1004A4D364E4432C1014537414A3031C102303036373700C1033800090A2400C104000007570000</t>
  </si>
  <si>
    <t>3800090A2400</t>
  </si>
  <si>
    <t>000008409028</t>
  </si>
  <si>
    <t>703400320000</t>
  </si>
  <si>
    <t>83A865200000</t>
  </si>
  <si>
    <t>5810 C004 A107</t>
  </si>
  <si>
    <t>0809 0326 9005</t>
  </si>
  <si>
    <t>2610 9160 0036</t>
  </si>
  <si>
    <t xml:space="preserve">You can always find the latest version of the file here: </t>
  </si>
  <si>
    <t>-</t>
  </si>
  <si>
    <r>
      <t xml:space="preserve">Original file created by </t>
    </r>
    <r>
      <rPr>
        <b val="true"/>
        <color rgb="FF0000" tint="0"/>
        <sz val="11"/>
        <scheme val="minor"/>
      </rPr>
      <t>Lizzard</t>
    </r>
    <r>
      <rPr>
        <color rgb="9C5700" tint="0"/>
        <sz val="11"/>
        <scheme val="minor"/>
      </rPr>
      <t xml:space="preserve"> from Mazda3Revolution forums.</t>
    </r>
  </si>
  <si>
    <t xml:space="preserve">http://tiny.cc/MazdaAsBuiltEditor </t>
  </si>
  <si>
    <t>UPD0</t>
  </si>
  <si>
    <r>
      <t xml:space="preserve">I decided to improve it a little bit, I guess. Not sure if everyone will consider it an improvement, but maybe it will be useful for someone.
</t>
    </r>
    <r>
      <t xml:space="preserve">So the changes that I made:
</t>
    </r>
    <r>
      <t xml:space="preserve">- Added possibility to easily change each bit of each block. So you have an original data from your car, and you see what bit needs to be changed to what value to change some functionality.
</t>
    </r>
    <r>
      <t xml:space="preserve">- Changed calculation to be based on BIN data, rather than HEX. Meaning that whenever user changes any bit, the BIN value in NEW line changes automatically and based on it, HEX and DEC values are calculated.
</t>
    </r>
    <r>
      <t xml:space="preserve">- Added templates for all possible bits in RBCM (not quite sure it is correct, especially for 7B7-01-03, as I see that one byte is missing there. I'm still noob in these question. Just learning).
</t>
    </r>
    <r>
      <t xml:space="preserve">- Made some additional color coding. Grey fields are to be edited by user. User needs to enter his original HEX values, and make changes to particular bits.
</t>
    </r>
    <r>
      <t xml:space="preserve">- Added Data Validation to those bits fields. If user enters anything besides 0 or 1 he will see an error.
</t>
    </r>
    <r>
      <t>- Added function to trim first character for Checksum.</t>
    </r>
  </si>
  <si>
    <t>UPD1</t>
  </si>
  <si>
    <t>Added screenshot to show the difference between original file (on the left) and my modification (on the right)</t>
  </si>
  <si>
    <t>UPD2</t>
  </si>
  <si>
    <r>
      <t xml:space="preserve">Ok, so I've tried to add support of IC to the file. It is in a separate tab in the file.
</t>
    </r>
    <r>
      <t xml:space="preserve">How it works:
</t>
    </r>
    <r>
      <t xml:space="preserve">Because 720-04-01 has special checksum, I had to add some more data, comparing to RBCM tab.
</t>
    </r>
    <r>
      <t xml:space="preserve">To simplify this for user, so that he won't need to enter all 28 lines of 720-04 block, it is possible to copy-paste it from backup of IC data from FORScan.
</t>
    </r>
    <r>
      <t>So, in FORScan user opens IC module (AS BUILT), clicks SAVE ALL, picks a location. Opens this location, and opens newly created backup file (.abt) in Notepad, for example. There are all blocks of IC module. User needs to copy Block4 data into excel. Then user can change whatever he wants in existing bits available in the file, and it will automatically calculate the checksum in B0B1 bytes of 720-04-01 block, if user made any changes to 720-04-xx bits, for example if he activated Cruise Control.</t>
    </r>
  </si>
  <si>
    <t>UPD3</t>
  </si>
  <si>
    <t>Added "Find My Car" option to RBCM 7B7-01-02 B0 b6. Replaced user values with zeroes.</t>
  </si>
  <si>
    <t>UPD4</t>
  </si>
  <si>
    <t>6.0</t>
  </si>
  <si>
    <r>
      <t xml:space="preserve">- Fixed 7B7-01-03 RBCM Checksum calculation
</t>
    </r>
    <r>
      <t xml:space="preserve">- Added conditional formatting to highlight changed bits
</t>
    </r>
    <r>
      <t>- Renamed the file</t>
    </r>
  </si>
  <si>
    <t>UPD5</t>
  </si>
  <si>
    <t>6.1</t>
  </si>
  <si>
    <r>
      <t xml:space="preserve">- Added 7B7-02-01 RBCM block for future use
</t>
    </r>
    <r>
      <t xml:space="preserve">- Cosmetic changes in Block4 Checksum of IC module to show 00 in B0 and B1 of 720-04-01 when user has not pasted his IC data yet.
</t>
    </r>
    <r>
      <t>- Moved the file to OneDrive folder, where I will be updating it from now on.</t>
    </r>
  </si>
  <si>
    <t>UPD6</t>
  </si>
  <si>
    <t>6.2</t>
  </si>
  <si>
    <t>- Added support of FORScan v2.3.5+ in IC module (Block number does not really matter. In FORScan versions prior to 2.3.5 last block is 4, in versions after 2.3.4 - it has number 3. Just paste the last block from *.abt file [IC module backup] into Excel file [B4 cell]).</t>
  </si>
  <si>
    <t>UPD8</t>
  </si>
  <si>
    <t>6.4</t>
  </si>
  <si>
    <r>
      <t xml:space="preserve">- Added all missing lines in Block 3(4) of IC module.
</t>
    </r>
    <r>
      <t xml:space="preserve">- Added SSU sheet.
</t>
    </r>
    <r>
      <t xml:space="preserve">- Added newly found functions to RBCM, SSU, IC (blue fill). I have not tested any of them, so I don't guarantee that they exactly what is written in the file. Please test and give feedback
</t>
    </r>
    <r>
      <t>- Thanks to vic_bam85 for trying to do the same in this file.</t>
    </r>
  </si>
  <si>
    <t>UPD9</t>
  </si>
  <si>
    <t>6.5</t>
  </si>
  <si>
    <r>
      <t xml:space="preserve">Thanks to mikele, made few changes in IC module:
</t>
    </r>
    <r>
      <t xml:space="preserve">- Added VIN coded in 720-03-03 - 720-03-07. Also removed the ability to calculate new values for these fields. So these are basically read-only in the file now.
</t>
    </r>
    <r>
      <t>- Added Data and Config start bytes, as well as Block numbers. Those are static values that should not be changed, so I removed possibility to calculate their new values.</t>
    </r>
  </si>
  <si>
    <t>UPD10</t>
  </si>
  <si>
    <t>6.6</t>
  </si>
  <si>
    <r>
      <t xml:space="preserve">- Added FSC sheet;
</t>
    </r>
    <r>
      <t xml:space="preserve">- Added edited last block of IC module as a list to be able to copy-paste it to *.abt file to load into FORScan to write it altogether, without the need to re-type each of the changed values (green field, which starts in cell A36). Dunno why I haven't done it earlier;
</t>
    </r>
    <r>
      <t xml:space="preserve">- For previous thing to work, I also added missing 720-04-28 line;
</t>
    </r>
    <r>
      <t xml:space="preserve">- Added i-DM function to IC module [720-04-27] (confirmed to work). Thanks to acastrolee.
</t>
    </r>
    <r>
      <t xml:space="preserve">- Added SCBS-R, DAA [720-04-16] (not yet confirmed by enough people). Thanks to rmaqui.
</t>
    </r>
    <r>
      <t>- Added LAS, LDWS [720-04-19] (confirmed to work by cutidudz). Thanks to lewis-liu.</t>
    </r>
  </si>
  <si>
    <t>UPD11</t>
  </si>
  <si>
    <t>6.7</t>
  </si>
  <si>
    <t>- Added IC sheet for Mazda 2 &amp; CX-3 (53 lines in last block of IC module, instead of 28 in most other cars). No functions have been tested. I verified only calculation of checksum in 720-04-01.</t>
  </si>
  <si>
    <t>UPD12</t>
  </si>
  <si>
    <t>- Added i-ACTIVSENSE sheet with descriptions of various systems in cars and sensors/radars needed for their operation + links to description of those systems on Mazda websites + video description of those systems.</t>
  </si>
  <si>
    <t>UPD13</t>
  </si>
  <si>
    <t>6.8</t>
  </si>
  <si>
    <r>
      <t xml:space="preserve">- Added BCMM sheet for Mazda 2/CX-3. Thanks to bobstar_fr and Maverick_CX3
</t>
    </r>
    <r>
      <t xml:space="preserve">- Fixed few minor typos
</t>
    </r>
    <r>
      <t xml:space="preserve">- Confirmed few options in my car:
</t>
    </r>
    <r>
      <t xml:space="preserve">"Vehicle Telemetry Transfer" sub-menu in "Applications" menu
</t>
    </r>
    <r>
      <t xml:space="preserve">"Unlock Mode" sub-menu in "Settings" - "Vehicle" - "Door Lock" menu
</t>
    </r>
    <r>
      <t xml:space="preserve">"Walk Away Lock" option in "Settings" - "Vehicle" - "Door Lock" menu
</t>
    </r>
    <r>
      <t xml:space="preserve">"Keyless Lock Beep Volume" sub-menu in "Settings" - "Vehicle" - "Door Lock" menu
</t>
    </r>
    <r>
      <t xml:space="preserve">Rear seatbelt indicator and beep after unfastening
</t>
    </r>
    <r>
      <t xml:space="preserve">Driver seatbelt beeper (at 20+ kmph when unfastened)
</t>
    </r>
    <r>
      <t xml:space="preserve">Passenger seatbelt beeper (at 20+ kmph when unfastened)
</t>
    </r>
    <r>
      <t xml:space="preserve">"Lane Departure Warning System" submenu in "Settings" - "Safety" menu
</t>
    </r>
    <r>
      <t xml:space="preserve">"Lane-keep Assist System" submenu in "Settings" - "Safety" menu
</t>
    </r>
    <r>
      <t xml:space="preserve">"Ending Screen" setting in "i-DM" application
</t>
    </r>
    <r>
      <t>- Renamed these options to be more informative as to what they activate and where to find these options</t>
    </r>
  </si>
  <si>
    <t>UPD14</t>
  </si>
  <si>
    <t>6.9</t>
  </si>
  <si>
    <r>
      <t xml:space="preserve">- Added CCC Converter sheet for those who need to easily convert CCC Data from https://web.b2b.mazda.co.jp/AsBuilt/ to FORScan-like view to use in the file.
</t>
    </r>
    <r>
      <t xml:space="preserve">- Added "Low Level Windshield Washer Fluid indicator" value to IC
</t>
    </r>
    <r>
      <t xml:space="preserve">- Few minor UI changes
</t>
    </r>
    <r>
      <t>- Added 02-01 lines to IC, SSU, RBCM modules.</t>
    </r>
  </si>
  <si>
    <t>UPD15</t>
  </si>
  <si>
    <t>6.10</t>
  </si>
  <si>
    <r>
      <t xml:space="preserve">- Added few new values in SSU and BCMM. Thanks to bobstar_fr
</t>
    </r>
    <r>
      <t>- Added Speed Correction calculation to IC sheet. Thanks to lewis-liu</t>
    </r>
  </si>
  <si>
    <t>UPD16</t>
  </si>
  <si>
    <t>6.11</t>
  </si>
  <si>
    <t>- Added "Snowflake icon and sound alarm when outside temperature is &lt;5°C: 1 - Enabled / 0 - Disabled" in 720-01-01 B2 b0</t>
  </si>
  <si>
    <t>UPD17</t>
  </si>
  <si>
    <t>6.12</t>
  </si>
  <si>
    <r>
      <t xml:space="preserve">- Added RCM and FBCM sheets for testing purposes;
</t>
    </r>
    <r>
      <t>- Added some information to RBCM's 7B7-02-01 line;</t>
    </r>
  </si>
  <si>
    <t>UPD18</t>
  </si>
  <si>
    <t>6.13</t>
  </si>
  <si>
    <r>
      <t xml:space="preserve">- Updated RBCM sheet with more findings, mostly in 7B7-01-03;
</t>
    </r>
    <r>
      <t xml:space="preserve">- Added Parking Sensors bits to IC. Thanks to Vadmmc;
</t>
    </r>
    <r>
      <t xml:space="preserve">- Some minor UI (description) changes;
</t>
    </r>
    <r>
      <t>- Added Donate tab [Russia, Ukraine + PayPal] in case anyone wants to support the project.</t>
    </r>
  </si>
  <si>
    <t>UPD19</t>
  </si>
  <si>
    <t>6.14</t>
  </si>
  <si>
    <r>
      <t xml:space="preserve">- Added Rear Fog Lamp value in RBCM B0 b2. Thanks to Fabiomaster;
</t>
    </r>
    <r>
      <t>- Updated description of Region Code in IC.</t>
    </r>
  </si>
  <si>
    <t>UPD20</t>
  </si>
  <si>
    <t>6.16</t>
  </si>
  <si>
    <r>
      <t xml:space="preserve">- Copied stuff from v6.15 by reeeeeeee Description
</t>
    </r>
    <r>
      <t xml:space="preserve">- Added A/C Eco mode to IC
</t>
    </r>
    <r>
      <t xml:space="preserve">- Fixed a typo on CCC Converter sheet. Thanks to IanH
</t>
    </r>
    <r>
      <t>- SCBS related RBCM change added. Thanks to NewFate</t>
    </r>
  </si>
  <si>
    <t>UPD21</t>
  </si>
  <si>
    <t>6.17</t>
  </si>
  <si>
    <r>
      <t xml:space="preserve">- Added LED rear turn signal lights to FBCM (726-01-01-B1 &amp; 726-01-02-B3). Thanks to mazdaKlan from Twitter. Not tested.
</t>
    </r>
    <r>
      <t xml:space="preserve">- Added HBC and LDWS to FSC tab;
</t>
    </r>
    <r>
      <t xml:space="preserve">- Changed description of Parking Sensors in 720-04-16 B2;
</t>
    </r>
    <r>
      <t xml:space="preserve">- Added possibly HBC related value to 720-04-19-B0;
</t>
    </r>
    <r>
      <t>- Changed the RVM/BSM description in 720-04-21-B1.</t>
    </r>
  </si>
  <si>
    <t>UPD22</t>
  </si>
  <si>
    <t>6.18</t>
  </si>
  <si>
    <r>
      <t xml:space="preserve">- With help of Nikodim, we split FSC tab to two separate tabs for Gen 1 and Gen 2 accordingly.
</t>
    </r>
    <r>
      <t xml:space="preserve">- Also changed some info on IC related to FSC Gen1/2
</t>
    </r>
    <r>
      <t xml:space="preserve">- Added DRL to FBCM tab. Thanks to reeeeeeee
</t>
    </r>
    <r>
      <t xml:space="preserve">- Added separate column on i-ActivSense tab for FSC Gen 2, and fixed some info on this sheet
</t>
    </r>
    <r>
      <t xml:space="preserve">- Added links to few of my Tutorial videos for activation of i-DM, Cruise Control and Auto Door Lock. Can be useful to understand how to work with the file.
</t>
    </r>
    <r>
      <t>- Most of these changes were done a while ago, but I moved old file to archive folder just now.</t>
    </r>
  </si>
  <si>
    <t>UPD23</t>
  </si>
  <si>
    <t>6.19</t>
  </si>
  <si>
    <r>
      <t xml:space="preserve">1. Changed 720-04(03)-xx to 720-04-xx, because it's redundant right not. All latest FORScan version have this block as 04, and not 03.
</t>
    </r>
    <r>
      <t xml:space="preserve">2. Because of this, I removed custom support of different Block numbers in IC, and hardcoded 04 as Source value of Block number. This also fixes the issue with FORScan versions 2.3.23+, which have changed logic of Block and Line numbering. Read more about it here - https://forscan.org/forum/viewtopic.php?t=10099
</t>
    </r>
    <r>
      <t xml:space="preserve">3. Added findings by enlil to FSC gen 2 tab. Block 02.
</t>
    </r>
    <r>
      <t>4 .Some minor changes probably along the way.</t>
    </r>
  </si>
  <si>
    <t>UPD24</t>
  </si>
  <si>
    <t>6.20</t>
  </si>
  <si>
    <r>
      <t xml:space="preserve">1. Made many changes when file was in 6.19 version. Was saving the file on top of the previous. Did not document all of them
</t>
    </r>
    <r>
      <t xml:space="preserve">2. Added CCC Research tab, created by Nikodim. More questions can be asked directly to him
</t>
    </r>
    <r>
      <t xml:space="preserve">3. Added Cruise Control buttons mapping in 720-04-23 B4. Thanks to mak22223
</t>
    </r>
    <r>
      <t xml:space="preserve">4. Changed FOW/SBS/DRSS/MRCC description in 720-04-17 B2. Thanks to mak22223
</t>
    </r>
    <r>
      <t xml:space="preserve">5. Added MRCC Stop&amp;Go, as per joe_wang2018 and sath89
</t>
    </r>
    <r>
      <t>6. Added RHD/LHD value in 720-04-08 B3, as per Nikodim</t>
    </r>
  </si>
  <si>
    <t>UPD25</t>
  </si>
  <si>
    <r>
      <t xml:space="preserve">1. Added FORScan Backup columns to RCM, RBCM, FBCM, SSU, IC, FSC Gen 1, FSC Gen2 - this allows using Save All in Forscan and simply copy-paste data from *.abt file into Excel. No need to manually type in each byte anymore.
</t>
    </r>
    <r>
      <t>2. Few minor changes here and there.</t>
    </r>
  </si>
  <si>
    <t>UPD26</t>
  </si>
  <si>
    <t>6.21</t>
  </si>
  <si>
    <r>
      <t xml:space="preserve">1. Improved FORScan Old/New columns in IC module to include various versions of 720-01 Block, which can be 6-7-9 lines.
</t>
    </r>
    <r>
      <t xml:space="preserve">2. Added 720-01-03 - 720-01-09 lines into the main table, because those cars which have 9 lines in first block have various data there, instead of simply zeros, like in the rest of cars with 6 or 7 lines.
</t>
    </r>
    <r>
      <t xml:space="preserve">3. Added Old/New columns to IC (Mazda 2, CX-3) and BCMM tabs
</t>
    </r>
    <r>
      <t>4. Added some changes in IC and FSC modules, as per findings by mak22223 and Nikodim</t>
    </r>
  </si>
  <si>
    <t>UPD27</t>
  </si>
  <si>
    <t>6.22</t>
  </si>
  <si>
    <r>
      <t xml:space="preserve">1. Fixed wrong links in table on Donate&amp;Tutorial tab, which were introduced in v6.21. Thanks Tristan-cx5 for the heads up;
</t>
    </r>
    <r>
      <t xml:space="preserve">2. Added Seats heating depending on Cloth/Leather seat type; Thanks NewFate
</t>
    </r>
    <r>
      <t>3. Added new link to As-Built website. Thanks Nikodim.</t>
    </r>
  </si>
  <si>
    <t>UPD28</t>
  </si>
  <si>
    <t>6.23</t>
  </si>
  <si>
    <r>
      <t xml:space="preserve">1. Fixed A and B columns in IC (Mazda 2 &amp; CX-3) tab. Now you can paste full data from FORScan *.abt backup files straight into the file, as it was for ordinary IC tab. I hope I did not brake anything else with this update - let me know if I did.
</t>
    </r>
    <r>
      <t>2. Added a lot of findings by Nikodim.</t>
    </r>
  </si>
  <si>
    <t>UPD29</t>
  </si>
  <si>
    <t>1. Added FSC Gen 2 - 706-02-02 line back</t>
  </si>
  <si>
    <t>UPD30</t>
  </si>
  <si>
    <t>Added Fuel Sensor Type to IC B1 b0. Thanks to Marek Malik</t>
  </si>
  <si>
    <t>UPD31</t>
  </si>
  <si>
    <t>Changed Rear glass heating values. Seems to have been vice versa.</t>
  </si>
  <si>
    <t>UPD32</t>
  </si>
  <si>
    <r>
      <t xml:space="preserve">1. Added ADL (Default Setting) description to RBCM 7B7-01-02 B4. Thanks to uehiro from Mazda3Revolution.
</t>
    </r>
    <r>
      <t>2. Renamed LIM to ASL (Adjustable Speed Limiter)</t>
    </r>
  </si>
  <si>
    <t>UPD33</t>
  </si>
  <si>
    <t>Added PTC Heater in IC 720-04-22 B1 b1b0. Thanks to NewFate and Nikodim</t>
  </si>
  <si>
    <t>UPD34</t>
  </si>
  <si>
    <t>Cell format change</t>
  </si>
  <si>
    <t>UPD35</t>
  </si>
  <si>
    <t>Added EPB to 720-04-12 B3b1. Thanks Nikodim</t>
  </si>
  <si>
    <t>UPD36</t>
  </si>
  <si>
    <t>Fixed Seats heating position from B0 to B2 in 720-04-26.  Thanks NewFate</t>
  </si>
  <si>
    <t>UPD37</t>
  </si>
  <si>
    <t>Fixed regression in RBCM 7B7-01-02 B4 b3 ADL value, which was introduced by me in one of latest updates.</t>
  </si>
  <si>
    <t>UPD38</t>
  </si>
  <si>
    <t>6.24</t>
  </si>
  <si>
    <r>
      <t xml:space="preserve">1. Added some finds regarding Burglar Alarm. Thanks to NewFate
</t>
    </r>
    <r>
      <t xml:space="preserve">2. Added some findings regarding LAS. Thanks to Nikodim.
</t>
    </r>
    <r>
      <t xml:space="preserve">3. Some fixes in names of functions (i.e. Air Con.)
</t>
    </r>
    <r>
      <t>4. Styling (added Notes which show the content of the cell)</t>
    </r>
  </si>
  <si>
    <t>UPD39</t>
  </si>
  <si>
    <t>6.25</t>
  </si>
  <si>
    <r>
      <rPr>
        <b val="true"/>
        <color theme="1" tint="0"/>
        <sz val="11"/>
        <scheme val="minor"/>
      </rPr>
      <t xml:space="preserve">Update fully made by @banbat
</t>
    </r>
    <r>
      <rPr>
        <color theme="1" tint="0"/>
        <sz val="11"/>
        <scheme val="minor"/>
      </rPr>
      <t xml:space="preserve">1. Added support of Gx (G1,G2,G3..) format. Now format of "New" column will be the same as defined in "Orig" column;
</t>
    </r>
    <r>
      <rPr>
        <color theme="1" tint="0"/>
        <sz val="11"/>
        <scheme val="minor"/>
      </rPr>
      <t xml:space="preserve">2. Changed Format for "New" Column:
</t>
    </r>
    <r>
      <rPr>
        <color theme="1" tint="0"/>
        <sz val="11"/>
        <scheme val="minor"/>
      </rPr>
      <t xml:space="preserve">     a. Green Fill means Cell Address is valid for this particular block
</t>
    </r>
    <r>
      <rPr>
        <color theme="1" tint="0"/>
        <sz val="11"/>
        <scheme val="minor"/>
      </rPr>
      <t xml:space="preserve">     b. Red Text mens value in "New" Cell is not equal to value in "Old" Cell</t>
    </r>
  </si>
  <si>
    <t>UPD40</t>
  </si>
  <si>
    <t>6.26</t>
  </si>
  <si>
    <t>Added some findings by Nikodim in various modules.</t>
  </si>
  <si>
    <t>UPD41</t>
  </si>
  <si>
    <t>Added Parking Brake IC icon in 720-01-01 B3 b5b4. Thanks to NewFate</t>
  </si>
  <si>
    <t>UPD42</t>
  </si>
  <si>
    <t>Updated SSU 731-01-02 B2 reagrding to Keyfob types. Thanks to NewFate</t>
  </si>
  <si>
    <t>UPD43</t>
  </si>
  <si>
    <t>6.27</t>
  </si>
  <si>
    <t>Fixed 720-02-01 line, which sometimes has 3 Bytes instead of 5.</t>
  </si>
  <si>
    <t>UPD44</t>
  </si>
  <si>
    <t>Added PayPal account to Donate tab</t>
  </si>
  <si>
    <t>UPD45</t>
  </si>
  <si>
    <t>6.28</t>
  </si>
  <si>
    <r>
      <t xml:space="preserve">Added ability to change VIN code - simply replace needed symbols in BIG squares in the right part of the IC sheet
</t>
    </r>
    <r>
      <t>Changed values and description of DRL/Bambi mode in FBCM</t>
    </r>
  </si>
  <si>
    <t>UPD46</t>
  </si>
  <si>
    <t>Fixed a regression mistake in IC tab line 720-04-19. Thanks to @AsteriXD letting me know.</t>
  </si>
  <si>
    <t>UPD47</t>
  </si>
  <si>
    <t>6.29</t>
  </si>
  <si>
    <t>Added MRCC with ISA to IC 720-04-23, fixed few minor mistakes/typos.</t>
  </si>
  <si>
    <t>UPD48</t>
  </si>
  <si>
    <t>Udated links in i-Activesense tab</t>
  </si>
  <si>
    <t>UPD49</t>
  </si>
  <si>
    <t>Added another link to get As-Built data to CCC Converter tab</t>
  </si>
  <si>
    <t>UPD50</t>
  </si>
  <si>
    <t>UPD51</t>
  </si>
  <si>
    <t>6.30</t>
  </si>
  <si>
    <t>Fixed some minor issues here and there. Thanks to Malte Weyer</t>
  </si>
  <si>
    <t>UPD52</t>
  </si>
  <si>
    <t>6.31</t>
  </si>
  <si>
    <t>Added more info to FSC Gen 2 related to TSR function. Thanks to @AsteriXD, @e_vashchuk, @AKS_1930</t>
  </si>
  <si>
    <t>UPD53</t>
  </si>
  <si>
    <t>7.00</t>
  </si>
  <si>
    <r>
      <rPr>
        <b val="true"/>
        <color theme="1" tint="0"/>
        <sz val="11"/>
        <scheme val="minor"/>
      </rPr>
      <t>Merged IC tabs for M2/CX-3/MX-5 and all other models in one tab</t>
    </r>
    <r>
      <rPr>
        <color theme="1" tint="0"/>
        <sz val="11"/>
        <scheme val="minor"/>
      </rPr>
      <t xml:space="preserve"> - bugs are possible. If you find any - contact me via Telegram @SergSlim or via email - sergslim@gmail.com
</t>
    </r>
    <r>
      <rPr>
        <color theme="1" tint="0"/>
        <sz val="11"/>
        <scheme val="minor"/>
      </rPr>
      <t>Updated info about BSM (720-04-21), RVM (720-04-19), Destination (720-04-11), Body Style/Steering Wheel Location (720-04-08), Headlight Levelling (720-04-14)</t>
    </r>
  </si>
  <si>
    <t>UPD54</t>
  </si>
  <si>
    <t>7.01</t>
  </si>
  <si>
    <t>Added Headlight Off Timer bit in FBCM. Also added it to the table in Donate&amp;Tutorial tab.</t>
  </si>
  <si>
    <t>UPD55</t>
  </si>
  <si>
    <t>7.02</t>
  </si>
  <si>
    <t>Added separate tab for GWU_MZ module</t>
  </si>
  <si>
    <t>UPD56</t>
  </si>
  <si>
    <t>7.03</t>
  </si>
  <si>
    <t>Added separate tabs for 4x4, BSM, HUD_MZ in case anyone needs them. + some minor visual fixes.</t>
  </si>
  <si>
    <t>UPD57</t>
  </si>
  <si>
    <t>Made some updates in i-ActivSense tab.</t>
  </si>
  <si>
    <t>7.04</t>
  </si>
  <si>
    <t>Added new parser for *.ab files downloaded from Mazda website. It supports parsing not only CCC, as previously, but all main modules - FBCM, RBCM, IC (Block 1 and 4), RCM, SSU</t>
  </si>
  <si>
    <t>UPD58</t>
  </si>
  <si>
    <t>Changed description of Regional byte in 720-01-01 a little bit</t>
  </si>
  <si>
    <t>UPD59</t>
  </si>
  <si>
    <t>Added Known Differences for Regional Byte and Destination Byte</t>
  </si>
  <si>
    <t>UPD60</t>
  </si>
  <si>
    <t>7.05</t>
  </si>
  <si>
    <t>Added Power Liftgate and Handsfree Power Liftgate info to IC 720-04-14. Thanks to @NewFate1</t>
  </si>
  <si>
    <t>UPD61</t>
  </si>
  <si>
    <t>7.06</t>
  </si>
  <si>
    <t>Added/Updated Permament Values in SSU, RCM, RBCM, FSC, IC, FBCM, BCMM based on info from 1500 cars. If you come across a configuration that has different value than noted as Permanent Value - please let me know in Telegram @SergSlim or via email - sergslim@gmail.com</t>
  </si>
  <si>
    <t>UPD62</t>
  </si>
  <si>
    <t>Added Japan-specific SCBS configuration to description</t>
  </si>
  <si>
    <t>UPD63</t>
  </si>
  <si>
    <t>Added Fuel Tank level in IC 720-01-01 B2 b7. Thanks to @Raider_od</t>
  </si>
  <si>
    <t>UPD64</t>
  </si>
  <si>
    <t>Added disclaimer about Office version</t>
  </si>
  <si>
    <t>UPD65</t>
  </si>
  <si>
    <t>7.07</t>
  </si>
  <si>
    <t>Added support for shorter ;Block 2 in IC for older CX-5</t>
  </si>
  <si>
    <t>UPD66</t>
  </si>
  <si>
    <t>7.08</t>
  </si>
  <si>
    <t>Added new video Tutorials (Part 2) on how to use the file. Available on Donate&amp;Tutorial tab.</t>
  </si>
  <si>
    <t>UPD67</t>
  </si>
  <si>
    <t>7.09</t>
  </si>
  <si>
    <t>Added new bit related to Parking Sensors in 720-04-16 B2 b4. Thanks to @Sam_k</t>
  </si>
  <si>
    <t>UPD68</t>
  </si>
  <si>
    <t>Updated links to As-Built Search engine</t>
  </si>
  <si>
    <t>UPD69</t>
  </si>
  <si>
    <t>7.10</t>
  </si>
  <si>
    <t>Reorganized tabs location. First priority first, then the rest which are used rarely.</t>
  </si>
  <si>
    <t>UPD70</t>
  </si>
  <si>
    <t xml:space="preserve">Clarified descriptions of functions in RBCM 7B7-01-01 B4 related to auxiliary key; added additional Japanese SCBS configuration + relations to SCBS in adjacent bytes/bits of BF09 </t>
  </si>
  <si>
    <t>UPD71</t>
  </si>
  <si>
    <t>7.11</t>
  </si>
  <si>
    <r>
      <t xml:space="preserve">Fixed tiny issue in SSU line 3 ab Converter function.
</t>
    </r>
    <r>
      <t>Changed description of AKE in SSU 731-01-02 B0. Thanks @Lowmark93</t>
    </r>
  </si>
  <si>
    <t>UPD72</t>
  </si>
  <si>
    <t>Changed tag in previous update, did some minor visual updates (borders of cells + top align).</t>
  </si>
  <si>
    <t>UPD73</t>
  </si>
  <si>
    <t>Removed "Permanent value" from 720-04-21 B0 b0. Thanks @Jitto</t>
  </si>
  <si>
    <t>UPD77</t>
  </si>
  <si>
    <t>7.12</t>
  </si>
  <si>
    <r>
      <t xml:space="preserve">Added description to SSU 731-01-01 B2 b1 - related to Power Liftgate open button operation.
</t>
    </r>
    <r>
      <t>Added description to SSU 731-01-01 B3 b5 - related to beeping when ignition is in ACC and driver's door is open.</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</si>
  <si>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</si>
  <si>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761G1G100000000006A</t>
  </si>
  <si>
    <t>761-01-01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</si>
  <si>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</si>
  <si>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</si>
  <si>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</si>
  <si>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</si>
  <si>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</si>
  <si>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</si>
  <si>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t>761G1G20000006B</t>
  </si>
  <si>
    <t>61</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</si>
  <si>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in HEX</t>
    </r>
  </si>
  <si>
    <t>761-01-02 B0 B1 B2 B3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</si>
  <si>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</si>
  <si>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</si>
  <si>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</si>
  <si>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B3</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</si>
  <si>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in HEX</t>
    </r>
  </si>
  <si>
    <t>7C4G2G100CE</t>
  </si>
  <si>
    <t>7C4-01-01 B0 B1 B2 B3 B4 B5 in HEX</t>
  </si>
  <si>
    <r>
      <rPr>
        <color rgb="7030A0" tint="0"/>
        <sz val="11"/>
        <scheme val="minor"/>
      </rPr>
      <t xml:space="preserve">B0 </t>
    </r>
    <r>
      <rPr>
        <color theme="1" tint="0"/>
        <sz val="11"/>
        <scheme val="minor"/>
      </rPr>
      <t>in BIN (0 or 1):</t>
    </r>
  </si>
  <si>
    <r>
      <rPr>
        <color rgb="92D050" tint="0"/>
        <sz val="11"/>
        <scheme val="minor"/>
      </rPr>
      <t>B1</t>
    </r>
    <r>
      <rPr>
        <color theme="1" tint="0"/>
        <sz val="11"/>
        <scheme val="minor"/>
      </rPr>
      <t xml:space="preserve"> - CHECKSUM</t>
    </r>
  </si>
  <si>
    <t>C4</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</si>
  <si>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</si>
  <si>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7A5G1G10000000000AE</t>
  </si>
  <si>
    <r>
      <t>7A5-01-01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</si>
  <si>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</si>
  <si>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</si>
  <si>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</si>
  <si>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</si>
  <si>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</si>
  <si>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</si>
  <si>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t>7A5G1G20000000000AF</t>
  </si>
  <si>
    <t>A5</t>
  </si>
  <si>
    <t>7A5G1G30000000000B0</t>
  </si>
  <si>
    <t>7A5G1G40000000000B1</t>
  </si>
  <si>
    <t>7A5G1G50000000000B2</t>
  </si>
  <si>
    <t>7A5G1G60000000000B3</t>
  </si>
  <si>
    <t>7A5G1G70000000000B4</t>
  </si>
  <si>
    <t>7A5G1G80000000000B5</t>
  </si>
  <si>
    <t>7A5G1G90000000000B6</t>
  </si>
  <si>
    <t>7A5G1GA0000000000BD</t>
  </si>
  <si>
    <t>7A5G1GB0000000000BE</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</si>
  <si>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</si>
  <si>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7A5G1GC0000000000BF</t>
  </si>
  <si>
    <r>
      <t>7A5-01-02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</si>
  <si>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</si>
  <si>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</si>
  <si>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</si>
  <si>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</si>
  <si>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</si>
  <si>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</si>
  <si>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t>7A5G1GD0000000000C0</t>
  </si>
  <si>
    <t>7A5G1GE0000000000C1</t>
  </si>
  <si>
    <t>7A5G1GF0000000000C2</t>
  </si>
  <si>
    <t>7A5G1H00000000000C3</t>
  </si>
  <si>
    <t>7A5G1H10000000000C4</t>
  </si>
  <si>
    <t>7A5G1H20000000000C5</t>
  </si>
  <si>
    <t>7A5G1H30000000000C6</t>
  </si>
  <si>
    <t>7A5G1H40000000000CD</t>
  </si>
  <si>
    <t>7A5G1H50000000000CE</t>
  </si>
  <si>
    <t>7A5G1H60000000000CF</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</si>
  <si>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</si>
  <si>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7A5G1H70000000000D0</t>
  </si>
  <si>
    <r>
      <t>7A5-01-03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</si>
  <si>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</si>
  <si>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</si>
  <si>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</si>
  <si>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</si>
  <si>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</si>
  <si>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</si>
  <si>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7A5G1H80000000000D1</t>
  </si>
  <si>
    <t>7A5G1H90000000000D2</t>
  </si>
  <si>
    <t>7A5G1HA0000000000D3</t>
  </si>
  <si>
    <t>7A5G1HB0000000000D4</t>
  </si>
  <si>
    <t>7A5G1HC0000000000D5</t>
  </si>
  <si>
    <t>7A5G1HD0000000000D6</t>
  </si>
  <si>
    <t>7A5G1HE0000000000DD</t>
  </si>
  <si>
    <t>7A5G1HF0000000000DE</t>
  </si>
  <si>
    <t>7A5G1I00000000000DF</t>
  </si>
  <si>
    <t>7A5G1I10000000000E0</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</si>
  <si>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</si>
  <si>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7A5G1I20000000000E1</t>
  </si>
  <si>
    <r>
      <t>7A5-01-04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</si>
  <si>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</si>
  <si>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</si>
  <si>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</si>
  <si>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</si>
  <si>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</si>
  <si>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</si>
  <si>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7A5G1I30000000000E2</t>
  </si>
  <si>
    <t>7A5G1I40000000000E3</t>
  </si>
  <si>
    <t>7A5G1I50000000000E4</t>
  </si>
  <si>
    <t>7A5G1I60000000000E5</t>
  </si>
  <si>
    <t>7A5G1I70000000000E6</t>
  </si>
  <si>
    <t>7A5G1I80000000000ED</t>
  </si>
  <si>
    <t>7A5G1I90000000000EE</t>
  </si>
  <si>
    <t>7A5G1IA0000000000EF</t>
  </si>
  <si>
    <t>7A5G1IB0000000000F0</t>
  </si>
  <si>
    <t>7A5G1IC0000000000F1</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</si>
  <si>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</si>
  <si>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7A5G1ID0000000000F2</t>
  </si>
  <si>
    <r>
      <t>7A5-01-05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</si>
  <si>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</si>
  <si>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</si>
  <si>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</si>
  <si>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</si>
  <si>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</si>
  <si>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</si>
  <si>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t>7A5G1IE0000000000F3</t>
  </si>
  <si>
    <t>7A5G1IF0000000000F4</t>
  </si>
  <si>
    <t>7A5G1J00000000000F5</t>
  </si>
  <si>
    <t>7A5G1J10000000000F6</t>
  </si>
  <si>
    <t>7A5G1J20000000000FD</t>
  </si>
  <si>
    <t>7A5G1J30000000000FE</t>
  </si>
  <si>
    <t>7A5G1J40000000000FF</t>
  </si>
  <si>
    <t>7A5G1J50000000000</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</si>
  <si>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</si>
  <si>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7A5-01-06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</si>
  <si>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</si>
  <si>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</si>
  <si>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</si>
  <si>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</si>
  <si>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</si>
  <si>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</si>
  <si>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</si>
  <si>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7A5-01-07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</si>
  <si>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</si>
  <si>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</si>
  <si>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</si>
  <si>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</si>
  <si>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</si>
  <si>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</si>
  <si>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</si>
  <si>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7A5-01-08</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</si>
  <si>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</si>
  <si>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</si>
  <si>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</si>
  <si>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</si>
  <si>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</si>
  <si>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</si>
  <si>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</si>
  <si>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7A5-01-09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</si>
  <si>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</si>
  <si>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</si>
  <si>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</si>
  <si>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</si>
  <si>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</si>
  <si>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</si>
  <si>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</si>
  <si>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</si>
  <si>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</si>
  <si>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</si>
  <si>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</si>
  <si>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</si>
  <si>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</si>
  <si>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</si>
  <si>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</si>
  <si>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</si>
  <si>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</si>
  <si>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</si>
  <si>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</si>
  <si>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</si>
  <si>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</si>
  <si>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</si>
  <si>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</si>
  <si>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</si>
  <si>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</si>
  <si>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</si>
  <si>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</si>
  <si>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</si>
  <si>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</si>
  <si>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</si>
  <si>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</si>
  <si>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</si>
  <si>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</si>
  <si>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</si>
  <si>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</si>
  <si>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</si>
  <si>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</si>
  <si>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</si>
  <si>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</si>
  <si>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</si>
  <si>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</si>
  <si>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</si>
  <si>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</si>
  <si>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</si>
  <si>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</si>
  <si>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</si>
  <si>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</si>
  <si>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</si>
  <si>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</si>
  <si>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</si>
  <si>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</si>
  <si>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</si>
  <si>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</si>
  <si>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</si>
  <si>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</si>
  <si>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</si>
  <si>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</si>
  <si>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</si>
  <si>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</si>
  <si>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</si>
  <si>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</si>
  <si>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</si>
  <si>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</si>
  <si>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</si>
  <si>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</si>
  <si>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</si>
  <si>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</si>
  <si>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</si>
  <si>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</si>
  <si>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</si>
  <si>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</si>
  <si>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7A5-01-18 </t>
    </r>
    <r>
      <rPr>
        <b val="false"/>
        <color theme="1" tint="0"/>
        <sz val="11"/>
        <scheme val="minor"/>
      </rPr>
      <t>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</si>
  <si>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</si>
  <si>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</si>
  <si>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</si>
  <si>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</si>
  <si>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</si>
  <si>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</si>
  <si>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</si>
  <si>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7A5-01-19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</si>
  <si>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</si>
  <si>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</si>
  <si>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</si>
  <si>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</si>
  <si>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</si>
  <si>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</si>
  <si>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</si>
  <si>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</si>
  <si>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</si>
  <si>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</si>
  <si>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</si>
  <si>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</si>
  <si>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</si>
  <si>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</si>
  <si>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</si>
  <si>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</si>
  <si>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</si>
  <si>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</si>
  <si>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</si>
  <si>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</si>
  <si>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</si>
  <si>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</si>
  <si>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</si>
  <si>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</si>
  <si>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</si>
  <si>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</si>
  <si>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</si>
  <si>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</si>
  <si>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</si>
  <si>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</si>
  <si>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</si>
  <si>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 xml:space="preserve">7A5-01-23 </t>
    </r>
    <r>
      <rPr>
        <b val="false"/>
        <color theme="1" tint="0"/>
        <sz val="11"/>
        <scheme val="minor"/>
      </rPr>
      <t>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</si>
  <si>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</si>
  <si>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</si>
  <si>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</si>
  <si>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</si>
  <si>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</si>
  <si>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</si>
  <si>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</si>
  <si>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</si>
  <si>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</si>
  <si>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</si>
  <si>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</si>
  <si>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</si>
  <si>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</si>
  <si>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</si>
  <si>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</si>
  <si>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</si>
  <si>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</si>
  <si>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</si>
  <si>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</si>
  <si>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</si>
  <si>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</si>
  <si>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</si>
  <si>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</si>
  <si>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</si>
  <si>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</si>
  <si>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</si>
  <si>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</si>
  <si>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</si>
  <si>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</si>
  <si>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</si>
  <si>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</si>
  <si>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</si>
  <si>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</si>
  <si>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</si>
  <si>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</si>
  <si>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</si>
  <si>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</si>
  <si>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</si>
  <si>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</si>
  <si>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7A5-01-28</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</si>
  <si>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</si>
  <si>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</si>
  <si>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</si>
  <si>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</si>
  <si>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</si>
  <si>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</si>
  <si>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</si>
  <si>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7A5-01-29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</si>
  <si>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</si>
  <si>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</si>
  <si>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</si>
  <si>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</si>
  <si>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</si>
  <si>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</si>
  <si>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</si>
  <si>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</si>
  <si>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</si>
  <si>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</si>
  <si>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</si>
  <si>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</si>
  <si>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</si>
  <si>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</si>
  <si>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</si>
  <si>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</si>
  <si>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</si>
  <si>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</si>
  <si>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</si>
  <si>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</si>
  <si>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</si>
  <si>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</si>
  <si>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</si>
  <si>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</si>
  <si>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</si>
  <si>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</si>
  <si>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</si>
  <si>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</si>
  <si>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</si>
  <si>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</si>
  <si>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</si>
  <si>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</si>
  <si>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</si>
  <si>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</si>
  <si>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</si>
  <si>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</si>
  <si>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</si>
  <si>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</si>
  <si>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t>7A5-01-34</t>
    </r>
    <r>
      <rPr>
        <b val="false"/>
        <color theme="1" tint="0"/>
        <sz val="11"/>
        <scheme val="minor"/>
      </rPr>
      <t xml:space="preserve"> </t>
    </r>
    <r>
      <rPr>
        <b val="false"/>
        <color rgb="7030A0" tint="0"/>
        <sz val="11"/>
        <scheme val="minor"/>
      </rPr>
      <t>B0</t>
    </r>
    <r>
      <rPr>
        <b val="false"/>
        <color theme="1" tint="0"/>
        <sz val="11"/>
        <scheme val="minor"/>
      </rPr>
      <t xml:space="preserve"> </t>
    </r>
    <r>
      <rPr>
        <b val="false"/>
        <color rgb="FF0000" tint="0"/>
        <sz val="11"/>
        <scheme val="minor"/>
      </rPr>
      <t>B1</t>
    </r>
    <r>
      <rPr>
        <b val="false"/>
        <color theme="1" tint="0"/>
        <sz val="11"/>
        <scheme val="minor"/>
      </rPr>
      <t xml:space="preserve"> </t>
    </r>
    <r>
      <rPr>
        <b val="false"/>
        <color rgb="FFC000" tint="0"/>
        <sz val="11"/>
        <scheme val="minor"/>
      </rPr>
      <t>B2</t>
    </r>
    <r>
      <rPr>
        <b val="false"/>
        <color theme="1" tint="0"/>
        <sz val="11"/>
        <scheme val="minor"/>
      </rPr>
      <t xml:space="preserve"> </t>
    </r>
    <r>
      <rPr>
        <b val="false"/>
        <color rgb="FFFF00" tint="0"/>
        <sz val="11"/>
        <scheme val="minor"/>
      </rPr>
      <t>B3</t>
    </r>
    <r>
      <rPr>
        <b val="false"/>
        <color theme="1" tint="0"/>
        <sz val="11"/>
        <scheme val="minor"/>
      </rPr>
      <t xml:space="preserve"> </t>
    </r>
    <r>
      <rPr>
        <b val="false"/>
        <color theme="4" tint="0"/>
        <sz val="11"/>
        <scheme val="minor"/>
      </rPr>
      <t>B4</t>
    </r>
    <r>
      <rPr>
        <b val="false"/>
        <color theme="1" tint="0"/>
        <sz val="11"/>
        <scheme val="minor"/>
      </rPr>
      <t xml:space="preserve"> </t>
    </r>
    <r>
      <rPr>
        <b val="false"/>
        <color rgb="92D050" tint="0"/>
        <sz val="11"/>
        <scheme val="minor"/>
      </rPr>
      <t>B5</t>
    </r>
    <r>
      <rPr>
        <b val="false"/>
        <color theme="1" tint="0"/>
        <sz val="11"/>
        <scheme val="minor"/>
      </rPr>
      <t xml:space="preserve"> in HEX</t>
    </r>
  </si>
  <si>
    <r>
      <t>7A5-01-34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</si>
  <si>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</si>
  <si>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</si>
  <si>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</si>
  <si>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</si>
  <si>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</si>
  <si>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</si>
  <si>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</si>
  <si>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</si>
  <si>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</si>
  <si>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</si>
  <si>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</si>
  <si>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</si>
  <si>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</si>
  <si>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</si>
  <si>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</si>
  <si>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</si>
  <si>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</si>
  <si>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</si>
  <si>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</si>
  <si>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</si>
  <si>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</si>
  <si>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</si>
  <si>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</si>
  <si>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</si>
  <si>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</si>
  <si>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</si>
  <si>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</si>
  <si>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</si>
  <si>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</si>
  <si>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</si>
  <si>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</si>
  <si>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7A5-01-38</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</si>
  <si>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</si>
  <si>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</si>
  <si>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</si>
  <si>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</si>
  <si>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</si>
  <si>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</si>
  <si>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</si>
  <si>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7A5-01-39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</si>
  <si>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</si>
  <si>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</si>
  <si>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</si>
  <si>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</si>
  <si>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</si>
  <si>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</si>
  <si>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</si>
  <si>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</si>
  <si>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</si>
  <si>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</si>
  <si>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</si>
  <si>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</si>
  <si>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</si>
  <si>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</si>
  <si>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</si>
  <si>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</si>
  <si>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</si>
  <si>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</si>
  <si>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</si>
  <si>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</si>
  <si>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</si>
  <si>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</si>
  <si>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</si>
  <si>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</si>
  <si>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</si>
  <si>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</si>
  <si>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</si>
  <si>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</si>
  <si>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</si>
  <si>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</si>
  <si>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</si>
  <si>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</si>
  <si>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</si>
  <si>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</si>
  <si>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</si>
  <si>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</si>
  <si>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</si>
  <si>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</si>
  <si>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</si>
  <si>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7A5-01-44</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</si>
  <si>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</si>
  <si>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</si>
  <si>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</si>
  <si>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</si>
  <si>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</si>
  <si>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</si>
  <si>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</si>
  <si>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7A5-01-45</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</si>
  <si>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</si>
  <si>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</si>
  <si>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</si>
  <si>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</si>
  <si>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</si>
  <si>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</si>
  <si>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</si>
  <si>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7A5-01-46</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</si>
  <si>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</si>
  <si>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</si>
  <si>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</si>
  <si>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</si>
  <si>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</si>
  <si>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</si>
  <si>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</si>
  <si>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7A5-01-47</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</si>
  <si>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</si>
  <si>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</si>
  <si>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</si>
  <si>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</si>
  <si>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</si>
  <si>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</si>
  <si>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</si>
  <si>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7A5-01-48</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</si>
  <si>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</si>
  <si>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</si>
  <si>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</si>
  <si>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</si>
  <si>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</si>
  <si>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</si>
  <si>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</si>
  <si>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7A5-01-49</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</si>
  <si>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</si>
  <si>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</si>
  <si>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</si>
  <si>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</si>
  <si>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</si>
  <si>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</si>
  <si>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</si>
  <si>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7A5-01-50</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</si>
  <si>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</si>
  <si>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</si>
  <si>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</si>
  <si>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</si>
  <si>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</si>
  <si>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</si>
  <si>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</si>
  <si>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7A5-01-51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</si>
  <si>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</si>
  <si>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</si>
  <si>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</si>
  <si>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</si>
  <si>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</si>
  <si>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</si>
  <si>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</si>
  <si>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r>
      <t>7A5-01-52</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</si>
  <si>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</si>
  <si>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</si>
  <si>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</si>
  <si>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</si>
  <si>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</si>
  <si>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</si>
  <si>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in HEX</t>
    </r>
  </si>
  <si>
    <r>
      <t>7A5-01-53</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</si>
  <si>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</si>
  <si>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</si>
  <si>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</si>
  <si>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</si>
  <si>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</si>
  <si>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</si>
  <si>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7B2G1G10000000000BB</t>
  </si>
  <si>
    <t>7B2-01-01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</si>
  <si>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</si>
  <si>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</si>
  <si>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</si>
  <si>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</si>
  <si>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</si>
  <si>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</si>
  <si>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t>7B2G1G20000000000BC</t>
  </si>
  <si>
    <t>7B2G1G30000000000BD</t>
  </si>
  <si>
    <t>7B2G1G40000000000BE</t>
  </si>
  <si>
    <t>7B2G1G50000000000BF</t>
  </si>
  <si>
    <t>7B2G1G60000000000C0</t>
  </si>
  <si>
    <t>7B2G1G70000C1</t>
  </si>
  <si>
    <t>7B2G2G10000000000BC</t>
  </si>
  <si>
    <t>7B2G3G100BD</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</si>
  <si>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</si>
  <si>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7B2-01-02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</si>
  <si>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</si>
  <si>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</si>
  <si>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</si>
  <si>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</si>
  <si>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</si>
  <si>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</si>
  <si>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</si>
  <si>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7B2-01-03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</si>
  <si>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</si>
  <si>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</si>
  <si>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</si>
  <si>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</si>
  <si>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</si>
  <si>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</si>
  <si>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</si>
  <si>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7B2-01-04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</si>
  <si>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</si>
  <si>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</si>
  <si>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</si>
  <si>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</si>
  <si>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</si>
  <si>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</si>
  <si>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</si>
  <si>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7B2-01-05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</si>
  <si>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</si>
  <si>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</si>
  <si>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</si>
  <si>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</si>
  <si>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</si>
  <si>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</si>
  <si>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</si>
  <si>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7B2-01-06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</si>
  <si>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</si>
  <si>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</si>
  <si>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</si>
  <si>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</si>
  <si>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</si>
  <si>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</si>
  <si>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in HEX</t>
    </r>
  </si>
  <si>
    <t>7B2-01-07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</si>
  <si>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</si>
  <si>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</si>
  <si>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theme="5" tint="0.39997558519241921"/>
        <sz val="11"/>
        <scheme val="minor"/>
      </rPr>
      <t>B2</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</si>
  <si>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</si>
  <si>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7B2-02-01 B0 B1 B2 B3 B4 B5 in HEX</t>
  </si>
  <si>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</si>
  <si>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</si>
  <si>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</si>
  <si>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</si>
  <si>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b val="true"/>
        <color theme="4" tint="0"/>
        <sz val="11"/>
        <scheme val="minor"/>
      </rPr>
      <t>B4</t>
    </r>
    <r>
      <rPr>
        <color rgb="333333" tint="0"/>
        <sz val="11"/>
        <scheme val="minor"/>
      </rPr>
      <t> - in BIN (0 or 1):</t>
    </r>
  </si>
  <si>
    <r>
      <rPr>
        <color rgb="92D050" tint="0"/>
        <sz val="11"/>
        <scheme val="minor"/>
      </rPr>
      <t>B5</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</si>
  <si>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in HEX</t>
    </r>
  </si>
  <si>
    <t>7B2-03-01 B0 B1 B2 B3 B4 B5 in HEX</t>
  </si>
  <si>
    <r>
      <rPr>
        <color rgb="7030A0" tint="0"/>
        <sz val="11"/>
        <scheme val="minor"/>
      </rPr>
      <t xml:space="preserve">B0 </t>
    </r>
    <r>
      <rPr>
        <color theme="1" tint="0"/>
        <sz val="11"/>
        <scheme val="minor"/>
      </rPr>
      <t>in BIN (0 or 1):</t>
    </r>
  </si>
  <si>
    <r>
      <rPr>
        <color rgb="FF0000" tint="0"/>
        <sz val="11"/>
        <scheme val="minor"/>
      </rPr>
      <t>B1</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</si>
  <si>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t>
    </r>
    <r>
      <rPr>
        <color theme="4" tint="0"/>
        <sz val="11"/>
        <scheme val="minor"/>
      </rPr>
      <t>B4</t>
    </r>
    <r>
      <rPr>
        <color theme="1" tint="0"/>
        <sz val="11"/>
        <scheme val="minor"/>
      </rPr>
      <t xml:space="preserve"> </t>
    </r>
    <r>
      <rPr>
        <color rgb="92D050" tint="0"/>
        <sz val="11"/>
        <scheme val="minor"/>
      </rPr>
      <t>B5</t>
    </r>
    <r>
      <rPr>
        <color theme="1" tint="0"/>
        <sz val="11"/>
        <scheme val="minor"/>
      </rPr>
      <t xml:space="preserve"> in HEX</t>
    </r>
  </si>
  <si>
    <t>737G1G1000000000040</t>
  </si>
  <si>
    <r>
      <t>737-01-01</t>
    </r>
    <r>
      <rPr>
        <b val="false"/>
        <color theme="1" tint="0"/>
        <sz val="11"/>
        <scheme val="minor"/>
      </rPr>
      <t xml:space="preserve"> B0 B1 B2 B3 B4 B5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</si>
  <si>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</si>
  <si>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</si>
  <si>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</si>
  <si>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 xml:space="preserve">B3 </t>
    </r>
    <r>
      <rPr>
        <color theme="1" tint="0"/>
        <sz val="11"/>
        <scheme val="minor"/>
      </rPr>
      <t>in BIN (0 or 1):</t>
    </r>
  </si>
  <si>
    <r>
      <rPr>
        <color theme="4" tint="0"/>
        <sz val="11"/>
        <scheme val="minor"/>
      </rPr>
      <t>B4</t>
    </r>
    <r>
      <rPr>
        <color rgb="333333" tint="0"/>
        <sz val="11"/>
        <scheme val="minor"/>
      </rPr>
      <t> </t>
    </r>
    <r>
      <rPr>
        <color rgb="333333" tint="0"/>
        <sz val="11"/>
        <scheme val="minor"/>
      </rPr>
      <t>- in BIN (0 or 1):</t>
    </r>
  </si>
  <si>
    <r>
      <rPr>
        <color rgb="92D050" tint="0"/>
        <sz val="11"/>
        <scheme val="minor"/>
      </rPr>
      <t>B5</t>
    </r>
    <r>
      <rPr>
        <color theme="1" tint="0"/>
        <sz val="11"/>
        <scheme val="minor"/>
      </rPr>
      <t xml:space="preserve"> - CHECKSUM</t>
    </r>
  </si>
  <si>
    <t>737G1G200000041</t>
  </si>
  <si>
    <r>
      <t xml:space="preserve">1 </t>
    </r>
    <r>
      <rPr>
        <b val="false"/>
        <color rgb="FF0000" tint="0"/>
        <sz val="11"/>
        <scheme val="minor"/>
      </rPr>
      <t>= Permanent value</t>
    </r>
  </si>
  <si>
    <t>737G2G100000041</t>
  </si>
  <si>
    <t>737G3G1FFFFFFFFFF3D</t>
  </si>
  <si>
    <t>737G3G2FFFFFFFFFF3E</t>
  </si>
  <si>
    <t>737G3G3FFFFFFFFFF3F</t>
  </si>
  <si>
    <t>737G3G4FFFFFFFFFF40</t>
  </si>
  <si>
    <t>737G3G5FFFFFFFF42</t>
  </si>
  <si>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in HEX</t>
    </r>
  </si>
  <si>
    <r>
      <t>737-01-02</t>
    </r>
    <r>
      <rPr>
        <b val="false"/>
        <color theme="1" tint="0"/>
        <sz val="11"/>
        <scheme val="minor"/>
      </rPr>
      <t xml:space="preserve"> B0 B1 B2 B3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</si>
  <si>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</si>
  <si>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</si>
  <si>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</si>
  <si>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B3</t>
    </r>
    <r>
      <rPr>
        <color theme="1" tint="0"/>
        <sz val="11"/>
        <scheme val="minor"/>
      </rPr>
      <t xml:space="preserve"> - CHECKSUM</t>
    </r>
  </si>
  <si>
    <r>
      <rPr>
        <color rgb="7030A0" tint="0"/>
        <sz val="11"/>
        <scheme val="minor"/>
      </rPr>
      <t>B0</t>
    </r>
    <r>
      <rPr>
        <color theme="1" tint="0"/>
        <sz val="11"/>
        <scheme val="minor"/>
      </rPr>
      <t xml:space="preserve"> </t>
    </r>
    <r>
      <rPr>
        <color rgb="FF0000" tint="0"/>
        <sz val="11"/>
        <scheme val="minor"/>
      </rPr>
      <t>B1</t>
    </r>
    <r>
      <rPr>
        <color theme="1" tint="0"/>
        <sz val="11"/>
        <scheme val="minor"/>
      </rPr>
      <t xml:space="preserve"> </t>
    </r>
    <r>
      <rPr>
        <color rgb="FFC000" tint="0"/>
        <sz val="11"/>
        <scheme val="minor"/>
      </rPr>
      <t>B2</t>
    </r>
    <r>
      <rPr>
        <color theme="1" tint="0"/>
        <sz val="11"/>
        <scheme val="minor"/>
      </rPr>
      <t xml:space="preserve"> </t>
    </r>
    <r>
      <rPr>
        <color rgb="FFFF00" tint="0"/>
        <sz val="11"/>
        <scheme val="minor"/>
      </rPr>
      <t>B3</t>
    </r>
    <r>
      <rPr>
        <color theme="1" tint="0"/>
        <sz val="11"/>
        <scheme val="minor"/>
      </rPr>
      <t xml:space="preserve"> in HEX</t>
    </r>
  </si>
  <si>
    <r>
      <t>737-02-01</t>
    </r>
    <r>
      <rPr>
        <b val="false"/>
        <color theme="1" tint="0"/>
        <sz val="11"/>
        <scheme val="minor"/>
      </rPr>
      <t xml:space="preserve"> B0 B1 B2 B3 in HEX</t>
    </r>
  </si>
  <si>
    <r>
      <rPr>
        <color rgb="7030A0" tint="0"/>
        <sz val="11"/>
        <scheme val="minor"/>
      </rPr>
      <t xml:space="preserve">B0 </t>
    </r>
    <r>
      <rPr>
        <color theme="1" tint="0"/>
        <sz val="11"/>
        <scheme val="minor"/>
      </rPr>
      <t>in BIN (0 or 1):</t>
    </r>
  </si>
  <si>
    <r>
      <rPr>
        <color rgb="FF0000" tint="0"/>
        <sz val="11"/>
        <scheme val="minor"/>
      </rPr>
      <t xml:space="preserve">B1 </t>
    </r>
    <r>
      <rPr>
        <color theme="1" tint="0"/>
        <sz val="11"/>
        <scheme val="minor"/>
      </rPr>
      <t>in BIN (0 or 1):</t>
    </r>
  </si>
  <si>
    <r>
      <rPr>
        <color rgb="FFC000" tint="0"/>
        <sz val="11"/>
        <scheme val="minor"/>
      </rPr>
      <t xml:space="preserve">B2 </t>
    </r>
    <r>
      <rPr>
        <color theme="1" tint="0"/>
        <sz val="11"/>
        <scheme val="minor"/>
      </rPr>
      <t>in BIN (0 or 1):</t>
    </r>
  </si>
  <si>
    <r>
      <rPr>
        <color rgb="FFFF00" tint="0"/>
        <sz val="11"/>
        <scheme val="minor"/>
      </rPr>
      <t>B3</t>
    </r>
    <r>
      <rPr>
        <color theme="1" tint="0"/>
        <sz val="11"/>
        <scheme val="minor"/>
      </rPr>
      <t xml:space="preserve"> - CHECKSUM</t>
    </r>
  </si>
</sst>
</file>

<file path=xl/styles.xml><?xml version="1.0" encoding="utf-8"?>
<style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numFmts>
    <numFmt co:extendedFormatCode="General" formatCode="General" numFmtId="1000"/>
    <numFmt co:extendedFormatCode="0.00%" formatCode="0.00%" numFmtId="1005"/>
    <numFmt co:extendedFormatCode="@" formatCode="@" numFmtId="1006"/>
    <numFmt co:extendedFormatCode="0.00" formatCode="0.00" numFmtId="1004"/>
    <numFmt co:extendedFormatCode="@" formatCode="@" numFmtId="1001"/>
    <numFmt co:extendedFormatCode="0" formatCode="0" numFmtId="1003"/>
    <numFmt co:extendedFormatCode="" formatCode="" numFmtId="1002"/>
  </numFmts>
  <fonts count="31">
    <font>
      <name val="Calibri"/>
      <sz val="11"/>
    </font>
    <font>
      <color theme="1" tint="0"/>
      <sz val="11"/>
      <scheme val="minor"/>
    </font>
    <font>
      <b val="true"/>
      <color theme="1" tint="0"/>
      <sz val="11"/>
      <scheme val="minor"/>
    </font>
    <font>
      <b val="true"/>
      <color theme="10" tint="0"/>
      <sz val="11"/>
      <u val="single"/>
      <scheme val="minor"/>
    </font>
    <font>
      <color theme="10" tint="0"/>
      <sz val="11"/>
      <u val="single"/>
      <scheme val="minor"/>
    </font>
    <font>
      <b val="true"/>
      <color theme="1" tint="0"/>
      <sz val="12"/>
      <scheme val="minor"/>
    </font>
    <font>
      <color theme="0" tint="0"/>
      <sz val="11"/>
      <scheme val="minor"/>
    </font>
    <font>
      <color theme="10" tint="0"/>
      <u val="single"/>
    </font>
    <font>
      <b val="true"/>
      <color rgb="FF0000" tint="0"/>
      <sz val="11"/>
      <scheme val="minor"/>
    </font>
    <font>
      <i val="true"/>
      <color theme="1" tint="0"/>
      <sz val="11"/>
      <scheme val="minor"/>
    </font>
    <font>
      <color rgb="FF0000" tint="0"/>
      <sz val="11"/>
      <scheme val="minor"/>
    </font>
    <font>
      <color theme="1" tint="0"/>
      <sz val="20"/>
      <scheme val="minor"/>
    </font>
    <font>
      <color theme="1" tint="0"/>
      <sz val="42"/>
      <scheme val="minor"/>
    </font>
    <font>
      <color theme="1" tint="0"/>
      <sz val="72"/>
      <scheme val="minor"/>
    </font>
    <font>
      <b val="true"/>
      <sz val="11"/>
      <scheme val="minor"/>
    </font>
    <font>
      <color rgb="006100" tint="0"/>
      <sz val="11"/>
      <scheme val="minor"/>
    </font>
    <font>
      <name val="Arial"/>
      <b val="true"/>
      <color theme="1" tint="0"/>
      <sz val="11"/>
    </font>
    <font>
      <name val="Arial"/>
      <color theme="1" tint="0"/>
      <sz val="11"/>
    </font>
    <font>
      <color rgb="383A3B" tint="0"/>
      <sz val="11"/>
      <scheme val="minor"/>
    </font>
    <font>
      <name val="Arial"/>
      <b val="true"/>
      <color theme="1" tint="0"/>
      <sz val="8"/>
    </font>
    <font>
      <name val="Arial"/>
      <color theme="1" tint="0"/>
      <sz val="8"/>
    </font>
    <font>
      <name val="Arial"/>
      <b val="true"/>
      <color rgb="00B050" tint="0"/>
      <sz val="8"/>
    </font>
    <font>
      <b val="true"/>
      <color theme="1" tint="0"/>
      <sz val="8"/>
      <scheme val="minor"/>
    </font>
    <font>
      <b val="true"/>
      <color rgb="00B050" tint="0"/>
      <sz val="11"/>
      <scheme val="minor"/>
    </font>
    <font>
      <name val="Calibri"/>
      <b val="true"/>
      <color theme="1" tint="0"/>
      <sz val="12"/>
    </font>
    <font>
      <name val="Arial"/>
      <b val="true"/>
      <color rgb="FF0000" tint="0"/>
      <sz val="8"/>
    </font>
    <font>
      <name val="Arial"/>
      <color rgb="FF0000" tint="0"/>
      <sz val="8"/>
    </font>
    <font>
      <name val="Arial"/>
      <color rgb="FF0000" tint="0"/>
      <sz val="11"/>
    </font>
    <font>
      <name val="Arial"/>
      <color rgb="000000" tint="0"/>
      <sz val="11"/>
    </font>
    <font>
      <color rgb="9C5700" tint="0"/>
    </font>
    <font>
      <sz val="11"/>
      <scheme val="minor"/>
    </font>
  </fonts>
  <fills count="34">
    <fill>
      <patternFill patternType="none"/>
    </fill>
    <fill>
      <patternFill patternType="gray125"/>
    </fill>
    <fill>
      <patternFill patternType="solid">
        <fgColor theme="9" tint="0.79998168889431442"/>
      </patternFill>
    </fill>
    <fill>
      <patternFill patternType="solid">
        <fgColor theme="4" tint="0.79998168889431442"/>
      </patternFill>
    </fill>
    <fill>
      <patternFill patternType="solid">
        <fgColor rgb="FFFF00" tint="0"/>
      </patternFill>
    </fill>
    <fill>
      <patternFill patternType="solid">
        <fgColor theme="7" tint="0"/>
      </patternFill>
    </fill>
    <fill>
      <patternFill patternType="solid">
        <fgColor rgb="EA64E4" tint="0"/>
      </patternFill>
    </fill>
    <fill>
      <patternFill patternType="solid">
        <fgColor theme="8" tint="0"/>
      </patternFill>
    </fill>
    <fill>
      <patternFill patternType="solid">
        <fgColor theme="0" tint="-0.249977111117893"/>
      </patternFill>
    </fill>
    <fill>
      <patternFill patternType="solid">
        <fgColor rgb="FFC000" tint="0"/>
      </patternFill>
    </fill>
    <fill>
      <patternFill patternType="solid">
        <fgColor theme="9" tint="0.79998168889431442"/>
      </patternFill>
    </fill>
    <fill>
      <patternFill patternType="solid">
        <fgColor rgb="7030A0" tint="0"/>
      </patternFill>
    </fill>
    <fill>
      <patternFill patternType="solid">
        <fgColor rgb="FF0000" tint="0"/>
      </patternFill>
    </fill>
    <fill>
      <patternFill patternType="solid">
        <fgColor rgb="92D050" tint="0"/>
      </patternFill>
    </fill>
    <fill>
      <patternFill patternType="solid">
        <fgColor theme="4" tint="0"/>
      </patternFill>
    </fill>
    <fill>
      <patternFill patternType="solid">
        <fgColor theme="0" tint="-0.049989318521683423"/>
      </patternFill>
    </fill>
    <fill>
      <patternFill patternType="solid">
        <fgColor theme="1" tint="0"/>
      </patternFill>
    </fill>
    <fill>
      <patternFill patternType="solid">
        <fgColor theme="4" tint="0.79998168889431442"/>
      </patternFill>
    </fill>
    <fill>
      <patternFill patternType="solid">
        <fgColor theme="0" tint="-0.14999847407452616"/>
      </patternFill>
    </fill>
    <fill>
      <patternFill patternType="solid">
        <fgColor theme="5" tint="0.59999389629810485"/>
      </patternFill>
    </fill>
    <fill>
      <patternFill patternType="solid">
        <fgColor theme="8" tint="0.79998168889431442"/>
      </patternFill>
    </fill>
    <fill>
      <patternFill patternType="solid">
        <fgColor rgb="00B0F0" tint="0"/>
      </patternFill>
    </fill>
    <fill>
      <patternFill patternType="solid">
        <fgColor rgb="C6EFCE" tint="0"/>
      </patternFill>
    </fill>
    <fill>
      <patternFill patternType="solid">
        <fgColor theme="6" tint="-0.249977111117893"/>
      </patternFill>
    </fill>
    <fill>
      <patternFill patternType="solid">
        <fgColor rgb="CCFFCC" tint="0"/>
      </patternFill>
    </fill>
    <fill>
      <patternFill patternType="solid">
        <fgColor rgb="C00000" tint="0"/>
      </patternFill>
    </fill>
    <fill>
      <patternFill patternType="solid">
        <fgColor theme="9" tint="0.59999389629810485"/>
      </patternFill>
    </fill>
    <fill>
      <patternFill patternType="solid">
        <fgColor theme="4" tint="0.39997558519241921"/>
      </patternFill>
    </fill>
    <fill>
      <patternFill patternType="solid">
        <fgColor theme="7" tint="-0.249977111117893"/>
      </patternFill>
    </fill>
    <fill>
      <patternFill patternType="solid">
        <fgColor theme="6" tint="0.39997558519241921"/>
      </patternFill>
    </fill>
    <fill>
      <patternFill patternType="solid">
        <fgColor theme="4" tint="0.59996337778862885"/>
      </patternFill>
    </fill>
    <fill>
      <patternFill patternType="solid">
        <fgColor theme="4" tint="0.59999389629810485"/>
      </patternFill>
    </fill>
    <fill>
      <patternFill patternType="solid">
        <fgColor theme="0" tint="0"/>
      </patternFill>
    </fill>
    <fill>
      <patternFill patternType="solid">
        <fgColor rgb="FFEB9C" tint="0"/>
      </patternFill>
    </fill>
  </fills>
  <borders count="10847">
    <border>
      <left style="none"/>
      <right style="none"/>
      <top style="none"/>
      <bottom style="none"/>
      <diagonal style="none"/>
    </border>
    <border>
      <left style="medium">
        <color rgb="000000" tint="0"/>
      </left>
      <right style="medium">
        <color rgb="000000" tint="0"/>
      </right>
      <top style="medium">
        <color rgb="000000" tint="0"/>
      </top>
      <bottom style="medium">
        <color rgb="000000" tint="0"/>
      </bottom>
    </border>
    <border>
      <left style="medium">
        <color rgb="000000" tint="0"/>
      </left>
      <right style="medium">
        <color rgb="000000" tint="0"/>
      </right>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right style="medium">
        <color rgb="000000" tint="0"/>
      </right>
      <bottom style="medium">
        <color rgb="000000" tint="0"/>
      </bottom>
    </border>
    <border>
      <right style="medium">
        <color rgb="000000" tint="0"/>
      </right>
    </border>
    <border>
      <left style="medium">
        <color rgb="000000" tint="0"/>
      </left>
      <right style="medium">
        <color rgb="000000" tint="0"/>
      </right>
    </border>
    <border>
      <left style="medium">
        <color rgb="000000" tint="0"/>
      </left>
      <top style="medium">
        <color rgb="000000" tint="0"/>
      </top>
    </border>
    <border>
      <top style="medium">
        <color rgb="000000" tint="0"/>
      </top>
    </border>
    <border>
      <right style="medium">
        <color rgb="000000" tint="0"/>
      </right>
      <top style="medium">
        <color rgb="000000" tint="0"/>
      </top>
    </border>
    <border>
      <left style="medium">
        <color rgb="000000" tint="0"/>
      </left>
    </border>
    <border>
      <left style="medium">
        <color rgb="000000" tint="0"/>
      </left>
      <right style="medium">
        <color rgb="000000" tint="0"/>
      </right>
      <bottom style="medium">
        <color rgb="000000" tint="0"/>
      </bottom>
    </border>
    <border>
      <left style="medium">
        <color rgb="000000" tint="0"/>
      </left>
      <bottom style="medium">
        <color rgb="000000" tint="0"/>
      </bottom>
    </border>
    <border>
      <bottom style="medium">
        <color rgb="000000" tint="0"/>
      </bottom>
    </border>
    <border>
      <right style="medium">
        <color rgb="000000" tint="0"/>
      </right>
      <bottom style="medium">
        <color rgb="000000" tint="0"/>
      </bottom>
    </border>
    <border>
      <left style="medium">
        <color rgb="000000" tint="0"/>
      </left>
      <right style="medium">
        <color rgb="000000" tint="0"/>
      </right>
      <top style="medium">
        <color rgb="000000" tint="0"/>
      </top>
    </border>
    <border>
      <top style="medium">
        <color rgb="000000" tint="0"/>
      </top>
    </border>
    <border>
      <top style="medium">
        <color rgb="000000" tint="0"/>
      </top>
    </border>
    <border>
      <left style="medium">
        <color rgb="000000" tint="0"/>
      </left>
      <right style="medium">
        <color rgb="000000" tint="0"/>
      </right>
      <top style="medium">
        <color rgb="000000" tint="0"/>
      </top>
      <bottom style="medium">
        <color rgb="000000" tint="0"/>
      </bottom>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top style="thin">
        <color rgb="000000" tint="0"/>
      </top>
      <bottom style="thin">
        <color rgb="000000" tint="0"/>
      </bottom>
    </border>
    <border>
      <top style="thin">
        <color rgb="000000" tint="0"/>
      </top>
      <bottom style="thin">
        <color rgb="000000" tint="0"/>
      </bottom>
    </border>
    <border>
      <right style="medium">
        <color rgb="000000" tint="0"/>
      </right>
      <top style="thin">
        <color rgb="000000" tint="0"/>
      </top>
      <bottom style="thin">
        <color rgb="000000" tint="0"/>
      </bottom>
    </border>
    <border>
      <left style="medium">
        <color rgb="000000" tint="0"/>
      </left>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thin">
        <color rgb="000000" tint="0"/>
      </bottom>
    </border>
    <border>
      <bottom style="thin">
        <color rgb="000000" tint="0"/>
      </bottom>
    </border>
    <border>
      <right style="thin">
        <color rgb="000000" tint="0"/>
      </right>
      <top style="thin">
        <color rgb="000000" tint="0"/>
      </top>
    </border>
    <border>
      <left style="thin">
        <color rgb="000000" tint="0"/>
      </left>
      <top style="thin">
        <color rgb="000000" tint="0"/>
      </top>
    </border>
    <border>
      <right style="thin">
        <color rgb="000000" tint="0"/>
      </right>
    </border>
    <border>
      <left style="thin">
        <color rgb="000000" tint="0"/>
      </left>
      <right style="medium">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left style="medium">
        <color rgb="000000" tint="0"/>
      </left>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left style="medium">
        <color rgb="000000" tint="0"/>
      </left>
      <right style="thin">
        <color rgb="000000" tint="0"/>
      </right>
      <top style="medium">
        <color rgb="000000" tint="0"/>
      </top>
      <bottom style="medium">
        <color rgb="000000" tint="0"/>
      </bottom>
    </border>
    <border>
      <left style="thin">
        <color rgb="000000" tint="0"/>
      </left>
      <right style="thin">
        <color rgb="000000" tint="0"/>
      </right>
      <top style="medium">
        <color rgb="000000" tint="0"/>
      </top>
      <bottom style="medium">
        <color rgb="000000" tint="0"/>
      </bottom>
    </border>
    <border>
      <left style="thin">
        <color rgb="000000" tint="0"/>
      </left>
      <right style="medium">
        <color rgb="000000" tint="0"/>
      </right>
      <top style="medium">
        <color rgb="000000" tint="0"/>
      </top>
      <bottom style="medium">
        <color rgb="000000" tint="0"/>
      </bottom>
    </border>
    <border>
      <left style="medium">
        <color rgb="000000" tint="0"/>
      </left>
      <right style="thin">
        <color rgb="000000" tint="0"/>
      </right>
      <top style="thin">
        <color rgb="000000" tint="0"/>
      </top>
      <bottom style="thin">
        <color rgb="000000" tint="0"/>
      </bottom>
    </border>
    <border>
      <left style="thin">
        <color rgb="000000" tint="0"/>
      </left>
      <right style="thin">
        <color rgb="000000" tint="0"/>
      </right>
      <top style="thin">
        <color rgb="000000" tint="0"/>
      </top>
      <bottom style="thin">
        <color rgb="000000" tint="0"/>
      </bottom>
    </border>
    <border>
      <left style="thin">
        <color rgb="000000" tint="0"/>
      </left>
      <top style="thin">
        <color rgb="000000" tint="0"/>
      </top>
      <bottom style="thin">
        <color rgb="000000" tint="0"/>
      </bottom>
    </border>
    <border>
      <left style="medium">
        <color rgb="000000" tint="0"/>
      </left>
      <right style="medium">
        <color rgb="000000" tint="0"/>
      </right>
      <top style="medium">
        <color rgb="000000" tint="0"/>
      </top>
      <bottom style="medium">
        <color rgb="000000" tint="0"/>
      </bottom>
    </border>
    <border>
      <left style="medium">
        <color rgb="000000" tint="0"/>
      </left>
      <right style="thin">
        <color rgb="000000" tint="0"/>
      </right>
      <top style="medium">
        <color rgb="000000" tint="0"/>
      </top>
      <bottom style="thin">
        <color rgb="000000" tint="0"/>
      </bottom>
    </border>
    <border>
      <left style="thin">
        <color rgb="000000" tint="0"/>
      </left>
      <right style="medium">
        <color rgb="000000" tint="0"/>
      </right>
      <top style="medium">
        <color rgb="000000" tint="0"/>
      </top>
      <bottom style="thin">
        <color rgb="000000" tint="0"/>
      </bottom>
    </border>
    <border>
      <top style="medium">
        <color rgb="000000" tint="0"/>
      </top>
    </border>
    <border>
      <top style="medium">
        <color rgb="000000" tint="0"/>
      </top>
    </border>
    <border>
      <right style="medium">
        <color rgb="000000" tint="0"/>
      </right>
      <top style="medium">
        <color rgb="000000" tint="0"/>
      </top>
    </border>
    <border>
      <right style="thin">
        <color rgb="000000" tint="0"/>
      </right>
      <bottom style="thin">
        <color rgb="000000" tint="0"/>
      </bottom>
    </border>
    <border>
      <left style="thin">
        <color rgb="000000" tint="0"/>
      </left>
      <right style="medium">
        <color rgb="000000" tint="0"/>
      </right>
      <top style="thin">
        <color rgb="000000" tint="0"/>
      </top>
      <bottom style="thin">
        <color rgb="000000" tint="0"/>
      </bottom>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thin">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top style="thin">
        <color rgb="000000" tint="0"/>
      </top>
      <bottom style="thin">
        <color rgb="000000" tint="0"/>
      </bottom>
    </border>
    <border>
      <right style="thin">
        <color rgb="000000" tint="0"/>
      </right>
      <top style="thin">
        <color rgb="000000" tint="0"/>
      </top>
      <bottom style="thin">
        <color rgb="000000" tint="0"/>
      </bottom>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top style="thin">
        <color rgb="000000" tint="0"/>
      </top>
      <bottom style="medium">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right style="thin">
        <color rgb="000000" tint="0"/>
      </right>
      <top style="thin">
        <color rgb="000000" tint="0"/>
      </top>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top style="thin">
        <color rgb="000000" tint="0"/>
      </top>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right style="thin">
        <color rgb="000000" tint="0"/>
      </right>
      <top style="thin">
        <color rgb="000000" tint="0"/>
      </top>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left style="medium">
        <color rgb="000000" tint="0"/>
      </left>
      <right style="medium">
        <color rgb="000000" tint="0"/>
      </right>
      <bottom style="medium">
        <color rgb="000000" tint="0"/>
      </bottom>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thin">
        <color rgb="000000" tint="0"/>
      </bottom>
    </border>
    <border>
      <left style="thin">
        <color rgb="000000" tint="0"/>
      </left>
      <top style="medium">
        <color rgb="000000" tint="0"/>
      </top>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medium">
        <color rgb="000000" tint="0"/>
      </left>
      <top style="medium">
        <color rgb="000000" tint="0"/>
      </top>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top style="medium">
        <color rgb="000000" tint="0"/>
      </top>
    </border>
    <border>
      <left style="medium">
        <color rgb="000000" tint="0"/>
      </left>
    </border>
    <border>
      <left style="medium">
        <color rgb="000000" tint="0"/>
      </left>
    </border>
    <border>
      <right style="medium">
        <color rgb="000000" tint="0"/>
      </right>
    </border>
    <border>
      <left style="medium">
        <color rgb="000000" tint="0"/>
      </left>
    </border>
    <border>
      <left style="medium">
        <color rgb="000000" tint="0"/>
      </left>
    </border>
    <border>
      <right style="medium">
        <color rgb="000000" tint="0"/>
      </right>
    </border>
    <border>
      <left style="medium">
        <color rgb="000000" tint="0"/>
      </left>
    </border>
    <border>
      <left style="medium">
        <color rgb="000000" tint="0"/>
      </left>
    </border>
    <border>
      <right style="medium">
        <color rgb="000000" tint="0"/>
      </right>
    </border>
    <border>
      <left style="medium">
        <color rgb="000000" tint="0"/>
      </left>
    </border>
    <border>
      <left style="medium">
        <color rgb="000000" tint="0"/>
      </left>
    </border>
    <border>
      <right style="medium">
        <color rgb="000000" tint="0"/>
      </right>
    </border>
    <border>
      <left style="medium">
        <color rgb="000000" tint="0"/>
      </left>
    </border>
    <border>
      <left style="medium">
        <color rgb="000000" tint="0"/>
      </left>
    </border>
    <border>
      <right style="medium">
        <color rgb="000000" tint="0"/>
      </right>
    </border>
    <border>
      <left style="medium">
        <color rgb="000000" tint="0"/>
      </left>
    </border>
    <border>
      <left style="medium">
        <color rgb="000000" tint="0"/>
      </left>
    </border>
    <border>
      <right style="medium">
        <color rgb="000000" tint="0"/>
      </right>
    </border>
    <border>
      <left style="medium">
        <color rgb="000000" tint="0"/>
      </left>
    </border>
    <border>
      <left style="medium">
        <color rgb="000000" tint="0"/>
      </left>
    </border>
    <border>
      <right style="medium">
        <color rgb="000000" tint="0"/>
      </right>
    </border>
    <border>
      <left style="medium">
        <color rgb="000000" tint="0"/>
      </left>
    </border>
    <border>
      <left style="medium">
        <color rgb="000000" tint="0"/>
      </left>
      <bottom style="medium">
        <color rgb="000000" tint="0"/>
      </bottom>
    </border>
    <border>
      <right style="medium">
        <color rgb="000000" tint="0"/>
      </right>
      <bottom style="medium">
        <color rgb="000000" tint="0"/>
      </bottom>
    </border>
    <border>
      <left style="medium">
        <color rgb="000000" tint="0"/>
      </lef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medium">
        <color rgb="000000" tint="0"/>
      </left>
    </border>
    <border>
      <left style="medium">
        <color rgb="000000" tint="0"/>
      </left>
      <right style="medium">
        <color rgb="000000" tint="0"/>
      </right>
      <top style="medium">
        <color rgb="000000" tint="0"/>
      </top>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left style="medium">
        <color rgb="000000" tint="0"/>
      </left>
      <right style="medium">
        <color rgb="000000" tint="0"/>
      </right>
    </border>
    <border>
      <right style="medium">
        <color rgb="000000" tint="0"/>
      </right>
      <top style="medium">
        <color rgb="000000" tint="0"/>
      </top>
    </border>
    <border>
      <left style="medium">
        <color rgb="000000" tint="0"/>
      </lef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border>
    <border>
      <left style="medium">
        <color rgb="000000" tint="0"/>
      </left>
      <right style="medium">
        <color rgb="000000" tint="0"/>
      </right>
    </border>
    <border>
      <left style="medium">
        <color rgb="000000" tint="0"/>
      </left>
      <bottom style="medium">
        <color rgb="000000" tint="0"/>
      </bottom>
    </border>
    <border>
      <right style="medium">
        <color rgb="000000" tint="0"/>
      </right>
      <bottom style="medium">
        <color rgb="000000" tint="0"/>
      </bottom>
    </border>
    <border>
      <left style="medium">
        <color rgb="000000" tint="0"/>
      </left>
      <bottom style="medium">
        <color rgb="000000" tint="0"/>
      </bottom>
    </border>
    <border>
      <left style="medium">
        <color rgb="000000" tint="0"/>
      </left>
      <right style="medium">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medium">
        <color rgb="000000" tint="0"/>
      </left>
      <right style="medium">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right style="medium">
        <color rgb="000000" tint="0"/>
      </right>
    </border>
    <border>
      <right style="medium">
        <color rgb="000000" tint="0"/>
      </right>
      <top style="medium">
        <color rgb="000000" tint="0"/>
      </top>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ttom style="medium">
        <color rgb="000000" tint="0"/>
      </bottom>
    </border>
    <border>
      <right style="medium">
        <color rgb="000000" tint="0"/>
      </right>
      <bottom style="medium">
        <color rgb="000000" tint="0"/>
      </bottom>
    </border>
    <border>
      <left style="medium">
        <color rgb="000000" tint="0"/>
      </left>
      <right style="medium">
        <color rgb="000000" tint="0"/>
      </right>
    </border>
    <border>
      <bottom style="medium">
        <color rgb="000000" tint="0"/>
      </bottom>
    </border>
    <border>
      <left style="medium">
        <color rgb="000000" tint="0"/>
      </left>
      <right style="medium">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left style="medium">
        <color rgb="000000" tint="0"/>
      </left>
      <right style="medium">
        <color rgb="000000" tint="0"/>
      </righ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rder>
    <border>
      <right style="medium">
        <color rgb="000000" tint="0"/>
      </right>
    </border>
    <border>
      <left style="medium">
        <color rgb="000000" tint="0"/>
      </left>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top style="thin">
        <color rgb="000000" tint="0"/>
      </top>
      <bottom style="medium">
        <color rgb="000000" tint="0"/>
      </bottom>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top style="medium">
        <color rgb="000000" tint="0"/>
      </top>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thin">
        <color rgb="000000" tint="0"/>
      </right>
      <top style="medium">
        <color rgb="000000" tint="0"/>
      </top>
      <bottom style="thin">
        <color rgb="000000" tint="0"/>
      </bottom>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top style="thin">
        <color rgb="000000" tint="0"/>
      </top>
      <bottom style="medium">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right style="medium">
        <color rgb="000000" tint="0"/>
      </right>
      <top style="medium">
        <color rgb="000000" tint="0"/>
      </top>
    </border>
    <border>
      <left style="thin">
        <color rgb="000000" tint="0"/>
      </left>
      <right style="medium">
        <color rgb="000000" tint="0"/>
      </right>
      <top style="thin">
        <color rgb="000000" tint="0"/>
      </top>
      <bottom style="medium">
        <color rgb="000000" tint="0"/>
      </bottom>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top style="thin">
        <color rgb="000000" tint="0"/>
      </top>
      <bottom style="thin">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top style="thin">
        <color rgb="000000" tint="0"/>
      </top>
      <bottom style="thin">
        <color rgb="000000" tint="0"/>
      </bottom>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top style="thin">
        <color rgb="000000" tint="0"/>
      </top>
      <bottom style="medium">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left style="thin">
        <color rgb="000000" tint="0"/>
      </left>
      <right style="thin">
        <color rgb="000000" tint="0"/>
      </right>
    </border>
    <border>
      <bottom style="medium">
        <color rgb="000000" tint="0"/>
      </bottom>
    </border>
    <border>
      <left style="thin">
        <color rgb="000000" tint="0"/>
      </left>
      <right style="thin">
        <color rgb="000000" tint="0"/>
      </right>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thin">
        <color rgb="000000" tint="0"/>
      </left>
      <right style="thin">
        <color rgb="000000" tint="0"/>
      </right>
    </border>
    <border>
      <top style="medium">
        <color rgb="000000" tint="0"/>
      </top>
    </border>
    <border>
      <top style="medium">
        <color rgb="000000" tint="0"/>
      </top>
    </border>
    <border>
      <right style="medium">
        <color rgb="000000" tint="0"/>
      </right>
      <top style="medium">
        <color rgb="000000" tint="0"/>
      </top>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thin">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thin">
        <color rgb="000000" tint="0"/>
      </left>
      <right style="thin">
        <color rgb="000000" tint="0"/>
      </right>
      <bottom style="thin">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thin">
        <color rgb="000000" tint="0"/>
      </left>
      <right style="thin">
        <color rgb="000000" tint="0"/>
      </right>
      <top style="thin">
        <color rgb="000000" tint="0"/>
      </top>
      <bottom style="thin">
        <color rgb="000000" tint="0"/>
      </bottom>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thin">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thin">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top style="medium">
        <color rgb="000000" tint="0"/>
      </top>
    </border>
    <border>
      <left style="medium">
        <color rgb="FF0000" tint="0"/>
      </left>
      <right style="medium">
        <color rgb="FF0000" tint="0"/>
      </right>
      <top style="medium">
        <color rgb="FF0000" tint="0"/>
      </top>
    </border>
    <border>
      <top style="medium">
        <color rgb="FF0000" tint="0"/>
      </top>
    </border>
    <border>
      <top style="medium">
        <color rgb="FF0000" tint="0"/>
      </top>
    </border>
    <border>
      <right style="medium">
        <color rgb="FF0000" tint="0"/>
      </right>
      <top style="medium">
        <color rgb="FF0000" tint="0"/>
      </top>
    </border>
    <border>
      <right style="medium">
        <color rgb="000000" tint="0"/>
      </right>
      <top style="medium">
        <color rgb="000000" tint="0"/>
      </top>
    </border>
    <border>
      <left style="medium">
        <color rgb="FF0000" tint="0"/>
      </left>
      <right style="thin">
        <color rgb="000000" tint="0"/>
      </right>
      <top style="medium">
        <color rgb="000000" tint="0"/>
      </top>
      <bottom style="thin">
        <color rgb="000000" tint="0"/>
      </bottom>
    </border>
    <border>
      <right style="medium">
        <color rgb="FF0000" tint="0"/>
      </right>
    </border>
    <border>
      <right style="medium">
        <color rgb="000000" tint="0"/>
      </right>
      <top style="medium">
        <color rgb="000000" tint="0"/>
      </top>
      <bottom style="medium">
        <color rgb="000000" tint="0"/>
      </bottom>
    </border>
    <border>
      <right style="medium">
        <color rgb="000000" tint="0"/>
      </right>
      <top style="medium">
        <color rgb="000000" tint="0"/>
      </top>
    </border>
    <border>
      <left style="medium">
        <color rgb="FF0000" tint="0"/>
      </left>
      <right style="thin">
        <color rgb="000000" tint="0"/>
      </right>
      <top style="thin">
        <color rgb="000000" tint="0"/>
      </top>
      <bottom style="thin">
        <color rgb="000000" tint="0"/>
      </bottom>
    </border>
    <border>
      <left style="thin">
        <color rgb="000000" tint="0"/>
      </left>
      <right style="medium">
        <color rgb="FF0000" tint="0"/>
      </right>
      <top style="thin">
        <color rgb="000000" tint="0"/>
      </top>
      <bottom style="thin">
        <color rgb="000000" tint="0"/>
      </bottom>
    </border>
    <border>
      <right style="medium">
        <color rgb="000000" tint="0"/>
      </right>
    </border>
    <border>
      <left style="thin">
        <color rgb="000000" tint="0"/>
      </left>
      <right style="medium">
        <color rgb="000000" tint="0"/>
      </right>
    </border>
    <border>
      <right style="medium">
        <color rgb="000000" tint="0"/>
      </right>
    </border>
    <border>
      <left style="thin">
        <color rgb="000000" tint="0"/>
      </left>
      <right style="medium">
        <color rgb="000000" tint="0"/>
      </right>
    </border>
    <border>
      <right style="medium">
        <color rgb="000000" tint="0"/>
      </right>
    </border>
    <border>
      <left style="thin">
        <color rgb="000000" tint="0"/>
      </left>
      <right style="medium">
        <color rgb="000000" tint="0"/>
      </right>
      <bottom style="thin">
        <color rgb="000000" tint="0"/>
      </bottom>
    </border>
    <border>
      <right style="medium">
        <color rgb="000000" tint="0"/>
      </right>
    </border>
    <border>
      <right style="medium">
        <color rgb="000000" tint="0"/>
      </right>
    </border>
    <border>
      <left style="thin">
        <color rgb="000000" tint="0"/>
      </left>
      <right style="thin">
        <color rgb="000000" tint="0"/>
      </right>
      <bottom style="thin">
        <color rgb="000000" tint="0"/>
      </bottom>
    </border>
    <border>
      <right style="medium">
        <color rgb="000000" tint="0"/>
      </right>
    </border>
    <border>
      <right style="medium">
        <color rgb="000000" tint="0"/>
      </right>
    </border>
    <border>
      <left style="thin">
        <color rgb="000000" tint="0"/>
      </left>
      <top style="thin">
        <color rgb="000000" tint="0"/>
      </top>
      <bottom style="medium">
        <color rgb="000000" tint="0"/>
      </bottom>
    </border>
    <border>
      <left style="medium">
        <color rgb="FF0000" tint="0"/>
      </left>
      <right style="thin">
        <color rgb="000000" tint="0"/>
      </right>
      <top style="thin">
        <color rgb="000000" tint="0"/>
      </top>
      <bottom style="medium">
        <color rgb="FF0000" tint="0"/>
      </bottom>
    </border>
    <border>
      <left style="thin">
        <color rgb="000000" tint="0"/>
      </left>
      <right style="medium">
        <color rgb="000000" tint="0"/>
      </right>
      <top style="thin">
        <color rgb="000000" tint="0"/>
      </top>
      <bottom style="medium">
        <color rgb="FF0000" tint="0"/>
      </bottom>
    </border>
    <border>
      <left style="medium">
        <color rgb="000000" tint="0"/>
      </left>
      <bottom style="medium">
        <color rgb="FF0000" tint="0"/>
      </bottom>
    </border>
    <border>
      <left style="thin">
        <color rgb="000000" tint="0"/>
      </left>
      <right style="medium">
        <color rgb="FF0000" tint="0"/>
      </right>
      <top style="thin">
        <color rgb="000000" tint="0"/>
      </top>
      <bottom style="medium">
        <color rgb="FF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thin">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thin">
        <color rgb="000000" tint="0"/>
      </left>
      <right style="thin">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rder>
    <border>
      <left style="thin">
        <color rgb="000000" tint="0"/>
      </left>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thin">
        <color rgb="000000" tint="0"/>
      </left>
      <right style="medium">
        <color rgb="000000" tint="0"/>
      </right>
      <bottom style="medium">
        <color rgb="000000" tint="0"/>
      </bottom>
    </border>
    <border>
      <left style="thin">
        <color rgb="000000" tint="0"/>
      </left>
      <right style="medium">
        <color rgb="000000" tint="0"/>
      </right>
      <bottom style="medium">
        <color rgb="000000" tint="0"/>
      </bottom>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medium">
        <color rgb="000000" tint="0"/>
      </left>
    </border>
    <border>
      <right style="medium">
        <color rgb="000000" tint="0"/>
      </right>
    </border>
    <border>
      <left style="thin">
        <color rgb="000000" tint="0"/>
      </left>
      <right style="medium">
        <color rgb="000000" tint="0"/>
      </right>
      <bottom style="thin">
        <color rgb="000000" tint="0"/>
      </bottom>
    </border>
    <border>
      <left style="medium">
        <color rgb="000000" tint="0"/>
      </left>
    </border>
    <border>
      <right style="medium">
        <color rgb="000000" tint="0"/>
      </right>
    </border>
    <border>
      <left style="thin">
        <color rgb="000000" tint="0"/>
      </left>
      <right style="medium">
        <color rgb="000000" tint="0"/>
      </right>
    </border>
    <border>
      <left style="medium">
        <color rgb="000000" tint="0"/>
      </left>
    </border>
    <border>
      <right style="medium">
        <color rgb="000000" tint="0"/>
      </right>
    </border>
    <border>
      <left style="thin">
        <color rgb="000000" tint="0"/>
      </left>
      <right style="medium">
        <color rgb="000000" tint="0"/>
      </right>
      <bottom style="medium">
        <color rgb="000000" tint="0"/>
      </bottom>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left style="medium">
        <color rgb="000000" tint="0"/>
      </left>
      <right style="medium">
        <color rgb="000000" tint="0"/>
      </right>
      <top style="thin">
        <color rgb="000000" tint="0"/>
      </top>
      <bottom style="thin">
        <color rgb="000000" tint="0"/>
      </bottom>
    </border>
    <border>
      <left style="medium">
        <color rgb="000000" tint="0"/>
      </left>
      <right style="medium">
        <color rgb="000000" tint="0"/>
      </right>
      <bottom style="thin">
        <color rgb="000000" tint="0"/>
      </bottom>
    </border>
    <border>
      <left style="medium">
        <color rgb="000000" tint="0"/>
      </left>
      <right style="medium">
        <color rgb="000000" tint="0"/>
      </right>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left style="medium">
        <color rgb="000000" tint="0"/>
      </left>
      <right style="medium">
        <color rgb="000000" tint="0"/>
      </right>
      <top style="medium">
        <color rgb="000000" tint="0"/>
      </top>
      <bottom style="thin">
        <color rgb="000000" tint="0"/>
      </bottom>
    </border>
    <border>
      <right style="medium">
        <color rgb="000000" tint="0"/>
      </right>
      <top style="medium">
        <color rgb="000000" tint="0"/>
      </top>
      <bottom style="thin">
        <color rgb="000000" tint="0"/>
      </bottom>
    </border>
    <border>
      <left style="medium">
        <color rgb="000000" tint="0"/>
      </left>
      <right style="medium">
        <color rgb="000000" tint="0"/>
      </right>
      <top style="medium">
        <color rgb="000000" tint="0"/>
      </top>
      <bottom style="thin">
        <color rgb="000000" tint="0"/>
      </bottom>
    </border>
    <border>
      <top style="medium">
        <color rgb="000000" tint="0"/>
      </top>
      <bottom style="thin">
        <color rgb="000000" tint="0"/>
      </bottom>
    </border>
    <border>
      <right style="medium">
        <color rgb="000000" tint="0"/>
      </right>
      <top style="medium">
        <color rgb="000000" tint="0"/>
      </top>
      <bottom style="thin">
        <color rgb="000000" tint="0"/>
      </bottom>
    </border>
    <border>
      <left style="medium">
        <color rgb="000000" tint="0"/>
      </left>
      <right style="medium">
        <color rgb="000000" tint="0"/>
      </right>
      <top style="medium">
        <color rgb="000000" tint="0"/>
      </top>
      <bottom style="thin">
        <color rgb="000000" tint="0"/>
      </bottom>
    </border>
    <border>
      <top style="medium">
        <color rgb="000000" tint="0"/>
      </top>
      <bottom style="thin">
        <color rgb="000000" tint="0"/>
      </bottom>
    </border>
    <border>
      <right style="medium">
        <color rgb="000000" tint="0"/>
      </right>
      <top style="medium">
        <color rgb="000000" tint="0"/>
      </top>
      <bottom style="thin">
        <color rgb="000000" tint="0"/>
      </bottom>
    </border>
    <border>
      <right style="thin">
        <color theme="4" tint="0"/>
      </right>
      <top style="thin">
        <color theme="4" tint="0"/>
      </top>
      <bottom style="medium">
        <color theme="4" tint="0"/>
      </bottom>
    </border>
    <border>
      <left style="thin">
        <color theme="4" tint="0"/>
      </left>
      <right style="thin">
        <color theme="4" tint="0"/>
      </right>
      <top style="thin">
        <color theme="4" tint="0"/>
      </top>
      <bottom style="medium">
        <color theme="4" tint="0"/>
      </bottom>
    </border>
    <border>
      <left style="thin">
        <color theme="4" tint="0"/>
      </left>
      <top style="thin">
        <color theme="4" tint="0"/>
      </top>
      <bottom style="medium">
        <color theme="4" tint="0"/>
      </bottom>
    </border>
    <border>
      <left style="medium">
        <color rgb="000000" tint="0"/>
      </left>
      <right style="thin">
        <color rgb="000000" tint="0"/>
      </right>
      <bottom style="thin">
        <color rgb="000000" tint="0"/>
      </bottom>
    </border>
    <border>
      <left style="thin">
        <color rgb="000000" tint="0"/>
      </left>
      <right style="thin">
        <color rgb="000000" tint="0"/>
      </right>
      <bottom style="thin">
        <color rgb="000000" tint="0"/>
      </bottom>
    </border>
    <border>
      <top style="thin">
        <color theme="4" tint="0"/>
      </top>
      <bottom style="medium">
        <color theme="4"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ttom style="medium">
        <color rgb="000000" tint="0"/>
      </bottom>
    </border>
    <border>
      <top style="medium">
        <color rgb="000000" tint="0"/>
      </top>
      <bottom style="medium">
        <color rgb="000000" tint="0"/>
      </bottom>
    </border>
    <border>
      <right style="medium">
        <color rgb="000000" tint="0"/>
      </right>
      <top style="medium">
        <color rgb="000000" tint="0"/>
      </top>
      <bottom style="medium">
        <color rgb="000000" tint="0"/>
      </bottom>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ttom style="medium">
        <color rgb="000000" tint="0"/>
      </bottom>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thin">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right style="medium">
        <color rgb="000000" tint="0"/>
      </right>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
      <bottom style="medium">
        <color rgb="000000" tint="0"/>
      </bottom>
    </border>
    <border>
      <bottom style="medium">
        <color rgb="000000" tint="0"/>
      </bottom>
    </border>
    <border>
      <bottom style="medium">
        <color rgb="000000" tint="0"/>
      </bottom>
    </border>
    <border>
      <bottom style="medium">
        <color rgb="000000" tint="0"/>
      </bottom>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right style="medium">
        <color rgb="000000" tint="0"/>
      </right>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top style="medium">
        <color rgb="000000" tint="0"/>
      </top>
    </border>
    <border>
      <right style="medium">
        <color rgb="000000" tint="0"/>
      </right>
      <top style="medium">
        <color rgb="000000" tint="0"/>
      </top>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rder>
    <border>
      <right style="medium">
        <color rgb="000000" tint="0"/>
      </right>
    </border>
    <border>
      <left style="medium">
        <color rgb="000000" tint="0"/>
      </left>
      <bottom style="medium">
        <color rgb="000000" tint="0"/>
      </bottom>
    </border>
    <border>
      <bottom style="medium">
        <color rgb="000000" tint="0"/>
      </bottom>
    </border>
    <border>
      <bottom style="medium">
        <color rgb="000000" tint="0"/>
      </bottom>
    </border>
    <border>
      <right style="medium">
        <color rgb="000000" tint="0"/>
      </right>
      <bottom style="medium">
        <color rgb="000000" tint="0"/>
      </bottom>
    </border>
  </borders>
  <cellStyleXfs count="1">
    <xf applyBorder="false" applyFill="false" applyFont="false" applyNumberFormat="true" borderId="0" fillId="0" fontId="1" numFmtId="1000" quotePrefix="false"/>
  </cellStyleXfs>
  <cellXfs count="11164">
    <xf applyBorder="false" applyFill="false" applyFont="false" applyNumberFormat="true" borderId="0" fillId="0" fontId="1" numFmtId="1000" quotePrefix="false"/>
    <xf applyAlignment="true" applyBorder="false" applyFill="false" applyFont="false" applyNumberFormat="true" borderId="0" fillId="0" fontId="1" numFmtId="1000" quotePrefix="false">
      <alignment wrapText="true"/>
    </xf>
    <xf applyAlignment="true" applyBorder="true" applyFill="false" applyFont="false" applyNumberFormat="true" borderId="1" fillId="0" fontId="1" numFmtId="1000" quotePrefix="false">
      <alignment horizontal="center" vertical="center"/>
    </xf>
    <xf applyAlignment="true" applyBorder="true" applyFill="false" applyFont="false" applyNumberFormat="true" borderId="2" fillId="0" fontId="1" numFmtId="1000" quotePrefix="false">
      <alignment horizontal="center" wrapText="true"/>
    </xf>
    <xf applyAlignment="true" applyBorder="true" applyFill="false" applyFont="false" applyNumberFormat="true" borderId="3" fillId="0" fontId="1" numFmtId="1000" quotePrefix="false">
      <alignment horizontal="center" wrapText="true"/>
    </xf>
    <xf applyAlignment="true" applyBorder="true" applyFill="false" applyFont="false" applyNumberFormat="true" borderId="4" fillId="0" fontId="1" numFmtId="1000" quotePrefix="false">
      <alignment horizontal="center" wrapText="true"/>
    </xf>
    <xf applyAlignment="true" applyBorder="true" applyFill="false" applyFont="false" applyNumberFormat="true" borderId="5" fillId="0" fontId="1" numFmtId="1000" quotePrefix="false">
      <alignment horizontal="center" wrapText="true"/>
    </xf>
    <xf applyAlignment="true" applyBorder="true" applyFill="false" applyFont="false" applyNumberFormat="true" borderId="6" fillId="0" fontId="1" numFmtId="1000" quotePrefix="false">
      <alignment horizontal="center" wrapText="true"/>
    </xf>
    <xf applyAlignment="true" applyBorder="true" applyFill="false" applyFont="false" applyNumberFormat="true" borderId="7" fillId="0" fontId="1" numFmtId="1000" quotePrefix="false">
      <alignment horizontal="center" wrapText="true"/>
    </xf>
    <xf applyAlignment="true" applyBorder="true" applyFill="false" applyFont="false" applyNumberFormat="true" borderId="8" fillId="0" fontId="1" numFmtId="1000" quotePrefix="false">
      <alignment horizontal="center" wrapText="true"/>
    </xf>
    <xf applyAlignment="true" applyBorder="true" applyFill="false" applyFont="false" applyNumberFormat="true" borderId="9" fillId="0" fontId="1" numFmtId="1000" quotePrefix="false">
      <alignment horizontal="center" wrapText="true"/>
    </xf>
    <xf applyAlignment="true" applyBorder="true" applyFill="false" applyFont="false" applyNumberFormat="true" borderId="10" fillId="0" fontId="1" numFmtId="1000" quotePrefix="false">
      <alignment horizontal="center" wrapText="true"/>
    </xf>
    <xf applyAlignment="true" applyBorder="true" applyFill="false" applyFont="false" applyNumberFormat="true" borderId="11" fillId="0" fontId="1" numFmtId="1000" quotePrefix="false">
      <alignment horizontal="center" wrapText="true"/>
    </xf>
    <xf applyAlignment="true" applyBorder="true" applyFill="false" applyFont="false" applyNumberFormat="true" borderId="12" fillId="0" fontId="1" numFmtId="1000" quotePrefix="false">
      <alignment horizontal="center" wrapText="true"/>
    </xf>
    <xf applyAlignment="true" applyBorder="true" applyFill="false" applyFont="false" applyNumberFormat="true" borderId="13" fillId="0" fontId="1" numFmtId="1000" quotePrefix="false">
      <alignment horizontal="center" wrapText="true"/>
    </xf>
    <xf applyAlignment="true" applyBorder="true" applyFill="false" applyFont="false" applyNumberFormat="true" borderId="14" fillId="0" fontId="1" numFmtId="1000" quotePrefix="false">
      <alignment horizontal="center" wrapText="true"/>
    </xf>
    <xf applyAlignment="true" applyBorder="true" applyFill="false" applyFont="false" applyNumberFormat="true" borderId="15" fillId="0" fontId="1" numFmtId="1000" quotePrefix="false">
      <alignment horizontal="center" wrapText="true"/>
    </xf>
    <xf applyAlignment="true" applyBorder="true" applyFill="false" applyFont="false" applyNumberFormat="true" borderId="16" fillId="0" fontId="1" numFmtId="1000" quotePrefix="false">
      <alignment horizontal="center" wrapText="true"/>
    </xf>
    <xf applyAlignment="true" applyBorder="true" applyFill="false" applyFont="false" applyNumberFormat="true" borderId="17" fillId="0" fontId="1" numFmtId="1000" quotePrefix="false">
      <alignment horizontal="center" wrapText="true"/>
    </xf>
    <xf applyAlignment="true" applyBorder="true" applyFill="false" applyFont="false" applyNumberFormat="true" borderId="18" fillId="0" fontId="1" numFmtId="1000" quotePrefix="false">
      <alignment horizontal="center" wrapText="true"/>
    </xf>
    <xf applyAlignment="true" applyBorder="true" applyFill="false" applyFont="false" applyNumberFormat="true" borderId="19" fillId="0" fontId="1" numFmtId="1000" quotePrefix="false">
      <alignment horizontal="center" vertical="center"/>
    </xf>
    <xf applyAlignment="true" applyBorder="true" applyFill="false" applyFont="false" applyNumberFormat="true" borderId="20" fillId="0" fontId="1" numFmtId="1000" quotePrefix="false">
      <alignment wrapText="true"/>
    </xf>
    <xf applyAlignment="true" applyBorder="true" applyFill="false" applyFont="false" applyNumberFormat="true" borderId="21" fillId="0" fontId="1" numFmtId="1000" quotePrefix="false">
      <alignment wrapText="true"/>
    </xf>
    <xf applyAlignment="true" applyBorder="true" applyFill="false" applyFont="true" applyNumberFormat="true" borderId="22" fillId="0" fontId="2" numFmtId="1000" quotePrefix="false">
      <alignment horizontal="center" vertical="center" wrapText="true"/>
    </xf>
    <xf applyAlignment="true" applyBorder="true" applyFill="false" applyFont="true" applyNumberFormat="true" borderId="23" fillId="0" fontId="2" numFmtId="1000" quotePrefix="false">
      <alignment horizontal="center" vertical="center" wrapText="true"/>
    </xf>
    <xf applyAlignment="true" applyBorder="true" applyFill="false" applyFont="false" applyNumberFormat="true" borderId="24" fillId="0" fontId="1" numFmtId="1000" quotePrefix="false">
      <alignment horizontal="center" vertical="center" wrapText="true"/>
    </xf>
    <xf applyAlignment="true" applyBorder="false" applyFill="false" applyFont="true" applyNumberFormat="true" borderId="0" fillId="0" fontId="2" numFmtId="1000" quotePrefix="false">
      <alignment horizontal="center" vertical="center" wrapText="true"/>
    </xf>
    <xf applyAlignment="true" applyBorder="true" applyFill="false" applyFont="false" applyNumberFormat="true" borderId="20" fillId="0" fontId="1" numFmtId="1000" quotePrefix="false">
      <alignment horizontal="center" vertical="center" wrapText="true"/>
    </xf>
    <xf applyAlignment="true" applyBorder="true" applyFill="false" applyFont="false" applyNumberFormat="true" borderId="25" fillId="0" fontId="1" numFmtId="1000" quotePrefix="false">
      <alignment wrapText="true"/>
    </xf>
    <xf applyAlignment="true" applyBorder="true" applyFill="false" applyFont="true" applyNumberFormat="true" borderId="25" fillId="0" fontId="2" numFmtId="1000" quotePrefix="false">
      <alignment horizontal="center" vertical="center" wrapText="true"/>
    </xf>
    <xf applyAlignment="true" applyBorder="false" applyFill="false" applyFont="false" applyNumberFormat="true" borderId="0" fillId="0" fontId="1" numFmtId="1000" quotePrefix="false">
      <alignment horizontal="center" vertical="center" wrapText="true"/>
    </xf>
    <xf applyAlignment="true" applyBorder="true" applyFill="false" applyFont="true" applyNumberFormat="true" borderId="20" fillId="0" fontId="2" numFmtId="1000" quotePrefix="false">
      <alignment horizontal="center" vertical="center" wrapText="true"/>
    </xf>
    <xf applyAlignment="true" applyBorder="true" applyFill="false" applyFont="false" applyNumberFormat="true" borderId="26" fillId="0" fontId="1" numFmtId="1000" quotePrefix="false">
      <alignment wrapText="true"/>
    </xf>
    <xf applyAlignment="true" applyBorder="true" applyFill="false" applyFont="true" applyNumberFormat="true" borderId="27" fillId="0" fontId="2" numFmtId="1000" quotePrefix="false">
      <alignment horizontal="center" vertical="center" wrapText="true"/>
    </xf>
    <xf applyAlignment="true" applyBorder="true" applyFill="false" applyFont="true" applyNumberFormat="true" borderId="28" fillId="0" fontId="2" numFmtId="1000" quotePrefix="false">
      <alignment horizontal="center" vertical="center" wrapText="true"/>
    </xf>
    <xf applyAlignment="true" applyBorder="true" applyFill="false" applyFont="false" applyNumberFormat="true" borderId="28" fillId="0" fontId="1" numFmtId="1000" quotePrefix="false">
      <alignment horizontal="center" vertical="center" wrapText="true"/>
    </xf>
    <xf applyAlignment="true" applyBorder="true" applyFill="false" applyFont="false" applyNumberFormat="true" borderId="29" fillId="0" fontId="1" numFmtId="1000" quotePrefix="false">
      <alignment horizontal="center" vertical="center" wrapText="true"/>
    </xf>
    <xf applyBorder="true" applyFill="false" applyFont="false" applyNumberFormat="true" borderId="30" fillId="0" fontId="1" numFmtId="1000" quotePrefix="false"/>
    <xf applyAlignment="true" applyBorder="true" applyFill="false" applyFont="true" applyNumberFormat="true" borderId="23" fillId="0" fontId="3" numFmtId="1000" quotePrefix="false">
      <alignment horizontal="center" wrapText="true"/>
    </xf>
    <xf applyAlignment="true" applyBorder="true" applyFill="false" applyFont="true" applyNumberFormat="true" borderId="31" fillId="0" fontId="3" numFmtId="1000" quotePrefix="false">
      <alignment horizontal="center" wrapText="true"/>
    </xf>
    <xf applyAlignment="true" applyBorder="false" applyFill="false" applyFont="true" applyNumberFormat="true" borderId="0" fillId="0" fontId="3" numFmtId="1000" quotePrefix="false">
      <alignment horizontal="center" wrapText="true"/>
    </xf>
    <xf applyAlignment="true" applyBorder="true" applyFill="false" applyFont="true" applyNumberFormat="true" borderId="23" fillId="0" fontId="3" numFmtId="1000" quotePrefix="false">
      <alignment horizontal="center" vertical="center" wrapText="true"/>
    </xf>
    <xf applyAlignment="true" applyBorder="true" applyFill="false" applyFont="true" applyNumberFormat="true" borderId="24" fillId="0" fontId="3" numFmtId="1000" quotePrefix="false">
      <alignment horizontal="center"/>
    </xf>
    <xf applyBorder="true" applyFill="false" applyFont="false" applyNumberFormat="true" borderId="26" fillId="0" fontId="1" numFmtId="1000" quotePrefix="false"/>
    <xf applyAlignment="true" applyBorder="true" applyFill="false" applyFont="true" applyNumberFormat="true" borderId="28" fillId="0" fontId="3" numFmtId="1000" quotePrefix="false">
      <alignment horizontal="center" vertical="center" wrapText="true"/>
    </xf>
    <xf applyBorder="true" applyFill="false" applyFont="false" applyNumberFormat="true" borderId="28" fillId="0" fontId="1" numFmtId="1000" quotePrefix="false"/>
    <xf applyAlignment="true" applyBorder="true" applyFill="false" applyFont="true" applyNumberFormat="true" borderId="28" fillId="0" fontId="3" numFmtId="1000" quotePrefix="false">
      <alignment wrapText="true"/>
    </xf>
    <xf applyAlignment="true" applyBorder="true" applyFill="false" applyFont="false" applyNumberFormat="true" borderId="28" fillId="0" fontId="1" numFmtId="1000" quotePrefix="false">
      <alignment wrapText="true"/>
    </xf>
    <xf applyAlignment="true" applyBorder="true" applyFill="false" applyFont="true" applyNumberFormat="true" borderId="28" fillId="0" fontId="3" numFmtId="1000" quotePrefix="false">
      <alignment horizontal="center" wrapText="true"/>
    </xf>
    <xf applyBorder="true" applyFill="false" applyFont="false" applyNumberFormat="true" borderId="29" fillId="0" fontId="1" numFmtId="1000" quotePrefix="false"/>
    <xf applyAlignment="true" applyBorder="false" applyFill="false" applyFont="true" applyNumberFormat="true" borderId="0" fillId="0" fontId="4" numFmtId="1000" quotePrefix="false">
      <alignment wrapText="true"/>
    </xf>
    <xf applyBorder="false" applyFill="false" applyFont="true" applyNumberFormat="true" borderId="0" fillId="0" fontId="4" numFmtId="1000" quotePrefix="false"/>
    <xf applyAlignment="true" applyBorder="false" applyFill="false" applyFont="false" applyNumberFormat="true" borderId="0" fillId="0" fontId="1" numFmtId="1000" quotePrefix="false">
      <alignment horizontal="center" wrapText="true"/>
    </xf>
    <xf applyAlignment="true" applyBorder="false" applyFill="false" applyFont="false" applyNumberFormat="true" borderId="0" fillId="0" fontId="1" numFmtId="1000" quotePrefix="false">
      <alignment horizontal="center"/>
    </xf>
    <xf applyAlignment="true" applyBorder="false" applyFill="true" applyFont="false" applyNumberFormat="true" borderId="0" fillId="2" fontId="1" numFmtId="1000" quotePrefix="false">
      <alignment horizontal="center"/>
    </xf>
    <xf applyAlignment="true" applyBorder="false" applyFill="true" applyFont="false" applyNumberFormat="true" borderId="0" fillId="3" fontId="1" numFmtId="1000" quotePrefix="false">
      <alignment horizontal="center" wrapText="true"/>
    </xf>
    <xf applyBorder="false" applyFill="false" applyFont="false" applyNumberFormat="true" borderId="0" fillId="0" fontId="1" numFmtId="1001" quotePrefix="false"/>
    <xf applyAlignment="true" applyBorder="false" applyFill="true" applyFont="false" applyNumberFormat="true" borderId="0" fillId="4" fontId="1" numFmtId="1000" quotePrefix="false">
      <alignment horizontal="center"/>
    </xf>
    <xf applyAlignment="true" applyBorder="true" applyFill="false" applyFont="true" applyNumberFormat="true" borderId="22" fillId="0" fontId="4" numFmtId="1000" quotePrefix="false">
      <alignment horizontal="center"/>
    </xf>
    <xf applyAlignment="true" applyBorder="true" applyFill="false" applyFont="true" applyNumberFormat="true" borderId="32" fillId="0" fontId="4" numFmtId="1000" quotePrefix="false">
      <alignment horizontal="center"/>
    </xf>
    <xf applyBorder="true" applyFill="false" applyFont="false" applyNumberFormat="true" borderId="24" fillId="0" fontId="1" numFmtId="1000" quotePrefix="false"/>
    <xf applyAlignment="true" applyBorder="true" applyFill="false" applyFont="true" applyNumberFormat="true" borderId="25" fillId="0" fontId="4" numFmtId="1000" quotePrefix="false">
      <alignment horizontal="center"/>
    </xf>
    <xf applyAlignment="true" applyBorder="false" applyFill="false" applyFont="true" applyNumberFormat="true" borderId="0" fillId="0" fontId="4" numFmtId="1000" quotePrefix="false">
      <alignment horizontal="center"/>
    </xf>
    <xf applyBorder="true" applyFill="false" applyFont="false" applyNumberFormat="true" borderId="20" fillId="0" fontId="1" numFmtId="1000" quotePrefix="false"/>
    <xf applyAlignment="true" applyBorder="true" applyFill="false" applyFont="true" applyNumberFormat="true" borderId="33" fillId="0" fontId="5" numFmtId="1000" quotePrefix="false">
      <alignment horizontal="center" vertical="center" wrapText="true"/>
    </xf>
    <xf applyAlignment="true" applyBorder="true" applyFill="false" applyFont="true" applyNumberFormat="true" borderId="34" fillId="0" fontId="5" numFmtId="1000" quotePrefix="false">
      <alignment horizontal="center" vertical="center" wrapText="true"/>
    </xf>
    <xf applyAlignment="true" applyBorder="true" applyFill="false" applyFont="true" applyNumberFormat="true" borderId="35" fillId="0" fontId="5" numFmtId="1000" quotePrefix="false">
      <alignment horizontal="center" vertical="center" wrapText="true"/>
    </xf>
    <xf applyAlignment="true" applyBorder="true" applyFill="false" applyFont="true" applyNumberFormat="true" borderId="25" fillId="0" fontId="4" numFmtId="1000" quotePrefix="false">
      <alignment horizontal="center" wrapText="true"/>
    </xf>
    <xf applyAlignment="true" applyBorder="false" applyFill="false" applyFont="true" applyNumberFormat="true" borderId="0" fillId="0" fontId="4" numFmtId="1000" quotePrefix="false">
      <alignment horizontal="center" wrapText="true"/>
    </xf>
    <xf applyAlignment="true" applyBorder="true" applyFill="false" applyFont="true" applyNumberFormat="true" borderId="36" fillId="0" fontId="5" numFmtId="1000" quotePrefix="false">
      <alignment horizontal="center" vertical="center" wrapText="true"/>
    </xf>
    <xf applyAlignment="true" applyBorder="false" applyFill="false" applyFont="true" applyNumberFormat="true" borderId="0" fillId="0" fontId="5" numFmtId="1000" quotePrefix="false">
      <alignment horizontal="center" vertical="center" wrapText="true"/>
    </xf>
    <xf applyAlignment="true" applyBorder="true" applyFill="false" applyFont="true" applyNumberFormat="true" borderId="37" fillId="0" fontId="5" numFmtId="1000" quotePrefix="false">
      <alignment horizontal="center" vertical="center" wrapText="true"/>
    </xf>
    <xf applyAlignment="true" applyBorder="true" applyFill="true" applyFont="true" applyNumberFormat="true" borderId="38" fillId="5" fontId="4" numFmtId="1000" quotePrefix="false">
      <alignment horizontal="center"/>
    </xf>
    <xf applyAlignment="true" applyBorder="true" applyFill="true" applyFont="true" applyNumberFormat="true" borderId="39" fillId="5" fontId="4" numFmtId="1000" quotePrefix="false">
      <alignment horizontal="center"/>
    </xf>
    <xf applyBorder="true" applyFill="false" applyFont="true" applyNumberFormat="true" borderId="40" fillId="0" fontId="4" numFmtId="1000" quotePrefix="false"/>
    <xf applyAlignment="true" applyBorder="true" applyFill="false" applyFont="true" applyNumberFormat="true" borderId="41" fillId="0" fontId="5" numFmtId="1000" quotePrefix="false">
      <alignment horizontal="center" vertical="center" wrapText="true"/>
    </xf>
    <xf applyAlignment="true" applyBorder="true" applyFill="false" applyFont="true" applyNumberFormat="true" borderId="42" fillId="0" fontId="5" numFmtId="1000" quotePrefix="false">
      <alignment horizontal="center" vertical="center" wrapText="true"/>
    </xf>
    <xf applyAlignment="true" applyBorder="true" applyFill="false" applyFont="true" applyNumberFormat="true" borderId="43" fillId="0" fontId="5" numFmtId="1000" quotePrefix="false">
      <alignment horizontal="center" vertical="center" wrapText="true"/>
    </xf>
    <xf applyAlignment="true" applyBorder="true" applyFill="true" applyFont="true" applyNumberFormat="true" borderId="27" fillId="6" fontId="4" numFmtId="1000" quotePrefix="false">
      <alignment horizontal="center"/>
    </xf>
    <xf applyAlignment="true" applyBorder="true" applyFill="true" applyFont="true" applyNumberFormat="true" borderId="44" fillId="6" fontId="4" numFmtId="1000" quotePrefix="false">
      <alignment horizontal="center"/>
    </xf>
    <xf applyBorder="true" applyFill="false" applyFont="true" applyNumberFormat="true" borderId="29" fillId="0" fontId="4" numFmtId="1000" quotePrefix="false"/>
    <xf applyAlignment="true" applyBorder="false" applyFill="true" applyFont="true" applyNumberFormat="true" borderId="0" fillId="7" fontId="6" numFmtId="1000" quotePrefix="false">
      <alignment horizontal="center"/>
    </xf>
    <xf applyBorder="false" applyFill="false" applyFont="true" borderId="0" fillId="0" fontId="7" numFmtId="0" quotePrefix="false"/>
    <xf applyBorder="false" applyFill="false" applyFont="true" applyNumberFormat="true" borderId="0" fillId="0" fontId="7" numFmtId="1002" quotePrefix="true"/>
    <xf applyAlignment="true" applyBorder="false" applyFill="false" applyFont="false" borderId="0" fillId="0" fontId="1" numFmtId="0" quotePrefix="false">
      <alignment wrapText="true"/>
    </xf>
    <xf applyAlignment="true" applyBorder="true" applyFill="false" applyFont="false" applyNumberFormat="true" borderId="45" fillId="0" fontId="1" numFmtId="1000" quotePrefix="false">
      <alignment horizontal="center"/>
    </xf>
    <xf applyAlignment="true" applyBorder="true" applyFill="false" applyFont="false" applyNumberFormat="true" borderId="46" fillId="0" fontId="1" numFmtId="1000" quotePrefix="false">
      <alignment horizontal="center"/>
    </xf>
    <xf applyBorder="false" applyFill="false" applyFont="true" applyNumberFormat="true" borderId="0" fillId="0" fontId="2" numFmtId="1000" quotePrefix="false"/>
    <xf applyAlignment="true" applyBorder="true" applyFill="false" applyFont="false" applyNumberFormat="true" borderId="47" fillId="0" fontId="1" numFmtId="1000" quotePrefix="false">
      <alignment horizontal="center"/>
    </xf>
    <xf applyAlignment="true" applyBorder="true" applyFill="false" applyFont="false" applyNumberFormat="true" borderId="48" fillId="0" fontId="1" numFmtId="1000" quotePrefix="false">
      <alignment horizontal="center"/>
    </xf>
    <xf applyAlignment="true" applyBorder="false" applyFill="true" applyFont="false" applyNumberFormat="true" borderId="0" fillId="8" fontId="1" numFmtId="1000" quotePrefix="false">
      <alignment horizontal="center"/>
    </xf>
    <xf applyBorder="true" applyFill="true" applyFont="false" applyNumberFormat="true" borderId="49" fillId="8" fontId="1" numFmtId="1001" quotePrefix="false"/>
    <xf applyBorder="true" applyFill="false" applyFont="false" applyNumberFormat="true" borderId="50" fillId="0" fontId="1" numFmtId="1000" quotePrefix="false"/>
    <xf applyBorder="true" applyFill="false" applyFont="false" applyNumberFormat="true" borderId="22" fillId="0" fontId="1" numFmtId="1000" quotePrefix="false"/>
    <xf applyBorder="true" applyFill="false" applyFont="false" applyNumberFormat="true" borderId="23" fillId="0" fontId="1" numFmtId="1000" quotePrefix="false"/>
    <xf applyAlignment="true" applyBorder="true" applyFill="false" applyFont="true" applyNumberFormat="true" borderId="28" fillId="0" fontId="2" numFmtId="1000" quotePrefix="false">
      <alignment horizontal="center" vertical="top"/>
    </xf>
    <xf applyAlignment="true" applyBorder="true" applyFill="false" applyFont="true" applyNumberFormat="true" borderId="51" fillId="0" fontId="2" numFmtId="1000" quotePrefix="false">
      <alignment horizontal="center" vertical="top"/>
    </xf>
    <xf applyAlignment="true" applyBorder="false" applyFill="false" applyFont="false" applyNumberFormat="true" borderId="0" fillId="0" fontId="1" numFmtId="1000" quotePrefix="false">
      <alignment horizontal="left" vertical="top"/>
    </xf>
    <xf applyBorder="true" applyFill="false" applyFont="false" applyNumberFormat="true" borderId="25" fillId="0" fontId="1" numFmtId="1000" quotePrefix="false"/>
    <xf applyAlignment="true" applyBorder="true" applyFill="false" applyFont="true" applyNumberFormat="true" borderId="28" fillId="0" fontId="2" numFmtId="1000" quotePrefix="false">
      <alignment horizontal="center"/>
    </xf>
    <xf applyAlignment="true" applyBorder="true" applyFill="false" applyFont="true" applyNumberFormat="true" borderId="52" fillId="0" fontId="2" numFmtId="1000" quotePrefix="false">
      <alignment horizontal="center"/>
    </xf>
    <xf applyAlignment="true" applyBorder="true" applyFill="false" applyFont="true" applyNumberFormat="true" borderId="53" fillId="0" fontId="2" numFmtId="1000" quotePrefix="false">
      <alignment horizontal="center"/>
    </xf>
    <xf applyAlignment="true" applyBorder="true" applyFill="false" applyFont="true" applyNumberFormat="true" borderId="54" fillId="0" fontId="2" numFmtId="1000" quotePrefix="false">
      <alignment horizontal="center"/>
    </xf>
    <xf applyAlignment="true" applyBorder="true" applyFill="false" applyFont="false" applyNumberFormat="true" borderId="55" fillId="0" fontId="1" numFmtId="1000" quotePrefix="false">
      <alignment horizontal="center" vertical="top"/>
    </xf>
    <xf applyAlignment="true" applyBorder="true" applyFill="false" applyFont="false" applyNumberFormat="true" borderId="56" fillId="0" fontId="1" numFmtId="1000" quotePrefix="false">
      <alignment horizontal="center" vertical="top"/>
    </xf>
    <xf applyAlignment="true" applyBorder="true" applyFill="false" applyFont="false" applyNumberFormat="true" borderId="57" fillId="0" fontId="1" numFmtId="1000" quotePrefix="false">
      <alignment horizontal="center" vertical="top"/>
    </xf>
    <xf applyAlignment="true" applyBorder="true" applyFill="false" applyFont="false" applyNumberFormat="true" borderId="58" fillId="0" fontId="1" numFmtId="1000" quotePrefix="false">
      <alignment horizontal="center" vertical="top"/>
    </xf>
    <xf applyAlignment="true" applyBorder="true" applyFill="false" applyFont="false" applyNumberFormat="true" borderId="59" fillId="0" fontId="1" numFmtId="1000" quotePrefix="false">
      <alignment horizontal="center" vertical="top"/>
    </xf>
    <xf applyAlignment="true" applyBorder="true" applyFill="false" applyFont="false" applyNumberFormat="true" borderId="60" fillId="0" fontId="1" numFmtId="1000" quotePrefix="false">
      <alignment horizontal="center" vertical="top"/>
    </xf>
    <xf applyAlignment="true" applyBorder="true" applyFill="false" applyFont="false" applyNumberFormat="true" borderId="61" fillId="0" fontId="1" numFmtId="1000" quotePrefix="false">
      <alignment horizontal="center" vertical="top"/>
    </xf>
    <xf applyAlignment="true" applyBorder="true" applyFill="false" applyFont="false" applyNumberFormat="true" borderId="62" fillId="0" fontId="1" numFmtId="1000" quotePrefix="false">
      <alignment horizontal="center" vertical="top"/>
    </xf>
    <xf applyAlignment="true" applyBorder="true" applyFill="false" applyFont="false" applyNumberFormat="true" borderId="63" fillId="0" fontId="1" numFmtId="1000" quotePrefix="false">
      <alignment horizontal="center" vertical="top"/>
    </xf>
    <xf applyAlignment="true" applyBorder="true" applyFill="false" applyFont="false" applyNumberFormat="true" borderId="64" fillId="0" fontId="1" numFmtId="1000" quotePrefix="false">
      <alignment horizontal="center" vertical="top"/>
    </xf>
    <xf applyAlignment="true" applyBorder="true" applyFill="false" applyFont="false" applyNumberFormat="true" borderId="65" fillId="0" fontId="1" numFmtId="1000" quotePrefix="false">
      <alignment horizontal="center" vertical="top"/>
    </xf>
    <xf applyAlignment="true" applyBorder="true" applyFill="false" applyFont="false" applyNumberFormat="true" borderId="66" fillId="0" fontId="1" numFmtId="1000" quotePrefix="false">
      <alignment horizontal="center" vertical="top"/>
    </xf>
    <xf applyAlignment="true" applyBorder="true" applyFill="false" applyFont="false" applyNumberFormat="true" borderId="67" fillId="0" fontId="1" numFmtId="1000" quotePrefix="false">
      <alignment horizontal="center" vertical="top"/>
    </xf>
    <xf applyAlignment="true" applyBorder="true" applyFill="false" applyFont="false" applyNumberFormat="true" borderId="68" fillId="0" fontId="1" numFmtId="1000" quotePrefix="false">
      <alignment horizontal="center" vertical="top"/>
    </xf>
    <xf applyAlignment="true" applyBorder="true" applyFill="false" applyFont="false" applyNumberFormat="true" borderId="69" fillId="0" fontId="1" numFmtId="1000" quotePrefix="false">
      <alignment horizontal="center" vertical="top"/>
    </xf>
    <xf applyAlignment="true" applyBorder="true" applyFill="false" applyFont="false" applyNumberFormat="true" borderId="70" fillId="0" fontId="1" numFmtId="1000" quotePrefix="false">
      <alignment horizontal="center" vertical="top"/>
    </xf>
    <xf applyAlignment="true" applyBorder="true" applyFill="false" applyFont="false" applyNumberFormat="true" borderId="71" fillId="0" fontId="1" numFmtId="1000" quotePrefix="false">
      <alignment horizontal="center" vertical="top"/>
    </xf>
    <xf applyAlignment="true" applyBorder="true" applyFill="false" applyFont="false" applyNumberFormat="true" borderId="25" fillId="0" fontId="1" numFmtId="1000" quotePrefix="false">
      <alignment vertical="top"/>
    </xf>
    <xf applyAlignment="true" applyBorder="false" applyFill="false" applyFont="false" applyNumberFormat="true" borderId="0" fillId="0" fontId="1" numFmtId="1000" quotePrefix="false">
      <alignment vertical="top"/>
    </xf>
    <xf applyAlignment="true" applyBorder="true" applyFill="true" applyFont="true" applyNumberFormat="true" borderId="72" fillId="9" fontId="2" numFmtId="1001" quotePrefix="false">
      <alignment horizontal="center"/>
    </xf>
    <xf applyAlignment="true" applyBorder="true" applyFill="true" applyFont="true" applyNumberFormat="true" borderId="73" fillId="9" fontId="2" numFmtId="1001" quotePrefix="false">
      <alignment horizontal="center"/>
    </xf>
    <xf applyAlignment="true" applyBorder="true" applyFill="true" applyFont="true" applyNumberFormat="true" borderId="74" fillId="9" fontId="2" numFmtId="1001" quotePrefix="false">
      <alignment horizontal="center"/>
    </xf>
    <xf applyAlignment="true" applyBorder="true" applyFill="true" applyFont="false" applyNumberFormat="true" borderId="75" fillId="8" fontId="1" numFmtId="1001" quotePrefix="false">
      <alignment horizontal="center"/>
    </xf>
    <xf applyAlignment="true" applyBorder="true" applyFill="true" applyFont="false" applyNumberFormat="true" borderId="76" fillId="8" fontId="1" numFmtId="1001" quotePrefix="false">
      <alignment horizontal="center"/>
    </xf>
    <xf applyAlignment="true" applyBorder="true" applyFill="true" applyFont="false" applyNumberFormat="true" borderId="77" fillId="8" fontId="1" numFmtId="1001" quotePrefix="false">
      <alignment horizontal="center"/>
    </xf>
    <xf applyAlignment="true" applyBorder="true" applyFill="true" applyFont="false" applyNumberFormat="true" borderId="78" fillId="8" fontId="1" numFmtId="1001" quotePrefix="false">
      <alignment horizontal="center"/>
    </xf>
    <xf applyAlignment="true" applyBorder="true" applyFill="false" applyFont="false" applyNumberFormat="true" borderId="79" fillId="0" fontId="1" numFmtId="1000" quotePrefix="false">
      <alignment vertical="top"/>
    </xf>
    <xf applyAlignment="true" applyBorder="true" applyFill="false" applyFont="false" applyNumberFormat="true" borderId="80" fillId="0" fontId="1" numFmtId="1000" quotePrefix="false">
      <alignment vertical="top"/>
    </xf>
    <xf applyAlignment="true" applyBorder="true" applyFill="false" applyFont="false" applyNumberFormat="true" borderId="20" fillId="0" fontId="1" numFmtId="1000" quotePrefix="false">
      <alignment vertical="top"/>
    </xf>
    <xf applyAlignment="true" applyBorder="true" applyFill="false" applyFont="false" applyNumberFormat="true" borderId="81" fillId="0" fontId="1" numFmtId="1000" quotePrefix="false">
      <alignment horizontal="center" vertical="top"/>
    </xf>
    <xf applyAlignment="true" applyBorder="true" applyFill="false" applyFont="false" applyNumberFormat="true" borderId="82" fillId="0" fontId="1" numFmtId="1000" quotePrefix="false">
      <alignment horizontal="center" vertical="top"/>
    </xf>
    <xf applyAlignment="true" applyBorder="true" applyFill="false" applyFont="false" applyNumberFormat="true" borderId="83" fillId="0" fontId="1" numFmtId="1000" quotePrefix="false">
      <alignment horizontal="center" vertical="top"/>
    </xf>
    <xf applyBorder="true" applyFill="true" applyFont="false" applyNumberFormat="true" borderId="84" fillId="8" fontId="1" numFmtId="1001" quotePrefix="false"/>
    <xf applyAlignment="true" applyBorder="true" applyFill="false" applyFont="false" applyNumberFormat="true" borderId="75" fillId="0" fontId="1" numFmtId="1000" quotePrefix="false">
      <alignment vertical="top"/>
    </xf>
    <xf applyAlignment="true" applyBorder="true" applyFill="true" applyFont="false" applyNumberFormat="true" borderId="85" fillId="8" fontId="1" numFmtId="1003" quotePrefix="false">
      <alignment vertical="top"/>
    </xf>
    <xf applyAlignment="true" applyBorder="true" applyFill="true" applyFont="false" applyNumberFormat="true" borderId="76" fillId="3" fontId="1" numFmtId="1000" quotePrefix="false">
      <alignment horizontal="center" vertical="top" wrapText="true"/>
    </xf>
    <xf applyAlignment="true" applyBorder="true" applyFill="true" applyFont="true" applyNumberFormat="true" borderId="85" fillId="10" fontId="8" numFmtId="1000" quotePrefix="false">
      <alignment vertical="top"/>
    </xf>
    <xf applyAlignment="true" applyBorder="true" applyFill="true" applyFont="false" applyNumberFormat="true" borderId="85" fillId="3" fontId="1" numFmtId="1000" quotePrefix="false">
      <alignment horizontal="center" vertical="top" wrapText="true"/>
    </xf>
    <xf applyAlignment="true" applyBorder="true" applyFill="false" applyFont="false" applyNumberFormat="true" borderId="86" fillId="0" fontId="1" numFmtId="1000" quotePrefix="false">
      <alignment horizontal="center" vertical="top"/>
    </xf>
    <xf applyAlignment="true" applyBorder="false" applyFill="false" applyFont="false" applyNumberFormat="true" borderId="0" fillId="0" fontId="1" numFmtId="1000" quotePrefix="false">
      <alignment horizontal="center" vertical="top"/>
    </xf>
    <xf applyAlignment="true" applyBorder="true" applyFill="false" applyFont="false" applyNumberFormat="true" borderId="87" fillId="0" fontId="1" numFmtId="1000" quotePrefix="false">
      <alignment horizontal="center" vertical="top"/>
    </xf>
    <xf applyAlignment="true" applyBorder="true" applyFill="true" applyFont="false" applyNumberFormat="true" borderId="88" fillId="3" fontId="1" numFmtId="1000" quotePrefix="false">
      <alignment horizontal="center" vertical="top" wrapText="true"/>
    </xf>
    <xf applyAlignment="true" applyBorder="true" applyFill="true" applyFont="false" applyNumberFormat="true" borderId="89" fillId="3" fontId="1" numFmtId="1000" quotePrefix="false">
      <alignment horizontal="center" vertical="top" wrapText="true"/>
    </xf>
    <xf applyAlignment="true" applyBorder="true" applyFill="true" applyFont="false" applyNumberFormat="true" borderId="90" fillId="3" fontId="1" numFmtId="1000" quotePrefix="false">
      <alignment horizontal="center" vertical="top" wrapText="true"/>
    </xf>
    <xf applyAlignment="true" applyBorder="true" applyFill="false" applyFont="false" applyNumberFormat="true" borderId="91" fillId="0" fontId="1" numFmtId="1000" quotePrefix="false">
      <alignment horizontal="center" vertical="top"/>
    </xf>
    <xf applyAlignment="true" applyBorder="true" applyFill="false" applyFont="false" applyNumberFormat="true" borderId="92" fillId="0" fontId="1" numFmtId="1000" quotePrefix="false">
      <alignment horizontal="center" vertical="top"/>
    </xf>
    <xf applyAlignment="true" applyBorder="false" applyFill="false" applyFont="false" applyNumberFormat="true" borderId="0" fillId="0" fontId="1" numFmtId="1001" quotePrefix="false">
      <alignment horizontal="center"/>
    </xf>
    <xf applyAlignment="true" applyBorder="true" applyFill="true" applyFont="false" applyNumberFormat="true" borderId="93" fillId="3" fontId="1" numFmtId="1000" quotePrefix="false">
      <alignment horizontal="center" vertical="top" wrapText="true"/>
    </xf>
    <xf applyAlignment="true" applyBorder="true" applyFill="true" applyFont="false" applyNumberFormat="true" borderId="94" fillId="3" fontId="1" numFmtId="1000" quotePrefix="false">
      <alignment horizontal="center" vertical="top" wrapText="true"/>
    </xf>
    <xf applyAlignment="true" applyBorder="true" applyFill="true" applyFont="false" applyNumberFormat="true" borderId="95" fillId="3" fontId="1" numFmtId="1000" quotePrefix="false">
      <alignment horizontal="center" vertical="top" wrapText="true"/>
    </xf>
    <xf applyAlignment="true" applyBorder="true" applyFill="false" applyFont="false" applyNumberFormat="true" borderId="96" fillId="0" fontId="1" numFmtId="1000" quotePrefix="false">
      <alignment horizontal="center" vertical="top"/>
    </xf>
    <xf applyAlignment="true" applyBorder="true" applyFill="false" applyFont="false" applyNumberFormat="true" borderId="97" fillId="0" fontId="1" numFmtId="1000" quotePrefix="false">
      <alignment horizontal="center" vertical="top"/>
    </xf>
    <xf applyAlignment="true" applyBorder="true" applyFill="true" applyFont="false" applyNumberFormat="true" borderId="98" fillId="3" fontId="1" numFmtId="1000" quotePrefix="false">
      <alignment horizontal="center" vertical="top" wrapText="true"/>
    </xf>
    <xf applyAlignment="true" applyBorder="true" applyFill="true" applyFont="false" applyNumberFormat="true" borderId="99" fillId="3" fontId="1" numFmtId="1000" quotePrefix="false">
      <alignment horizontal="center" vertical="top" wrapText="true"/>
    </xf>
    <xf applyAlignment="true" applyBorder="true" applyFill="false" applyFont="false" applyNumberFormat="true" borderId="100" fillId="0" fontId="1" numFmtId="1000" quotePrefix="false">
      <alignment horizontal="center" vertical="top"/>
    </xf>
    <xf applyAlignment="true" applyBorder="true" applyFill="false" applyFont="false" applyNumberFormat="true" borderId="101" fillId="0" fontId="1" numFmtId="1000" quotePrefix="false">
      <alignment horizontal="center" vertical="top"/>
    </xf>
    <xf applyAlignment="true" applyBorder="true" applyFill="true" applyFont="true" applyNumberFormat="true" borderId="72" fillId="9" fontId="2" numFmtId="1000" quotePrefix="false">
      <alignment horizontal="center"/>
    </xf>
    <xf applyAlignment="true" applyBorder="true" applyFill="true" applyFont="true" applyNumberFormat="true" borderId="73" fillId="9" fontId="2" numFmtId="1000" quotePrefix="false">
      <alignment horizontal="center"/>
    </xf>
    <xf applyAlignment="true" applyBorder="true" applyFill="true" applyFont="true" applyNumberFormat="true" borderId="74" fillId="9" fontId="2" numFmtId="1000" quotePrefix="false">
      <alignment horizontal="center"/>
    </xf>
    <xf applyAlignment="true" applyBorder="true" applyFill="true" applyFont="false" applyNumberFormat="true" borderId="102" fillId="11" fontId="1" numFmtId="1000" quotePrefix="false">
      <alignment horizontal="center"/>
    </xf>
    <xf applyAlignment="true" applyBorder="true" applyFill="true" applyFont="false" applyNumberFormat="true" borderId="76" fillId="12" fontId="1" numFmtId="1000" quotePrefix="false">
      <alignment horizontal="center"/>
    </xf>
    <xf applyAlignment="true" applyBorder="true" applyFill="true" applyFont="false" applyNumberFormat="true" borderId="103" fillId="9" fontId="1" numFmtId="1000" quotePrefix="false">
      <alignment horizontal="center"/>
    </xf>
    <xf applyAlignment="true" applyBorder="true" applyFill="true" applyFont="false" applyNumberFormat="true" borderId="76" fillId="4" fontId="1" numFmtId="1000" quotePrefix="false">
      <alignment horizontal="center"/>
    </xf>
    <xf applyAlignment="true" applyBorder="true" applyFill="true" applyFont="false" applyNumberFormat="true" borderId="78" fillId="13" fontId="1" numFmtId="1000" quotePrefix="false">
      <alignment horizontal="center"/>
    </xf>
    <xf applyAlignment="true" applyBorder="true" applyFill="true" applyFont="false" applyNumberFormat="true" borderId="104" fillId="3" fontId="1" numFmtId="1000" quotePrefix="false">
      <alignment horizontal="center" vertical="top" wrapText="true"/>
    </xf>
    <xf applyAlignment="true" applyBorder="true" applyFill="true" applyFont="false" applyNumberFormat="true" borderId="105" fillId="3" fontId="1" numFmtId="1000" quotePrefix="false">
      <alignment horizontal="center" vertical="top" wrapText="true"/>
    </xf>
    <xf applyAlignment="true" applyBorder="true" applyFill="false" applyFont="false" applyNumberFormat="true" borderId="106" fillId="0" fontId="1" numFmtId="1000" quotePrefix="false">
      <alignment horizontal="center" vertical="top"/>
    </xf>
    <xf applyAlignment="true" applyBorder="true" applyFill="false" applyFont="false" applyNumberFormat="true" borderId="107" fillId="0" fontId="1" numFmtId="1000" quotePrefix="false">
      <alignment horizontal="center" vertical="top"/>
    </xf>
    <xf applyAlignment="true" applyBorder="false" applyFill="false" applyFont="false" applyNumberFormat="true" borderId="0" fillId="0" fontId="1" numFmtId="1003" quotePrefix="false">
      <alignment horizontal="center"/>
    </xf>
    <xf applyAlignment="true" applyBorder="true" applyFill="true" applyFont="false" applyNumberFormat="true" borderId="108" fillId="3" fontId="1" numFmtId="1000" quotePrefix="false">
      <alignment horizontal="center" vertical="top" wrapText="true"/>
    </xf>
    <xf applyAlignment="true" applyBorder="true" applyFill="true" applyFont="false" applyNumberFormat="true" borderId="109" fillId="3" fontId="1" numFmtId="1000" quotePrefix="false">
      <alignment horizontal="center" vertical="top" wrapText="true"/>
    </xf>
    <xf applyAlignment="true" applyBorder="true" applyFill="true" applyFont="false" applyNumberFormat="true" borderId="110" fillId="3" fontId="1" numFmtId="1000" quotePrefix="false">
      <alignment horizontal="center" vertical="top" wrapText="true"/>
    </xf>
    <xf applyAlignment="true" applyBorder="true" applyFill="false" applyFont="false" applyNumberFormat="true" borderId="111" fillId="0" fontId="1" numFmtId="1000" quotePrefix="false">
      <alignment horizontal="center" vertical="top"/>
    </xf>
    <xf applyAlignment="true" applyBorder="true" applyFill="false" applyFont="false" applyNumberFormat="true" borderId="112" fillId="0" fontId="1" numFmtId="1000" quotePrefix="false">
      <alignment horizontal="center" vertical="top"/>
    </xf>
    <xf applyAlignment="true" applyBorder="true" applyFill="true" applyFont="false" applyNumberFormat="true" borderId="113" fillId="3" fontId="1" numFmtId="1000" quotePrefix="false">
      <alignment horizontal="center" vertical="top" wrapText="true"/>
    </xf>
    <xf applyAlignment="true" applyBorder="true" applyFill="false" applyFont="false" applyNumberFormat="true" borderId="114" fillId="0" fontId="1" numFmtId="1000" quotePrefix="false">
      <alignment horizontal="center" vertical="top"/>
    </xf>
    <xf applyAlignment="true" applyBorder="true" applyFill="false" applyFont="false" applyNumberFormat="true" borderId="115" fillId="0" fontId="1" numFmtId="1000" quotePrefix="false">
      <alignment horizontal="center" vertical="top"/>
    </xf>
    <xf applyBorder="true" applyFill="false" applyFont="false" applyNumberFormat="true" borderId="27" fillId="0" fontId="1" numFmtId="1000" quotePrefix="false"/>
    <xf applyAlignment="true" applyBorder="true" applyFill="false" applyFont="false" applyNumberFormat="true" borderId="28" fillId="0" fontId="1" numFmtId="1001" quotePrefix="false">
      <alignment horizontal="center"/>
    </xf>
    <xf applyAlignment="true" applyBorder="true" applyFill="false" applyFont="false" applyNumberFormat="true" borderId="116" fillId="0" fontId="1" numFmtId="1000" quotePrefix="false">
      <alignment vertical="top"/>
    </xf>
    <xf applyAlignment="true" applyBorder="true" applyFill="true" applyFont="false" applyNumberFormat="true" borderId="109" fillId="8" fontId="1" numFmtId="1003" quotePrefix="false">
      <alignment vertical="top"/>
    </xf>
    <xf applyAlignment="true" applyBorder="true" applyFill="false" applyFont="false" applyNumberFormat="true" borderId="27" fillId="0" fontId="1" numFmtId="1000" quotePrefix="false">
      <alignment vertical="top"/>
    </xf>
    <xf applyAlignment="true" applyBorder="true" applyFill="false" applyFont="false" applyNumberFormat="true" borderId="29" fillId="0" fontId="1" numFmtId="1000" quotePrefix="false">
      <alignment vertical="top"/>
    </xf>
    <xf applyAlignment="true" applyBorder="true" applyFill="true" applyFont="false" applyNumberFormat="true" borderId="117" fillId="3" fontId="1" numFmtId="1000" quotePrefix="false">
      <alignment horizontal="center" vertical="top" wrapText="true"/>
    </xf>
    <xf applyAlignment="true" applyBorder="true" applyFill="true" applyFont="true" applyNumberFormat="true" borderId="109" fillId="10" fontId="8" numFmtId="1000" quotePrefix="false">
      <alignment vertical="top"/>
    </xf>
    <xf applyAlignment="true" applyBorder="true" applyFill="false" applyFont="false" applyNumberFormat="true" borderId="118" fillId="0" fontId="1" numFmtId="1000" quotePrefix="false">
      <alignment horizontal="center" vertical="top"/>
    </xf>
    <xf applyAlignment="true" applyBorder="true" applyFill="false" applyFont="false" applyNumberFormat="true" borderId="119" fillId="0" fontId="1" numFmtId="1000" quotePrefix="false">
      <alignment horizontal="center" vertical="top"/>
    </xf>
    <xf applyAlignment="true" applyBorder="true" applyFill="false" applyFont="false" applyNumberFormat="true" borderId="120" fillId="0" fontId="1" numFmtId="1000" quotePrefix="false">
      <alignment horizontal="center" vertical="top"/>
    </xf>
    <xf applyAlignment="true" applyBorder="true" applyFill="false" applyFont="false" applyNumberFormat="true" borderId="121" fillId="0" fontId="1" numFmtId="1000" quotePrefix="false">
      <alignment horizontal="center" vertical="top"/>
    </xf>
    <xf applyAlignment="true" applyBorder="true" applyFill="false" applyFont="true" applyNumberFormat="true" borderId="122" fillId="0" fontId="2" numFmtId="1000" quotePrefix="false">
      <alignment horizontal="center" vertical="top"/>
    </xf>
    <xf applyAlignment="true" applyBorder="true" applyFill="false" applyFont="true" applyNumberFormat="true" borderId="123" fillId="0" fontId="2" numFmtId="1000" quotePrefix="false">
      <alignment horizontal="center"/>
    </xf>
    <xf applyAlignment="true" applyBorder="true" applyFill="false" applyFont="true" applyNumberFormat="true" borderId="124" fillId="0" fontId="2" numFmtId="1000" quotePrefix="false">
      <alignment horizontal="center"/>
    </xf>
    <xf applyAlignment="true" applyBorder="true" applyFill="false" applyFont="true" applyNumberFormat="true" borderId="125" fillId="0" fontId="2" numFmtId="1000" quotePrefix="false">
      <alignment horizontal="center"/>
    </xf>
    <xf applyAlignment="true" applyBorder="true" applyFill="false" applyFont="false" applyNumberFormat="true" borderId="126" fillId="0" fontId="1" numFmtId="1000" quotePrefix="false">
      <alignment horizontal="center" vertical="top"/>
    </xf>
    <xf applyAlignment="true" applyBorder="true" applyFill="false" applyFont="false" applyNumberFormat="true" borderId="127" fillId="0" fontId="1" numFmtId="1000" quotePrefix="false">
      <alignment horizontal="center" vertical="top"/>
    </xf>
    <xf applyAlignment="true" applyBorder="true" applyFill="false" applyFont="false" applyNumberFormat="true" borderId="128" fillId="0" fontId="1" numFmtId="1000" quotePrefix="false">
      <alignment horizontal="center" vertical="top"/>
    </xf>
    <xf applyAlignment="true" applyBorder="true" applyFill="false" applyFont="false" applyNumberFormat="true" borderId="129" fillId="0" fontId="1" numFmtId="1000" quotePrefix="false">
      <alignment horizontal="center" vertical="top"/>
    </xf>
    <xf applyAlignment="true" applyBorder="true" applyFill="false" applyFont="false" applyNumberFormat="true" borderId="130" fillId="0" fontId="1" numFmtId="1000" quotePrefix="false">
      <alignment horizontal="center" vertical="top"/>
    </xf>
    <xf applyAlignment="true" applyBorder="true" applyFill="false" applyFont="false" applyNumberFormat="true" borderId="131" fillId="0" fontId="1" numFmtId="1000" quotePrefix="false">
      <alignment horizontal="center" vertical="top"/>
    </xf>
    <xf applyAlignment="true" applyBorder="true" applyFill="false" applyFont="false" applyNumberFormat="true" borderId="132" fillId="0" fontId="1" numFmtId="1000" quotePrefix="false">
      <alignment horizontal="center" vertical="top"/>
    </xf>
    <xf applyAlignment="true" applyBorder="true" applyFill="false" applyFont="false" applyNumberFormat="true" borderId="133" fillId="0" fontId="1" numFmtId="1000" quotePrefix="false">
      <alignment horizontal="center" vertical="top"/>
    </xf>
    <xf applyAlignment="true" applyBorder="true" applyFill="false" applyFont="false" applyNumberFormat="true" borderId="134" fillId="0" fontId="1" numFmtId="1000" quotePrefix="false">
      <alignment horizontal="center" vertical="top"/>
    </xf>
    <xf applyAlignment="true" applyBorder="true" applyFill="false" applyFont="false" applyNumberFormat="true" borderId="135" fillId="0" fontId="1" numFmtId="1000" quotePrefix="false">
      <alignment horizontal="center" vertical="top"/>
    </xf>
    <xf applyAlignment="true" applyBorder="true" applyFill="false" applyFont="false" applyNumberFormat="true" borderId="136" fillId="0" fontId="1" numFmtId="1000" quotePrefix="false">
      <alignment horizontal="center" vertical="top"/>
    </xf>
    <xf applyAlignment="true" applyBorder="true" applyFill="false" applyFont="false" applyNumberFormat="true" borderId="137" fillId="0" fontId="1" numFmtId="1000" quotePrefix="false">
      <alignment horizontal="center" vertical="top"/>
    </xf>
    <xf applyAlignment="true" applyBorder="true" applyFill="true" applyFont="false" applyNumberFormat="true" borderId="85" fillId="3" fontId="1" numFmtId="1000" quotePrefix="false">
      <alignment vertical="top"/>
    </xf>
    <xf applyAlignment="true" applyBorder="true" applyFill="false" applyFont="false" applyNumberFormat="true" borderId="103" fillId="0" fontId="1" numFmtId="1000" quotePrefix="false">
      <alignment vertical="top"/>
    </xf>
    <xf applyAlignment="true" applyBorder="true" applyFill="false" applyFont="false" applyNumberFormat="true" borderId="138" fillId="0" fontId="1" numFmtId="1000" quotePrefix="false">
      <alignment horizontal="center" vertical="top"/>
    </xf>
    <xf applyAlignment="true" applyBorder="true" applyFill="false" applyFont="false" applyNumberFormat="true" borderId="139" fillId="0" fontId="1" numFmtId="1000" quotePrefix="false">
      <alignment horizontal="center" vertical="top"/>
    </xf>
    <xf applyAlignment="true" applyBorder="true" applyFill="false" applyFont="false" applyNumberFormat="true" borderId="140" fillId="0" fontId="1" numFmtId="1000" quotePrefix="false">
      <alignment horizontal="center" vertical="top"/>
    </xf>
    <xf applyAlignment="true" applyBorder="true" applyFill="false" applyFont="false" applyNumberFormat="true" borderId="141" fillId="0" fontId="1" numFmtId="1000" quotePrefix="false">
      <alignment horizontal="center" vertical="top"/>
    </xf>
    <xf applyAlignment="true" applyBorder="true" applyFill="false" applyFont="false" applyNumberFormat="true" borderId="142" fillId="0" fontId="1" numFmtId="1000" quotePrefix="false">
      <alignment horizontal="center" vertical="top"/>
    </xf>
    <xf applyAlignment="true" applyBorder="true" applyFill="false" applyFont="false" applyNumberFormat="true" borderId="143" fillId="0" fontId="1" numFmtId="1000" quotePrefix="false">
      <alignment horizontal="center" vertical="top"/>
    </xf>
    <xf applyAlignment="true" applyBorder="true" applyFill="false" applyFont="false" applyNumberFormat="true" borderId="144" fillId="0" fontId="1" numFmtId="1000" quotePrefix="false">
      <alignment horizontal="center" vertical="top"/>
    </xf>
    <xf applyAlignment="true" applyBorder="true" applyFill="false" applyFont="false" applyNumberFormat="true" borderId="145" fillId="0" fontId="1" numFmtId="1000" quotePrefix="false">
      <alignment horizontal="center" vertical="top"/>
    </xf>
    <xf applyAlignment="true" applyBorder="true" applyFill="true" applyFont="false" applyNumberFormat="true" borderId="78" fillId="9" fontId="1" numFmtId="1000" quotePrefix="false">
      <alignment horizontal="center"/>
    </xf>
    <xf applyAlignment="true" applyBorder="true" applyFill="false" applyFont="false" applyNumberFormat="true" borderId="146" fillId="0" fontId="1" numFmtId="1000" quotePrefix="false">
      <alignment horizontal="center" vertical="top"/>
    </xf>
    <xf applyAlignment="true" applyBorder="true" applyFill="false" applyFont="false" applyNumberFormat="true" borderId="147" fillId="0" fontId="1" numFmtId="1000" quotePrefix="false">
      <alignment horizontal="center" vertical="top"/>
    </xf>
    <xf applyAlignment="true" applyBorder="true" applyFill="false" applyFont="false" applyNumberFormat="true" borderId="148" fillId="0" fontId="1" numFmtId="1000" quotePrefix="false">
      <alignment horizontal="center" vertical="top"/>
    </xf>
    <xf applyAlignment="true" applyBorder="true" applyFill="false" applyFont="false" applyNumberFormat="true" borderId="149" fillId="0" fontId="1" numFmtId="1000" quotePrefix="false">
      <alignment horizontal="center" vertical="top"/>
    </xf>
    <xf applyAlignment="true" applyBorder="true" applyFill="false" applyFont="false" applyNumberFormat="true" borderId="150" fillId="0" fontId="1" numFmtId="1000" quotePrefix="false">
      <alignment horizontal="center" vertical="top"/>
    </xf>
    <xf applyAlignment="true" applyBorder="true" applyFill="false" applyFont="false" applyNumberFormat="true" borderId="151" fillId="0" fontId="1" numFmtId="1000" quotePrefix="false">
      <alignment horizontal="center" vertical="top"/>
    </xf>
    <xf applyAlignment="true" applyBorder="true" applyFill="false" applyFont="false" applyNumberFormat="true" borderId="152" fillId="0" fontId="1" numFmtId="1000" quotePrefix="false">
      <alignment horizontal="center" vertical="top"/>
    </xf>
    <xf applyAlignment="true" applyBorder="true" applyFill="false" applyFont="false" applyNumberFormat="true" borderId="153" fillId="0" fontId="1" numFmtId="1000" quotePrefix="false">
      <alignment horizontal="center" vertical="top"/>
    </xf>
    <xf applyAlignment="true" applyBorder="true" applyFill="false" applyFont="false" applyNumberFormat="true" borderId="154" fillId="0" fontId="1" numFmtId="1000" quotePrefix="false">
      <alignment horizontal="center" vertical="top"/>
    </xf>
    <xf applyAlignment="true" applyBorder="true" applyFill="false" applyFont="false" applyNumberFormat="true" borderId="155" fillId="0" fontId="1" numFmtId="1000" quotePrefix="false">
      <alignment horizontal="center" vertical="top"/>
    </xf>
    <xf applyAlignment="true" applyBorder="true" applyFill="false" applyFont="false" applyNumberFormat="true" borderId="156" fillId="0" fontId="1" numFmtId="1000" quotePrefix="false">
      <alignment horizontal="center"/>
    </xf>
    <xf applyAlignment="true" applyBorder="true" applyFill="true" applyFont="false" applyNumberFormat="true" borderId="28" fillId="8" fontId="1" numFmtId="1000" quotePrefix="false">
      <alignment horizontal="center"/>
    </xf>
    <xf applyAlignment="true" applyBorder="true" applyFill="true" applyFont="false" applyNumberFormat="true" borderId="157" fillId="8" fontId="1" numFmtId="1000" quotePrefix="false">
      <alignment horizontal="center"/>
    </xf>
    <xf applyAlignment="true" applyBorder="true" applyFill="true" applyFont="false" applyNumberFormat="true" borderId="158" fillId="8" fontId="1" numFmtId="1000" quotePrefix="false">
      <alignment horizontal="center"/>
    </xf>
    <xf applyAlignment="true" applyBorder="true" applyFill="false" applyFont="true" applyNumberFormat="true" borderId="159" fillId="0" fontId="2" numFmtId="1000" quotePrefix="false">
      <alignment horizontal="center" vertical="top"/>
    </xf>
    <xf applyAlignment="true" applyBorder="true" applyFill="false" applyFont="false" applyNumberFormat="true" borderId="28" fillId="0" fontId="1" numFmtId="1000" quotePrefix="false">
      <alignment horizontal="left" vertical="top"/>
    </xf>
    <xf applyAlignment="true" applyBorder="true" applyFill="false" applyFont="false" applyNumberFormat="true" borderId="160" fillId="0" fontId="1" numFmtId="1000" quotePrefix="false">
      <alignment horizontal="left" vertical="top"/>
    </xf>
    <xf applyAlignment="true" applyBorder="true" applyFill="false" applyFont="false" applyNumberFormat="true" borderId="161" fillId="0" fontId="1" numFmtId="1000" quotePrefix="false">
      <alignment horizontal="left" vertical="top"/>
    </xf>
    <xf applyAlignment="true" applyBorder="true" applyFill="false" applyFont="false" applyNumberFormat="true" borderId="162" fillId="0" fontId="1" numFmtId="1000" quotePrefix="false">
      <alignment horizontal="left" vertical="top"/>
    </xf>
    <xf applyAlignment="true" applyBorder="true" applyFill="false" applyFont="false" applyNumberFormat="true" borderId="163" fillId="0" fontId="1" numFmtId="1000" quotePrefix="false">
      <alignment horizontal="left" vertical="top"/>
    </xf>
    <xf applyAlignment="true" applyBorder="true" applyFill="false" applyFont="false" applyNumberFormat="true" borderId="164" fillId="0" fontId="1" numFmtId="1000" quotePrefix="false">
      <alignment horizontal="left" vertical="top"/>
    </xf>
    <xf applyAlignment="true" applyBorder="true" applyFill="false" applyFont="false" applyNumberFormat="true" borderId="165" fillId="0" fontId="1" numFmtId="1000" quotePrefix="false">
      <alignment horizontal="left" vertical="top"/>
    </xf>
    <xf applyAlignment="true" applyBorder="true" applyFill="false" applyFont="false" applyNumberFormat="true" borderId="166" fillId="0" fontId="1" numFmtId="1000" quotePrefix="false">
      <alignment horizontal="left" vertical="top"/>
    </xf>
    <xf applyAlignment="true" applyBorder="true" applyFill="false" applyFont="false" applyNumberFormat="true" borderId="167" fillId="0" fontId="1" numFmtId="1000" quotePrefix="false">
      <alignment horizontal="left" vertical="top"/>
    </xf>
    <xf applyAlignment="true" applyBorder="true" applyFill="false" applyFont="false" applyNumberFormat="true" borderId="168" fillId="0" fontId="1" numFmtId="1000" quotePrefix="false">
      <alignment horizontal="left" vertical="top"/>
    </xf>
    <xf applyAlignment="true" applyBorder="true" applyFill="false" applyFont="false" applyNumberFormat="true" borderId="169" fillId="0" fontId="1" numFmtId="1000" quotePrefix="false">
      <alignment horizontal="left" vertical="top"/>
    </xf>
    <xf applyAlignment="true" applyBorder="true" applyFill="false" applyFont="false" applyNumberFormat="true" borderId="170" fillId="0" fontId="1" numFmtId="1000" quotePrefix="false">
      <alignment horizontal="left" vertical="top"/>
    </xf>
    <xf applyAlignment="true" applyBorder="true" applyFill="false" applyFont="false" applyNumberFormat="true" borderId="171" fillId="0" fontId="1" numFmtId="1000" quotePrefix="false">
      <alignment horizontal="left" vertical="top"/>
    </xf>
    <xf applyAlignment="true" applyBorder="true" applyFill="false" applyFont="false" applyNumberFormat="true" borderId="172" fillId="0" fontId="1" numFmtId="1000" quotePrefix="false">
      <alignment horizontal="left" vertical="top"/>
    </xf>
    <xf applyAlignment="true" applyBorder="true" applyFill="false" applyFont="false" applyNumberFormat="true" borderId="173" fillId="0" fontId="1" numFmtId="1000" quotePrefix="false">
      <alignment horizontal="left" vertical="top"/>
    </xf>
    <xf applyAlignment="true" applyBorder="true" applyFill="false" applyFont="false" applyNumberFormat="true" borderId="174" fillId="0" fontId="1" numFmtId="1000" quotePrefix="false">
      <alignment horizontal="left" vertical="top"/>
    </xf>
    <xf applyAlignment="true" applyBorder="true" applyFill="false" applyFont="false" applyNumberFormat="true" borderId="175" fillId="0" fontId="1" numFmtId="1000" quotePrefix="false">
      <alignment horizontal="left" vertical="top"/>
    </xf>
    <xf applyAlignment="true" applyBorder="true" applyFill="false" applyFont="false" applyNumberFormat="true" borderId="176" fillId="0" fontId="1" numFmtId="1000" quotePrefix="false">
      <alignment horizontal="left" vertical="top"/>
    </xf>
    <xf applyAlignment="true" applyBorder="true" applyFill="false" applyFont="false" applyNumberFormat="true" borderId="177" fillId="0" fontId="1" numFmtId="1000" quotePrefix="false">
      <alignment horizontal="left" vertical="top"/>
    </xf>
    <xf applyAlignment="true" applyBorder="true" applyFill="false" applyFont="false" applyNumberFormat="true" borderId="178" fillId="0" fontId="1" numFmtId="1000" quotePrefix="false">
      <alignment horizontal="left" vertical="top"/>
    </xf>
    <xf applyAlignment="true" applyBorder="true" applyFill="false" applyFont="true" applyNumberFormat="true" borderId="179" fillId="0" fontId="2" numFmtId="1000" quotePrefix="false">
      <alignment horizontal="center"/>
    </xf>
    <xf applyAlignment="true" applyBorder="true" applyFill="false" applyFont="true" applyNumberFormat="true" borderId="180" fillId="0" fontId="2" numFmtId="1000" quotePrefix="false">
      <alignment horizontal="center"/>
    </xf>
    <xf applyAlignment="true" applyBorder="true" applyFill="false" applyFont="true" applyNumberFormat="true" borderId="181" fillId="0" fontId="2" numFmtId="1000" quotePrefix="false">
      <alignment horizontal="center"/>
    </xf>
    <xf applyAlignment="true" applyBorder="true" applyFill="false" applyFont="false" applyNumberFormat="true" borderId="182" fillId="0" fontId="1" numFmtId="1000" quotePrefix="false">
      <alignment horizontal="center" vertical="top"/>
    </xf>
    <xf applyAlignment="true" applyBorder="true" applyFill="false" applyFont="false" applyNumberFormat="true" borderId="183" fillId="0" fontId="1" numFmtId="1000" quotePrefix="false">
      <alignment horizontal="center" vertical="top"/>
    </xf>
    <xf applyAlignment="true" applyBorder="true" applyFill="false" applyFont="false" applyNumberFormat="true" borderId="184" fillId="0" fontId="1" numFmtId="1000" quotePrefix="false">
      <alignment horizontal="center" vertical="top"/>
    </xf>
    <xf applyAlignment="true" applyBorder="true" applyFill="false" applyFont="false" applyNumberFormat="true" borderId="185" fillId="0" fontId="1" numFmtId="1000" quotePrefix="false">
      <alignment horizontal="center" vertical="top"/>
    </xf>
    <xf applyAlignment="true" applyBorder="true" applyFill="false" applyFont="false" applyNumberFormat="true" borderId="186" fillId="0" fontId="1" numFmtId="1000" quotePrefix="false">
      <alignment horizontal="center" vertical="top"/>
    </xf>
    <xf applyAlignment="true" applyBorder="true" applyFill="false" applyFont="false" applyNumberFormat="true" borderId="187" fillId="0" fontId="1" numFmtId="1000" quotePrefix="false">
      <alignment horizontal="center" vertical="top"/>
    </xf>
    <xf applyAlignment="true" applyBorder="true" applyFill="false" applyFont="false" applyNumberFormat="true" borderId="188" fillId="0" fontId="1" numFmtId="1000" quotePrefix="false">
      <alignment horizontal="center" vertical="top"/>
    </xf>
    <xf applyAlignment="true" applyBorder="true" applyFill="false" applyFont="false" applyNumberFormat="true" borderId="189" fillId="0" fontId="1" numFmtId="1000" quotePrefix="false">
      <alignment horizontal="center" vertical="top"/>
    </xf>
    <xf applyAlignment="true" applyBorder="true" applyFill="false" applyFont="false" applyNumberFormat="true" borderId="190" fillId="0" fontId="1" numFmtId="1000" quotePrefix="false">
      <alignment horizontal="center" vertical="top"/>
    </xf>
    <xf applyAlignment="true" applyBorder="true" applyFill="false" applyFont="false" applyNumberFormat="true" borderId="191" fillId="0" fontId="1" numFmtId="1000" quotePrefix="false">
      <alignment horizontal="center" vertical="top"/>
    </xf>
    <xf applyAlignment="true" applyBorder="true" applyFill="false" applyFont="false" applyNumberFormat="true" borderId="192" fillId="0" fontId="1" numFmtId="1000" quotePrefix="false">
      <alignment horizontal="center" vertical="top"/>
    </xf>
    <xf applyAlignment="true" applyBorder="true" applyFill="false" applyFont="false" applyNumberFormat="true" borderId="193" fillId="0" fontId="1" numFmtId="1000" quotePrefix="false">
      <alignment horizontal="center" vertical="top"/>
    </xf>
    <xf applyAlignment="true" applyBorder="true" applyFill="false" applyFont="false" applyNumberFormat="true" borderId="194" fillId="0" fontId="1" numFmtId="1000" quotePrefix="false">
      <alignment horizontal="center" vertical="top"/>
    </xf>
    <xf applyAlignment="true" applyBorder="true" applyFill="false" applyFont="false" applyNumberFormat="true" borderId="195" fillId="0" fontId="1" numFmtId="1000" quotePrefix="false">
      <alignment horizontal="center" vertical="top"/>
    </xf>
    <xf applyAlignment="true" applyBorder="true" applyFill="false" applyFont="false" applyNumberFormat="true" borderId="196" fillId="0" fontId="1" numFmtId="1000" quotePrefix="false">
      <alignment horizontal="center" vertical="top"/>
    </xf>
    <xf applyAlignment="true" applyBorder="true" applyFill="false" applyFont="false" applyNumberFormat="true" borderId="197" fillId="0" fontId="1" numFmtId="1000" quotePrefix="false">
      <alignment horizontal="center" vertical="top"/>
    </xf>
    <xf applyAlignment="true" applyBorder="true" applyFill="true" applyFont="false" applyNumberFormat="true" borderId="75" fillId="8" fontId="1" numFmtId="1000" quotePrefix="false">
      <alignment horizontal="center"/>
    </xf>
    <xf applyAlignment="true" applyBorder="true" applyFill="true" applyFont="false" applyNumberFormat="true" borderId="85" fillId="8" fontId="1" numFmtId="1001" quotePrefix="false">
      <alignment horizontal="center"/>
    </xf>
    <xf applyAlignment="true" applyBorder="true" applyFill="false" applyFont="false" applyNumberFormat="true" borderId="198" fillId="0" fontId="1" numFmtId="1000" quotePrefix="false">
      <alignment horizontal="center" vertical="top"/>
    </xf>
    <xf applyAlignment="true" applyBorder="true" applyFill="true" applyFont="false" applyNumberFormat="true" borderId="85" fillId="4" fontId="1" numFmtId="1000" quotePrefix="false">
      <alignment horizontal="center" vertical="top" wrapText="true"/>
    </xf>
    <xf applyAlignment="true" applyBorder="true" applyFill="false" applyFont="false" applyNumberFormat="true" borderId="199" fillId="0" fontId="1" numFmtId="1000" quotePrefix="false">
      <alignment horizontal="center" vertical="top"/>
    </xf>
    <xf applyAlignment="true" applyBorder="true" applyFill="false" applyFont="false" applyNumberFormat="true" borderId="200" fillId="0" fontId="1" numFmtId="1000" quotePrefix="false">
      <alignment horizontal="center" vertical="top"/>
    </xf>
    <xf applyAlignment="true" applyBorder="true" applyFill="true" applyFont="false" applyNumberFormat="true" borderId="201" fillId="4" fontId="1" numFmtId="1000" quotePrefix="false">
      <alignment horizontal="center" vertical="top" wrapText="true"/>
    </xf>
    <xf applyAlignment="true" applyBorder="true" applyFill="true" applyFont="true" applyNumberFormat="true" borderId="85" fillId="3" fontId="2" numFmtId="1000" quotePrefix="false">
      <alignment vertical="top"/>
    </xf>
    <xf applyAlignment="true" applyBorder="true" applyFill="false" applyFont="false" applyNumberFormat="true" borderId="202" fillId="0" fontId="1" numFmtId="1000" quotePrefix="false">
      <alignment horizontal="center" vertical="top"/>
    </xf>
    <xf applyAlignment="true" applyBorder="true" applyFill="false" applyFont="false" applyNumberFormat="true" borderId="203" fillId="0" fontId="1" numFmtId="1000" quotePrefix="false">
      <alignment horizontal="center" vertical="top"/>
    </xf>
    <xf applyAlignment="true" applyBorder="true" applyFill="false" applyFont="false" applyNumberFormat="true" borderId="204" fillId="0" fontId="1" numFmtId="1000" quotePrefix="false">
      <alignment horizontal="center" vertical="top"/>
    </xf>
    <xf applyAlignment="true" applyBorder="true" applyFill="false" applyFont="false" applyNumberFormat="true" borderId="205" fillId="0" fontId="1" numFmtId="1000" quotePrefix="false">
      <alignment horizontal="center" vertical="top"/>
    </xf>
    <xf applyAlignment="true" applyBorder="true" applyFill="true" applyFont="false" applyNumberFormat="true" borderId="206" fillId="4" fontId="1" numFmtId="1000" quotePrefix="false">
      <alignment horizontal="center" vertical="top" wrapText="true"/>
    </xf>
    <xf applyAlignment="true" applyBorder="true" applyFill="false" applyFont="false" applyNumberFormat="true" borderId="207" fillId="0" fontId="1" numFmtId="1000" quotePrefix="false">
      <alignment horizontal="center" vertical="top"/>
    </xf>
    <xf applyAlignment="true" applyBorder="true" applyFill="false" applyFont="false" applyNumberFormat="true" borderId="208" fillId="0" fontId="1" numFmtId="1000" quotePrefix="false">
      <alignment horizontal="center" vertical="top"/>
    </xf>
    <xf applyAlignment="true" applyBorder="true" applyFill="true" applyFont="false" applyNumberFormat="true" borderId="77" fillId="14" fontId="1" numFmtId="1000" quotePrefix="false">
      <alignment horizontal="center"/>
    </xf>
    <xf applyAlignment="true" applyBorder="true" applyFill="true" applyFont="true" applyNumberFormat="true" borderId="209" fillId="4" fontId="2" numFmtId="1000" quotePrefix="false">
      <alignment vertical="top"/>
    </xf>
    <xf applyAlignment="true" applyBorder="true" applyFill="true" applyFont="false" applyNumberFormat="true" borderId="210" fillId="4" fontId="1" numFmtId="1000" quotePrefix="false">
      <alignment horizontal="center" vertical="top" wrapText="true"/>
    </xf>
    <xf applyAlignment="true" applyBorder="true" applyFill="false" applyFont="false" applyNumberFormat="true" borderId="211" fillId="0" fontId="1" numFmtId="1000" quotePrefix="false">
      <alignment horizontal="center" vertical="top"/>
    </xf>
    <xf applyAlignment="true" applyBorder="true" applyFill="false" applyFont="false" applyNumberFormat="true" borderId="212" fillId="0" fontId="1" numFmtId="1000" quotePrefix="false">
      <alignment horizontal="center" vertical="top"/>
    </xf>
    <xf applyBorder="false" applyFill="true" applyFont="false" applyNumberFormat="true" borderId="0" fillId="8" fontId="1" numFmtId="1001" quotePrefix="false"/>
    <xf applyAlignment="true" applyBorder="true" applyFill="false" applyFont="false" applyNumberFormat="true" borderId="213" fillId="0" fontId="1" numFmtId="1000" quotePrefix="false">
      <alignment horizontal="center" vertical="top"/>
    </xf>
    <xf applyAlignment="true" applyBorder="true" applyFill="false" applyFont="false" applyNumberFormat="true" borderId="214" fillId="0" fontId="1" numFmtId="1000" quotePrefix="false">
      <alignment horizontal="center" vertical="top"/>
    </xf>
    <xf applyAlignment="true" applyBorder="true" applyFill="true" applyFont="false" applyNumberFormat="true" borderId="215" fillId="3" fontId="1" numFmtId="1000" quotePrefix="false">
      <alignment horizontal="center" vertical="top" wrapText="true"/>
    </xf>
    <xf applyAlignment="true" applyBorder="true" applyFill="false" applyFont="false" applyNumberFormat="true" borderId="216" fillId="0" fontId="1" numFmtId="1000" quotePrefix="false">
      <alignment horizontal="center" vertical="top"/>
    </xf>
    <xf applyAlignment="true" applyBorder="true" applyFill="false" applyFont="false" applyNumberFormat="true" borderId="217" fillId="0" fontId="1" numFmtId="1000" quotePrefix="false">
      <alignment horizontal="center" vertical="top"/>
    </xf>
    <xf applyAlignment="true" applyBorder="true" applyFill="false" applyFont="false" applyNumberFormat="true" borderId="28" fillId="0" fontId="1" numFmtId="1000" quotePrefix="false">
      <alignment horizontal="center"/>
    </xf>
    <xf applyAlignment="true" applyBorder="true" applyFill="false" applyFont="false" applyNumberFormat="true" borderId="218" fillId="0" fontId="1" numFmtId="1000" quotePrefix="false">
      <alignment vertical="top"/>
    </xf>
    <xf applyAlignment="true" applyBorder="true" applyFill="true" applyFont="true" applyNumberFormat="true" borderId="109" fillId="3" fontId="2" numFmtId="1000" quotePrefix="false">
      <alignment vertical="top"/>
    </xf>
    <xf applyAlignment="true" applyBorder="true" applyFill="false" applyFont="false" applyNumberFormat="true" borderId="219" fillId="0" fontId="1" numFmtId="1000" quotePrefix="false">
      <alignment horizontal="center" vertical="top"/>
    </xf>
    <xf applyAlignment="true" applyBorder="true" applyFill="false" applyFont="false" applyNumberFormat="true" borderId="220" fillId="0" fontId="1" numFmtId="1000" quotePrefix="false">
      <alignment horizontal="center" vertical="top"/>
    </xf>
    <xf applyBorder="true" applyFill="true" applyFont="false" applyNumberFormat="true" borderId="221" fillId="8" fontId="1" numFmtId="1001" quotePrefix="false"/>
    <xf applyAlignment="true" applyBorder="true" applyFill="false" applyFont="true" applyNumberFormat="true" borderId="222" fillId="0" fontId="2" numFmtId="1000" quotePrefix="false">
      <alignment horizontal="center" vertical="top"/>
    </xf>
    <xf applyAlignment="true" applyBorder="true" applyFill="false" applyFont="false" applyNumberFormat="true" borderId="223" fillId="0" fontId="1" numFmtId="1000" quotePrefix="false">
      <alignment horizontal="left" vertical="top"/>
    </xf>
    <xf applyAlignment="true" applyBorder="true" applyFill="false" applyFont="false" applyNumberFormat="true" borderId="224" fillId="0" fontId="1" numFmtId="1000" quotePrefix="false">
      <alignment horizontal="left" vertical="top"/>
    </xf>
    <xf applyAlignment="true" applyBorder="true" applyFill="false" applyFont="false" applyNumberFormat="true" borderId="225" fillId="0" fontId="1" numFmtId="1000" quotePrefix="false">
      <alignment horizontal="left" vertical="top"/>
    </xf>
    <xf applyAlignment="true" applyBorder="true" applyFill="false" applyFont="false" applyNumberFormat="true" borderId="226" fillId="0" fontId="1" numFmtId="1000" quotePrefix="false">
      <alignment horizontal="left" vertical="top"/>
    </xf>
    <xf applyAlignment="true" applyBorder="true" applyFill="false" applyFont="false" applyNumberFormat="true" borderId="227" fillId="0" fontId="1" numFmtId="1000" quotePrefix="false">
      <alignment horizontal="left" vertical="top"/>
    </xf>
    <xf applyAlignment="true" applyBorder="true" applyFill="false" applyFont="false" applyNumberFormat="true" borderId="228" fillId="0" fontId="1" numFmtId="1000" quotePrefix="false">
      <alignment horizontal="left" vertical="top"/>
    </xf>
    <xf applyAlignment="true" applyBorder="true" applyFill="false" applyFont="false" applyNumberFormat="true" borderId="229" fillId="0" fontId="1" numFmtId="1000" quotePrefix="false">
      <alignment horizontal="left" vertical="top"/>
    </xf>
    <xf applyAlignment="true" applyBorder="true" applyFill="false" applyFont="false" applyNumberFormat="true" borderId="230" fillId="0" fontId="1" numFmtId="1000" quotePrefix="false">
      <alignment horizontal="left" vertical="top"/>
    </xf>
    <xf applyAlignment="true" applyBorder="true" applyFill="false" applyFont="false" applyNumberFormat="true" borderId="231" fillId="0" fontId="1" numFmtId="1000" quotePrefix="false">
      <alignment horizontal="left" vertical="top"/>
    </xf>
    <xf applyAlignment="true" applyBorder="true" applyFill="false" applyFont="false" applyNumberFormat="true" borderId="232" fillId="0" fontId="1" numFmtId="1000" quotePrefix="false">
      <alignment horizontal="left" vertical="top"/>
    </xf>
    <xf applyAlignment="true" applyBorder="true" applyFill="false" applyFont="false" applyNumberFormat="true" borderId="233" fillId="0" fontId="1" numFmtId="1000" quotePrefix="false">
      <alignment horizontal="left" vertical="top"/>
    </xf>
    <xf applyAlignment="true" applyBorder="true" applyFill="false" applyFont="false" applyNumberFormat="true" borderId="234" fillId="0" fontId="1" numFmtId="1000" quotePrefix="false">
      <alignment horizontal="left" vertical="top"/>
    </xf>
    <xf applyAlignment="true" applyBorder="true" applyFill="false" applyFont="false" applyNumberFormat="true" borderId="235" fillId="0" fontId="1" numFmtId="1000" quotePrefix="false">
      <alignment horizontal="left" vertical="top"/>
    </xf>
    <xf applyAlignment="true" applyBorder="true" applyFill="false" applyFont="false" applyNumberFormat="true" borderId="236" fillId="0" fontId="1" numFmtId="1000" quotePrefix="false">
      <alignment horizontal="left" vertical="top"/>
    </xf>
    <xf applyAlignment="true" applyBorder="true" applyFill="false" applyFont="false" applyNumberFormat="true" borderId="237" fillId="0" fontId="1" numFmtId="1000" quotePrefix="false">
      <alignment horizontal="left" vertical="top"/>
    </xf>
    <xf applyAlignment="true" applyBorder="true" applyFill="false" applyFont="false" applyNumberFormat="true" borderId="238" fillId="0" fontId="1" numFmtId="1000" quotePrefix="false">
      <alignment horizontal="left" vertical="top"/>
    </xf>
    <xf applyAlignment="true" applyBorder="true" applyFill="false" applyFont="false" applyNumberFormat="true" borderId="239" fillId="0" fontId="1" numFmtId="1000" quotePrefix="false">
      <alignment horizontal="left" vertical="top"/>
    </xf>
    <xf applyAlignment="true" applyBorder="true" applyFill="false" applyFont="false" applyNumberFormat="true" borderId="240" fillId="0" fontId="1" numFmtId="1000" quotePrefix="false">
      <alignment horizontal="left" vertical="top"/>
    </xf>
    <xf applyAlignment="true" applyBorder="true" applyFill="false" applyFont="false" applyNumberFormat="true" borderId="241" fillId="0" fontId="1" numFmtId="1000" quotePrefix="false">
      <alignment horizontal="left" vertical="top"/>
    </xf>
    <xf applyAlignment="true" applyBorder="true" applyFill="false" applyFont="true" applyNumberFormat="true" borderId="242" fillId="0" fontId="2" numFmtId="1000" quotePrefix="false">
      <alignment horizontal="center"/>
    </xf>
    <xf applyAlignment="true" applyBorder="true" applyFill="false" applyFont="true" applyNumberFormat="true" borderId="243" fillId="0" fontId="2" numFmtId="1000" quotePrefix="false">
      <alignment horizontal="center"/>
    </xf>
    <xf applyAlignment="true" applyBorder="true" applyFill="false" applyFont="true" applyNumberFormat="true" borderId="244" fillId="0" fontId="2" numFmtId="1000" quotePrefix="false">
      <alignment horizontal="center"/>
    </xf>
    <xf applyAlignment="true" applyBorder="true" applyFill="false" applyFont="false" applyNumberFormat="true" borderId="245" fillId="0" fontId="1" numFmtId="1000" quotePrefix="false">
      <alignment horizontal="center" vertical="top"/>
    </xf>
    <xf applyAlignment="true" applyBorder="true" applyFill="false" applyFont="false" applyNumberFormat="true" borderId="246" fillId="0" fontId="1" numFmtId="1000" quotePrefix="false">
      <alignment horizontal="center" vertical="top"/>
    </xf>
    <xf applyAlignment="true" applyBorder="true" applyFill="false" applyFont="false" applyNumberFormat="true" borderId="247" fillId="0" fontId="1" numFmtId="1000" quotePrefix="false">
      <alignment horizontal="center" vertical="top"/>
    </xf>
    <xf applyAlignment="true" applyBorder="true" applyFill="false" applyFont="false" applyNumberFormat="true" borderId="248" fillId="0" fontId="1" numFmtId="1000" quotePrefix="false">
      <alignment horizontal="center" vertical="top"/>
    </xf>
    <xf applyAlignment="true" applyBorder="true" applyFill="false" applyFont="false" applyNumberFormat="true" borderId="249" fillId="0" fontId="1" numFmtId="1000" quotePrefix="false">
      <alignment horizontal="center" vertical="top"/>
    </xf>
    <xf applyAlignment="true" applyBorder="true" applyFill="false" applyFont="false" applyNumberFormat="true" borderId="250" fillId="0" fontId="1" numFmtId="1000" quotePrefix="false">
      <alignment horizontal="center" vertical="top"/>
    </xf>
    <xf applyAlignment="true" applyBorder="true" applyFill="false" applyFont="false" applyNumberFormat="true" borderId="251" fillId="0" fontId="1" numFmtId="1000" quotePrefix="false">
      <alignment horizontal="center" vertical="top"/>
    </xf>
    <xf applyAlignment="true" applyBorder="true" applyFill="false" applyFont="false" applyNumberFormat="true" borderId="252" fillId="0" fontId="1" numFmtId="1000" quotePrefix="false">
      <alignment horizontal="center" vertical="top"/>
    </xf>
    <xf applyAlignment="true" applyBorder="true" applyFill="false" applyFont="false" applyNumberFormat="true" borderId="253" fillId="0" fontId="1" numFmtId="1000" quotePrefix="false">
      <alignment horizontal="center" vertical="top"/>
    </xf>
    <xf applyAlignment="true" applyBorder="true" applyFill="false" applyFont="false" applyNumberFormat="true" borderId="254" fillId="0" fontId="1" numFmtId="1000" quotePrefix="false">
      <alignment horizontal="center" vertical="top"/>
    </xf>
    <xf applyAlignment="true" applyBorder="true" applyFill="false" applyFont="false" applyNumberFormat="true" borderId="255" fillId="0" fontId="1" numFmtId="1000" quotePrefix="false">
      <alignment horizontal="center" vertical="top"/>
    </xf>
    <xf applyAlignment="true" applyBorder="true" applyFill="false" applyFont="false" applyNumberFormat="true" borderId="256" fillId="0" fontId="1" numFmtId="1000" quotePrefix="false">
      <alignment horizontal="center" vertical="top"/>
    </xf>
    <xf applyAlignment="true" applyBorder="true" applyFill="false" applyFont="false" applyNumberFormat="true" borderId="257" fillId="0" fontId="1" numFmtId="1000" quotePrefix="false">
      <alignment horizontal="center" vertical="top"/>
    </xf>
    <xf applyAlignment="true" applyBorder="true" applyFill="false" applyFont="false" applyNumberFormat="true" borderId="258" fillId="0" fontId="1" numFmtId="1000" quotePrefix="false">
      <alignment horizontal="center" vertical="top"/>
    </xf>
    <xf applyAlignment="true" applyBorder="true" applyFill="false" applyFont="false" applyNumberFormat="true" borderId="259" fillId="0" fontId="1" numFmtId="1000" quotePrefix="false">
      <alignment horizontal="center" vertical="top"/>
    </xf>
    <xf applyAlignment="true" applyBorder="true" applyFill="false" applyFont="false" applyNumberFormat="true" borderId="260" fillId="0" fontId="1" numFmtId="1000" quotePrefix="false">
      <alignment horizontal="center" vertical="top"/>
    </xf>
    <xf applyAlignment="true" applyBorder="true" applyFill="false" applyFont="false" applyNumberFormat="true" borderId="261" fillId="0" fontId="1" numFmtId="1000" quotePrefix="false">
      <alignment horizontal="center" vertical="top"/>
    </xf>
    <xf applyAlignment="true" applyBorder="true" applyFill="false" applyFont="false" applyNumberFormat="true" borderId="262" fillId="0" fontId="1" numFmtId="1000" quotePrefix="false">
      <alignment horizontal="center" vertical="top"/>
    </xf>
    <xf applyAlignment="true" applyBorder="true" applyFill="false" applyFont="false" applyNumberFormat="true" borderId="263" fillId="0" fontId="1" numFmtId="1000" quotePrefix="false">
      <alignment horizontal="center" vertical="top"/>
    </xf>
    <xf applyAlignment="true" applyBorder="true" applyFill="false" applyFont="false" applyNumberFormat="true" borderId="264" fillId="0" fontId="1" numFmtId="1000" quotePrefix="false">
      <alignment horizontal="center" vertical="top"/>
    </xf>
    <xf applyAlignment="true" applyBorder="true" applyFill="false" applyFont="false" applyNumberFormat="true" borderId="265" fillId="0" fontId="1" numFmtId="1000" quotePrefix="false">
      <alignment horizontal="center" vertical="top"/>
    </xf>
    <xf applyAlignment="true" applyBorder="true" applyFill="false" applyFont="false" applyNumberFormat="true" borderId="266" fillId="0" fontId="1" numFmtId="1000" quotePrefix="false">
      <alignment horizontal="center" vertical="top"/>
    </xf>
    <xf applyAlignment="true" applyBorder="true" applyFill="false" applyFont="false" applyNumberFormat="true" borderId="267" fillId="0" fontId="1" numFmtId="1000" quotePrefix="false">
      <alignment horizontal="center" vertical="top"/>
    </xf>
    <xf applyAlignment="true" applyBorder="true" applyFill="false" applyFont="false" applyNumberFormat="true" borderId="268" fillId="0" fontId="1" numFmtId="1000" quotePrefix="false">
      <alignment horizontal="center" vertical="top"/>
    </xf>
    <xf applyAlignment="true" applyBorder="true" applyFill="false" applyFont="false" applyNumberFormat="true" borderId="269" fillId="0" fontId="1" numFmtId="1000" quotePrefix="false">
      <alignment horizontal="center" vertical="top"/>
    </xf>
    <xf applyAlignment="true" applyBorder="true" applyFill="false" applyFont="false" applyNumberFormat="true" borderId="270" fillId="0" fontId="1" numFmtId="1000" quotePrefix="false">
      <alignment horizontal="center" vertical="top"/>
    </xf>
    <xf applyAlignment="true" applyBorder="true" applyFill="false" applyFont="false" applyNumberFormat="true" borderId="271" fillId="0" fontId="1" numFmtId="1000" quotePrefix="false">
      <alignment horizontal="center" vertical="top"/>
    </xf>
    <xf applyAlignment="true" applyBorder="true" applyFill="false" applyFont="false" applyNumberFormat="true" borderId="272" fillId="0" fontId="1" numFmtId="1000" quotePrefix="false">
      <alignment horizontal="center" vertical="top"/>
    </xf>
    <xf applyAlignment="true" applyBorder="true" applyFill="false" applyFont="false" applyNumberFormat="true" borderId="273" fillId="0" fontId="1" numFmtId="1000" quotePrefix="false">
      <alignment horizontal="center" vertical="top"/>
    </xf>
    <xf applyAlignment="true" applyBorder="true" applyFill="false" applyFont="false" applyNumberFormat="true" borderId="274" fillId="0" fontId="1" numFmtId="1000" quotePrefix="false">
      <alignment horizontal="center" vertical="top"/>
    </xf>
    <xf applyAlignment="true" applyBorder="true" applyFill="false" applyFont="false" applyNumberFormat="true" borderId="275" fillId="0" fontId="1" numFmtId="1000" quotePrefix="false">
      <alignment horizontal="center" vertical="top"/>
    </xf>
    <xf applyAlignment="true" applyBorder="true" applyFill="false" applyFont="false" applyNumberFormat="true" borderId="276" fillId="0" fontId="1" numFmtId="1000" quotePrefix="false">
      <alignment horizontal="center" vertical="top"/>
    </xf>
    <xf applyAlignment="true" applyBorder="true" applyFill="false" applyFont="false" applyNumberFormat="true" borderId="277" fillId="0" fontId="1" numFmtId="1000" quotePrefix="false">
      <alignment horizontal="center" vertical="top"/>
    </xf>
    <xf applyAlignment="true" applyBorder="true" applyFill="false" applyFont="true" applyNumberFormat="true" borderId="278" fillId="0" fontId="2" numFmtId="1000" quotePrefix="false">
      <alignment horizontal="center" vertical="top"/>
    </xf>
    <xf applyAlignment="true" applyBorder="true" applyFill="false" applyFont="true" applyNumberFormat="true" borderId="279" fillId="0" fontId="2" numFmtId="1000" quotePrefix="false">
      <alignment horizontal="center"/>
    </xf>
    <xf applyAlignment="true" applyBorder="true" applyFill="false" applyFont="true" applyNumberFormat="true" borderId="280" fillId="0" fontId="2" numFmtId="1000" quotePrefix="false">
      <alignment horizontal="center"/>
    </xf>
    <xf applyAlignment="true" applyBorder="true" applyFill="false" applyFont="true" applyNumberFormat="true" borderId="281" fillId="0" fontId="2" numFmtId="1000" quotePrefix="false">
      <alignment horizontal="center"/>
    </xf>
    <xf applyAlignment="true" applyBorder="true" applyFill="false" applyFont="false" applyNumberFormat="true" borderId="282" fillId="0" fontId="1" numFmtId="1000" quotePrefix="false">
      <alignment horizontal="center" vertical="top"/>
    </xf>
    <xf applyAlignment="true" applyBorder="true" applyFill="false" applyFont="false" applyNumberFormat="true" borderId="283" fillId="0" fontId="1" numFmtId="1000" quotePrefix="false">
      <alignment horizontal="center" vertical="top"/>
    </xf>
    <xf applyAlignment="true" applyBorder="true" applyFill="false" applyFont="false" applyNumberFormat="true" borderId="284" fillId="0" fontId="1" numFmtId="1000" quotePrefix="false">
      <alignment horizontal="center" vertical="top"/>
    </xf>
    <xf applyAlignment="true" applyBorder="true" applyFill="false" applyFont="false" applyNumberFormat="true" borderId="285" fillId="0" fontId="1" numFmtId="1000" quotePrefix="false">
      <alignment horizontal="center" vertical="top"/>
    </xf>
    <xf applyAlignment="true" applyBorder="true" applyFill="false" applyFont="false" applyNumberFormat="true" borderId="286" fillId="0" fontId="1" numFmtId="1000" quotePrefix="false">
      <alignment horizontal="center" vertical="top"/>
    </xf>
    <xf applyAlignment="true" applyBorder="true" applyFill="false" applyFont="false" applyNumberFormat="true" borderId="287" fillId="0" fontId="1" numFmtId="1000" quotePrefix="false">
      <alignment horizontal="center" vertical="top"/>
    </xf>
    <xf applyAlignment="true" applyBorder="true" applyFill="false" applyFont="false" applyNumberFormat="true" borderId="288" fillId="0" fontId="1" numFmtId="1000" quotePrefix="false">
      <alignment horizontal="center" vertical="top"/>
    </xf>
    <xf applyAlignment="true" applyBorder="true" applyFill="false" applyFont="false" applyNumberFormat="true" borderId="289" fillId="0" fontId="1" numFmtId="1000" quotePrefix="false">
      <alignment horizontal="center" vertical="top"/>
    </xf>
    <xf applyAlignment="true" applyBorder="true" applyFill="false" applyFont="false" applyNumberFormat="true" borderId="290" fillId="0" fontId="1" numFmtId="1000" quotePrefix="false">
      <alignment horizontal="center" vertical="top"/>
    </xf>
    <xf applyAlignment="true" applyBorder="true" applyFill="false" applyFont="false" applyNumberFormat="true" borderId="291" fillId="0" fontId="1" numFmtId="1000" quotePrefix="false">
      <alignment horizontal="center" vertical="top"/>
    </xf>
    <xf applyAlignment="true" applyBorder="true" applyFill="false" applyFont="false" applyNumberFormat="true" borderId="292" fillId="0" fontId="1" numFmtId="1000" quotePrefix="false">
      <alignment horizontal="center" vertical="top"/>
    </xf>
    <xf applyAlignment="true" applyBorder="true" applyFill="false" applyFont="false" applyNumberFormat="true" borderId="293" fillId="0" fontId="1" numFmtId="1000" quotePrefix="false">
      <alignment horizontal="center" vertical="top"/>
    </xf>
    <xf applyAlignment="true" applyBorder="true" applyFill="false" applyFont="false" applyNumberFormat="true" borderId="294" fillId="0" fontId="1" numFmtId="1000" quotePrefix="false">
      <alignment horizontal="center" vertical="top"/>
    </xf>
    <xf applyAlignment="true" applyBorder="true" applyFill="false" applyFont="false" applyNumberFormat="true" borderId="295" fillId="0" fontId="1" numFmtId="1000" quotePrefix="false">
      <alignment horizontal="center" vertical="top"/>
    </xf>
    <xf applyAlignment="true" applyBorder="true" applyFill="false" applyFont="false" applyNumberFormat="true" borderId="296" fillId="0" fontId="1" numFmtId="1000" quotePrefix="false">
      <alignment horizontal="center" vertical="top"/>
    </xf>
    <xf applyAlignment="true" applyBorder="true" applyFill="false" applyFont="false" applyNumberFormat="true" borderId="297" fillId="0" fontId="1" numFmtId="1000" quotePrefix="false">
      <alignment horizontal="center" vertical="top"/>
    </xf>
    <xf applyAlignment="true" applyBorder="true" applyFill="false" applyFont="false" applyNumberFormat="true" borderId="298" fillId="0" fontId="1" numFmtId="1000" quotePrefix="false">
      <alignment horizontal="center" vertical="top"/>
    </xf>
    <xf applyAlignment="true" applyBorder="true" applyFill="false" applyFont="false" applyNumberFormat="true" borderId="299" fillId="0" fontId="1" numFmtId="1000" quotePrefix="false">
      <alignment horizontal="center" vertical="top"/>
    </xf>
    <xf applyAlignment="true" applyBorder="true" applyFill="false" applyFont="false" applyNumberFormat="true" borderId="300" fillId="0" fontId="1" numFmtId="1000" quotePrefix="false">
      <alignment horizontal="center" vertical="top"/>
    </xf>
    <xf applyAlignment="true" applyBorder="true" applyFill="false" applyFont="false" applyNumberFormat="true" borderId="301" fillId="0" fontId="1" numFmtId="1000" quotePrefix="false">
      <alignment horizontal="center" vertical="top"/>
    </xf>
    <xf applyAlignment="true" applyBorder="true" applyFill="false" applyFont="false" applyNumberFormat="true" borderId="302" fillId="0" fontId="1" numFmtId="1000" quotePrefix="false">
      <alignment horizontal="center" vertical="top"/>
    </xf>
    <xf applyAlignment="true" applyBorder="true" applyFill="false" applyFont="false" applyNumberFormat="true" borderId="303" fillId="0" fontId="1" numFmtId="1000" quotePrefix="false">
      <alignment horizontal="center" vertical="top"/>
    </xf>
    <xf applyAlignment="true" applyBorder="true" applyFill="false" applyFont="false" applyNumberFormat="true" borderId="304" fillId="0" fontId="1" numFmtId="1000" quotePrefix="false">
      <alignment horizontal="center" vertical="top"/>
    </xf>
    <xf applyAlignment="true" applyBorder="true" applyFill="false" applyFont="false" applyNumberFormat="true" borderId="305" fillId="0" fontId="1" numFmtId="1000" quotePrefix="false">
      <alignment horizontal="center" vertical="top"/>
    </xf>
    <xf applyAlignment="true" applyBorder="true" applyFill="false" applyFont="false" applyNumberFormat="true" borderId="306" fillId="0" fontId="1" numFmtId="1000" quotePrefix="false">
      <alignment horizontal="center" vertical="top"/>
    </xf>
    <xf applyAlignment="true" applyBorder="true" applyFill="false" applyFont="false" applyNumberFormat="true" borderId="307" fillId="0" fontId="1" numFmtId="1000" quotePrefix="false">
      <alignment horizontal="center" vertical="top"/>
    </xf>
    <xf applyAlignment="true" applyBorder="true" applyFill="false" applyFont="false" applyNumberFormat="true" borderId="308" fillId="0" fontId="1" numFmtId="1000" quotePrefix="false">
      <alignment horizontal="center" vertical="top"/>
    </xf>
    <xf applyAlignment="true" applyBorder="true" applyFill="false" applyFont="false" applyNumberFormat="true" borderId="309" fillId="0" fontId="1" numFmtId="1000" quotePrefix="false">
      <alignment horizontal="center" vertical="top"/>
    </xf>
    <xf applyAlignment="true" applyBorder="true" applyFill="false" applyFont="false" applyNumberFormat="true" borderId="310" fillId="0" fontId="1" numFmtId="1000" quotePrefix="false">
      <alignment horizontal="center" vertical="top"/>
    </xf>
    <xf applyAlignment="true" applyBorder="true" applyFill="false" applyFont="false" applyNumberFormat="true" borderId="311" fillId="0" fontId="1" numFmtId="1000" quotePrefix="false">
      <alignment horizontal="center" vertical="top"/>
    </xf>
    <xf applyAlignment="true" applyBorder="true" applyFill="false" applyFont="false" applyNumberFormat="true" borderId="312" fillId="0" fontId="1" numFmtId="1000" quotePrefix="false">
      <alignment horizontal="center" vertical="top"/>
    </xf>
    <xf applyAlignment="true" applyBorder="true" applyFill="false" applyFont="false" applyNumberFormat="true" borderId="313" fillId="0" fontId="1" numFmtId="1000" quotePrefix="false">
      <alignment horizontal="center" vertical="top"/>
    </xf>
    <xf applyAlignment="true" applyBorder="true" applyFill="false" applyFont="false" applyNumberFormat="true" borderId="314" fillId="0" fontId="1" numFmtId="1000" quotePrefix="false">
      <alignment horizontal="center" vertical="top"/>
    </xf>
    <xf applyAlignment="true" applyBorder="true" applyFill="false" applyFont="false" applyNumberFormat="true" borderId="315" fillId="0" fontId="1" numFmtId="1000" quotePrefix="false">
      <alignment horizontal="center" vertical="top"/>
    </xf>
    <xf applyAlignment="true" applyBorder="true" applyFill="false" applyFont="false" applyNumberFormat="true" borderId="316" fillId="0" fontId="1" numFmtId="1000" quotePrefix="false">
      <alignment horizontal="center" vertical="top"/>
    </xf>
    <xf applyAlignment="true" applyBorder="true" applyFill="false" applyFont="false" applyNumberFormat="true" borderId="317" fillId="0" fontId="1" numFmtId="1000" quotePrefix="false">
      <alignment horizontal="center" vertical="top"/>
    </xf>
    <xf applyAlignment="true" applyBorder="true" applyFill="false" applyFont="true" applyNumberFormat="true" borderId="318" fillId="0" fontId="2" numFmtId="1000" quotePrefix="false">
      <alignment horizontal="center" vertical="top"/>
    </xf>
    <xf applyAlignment="true" applyBorder="true" applyFill="false" applyFont="true" applyNumberFormat="true" borderId="319" fillId="0" fontId="2" numFmtId="1000" quotePrefix="false">
      <alignment horizontal="center"/>
    </xf>
    <xf applyAlignment="true" applyBorder="true" applyFill="false" applyFont="true" applyNumberFormat="true" borderId="320" fillId="0" fontId="2" numFmtId="1000" quotePrefix="false">
      <alignment horizontal="center"/>
    </xf>
    <xf applyAlignment="true" applyBorder="true" applyFill="false" applyFont="true" applyNumberFormat="true" borderId="321" fillId="0" fontId="2" numFmtId="1000" quotePrefix="false">
      <alignment horizontal="center"/>
    </xf>
    <xf applyAlignment="true" applyBorder="true" applyFill="false" applyFont="false" applyNumberFormat="true" borderId="322" fillId="0" fontId="1" numFmtId="1000" quotePrefix="false">
      <alignment horizontal="center" vertical="top"/>
    </xf>
    <xf applyAlignment="true" applyBorder="true" applyFill="false" applyFont="false" applyNumberFormat="true" borderId="323" fillId="0" fontId="1" numFmtId="1000" quotePrefix="false">
      <alignment horizontal="center" vertical="top"/>
    </xf>
    <xf applyAlignment="true" applyBorder="true" applyFill="false" applyFont="false" applyNumberFormat="true" borderId="324" fillId="0" fontId="1" numFmtId="1000" quotePrefix="false">
      <alignment horizontal="center" vertical="top"/>
    </xf>
    <xf applyAlignment="true" applyBorder="true" applyFill="false" applyFont="false" applyNumberFormat="true" borderId="325" fillId="0" fontId="1" numFmtId="1000" quotePrefix="false">
      <alignment horizontal="center" vertical="top"/>
    </xf>
    <xf applyAlignment="true" applyBorder="true" applyFill="false" applyFont="false" applyNumberFormat="true" borderId="326" fillId="0" fontId="1" numFmtId="1000" quotePrefix="false">
      <alignment horizontal="center" vertical="top"/>
    </xf>
    <xf applyAlignment="true" applyBorder="true" applyFill="false" applyFont="false" applyNumberFormat="true" borderId="327" fillId="0" fontId="1" numFmtId="1000" quotePrefix="false">
      <alignment horizontal="center" vertical="top"/>
    </xf>
    <xf applyAlignment="true" applyBorder="true" applyFill="true" applyFont="false" applyNumberFormat="true" borderId="38" fillId="8" fontId="1" numFmtId="1001" quotePrefix="false">
      <alignment horizontal="center"/>
    </xf>
    <xf applyAlignment="true" applyBorder="true" applyFill="false" applyFont="false" applyNumberFormat="true" borderId="328" fillId="0" fontId="1" numFmtId="1000" quotePrefix="false">
      <alignment horizontal="center" vertical="top"/>
    </xf>
    <xf applyAlignment="true" applyBorder="true" applyFill="false" applyFont="false" applyNumberFormat="true" borderId="329" fillId="0" fontId="1" numFmtId="1000" quotePrefix="false">
      <alignment horizontal="center" vertical="top"/>
    </xf>
    <xf applyAlignment="true" applyBorder="true" applyFill="false" applyFont="false" applyNumberFormat="true" borderId="330" fillId="0" fontId="1" numFmtId="1000" quotePrefix="false">
      <alignment horizontal="center" vertical="top"/>
    </xf>
    <xf applyAlignment="true" applyBorder="true" applyFill="false" applyFont="false" applyNumberFormat="true" borderId="331" fillId="0" fontId="1" numFmtId="1000" quotePrefix="false">
      <alignment horizontal="center" vertical="top"/>
    </xf>
    <xf applyAlignment="true" applyBorder="true" applyFill="false" applyFont="false" applyNumberFormat="true" borderId="332" fillId="0" fontId="1" numFmtId="1000" quotePrefix="false">
      <alignment horizontal="center" vertical="top"/>
    </xf>
    <xf applyAlignment="true" applyBorder="true" applyFill="false" applyFont="false" applyNumberFormat="true" borderId="333" fillId="0" fontId="1" numFmtId="1000" quotePrefix="false">
      <alignment horizontal="center" vertical="top"/>
    </xf>
    <xf applyAlignment="true" applyBorder="true" applyFill="false" applyFont="false" applyNumberFormat="true" borderId="334" fillId="0" fontId="1" numFmtId="1000" quotePrefix="false">
      <alignment horizontal="center" vertical="top"/>
    </xf>
    <xf applyAlignment="true" applyBorder="true" applyFill="false" applyFont="false" applyNumberFormat="true" borderId="335" fillId="0" fontId="1" numFmtId="1000" quotePrefix="false">
      <alignment horizontal="center" vertical="top"/>
    </xf>
    <xf applyAlignment="true" applyBorder="true" applyFill="false" applyFont="false" applyNumberFormat="true" borderId="336" fillId="0" fontId="1" numFmtId="1000" quotePrefix="false">
      <alignment horizontal="center" vertical="top"/>
    </xf>
    <xf applyAlignment="true" applyBorder="true" applyFill="false" applyFont="false" applyNumberFormat="true" borderId="337" fillId="0" fontId="1" numFmtId="1000" quotePrefix="false">
      <alignment horizontal="center" vertical="top"/>
    </xf>
    <xf applyAlignment="true" applyBorder="true" applyFill="true" applyFont="false" applyNumberFormat="true" borderId="78" fillId="12" fontId="1" numFmtId="1000" quotePrefix="false">
      <alignment horizontal="center"/>
    </xf>
    <xf applyAlignment="true" applyBorder="true" applyFill="false" applyFont="false" applyNumberFormat="true" borderId="338" fillId="0" fontId="1" numFmtId="1000" quotePrefix="false">
      <alignment horizontal="center" vertical="top"/>
    </xf>
    <xf applyAlignment="true" applyBorder="true" applyFill="false" applyFont="false" applyNumberFormat="true" borderId="339" fillId="0" fontId="1" numFmtId="1000" quotePrefix="false">
      <alignment horizontal="center" vertical="top"/>
    </xf>
    <xf applyAlignment="true" applyBorder="true" applyFill="false" applyFont="false" applyNumberFormat="true" borderId="340" fillId="0" fontId="1" numFmtId="1000" quotePrefix="false">
      <alignment horizontal="center" vertical="top"/>
    </xf>
    <xf applyAlignment="true" applyBorder="true" applyFill="false" applyFont="false" applyNumberFormat="true" borderId="341" fillId="0" fontId="1" numFmtId="1000" quotePrefix="false">
      <alignment horizontal="center" vertical="top"/>
    </xf>
    <xf applyAlignment="true" applyBorder="true" applyFill="false" applyFont="false" applyNumberFormat="true" borderId="342" fillId="0" fontId="1" numFmtId="1000" quotePrefix="false">
      <alignment horizontal="center" vertical="top"/>
    </xf>
    <xf applyAlignment="true" applyBorder="true" applyFill="false" applyFont="false" applyNumberFormat="true" borderId="343" fillId="0" fontId="1" numFmtId="1000" quotePrefix="false">
      <alignment horizontal="center" vertical="top"/>
    </xf>
    <xf applyAlignment="true" applyBorder="true" applyFill="false" applyFont="false" applyNumberFormat="true" borderId="344" fillId="0" fontId="1" numFmtId="1000" quotePrefix="false">
      <alignment horizontal="center" vertical="top"/>
    </xf>
    <xf applyAlignment="true" applyBorder="true" applyFill="false" applyFont="false" applyNumberFormat="true" borderId="345" fillId="0" fontId="1" numFmtId="1000" quotePrefix="false">
      <alignment horizontal="center" vertical="top"/>
    </xf>
    <xf applyAlignment="true" applyBorder="true" applyFill="false" applyFont="false" applyNumberFormat="true" borderId="346" fillId="0" fontId="1" numFmtId="1000" quotePrefix="false">
      <alignment horizontal="center" vertical="top"/>
    </xf>
    <xf applyAlignment="true" applyBorder="true" applyFill="false" applyFont="false" applyNumberFormat="true" borderId="347" fillId="0" fontId="1" numFmtId="1000" quotePrefix="false">
      <alignment horizontal="center" vertical="top"/>
    </xf>
    <xf applyAlignment="true" applyBorder="true" applyFill="false" applyFont="true" applyNumberFormat="true" borderId="348" fillId="0" fontId="2" numFmtId="1000" quotePrefix="false">
      <alignment horizontal="center" vertical="top"/>
    </xf>
    <xf applyAlignment="true" applyBorder="true" applyFill="false" applyFont="true" applyNumberFormat="true" borderId="349" fillId="0" fontId="2" numFmtId="1000" quotePrefix="false">
      <alignment horizontal="center"/>
    </xf>
    <xf applyAlignment="true" applyBorder="true" applyFill="false" applyFont="true" applyNumberFormat="true" borderId="350" fillId="0" fontId="2" numFmtId="1000" quotePrefix="false">
      <alignment horizontal="center"/>
    </xf>
    <xf applyAlignment="true" applyBorder="true" applyFill="false" applyFont="true" applyNumberFormat="true" borderId="351" fillId="0" fontId="2" numFmtId="1000" quotePrefix="false">
      <alignment horizontal="center"/>
    </xf>
    <xf applyAlignment="true" applyBorder="true" applyFill="false" applyFont="false" applyNumberFormat="true" borderId="352" fillId="0" fontId="1" numFmtId="1000" quotePrefix="false">
      <alignment horizontal="center" vertical="top"/>
    </xf>
    <xf applyAlignment="true" applyBorder="true" applyFill="false" applyFont="false" applyNumberFormat="true" borderId="353" fillId="0" fontId="1" numFmtId="1000" quotePrefix="false">
      <alignment horizontal="center" vertical="top"/>
    </xf>
    <xf applyAlignment="true" applyBorder="true" applyFill="false" applyFont="false" applyNumberFormat="true" borderId="354" fillId="0" fontId="1" numFmtId="1000" quotePrefix="false">
      <alignment horizontal="center" vertical="top"/>
    </xf>
    <xf applyAlignment="true" applyBorder="true" applyFill="false" applyFont="false" applyNumberFormat="true" borderId="355" fillId="0" fontId="1" numFmtId="1000" quotePrefix="false">
      <alignment horizontal="center" vertical="top"/>
    </xf>
    <xf applyAlignment="true" applyBorder="true" applyFill="false" applyFont="false" applyNumberFormat="true" borderId="356" fillId="0" fontId="1" numFmtId="1000" quotePrefix="false">
      <alignment horizontal="center" vertical="top"/>
    </xf>
    <xf applyAlignment="true" applyBorder="true" applyFill="false" applyFont="false" applyNumberFormat="true" borderId="357" fillId="0" fontId="1" numFmtId="1000" quotePrefix="false">
      <alignment horizontal="center" vertical="top"/>
    </xf>
    <xf applyAlignment="true" applyBorder="true" applyFill="false" applyFont="false" applyNumberFormat="true" borderId="358" fillId="0" fontId="1" numFmtId="1000" quotePrefix="false">
      <alignment horizontal="center" vertical="top"/>
    </xf>
    <xf applyAlignment="true" applyBorder="true" applyFill="false" applyFont="false" applyNumberFormat="true" borderId="359" fillId="0" fontId="1" numFmtId="1000" quotePrefix="false">
      <alignment horizontal="center" vertical="top"/>
    </xf>
    <xf applyAlignment="true" applyBorder="true" applyFill="false" applyFont="false" applyNumberFormat="true" borderId="360" fillId="0" fontId="1" numFmtId="1000" quotePrefix="false">
      <alignment horizontal="center" vertical="top"/>
    </xf>
    <xf applyAlignment="true" applyBorder="true" applyFill="false" applyFont="false" applyNumberFormat="true" borderId="361" fillId="0" fontId="1" numFmtId="1000" quotePrefix="false">
      <alignment horizontal="center" vertical="top"/>
    </xf>
    <xf applyAlignment="true" applyBorder="true" applyFill="false" applyFont="false" applyNumberFormat="true" borderId="362" fillId="0" fontId="1" numFmtId="1000" quotePrefix="false">
      <alignment horizontal="center" vertical="top"/>
    </xf>
    <xf applyAlignment="true" applyBorder="true" applyFill="false" applyFont="false" applyNumberFormat="true" borderId="363" fillId="0" fontId="1" numFmtId="1000" quotePrefix="false">
      <alignment horizontal="center" vertical="top"/>
    </xf>
    <xf applyAlignment="true" applyBorder="true" applyFill="false" applyFont="false" applyNumberFormat="true" borderId="364" fillId="0" fontId="1" numFmtId="1000" quotePrefix="false">
      <alignment horizontal="center" vertical="top"/>
    </xf>
    <xf applyAlignment="true" applyBorder="true" applyFill="false" applyFont="false" applyNumberFormat="true" borderId="365" fillId="0" fontId="1" numFmtId="1000" quotePrefix="false">
      <alignment horizontal="center" vertical="top"/>
    </xf>
    <xf applyAlignment="true" applyBorder="true" applyFill="false" applyFont="false" applyNumberFormat="true" borderId="366" fillId="0" fontId="1" numFmtId="1000" quotePrefix="false">
      <alignment horizontal="center" vertical="top"/>
    </xf>
    <xf applyAlignment="true" applyBorder="true" applyFill="false" applyFont="false" applyNumberFormat="true" borderId="367" fillId="0" fontId="1" numFmtId="1000" quotePrefix="false">
      <alignment horizontal="center" vertical="top"/>
    </xf>
    <xf applyAlignment="true" applyBorder="true" applyFill="false" applyFont="false" applyNumberFormat="true" borderId="368" fillId="0" fontId="1" numFmtId="1000" quotePrefix="false">
      <alignment horizontal="center" vertical="top"/>
    </xf>
    <xf applyAlignment="true" applyBorder="true" applyFill="false" applyFont="false" applyNumberFormat="true" borderId="369" fillId="0" fontId="1" numFmtId="1000" quotePrefix="false">
      <alignment horizontal="center" vertical="top"/>
    </xf>
    <xf applyAlignment="true" applyBorder="true" applyFill="false" applyFont="false" applyNumberFormat="true" borderId="370" fillId="0" fontId="1" numFmtId="1000" quotePrefix="false">
      <alignment horizontal="center" vertical="top"/>
    </xf>
    <xf applyAlignment="true" applyBorder="true" applyFill="false" applyFont="false" applyNumberFormat="true" borderId="371" fillId="0" fontId="1" numFmtId="1000" quotePrefix="false">
      <alignment horizontal="center" vertical="top"/>
    </xf>
    <xf applyAlignment="true" applyBorder="true" applyFill="false" applyFont="false" applyNumberFormat="true" borderId="372" fillId="0" fontId="1" numFmtId="1000" quotePrefix="false">
      <alignment horizontal="center" vertical="top"/>
    </xf>
    <xf applyAlignment="true" applyBorder="true" applyFill="false" applyFont="false" applyNumberFormat="true" borderId="373" fillId="0" fontId="1" numFmtId="1000" quotePrefix="false">
      <alignment horizontal="center" vertical="top"/>
    </xf>
    <xf applyAlignment="true" applyBorder="true" applyFill="false" applyFont="false" applyNumberFormat="true" borderId="374" fillId="0" fontId="1" numFmtId="1000" quotePrefix="false">
      <alignment horizontal="center" vertical="top"/>
    </xf>
    <xf applyAlignment="true" applyBorder="true" applyFill="false" applyFont="false" applyNumberFormat="true" borderId="375" fillId="0" fontId="1" numFmtId="1000" quotePrefix="false">
      <alignment horizontal="center" vertical="top"/>
    </xf>
    <xf applyAlignment="true" applyBorder="true" applyFill="false" applyFont="false" applyNumberFormat="true" borderId="376" fillId="0" fontId="1" numFmtId="1000" quotePrefix="false">
      <alignment horizontal="center" vertical="top"/>
    </xf>
    <xf applyAlignment="true" applyBorder="true" applyFill="false" applyFont="true" applyNumberFormat="true" borderId="377" fillId="0" fontId="2" numFmtId="1000" quotePrefix="false">
      <alignment horizontal="center" vertical="top"/>
    </xf>
    <xf applyAlignment="true" applyBorder="true" applyFill="false" applyFont="true" applyNumberFormat="true" borderId="378" fillId="0" fontId="2" numFmtId="1000" quotePrefix="false">
      <alignment horizontal="center"/>
    </xf>
    <xf applyAlignment="true" applyBorder="true" applyFill="false" applyFont="true" applyNumberFormat="true" borderId="379" fillId="0" fontId="2" numFmtId="1000" quotePrefix="false">
      <alignment horizontal="center"/>
    </xf>
    <xf applyAlignment="true" applyBorder="true" applyFill="false" applyFont="true" applyNumberFormat="true" borderId="380" fillId="0" fontId="2" numFmtId="1000" quotePrefix="false">
      <alignment horizontal="center"/>
    </xf>
    <xf applyAlignment="true" applyBorder="true" applyFill="false" applyFont="false" applyNumberFormat="true" borderId="381" fillId="0" fontId="1" numFmtId="1000" quotePrefix="false">
      <alignment horizontal="center" vertical="top"/>
    </xf>
    <xf applyAlignment="true" applyBorder="true" applyFill="false" applyFont="false" applyNumberFormat="true" borderId="382" fillId="0" fontId="1" numFmtId="1000" quotePrefix="false">
      <alignment horizontal="center" vertical="top"/>
    </xf>
    <xf applyAlignment="true" applyBorder="true" applyFill="false" applyFont="false" applyNumberFormat="true" borderId="383" fillId="0" fontId="1" numFmtId="1000" quotePrefix="false">
      <alignment horizontal="center" vertical="top"/>
    </xf>
    <xf applyAlignment="true" applyBorder="true" applyFill="false" applyFont="false" applyNumberFormat="true" borderId="384" fillId="0" fontId="1" numFmtId="1000" quotePrefix="false">
      <alignment horizontal="center" vertical="top"/>
    </xf>
    <xf applyAlignment="true" applyBorder="true" applyFill="false" applyFont="false" applyNumberFormat="true" borderId="385" fillId="0" fontId="1" numFmtId="1000" quotePrefix="false">
      <alignment horizontal="center" vertical="top"/>
    </xf>
    <xf applyAlignment="true" applyBorder="true" applyFill="false" applyFont="false" applyNumberFormat="true" borderId="386" fillId="0" fontId="1" numFmtId="1000" quotePrefix="false">
      <alignment horizontal="center" vertical="top"/>
    </xf>
    <xf applyAlignment="true" applyBorder="true" applyFill="false" applyFont="false" applyNumberFormat="true" borderId="387" fillId="0" fontId="1" numFmtId="1000" quotePrefix="false">
      <alignment horizontal="center" vertical="top"/>
    </xf>
    <xf applyAlignment="true" applyBorder="true" applyFill="false" applyFont="false" applyNumberFormat="true" borderId="388" fillId="0" fontId="1" numFmtId="1000" quotePrefix="false">
      <alignment horizontal="center" vertical="top"/>
    </xf>
    <xf applyAlignment="true" applyBorder="true" applyFill="false" applyFont="false" applyNumberFormat="true" borderId="389" fillId="0" fontId="1" numFmtId="1000" quotePrefix="false">
      <alignment horizontal="center" vertical="top"/>
    </xf>
    <xf applyAlignment="true" applyBorder="true" applyFill="false" applyFont="false" applyNumberFormat="true" borderId="390" fillId="0" fontId="1" numFmtId="1000" quotePrefix="false">
      <alignment horizontal="center" vertical="top"/>
    </xf>
    <xf applyAlignment="true" applyBorder="true" applyFill="false" applyFont="false" applyNumberFormat="true" borderId="391" fillId="0" fontId="1" numFmtId="1000" quotePrefix="false">
      <alignment horizontal="center" vertical="top"/>
    </xf>
    <xf applyAlignment="true" applyBorder="true" applyFill="false" applyFont="false" applyNumberFormat="true" borderId="392" fillId="0" fontId="1" numFmtId="1000" quotePrefix="false">
      <alignment horizontal="center" vertical="top"/>
    </xf>
    <xf applyAlignment="true" applyBorder="true" applyFill="false" applyFont="false" applyNumberFormat="true" borderId="393" fillId="0" fontId="1" numFmtId="1000" quotePrefix="false">
      <alignment horizontal="center" vertical="top"/>
    </xf>
    <xf applyAlignment="true" applyBorder="true" applyFill="false" applyFont="false" applyNumberFormat="true" borderId="394" fillId="0" fontId="1" numFmtId="1000" quotePrefix="false">
      <alignment horizontal="center" vertical="top"/>
    </xf>
    <xf applyAlignment="true" applyBorder="true" applyFill="false" applyFont="false" applyNumberFormat="true" borderId="395" fillId="0" fontId="1" numFmtId="1000" quotePrefix="false">
      <alignment horizontal="center" vertical="top"/>
    </xf>
    <xf applyAlignment="true" applyBorder="true" applyFill="false" applyFont="false" applyNumberFormat="true" borderId="396" fillId="0" fontId="1" numFmtId="1000" quotePrefix="false">
      <alignment horizontal="center" vertical="top"/>
    </xf>
    <xf applyAlignment="true" applyBorder="true" applyFill="false" applyFont="false" applyNumberFormat="true" borderId="397" fillId="0" fontId="1" numFmtId="1000" quotePrefix="false">
      <alignment horizontal="center" vertical="top"/>
    </xf>
    <xf applyAlignment="true" applyBorder="true" applyFill="false" applyFont="false" applyNumberFormat="true" borderId="398" fillId="0" fontId="1" numFmtId="1000" quotePrefix="false">
      <alignment horizontal="center" vertical="top"/>
    </xf>
    <xf applyAlignment="true" applyBorder="true" applyFill="false" applyFont="false" applyNumberFormat="true" borderId="399" fillId="0" fontId="1" numFmtId="1000" quotePrefix="false">
      <alignment horizontal="center" vertical="top"/>
    </xf>
    <xf applyAlignment="true" applyBorder="true" applyFill="false" applyFont="false" applyNumberFormat="true" borderId="400" fillId="0" fontId="1" numFmtId="1000" quotePrefix="false">
      <alignment horizontal="center" vertical="top"/>
    </xf>
    <xf applyAlignment="true" applyBorder="true" applyFill="false" applyFont="false" applyNumberFormat="true" borderId="401" fillId="0" fontId="1" numFmtId="1000" quotePrefix="false">
      <alignment horizontal="center" vertical="top"/>
    </xf>
    <xf applyAlignment="true" applyBorder="true" applyFill="false" applyFont="false" applyNumberFormat="true" borderId="402" fillId="0" fontId="1" numFmtId="1000" quotePrefix="false">
      <alignment horizontal="center" vertical="top"/>
    </xf>
    <xf applyAlignment="true" applyBorder="true" applyFill="false" applyFont="false" applyNumberFormat="true" borderId="403" fillId="0" fontId="1" numFmtId="1000" quotePrefix="false">
      <alignment horizontal="center" vertical="top"/>
    </xf>
    <xf applyAlignment="true" applyBorder="true" applyFill="false" applyFont="false" applyNumberFormat="true" borderId="404" fillId="0" fontId="1" numFmtId="1000" quotePrefix="false">
      <alignment horizontal="center" vertical="top"/>
    </xf>
    <xf applyAlignment="true" applyBorder="true" applyFill="false" applyFont="false" applyNumberFormat="true" borderId="405" fillId="0" fontId="1" numFmtId="1000" quotePrefix="false">
      <alignment horizontal="center" vertical="top"/>
    </xf>
    <xf applyAlignment="true" applyBorder="true" applyFill="false" applyFont="true" applyNumberFormat="true" borderId="406" fillId="0" fontId="2" numFmtId="1000" quotePrefix="false">
      <alignment horizontal="center" vertical="top"/>
    </xf>
    <xf applyAlignment="true" applyBorder="true" applyFill="false" applyFont="true" applyNumberFormat="true" borderId="407" fillId="0" fontId="2" numFmtId="1000" quotePrefix="false">
      <alignment horizontal="center"/>
    </xf>
    <xf applyAlignment="true" applyBorder="true" applyFill="false" applyFont="true" applyNumberFormat="true" borderId="408" fillId="0" fontId="2" numFmtId="1000" quotePrefix="false">
      <alignment horizontal="center"/>
    </xf>
    <xf applyAlignment="true" applyBorder="true" applyFill="false" applyFont="true" applyNumberFormat="true" borderId="409" fillId="0" fontId="2" numFmtId="1000" quotePrefix="false">
      <alignment horizontal="center"/>
    </xf>
    <xf applyAlignment="true" applyBorder="true" applyFill="false" applyFont="false" applyNumberFormat="true" borderId="410" fillId="0" fontId="1" numFmtId="1000" quotePrefix="false">
      <alignment horizontal="center" vertical="top"/>
    </xf>
    <xf applyAlignment="true" applyBorder="true" applyFill="false" applyFont="false" applyNumberFormat="true" borderId="411" fillId="0" fontId="1" numFmtId="1000" quotePrefix="false">
      <alignment horizontal="center" vertical="top"/>
    </xf>
    <xf applyAlignment="true" applyBorder="true" applyFill="false" applyFont="false" applyNumberFormat="true" borderId="412" fillId="0" fontId="1" numFmtId="1000" quotePrefix="false">
      <alignment horizontal="center" vertical="top"/>
    </xf>
    <xf applyAlignment="true" applyBorder="true" applyFill="false" applyFont="false" applyNumberFormat="true" borderId="413" fillId="0" fontId="1" numFmtId="1000" quotePrefix="false">
      <alignment horizontal="center" vertical="top"/>
    </xf>
    <xf applyAlignment="true" applyBorder="true" applyFill="false" applyFont="false" applyNumberFormat="true" borderId="414" fillId="0" fontId="1" numFmtId="1000" quotePrefix="false">
      <alignment horizontal="center" vertical="top"/>
    </xf>
    <xf applyAlignment="true" applyBorder="true" applyFill="false" applyFont="false" applyNumberFormat="true" borderId="415" fillId="0" fontId="1" numFmtId="1000" quotePrefix="false">
      <alignment horizontal="center" vertical="top"/>
    </xf>
    <xf applyAlignment="true" applyBorder="true" applyFill="false" applyFont="false" applyNumberFormat="true" borderId="416" fillId="0" fontId="1" numFmtId="1000" quotePrefix="false">
      <alignment horizontal="center" vertical="top"/>
    </xf>
    <xf applyAlignment="true" applyBorder="true" applyFill="false" applyFont="false" applyNumberFormat="true" borderId="417" fillId="0" fontId="1" numFmtId="1000" quotePrefix="false">
      <alignment horizontal="center" vertical="top"/>
    </xf>
    <xf applyAlignment="true" applyBorder="true" applyFill="false" applyFont="false" applyNumberFormat="true" borderId="418" fillId="0" fontId="1" numFmtId="1000" quotePrefix="false">
      <alignment horizontal="center" vertical="top"/>
    </xf>
    <xf applyAlignment="true" applyBorder="true" applyFill="false" applyFont="false" applyNumberFormat="true" borderId="419" fillId="0" fontId="1" numFmtId="1000" quotePrefix="false">
      <alignment horizontal="center" vertical="top"/>
    </xf>
    <xf applyAlignment="true" applyBorder="true" applyFill="false" applyFont="false" applyNumberFormat="true" borderId="420" fillId="0" fontId="1" numFmtId="1000" quotePrefix="false">
      <alignment horizontal="center" vertical="top"/>
    </xf>
    <xf applyAlignment="true" applyBorder="true" applyFill="false" applyFont="false" applyNumberFormat="true" borderId="421" fillId="0" fontId="1" numFmtId="1000" quotePrefix="false">
      <alignment horizontal="center" vertical="top"/>
    </xf>
    <xf applyAlignment="true" applyBorder="true" applyFill="false" applyFont="false" applyNumberFormat="true" borderId="422" fillId="0" fontId="1" numFmtId="1000" quotePrefix="false">
      <alignment horizontal="center" vertical="top"/>
    </xf>
    <xf applyAlignment="true" applyBorder="true" applyFill="false" applyFont="false" applyNumberFormat="true" borderId="423" fillId="0" fontId="1" numFmtId="1000" quotePrefix="false">
      <alignment horizontal="center" vertical="top"/>
    </xf>
    <xf applyAlignment="true" applyBorder="true" applyFill="false" applyFont="false" applyNumberFormat="true" borderId="424" fillId="0" fontId="1" numFmtId="1000" quotePrefix="false">
      <alignment horizontal="center" vertical="top"/>
    </xf>
    <xf applyAlignment="true" applyBorder="true" applyFill="false" applyFont="false" applyNumberFormat="true" borderId="425" fillId="0" fontId="1" numFmtId="1000" quotePrefix="false">
      <alignment horizontal="center" vertical="top"/>
    </xf>
    <xf applyAlignment="true" applyBorder="true" applyFill="false" applyFont="false" applyNumberFormat="true" borderId="426" fillId="0" fontId="1" numFmtId="1000" quotePrefix="false">
      <alignment horizontal="center" vertical="top"/>
    </xf>
    <xf applyAlignment="true" applyBorder="true" applyFill="false" applyFont="false" applyNumberFormat="true" borderId="427" fillId="0" fontId="1" numFmtId="1000" quotePrefix="false">
      <alignment horizontal="center" vertical="top"/>
    </xf>
    <xf applyAlignment="true" applyBorder="true" applyFill="false" applyFont="false" applyNumberFormat="true" borderId="428" fillId="0" fontId="1" numFmtId="1000" quotePrefix="false">
      <alignment horizontal="center" vertical="top"/>
    </xf>
    <xf applyAlignment="true" applyBorder="true" applyFill="false" applyFont="false" applyNumberFormat="true" borderId="429" fillId="0" fontId="1" numFmtId="1000" quotePrefix="false">
      <alignment horizontal="center" vertical="top"/>
    </xf>
    <xf applyAlignment="true" applyBorder="true" applyFill="false" applyFont="false" applyNumberFormat="true" borderId="430" fillId="0" fontId="1" numFmtId="1000" quotePrefix="false">
      <alignment horizontal="center" vertical="top"/>
    </xf>
    <xf applyAlignment="true" applyBorder="true" applyFill="false" applyFont="false" applyNumberFormat="true" borderId="431" fillId="0" fontId="1" numFmtId="1000" quotePrefix="false">
      <alignment horizontal="center" vertical="top"/>
    </xf>
    <xf applyAlignment="true" applyBorder="true" applyFill="false" applyFont="false" applyNumberFormat="true" borderId="432" fillId="0" fontId="1" numFmtId="1000" quotePrefix="false">
      <alignment horizontal="center" vertical="top"/>
    </xf>
    <xf applyAlignment="true" applyBorder="true" applyFill="false" applyFont="false" applyNumberFormat="true" borderId="433" fillId="0" fontId="1" numFmtId="1000" quotePrefix="false">
      <alignment horizontal="center" vertical="top"/>
    </xf>
    <xf applyAlignment="true" applyBorder="true" applyFill="false" applyFont="false" applyNumberFormat="true" borderId="434" fillId="0" fontId="1" numFmtId="1000" quotePrefix="false">
      <alignment horizontal="center" vertical="top"/>
    </xf>
    <xf applyAlignment="true" applyBorder="true" applyFill="false" applyFont="false" applyNumberFormat="true" borderId="435" fillId="0" fontId="1" numFmtId="1000" quotePrefix="false">
      <alignment horizontal="center"/>
    </xf>
    <xf applyAlignment="true" applyBorder="true" applyFill="true" applyFont="false" applyNumberFormat="true" borderId="436" fillId="8" fontId="1" numFmtId="1000" quotePrefix="false">
      <alignment horizontal="center"/>
    </xf>
    <xf applyAlignment="true" applyBorder="true" applyFill="true" applyFont="false" applyNumberFormat="true" borderId="437" fillId="8" fontId="1" numFmtId="1000" quotePrefix="false">
      <alignment horizontal="center"/>
    </xf>
    <xf applyAlignment="true" applyBorder="true" applyFill="false" applyFont="true" applyNumberFormat="true" borderId="438" fillId="0" fontId="2" numFmtId="1000" quotePrefix="false">
      <alignment horizontal="center" vertical="top"/>
    </xf>
    <xf applyAlignment="true" applyBorder="true" applyFill="false" applyFont="false" applyNumberFormat="true" borderId="439" fillId="0" fontId="1" numFmtId="1000" quotePrefix="false">
      <alignment horizontal="left" vertical="top"/>
    </xf>
    <xf applyAlignment="true" applyBorder="true" applyFill="false" applyFont="false" applyNumberFormat="true" borderId="440" fillId="0" fontId="1" numFmtId="1000" quotePrefix="false">
      <alignment horizontal="left" vertical="top"/>
    </xf>
    <xf applyAlignment="true" applyBorder="true" applyFill="false" applyFont="false" applyNumberFormat="true" borderId="441" fillId="0" fontId="1" numFmtId="1000" quotePrefix="false">
      <alignment horizontal="left" vertical="top"/>
    </xf>
    <xf applyAlignment="true" applyBorder="true" applyFill="false" applyFont="false" applyNumberFormat="true" borderId="442" fillId="0" fontId="1" numFmtId="1000" quotePrefix="false">
      <alignment horizontal="left" vertical="top"/>
    </xf>
    <xf applyAlignment="true" applyBorder="true" applyFill="false" applyFont="false" applyNumberFormat="true" borderId="443" fillId="0" fontId="1" numFmtId="1000" quotePrefix="false">
      <alignment horizontal="left" vertical="top"/>
    </xf>
    <xf applyAlignment="true" applyBorder="true" applyFill="false" applyFont="false" applyNumberFormat="true" borderId="444" fillId="0" fontId="1" numFmtId="1000" quotePrefix="false">
      <alignment horizontal="left" vertical="top"/>
    </xf>
    <xf applyAlignment="true" applyBorder="true" applyFill="false" applyFont="false" applyNumberFormat="true" borderId="445" fillId="0" fontId="1" numFmtId="1000" quotePrefix="false">
      <alignment horizontal="left" vertical="top"/>
    </xf>
    <xf applyAlignment="true" applyBorder="true" applyFill="false" applyFont="false" applyNumberFormat="true" borderId="446" fillId="0" fontId="1" numFmtId="1000" quotePrefix="false">
      <alignment horizontal="left" vertical="top"/>
    </xf>
    <xf applyAlignment="true" applyBorder="true" applyFill="false" applyFont="false" applyNumberFormat="true" borderId="447" fillId="0" fontId="1" numFmtId="1000" quotePrefix="false">
      <alignment horizontal="left" vertical="top"/>
    </xf>
    <xf applyAlignment="true" applyBorder="true" applyFill="false" applyFont="false" applyNumberFormat="true" borderId="448" fillId="0" fontId="1" numFmtId="1000" quotePrefix="false">
      <alignment horizontal="left" vertical="top"/>
    </xf>
    <xf applyAlignment="true" applyBorder="true" applyFill="false" applyFont="false" applyNumberFormat="true" borderId="449" fillId="0" fontId="1" numFmtId="1000" quotePrefix="false">
      <alignment horizontal="left" vertical="top"/>
    </xf>
    <xf applyAlignment="true" applyBorder="true" applyFill="false" applyFont="false" applyNumberFormat="true" borderId="450" fillId="0" fontId="1" numFmtId="1000" quotePrefix="false">
      <alignment horizontal="left" vertical="top"/>
    </xf>
    <xf applyAlignment="true" applyBorder="true" applyFill="false" applyFont="false" applyNumberFormat="true" borderId="451" fillId="0" fontId="1" numFmtId="1000" quotePrefix="false">
      <alignment horizontal="left" vertical="top"/>
    </xf>
    <xf applyAlignment="true" applyBorder="true" applyFill="false" applyFont="false" applyNumberFormat="true" borderId="452" fillId="0" fontId="1" numFmtId="1000" quotePrefix="false">
      <alignment horizontal="left" vertical="top"/>
    </xf>
    <xf applyAlignment="true" applyBorder="true" applyFill="false" applyFont="false" applyNumberFormat="true" borderId="453" fillId="0" fontId="1" numFmtId="1000" quotePrefix="false">
      <alignment horizontal="left" vertical="top"/>
    </xf>
    <xf applyAlignment="true" applyBorder="true" applyFill="false" applyFont="false" applyNumberFormat="true" borderId="454" fillId="0" fontId="1" numFmtId="1000" quotePrefix="false">
      <alignment horizontal="left" vertical="top"/>
    </xf>
    <xf applyAlignment="true" applyBorder="true" applyFill="false" applyFont="false" applyNumberFormat="true" borderId="455" fillId="0" fontId="1" numFmtId="1000" quotePrefix="false">
      <alignment horizontal="left" vertical="top"/>
    </xf>
    <xf applyAlignment="true" applyBorder="true" applyFill="false" applyFont="false" applyNumberFormat="true" borderId="456" fillId="0" fontId="1" numFmtId="1000" quotePrefix="false">
      <alignment horizontal="left" vertical="top"/>
    </xf>
    <xf applyAlignment="true" applyBorder="true" applyFill="false" applyFont="false" applyNumberFormat="true" borderId="457" fillId="0" fontId="1" numFmtId="1000" quotePrefix="false">
      <alignment horizontal="left" vertical="top"/>
    </xf>
    <xf applyAlignment="true" applyBorder="true" applyFill="false" applyFont="true" applyNumberFormat="true" borderId="458" fillId="0" fontId="2" numFmtId="1000" quotePrefix="false">
      <alignment horizontal="center"/>
    </xf>
    <xf applyAlignment="true" applyBorder="true" applyFill="false" applyFont="true" applyNumberFormat="true" borderId="459" fillId="0" fontId="2" numFmtId="1000" quotePrefix="false">
      <alignment horizontal="center"/>
    </xf>
    <xf applyAlignment="true" applyBorder="true" applyFill="false" applyFont="true" applyNumberFormat="true" borderId="460" fillId="0" fontId="2" numFmtId="1000" quotePrefix="false">
      <alignment horizontal="center"/>
    </xf>
    <xf applyAlignment="true" applyBorder="true" applyFill="false" applyFont="false" applyNumberFormat="true" borderId="461" fillId="0" fontId="1" numFmtId="1000" quotePrefix="false">
      <alignment horizontal="center" vertical="top"/>
    </xf>
    <xf applyAlignment="true" applyBorder="true" applyFill="false" applyFont="false" applyNumberFormat="true" borderId="462" fillId="0" fontId="1" numFmtId="1000" quotePrefix="false">
      <alignment horizontal="center" vertical="top"/>
    </xf>
    <xf applyAlignment="true" applyBorder="true" applyFill="false" applyFont="false" applyNumberFormat="true" borderId="463" fillId="0" fontId="1" numFmtId="1000" quotePrefix="false">
      <alignment horizontal="center" vertical="top"/>
    </xf>
    <xf applyAlignment="true" applyBorder="true" applyFill="false" applyFont="false" applyNumberFormat="true" borderId="464" fillId="0" fontId="1" numFmtId="1000" quotePrefix="false">
      <alignment horizontal="center" vertical="top"/>
    </xf>
    <xf applyAlignment="true" applyBorder="true" applyFill="false" applyFont="false" applyNumberFormat="true" borderId="465" fillId="0" fontId="1" numFmtId="1000" quotePrefix="false">
      <alignment horizontal="center" vertical="top"/>
    </xf>
    <xf applyAlignment="true" applyBorder="true" applyFill="false" applyFont="false" applyNumberFormat="true" borderId="466" fillId="0" fontId="1" numFmtId="1000" quotePrefix="false">
      <alignment horizontal="center" vertical="top"/>
    </xf>
    <xf applyAlignment="true" applyBorder="true" applyFill="false" applyFont="false" applyNumberFormat="true" borderId="467" fillId="0" fontId="1" numFmtId="1000" quotePrefix="false">
      <alignment horizontal="center" vertical="top"/>
    </xf>
    <xf applyAlignment="true" applyBorder="true" applyFill="false" applyFont="false" applyNumberFormat="true" borderId="468" fillId="0" fontId="1" numFmtId="1000" quotePrefix="false">
      <alignment horizontal="center" vertical="top"/>
    </xf>
    <xf applyAlignment="true" applyBorder="true" applyFill="false" applyFont="false" applyNumberFormat="true" borderId="469" fillId="0" fontId="1" numFmtId="1000" quotePrefix="false">
      <alignment horizontal="center" vertical="top"/>
    </xf>
    <xf applyAlignment="true" applyBorder="true" applyFill="false" applyFont="false" applyNumberFormat="true" borderId="470" fillId="0" fontId="1" numFmtId="1000" quotePrefix="false">
      <alignment horizontal="center" vertical="top"/>
    </xf>
    <xf applyAlignment="true" applyBorder="true" applyFill="false" applyFont="false" applyNumberFormat="true" borderId="471" fillId="0" fontId="1" numFmtId="1000" quotePrefix="false">
      <alignment horizontal="center" vertical="top"/>
    </xf>
    <xf applyAlignment="true" applyBorder="true" applyFill="false" applyFont="false" applyNumberFormat="true" borderId="472" fillId="0" fontId="1" numFmtId="1000" quotePrefix="false">
      <alignment horizontal="center" vertical="top"/>
    </xf>
    <xf applyAlignment="true" applyBorder="true" applyFill="false" applyFont="false" applyNumberFormat="true" borderId="473" fillId="0" fontId="1" numFmtId="1000" quotePrefix="false">
      <alignment horizontal="center" vertical="top"/>
    </xf>
    <xf applyAlignment="true" applyBorder="true" applyFill="false" applyFont="false" applyNumberFormat="true" borderId="474" fillId="0" fontId="1" numFmtId="1000" quotePrefix="false">
      <alignment horizontal="center" vertical="top"/>
    </xf>
    <xf applyAlignment="true" applyBorder="true" applyFill="false" applyFont="false" applyNumberFormat="true" borderId="475" fillId="0" fontId="1" numFmtId="1000" quotePrefix="false">
      <alignment horizontal="center" vertical="top"/>
    </xf>
    <xf applyAlignment="true" applyBorder="true" applyFill="false" applyFont="false" applyNumberFormat="true" borderId="476" fillId="0" fontId="1" numFmtId="1000" quotePrefix="false">
      <alignment horizontal="center" vertical="top"/>
    </xf>
    <xf applyAlignment="true" applyBorder="true" applyFill="false" applyFont="false" applyNumberFormat="true" borderId="477" fillId="0" fontId="1" numFmtId="1000" quotePrefix="false">
      <alignment horizontal="center" vertical="top"/>
    </xf>
    <xf applyAlignment="true" applyBorder="true" applyFill="false" applyFont="false" applyNumberFormat="true" borderId="478" fillId="0" fontId="1" numFmtId="1000" quotePrefix="false">
      <alignment horizontal="center" vertical="top"/>
    </xf>
    <xf applyAlignment="true" applyBorder="true" applyFill="false" applyFont="false" applyNumberFormat="true" borderId="479" fillId="0" fontId="1" numFmtId="1000" quotePrefix="false">
      <alignment horizontal="center" vertical="top"/>
    </xf>
    <xf applyAlignment="true" applyBorder="true" applyFill="true" applyFont="false" applyNumberFormat="true" borderId="480" fillId="3" fontId="1" numFmtId="1000" quotePrefix="false">
      <alignment horizontal="center" vertical="top" wrapText="true"/>
    </xf>
    <xf applyAlignment="true" applyBorder="true" applyFill="true" applyFont="true" applyNumberFormat="true" borderId="209" fillId="10" fontId="8" numFmtId="1000" quotePrefix="false">
      <alignment vertical="top"/>
    </xf>
    <xf applyAlignment="true" applyBorder="true" applyFill="true" applyFont="false" applyNumberFormat="true" borderId="481" fillId="4" fontId="1" numFmtId="1000" quotePrefix="false">
      <alignment horizontal="center" vertical="top" wrapText="true"/>
    </xf>
    <xf applyAlignment="true" applyBorder="true" applyFill="true" applyFont="false" applyNumberFormat="true" borderId="482" fillId="4" fontId="1" numFmtId="1000" quotePrefix="false">
      <alignment horizontal="center" vertical="top" wrapText="true"/>
    </xf>
    <xf applyAlignment="true" applyBorder="true" applyFill="false" applyFont="false" applyNumberFormat="true" borderId="483" fillId="0" fontId="1" numFmtId="1000" quotePrefix="false">
      <alignment horizontal="center" vertical="top"/>
    </xf>
    <xf applyAlignment="true" applyBorder="true" applyFill="false" applyFont="false" applyNumberFormat="true" borderId="484" fillId="0" fontId="1" numFmtId="1000" quotePrefix="false">
      <alignment horizontal="center" vertical="top"/>
    </xf>
    <xf applyAlignment="true" applyBorder="true" applyFill="true" applyFont="false" applyNumberFormat="true" borderId="485" fillId="3" fontId="1" numFmtId="1000" quotePrefix="false">
      <alignment horizontal="center" vertical="top" wrapText="true"/>
    </xf>
    <xf applyAlignment="true" applyBorder="true" applyFill="true" applyFont="false" applyNumberFormat="true" borderId="486" fillId="4" fontId="1" numFmtId="1000" quotePrefix="false">
      <alignment horizontal="center" vertical="top" wrapText="true"/>
    </xf>
    <xf applyAlignment="true" applyBorder="true" applyFill="false" applyFont="false" applyNumberFormat="true" borderId="487" fillId="0" fontId="1" numFmtId="1000" quotePrefix="false">
      <alignment horizontal="center" vertical="top"/>
    </xf>
    <xf applyAlignment="true" applyBorder="true" applyFill="false" applyFont="false" applyNumberFormat="true" borderId="488" fillId="0" fontId="1" numFmtId="1000" quotePrefix="false">
      <alignment horizontal="center" vertical="top"/>
    </xf>
    <xf applyAlignment="true" applyBorder="true" applyFill="true" applyFont="false" applyNumberFormat="true" borderId="489" fillId="3" fontId="1" numFmtId="1000" quotePrefix="false">
      <alignment horizontal="center" vertical="top" wrapText="true"/>
    </xf>
    <xf applyAlignment="true" applyBorder="true" applyFill="true" applyFont="false" applyNumberFormat="true" borderId="490" fillId="3" fontId="1" numFmtId="1000" quotePrefix="false">
      <alignment horizontal="center" vertical="top" wrapText="true"/>
    </xf>
    <xf applyAlignment="true" applyBorder="true" applyFill="true" applyFont="false" applyNumberFormat="true" borderId="491" fillId="4" fontId="1" numFmtId="1000" quotePrefix="false">
      <alignment horizontal="center" vertical="top" wrapText="true"/>
    </xf>
    <xf applyAlignment="true" applyBorder="true" applyFill="true" applyFont="false" applyNumberFormat="true" borderId="492" fillId="4" fontId="1" numFmtId="1000" quotePrefix="false">
      <alignment horizontal="center" vertical="top" wrapText="true"/>
    </xf>
    <xf applyAlignment="true" applyBorder="true" applyFill="false" applyFont="false" applyNumberFormat="true" borderId="493" fillId="0" fontId="1" numFmtId="1000" quotePrefix="false">
      <alignment horizontal="center" vertical="top"/>
    </xf>
    <xf applyAlignment="true" applyBorder="true" applyFill="false" applyFont="false" applyNumberFormat="true" borderId="494" fillId="0" fontId="1" numFmtId="1000" quotePrefix="false">
      <alignment horizontal="center" vertical="top"/>
    </xf>
    <xf applyBorder="true" applyFill="true" applyFont="false" applyNumberFormat="true" borderId="49" fillId="15" fontId="1" numFmtId="1001" quotePrefix="false"/>
    <xf applyAlignment="true" applyBorder="true" applyFill="false" applyFont="false" applyNumberFormat="true" borderId="495" fillId="0" fontId="1" numFmtId="1000" quotePrefix="false">
      <alignment horizontal="center" vertical="top"/>
    </xf>
    <xf applyAlignment="true" applyBorder="true" applyFill="false" applyFont="false" applyNumberFormat="true" borderId="496" fillId="0" fontId="1" numFmtId="1000" quotePrefix="false">
      <alignment horizontal="center" vertical="top"/>
    </xf>
    <xf applyBorder="true" applyFill="true" applyFont="false" applyNumberFormat="true" borderId="84" fillId="15" fontId="1" numFmtId="1001" quotePrefix="false"/>
    <xf applyAlignment="true" applyBorder="true" applyFill="true" applyFont="false" applyNumberFormat="true" borderId="497" fillId="3" fontId="1" numFmtId="1000" quotePrefix="false">
      <alignment horizontal="center" vertical="top" wrapText="true"/>
    </xf>
    <xf applyAlignment="true" applyBorder="true" applyFill="false" applyFont="false" applyNumberFormat="true" borderId="498" fillId="0" fontId="1" numFmtId="1000" quotePrefix="false">
      <alignment horizontal="center" vertical="top"/>
    </xf>
    <xf applyAlignment="true" applyBorder="true" applyFill="false" applyFont="false" applyNumberFormat="true" borderId="499" fillId="0" fontId="1" numFmtId="1000" quotePrefix="false">
      <alignment horizontal="center" vertical="top"/>
    </xf>
    <xf applyAlignment="true" applyBorder="true" applyFill="true" applyFont="false" applyNumberFormat="true" borderId="500" fillId="3" fontId="1" numFmtId="1000" quotePrefix="false">
      <alignment horizontal="center" vertical="top" wrapText="true"/>
    </xf>
    <xf applyAlignment="true" applyBorder="true" applyFill="false" applyFont="false" applyNumberFormat="true" borderId="501" fillId="0" fontId="1" numFmtId="1000" quotePrefix="false">
      <alignment horizontal="center" vertical="top"/>
    </xf>
    <xf applyAlignment="true" applyBorder="true" applyFill="false" applyFont="false" applyNumberFormat="true" borderId="502" fillId="0" fontId="1" numFmtId="1000" quotePrefix="false">
      <alignment horizontal="center" vertical="top"/>
    </xf>
    <xf applyAlignment="true" applyBorder="true" applyFill="true" applyFont="false" applyNumberFormat="true" borderId="503" fillId="3" fontId="1" numFmtId="1000" quotePrefix="false">
      <alignment horizontal="center" vertical="top" wrapText="true"/>
    </xf>
    <xf applyAlignment="true" applyBorder="true" applyFill="true" applyFont="false" applyNumberFormat="true" borderId="504" fillId="3" fontId="1" numFmtId="1000" quotePrefix="false">
      <alignment horizontal="center" vertical="top" wrapText="true"/>
    </xf>
    <xf applyAlignment="true" applyBorder="true" applyFill="false" applyFont="false" applyNumberFormat="true" borderId="505" fillId="0" fontId="1" numFmtId="1000" quotePrefix="false">
      <alignment horizontal="center" vertical="top"/>
    </xf>
    <xf applyAlignment="true" applyBorder="true" applyFill="false" applyFont="false" applyNumberFormat="true" borderId="506" fillId="0" fontId="1" numFmtId="1000" quotePrefix="false">
      <alignment horizontal="center" vertical="top"/>
    </xf>
    <xf applyAlignment="true" applyBorder="true" applyFill="false" applyFont="true" applyNumberFormat="true" borderId="507" fillId="0" fontId="2" numFmtId="1000" quotePrefix="false">
      <alignment horizontal="center" vertical="top"/>
    </xf>
    <xf applyAlignment="true" applyBorder="true" applyFill="false" applyFont="false" applyNumberFormat="true" borderId="508" fillId="0" fontId="1" numFmtId="1000" quotePrefix="false">
      <alignment horizontal="left" vertical="top"/>
    </xf>
    <xf applyAlignment="true" applyBorder="true" applyFill="false" applyFont="false" applyNumberFormat="true" borderId="509" fillId="0" fontId="1" numFmtId="1000" quotePrefix="false">
      <alignment horizontal="left" vertical="top"/>
    </xf>
    <xf applyAlignment="true" applyBorder="true" applyFill="false" applyFont="false" applyNumberFormat="true" borderId="510" fillId="0" fontId="1" numFmtId="1000" quotePrefix="false">
      <alignment horizontal="left" vertical="top"/>
    </xf>
    <xf applyAlignment="true" applyBorder="true" applyFill="false" applyFont="false" applyNumberFormat="true" borderId="511" fillId="0" fontId="1" numFmtId="1000" quotePrefix="false">
      <alignment horizontal="left" vertical="top"/>
    </xf>
    <xf applyAlignment="true" applyBorder="true" applyFill="false" applyFont="false" applyNumberFormat="true" borderId="512" fillId="0" fontId="1" numFmtId="1000" quotePrefix="false">
      <alignment horizontal="left" vertical="top"/>
    </xf>
    <xf applyAlignment="true" applyBorder="true" applyFill="false" applyFont="false" applyNumberFormat="true" borderId="513" fillId="0" fontId="1" numFmtId="1000" quotePrefix="false">
      <alignment horizontal="left" vertical="top"/>
    </xf>
    <xf applyAlignment="true" applyBorder="true" applyFill="false" applyFont="false" applyNumberFormat="true" borderId="514" fillId="0" fontId="1" numFmtId="1000" quotePrefix="false">
      <alignment horizontal="left" vertical="top"/>
    </xf>
    <xf applyAlignment="true" applyBorder="true" applyFill="false" applyFont="false" applyNumberFormat="true" borderId="515" fillId="0" fontId="1" numFmtId="1000" quotePrefix="false">
      <alignment horizontal="left" vertical="top"/>
    </xf>
    <xf applyAlignment="true" applyBorder="true" applyFill="false" applyFont="false" applyNumberFormat="true" borderId="516" fillId="0" fontId="1" numFmtId="1000" quotePrefix="false">
      <alignment horizontal="left" vertical="top"/>
    </xf>
    <xf applyAlignment="true" applyBorder="true" applyFill="false" applyFont="false" applyNumberFormat="true" borderId="517" fillId="0" fontId="1" numFmtId="1000" quotePrefix="false">
      <alignment horizontal="left" vertical="top"/>
    </xf>
    <xf applyAlignment="true" applyBorder="true" applyFill="false" applyFont="false" applyNumberFormat="true" borderId="518" fillId="0" fontId="1" numFmtId="1000" quotePrefix="false">
      <alignment horizontal="left" vertical="top"/>
    </xf>
    <xf applyAlignment="true" applyBorder="true" applyFill="false" applyFont="false" applyNumberFormat="true" borderId="519" fillId="0" fontId="1" numFmtId="1000" quotePrefix="false">
      <alignment horizontal="left" vertical="top"/>
    </xf>
    <xf applyAlignment="true" applyBorder="true" applyFill="false" applyFont="false" applyNumberFormat="true" borderId="520" fillId="0" fontId="1" numFmtId="1000" quotePrefix="false">
      <alignment horizontal="left" vertical="top"/>
    </xf>
    <xf applyAlignment="true" applyBorder="true" applyFill="false" applyFont="false" applyNumberFormat="true" borderId="521" fillId="0" fontId="1" numFmtId="1000" quotePrefix="false">
      <alignment horizontal="left" vertical="top"/>
    </xf>
    <xf applyAlignment="true" applyBorder="true" applyFill="false" applyFont="false" applyNumberFormat="true" borderId="522" fillId="0" fontId="1" numFmtId="1000" quotePrefix="false">
      <alignment horizontal="left" vertical="top"/>
    </xf>
    <xf applyAlignment="true" applyBorder="true" applyFill="false" applyFont="false" applyNumberFormat="true" borderId="523" fillId="0" fontId="1" numFmtId="1000" quotePrefix="false">
      <alignment horizontal="left" vertical="top"/>
    </xf>
    <xf applyAlignment="true" applyBorder="true" applyFill="false" applyFont="false" applyNumberFormat="true" borderId="524" fillId="0" fontId="1" numFmtId="1000" quotePrefix="false">
      <alignment horizontal="left" vertical="top"/>
    </xf>
    <xf applyAlignment="true" applyBorder="true" applyFill="false" applyFont="false" applyNumberFormat="true" borderId="525" fillId="0" fontId="1" numFmtId="1000" quotePrefix="false">
      <alignment horizontal="left" vertical="top"/>
    </xf>
    <xf applyAlignment="true" applyBorder="true" applyFill="false" applyFont="false" applyNumberFormat="true" borderId="526" fillId="0" fontId="1" numFmtId="1000" quotePrefix="false">
      <alignment horizontal="left" vertical="top"/>
    </xf>
    <xf applyAlignment="true" applyBorder="true" applyFill="false" applyFont="true" applyNumberFormat="true" borderId="527" fillId="0" fontId="2" numFmtId="1000" quotePrefix="false">
      <alignment horizontal="center"/>
    </xf>
    <xf applyAlignment="true" applyBorder="true" applyFill="false" applyFont="true" applyNumberFormat="true" borderId="528" fillId="0" fontId="2" numFmtId="1000" quotePrefix="false">
      <alignment horizontal="center"/>
    </xf>
    <xf applyAlignment="true" applyBorder="true" applyFill="false" applyFont="true" applyNumberFormat="true" borderId="529" fillId="0" fontId="2" numFmtId="1000" quotePrefix="false">
      <alignment horizontal="center"/>
    </xf>
    <xf applyAlignment="true" applyBorder="true" applyFill="false" applyFont="false" applyNumberFormat="true" borderId="530" fillId="0" fontId="1" numFmtId="1000" quotePrefix="false">
      <alignment horizontal="center" vertical="top"/>
    </xf>
    <xf applyAlignment="true" applyBorder="true" applyFill="false" applyFont="false" applyNumberFormat="true" borderId="531" fillId="0" fontId="1" numFmtId="1000" quotePrefix="false">
      <alignment horizontal="center" vertical="top"/>
    </xf>
    <xf applyAlignment="true" applyBorder="true" applyFill="false" applyFont="false" applyNumberFormat="true" borderId="532" fillId="0" fontId="1" numFmtId="1000" quotePrefix="false">
      <alignment horizontal="center" vertical="top"/>
    </xf>
    <xf applyAlignment="true" applyBorder="true" applyFill="false" applyFont="false" applyNumberFormat="true" borderId="533" fillId="0" fontId="1" numFmtId="1000" quotePrefix="false">
      <alignment horizontal="center" vertical="top"/>
    </xf>
    <xf applyAlignment="true" applyBorder="true" applyFill="false" applyFont="false" applyNumberFormat="true" borderId="534" fillId="0" fontId="1" numFmtId="1000" quotePrefix="false">
      <alignment horizontal="center" vertical="top"/>
    </xf>
    <xf applyAlignment="true" applyBorder="true" applyFill="false" applyFont="false" applyNumberFormat="true" borderId="535" fillId="0" fontId="1" numFmtId="1000" quotePrefix="false">
      <alignment horizontal="center" vertical="top"/>
    </xf>
    <xf applyAlignment="true" applyBorder="true" applyFill="false" applyFont="false" applyNumberFormat="true" borderId="536" fillId="0" fontId="1" numFmtId="1000" quotePrefix="false">
      <alignment horizontal="center" vertical="top"/>
    </xf>
    <xf applyAlignment="true" applyBorder="true" applyFill="false" applyFont="false" applyNumberFormat="true" borderId="537" fillId="0" fontId="1" numFmtId="1000" quotePrefix="false">
      <alignment horizontal="center" vertical="top"/>
    </xf>
    <xf applyAlignment="true" applyBorder="true" applyFill="false" applyFont="false" applyNumberFormat="true" borderId="538" fillId="0" fontId="1" numFmtId="1000" quotePrefix="false">
      <alignment horizontal="center" vertical="top"/>
    </xf>
    <xf applyAlignment="true" applyBorder="true" applyFill="false" applyFont="false" applyNumberFormat="true" borderId="539" fillId="0" fontId="1" numFmtId="1000" quotePrefix="false">
      <alignment horizontal="center" vertical="top"/>
    </xf>
    <xf applyAlignment="true" applyBorder="true" applyFill="false" applyFont="false" applyNumberFormat="true" borderId="540" fillId="0" fontId="1" numFmtId="1000" quotePrefix="false">
      <alignment horizontal="center" vertical="top"/>
    </xf>
    <xf applyAlignment="true" applyBorder="true" applyFill="false" applyFont="false" applyNumberFormat="true" borderId="541" fillId="0" fontId="1" numFmtId="1000" quotePrefix="false">
      <alignment horizontal="center" vertical="top"/>
    </xf>
    <xf applyAlignment="true" applyBorder="true" applyFill="false" applyFont="false" applyNumberFormat="true" borderId="542" fillId="0" fontId="1" numFmtId="1000" quotePrefix="false">
      <alignment horizontal="center" vertical="top"/>
    </xf>
    <xf applyAlignment="true" applyBorder="true" applyFill="false" applyFont="false" applyNumberFormat="true" borderId="543" fillId="0" fontId="1" numFmtId="1000" quotePrefix="false">
      <alignment horizontal="center" vertical="top"/>
    </xf>
    <xf applyAlignment="true" applyBorder="true" applyFill="false" applyFont="false" applyNumberFormat="true" borderId="544" fillId="0" fontId="1" numFmtId="1000" quotePrefix="false">
      <alignment horizontal="center" vertical="top"/>
    </xf>
    <xf applyAlignment="true" applyBorder="true" applyFill="false" applyFont="false" applyNumberFormat="true" borderId="545" fillId="0" fontId="1" numFmtId="1000" quotePrefix="false">
      <alignment horizontal="center" vertical="top"/>
    </xf>
    <xf applyAlignment="true" applyBorder="true" applyFill="false" applyFont="false" applyNumberFormat="true" borderId="546" fillId="0" fontId="1" numFmtId="1000" quotePrefix="false">
      <alignment horizontal="center" vertical="top"/>
    </xf>
    <xf applyAlignment="true" applyBorder="true" applyFill="true" applyFont="false" applyNumberFormat="true" borderId="85" fillId="10" fontId="1" numFmtId="1000" quotePrefix="false">
      <alignment horizontal="center" vertical="top" wrapText="true"/>
    </xf>
    <xf applyAlignment="true" applyBorder="true" applyFill="false" applyFont="false" applyNumberFormat="true" borderId="547" fillId="0" fontId="1" numFmtId="1000" quotePrefix="false">
      <alignment horizontal="center" vertical="top"/>
    </xf>
    <xf applyAlignment="true" applyBorder="true" applyFill="false" applyFont="false" applyNumberFormat="true" borderId="548" fillId="0" fontId="1" numFmtId="1000" quotePrefix="false">
      <alignment horizontal="center" vertical="top"/>
    </xf>
    <xf applyAlignment="true" applyBorder="true" applyFill="true" applyFont="false" applyNumberFormat="true" borderId="549" fillId="10" fontId="1" numFmtId="1000" quotePrefix="false">
      <alignment horizontal="center" vertical="top" wrapText="true"/>
    </xf>
    <xf applyAlignment="true" applyBorder="true" applyFill="true" applyFont="false" applyNumberFormat="true" borderId="550" fillId="10" fontId="1" numFmtId="1000" quotePrefix="false">
      <alignment horizontal="center" vertical="top" wrapText="true"/>
    </xf>
    <xf applyAlignment="true" applyBorder="true" applyFill="false" applyFont="false" applyNumberFormat="true" borderId="551" fillId="0" fontId="1" numFmtId="1000" quotePrefix="false">
      <alignment horizontal="center" vertical="top"/>
    </xf>
    <xf applyAlignment="true" applyBorder="true" applyFill="false" applyFont="false" applyNumberFormat="true" borderId="552" fillId="0" fontId="1" numFmtId="1000" quotePrefix="false">
      <alignment horizontal="center" vertical="top"/>
    </xf>
    <xf applyAlignment="true" applyBorder="true" applyFill="true" applyFont="false" applyNumberFormat="true" borderId="553" fillId="10" fontId="1" numFmtId="1000" quotePrefix="false">
      <alignment horizontal="center" vertical="top" wrapText="true"/>
    </xf>
    <xf applyAlignment="true" applyBorder="true" applyFill="true" applyFont="false" applyNumberFormat="true" borderId="85" fillId="3" fontId="1" numFmtId="1000" quotePrefix="false">
      <alignment vertical="top" wrapText="true"/>
    </xf>
    <xf applyAlignment="true" applyBorder="true" applyFill="false" applyFont="false" applyNumberFormat="true" borderId="554" fillId="0" fontId="1" numFmtId="1000" quotePrefix="false">
      <alignment horizontal="center" vertical="top"/>
    </xf>
    <xf applyAlignment="true" applyBorder="true" applyFill="false" applyFont="false" applyNumberFormat="true" borderId="555" fillId="0" fontId="1" numFmtId="1000" quotePrefix="false">
      <alignment horizontal="center" vertical="top"/>
    </xf>
    <xf applyAlignment="true" applyBorder="true" applyFill="false" applyFont="false" applyNumberFormat="true" borderId="556" fillId="0" fontId="1" numFmtId="1000" quotePrefix="false">
      <alignment horizontal="center" vertical="top"/>
    </xf>
    <xf applyAlignment="true" applyBorder="true" applyFill="false" applyFont="false" applyNumberFormat="true" borderId="557" fillId="0" fontId="1" numFmtId="1000" quotePrefix="false">
      <alignment horizontal="center" vertical="top"/>
    </xf>
    <xf applyAlignment="true" applyBorder="true" applyFill="true" applyFont="false" applyNumberFormat="true" borderId="558" fillId="10" fontId="1" numFmtId="1000" quotePrefix="false">
      <alignment horizontal="center" vertical="top" wrapText="true"/>
    </xf>
    <xf applyAlignment="true" applyBorder="true" applyFill="false" applyFont="false" applyNumberFormat="true" borderId="559" fillId="0" fontId="1" numFmtId="1000" quotePrefix="false">
      <alignment horizontal="center" vertical="top"/>
    </xf>
    <xf applyAlignment="true" applyBorder="true" applyFill="false" applyFont="false" applyNumberFormat="true" borderId="560" fillId="0" fontId="1" numFmtId="1000" quotePrefix="false">
      <alignment horizontal="center" vertical="top"/>
    </xf>
    <xf applyAlignment="true" applyBorder="true" applyFill="true" applyFont="false" applyNumberFormat="true" borderId="561" fillId="10" fontId="1" numFmtId="1000" quotePrefix="false">
      <alignment horizontal="center" vertical="top" wrapText="true"/>
    </xf>
    <xf applyAlignment="true" applyBorder="true" applyFill="false" applyFont="false" applyNumberFormat="true" borderId="562" fillId="0" fontId="1" numFmtId="1000" quotePrefix="false">
      <alignment horizontal="center" vertical="top"/>
    </xf>
    <xf applyAlignment="true" applyBorder="true" applyFill="false" applyFont="false" applyNumberFormat="true" borderId="563" fillId="0" fontId="1" numFmtId="1000" quotePrefix="false">
      <alignment horizontal="center" vertical="top"/>
    </xf>
    <xf applyAlignment="true" applyBorder="true" applyFill="true" applyFont="false" applyNumberFormat="true" borderId="109" fillId="4" fontId="1" numFmtId="1000" quotePrefix="false">
      <alignment horizontal="center" vertical="top" wrapText="true"/>
    </xf>
    <xf applyAlignment="true" applyBorder="true" applyFill="false" applyFont="false" applyNumberFormat="true" borderId="564" fillId="0" fontId="1" numFmtId="1000" quotePrefix="false">
      <alignment horizontal="center" vertical="top"/>
    </xf>
    <xf applyAlignment="true" applyBorder="true" applyFill="false" applyFont="false" applyNumberFormat="true" borderId="565" fillId="0" fontId="1" numFmtId="1000" quotePrefix="false">
      <alignment horizontal="center" vertical="top"/>
    </xf>
    <xf applyAlignment="true" applyBorder="true" applyFill="true" applyFont="false" applyNumberFormat="true" borderId="566" fillId="4" fontId="1" numFmtId="1000" quotePrefix="false">
      <alignment horizontal="center" vertical="top" wrapText="true"/>
    </xf>
    <xf applyAlignment="true" applyBorder="true" applyFill="false" applyFont="false" applyNumberFormat="true" borderId="567" fillId="0" fontId="1" numFmtId="1000" quotePrefix="false">
      <alignment horizontal="center" vertical="top"/>
    </xf>
    <xf applyAlignment="true" applyBorder="true" applyFill="false" applyFont="false" applyNumberFormat="true" borderId="568" fillId="0" fontId="1" numFmtId="1000" quotePrefix="false">
      <alignment horizontal="center" vertical="top"/>
    </xf>
    <xf applyAlignment="true" applyBorder="true" applyFill="false" applyFont="true" applyNumberFormat="true" borderId="569" fillId="0" fontId="2" numFmtId="1000" quotePrefix="false">
      <alignment horizontal="center" vertical="top"/>
    </xf>
    <xf applyAlignment="true" applyBorder="true" applyFill="false" applyFont="false" applyNumberFormat="true" borderId="570" fillId="0" fontId="1" numFmtId="1000" quotePrefix="false">
      <alignment horizontal="left" vertical="top"/>
    </xf>
    <xf applyAlignment="true" applyBorder="true" applyFill="false" applyFont="false" applyNumberFormat="true" borderId="571" fillId="0" fontId="1" numFmtId="1000" quotePrefix="false">
      <alignment horizontal="left" vertical="top"/>
    </xf>
    <xf applyAlignment="true" applyBorder="true" applyFill="false" applyFont="false" applyNumberFormat="true" borderId="572" fillId="0" fontId="1" numFmtId="1000" quotePrefix="false">
      <alignment horizontal="left" vertical="top"/>
    </xf>
    <xf applyAlignment="true" applyBorder="true" applyFill="false" applyFont="false" applyNumberFormat="true" borderId="573" fillId="0" fontId="1" numFmtId="1000" quotePrefix="false">
      <alignment horizontal="left" vertical="top"/>
    </xf>
    <xf applyAlignment="true" applyBorder="true" applyFill="false" applyFont="false" applyNumberFormat="true" borderId="574" fillId="0" fontId="1" numFmtId="1000" quotePrefix="false">
      <alignment horizontal="left" vertical="top"/>
    </xf>
    <xf applyAlignment="true" applyBorder="true" applyFill="false" applyFont="false" applyNumberFormat="true" borderId="575" fillId="0" fontId="1" numFmtId="1000" quotePrefix="false">
      <alignment horizontal="left" vertical="top"/>
    </xf>
    <xf applyAlignment="true" applyBorder="true" applyFill="false" applyFont="false" applyNumberFormat="true" borderId="576" fillId="0" fontId="1" numFmtId="1000" quotePrefix="false">
      <alignment horizontal="left" vertical="top"/>
    </xf>
    <xf applyAlignment="true" applyBorder="true" applyFill="false" applyFont="false" applyNumberFormat="true" borderId="577" fillId="0" fontId="1" numFmtId="1000" quotePrefix="false">
      <alignment horizontal="left" vertical="top"/>
    </xf>
    <xf applyAlignment="true" applyBorder="true" applyFill="false" applyFont="false" applyNumberFormat="true" borderId="578" fillId="0" fontId="1" numFmtId="1000" quotePrefix="false">
      <alignment horizontal="left" vertical="top"/>
    </xf>
    <xf applyAlignment="true" applyBorder="true" applyFill="false" applyFont="false" applyNumberFormat="true" borderId="579" fillId="0" fontId="1" numFmtId="1000" quotePrefix="false">
      <alignment horizontal="left" vertical="top"/>
    </xf>
    <xf applyAlignment="true" applyBorder="true" applyFill="false" applyFont="false" applyNumberFormat="true" borderId="580" fillId="0" fontId="1" numFmtId="1000" quotePrefix="false">
      <alignment horizontal="left" vertical="top"/>
    </xf>
    <xf applyAlignment="true" applyBorder="true" applyFill="false" applyFont="false" applyNumberFormat="true" borderId="581" fillId="0" fontId="1" numFmtId="1000" quotePrefix="false">
      <alignment horizontal="left" vertical="top"/>
    </xf>
    <xf applyAlignment="true" applyBorder="true" applyFill="false" applyFont="false" applyNumberFormat="true" borderId="582" fillId="0" fontId="1" numFmtId="1000" quotePrefix="false">
      <alignment horizontal="left" vertical="top"/>
    </xf>
    <xf applyAlignment="true" applyBorder="true" applyFill="false" applyFont="false" applyNumberFormat="true" borderId="583" fillId="0" fontId="1" numFmtId="1000" quotePrefix="false">
      <alignment horizontal="left" vertical="top"/>
    </xf>
    <xf applyAlignment="true" applyBorder="true" applyFill="false" applyFont="false" applyNumberFormat="true" borderId="584" fillId="0" fontId="1" numFmtId="1000" quotePrefix="false">
      <alignment horizontal="left" vertical="top"/>
    </xf>
    <xf applyAlignment="true" applyBorder="true" applyFill="false" applyFont="false" applyNumberFormat="true" borderId="585" fillId="0" fontId="1" numFmtId="1000" quotePrefix="false">
      <alignment horizontal="left" vertical="top"/>
    </xf>
    <xf applyAlignment="true" applyBorder="true" applyFill="false" applyFont="false" applyNumberFormat="true" borderId="586" fillId="0" fontId="1" numFmtId="1000" quotePrefix="false">
      <alignment horizontal="left" vertical="top"/>
    </xf>
    <xf applyAlignment="true" applyBorder="true" applyFill="false" applyFont="false" applyNumberFormat="true" borderId="587" fillId="0" fontId="1" numFmtId="1000" quotePrefix="false">
      <alignment horizontal="left" vertical="top"/>
    </xf>
    <xf applyAlignment="true" applyBorder="true" applyFill="false" applyFont="false" applyNumberFormat="true" borderId="588" fillId="0" fontId="1" numFmtId="1000" quotePrefix="false">
      <alignment horizontal="left" vertical="top"/>
    </xf>
    <xf applyAlignment="true" applyBorder="true" applyFill="false" applyFont="true" applyNumberFormat="true" borderId="589" fillId="0" fontId="2" numFmtId="1000" quotePrefix="false">
      <alignment horizontal="center"/>
    </xf>
    <xf applyAlignment="true" applyBorder="true" applyFill="false" applyFont="true" applyNumberFormat="true" borderId="590" fillId="0" fontId="2" numFmtId="1000" quotePrefix="false">
      <alignment horizontal="center"/>
    </xf>
    <xf applyAlignment="true" applyBorder="true" applyFill="false" applyFont="true" applyNumberFormat="true" borderId="591" fillId="0" fontId="2" numFmtId="1000" quotePrefix="false">
      <alignment horizontal="center"/>
    </xf>
    <xf applyAlignment="true" applyBorder="true" applyFill="false" applyFont="false" applyNumberFormat="true" borderId="592" fillId="0" fontId="1" numFmtId="1000" quotePrefix="false">
      <alignment horizontal="center" vertical="top"/>
    </xf>
    <xf applyAlignment="true" applyBorder="true" applyFill="false" applyFont="false" applyNumberFormat="true" borderId="593" fillId="0" fontId="1" numFmtId="1000" quotePrefix="false">
      <alignment horizontal="center" vertical="top"/>
    </xf>
    <xf applyAlignment="true" applyBorder="true" applyFill="false" applyFont="false" applyNumberFormat="true" borderId="594" fillId="0" fontId="1" numFmtId="1000" quotePrefix="false">
      <alignment horizontal="center" vertical="top"/>
    </xf>
    <xf applyAlignment="true" applyBorder="true" applyFill="false" applyFont="false" applyNumberFormat="true" borderId="595" fillId="0" fontId="1" numFmtId="1000" quotePrefix="false">
      <alignment horizontal="center" vertical="top"/>
    </xf>
    <xf applyAlignment="true" applyBorder="true" applyFill="false" applyFont="false" applyNumberFormat="true" borderId="596" fillId="0" fontId="1" numFmtId="1000" quotePrefix="false">
      <alignment horizontal="center" vertical="top"/>
    </xf>
    <xf applyAlignment="true" applyBorder="true" applyFill="false" applyFont="false" applyNumberFormat="true" borderId="597" fillId="0" fontId="1" numFmtId="1000" quotePrefix="false">
      <alignment horizontal="center" vertical="top"/>
    </xf>
    <xf applyAlignment="true" applyBorder="true" applyFill="false" applyFont="false" applyNumberFormat="true" borderId="598" fillId="0" fontId="1" numFmtId="1000" quotePrefix="false">
      <alignment horizontal="center" vertical="top"/>
    </xf>
    <xf applyAlignment="true" applyBorder="true" applyFill="false" applyFont="false" applyNumberFormat="true" borderId="599" fillId="0" fontId="1" numFmtId="1000" quotePrefix="false">
      <alignment horizontal="center" vertical="top"/>
    </xf>
    <xf applyAlignment="true" applyBorder="true" applyFill="false" applyFont="false" applyNumberFormat="true" borderId="600" fillId="0" fontId="1" numFmtId="1000" quotePrefix="false">
      <alignment horizontal="center" vertical="top"/>
    </xf>
    <xf applyAlignment="true" applyBorder="true" applyFill="false" applyFont="false" applyNumberFormat="true" borderId="601" fillId="0" fontId="1" numFmtId="1000" quotePrefix="false">
      <alignment horizontal="center" vertical="top"/>
    </xf>
    <xf applyAlignment="true" applyBorder="true" applyFill="false" applyFont="false" applyNumberFormat="true" borderId="602" fillId="0" fontId="1" numFmtId="1000" quotePrefix="false">
      <alignment horizontal="center" vertical="top"/>
    </xf>
    <xf applyAlignment="true" applyBorder="true" applyFill="false" applyFont="false" applyNumberFormat="true" borderId="603" fillId="0" fontId="1" numFmtId="1000" quotePrefix="false">
      <alignment horizontal="center" vertical="top"/>
    </xf>
    <xf applyAlignment="true" applyBorder="true" applyFill="false" applyFont="false" applyNumberFormat="true" borderId="604" fillId="0" fontId="1" numFmtId="1000" quotePrefix="false">
      <alignment horizontal="center" vertical="top"/>
    </xf>
    <xf applyAlignment="true" applyBorder="true" applyFill="false" applyFont="false" applyNumberFormat="true" borderId="605" fillId="0" fontId="1" numFmtId="1000" quotePrefix="false">
      <alignment horizontal="center" vertical="top"/>
    </xf>
    <xf applyAlignment="true" applyBorder="true" applyFill="false" applyFont="false" applyNumberFormat="true" borderId="606" fillId="0" fontId="1" numFmtId="1000" quotePrefix="false">
      <alignment horizontal="center" vertical="top"/>
    </xf>
    <xf applyAlignment="true" applyBorder="true" applyFill="false" applyFont="false" applyNumberFormat="true" borderId="607" fillId="0" fontId="1" numFmtId="1000" quotePrefix="false">
      <alignment horizontal="center" vertical="top"/>
    </xf>
    <xf applyAlignment="true" applyBorder="true" applyFill="false" applyFont="false" applyNumberFormat="true" borderId="608" fillId="0" fontId="1" numFmtId="1000" quotePrefix="false">
      <alignment horizontal="center" vertical="top"/>
    </xf>
    <xf applyAlignment="true" applyBorder="true" applyFill="false" applyFont="false" applyNumberFormat="true" borderId="609" fillId="0" fontId="1" numFmtId="1000" quotePrefix="false">
      <alignment horizontal="center" vertical="top"/>
    </xf>
    <xf applyAlignment="true" applyBorder="true" applyFill="false" applyFont="false" applyNumberFormat="true" borderId="610" fillId="0" fontId="1" numFmtId="1000" quotePrefix="false">
      <alignment horizontal="center" vertical="top"/>
    </xf>
    <xf applyAlignment="true" applyBorder="true" applyFill="false" applyFont="false" applyNumberFormat="true" borderId="611" fillId="0" fontId="1" numFmtId="1000" quotePrefix="false">
      <alignment horizontal="center" vertical="top"/>
    </xf>
    <xf applyAlignment="true" applyBorder="true" applyFill="false" applyFont="false" applyNumberFormat="true" borderId="612" fillId="0" fontId="1" numFmtId="1000" quotePrefix="false">
      <alignment horizontal="center" vertical="top"/>
    </xf>
    <xf applyAlignment="true" applyBorder="true" applyFill="false" applyFont="false" applyNumberFormat="true" borderId="613" fillId="0" fontId="1" numFmtId="1000" quotePrefix="false">
      <alignment horizontal="center" vertical="top"/>
    </xf>
    <xf applyAlignment="true" applyBorder="true" applyFill="false" applyFont="false" applyNumberFormat="true" borderId="614" fillId="0" fontId="1" numFmtId="1000" quotePrefix="false">
      <alignment horizontal="center" vertical="top"/>
    </xf>
    <xf applyAlignment="true" applyBorder="true" applyFill="false" applyFont="false" applyNumberFormat="true" borderId="615" fillId="0" fontId="1" numFmtId="1000" quotePrefix="false">
      <alignment horizontal="center" vertical="top"/>
    </xf>
    <xf applyAlignment="true" applyBorder="true" applyFill="false" applyFont="false" applyNumberFormat="true" borderId="616" fillId="0" fontId="1" numFmtId="1000" quotePrefix="false">
      <alignment horizontal="center" vertical="top"/>
    </xf>
    <xf applyAlignment="true" applyBorder="true" applyFill="false" applyFont="false" applyNumberFormat="true" borderId="617" fillId="0" fontId="1" numFmtId="1000" quotePrefix="false">
      <alignment horizontal="center" vertical="top"/>
    </xf>
    <xf applyAlignment="true" applyBorder="true" applyFill="false" applyFont="false" applyNumberFormat="true" borderId="618" fillId="0" fontId="1" numFmtId="1000" quotePrefix="false">
      <alignment horizontal="center" vertical="top"/>
    </xf>
    <xf applyAlignment="true" applyBorder="true" applyFill="false" applyFont="false" applyNumberFormat="true" borderId="619" fillId="0" fontId="1" numFmtId="1000" quotePrefix="false">
      <alignment horizontal="center" vertical="top"/>
    </xf>
    <xf applyAlignment="true" applyBorder="true" applyFill="false" applyFont="false" applyNumberFormat="true" borderId="620" fillId="0" fontId="1" numFmtId="1000" quotePrefix="false">
      <alignment horizontal="center" vertical="top"/>
    </xf>
    <xf applyAlignment="true" applyBorder="true" applyFill="false" applyFont="false" applyNumberFormat="true" borderId="621" fillId="0" fontId="1" numFmtId="1000" quotePrefix="false">
      <alignment horizontal="center" vertical="top"/>
    </xf>
    <xf applyAlignment="true" applyBorder="true" applyFill="false" applyFont="false" applyNumberFormat="true" borderId="622" fillId="0" fontId="1" numFmtId="1000" quotePrefix="false">
      <alignment horizontal="center" vertical="top"/>
    </xf>
    <xf applyAlignment="true" applyBorder="true" applyFill="false" applyFont="false" applyNumberFormat="true" borderId="623" fillId="0" fontId="1" numFmtId="1000" quotePrefix="false">
      <alignment horizontal="center" vertical="top"/>
    </xf>
    <xf applyAlignment="true" applyBorder="true" applyFill="false" applyFont="false" applyNumberFormat="true" borderId="624" fillId="0" fontId="1" numFmtId="1000" quotePrefix="false">
      <alignment horizontal="center" vertical="top"/>
    </xf>
    <xf applyAlignment="true" applyBorder="true" applyFill="false" applyFont="true" applyNumberFormat="true" borderId="625" fillId="0" fontId="2" numFmtId="1000" quotePrefix="false">
      <alignment horizontal="center" vertical="top"/>
    </xf>
    <xf applyAlignment="true" applyBorder="true" applyFill="false" applyFont="true" applyNumberFormat="true" borderId="626" fillId="0" fontId="2" numFmtId="1000" quotePrefix="false">
      <alignment horizontal="center"/>
    </xf>
    <xf applyAlignment="true" applyBorder="true" applyFill="false" applyFont="true" applyNumberFormat="true" borderId="627" fillId="0" fontId="2" numFmtId="1000" quotePrefix="false">
      <alignment horizontal="center"/>
    </xf>
    <xf applyAlignment="true" applyBorder="true" applyFill="false" applyFont="true" applyNumberFormat="true" borderId="628" fillId="0" fontId="2" numFmtId="1000" quotePrefix="false">
      <alignment horizontal="center"/>
    </xf>
    <xf applyAlignment="true" applyBorder="true" applyFill="false" applyFont="false" applyNumberFormat="true" borderId="629" fillId="0" fontId="1" numFmtId="1000" quotePrefix="false">
      <alignment horizontal="center" vertical="top"/>
    </xf>
    <xf applyAlignment="true" applyBorder="true" applyFill="false" applyFont="false" applyNumberFormat="true" borderId="630" fillId="0" fontId="1" numFmtId="1000" quotePrefix="false">
      <alignment horizontal="center" vertical="top"/>
    </xf>
    <xf applyAlignment="true" applyBorder="true" applyFill="false" applyFont="false" applyNumberFormat="true" borderId="631" fillId="0" fontId="1" numFmtId="1000" quotePrefix="false">
      <alignment horizontal="center" vertical="top"/>
    </xf>
    <xf applyAlignment="true" applyBorder="true" applyFill="false" applyFont="false" applyNumberFormat="true" borderId="632" fillId="0" fontId="1" numFmtId="1000" quotePrefix="false">
      <alignment horizontal="center" vertical="top"/>
    </xf>
    <xf applyAlignment="true" applyBorder="true" applyFill="false" applyFont="false" applyNumberFormat="true" borderId="633" fillId="0" fontId="1" numFmtId="1000" quotePrefix="false">
      <alignment horizontal="center" vertical="top"/>
    </xf>
    <xf applyAlignment="true" applyBorder="true" applyFill="false" applyFont="false" applyNumberFormat="true" borderId="634" fillId="0" fontId="1" numFmtId="1000" quotePrefix="false">
      <alignment horizontal="center" vertical="top"/>
    </xf>
    <xf applyAlignment="true" applyBorder="true" applyFill="false" applyFont="false" applyNumberFormat="true" borderId="635" fillId="0" fontId="1" numFmtId="1000" quotePrefix="false">
      <alignment horizontal="center" vertical="top"/>
    </xf>
    <xf applyAlignment="true" applyBorder="true" applyFill="false" applyFont="false" applyNumberFormat="true" borderId="636" fillId="0" fontId="1" numFmtId="1000" quotePrefix="false">
      <alignment horizontal="center" vertical="top"/>
    </xf>
    <xf applyAlignment="true" applyBorder="true" applyFill="false" applyFont="false" applyNumberFormat="true" borderId="637" fillId="0" fontId="1" numFmtId="1000" quotePrefix="false">
      <alignment horizontal="center" vertical="top"/>
    </xf>
    <xf applyAlignment="true" applyBorder="true" applyFill="false" applyFont="true" applyNumberFormat="true" borderId="20" fillId="0" fontId="9" numFmtId="1000" quotePrefix="false">
      <alignment vertical="top"/>
    </xf>
    <xf applyAlignment="true" applyBorder="true" applyFill="false" applyFont="false" applyNumberFormat="true" borderId="638" fillId="0" fontId="1" numFmtId="1000" quotePrefix="false">
      <alignment horizontal="center" vertical="top"/>
    </xf>
    <xf applyAlignment="true" applyBorder="true" applyFill="false" applyFont="false" applyNumberFormat="true" borderId="639" fillId="0" fontId="1" numFmtId="1000" quotePrefix="false">
      <alignment horizontal="center" vertical="top"/>
    </xf>
    <xf applyAlignment="true" applyBorder="true" applyFill="false" applyFont="false" applyNumberFormat="true" borderId="640" fillId="0" fontId="1" numFmtId="1000" quotePrefix="false">
      <alignment horizontal="center" vertical="top"/>
    </xf>
    <xf applyAlignment="true" applyBorder="true" applyFill="false" applyFont="false" applyNumberFormat="true" borderId="641" fillId="0" fontId="1" numFmtId="1000" quotePrefix="false">
      <alignment horizontal="center" vertical="top"/>
    </xf>
    <xf applyAlignment="true" applyBorder="true" applyFill="false" applyFont="false" applyNumberFormat="true" borderId="642" fillId="0" fontId="1" numFmtId="1000" quotePrefix="false">
      <alignment horizontal="center" vertical="top"/>
    </xf>
    <xf applyAlignment="true" applyBorder="true" applyFill="false" applyFont="false" applyNumberFormat="true" borderId="643" fillId="0" fontId="1" numFmtId="1000" quotePrefix="false">
      <alignment horizontal="center" vertical="top"/>
    </xf>
    <xf applyAlignment="true" applyBorder="true" applyFill="false" applyFont="false" applyNumberFormat="true" borderId="644" fillId="0" fontId="1" numFmtId="1000" quotePrefix="false">
      <alignment horizontal="center" vertical="top"/>
    </xf>
    <xf applyAlignment="true" applyBorder="true" applyFill="false" applyFont="false" applyNumberFormat="true" borderId="645" fillId="0" fontId="1" numFmtId="1000" quotePrefix="false">
      <alignment horizontal="center" vertical="top"/>
    </xf>
    <xf applyAlignment="true" applyBorder="true" applyFill="false" applyFont="false" applyNumberFormat="true" borderId="646" fillId="0" fontId="1" numFmtId="1000" quotePrefix="false">
      <alignment horizontal="center" vertical="top"/>
    </xf>
    <xf applyAlignment="true" applyBorder="true" applyFill="false" applyFont="false" applyNumberFormat="true" borderId="647" fillId="0" fontId="1" numFmtId="1000" quotePrefix="false">
      <alignment horizontal="center" vertical="top"/>
    </xf>
    <xf applyAlignment="true" applyBorder="true" applyFill="false" applyFont="false" applyNumberFormat="true" borderId="648" fillId="0" fontId="1" numFmtId="1000" quotePrefix="false">
      <alignment horizontal="center" vertical="top"/>
    </xf>
    <xf applyAlignment="true" applyBorder="true" applyFill="false" applyFont="false" applyNumberFormat="true" borderId="649" fillId="0" fontId="1" numFmtId="1000" quotePrefix="false">
      <alignment horizontal="center" vertical="top"/>
    </xf>
    <xf applyAlignment="true" applyBorder="true" applyFill="false" applyFont="false" applyNumberFormat="true" borderId="650" fillId="0" fontId="1" numFmtId="1000" quotePrefix="false">
      <alignment horizontal="center" vertical="top"/>
    </xf>
    <xf applyAlignment="true" applyBorder="true" applyFill="false" applyFont="false" applyNumberFormat="true" borderId="651" fillId="0" fontId="1" numFmtId="1000" quotePrefix="false">
      <alignment horizontal="center" vertical="top"/>
    </xf>
    <xf applyAlignment="true" applyBorder="true" applyFill="false" applyFont="false" applyNumberFormat="true" borderId="652" fillId="0" fontId="1" numFmtId="1000" quotePrefix="false">
      <alignment horizontal="center" vertical="top"/>
    </xf>
    <xf applyAlignment="true" applyBorder="true" applyFill="false" applyFont="false" applyNumberFormat="true" borderId="653" fillId="0" fontId="1" numFmtId="1000" quotePrefix="false">
      <alignment horizontal="center" vertical="top"/>
    </xf>
    <xf applyAlignment="true" applyBorder="true" applyFill="false" applyFont="false" applyNumberFormat="true" borderId="654" fillId="0" fontId="1" numFmtId="1000" quotePrefix="false">
      <alignment horizontal="center" vertical="top"/>
    </xf>
    <xf applyAlignment="true" applyBorder="true" applyFill="false" applyFont="false" applyNumberFormat="true" borderId="655" fillId="0" fontId="1" numFmtId="1000" quotePrefix="false">
      <alignment horizontal="center" vertical="top"/>
    </xf>
    <xf applyAlignment="true" applyBorder="true" applyFill="false" applyFont="false" applyNumberFormat="true" borderId="656" fillId="0" fontId="1" numFmtId="1000" quotePrefix="false">
      <alignment horizontal="center" vertical="top"/>
    </xf>
    <xf applyAlignment="true" applyBorder="true" applyFill="false" applyFont="false" applyNumberFormat="true" borderId="657" fillId="0" fontId="1" numFmtId="1000" quotePrefix="false">
      <alignment horizontal="center" vertical="top"/>
    </xf>
    <xf applyAlignment="true" applyBorder="true" applyFill="false" applyFont="false" applyNumberFormat="true" borderId="658" fillId="0" fontId="1" numFmtId="1000" quotePrefix="false">
      <alignment horizontal="center" vertical="top"/>
    </xf>
    <xf applyAlignment="true" applyBorder="true" applyFill="false" applyFont="true" applyNumberFormat="true" borderId="659" fillId="0" fontId="2" numFmtId="1000" quotePrefix="false">
      <alignment horizontal="center" vertical="top"/>
    </xf>
    <xf applyAlignment="true" applyBorder="true" applyFill="false" applyFont="false" applyNumberFormat="true" borderId="660" fillId="0" fontId="1" numFmtId="1000" quotePrefix="false">
      <alignment horizontal="left" vertical="top"/>
    </xf>
    <xf applyAlignment="true" applyBorder="true" applyFill="false" applyFont="false" applyNumberFormat="true" borderId="661" fillId="0" fontId="1" numFmtId="1000" quotePrefix="false">
      <alignment horizontal="left" vertical="top"/>
    </xf>
    <xf applyAlignment="true" applyBorder="true" applyFill="false" applyFont="false" applyNumberFormat="true" borderId="662" fillId="0" fontId="1" numFmtId="1000" quotePrefix="false">
      <alignment horizontal="left" vertical="top"/>
    </xf>
    <xf applyAlignment="true" applyBorder="true" applyFill="false" applyFont="false" applyNumberFormat="true" borderId="663" fillId="0" fontId="1" numFmtId="1000" quotePrefix="false">
      <alignment horizontal="left" vertical="top"/>
    </xf>
    <xf applyAlignment="true" applyBorder="true" applyFill="false" applyFont="false" applyNumberFormat="true" borderId="664" fillId="0" fontId="1" numFmtId="1000" quotePrefix="false">
      <alignment horizontal="left" vertical="top"/>
    </xf>
    <xf applyAlignment="true" applyBorder="true" applyFill="false" applyFont="false" applyNumberFormat="true" borderId="665" fillId="0" fontId="1" numFmtId="1000" quotePrefix="false">
      <alignment horizontal="left" vertical="top"/>
    </xf>
    <xf applyAlignment="true" applyBorder="true" applyFill="false" applyFont="false" applyNumberFormat="true" borderId="666" fillId="0" fontId="1" numFmtId="1000" quotePrefix="false">
      <alignment horizontal="left" vertical="top"/>
    </xf>
    <xf applyAlignment="true" applyBorder="true" applyFill="false" applyFont="false" applyNumberFormat="true" borderId="667" fillId="0" fontId="1" numFmtId="1000" quotePrefix="false">
      <alignment horizontal="left" vertical="top"/>
    </xf>
    <xf applyAlignment="true" applyBorder="true" applyFill="false" applyFont="false" applyNumberFormat="true" borderId="668" fillId="0" fontId="1" numFmtId="1000" quotePrefix="false">
      <alignment horizontal="left" vertical="top"/>
    </xf>
    <xf applyAlignment="true" applyBorder="true" applyFill="false" applyFont="false" applyNumberFormat="true" borderId="669" fillId="0" fontId="1" numFmtId="1000" quotePrefix="false">
      <alignment horizontal="left" vertical="top"/>
    </xf>
    <xf applyAlignment="true" applyBorder="true" applyFill="false" applyFont="false" applyNumberFormat="true" borderId="670" fillId="0" fontId="1" numFmtId="1000" quotePrefix="false">
      <alignment horizontal="left" vertical="top"/>
    </xf>
    <xf applyAlignment="true" applyBorder="true" applyFill="false" applyFont="false" applyNumberFormat="true" borderId="671" fillId="0" fontId="1" numFmtId="1000" quotePrefix="false">
      <alignment horizontal="left" vertical="top"/>
    </xf>
    <xf applyAlignment="true" applyBorder="true" applyFill="false" applyFont="false" applyNumberFormat="true" borderId="672" fillId="0" fontId="1" numFmtId="1000" quotePrefix="false">
      <alignment horizontal="left" vertical="top"/>
    </xf>
    <xf applyAlignment="true" applyBorder="true" applyFill="false" applyFont="false" applyNumberFormat="true" borderId="673" fillId="0" fontId="1" numFmtId="1000" quotePrefix="false">
      <alignment horizontal="left" vertical="top"/>
    </xf>
    <xf applyAlignment="true" applyBorder="true" applyFill="false" applyFont="false" applyNumberFormat="true" borderId="674" fillId="0" fontId="1" numFmtId="1000" quotePrefix="false">
      <alignment horizontal="left" vertical="top"/>
    </xf>
    <xf applyAlignment="true" applyBorder="true" applyFill="false" applyFont="false" applyNumberFormat="true" borderId="675" fillId="0" fontId="1" numFmtId="1000" quotePrefix="false">
      <alignment horizontal="left" vertical="top"/>
    </xf>
    <xf applyAlignment="true" applyBorder="true" applyFill="false" applyFont="false" applyNumberFormat="true" borderId="676" fillId="0" fontId="1" numFmtId="1000" quotePrefix="false">
      <alignment horizontal="left" vertical="top"/>
    </xf>
    <xf applyAlignment="true" applyBorder="true" applyFill="false" applyFont="false" applyNumberFormat="true" borderId="677" fillId="0" fontId="1" numFmtId="1000" quotePrefix="false">
      <alignment horizontal="left" vertical="top"/>
    </xf>
    <xf applyAlignment="true" applyBorder="true" applyFill="false" applyFont="false" applyNumberFormat="true" borderId="678" fillId="0" fontId="1" numFmtId="1000" quotePrefix="false">
      <alignment horizontal="left" vertical="top"/>
    </xf>
    <xf applyAlignment="true" applyBorder="true" applyFill="false" applyFont="true" applyNumberFormat="true" borderId="679" fillId="0" fontId="2" numFmtId="1000" quotePrefix="false">
      <alignment horizontal="center"/>
    </xf>
    <xf applyAlignment="true" applyBorder="true" applyFill="false" applyFont="true" applyNumberFormat="true" borderId="680" fillId="0" fontId="2" numFmtId="1000" quotePrefix="false">
      <alignment horizontal="center"/>
    </xf>
    <xf applyAlignment="true" applyBorder="true" applyFill="false" applyFont="true" applyNumberFormat="true" borderId="681" fillId="0" fontId="2" numFmtId="1000" quotePrefix="false">
      <alignment horizontal="center"/>
    </xf>
    <xf applyAlignment="true" applyBorder="true" applyFill="false" applyFont="false" applyNumberFormat="true" borderId="682" fillId="0" fontId="1" numFmtId="1000" quotePrefix="false">
      <alignment horizontal="center" vertical="top"/>
    </xf>
    <xf applyAlignment="true" applyBorder="true" applyFill="false" applyFont="false" applyNumberFormat="true" borderId="683" fillId="0" fontId="1" numFmtId="1000" quotePrefix="false">
      <alignment horizontal="center" vertical="top"/>
    </xf>
    <xf applyAlignment="true" applyBorder="true" applyFill="false" applyFont="false" applyNumberFormat="true" borderId="684" fillId="0" fontId="1" numFmtId="1000" quotePrefix="false">
      <alignment horizontal="center" vertical="top"/>
    </xf>
    <xf applyAlignment="true" applyBorder="true" applyFill="false" applyFont="false" applyNumberFormat="true" borderId="685" fillId="0" fontId="1" numFmtId="1000" quotePrefix="false">
      <alignment horizontal="center" vertical="top"/>
    </xf>
    <xf applyAlignment="true" applyBorder="true" applyFill="false" applyFont="false" applyNumberFormat="true" borderId="686" fillId="0" fontId="1" numFmtId="1000" quotePrefix="false">
      <alignment horizontal="center" vertical="top"/>
    </xf>
    <xf applyAlignment="true" applyBorder="true" applyFill="false" applyFont="false" applyNumberFormat="true" borderId="687" fillId="0" fontId="1" numFmtId="1000" quotePrefix="false">
      <alignment horizontal="center" vertical="top"/>
    </xf>
    <xf applyAlignment="true" applyBorder="true" applyFill="false" applyFont="false" applyNumberFormat="true" borderId="688" fillId="0" fontId="1" numFmtId="1000" quotePrefix="false">
      <alignment horizontal="center" vertical="top"/>
    </xf>
    <xf applyAlignment="true" applyBorder="true" applyFill="false" applyFont="false" applyNumberFormat="true" borderId="689" fillId="0" fontId="1" numFmtId="1000" quotePrefix="false">
      <alignment horizontal="center" vertical="top"/>
    </xf>
    <xf applyAlignment="true" applyBorder="true" applyFill="false" applyFont="false" applyNumberFormat="true" borderId="690" fillId="0" fontId="1" numFmtId="1000" quotePrefix="false">
      <alignment horizontal="center" vertical="top"/>
    </xf>
    <xf applyAlignment="true" applyBorder="true" applyFill="false" applyFont="false" applyNumberFormat="true" borderId="691" fillId="0" fontId="1" numFmtId="1000" quotePrefix="false">
      <alignment horizontal="center" vertical="top"/>
    </xf>
    <xf applyAlignment="true" applyBorder="true" applyFill="false" applyFont="false" applyNumberFormat="true" borderId="692" fillId="0" fontId="1" numFmtId="1000" quotePrefix="false">
      <alignment horizontal="center" vertical="top"/>
    </xf>
    <xf applyAlignment="true" applyBorder="true" applyFill="false" applyFont="false" applyNumberFormat="true" borderId="693" fillId="0" fontId="1" numFmtId="1000" quotePrefix="false">
      <alignment horizontal="center" vertical="top"/>
    </xf>
    <xf applyAlignment="true" applyBorder="true" applyFill="false" applyFont="false" applyNumberFormat="true" borderId="694" fillId="0" fontId="1" numFmtId="1000" quotePrefix="false">
      <alignment horizontal="center" vertical="top"/>
    </xf>
    <xf applyAlignment="true" applyBorder="true" applyFill="false" applyFont="false" applyNumberFormat="true" borderId="695" fillId="0" fontId="1" numFmtId="1000" quotePrefix="false">
      <alignment horizontal="center" vertical="top"/>
    </xf>
    <xf applyAlignment="true" applyBorder="true" applyFill="false" applyFont="false" applyNumberFormat="true" borderId="696" fillId="0" fontId="1" numFmtId="1000" quotePrefix="false">
      <alignment horizontal="center" vertical="top"/>
    </xf>
    <xf applyAlignment="true" applyBorder="true" applyFill="false" applyFont="false" applyNumberFormat="true" borderId="697" fillId="0" fontId="1" numFmtId="1000" quotePrefix="false">
      <alignment horizontal="center" vertical="top"/>
    </xf>
    <xf applyAlignment="true" applyBorder="true" applyFill="false" applyFont="false" applyNumberFormat="true" borderId="698" fillId="0" fontId="1" numFmtId="1000" quotePrefix="false">
      <alignment horizontal="center" vertical="top"/>
    </xf>
    <xf applyAlignment="true" applyBorder="true" applyFill="false" applyFont="false" applyNumberFormat="true" borderId="699" fillId="0" fontId="1" numFmtId="1000" quotePrefix="false">
      <alignment horizontal="center" vertical="top"/>
    </xf>
    <xf applyAlignment="true" applyBorder="true" applyFill="false" applyFont="false" applyNumberFormat="true" borderId="700" fillId="0" fontId="1" numFmtId="1000" quotePrefix="false">
      <alignment horizontal="center" vertical="top"/>
    </xf>
    <xf applyAlignment="true" applyBorder="true" applyFill="true" applyFont="false" applyNumberFormat="true" borderId="701" fillId="3" fontId="1" numFmtId="1000" quotePrefix="false">
      <alignment horizontal="center" vertical="top" wrapText="true"/>
    </xf>
    <xf applyAlignment="true" applyBorder="true" applyFill="true" applyFont="false" applyNumberFormat="true" borderId="702" fillId="10" fontId="1" numFmtId="1000" quotePrefix="false">
      <alignment horizontal="center" vertical="top" wrapText="true"/>
    </xf>
    <xf applyAlignment="true" applyBorder="true" applyFill="false" applyFont="false" applyNumberFormat="true" borderId="703" fillId="0" fontId="1" numFmtId="1000" quotePrefix="false">
      <alignment horizontal="center" vertical="top"/>
    </xf>
    <xf applyAlignment="true" applyBorder="true" applyFill="false" applyFont="false" applyNumberFormat="true" borderId="704" fillId="0" fontId="1" numFmtId="1000" quotePrefix="false">
      <alignment horizontal="center" vertical="top"/>
    </xf>
    <xf applyAlignment="true" applyBorder="true" applyFill="true" applyFont="false" applyNumberFormat="true" borderId="705" fillId="3" fontId="1" numFmtId="1000" quotePrefix="false">
      <alignment horizontal="center" vertical="top" wrapText="true"/>
    </xf>
    <xf applyAlignment="true" applyBorder="true" applyFill="false" applyFont="false" applyNumberFormat="true" borderId="706" fillId="0" fontId="1" numFmtId="1000" quotePrefix="false">
      <alignment horizontal="center" vertical="top"/>
    </xf>
    <xf applyAlignment="true" applyBorder="true" applyFill="false" applyFont="false" applyNumberFormat="true" borderId="707" fillId="0" fontId="1" numFmtId="1000" quotePrefix="false">
      <alignment horizontal="center" vertical="top"/>
    </xf>
    <xf applyAlignment="true" applyBorder="true" applyFill="false" applyFont="false" applyNumberFormat="true" borderId="708" fillId="0" fontId="1" numFmtId="1000" quotePrefix="false">
      <alignment horizontal="center" vertical="top"/>
    </xf>
    <xf applyAlignment="true" applyBorder="true" applyFill="false" applyFont="false" applyNumberFormat="true" borderId="709" fillId="0" fontId="1" numFmtId="1000" quotePrefix="false">
      <alignment horizontal="center" vertical="top"/>
    </xf>
    <xf applyAlignment="true" applyBorder="true" applyFill="true" applyFont="false" applyNumberFormat="true" borderId="710" fillId="3" fontId="1" numFmtId="1000" quotePrefix="false">
      <alignment horizontal="center" vertical="top" wrapText="true"/>
    </xf>
    <xf applyAlignment="true" applyBorder="true" applyFill="false" applyFont="false" applyNumberFormat="true" borderId="711" fillId="0" fontId="1" numFmtId="1000" quotePrefix="false">
      <alignment horizontal="center" vertical="top"/>
    </xf>
    <xf applyAlignment="true" applyBorder="true" applyFill="false" applyFont="false" applyNumberFormat="true" borderId="712" fillId="0" fontId="1" numFmtId="1000" quotePrefix="false">
      <alignment horizontal="center" vertical="top"/>
    </xf>
    <xf applyAlignment="true" applyBorder="true" applyFill="true" applyFont="false" applyNumberFormat="true" borderId="713" fillId="3" fontId="1" numFmtId="1000" quotePrefix="false">
      <alignment horizontal="center" vertical="top" wrapText="true"/>
    </xf>
    <xf applyAlignment="true" applyBorder="true" applyFill="false" applyFont="false" applyNumberFormat="true" borderId="714" fillId="0" fontId="1" numFmtId="1000" quotePrefix="false">
      <alignment horizontal="center" vertical="top"/>
    </xf>
    <xf applyAlignment="true" applyBorder="true" applyFill="false" applyFont="false" applyNumberFormat="true" borderId="715" fillId="0" fontId="1" numFmtId="1000" quotePrefix="false">
      <alignment horizontal="center" vertical="top"/>
    </xf>
    <xf applyAlignment="true" applyBorder="true" applyFill="false" applyFont="false" applyNumberFormat="true" borderId="716" fillId="0" fontId="1" numFmtId="1000" quotePrefix="false">
      <alignment horizontal="center" vertical="top"/>
    </xf>
    <xf applyAlignment="true" applyBorder="true" applyFill="false" applyFont="false" applyNumberFormat="true" borderId="717" fillId="0" fontId="1" numFmtId="1000" quotePrefix="false">
      <alignment horizontal="center" vertical="top"/>
    </xf>
    <xf applyAlignment="true" applyBorder="true" applyFill="false" applyFont="false" applyNumberFormat="true" borderId="718" fillId="0" fontId="1" numFmtId="1000" quotePrefix="false">
      <alignment horizontal="center" vertical="top"/>
    </xf>
    <xf applyAlignment="true" applyBorder="true" applyFill="false" applyFont="false" applyNumberFormat="true" borderId="719" fillId="0" fontId="1" numFmtId="1000" quotePrefix="false">
      <alignment horizontal="center" vertical="top"/>
    </xf>
    <xf applyAlignment="true" applyBorder="true" applyFill="false" applyFont="false" applyNumberFormat="true" borderId="720" fillId="0" fontId="1" numFmtId="1000" quotePrefix="false">
      <alignment horizontal="center"/>
    </xf>
    <xf applyAlignment="true" applyBorder="true" applyFill="true" applyFont="false" applyNumberFormat="true" borderId="721" fillId="8" fontId="1" numFmtId="1000" quotePrefix="false">
      <alignment horizontal="center"/>
    </xf>
    <xf applyAlignment="true" applyBorder="true" applyFill="true" applyFont="false" applyNumberFormat="true" borderId="722" fillId="8" fontId="1" numFmtId="1000" quotePrefix="false">
      <alignment horizontal="center"/>
    </xf>
    <xf applyAlignment="true" applyBorder="true" applyFill="false" applyFont="true" applyNumberFormat="true" borderId="723" fillId="0" fontId="2" numFmtId="1000" quotePrefix="false">
      <alignment horizontal="center" vertical="top"/>
    </xf>
    <xf applyAlignment="true" applyBorder="true" applyFill="false" applyFont="false" applyNumberFormat="true" borderId="724" fillId="0" fontId="1" numFmtId="1000" quotePrefix="false">
      <alignment horizontal="left" vertical="top"/>
    </xf>
    <xf applyAlignment="true" applyBorder="true" applyFill="false" applyFont="false" applyNumberFormat="true" borderId="725" fillId="0" fontId="1" numFmtId="1000" quotePrefix="false">
      <alignment horizontal="left" vertical="top"/>
    </xf>
    <xf applyAlignment="true" applyBorder="true" applyFill="false" applyFont="false" applyNumberFormat="true" borderId="726" fillId="0" fontId="1" numFmtId="1000" quotePrefix="false">
      <alignment horizontal="left" vertical="top"/>
    </xf>
    <xf applyAlignment="true" applyBorder="true" applyFill="false" applyFont="false" applyNumberFormat="true" borderId="727" fillId="0" fontId="1" numFmtId="1000" quotePrefix="false">
      <alignment horizontal="left" vertical="top"/>
    </xf>
    <xf applyAlignment="true" applyBorder="true" applyFill="false" applyFont="false" applyNumberFormat="true" borderId="728" fillId="0" fontId="1" numFmtId="1000" quotePrefix="false">
      <alignment horizontal="left" vertical="top"/>
    </xf>
    <xf applyAlignment="true" applyBorder="true" applyFill="false" applyFont="false" applyNumberFormat="true" borderId="729" fillId="0" fontId="1" numFmtId="1000" quotePrefix="false">
      <alignment horizontal="left" vertical="top"/>
    </xf>
    <xf applyAlignment="true" applyBorder="true" applyFill="false" applyFont="false" applyNumberFormat="true" borderId="730" fillId="0" fontId="1" numFmtId="1000" quotePrefix="false">
      <alignment horizontal="left" vertical="top"/>
    </xf>
    <xf applyAlignment="true" applyBorder="true" applyFill="false" applyFont="false" applyNumberFormat="true" borderId="731" fillId="0" fontId="1" numFmtId="1000" quotePrefix="false">
      <alignment horizontal="left" vertical="top"/>
    </xf>
    <xf applyAlignment="true" applyBorder="true" applyFill="false" applyFont="false" applyNumberFormat="true" borderId="732" fillId="0" fontId="1" numFmtId="1000" quotePrefix="false">
      <alignment horizontal="left" vertical="top"/>
    </xf>
    <xf applyAlignment="true" applyBorder="true" applyFill="false" applyFont="false" applyNumberFormat="true" borderId="733" fillId="0" fontId="1" numFmtId="1000" quotePrefix="false">
      <alignment horizontal="left" vertical="top"/>
    </xf>
    <xf applyAlignment="true" applyBorder="true" applyFill="false" applyFont="false" applyNumberFormat="true" borderId="734" fillId="0" fontId="1" numFmtId="1000" quotePrefix="false">
      <alignment horizontal="left" vertical="top"/>
    </xf>
    <xf applyAlignment="true" applyBorder="true" applyFill="false" applyFont="false" applyNumberFormat="true" borderId="735" fillId="0" fontId="1" numFmtId="1000" quotePrefix="false">
      <alignment horizontal="left" vertical="top"/>
    </xf>
    <xf applyAlignment="true" applyBorder="true" applyFill="false" applyFont="false" applyNumberFormat="true" borderId="736" fillId="0" fontId="1" numFmtId="1000" quotePrefix="false">
      <alignment horizontal="left" vertical="top"/>
    </xf>
    <xf applyAlignment="true" applyBorder="true" applyFill="false" applyFont="false" applyNumberFormat="true" borderId="737" fillId="0" fontId="1" numFmtId="1000" quotePrefix="false">
      <alignment horizontal="left" vertical="top"/>
    </xf>
    <xf applyAlignment="true" applyBorder="true" applyFill="false" applyFont="false" applyNumberFormat="true" borderId="738" fillId="0" fontId="1" numFmtId="1000" quotePrefix="false">
      <alignment horizontal="left" vertical="top"/>
    </xf>
    <xf applyAlignment="true" applyBorder="true" applyFill="false" applyFont="false" applyNumberFormat="true" borderId="739" fillId="0" fontId="1" numFmtId="1000" quotePrefix="false">
      <alignment horizontal="left" vertical="top"/>
    </xf>
    <xf applyAlignment="true" applyBorder="true" applyFill="false" applyFont="false" applyNumberFormat="true" borderId="740" fillId="0" fontId="1" numFmtId="1000" quotePrefix="false">
      <alignment horizontal="left" vertical="top"/>
    </xf>
    <xf applyAlignment="true" applyBorder="true" applyFill="false" applyFont="false" applyNumberFormat="true" borderId="741" fillId="0" fontId="1" numFmtId="1000" quotePrefix="false">
      <alignment horizontal="left" vertical="top"/>
    </xf>
    <xf applyAlignment="true" applyBorder="true" applyFill="false" applyFont="false" applyNumberFormat="true" borderId="742" fillId="0" fontId="1" numFmtId="1000" quotePrefix="false">
      <alignment horizontal="left" vertical="top"/>
    </xf>
    <xf applyAlignment="true" applyBorder="true" applyFill="false" applyFont="true" applyNumberFormat="true" borderId="743" fillId="0" fontId="2" numFmtId="1000" quotePrefix="false">
      <alignment horizontal="center"/>
    </xf>
    <xf applyAlignment="true" applyBorder="true" applyFill="false" applyFont="true" applyNumberFormat="true" borderId="744" fillId="0" fontId="2" numFmtId="1000" quotePrefix="false">
      <alignment horizontal="center"/>
    </xf>
    <xf applyAlignment="true" applyBorder="true" applyFill="false" applyFont="true" applyNumberFormat="true" borderId="745" fillId="0" fontId="2" numFmtId="1000" quotePrefix="false">
      <alignment horizontal="center"/>
    </xf>
    <xf applyAlignment="true" applyBorder="true" applyFill="false" applyFont="false" applyNumberFormat="true" borderId="746" fillId="0" fontId="1" numFmtId="1000" quotePrefix="false">
      <alignment horizontal="center" vertical="top"/>
    </xf>
    <xf applyAlignment="true" applyBorder="true" applyFill="false" applyFont="false" applyNumberFormat="true" borderId="747" fillId="0" fontId="1" numFmtId="1000" quotePrefix="false">
      <alignment horizontal="center" vertical="top"/>
    </xf>
    <xf applyAlignment="true" applyBorder="true" applyFill="false" applyFont="false" applyNumberFormat="true" borderId="748" fillId="0" fontId="1" numFmtId="1000" quotePrefix="false">
      <alignment horizontal="center" vertical="top"/>
    </xf>
    <xf applyAlignment="true" applyBorder="true" applyFill="false" applyFont="false" applyNumberFormat="true" borderId="749" fillId="0" fontId="1" numFmtId="1000" quotePrefix="false">
      <alignment horizontal="center" vertical="top"/>
    </xf>
    <xf applyAlignment="true" applyBorder="true" applyFill="false" applyFont="false" applyNumberFormat="true" borderId="750" fillId="0" fontId="1" numFmtId="1000" quotePrefix="false">
      <alignment horizontal="center" vertical="top"/>
    </xf>
    <xf applyAlignment="true" applyBorder="true" applyFill="false" applyFont="false" applyNumberFormat="true" borderId="751" fillId="0" fontId="1" numFmtId="1000" quotePrefix="false">
      <alignment horizontal="center" vertical="top"/>
    </xf>
    <xf applyAlignment="true" applyBorder="true" applyFill="false" applyFont="false" applyNumberFormat="true" borderId="752" fillId="0" fontId="1" numFmtId="1000" quotePrefix="false">
      <alignment horizontal="center" vertical="top"/>
    </xf>
    <xf applyAlignment="true" applyBorder="true" applyFill="false" applyFont="false" applyNumberFormat="true" borderId="753" fillId="0" fontId="1" numFmtId="1000" quotePrefix="false">
      <alignment horizontal="center" vertical="top"/>
    </xf>
    <xf applyAlignment="true" applyBorder="true" applyFill="false" applyFont="false" applyNumberFormat="true" borderId="754" fillId="0" fontId="1" numFmtId="1000" quotePrefix="false">
      <alignment horizontal="center" vertical="top"/>
    </xf>
    <xf applyAlignment="true" applyBorder="true" applyFill="false" applyFont="false" applyNumberFormat="true" borderId="755" fillId="0" fontId="1" numFmtId="1000" quotePrefix="false">
      <alignment horizontal="center" vertical="top"/>
    </xf>
    <xf applyAlignment="true" applyBorder="true" applyFill="false" applyFont="false" applyNumberFormat="true" borderId="756" fillId="0" fontId="1" numFmtId="1000" quotePrefix="false">
      <alignment horizontal="center" vertical="top"/>
    </xf>
    <xf applyAlignment="true" applyBorder="true" applyFill="false" applyFont="false" applyNumberFormat="true" borderId="757" fillId="0" fontId="1" numFmtId="1000" quotePrefix="false">
      <alignment horizontal="center" vertical="top"/>
    </xf>
    <xf applyAlignment="true" applyBorder="true" applyFill="false" applyFont="false" applyNumberFormat="true" borderId="758" fillId="0" fontId="1" numFmtId="1000" quotePrefix="false">
      <alignment horizontal="center" vertical="top"/>
    </xf>
    <xf applyAlignment="true" applyBorder="true" applyFill="false" applyFont="false" applyNumberFormat="true" borderId="759" fillId="0" fontId="1" numFmtId="1000" quotePrefix="false">
      <alignment horizontal="center" vertical="top"/>
    </xf>
    <xf applyAlignment="true" applyBorder="true" applyFill="false" applyFont="false" applyNumberFormat="true" borderId="760" fillId="0" fontId="1" numFmtId="1000" quotePrefix="false">
      <alignment horizontal="center" vertical="top"/>
    </xf>
    <xf applyAlignment="true" applyBorder="true" applyFill="false" applyFont="false" applyNumberFormat="true" borderId="761" fillId="0" fontId="1" numFmtId="1000" quotePrefix="false">
      <alignment horizontal="center" vertical="top"/>
    </xf>
    <xf applyAlignment="true" applyBorder="true" applyFill="false" applyFont="false" applyNumberFormat="true" borderId="762" fillId="0" fontId="1" numFmtId="1000" quotePrefix="false">
      <alignment horizontal="center" vertical="top"/>
    </xf>
    <xf applyAlignment="true" applyBorder="true" applyFill="false" applyFont="false" applyNumberFormat="true" borderId="763" fillId="0" fontId="1" numFmtId="1000" quotePrefix="false">
      <alignment horizontal="center" vertical="top"/>
    </xf>
    <xf applyAlignment="true" applyBorder="true" applyFill="false" applyFont="false" applyNumberFormat="true" borderId="764" fillId="0" fontId="1" numFmtId="1000" quotePrefix="false">
      <alignment horizontal="center" vertical="top"/>
    </xf>
    <xf applyAlignment="true" applyBorder="true" applyFill="true" applyFont="true" applyNumberFormat="true" borderId="765" fillId="10" fontId="8" numFmtId="1000" quotePrefix="false">
      <alignment vertical="top"/>
    </xf>
    <xf applyAlignment="true" applyBorder="true" applyFill="false" applyFont="false" applyNumberFormat="true" borderId="766" fillId="0" fontId="1" numFmtId="1000" quotePrefix="false">
      <alignment horizontal="center" vertical="top"/>
    </xf>
    <xf applyAlignment="true" applyBorder="true" applyFill="false" applyFont="false" applyNumberFormat="true" borderId="767" fillId="0" fontId="1" numFmtId="1000" quotePrefix="false">
      <alignment horizontal="center" vertical="top"/>
    </xf>
    <xf applyAlignment="true" applyBorder="true" applyFill="true" applyFont="false" applyNumberFormat="true" borderId="768" fillId="3" fontId="1" numFmtId="1000" quotePrefix="false">
      <alignment horizontal="center" vertical="top" wrapText="true"/>
    </xf>
    <xf applyAlignment="true" applyBorder="true" applyFill="true" applyFont="false" applyNumberFormat="true" borderId="769" fillId="3" fontId="1" numFmtId="1000" quotePrefix="false">
      <alignment horizontal="center" vertical="top" wrapText="true"/>
    </xf>
    <xf applyAlignment="true" applyBorder="true" applyFill="false" applyFont="false" applyNumberFormat="true" borderId="770" fillId="0" fontId="1" numFmtId="1000" quotePrefix="false">
      <alignment horizontal="center" vertical="top"/>
    </xf>
    <xf applyAlignment="true" applyBorder="true" applyFill="false" applyFont="false" applyNumberFormat="true" borderId="771" fillId="0" fontId="1" numFmtId="1000" quotePrefix="false">
      <alignment horizontal="center" vertical="top"/>
    </xf>
    <xf applyAlignment="true" applyBorder="true" applyFill="true" applyFont="true" applyNumberFormat="true" borderId="50" fillId="10" fontId="8" numFmtId="1000" quotePrefix="false">
      <alignment vertical="top"/>
    </xf>
    <xf applyAlignment="true" applyBorder="true" applyFill="true" applyFont="false" applyNumberFormat="true" borderId="772" fillId="3" fontId="1" numFmtId="1000" quotePrefix="false">
      <alignment horizontal="center" vertical="top" wrapText="true"/>
    </xf>
    <xf applyAlignment="true" applyBorder="true" applyFill="false" applyFont="false" applyNumberFormat="true" borderId="773" fillId="0" fontId="1" numFmtId="1000" quotePrefix="false">
      <alignment horizontal="center" vertical="top"/>
    </xf>
    <xf applyAlignment="true" applyBorder="true" applyFill="false" applyFont="false" applyNumberFormat="true" borderId="774" fillId="0" fontId="1" numFmtId="1000" quotePrefix="false">
      <alignment horizontal="center" vertical="top"/>
    </xf>
    <xf applyAlignment="true" applyBorder="true" applyFill="false" applyFont="false" applyNumberFormat="true" borderId="775" fillId="0" fontId="1" numFmtId="1000" quotePrefix="false">
      <alignment horizontal="center" vertical="top"/>
    </xf>
    <xf applyAlignment="true" applyBorder="true" applyFill="false" applyFont="false" applyNumberFormat="true" borderId="776" fillId="0" fontId="1" numFmtId="1000" quotePrefix="false">
      <alignment horizontal="center" vertical="top"/>
    </xf>
    <xf applyAlignment="true" applyBorder="true" applyFill="true" applyFont="false" applyNumberFormat="true" borderId="777" fillId="3" fontId="1" numFmtId="1000" quotePrefix="false">
      <alignment horizontal="center" vertical="top" wrapText="true"/>
    </xf>
    <xf applyAlignment="true" applyBorder="true" applyFill="false" applyFont="false" applyNumberFormat="true" borderId="778" fillId="0" fontId="1" numFmtId="1000" quotePrefix="false">
      <alignment horizontal="center" vertical="top"/>
    </xf>
    <xf applyAlignment="true" applyBorder="true" applyFill="false" applyFont="false" applyNumberFormat="true" borderId="779" fillId="0" fontId="1" numFmtId="1000" quotePrefix="false">
      <alignment horizontal="center" vertical="top"/>
    </xf>
    <xf applyAlignment="true" applyBorder="true" applyFill="false" applyFont="false" applyNumberFormat="true" borderId="780" fillId="0" fontId="1" numFmtId="1000" quotePrefix="false">
      <alignment horizontal="center" vertical="top"/>
    </xf>
    <xf applyAlignment="true" applyBorder="true" applyFill="false" applyFont="false" applyNumberFormat="true" borderId="781" fillId="0" fontId="1" numFmtId="1000" quotePrefix="false">
      <alignment horizontal="center" vertical="top"/>
    </xf>
    <xf applyAlignment="true" applyBorder="true" applyFill="true" applyFont="true" applyNumberFormat="true" borderId="782" fillId="10" fontId="8" numFmtId="1000" quotePrefix="false">
      <alignment vertical="top"/>
    </xf>
    <xf applyAlignment="true" applyBorder="true" applyFill="false" applyFont="false" applyNumberFormat="true" borderId="783" fillId="0" fontId="1" numFmtId="1000" quotePrefix="false">
      <alignment horizontal="center" vertical="top"/>
    </xf>
    <xf applyAlignment="true" applyBorder="true" applyFill="false" applyFont="false" applyNumberFormat="true" borderId="784" fillId="0" fontId="1" numFmtId="1000" quotePrefix="false">
      <alignment horizontal="center" vertical="top"/>
    </xf>
    <xf applyAlignment="true" applyBorder="true" applyFill="false" applyFont="true" applyNumberFormat="true" borderId="785" fillId="0" fontId="2" numFmtId="1000" quotePrefix="false">
      <alignment horizontal="center" vertical="top"/>
    </xf>
    <xf applyAlignment="true" applyBorder="true" applyFill="false" applyFont="false" applyNumberFormat="true" borderId="786" fillId="0" fontId="1" numFmtId="1000" quotePrefix="false">
      <alignment horizontal="left" vertical="top"/>
    </xf>
    <xf applyAlignment="true" applyBorder="true" applyFill="false" applyFont="false" applyNumberFormat="true" borderId="787" fillId="0" fontId="1" numFmtId="1000" quotePrefix="false">
      <alignment horizontal="left" vertical="top"/>
    </xf>
    <xf applyAlignment="true" applyBorder="true" applyFill="false" applyFont="false" applyNumberFormat="true" borderId="788" fillId="0" fontId="1" numFmtId="1000" quotePrefix="false">
      <alignment horizontal="left" vertical="top"/>
    </xf>
    <xf applyAlignment="true" applyBorder="true" applyFill="false" applyFont="false" applyNumberFormat="true" borderId="789" fillId="0" fontId="1" numFmtId="1000" quotePrefix="false">
      <alignment horizontal="left" vertical="top"/>
    </xf>
    <xf applyAlignment="true" applyBorder="true" applyFill="false" applyFont="false" applyNumberFormat="true" borderId="790" fillId="0" fontId="1" numFmtId="1000" quotePrefix="false">
      <alignment horizontal="left" vertical="top"/>
    </xf>
    <xf applyAlignment="true" applyBorder="true" applyFill="false" applyFont="false" applyNumberFormat="true" borderId="791" fillId="0" fontId="1" numFmtId="1000" quotePrefix="false">
      <alignment horizontal="left" vertical="top"/>
    </xf>
    <xf applyAlignment="true" applyBorder="true" applyFill="false" applyFont="false" applyNumberFormat="true" borderId="792" fillId="0" fontId="1" numFmtId="1000" quotePrefix="false">
      <alignment horizontal="left" vertical="top"/>
    </xf>
    <xf applyAlignment="true" applyBorder="true" applyFill="false" applyFont="false" applyNumberFormat="true" borderId="793" fillId="0" fontId="1" numFmtId="1000" quotePrefix="false">
      <alignment horizontal="left" vertical="top"/>
    </xf>
    <xf applyAlignment="true" applyBorder="true" applyFill="false" applyFont="false" applyNumberFormat="true" borderId="794" fillId="0" fontId="1" numFmtId="1000" quotePrefix="false">
      <alignment horizontal="left" vertical="top"/>
    </xf>
    <xf applyAlignment="true" applyBorder="true" applyFill="false" applyFont="false" applyNumberFormat="true" borderId="795" fillId="0" fontId="1" numFmtId="1000" quotePrefix="false">
      <alignment horizontal="left" vertical="top"/>
    </xf>
    <xf applyAlignment="true" applyBorder="true" applyFill="false" applyFont="false" applyNumberFormat="true" borderId="796" fillId="0" fontId="1" numFmtId="1000" quotePrefix="false">
      <alignment horizontal="left" vertical="top"/>
    </xf>
    <xf applyAlignment="true" applyBorder="true" applyFill="false" applyFont="false" applyNumberFormat="true" borderId="797" fillId="0" fontId="1" numFmtId="1000" quotePrefix="false">
      <alignment horizontal="left" vertical="top"/>
    </xf>
    <xf applyAlignment="true" applyBorder="true" applyFill="false" applyFont="false" applyNumberFormat="true" borderId="798" fillId="0" fontId="1" numFmtId="1000" quotePrefix="false">
      <alignment horizontal="left" vertical="top"/>
    </xf>
    <xf applyAlignment="true" applyBorder="true" applyFill="false" applyFont="false" applyNumberFormat="true" borderId="799" fillId="0" fontId="1" numFmtId="1000" quotePrefix="false">
      <alignment horizontal="left" vertical="top"/>
    </xf>
    <xf applyAlignment="true" applyBorder="true" applyFill="false" applyFont="false" applyNumberFormat="true" borderId="800" fillId="0" fontId="1" numFmtId="1000" quotePrefix="false">
      <alignment horizontal="left" vertical="top"/>
    </xf>
    <xf applyAlignment="true" applyBorder="true" applyFill="false" applyFont="false" applyNumberFormat="true" borderId="801" fillId="0" fontId="1" numFmtId="1000" quotePrefix="false">
      <alignment horizontal="left" vertical="top"/>
    </xf>
    <xf applyAlignment="true" applyBorder="true" applyFill="false" applyFont="false" applyNumberFormat="true" borderId="802" fillId="0" fontId="1" numFmtId="1000" quotePrefix="false">
      <alignment horizontal="left" vertical="top"/>
    </xf>
    <xf applyAlignment="true" applyBorder="true" applyFill="false" applyFont="false" applyNumberFormat="true" borderId="803" fillId="0" fontId="1" numFmtId="1000" quotePrefix="false">
      <alignment horizontal="left" vertical="top"/>
    </xf>
    <xf applyAlignment="true" applyBorder="true" applyFill="false" applyFont="false" applyNumberFormat="true" borderId="804" fillId="0" fontId="1" numFmtId="1000" quotePrefix="false">
      <alignment horizontal="left" vertical="top"/>
    </xf>
    <xf applyAlignment="true" applyBorder="true" applyFill="false" applyFont="true" applyNumberFormat="true" borderId="805" fillId="0" fontId="2" numFmtId="1000" quotePrefix="false">
      <alignment horizontal="center"/>
    </xf>
    <xf applyAlignment="true" applyBorder="true" applyFill="false" applyFont="true" applyNumberFormat="true" borderId="806" fillId="0" fontId="2" numFmtId="1000" quotePrefix="false">
      <alignment horizontal="center"/>
    </xf>
    <xf applyAlignment="true" applyBorder="true" applyFill="false" applyFont="true" applyNumberFormat="true" borderId="807" fillId="0" fontId="2" numFmtId="1000" quotePrefix="false">
      <alignment horizontal="center"/>
    </xf>
    <xf applyAlignment="true" applyBorder="true" applyFill="false" applyFont="false" applyNumberFormat="true" borderId="808" fillId="0" fontId="1" numFmtId="1000" quotePrefix="false">
      <alignment horizontal="center" vertical="top"/>
    </xf>
    <xf applyAlignment="true" applyBorder="true" applyFill="false" applyFont="false" applyNumberFormat="true" borderId="809" fillId="0" fontId="1" numFmtId="1000" quotePrefix="false">
      <alignment horizontal="center" vertical="top"/>
    </xf>
    <xf applyAlignment="true" applyBorder="true" applyFill="false" applyFont="false" applyNumberFormat="true" borderId="810" fillId="0" fontId="1" numFmtId="1000" quotePrefix="false">
      <alignment horizontal="center" vertical="top"/>
    </xf>
    <xf applyAlignment="true" applyBorder="true" applyFill="false" applyFont="false" applyNumberFormat="true" borderId="811" fillId="0" fontId="1" numFmtId="1000" quotePrefix="false">
      <alignment horizontal="center" vertical="top"/>
    </xf>
    <xf applyAlignment="true" applyBorder="true" applyFill="false" applyFont="false" applyNumberFormat="true" borderId="812" fillId="0" fontId="1" numFmtId="1000" quotePrefix="false">
      <alignment horizontal="center" vertical="top"/>
    </xf>
    <xf applyAlignment="true" applyBorder="true" applyFill="false" applyFont="false" applyNumberFormat="true" borderId="813" fillId="0" fontId="1" numFmtId="1000" quotePrefix="false">
      <alignment horizontal="center" vertical="top"/>
    </xf>
    <xf applyAlignment="true" applyBorder="true" applyFill="false" applyFont="false" applyNumberFormat="true" borderId="814" fillId="0" fontId="1" numFmtId="1000" quotePrefix="false">
      <alignment horizontal="center" vertical="top"/>
    </xf>
    <xf applyAlignment="true" applyBorder="true" applyFill="false" applyFont="false" applyNumberFormat="true" borderId="815" fillId="0" fontId="1" numFmtId="1000" quotePrefix="false">
      <alignment horizontal="center" vertical="top"/>
    </xf>
    <xf applyAlignment="true" applyBorder="true" applyFill="false" applyFont="false" applyNumberFormat="true" borderId="816" fillId="0" fontId="1" numFmtId="1000" quotePrefix="false">
      <alignment horizontal="center" vertical="top"/>
    </xf>
    <xf applyAlignment="true" applyBorder="true" applyFill="false" applyFont="false" applyNumberFormat="true" borderId="817" fillId="0" fontId="1" numFmtId="1000" quotePrefix="false">
      <alignment horizontal="center" vertical="top"/>
    </xf>
    <xf applyAlignment="true" applyBorder="true" applyFill="false" applyFont="false" applyNumberFormat="true" borderId="818" fillId="0" fontId="1" numFmtId="1000" quotePrefix="false">
      <alignment horizontal="center" vertical="top"/>
    </xf>
    <xf applyAlignment="true" applyBorder="true" applyFill="false" applyFont="false" applyNumberFormat="true" borderId="819" fillId="0" fontId="1" numFmtId="1000" quotePrefix="false">
      <alignment horizontal="center" vertical="top"/>
    </xf>
    <xf applyAlignment="true" applyBorder="true" applyFill="false" applyFont="false" applyNumberFormat="true" borderId="820" fillId="0" fontId="1" numFmtId="1000" quotePrefix="false">
      <alignment horizontal="center" vertical="top"/>
    </xf>
    <xf applyAlignment="true" applyBorder="true" applyFill="false" applyFont="false" applyNumberFormat="true" borderId="821" fillId="0" fontId="1" numFmtId="1000" quotePrefix="false">
      <alignment horizontal="center" vertical="top"/>
    </xf>
    <xf applyAlignment="true" applyBorder="true" applyFill="false" applyFont="false" applyNumberFormat="true" borderId="822" fillId="0" fontId="1" numFmtId="1000" quotePrefix="false">
      <alignment horizontal="center" vertical="top"/>
    </xf>
    <xf applyAlignment="true" applyBorder="true" applyFill="false" applyFont="false" applyNumberFormat="true" borderId="823" fillId="0" fontId="1" numFmtId="1000" quotePrefix="false">
      <alignment horizontal="center" vertical="top"/>
    </xf>
    <xf applyAlignment="true" applyBorder="true" applyFill="false" applyFont="false" applyNumberFormat="true" borderId="824" fillId="0" fontId="1" numFmtId="1000" quotePrefix="false">
      <alignment horizontal="center" vertical="top"/>
    </xf>
    <xf applyAlignment="true" applyBorder="true" applyFill="false" applyFont="false" applyNumberFormat="true" borderId="825" fillId="0" fontId="1" numFmtId="1000" quotePrefix="false">
      <alignment horizontal="center" vertical="top"/>
    </xf>
    <xf applyAlignment="true" applyBorder="true" applyFill="false" applyFont="false" applyNumberFormat="true" borderId="826" fillId="0" fontId="1" numFmtId="1000" quotePrefix="false">
      <alignment horizontal="center" vertical="top"/>
    </xf>
    <xf applyAlignment="true" applyBorder="true" applyFill="true" applyFont="false" applyNumberFormat="true" borderId="827" fillId="4" fontId="1" numFmtId="1000" quotePrefix="false">
      <alignment horizontal="center" vertical="top" wrapText="true"/>
    </xf>
    <xf applyAlignment="true" applyBorder="true" applyFill="true" applyFont="false" applyNumberFormat="true" borderId="85" fillId="4" fontId="1" numFmtId="1000" quotePrefix="false">
      <alignment vertical="top"/>
    </xf>
    <xf applyAlignment="true" applyBorder="true" applyFill="false" applyFont="false" applyNumberFormat="true" borderId="828" fillId="0" fontId="1" numFmtId="1000" quotePrefix="false">
      <alignment horizontal="center" vertical="top"/>
    </xf>
    <xf applyAlignment="true" applyBorder="true" applyFill="false" applyFont="false" applyNumberFormat="true" borderId="829" fillId="0" fontId="1" numFmtId="1000" quotePrefix="false">
      <alignment horizontal="center" vertical="top"/>
    </xf>
    <xf applyAlignment="true" applyBorder="true" applyFill="true" applyFont="false" applyNumberFormat="true" borderId="830" fillId="4" fontId="1" numFmtId="1000" quotePrefix="false">
      <alignment horizontal="center" vertical="top" wrapText="true"/>
    </xf>
    <xf applyAlignment="true" applyBorder="true" applyFill="false" applyFont="false" applyNumberFormat="true" borderId="831" fillId="0" fontId="1" numFmtId="1000" quotePrefix="false">
      <alignment horizontal="center" vertical="top"/>
    </xf>
    <xf applyAlignment="true" applyBorder="true" applyFill="false" applyFont="false" applyNumberFormat="true" borderId="832" fillId="0" fontId="1" numFmtId="1000" quotePrefix="false">
      <alignment horizontal="center" vertical="top"/>
    </xf>
    <xf applyAlignment="true" applyBorder="true" applyFill="true" applyFont="false" applyNumberFormat="true" borderId="833" fillId="4" fontId="1" numFmtId="1000" quotePrefix="false">
      <alignment horizontal="center" vertical="top" wrapText="true"/>
    </xf>
    <xf applyAlignment="true" applyBorder="true" applyFill="true" applyFont="false" applyNumberFormat="true" borderId="834" fillId="3" fontId="1" numFmtId="1000" quotePrefix="false">
      <alignment horizontal="center" vertical="top" wrapText="true"/>
    </xf>
    <xf applyAlignment="true" applyBorder="true" applyFill="false" applyFont="false" applyNumberFormat="true" borderId="835" fillId="0" fontId="1" numFmtId="1000" quotePrefix="false">
      <alignment horizontal="center" vertical="top"/>
    </xf>
    <xf applyAlignment="true" applyBorder="true" applyFill="false" applyFont="false" applyNumberFormat="true" borderId="836" fillId="0" fontId="1" numFmtId="1000" quotePrefix="false">
      <alignment horizontal="center" vertical="top"/>
    </xf>
    <xf applyAlignment="true" applyBorder="true" applyFill="true" applyFont="false" applyNumberFormat="true" borderId="837" fillId="4" fontId="1" numFmtId="1000" quotePrefix="false">
      <alignment horizontal="center" vertical="top" wrapText="true"/>
    </xf>
    <xf applyAlignment="true" applyBorder="true" applyFill="false" applyFont="false" applyNumberFormat="true" borderId="838" fillId="0" fontId="1" numFmtId="1000" quotePrefix="false">
      <alignment horizontal="center" vertical="top"/>
    </xf>
    <xf applyAlignment="true" applyBorder="true" applyFill="false" applyFont="false" applyNumberFormat="true" borderId="839" fillId="0" fontId="1" numFmtId="1000" quotePrefix="false">
      <alignment horizontal="center" vertical="top"/>
    </xf>
    <xf applyAlignment="true" applyBorder="true" applyFill="true" applyFont="false" applyNumberFormat="true" borderId="840" fillId="4" fontId="1" numFmtId="1000" quotePrefix="false">
      <alignment horizontal="center" vertical="top" wrapText="true"/>
    </xf>
    <xf applyAlignment="true" applyBorder="true" applyFill="false" applyFont="false" applyNumberFormat="true" borderId="841" fillId="0" fontId="1" numFmtId="1000" quotePrefix="false">
      <alignment horizontal="center" vertical="top"/>
    </xf>
    <xf applyAlignment="true" applyBorder="true" applyFill="false" applyFont="false" applyNumberFormat="true" borderId="842" fillId="0" fontId="1" numFmtId="1000" quotePrefix="false">
      <alignment horizontal="center" vertical="top"/>
    </xf>
    <xf applyAlignment="true" applyBorder="true" applyFill="true" applyFont="false" applyNumberFormat="true" borderId="843" fillId="4" fontId="1" numFmtId="1000" quotePrefix="false">
      <alignment horizontal="center" vertical="top" wrapText="true"/>
    </xf>
    <xf applyAlignment="true" applyBorder="true" applyFill="false" applyFont="false" applyNumberFormat="true" borderId="844" fillId="0" fontId="1" numFmtId="1000" quotePrefix="false">
      <alignment horizontal="center" vertical="top"/>
    </xf>
    <xf applyAlignment="true" applyBorder="true" applyFill="false" applyFont="false" applyNumberFormat="true" borderId="845" fillId="0" fontId="1" numFmtId="1000" quotePrefix="false">
      <alignment horizontal="center" vertical="top"/>
    </xf>
    <xf applyAlignment="true" applyBorder="true" applyFill="true" applyFont="false" applyNumberFormat="true" borderId="846" fillId="4" fontId="1" numFmtId="1000" quotePrefix="false">
      <alignment horizontal="center" vertical="top" wrapText="true"/>
    </xf>
    <xf applyAlignment="true" applyBorder="true" applyFill="false" applyFont="false" applyNumberFormat="true" borderId="847" fillId="0" fontId="1" numFmtId="1000" quotePrefix="false">
      <alignment horizontal="center" vertical="top"/>
    </xf>
    <xf applyAlignment="true" applyBorder="true" applyFill="false" applyFont="false" applyNumberFormat="true" borderId="848" fillId="0" fontId="1" numFmtId="1000" quotePrefix="false">
      <alignment horizontal="center" vertical="top"/>
    </xf>
    <xf applyAlignment="true" applyBorder="true" applyFill="false" applyFont="true" applyNumberFormat="true" borderId="849" fillId="0" fontId="2" numFmtId="1000" quotePrefix="false">
      <alignment horizontal="center" vertical="top"/>
    </xf>
    <xf applyAlignment="true" applyBorder="true" applyFill="false" applyFont="false" applyNumberFormat="true" borderId="850" fillId="0" fontId="1" numFmtId="1000" quotePrefix="false">
      <alignment horizontal="left" vertical="top"/>
    </xf>
    <xf applyAlignment="true" applyBorder="true" applyFill="false" applyFont="false" applyNumberFormat="true" borderId="851" fillId="0" fontId="1" numFmtId="1000" quotePrefix="false">
      <alignment horizontal="left" vertical="top"/>
    </xf>
    <xf applyAlignment="true" applyBorder="true" applyFill="false" applyFont="false" applyNumberFormat="true" borderId="852" fillId="0" fontId="1" numFmtId="1000" quotePrefix="false">
      <alignment horizontal="left" vertical="top"/>
    </xf>
    <xf applyAlignment="true" applyBorder="true" applyFill="false" applyFont="false" applyNumberFormat="true" borderId="853" fillId="0" fontId="1" numFmtId="1000" quotePrefix="false">
      <alignment horizontal="left" vertical="top"/>
    </xf>
    <xf applyAlignment="true" applyBorder="true" applyFill="false" applyFont="false" applyNumberFormat="true" borderId="854" fillId="0" fontId="1" numFmtId="1000" quotePrefix="false">
      <alignment horizontal="left" vertical="top"/>
    </xf>
    <xf applyAlignment="true" applyBorder="true" applyFill="false" applyFont="false" applyNumberFormat="true" borderId="855" fillId="0" fontId="1" numFmtId="1000" quotePrefix="false">
      <alignment horizontal="left" vertical="top"/>
    </xf>
    <xf applyAlignment="true" applyBorder="true" applyFill="false" applyFont="false" applyNumberFormat="true" borderId="856" fillId="0" fontId="1" numFmtId="1000" quotePrefix="false">
      <alignment horizontal="left" vertical="top"/>
    </xf>
    <xf applyAlignment="true" applyBorder="true" applyFill="false" applyFont="false" applyNumberFormat="true" borderId="857" fillId="0" fontId="1" numFmtId="1000" quotePrefix="false">
      <alignment horizontal="left" vertical="top"/>
    </xf>
    <xf applyAlignment="true" applyBorder="true" applyFill="false" applyFont="false" applyNumberFormat="true" borderId="858" fillId="0" fontId="1" numFmtId="1000" quotePrefix="false">
      <alignment horizontal="left" vertical="top"/>
    </xf>
    <xf applyAlignment="true" applyBorder="true" applyFill="false" applyFont="false" applyNumberFormat="true" borderId="859" fillId="0" fontId="1" numFmtId="1000" quotePrefix="false">
      <alignment horizontal="left" vertical="top"/>
    </xf>
    <xf applyAlignment="true" applyBorder="true" applyFill="false" applyFont="false" applyNumberFormat="true" borderId="860" fillId="0" fontId="1" numFmtId="1000" quotePrefix="false">
      <alignment horizontal="left" vertical="top"/>
    </xf>
    <xf applyAlignment="true" applyBorder="true" applyFill="false" applyFont="false" applyNumberFormat="true" borderId="861" fillId="0" fontId="1" numFmtId="1000" quotePrefix="false">
      <alignment horizontal="left" vertical="top"/>
    </xf>
    <xf applyAlignment="true" applyBorder="true" applyFill="false" applyFont="false" applyNumberFormat="true" borderId="862" fillId="0" fontId="1" numFmtId="1000" quotePrefix="false">
      <alignment horizontal="left" vertical="top"/>
    </xf>
    <xf applyAlignment="true" applyBorder="true" applyFill="false" applyFont="false" applyNumberFormat="true" borderId="863" fillId="0" fontId="1" numFmtId="1000" quotePrefix="false">
      <alignment horizontal="left" vertical="top"/>
    </xf>
    <xf applyAlignment="true" applyBorder="true" applyFill="false" applyFont="false" applyNumberFormat="true" borderId="864" fillId="0" fontId="1" numFmtId="1000" quotePrefix="false">
      <alignment horizontal="left" vertical="top"/>
    </xf>
    <xf applyAlignment="true" applyBorder="true" applyFill="false" applyFont="false" applyNumberFormat="true" borderId="865" fillId="0" fontId="1" numFmtId="1000" quotePrefix="false">
      <alignment horizontal="left" vertical="top"/>
    </xf>
    <xf applyAlignment="true" applyBorder="true" applyFill="false" applyFont="false" applyNumberFormat="true" borderId="866" fillId="0" fontId="1" numFmtId="1000" quotePrefix="false">
      <alignment horizontal="left" vertical="top"/>
    </xf>
    <xf applyAlignment="true" applyBorder="true" applyFill="false" applyFont="false" applyNumberFormat="true" borderId="867" fillId="0" fontId="1" numFmtId="1000" quotePrefix="false">
      <alignment horizontal="left" vertical="top"/>
    </xf>
    <xf applyAlignment="true" applyBorder="true" applyFill="false" applyFont="false" applyNumberFormat="true" borderId="868" fillId="0" fontId="1" numFmtId="1000" quotePrefix="false">
      <alignment horizontal="left" vertical="top"/>
    </xf>
    <xf applyAlignment="true" applyBorder="true" applyFill="false" applyFont="true" applyNumberFormat="true" borderId="869" fillId="0" fontId="2" numFmtId="1000" quotePrefix="false">
      <alignment horizontal="center"/>
    </xf>
    <xf applyAlignment="true" applyBorder="true" applyFill="false" applyFont="true" applyNumberFormat="true" borderId="870" fillId="0" fontId="2" numFmtId="1000" quotePrefix="false">
      <alignment horizontal="center"/>
    </xf>
    <xf applyAlignment="true" applyBorder="true" applyFill="false" applyFont="true" applyNumberFormat="true" borderId="871" fillId="0" fontId="2" numFmtId="1000" quotePrefix="false">
      <alignment horizontal="center"/>
    </xf>
    <xf applyAlignment="true" applyBorder="true" applyFill="false" applyFont="false" applyNumberFormat="true" borderId="872" fillId="0" fontId="1" numFmtId="1000" quotePrefix="false">
      <alignment horizontal="center" vertical="top"/>
    </xf>
    <xf applyAlignment="true" applyBorder="true" applyFill="false" applyFont="false" applyNumberFormat="true" borderId="873" fillId="0" fontId="1" numFmtId="1000" quotePrefix="false">
      <alignment horizontal="center" vertical="top"/>
    </xf>
    <xf applyAlignment="true" applyBorder="true" applyFill="false" applyFont="false" applyNumberFormat="true" borderId="874" fillId="0" fontId="1" numFmtId="1000" quotePrefix="false">
      <alignment horizontal="center" vertical="top"/>
    </xf>
    <xf applyAlignment="true" applyBorder="true" applyFill="false" applyFont="false" applyNumberFormat="true" borderId="875" fillId="0" fontId="1" numFmtId="1000" quotePrefix="false">
      <alignment horizontal="center" vertical="top"/>
    </xf>
    <xf applyAlignment="true" applyBorder="true" applyFill="false" applyFont="false" applyNumberFormat="true" borderId="876" fillId="0" fontId="1" numFmtId="1000" quotePrefix="false">
      <alignment horizontal="center" vertical="top"/>
    </xf>
    <xf applyAlignment="true" applyBorder="true" applyFill="false" applyFont="false" applyNumberFormat="true" borderId="877" fillId="0" fontId="1" numFmtId="1000" quotePrefix="false">
      <alignment horizontal="center" vertical="top"/>
    </xf>
    <xf applyAlignment="true" applyBorder="true" applyFill="false" applyFont="false" applyNumberFormat="true" borderId="878" fillId="0" fontId="1" numFmtId="1000" quotePrefix="false">
      <alignment horizontal="center" vertical="top"/>
    </xf>
    <xf applyAlignment="true" applyBorder="true" applyFill="false" applyFont="false" applyNumberFormat="true" borderId="879" fillId="0" fontId="1" numFmtId="1000" quotePrefix="false">
      <alignment horizontal="center" vertical="top"/>
    </xf>
    <xf applyAlignment="true" applyBorder="true" applyFill="false" applyFont="false" applyNumberFormat="true" borderId="880" fillId="0" fontId="1" numFmtId="1000" quotePrefix="false">
      <alignment horizontal="center" vertical="top"/>
    </xf>
    <xf applyAlignment="true" applyBorder="true" applyFill="false" applyFont="false" applyNumberFormat="true" borderId="881" fillId="0" fontId="1" numFmtId="1000" quotePrefix="false">
      <alignment horizontal="center" vertical="top"/>
    </xf>
    <xf applyAlignment="true" applyBorder="true" applyFill="false" applyFont="false" applyNumberFormat="true" borderId="882" fillId="0" fontId="1" numFmtId="1000" quotePrefix="false">
      <alignment horizontal="center" vertical="top"/>
    </xf>
    <xf applyAlignment="true" applyBorder="true" applyFill="false" applyFont="false" applyNumberFormat="true" borderId="883" fillId="0" fontId="1" numFmtId="1000" quotePrefix="false">
      <alignment horizontal="center" vertical="top"/>
    </xf>
    <xf applyAlignment="true" applyBorder="true" applyFill="false" applyFont="false" applyNumberFormat="true" borderId="884" fillId="0" fontId="1" numFmtId="1000" quotePrefix="false">
      <alignment horizontal="center" vertical="top"/>
    </xf>
    <xf applyAlignment="true" applyBorder="true" applyFill="false" applyFont="false" applyNumberFormat="true" borderId="885" fillId="0" fontId="1" numFmtId="1000" quotePrefix="false">
      <alignment horizontal="center" vertical="top"/>
    </xf>
    <xf applyAlignment="true" applyBorder="true" applyFill="false" applyFont="false" applyNumberFormat="true" borderId="886" fillId="0" fontId="1" numFmtId="1000" quotePrefix="false">
      <alignment horizontal="center" vertical="top"/>
    </xf>
    <xf applyAlignment="true" applyBorder="true" applyFill="false" applyFont="false" applyNumberFormat="true" borderId="887" fillId="0" fontId="1" numFmtId="1000" quotePrefix="false">
      <alignment horizontal="center" vertical="top"/>
    </xf>
    <xf applyAlignment="true" applyBorder="true" applyFill="false" applyFont="false" applyNumberFormat="true" borderId="888" fillId="0" fontId="1" numFmtId="1000" quotePrefix="false">
      <alignment horizontal="center" vertical="top"/>
    </xf>
    <xf applyAlignment="true" applyBorder="true" applyFill="true" applyFont="false" applyNumberFormat="true" borderId="209" fillId="4" fontId="1" numFmtId="1000" quotePrefix="false">
      <alignment horizontal="center" vertical="top"/>
    </xf>
    <xf applyAlignment="true" applyBorder="true" applyFill="true" applyFont="false" applyNumberFormat="true" borderId="85" fillId="4" fontId="1" numFmtId="1000" quotePrefix="false">
      <alignment horizontal="center" vertical="top"/>
    </xf>
    <xf applyAlignment="true" applyBorder="true" applyFill="false" applyFont="false" applyNumberFormat="true" borderId="889" fillId="0" fontId="1" numFmtId="1000" quotePrefix="false">
      <alignment horizontal="center" vertical="top"/>
    </xf>
    <xf applyAlignment="true" applyBorder="true" applyFill="false" applyFont="false" applyNumberFormat="true" borderId="890" fillId="0" fontId="1" numFmtId="1000" quotePrefix="false">
      <alignment horizontal="center" vertical="top"/>
    </xf>
    <xf applyAlignment="true" applyBorder="true" applyFill="true" applyFont="false" applyNumberFormat="true" borderId="891" fillId="4" fontId="1" numFmtId="1000" quotePrefix="false">
      <alignment horizontal="center" vertical="top"/>
    </xf>
    <xf applyAlignment="true" applyBorder="true" applyFill="true" applyFont="false" applyNumberFormat="true" borderId="892" fillId="4" fontId="1" numFmtId="1000" quotePrefix="false">
      <alignment horizontal="center" vertical="top"/>
    </xf>
    <xf applyAlignment="true" applyBorder="true" applyFill="false" applyFont="false" applyNumberFormat="true" borderId="893" fillId="0" fontId="1" numFmtId="1000" quotePrefix="false">
      <alignment horizontal="center" vertical="top"/>
    </xf>
    <xf applyAlignment="true" applyBorder="true" applyFill="false" applyFont="false" applyNumberFormat="true" borderId="894" fillId="0" fontId="1" numFmtId="1000" quotePrefix="false">
      <alignment horizontal="center" vertical="top"/>
    </xf>
    <xf applyAlignment="true" applyBorder="true" applyFill="true" applyFont="false" applyNumberFormat="true" borderId="895" fillId="4" fontId="1" numFmtId="1000" quotePrefix="false">
      <alignment horizontal="center" vertical="top"/>
    </xf>
    <xf applyAlignment="true" applyBorder="true" applyFill="true" applyFont="false" applyNumberFormat="true" borderId="896" fillId="4" fontId="1" numFmtId="1000" quotePrefix="false">
      <alignment horizontal="center" vertical="top"/>
    </xf>
    <xf applyAlignment="true" applyBorder="true" applyFill="false" applyFont="false" applyNumberFormat="true" borderId="897" fillId="0" fontId="1" numFmtId="1000" quotePrefix="false">
      <alignment horizontal="center" vertical="top"/>
    </xf>
    <xf applyAlignment="true" applyBorder="true" applyFill="false" applyFont="false" applyNumberFormat="true" borderId="898" fillId="0" fontId="1" numFmtId="1000" quotePrefix="false">
      <alignment horizontal="center" vertical="top"/>
    </xf>
    <xf applyAlignment="true" applyBorder="true" applyFill="false" applyFont="false" applyNumberFormat="true" borderId="899" fillId="0" fontId="1" numFmtId="1000" quotePrefix="false">
      <alignment horizontal="center" vertical="top"/>
    </xf>
    <xf applyAlignment="true" applyBorder="true" applyFill="false" applyFont="false" applyNumberFormat="true" borderId="900" fillId="0" fontId="1" numFmtId="1000" quotePrefix="false">
      <alignment horizontal="center" vertical="top"/>
    </xf>
    <xf applyAlignment="true" applyBorder="true" applyFill="false" applyFont="false" applyNumberFormat="true" borderId="901" fillId="0" fontId="1" numFmtId="1000" quotePrefix="false">
      <alignment horizontal="center" vertical="top"/>
    </xf>
    <xf applyAlignment="true" applyBorder="true" applyFill="false" applyFont="false" applyNumberFormat="true" borderId="902" fillId="0" fontId="1" numFmtId="1000" quotePrefix="false">
      <alignment horizontal="center" vertical="top"/>
    </xf>
    <xf applyAlignment="true" applyBorder="true" applyFill="false" applyFont="false" applyNumberFormat="true" borderId="903" fillId="0" fontId="1" numFmtId="1000" quotePrefix="false">
      <alignment horizontal="center" vertical="top"/>
    </xf>
    <xf applyAlignment="true" applyBorder="true" applyFill="false" applyFont="false" applyNumberFormat="true" borderId="904" fillId="0" fontId="1" numFmtId="1000" quotePrefix="false">
      <alignment horizontal="center" vertical="top"/>
    </xf>
    <xf applyAlignment="true" applyBorder="true" applyFill="false" applyFont="false" applyNumberFormat="true" borderId="905" fillId="0" fontId="1" numFmtId="1000" quotePrefix="false">
      <alignment horizontal="center" vertical="top"/>
    </xf>
    <xf applyAlignment="true" applyBorder="true" applyFill="false" applyFont="false" applyNumberFormat="true" borderId="906" fillId="0" fontId="1" numFmtId="1000" quotePrefix="false">
      <alignment horizontal="center" vertical="top"/>
    </xf>
    <xf applyAlignment="true" applyBorder="true" applyFill="true" applyFont="false" applyNumberFormat="true" borderId="109" fillId="3" fontId="1" numFmtId="1000" quotePrefix="false">
      <alignment vertical="top"/>
    </xf>
    <xf applyAlignment="true" applyBorder="true" applyFill="true" applyFont="false" applyNumberFormat="true" borderId="907" fillId="3" fontId="1" numFmtId="1000" quotePrefix="false">
      <alignment horizontal="center" vertical="top" wrapText="true"/>
    </xf>
    <xf applyAlignment="true" applyBorder="true" applyFill="false" applyFont="false" applyNumberFormat="true" borderId="908" fillId="0" fontId="1" numFmtId="1000" quotePrefix="false">
      <alignment horizontal="center" vertical="top"/>
    </xf>
    <xf applyAlignment="true" applyBorder="true" applyFill="false" applyFont="false" applyNumberFormat="true" borderId="909" fillId="0" fontId="1" numFmtId="1000" quotePrefix="false">
      <alignment horizontal="center" vertical="top"/>
    </xf>
    <xf applyAlignment="true" applyBorder="true" applyFill="false" applyFont="true" applyNumberFormat="true" borderId="910" fillId="0" fontId="2" numFmtId="1000" quotePrefix="false">
      <alignment horizontal="center" vertical="top"/>
    </xf>
    <xf applyAlignment="true" applyBorder="true" applyFill="false" applyFont="true" applyNumberFormat="true" borderId="911" fillId="0" fontId="2" numFmtId="1000" quotePrefix="false">
      <alignment horizontal="center"/>
    </xf>
    <xf applyAlignment="true" applyBorder="true" applyFill="false" applyFont="true" applyNumberFormat="true" borderId="912" fillId="0" fontId="2" numFmtId="1000" quotePrefix="false">
      <alignment horizontal="center"/>
    </xf>
    <xf applyAlignment="true" applyBorder="true" applyFill="false" applyFont="true" applyNumberFormat="true" borderId="913" fillId="0" fontId="2" numFmtId="1000" quotePrefix="false">
      <alignment horizontal="center"/>
    </xf>
    <xf applyAlignment="true" applyBorder="true" applyFill="false" applyFont="false" applyNumberFormat="true" borderId="914" fillId="0" fontId="1" numFmtId="1000" quotePrefix="false">
      <alignment horizontal="center" vertical="top"/>
    </xf>
    <xf applyAlignment="true" applyBorder="true" applyFill="false" applyFont="false" applyNumberFormat="true" borderId="915" fillId="0" fontId="1" numFmtId="1000" quotePrefix="false">
      <alignment horizontal="center" vertical="top"/>
    </xf>
    <xf applyAlignment="true" applyBorder="true" applyFill="false" applyFont="false" applyNumberFormat="true" borderId="916" fillId="0" fontId="1" numFmtId="1000" quotePrefix="false">
      <alignment horizontal="center" vertical="top"/>
    </xf>
    <xf applyAlignment="true" applyBorder="true" applyFill="false" applyFont="false" applyNumberFormat="true" borderId="917" fillId="0" fontId="1" numFmtId="1000" quotePrefix="false">
      <alignment horizontal="center" vertical="top"/>
    </xf>
    <xf applyAlignment="true" applyBorder="true" applyFill="false" applyFont="false" applyNumberFormat="true" borderId="918" fillId="0" fontId="1" numFmtId="1000" quotePrefix="false">
      <alignment horizontal="center" vertical="top"/>
    </xf>
    <xf applyAlignment="true" applyBorder="true" applyFill="false" applyFont="false" applyNumberFormat="true" borderId="919" fillId="0" fontId="1" numFmtId="1000" quotePrefix="false">
      <alignment horizontal="center" vertical="top"/>
    </xf>
    <xf applyAlignment="true" applyBorder="true" applyFill="false" applyFont="false" applyNumberFormat="true" borderId="920" fillId="0" fontId="1" numFmtId="1000" quotePrefix="false">
      <alignment horizontal="center" vertical="top"/>
    </xf>
    <xf applyAlignment="true" applyBorder="true" applyFill="false" applyFont="false" applyNumberFormat="true" borderId="921" fillId="0" fontId="1" numFmtId="1000" quotePrefix="false">
      <alignment horizontal="center" vertical="top"/>
    </xf>
    <xf applyAlignment="true" applyBorder="true" applyFill="false" applyFont="false" applyNumberFormat="true" borderId="922" fillId="0" fontId="1" numFmtId="1000" quotePrefix="false">
      <alignment horizontal="center" vertical="top"/>
    </xf>
    <xf applyAlignment="true" applyBorder="true" applyFill="false" applyFont="false" applyNumberFormat="true" borderId="923" fillId="0" fontId="1" numFmtId="1000" quotePrefix="false">
      <alignment horizontal="center" vertical="top"/>
    </xf>
    <xf applyAlignment="true" applyBorder="true" applyFill="false" applyFont="false" applyNumberFormat="true" borderId="924" fillId="0" fontId="1" numFmtId="1000" quotePrefix="false">
      <alignment horizontal="center" vertical="top"/>
    </xf>
    <xf applyAlignment="true" applyBorder="true" applyFill="false" applyFont="false" applyNumberFormat="true" borderId="925" fillId="0" fontId="1" numFmtId="1000" quotePrefix="false">
      <alignment horizontal="center" vertical="top"/>
    </xf>
    <xf applyAlignment="true" applyBorder="true" applyFill="false" applyFont="false" applyNumberFormat="true" borderId="926" fillId="0" fontId="1" numFmtId="1000" quotePrefix="false">
      <alignment horizontal="center" vertical="top"/>
    </xf>
    <xf applyAlignment="true" applyBorder="true" applyFill="false" applyFont="false" applyNumberFormat="true" borderId="927" fillId="0" fontId="1" numFmtId="1000" quotePrefix="false">
      <alignment horizontal="center" vertical="top"/>
    </xf>
    <xf applyAlignment="true" applyBorder="true" applyFill="false" applyFont="false" applyNumberFormat="true" borderId="928" fillId="0" fontId="1" numFmtId="1000" quotePrefix="false">
      <alignment horizontal="center" vertical="top"/>
    </xf>
    <xf applyAlignment="true" applyBorder="true" applyFill="false" applyFont="false" applyNumberFormat="true" borderId="929" fillId="0" fontId="1" numFmtId="1000" quotePrefix="false">
      <alignment horizontal="center" vertical="top"/>
    </xf>
    <xf applyAlignment="true" applyBorder="true" applyFill="false" applyFont="false" applyNumberFormat="true" borderId="930" fillId="0" fontId="1" numFmtId="1000" quotePrefix="false">
      <alignment horizontal="center" vertical="top"/>
    </xf>
    <xf applyAlignment="true" applyBorder="true" applyFill="false" applyFont="false" applyNumberFormat="true" borderId="931" fillId="0" fontId="1" numFmtId="1000" quotePrefix="false">
      <alignment horizontal="center" vertical="top"/>
    </xf>
    <xf applyAlignment="true" applyBorder="true" applyFill="false" applyFont="false" applyNumberFormat="true" borderId="932" fillId="0" fontId="1" numFmtId="1000" quotePrefix="false">
      <alignment horizontal="center" vertical="top"/>
    </xf>
    <xf applyAlignment="true" applyBorder="true" applyFill="false" applyFont="false" applyNumberFormat="true" borderId="933" fillId="0" fontId="1" numFmtId="1000" quotePrefix="false">
      <alignment horizontal="center" vertical="top"/>
    </xf>
    <xf applyAlignment="true" applyBorder="true" applyFill="false" applyFont="false" applyNumberFormat="true" borderId="934" fillId="0" fontId="1" numFmtId="1000" quotePrefix="false">
      <alignment horizontal="center" vertical="top"/>
    </xf>
    <xf applyAlignment="true" applyBorder="true" applyFill="false" applyFont="false" applyNumberFormat="true" borderId="935" fillId="0" fontId="1" numFmtId="1000" quotePrefix="false">
      <alignment horizontal="center" vertical="top"/>
    </xf>
    <xf applyAlignment="true" applyBorder="true" applyFill="false" applyFont="false" applyNumberFormat="true" borderId="936" fillId="0" fontId="1" numFmtId="1000" quotePrefix="false">
      <alignment horizontal="center" vertical="top"/>
    </xf>
    <xf applyAlignment="true" applyBorder="true" applyFill="false" applyFont="false" applyNumberFormat="true" borderId="937" fillId="0" fontId="1" numFmtId="1000" quotePrefix="false">
      <alignment horizontal="center" vertical="top"/>
    </xf>
    <xf applyAlignment="true" applyBorder="true" applyFill="false" applyFont="false" applyNumberFormat="true" borderId="938" fillId="0" fontId="1" numFmtId="1000" quotePrefix="false">
      <alignment horizontal="center" vertical="top"/>
    </xf>
    <xf applyAlignment="true" applyBorder="true" applyFill="false" applyFont="false" applyNumberFormat="true" borderId="939" fillId="0" fontId="1" numFmtId="1000" quotePrefix="false">
      <alignment horizontal="center" vertical="top"/>
    </xf>
    <xf applyAlignment="true" applyBorder="true" applyFill="false" applyFont="false" applyNumberFormat="true" borderId="940" fillId="0" fontId="1" numFmtId="1000" quotePrefix="false">
      <alignment horizontal="center" vertical="top"/>
    </xf>
    <xf applyAlignment="true" applyBorder="true" applyFill="false" applyFont="false" applyNumberFormat="true" borderId="941" fillId="0" fontId="1" numFmtId="1000" quotePrefix="false">
      <alignment horizontal="center" vertical="top"/>
    </xf>
    <xf applyAlignment="true" applyBorder="true" applyFill="false" applyFont="false" applyNumberFormat="true" borderId="942" fillId="0" fontId="1" numFmtId="1000" quotePrefix="false">
      <alignment horizontal="center" vertical="top"/>
    </xf>
    <xf applyAlignment="true" applyBorder="true" applyFill="false" applyFont="false" applyNumberFormat="true" borderId="943" fillId="0" fontId="1" numFmtId="1000" quotePrefix="false">
      <alignment horizontal="center" vertical="top"/>
    </xf>
    <xf applyAlignment="true" applyBorder="true" applyFill="false" applyFont="true" applyNumberFormat="true" borderId="944" fillId="0" fontId="2" numFmtId="1000" quotePrefix="false">
      <alignment horizontal="center" vertical="top"/>
    </xf>
    <xf applyAlignment="true" applyBorder="true" applyFill="false" applyFont="false" applyNumberFormat="true" borderId="945" fillId="0" fontId="1" numFmtId="1000" quotePrefix="false">
      <alignment horizontal="left" vertical="top"/>
    </xf>
    <xf applyAlignment="true" applyBorder="true" applyFill="false" applyFont="false" applyNumberFormat="true" borderId="946" fillId="0" fontId="1" numFmtId="1000" quotePrefix="false">
      <alignment horizontal="left" vertical="top"/>
    </xf>
    <xf applyAlignment="true" applyBorder="true" applyFill="false" applyFont="false" applyNumberFormat="true" borderId="947" fillId="0" fontId="1" numFmtId="1000" quotePrefix="false">
      <alignment horizontal="left" vertical="top"/>
    </xf>
    <xf applyAlignment="true" applyBorder="true" applyFill="false" applyFont="false" applyNumberFormat="true" borderId="948" fillId="0" fontId="1" numFmtId="1000" quotePrefix="false">
      <alignment horizontal="left" vertical="top"/>
    </xf>
    <xf applyAlignment="true" applyBorder="true" applyFill="false" applyFont="false" applyNumberFormat="true" borderId="949" fillId="0" fontId="1" numFmtId="1000" quotePrefix="false">
      <alignment horizontal="left" vertical="top"/>
    </xf>
    <xf applyAlignment="true" applyBorder="true" applyFill="false" applyFont="false" applyNumberFormat="true" borderId="950" fillId="0" fontId="1" numFmtId="1000" quotePrefix="false">
      <alignment horizontal="left" vertical="top"/>
    </xf>
    <xf applyAlignment="true" applyBorder="true" applyFill="false" applyFont="false" applyNumberFormat="true" borderId="951" fillId="0" fontId="1" numFmtId="1000" quotePrefix="false">
      <alignment horizontal="left" vertical="top"/>
    </xf>
    <xf applyAlignment="true" applyBorder="true" applyFill="false" applyFont="false" applyNumberFormat="true" borderId="952" fillId="0" fontId="1" numFmtId="1000" quotePrefix="false">
      <alignment horizontal="left" vertical="top"/>
    </xf>
    <xf applyAlignment="true" applyBorder="true" applyFill="false" applyFont="false" applyNumberFormat="true" borderId="953" fillId="0" fontId="1" numFmtId="1000" quotePrefix="false">
      <alignment horizontal="left" vertical="top"/>
    </xf>
    <xf applyAlignment="true" applyBorder="true" applyFill="false" applyFont="false" applyNumberFormat="true" borderId="954" fillId="0" fontId="1" numFmtId="1000" quotePrefix="false">
      <alignment horizontal="left" vertical="top"/>
    </xf>
    <xf applyAlignment="true" applyBorder="true" applyFill="false" applyFont="false" applyNumberFormat="true" borderId="955" fillId="0" fontId="1" numFmtId="1000" quotePrefix="false">
      <alignment horizontal="left" vertical="top"/>
    </xf>
    <xf applyAlignment="true" applyBorder="true" applyFill="false" applyFont="false" applyNumberFormat="true" borderId="956" fillId="0" fontId="1" numFmtId="1000" quotePrefix="false">
      <alignment horizontal="left" vertical="top"/>
    </xf>
    <xf applyAlignment="true" applyBorder="true" applyFill="false" applyFont="false" applyNumberFormat="true" borderId="957" fillId="0" fontId="1" numFmtId="1000" quotePrefix="false">
      <alignment horizontal="left" vertical="top"/>
    </xf>
    <xf applyAlignment="true" applyBorder="true" applyFill="false" applyFont="false" applyNumberFormat="true" borderId="958" fillId="0" fontId="1" numFmtId="1000" quotePrefix="false">
      <alignment horizontal="left" vertical="top"/>
    </xf>
    <xf applyAlignment="true" applyBorder="true" applyFill="false" applyFont="false" applyNumberFormat="true" borderId="959" fillId="0" fontId="1" numFmtId="1000" quotePrefix="false">
      <alignment horizontal="left" vertical="top"/>
    </xf>
    <xf applyAlignment="true" applyBorder="true" applyFill="false" applyFont="false" applyNumberFormat="true" borderId="960" fillId="0" fontId="1" numFmtId="1000" quotePrefix="false">
      <alignment horizontal="left" vertical="top"/>
    </xf>
    <xf applyAlignment="true" applyBorder="true" applyFill="false" applyFont="false" applyNumberFormat="true" borderId="961" fillId="0" fontId="1" numFmtId="1000" quotePrefix="false">
      <alignment horizontal="left" vertical="top"/>
    </xf>
    <xf applyAlignment="true" applyBorder="true" applyFill="false" applyFont="false" applyNumberFormat="true" borderId="962" fillId="0" fontId="1" numFmtId="1000" quotePrefix="false">
      <alignment horizontal="left" vertical="top"/>
    </xf>
    <xf applyAlignment="true" applyBorder="true" applyFill="false" applyFont="false" applyNumberFormat="true" borderId="963" fillId="0" fontId="1" numFmtId="1000" quotePrefix="false">
      <alignment horizontal="left" vertical="top"/>
    </xf>
    <xf applyAlignment="true" applyBorder="true" applyFill="false" applyFont="true" applyNumberFormat="true" borderId="964" fillId="0" fontId="2" numFmtId="1000" quotePrefix="false">
      <alignment horizontal="center"/>
    </xf>
    <xf applyAlignment="true" applyBorder="true" applyFill="false" applyFont="true" applyNumberFormat="true" borderId="965" fillId="0" fontId="2" numFmtId="1000" quotePrefix="false">
      <alignment horizontal="center"/>
    </xf>
    <xf applyAlignment="true" applyBorder="true" applyFill="false" applyFont="true" applyNumberFormat="true" borderId="966" fillId="0" fontId="2" numFmtId="1000" quotePrefix="false">
      <alignment horizontal="center"/>
    </xf>
    <xf applyAlignment="true" applyBorder="true" applyFill="false" applyFont="false" applyNumberFormat="true" borderId="967" fillId="0" fontId="1" numFmtId="1000" quotePrefix="false">
      <alignment horizontal="center" vertical="top"/>
    </xf>
    <xf applyAlignment="true" applyBorder="true" applyFill="false" applyFont="false" applyNumberFormat="true" borderId="968" fillId="0" fontId="1" numFmtId="1000" quotePrefix="false">
      <alignment horizontal="center" vertical="top"/>
    </xf>
    <xf applyAlignment="true" applyBorder="true" applyFill="false" applyFont="false" applyNumberFormat="true" borderId="969" fillId="0" fontId="1" numFmtId="1000" quotePrefix="false">
      <alignment horizontal="center" vertical="top"/>
    </xf>
    <xf applyAlignment="true" applyBorder="true" applyFill="false" applyFont="false" applyNumberFormat="true" borderId="970" fillId="0" fontId="1" numFmtId="1000" quotePrefix="false">
      <alignment horizontal="center" vertical="top"/>
    </xf>
    <xf applyAlignment="true" applyBorder="true" applyFill="false" applyFont="false" applyNumberFormat="true" borderId="971" fillId="0" fontId="1" numFmtId="1000" quotePrefix="false">
      <alignment horizontal="center" vertical="top"/>
    </xf>
    <xf applyAlignment="true" applyBorder="true" applyFill="false" applyFont="false" applyNumberFormat="true" borderId="972" fillId="0" fontId="1" numFmtId="1000" quotePrefix="false">
      <alignment horizontal="center" vertical="top"/>
    </xf>
    <xf applyAlignment="true" applyBorder="true" applyFill="false" applyFont="false" applyNumberFormat="true" borderId="973" fillId="0" fontId="1" numFmtId="1000" quotePrefix="false">
      <alignment horizontal="center" vertical="top"/>
    </xf>
    <xf applyAlignment="true" applyBorder="true" applyFill="false" applyFont="false" applyNumberFormat="true" borderId="974" fillId="0" fontId="1" numFmtId="1000" quotePrefix="false">
      <alignment horizontal="center" vertical="top"/>
    </xf>
    <xf applyAlignment="true" applyBorder="true" applyFill="false" applyFont="false" applyNumberFormat="true" borderId="975" fillId="0" fontId="1" numFmtId="1000" quotePrefix="false">
      <alignment horizontal="center" vertical="top"/>
    </xf>
    <xf applyAlignment="true" applyBorder="true" applyFill="false" applyFont="false" applyNumberFormat="true" borderId="976" fillId="0" fontId="1" numFmtId="1000" quotePrefix="false">
      <alignment horizontal="center" vertical="top"/>
    </xf>
    <xf applyAlignment="true" applyBorder="true" applyFill="false" applyFont="false" applyNumberFormat="true" borderId="977" fillId="0" fontId="1" numFmtId="1000" quotePrefix="false">
      <alignment horizontal="center" vertical="top"/>
    </xf>
    <xf applyAlignment="true" applyBorder="true" applyFill="false" applyFont="false" applyNumberFormat="true" borderId="978" fillId="0" fontId="1" numFmtId="1000" quotePrefix="false">
      <alignment horizontal="center" vertical="top"/>
    </xf>
    <xf applyAlignment="true" applyBorder="true" applyFill="false" applyFont="false" applyNumberFormat="true" borderId="979" fillId="0" fontId="1" numFmtId="1000" quotePrefix="false">
      <alignment horizontal="center" vertical="top"/>
    </xf>
    <xf applyAlignment="true" applyBorder="true" applyFill="false" applyFont="false" applyNumberFormat="true" borderId="980" fillId="0" fontId="1" numFmtId="1000" quotePrefix="false">
      <alignment horizontal="center" vertical="top"/>
    </xf>
    <xf applyAlignment="true" applyBorder="true" applyFill="false" applyFont="false" applyNumberFormat="true" borderId="981" fillId="0" fontId="1" numFmtId="1000" quotePrefix="false">
      <alignment horizontal="center" vertical="top"/>
    </xf>
    <xf applyAlignment="true" applyBorder="true" applyFill="false" applyFont="false" applyNumberFormat="true" borderId="982" fillId="0" fontId="1" numFmtId="1000" quotePrefix="false">
      <alignment horizontal="center" vertical="top"/>
    </xf>
    <xf applyAlignment="true" applyBorder="true" applyFill="false" applyFont="false" applyNumberFormat="true" borderId="983" fillId="0" fontId="1" numFmtId="1000" quotePrefix="false">
      <alignment horizontal="center" vertical="top"/>
    </xf>
    <xf applyAlignment="true" applyBorder="true" applyFill="false" applyFont="false" applyNumberFormat="true" borderId="984" fillId="0" fontId="1" numFmtId="1000" quotePrefix="false">
      <alignment horizontal="center" vertical="top"/>
    </xf>
    <xf applyAlignment="true" applyBorder="true" applyFill="false" applyFont="false" applyNumberFormat="true" borderId="985" fillId="0" fontId="1" numFmtId="1000" quotePrefix="false">
      <alignment horizontal="center" vertical="top"/>
    </xf>
    <xf applyAlignment="true" applyBorder="true" applyFill="true" applyFont="false" applyNumberFormat="true" borderId="85" fillId="4" fontId="1" numFmtId="1000" quotePrefix="false">
      <alignment vertical="top" wrapText="true"/>
    </xf>
    <xf applyAlignment="true" applyBorder="true" applyFill="true" applyFont="false" applyNumberFormat="true" borderId="986" fillId="3" fontId="1" numFmtId="1000" quotePrefix="false">
      <alignment horizontal="center" vertical="top" wrapText="true"/>
    </xf>
    <xf applyAlignment="true" applyBorder="true" applyFill="true" applyFont="false" applyNumberFormat="true" borderId="987" fillId="3" fontId="1" numFmtId="1000" quotePrefix="false">
      <alignment horizontal="center" vertical="top" wrapText="true"/>
    </xf>
    <xf applyAlignment="true" applyBorder="true" applyFill="false" applyFont="false" applyNumberFormat="true" borderId="988" fillId="0" fontId="1" numFmtId="1000" quotePrefix="false">
      <alignment horizontal="center" vertical="top"/>
    </xf>
    <xf applyAlignment="true" applyBorder="true" applyFill="false" applyFont="false" applyNumberFormat="true" borderId="989" fillId="0" fontId="1" numFmtId="1000" quotePrefix="false">
      <alignment horizontal="center" vertical="top"/>
    </xf>
    <xf applyAlignment="true" applyBorder="true" applyFill="false" applyFont="false" applyNumberFormat="true" borderId="990" fillId="0" fontId="1" numFmtId="1000" quotePrefix="false">
      <alignment horizontal="center" vertical="top"/>
    </xf>
    <xf applyAlignment="true" applyBorder="true" applyFill="false" applyFont="false" applyNumberFormat="true" borderId="991" fillId="0" fontId="1" numFmtId="1000" quotePrefix="false">
      <alignment horizontal="center" vertical="top"/>
    </xf>
    <xf applyAlignment="true" applyBorder="true" applyFill="false" applyFont="false" applyNumberFormat="true" borderId="992" fillId="0" fontId="1" numFmtId="1000" quotePrefix="false">
      <alignment horizontal="center" vertical="top"/>
    </xf>
    <xf applyAlignment="true" applyBorder="true" applyFill="false" applyFont="false" applyNumberFormat="true" borderId="993" fillId="0" fontId="1" numFmtId="1000" quotePrefix="false">
      <alignment horizontal="center" vertical="top"/>
    </xf>
    <xf applyAlignment="true" applyBorder="true" applyFill="true" applyFont="false" applyNumberFormat="true" borderId="994" fillId="3" fontId="1" numFmtId="1000" quotePrefix="false">
      <alignment horizontal="center" vertical="top" wrapText="true"/>
    </xf>
    <xf applyAlignment="true" applyBorder="true" applyFill="true" applyFont="false" applyNumberFormat="true" borderId="995" fillId="3" fontId="1" numFmtId="1000" quotePrefix="false">
      <alignment horizontal="center" vertical="top" wrapText="true"/>
    </xf>
    <xf applyAlignment="true" applyBorder="true" applyFill="false" applyFont="false" applyNumberFormat="true" borderId="996" fillId="0" fontId="1" numFmtId="1000" quotePrefix="false">
      <alignment horizontal="center" vertical="top"/>
    </xf>
    <xf applyAlignment="true" applyBorder="true" applyFill="false" applyFont="false" applyNumberFormat="true" borderId="997" fillId="0" fontId="1" numFmtId="1000" quotePrefix="false">
      <alignment horizontal="center" vertical="top"/>
    </xf>
    <xf applyAlignment="true" applyBorder="true" applyFill="true" applyFont="false" applyNumberFormat="true" borderId="998" fillId="4" fontId="1" numFmtId="1000" quotePrefix="false">
      <alignment horizontal="center" vertical="top" wrapText="true"/>
    </xf>
    <xf applyAlignment="true" applyBorder="true" applyFill="false" applyFont="false" applyNumberFormat="true" borderId="999" fillId="0" fontId="1" numFmtId="1000" quotePrefix="false">
      <alignment horizontal="center" vertical="top"/>
    </xf>
    <xf applyAlignment="true" applyBorder="true" applyFill="false" applyFont="false" applyNumberFormat="true" borderId="1000" fillId="0" fontId="1" numFmtId="1000" quotePrefix="false">
      <alignment horizontal="center" vertical="top"/>
    </xf>
    <xf applyAlignment="true" applyBorder="true" applyFill="false" applyFont="false" applyNumberFormat="true" borderId="1001" fillId="0" fontId="1" numFmtId="1000" quotePrefix="false">
      <alignment horizontal="center" vertical="top"/>
    </xf>
    <xf applyAlignment="true" applyBorder="true" applyFill="false" applyFont="false" applyNumberFormat="true" borderId="1002" fillId="0" fontId="1" numFmtId="1000" quotePrefix="false">
      <alignment horizontal="center" vertical="top"/>
    </xf>
    <xf applyAlignment="true" applyBorder="true" applyFill="false" applyFont="false" applyNumberFormat="true" borderId="1003" fillId="0" fontId="1" numFmtId="1000" quotePrefix="false">
      <alignment horizontal="center" vertical="top"/>
    </xf>
    <xf applyAlignment="true" applyBorder="true" applyFill="false" applyFont="false" applyNumberFormat="true" borderId="1004" fillId="0" fontId="1" numFmtId="1000" quotePrefix="false">
      <alignment horizontal="center" vertical="top"/>
    </xf>
    <xf applyAlignment="true" applyBorder="true" applyFill="false" applyFont="true" applyNumberFormat="true" borderId="1005" fillId="0" fontId="2" numFmtId="1000" quotePrefix="false">
      <alignment horizontal="center" vertical="top"/>
    </xf>
    <xf applyAlignment="true" applyBorder="true" applyFill="false" applyFont="true" applyNumberFormat="true" borderId="1006" fillId="0" fontId="2" numFmtId="1000" quotePrefix="false">
      <alignment horizontal="center"/>
    </xf>
    <xf applyAlignment="true" applyBorder="true" applyFill="false" applyFont="true" applyNumberFormat="true" borderId="1007" fillId="0" fontId="2" numFmtId="1000" quotePrefix="false">
      <alignment horizontal="center"/>
    </xf>
    <xf applyAlignment="true" applyBorder="true" applyFill="false" applyFont="true" applyNumberFormat="true" borderId="1008" fillId="0" fontId="2" numFmtId="1000" quotePrefix="false">
      <alignment horizontal="center"/>
    </xf>
    <xf applyAlignment="true" applyBorder="true" applyFill="false" applyFont="false" applyNumberFormat="true" borderId="1009" fillId="0" fontId="1" numFmtId="1000" quotePrefix="false">
      <alignment horizontal="center" vertical="top"/>
    </xf>
    <xf applyAlignment="true" applyBorder="true" applyFill="false" applyFont="false" applyNumberFormat="true" borderId="1010" fillId="0" fontId="1" numFmtId="1000" quotePrefix="false">
      <alignment horizontal="center" vertical="top"/>
    </xf>
    <xf applyAlignment="true" applyBorder="true" applyFill="false" applyFont="false" applyNumberFormat="true" borderId="1011" fillId="0" fontId="1" numFmtId="1000" quotePrefix="false">
      <alignment horizontal="center" vertical="top"/>
    </xf>
    <xf applyAlignment="true" applyBorder="true" applyFill="false" applyFont="false" applyNumberFormat="true" borderId="1012" fillId="0" fontId="1" numFmtId="1000" quotePrefix="false">
      <alignment horizontal="center" vertical="top"/>
    </xf>
    <xf applyAlignment="true" applyBorder="true" applyFill="false" applyFont="false" applyNumberFormat="true" borderId="1013" fillId="0" fontId="1" numFmtId="1000" quotePrefix="false">
      <alignment horizontal="center" vertical="top"/>
    </xf>
    <xf applyAlignment="true" applyBorder="true" applyFill="false" applyFont="false" applyNumberFormat="true" borderId="1014" fillId="0" fontId="1" numFmtId="1000" quotePrefix="false">
      <alignment horizontal="center" vertical="top"/>
    </xf>
    <xf applyAlignment="true" applyBorder="true" applyFill="false" applyFont="false" applyNumberFormat="true" borderId="1015" fillId="0" fontId="1" numFmtId="1000" quotePrefix="false">
      <alignment horizontal="center" vertical="top"/>
    </xf>
    <xf applyAlignment="true" applyBorder="true" applyFill="false" applyFont="false" applyNumberFormat="true" borderId="1016" fillId="0" fontId="1" numFmtId="1000" quotePrefix="false">
      <alignment horizontal="center" vertical="top"/>
    </xf>
    <xf applyAlignment="true" applyBorder="true" applyFill="false" applyFont="false" applyNumberFormat="true" borderId="1017" fillId="0" fontId="1" numFmtId="1000" quotePrefix="false">
      <alignment horizontal="center" vertical="top"/>
    </xf>
    <xf applyAlignment="true" applyBorder="true" applyFill="false" applyFont="false" applyNumberFormat="true" borderId="1018" fillId="0" fontId="1" numFmtId="1000" quotePrefix="false">
      <alignment horizontal="center" vertical="top"/>
    </xf>
    <xf applyAlignment="true" applyBorder="true" applyFill="false" applyFont="false" applyNumberFormat="true" borderId="1019" fillId="0" fontId="1" numFmtId="1000" quotePrefix="false">
      <alignment horizontal="center" vertical="top"/>
    </xf>
    <xf applyAlignment="true" applyBorder="true" applyFill="false" applyFont="false" applyNumberFormat="true" borderId="1020" fillId="0" fontId="1" numFmtId="1000" quotePrefix="false">
      <alignment horizontal="center" vertical="top"/>
    </xf>
    <xf applyAlignment="true" applyBorder="true" applyFill="false" applyFont="false" applyNumberFormat="true" borderId="1021" fillId="0" fontId="1" numFmtId="1000" quotePrefix="false">
      <alignment horizontal="center" vertical="top"/>
    </xf>
    <xf applyAlignment="true" applyBorder="true" applyFill="false" applyFont="false" applyNumberFormat="true" borderId="1022" fillId="0" fontId="1" numFmtId="1000" quotePrefix="false">
      <alignment horizontal="center" vertical="top"/>
    </xf>
    <xf applyAlignment="true" applyBorder="true" applyFill="false" applyFont="false" applyNumberFormat="true" borderId="1023" fillId="0" fontId="1" numFmtId="1000" quotePrefix="false">
      <alignment horizontal="center" vertical="top"/>
    </xf>
    <xf applyAlignment="true" applyBorder="true" applyFill="false" applyFont="false" applyNumberFormat="true" borderId="1024" fillId="0" fontId="1" numFmtId="1000" quotePrefix="false">
      <alignment horizontal="center" vertical="top"/>
    </xf>
    <xf applyAlignment="true" applyBorder="true" applyFill="false" applyFont="false" applyNumberFormat="true" borderId="1025" fillId="0" fontId="1" numFmtId="1000" quotePrefix="false">
      <alignment horizontal="center" vertical="top"/>
    </xf>
    <xf applyAlignment="true" applyBorder="true" applyFill="false" applyFont="false" applyNumberFormat="true" borderId="1026" fillId="0" fontId="1" numFmtId="1000" quotePrefix="false">
      <alignment horizontal="center" vertical="top"/>
    </xf>
    <xf applyAlignment="true" applyBorder="true" applyFill="false" applyFont="false" applyNumberFormat="true" borderId="1027" fillId="0" fontId="1" numFmtId="1000" quotePrefix="false">
      <alignment horizontal="center" vertical="top"/>
    </xf>
    <xf applyAlignment="true" applyBorder="true" applyFill="false" applyFont="false" applyNumberFormat="true" borderId="1028" fillId="0" fontId="1" numFmtId="1000" quotePrefix="false">
      <alignment horizontal="center" vertical="top"/>
    </xf>
    <xf applyAlignment="true" applyBorder="true" applyFill="false" applyFont="false" applyNumberFormat="true" borderId="1029" fillId="0" fontId="1" numFmtId="1000" quotePrefix="false">
      <alignment horizontal="center" vertical="top"/>
    </xf>
    <xf applyAlignment="true" applyBorder="true" applyFill="false" applyFont="false" applyNumberFormat="true" borderId="1030" fillId="0" fontId="1" numFmtId="1000" quotePrefix="false">
      <alignment horizontal="center" vertical="top"/>
    </xf>
    <xf applyAlignment="true" applyBorder="true" applyFill="false" applyFont="false" applyNumberFormat="true" borderId="1031" fillId="0" fontId="1" numFmtId="1000" quotePrefix="false">
      <alignment horizontal="center" vertical="top"/>
    </xf>
    <xf applyAlignment="true" applyBorder="true" applyFill="false" applyFont="false" applyNumberFormat="true" borderId="1032" fillId="0" fontId="1" numFmtId="1000" quotePrefix="false">
      <alignment horizontal="center" vertical="top"/>
    </xf>
    <xf applyAlignment="true" applyBorder="true" applyFill="false" applyFont="false" applyNumberFormat="true" borderId="1033" fillId="0" fontId="1" numFmtId="1000" quotePrefix="false">
      <alignment horizontal="center" vertical="top"/>
    </xf>
    <xf applyAlignment="true" applyBorder="true" applyFill="false" applyFont="false" applyNumberFormat="true" borderId="1034" fillId="0" fontId="1" numFmtId="1000" quotePrefix="false">
      <alignment horizontal="center" vertical="top"/>
    </xf>
    <xf applyAlignment="true" applyBorder="true" applyFill="false" applyFont="false" applyNumberFormat="true" borderId="1035" fillId="0" fontId="1" numFmtId="1000" quotePrefix="false">
      <alignment horizontal="center" vertical="top"/>
    </xf>
    <xf applyAlignment="true" applyBorder="true" applyFill="false" applyFont="false" applyNumberFormat="true" borderId="1036" fillId="0" fontId="1" numFmtId="1000" quotePrefix="false">
      <alignment horizontal="center"/>
    </xf>
    <xf applyAlignment="true" applyBorder="true" applyFill="true" applyFont="true" applyNumberFormat="true" borderId="1037" fillId="9" fontId="2" numFmtId="1000" quotePrefix="false">
      <alignment horizontal="center"/>
    </xf>
    <xf applyAlignment="true" applyBorder="true" applyFill="true" applyFont="true" applyNumberFormat="true" borderId="78" fillId="9" fontId="2" numFmtId="1000" quotePrefix="false">
      <alignment horizontal="center"/>
    </xf>
    <xf applyAlignment="true" applyBorder="true" applyFill="true" applyFont="false" applyNumberFormat="true" borderId="103" fillId="6" fontId="1" numFmtId="1000" quotePrefix="false">
      <alignment horizontal="center"/>
    </xf>
    <xf applyAlignment="true" applyBorder="true" applyFill="true" applyFont="false" applyNumberFormat="true" borderId="76" fillId="6" fontId="1" numFmtId="1000" quotePrefix="false">
      <alignment horizontal="center"/>
    </xf>
    <xf applyAlignment="true" applyBorder="true" applyFill="true" applyFont="false" applyNumberFormat="true" borderId="25" fillId="5" fontId="1" numFmtId="1000" quotePrefix="false">
      <alignment horizontal="center"/>
    </xf>
    <xf applyAlignment="true" applyBorder="false" applyFill="true" applyFont="false" applyNumberFormat="true" borderId="0" fillId="5" fontId="1" numFmtId="1000" quotePrefix="false">
      <alignment horizontal="center"/>
    </xf>
    <xf applyBorder="false" applyFill="true" applyFont="true" applyNumberFormat="true" borderId="0" fillId="16" fontId="6" numFmtId="1000" quotePrefix="false"/>
    <xf applyAlignment="true" applyBorder="true" applyFill="true" applyFont="false" applyNumberFormat="true" borderId="1038" fillId="8" fontId="1" numFmtId="1000" quotePrefix="false">
      <alignment horizontal="center"/>
    </xf>
    <xf applyAlignment="true" applyBorder="true" applyFill="true" applyFont="false" applyNumberFormat="true" borderId="1039" fillId="8" fontId="1" numFmtId="1000" quotePrefix="false">
      <alignment horizontal="center"/>
    </xf>
    <xf applyAlignment="true" applyBorder="true" applyFill="false" applyFont="true" applyNumberFormat="true" borderId="28" fillId="0" fontId="6" numFmtId="1000" quotePrefix="false">
      <alignment horizontal="center"/>
    </xf>
    <xf applyAlignment="true" applyBorder="true" applyFill="false" applyFont="true" applyNumberFormat="true" borderId="1040" fillId="0" fontId="6" numFmtId="1000" quotePrefix="false">
      <alignment horizontal="center"/>
    </xf>
    <xf applyAlignment="true" applyBorder="true" applyFill="false" applyFont="true" applyNumberFormat="true" borderId="1041" fillId="0" fontId="6" numFmtId="1000" quotePrefix="false">
      <alignment horizontal="center"/>
    </xf>
    <xf applyAlignment="true" applyBorder="true" applyFill="false" applyFont="true" applyNumberFormat="true" borderId="1042" fillId="0" fontId="6" numFmtId="1000" quotePrefix="false">
      <alignment horizontal="center"/>
    </xf>
    <xf applyAlignment="true" applyBorder="true" applyFill="false" applyFont="true" applyNumberFormat="true" borderId="1043" fillId="0" fontId="6" numFmtId="1000" quotePrefix="false">
      <alignment horizontal="center"/>
    </xf>
    <xf applyAlignment="true" applyBorder="true" applyFill="false" applyFont="true" applyNumberFormat="true" borderId="1044" fillId="0" fontId="6" numFmtId="1000" quotePrefix="false">
      <alignment horizontal="center"/>
    </xf>
    <xf applyAlignment="true" applyBorder="true" applyFill="false" applyFont="true" applyNumberFormat="true" borderId="1045" fillId="0" fontId="6" numFmtId="1000" quotePrefix="false">
      <alignment horizontal="center"/>
    </xf>
    <xf applyBorder="true" applyFill="false" applyFont="true" applyNumberFormat="true" borderId="49" fillId="0" fontId="10" numFmtId="1001" quotePrefix="false"/>
    <xf applyAlignment="true" applyBorder="true" applyFill="false" applyFont="true" applyNumberFormat="true" borderId="1046" fillId="0" fontId="2" numFmtId="1000" quotePrefix="false">
      <alignment horizontal="center" vertical="top"/>
    </xf>
    <xf applyAlignment="true" applyBorder="true" applyFill="false" applyFont="false" applyNumberFormat="true" borderId="1047" fillId="0" fontId="1" numFmtId="1000" quotePrefix="false">
      <alignment horizontal="left" vertical="top"/>
    </xf>
    <xf applyAlignment="true" applyBorder="true" applyFill="false" applyFont="false" applyNumberFormat="true" borderId="1048" fillId="0" fontId="1" numFmtId="1000" quotePrefix="false">
      <alignment horizontal="left" vertical="top"/>
    </xf>
    <xf applyAlignment="true" applyBorder="true" applyFill="false" applyFont="false" applyNumberFormat="true" borderId="1049" fillId="0" fontId="1" numFmtId="1000" quotePrefix="false">
      <alignment horizontal="left" vertical="top"/>
    </xf>
    <xf applyAlignment="true" applyBorder="true" applyFill="false" applyFont="false" applyNumberFormat="true" borderId="1050" fillId="0" fontId="1" numFmtId="1000" quotePrefix="false">
      <alignment horizontal="left" vertical="top"/>
    </xf>
    <xf applyAlignment="true" applyBorder="true" applyFill="false" applyFont="false" applyNumberFormat="true" borderId="1051" fillId="0" fontId="1" numFmtId="1000" quotePrefix="false">
      <alignment horizontal="left" vertical="top"/>
    </xf>
    <xf applyAlignment="true" applyBorder="true" applyFill="false" applyFont="false" applyNumberFormat="true" borderId="1052" fillId="0" fontId="1" numFmtId="1000" quotePrefix="false">
      <alignment horizontal="left" vertical="top"/>
    </xf>
    <xf applyAlignment="true" applyBorder="true" applyFill="false" applyFont="false" applyNumberFormat="true" borderId="1053" fillId="0" fontId="1" numFmtId="1000" quotePrefix="false">
      <alignment horizontal="left" vertical="top"/>
    </xf>
    <xf applyAlignment="true" applyBorder="true" applyFill="false" applyFont="false" applyNumberFormat="true" borderId="1054" fillId="0" fontId="1" numFmtId="1000" quotePrefix="false">
      <alignment horizontal="left" vertical="top"/>
    </xf>
    <xf applyAlignment="true" applyBorder="true" applyFill="false" applyFont="false" applyNumberFormat="true" borderId="1055" fillId="0" fontId="1" numFmtId="1000" quotePrefix="false">
      <alignment horizontal="left" vertical="top"/>
    </xf>
    <xf applyAlignment="true" applyBorder="true" applyFill="false" applyFont="false" applyNumberFormat="true" borderId="1056" fillId="0" fontId="1" numFmtId="1000" quotePrefix="false">
      <alignment horizontal="left" vertical="top"/>
    </xf>
    <xf applyAlignment="true" applyBorder="true" applyFill="false" applyFont="false" applyNumberFormat="true" borderId="1057" fillId="0" fontId="1" numFmtId="1000" quotePrefix="false">
      <alignment horizontal="left" vertical="top"/>
    </xf>
    <xf applyAlignment="true" applyBorder="true" applyFill="false" applyFont="false" applyNumberFormat="true" borderId="1058" fillId="0" fontId="1" numFmtId="1000" quotePrefix="false">
      <alignment horizontal="left" vertical="top"/>
    </xf>
    <xf applyAlignment="true" applyBorder="true" applyFill="false" applyFont="false" applyNumberFormat="true" borderId="1059" fillId="0" fontId="1" numFmtId="1000" quotePrefix="false">
      <alignment horizontal="left" vertical="top"/>
    </xf>
    <xf applyAlignment="true" applyBorder="true" applyFill="false" applyFont="false" applyNumberFormat="true" borderId="1060" fillId="0" fontId="1" numFmtId="1000" quotePrefix="false">
      <alignment horizontal="left" vertical="top"/>
    </xf>
    <xf applyAlignment="true" applyBorder="true" applyFill="false" applyFont="false" applyNumberFormat="true" borderId="1061" fillId="0" fontId="1" numFmtId="1000" quotePrefix="false">
      <alignment horizontal="left" vertical="top"/>
    </xf>
    <xf applyAlignment="true" applyBorder="true" applyFill="false" applyFont="false" applyNumberFormat="true" borderId="1062" fillId="0" fontId="1" numFmtId="1000" quotePrefix="false">
      <alignment horizontal="left" vertical="top"/>
    </xf>
    <xf applyAlignment="true" applyBorder="true" applyFill="false" applyFont="false" applyNumberFormat="true" borderId="1063" fillId="0" fontId="1" numFmtId="1000" quotePrefix="false">
      <alignment horizontal="left" vertical="top"/>
    </xf>
    <xf applyAlignment="true" applyBorder="true" applyFill="false" applyFont="false" applyNumberFormat="true" borderId="1064" fillId="0" fontId="1" numFmtId="1000" quotePrefix="false">
      <alignment horizontal="left" vertical="top"/>
    </xf>
    <xf applyAlignment="true" applyBorder="true" applyFill="false" applyFont="false" applyNumberFormat="true" borderId="1065" fillId="0" fontId="1" numFmtId="1000" quotePrefix="false">
      <alignment horizontal="left" vertical="top"/>
    </xf>
    <xf applyAlignment="true" applyBorder="true" applyFill="false" applyFont="true" applyNumberFormat="true" borderId="1066" fillId="0" fontId="2" numFmtId="1000" quotePrefix="false">
      <alignment horizontal="center"/>
    </xf>
    <xf applyAlignment="true" applyBorder="true" applyFill="false" applyFont="true" applyNumberFormat="true" borderId="1067" fillId="0" fontId="2" numFmtId="1000" quotePrefix="false">
      <alignment horizontal="center"/>
    </xf>
    <xf applyAlignment="true" applyBorder="true" applyFill="false" applyFont="true" applyNumberFormat="true" borderId="1068" fillId="0" fontId="2" numFmtId="1000" quotePrefix="false">
      <alignment horizontal="center"/>
    </xf>
    <xf applyAlignment="true" applyBorder="true" applyFill="false" applyFont="false" applyNumberFormat="true" borderId="1069" fillId="0" fontId="1" numFmtId="1000" quotePrefix="false">
      <alignment horizontal="center" vertical="top"/>
    </xf>
    <xf applyAlignment="true" applyBorder="true" applyFill="false" applyFont="false" applyNumberFormat="true" borderId="1070" fillId="0" fontId="1" numFmtId="1000" quotePrefix="false">
      <alignment horizontal="center" vertical="top"/>
    </xf>
    <xf applyAlignment="true" applyBorder="true" applyFill="false" applyFont="false" applyNumberFormat="true" borderId="1071" fillId="0" fontId="1" numFmtId="1000" quotePrefix="false">
      <alignment horizontal="center" vertical="top"/>
    </xf>
    <xf applyAlignment="true" applyBorder="true" applyFill="false" applyFont="false" applyNumberFormat="true" borderId="1072" fillId="0" fontId="1" numFmtId="1000" quotePrefix="false">
      <alignment horizontal="center" vertical="top"/>
    </xf>
    <xf applyAlignment="true" applyBorder="true" applyFill="false" applyFont="false" applyNumberFormat="true" borderId="1073" fillId="0" fontId="1" numFmtId="1000" quotePrefix="false">
      <alignment horizontal="center" vertical="top"/>
    </xf>
    <xf applyAlignment="true" applyBorder="true" applyFill="false" applyFont="false" applyNumberFormat="true" borderId="1074" fillId="0" fontId="1" numFmtId="1000" quotePrefix="false">
      <alignment horizontal="center" vertical="top"/>
    </xf>
    <xf applyAlignment="true" applyBorder="true" applyFill="false" applyFont="false" applyNumberFormat="true" borderId="1075" fillId="0" fontId="1" numFmtId="1000" quotePrefix="false">
      <alignment horizontal="center" vertical="top"/>
    </xf>
    <xf applyAlignment="true" applyBorder="true" applyFill="false" applyFont="false" applyNumberFormat="true" borderId="1076" fillId="0" fontId="1" numFmtId="1000" quotePrefix="false">
      <alignment horizontal="center" vertical="top"/>
    </xf>
    <xf applyAlignment="true" applyBorder="true" applyFill="false" applyFont="false" applyNumberFormat="true" borderId="1077" fillId="0" fontId="1" numFmtId="1000" quotePrefix="false">
      <alignment horizontal="center" vertical="top"/>
    </xf>
    <xf applyAlignment="true" applyBorder="true" applyFill="false" applyFont="false" applyNumberFormat="true" borderId="1078" fillId="0" fontId="1" numFmtId="1000" quotePrefix="false">
      <alignment horizontal="center" vertical="top"/>
    </xf>
    <xf applyAlignment="true" applyBorder="true" applyFill="false" applyFont="false" applyNumberFormat="true" borderId="1079" fillId="0" fontId="1" numFmtId="1000" quotePrefix="false">
      <alignment horizontal="center" vertical="top"/>
    </xf>
    <xf applyAlignment="true" applyBorder="true" applyFill="false" applyFont="false" applyNumberFormat="true" borderId="1080" fillId="0" fontId="1" numFmtId="1000" quotePrefix="false">
      <alignment horizontal="center" vertical="top"/>
    </xf>
    <xf applyAlignment="true" applyBorder="true" applyFill="false" applyFont="false" applyNumberFormat="true" borderId="1081" fillId="0" fontId="1" numFmtId="1000" quotePrefix="false">
      <alignment horizontal="center" vertical="top"/>
    </xf>
    <xf applyAlignment="true" applyBorder="true" applyFill="false" applyFont="false" applyNumberFormat="true" borderId="1082" fillId="0" fontId="1" numFmtId="1000" quotePrefix="false">
      <alignment horizontal="center" vertical="top"/>
    </xf>
    <xf applyAlignment="true" applyBorder="true" applyFill="false" applyFont="false" applyNumberFormat="true" borderId="1083" fillId="0" fontId="1" numFmtId="1000" quotePrefix="false">
      <alignment horizontal="center" vertical="top"/>
    </xf>
    <xf applyAlignment="true" applyBorder="true" applyFill="false" applyFont="false" applyNumberFormat="true" borderId="1084" fillId="0" fontId="1" numFmtId="1000" quotePrefix="false">
      <alignment horizontal="center" vertical="top"/>
    </xf>
    <xf applyAlignment="true" applyBorder="true" applyFill="true" applyFont="true" applyNumberFormat="true" borderId="1037" fillId="9" fontId="2" numFmtId="1001" quotePrefix="false">
      <alignment horizontal="center"/>
    </xf>
    <xf applyAlignment="true" applyBorder="true" applyFill="false" applyFont="false" applyNumberFormat="true" borderId="1085" fillId="0" fontId="1" numFmtId="1000" quotePrefix="false">
      <alignment horizontal="center" vertical="top"/>
    </xf>
    <xf applyAlignment="true" applyBorder="true" applyFill="true" applyFont="false" applyNumberFormat="true" borderId="85" fillId="2" fontId="1" numFmtId="1000" quotePrefix="false">
      <alignment vertical="top"/>
    </xf>
    <xf applyAlignment="true" applyBorder="true" applyFill="true" applyFont="true" applyNumberFormat="true" borderId="85" fillId="4" fontId="2" numFmtId="1000" quotePrefix="false">
      <alignment vertical="top"/>
    </xf>
    <xf applyAlignment="true" applyBorder="true" applyFill="true" applyFont="false" applyNumberFormat="true" borderId="209" fillId="17" fontId="1" numFmtId="1000" quotePrefix="false">
      <alignment vertical="top"/>
    </xf>
    <xf applyAlignment="true" applyBorder="true" applyFill="false" applyFont="false" applyNumberFormat="true" borderId="1086" fillId="0" fontId="1" numFmtId="1000" quotePrefix="false">
      <alignment horizontal="center" vertical="top"/>
    </xf>
    <xf applyAlignment="true" applyBorder="true" applyFill="false" applyFont="false" applyNumberFormat="true" borderId="1087" fillId="0" fontId="1" numFmtId="1000" quotePrefix="false">
      <alignment horizontal="center" vertical="top"/>
    </xf>
    <xf applyAlignment="true" applyBorder="true" applyFill="false" applyFont="false" applyNumberFormat="true" borderId="1088" fillId="0" fontId="1" numFmtId="1000" quotePrefix="false">
      <alignment horizontal="center" vertical="top"/>
    </xf>
    <xf applyAlignment="true" applyBorder="true" applyFill="false" applyFont="false" applyNumberFormat="true" borderId="1089" fillId="0" fontId="1" numFmtId="1000" quotePrefix="false">
      <alignment horizontal="center" vertical="top"/>
    </xf>
    <xf applyAlignment="true" applyBorder="true" applyFill="false" applyFont="false" applyNumberFormat="true" borderId="1090" fillId="0" fontId="1" numFmtId="1000" quotePrefix="false">
      <alignment horizontal="center" vertical="top"/>
    </xf>
    <xf applyAlignment="true" applyBorder="true" applyFill="false" applyFont="false" applyNumberFormat="true" borderId="1091" fillId="0" fontId="1" numFmtId="1000" quotePrefix="false">
      <alignment horizontal="center" vertical="top"/>
    </xf>
    <xf applyBorder="true" applyFill="false" applyFont="false" applyNumberFormat="true" borderId="49" fillId="0" fontId="1" numFmtId="1001" quotePrefix="false"/>
    <xf applyAlignment="true" applyBorder="true" applyFill="false" applyFont="false" applyNumberFormat="true" borderId="1092" fillId="0" fontId="1" numFmtId="1000" quotePrefix="false">
      <alignment horizontal="center" vertical="top"/>
    </xf>
    <xf applyAlignment="true" applyBorder="true" applyFill="false" applyFont="false" applyNumberFormat="true" borderId="1093" fillId="0" fontId="1" numFmtId="1000" quotePrefix="false">
      <alignment horizontal="center" vertical="top"/>
    </xf>
    <xf applyAlignment="true" applyBorder="true" applyFill="false" applyFont="false" applyNumberFormat="true" borderId="1094" fillId="0" fontId="1" numFmtId="1000" quotePrefix="false">
      <alignment horizontal="center" vertical="top"/>
    </xf>
    <xf applyAlignment="true" applyBorder="true" applyFill="false" applyFont="false" applyNumberFormat="true" borderId="1095" fillId="0" fontId="1" numFmtId="1000" quotePrefix="false">
      <alignment horizontal="center" vertical="top"/>
    </xf>
    <xf applyBorder="false" applyFill="false" applyFont="false" applyNumberFormat="true" borderId="0" fillId="0" fontId="1" numFmtId="1004" quotePrefix="false"/>
    <xf applyAlignment="true" applyBorder="false" applyFill="false" applyFont="false" applyNumberFormat="true" borderId="0" fillId="0" fontId="1" numFmtId="1001" quotePrefix="false">
      <alignment horizontal="right"/>
    </xf>
    <xf applyAlignment="true" applyBorder="false" applyFill="false" applyFont="false" applyNumberFormat="true" borderId="0" fillId="0" fontId="1" numFmtId="1000" quotePrefix="false">
      <alignment horizontal="right"/>
    </xf>
    <xf applyAlignment="true" applyBorder="true" applyFill="true" applyFont="false" applyNumberFormat="true" borderId="1096" fillId="3" fontId="1" numFmtId="1000" quotePrefix="false">
      <alignment horizontal="center" vertical="top" wrapText="true"/>
    </xf>
    <xf applyAlignment="true" applyBorder="true" applyFill="false" applyFont="false" applyNumberFormat="true" borderId="1097" fillId="0" fontId="1" numFmtId="1000" quotePrefix="false">
      <alignment horizontal="center" vertical="top"/>
    </xf>
    <xf applyAlignment="true" applyBorder="true" applyFill="false" applyFont="false" applyNumberFormat="true" borderId="1098" fillId="0" fontId="1" numFmtId="1000" quotePrefix="false">
      <alignment horizontal="center" vertical="top"/>
    </xf>
    <xf applyAlignment="true" applyBorder="true" applyFill="true" applyFont="false" applyNumberFormat="true" borderId="1099" fillId="3" fontId="1" numFmtId="1000" quotePrefix="false">
      <alignment horizontal="center" vertical="top" wrapText="true"/>
    </xf>
    <xf applyAlignment="true" applyBorder="true" applyFill="true" applyFont="true" applyNumberFormat="true" borderId="50" fillId="4" fontId="2" numFmtId="1000" quotePrefix="false">
      <alignment vertical="top"/>
    </xf>
    <xf applyAlignment="true" applyBorder="true" applyFill="true" applyFont="false" applyNumberFormat="true" borderId="1100" fillId="4" fontId="1" numFmtId="1000" quotePrefix="false">
      <alignment horizontal="center" vertical="top" wrapText="true"/>
    </xf>
    <xf applyAlignment="true" applyBorder="true" applyFill="false" applyFont="false" applyNumberFormat="true" borderId="1101" fillId="0" fontId="1" numFmtId="1000" quotePrefix="false">
      <alignment horizontal="center" vertical="top"/>
    </xf>
    <xf applyAlignment="true" applyBorder="true" applyFill="false" applyFont="false" applyNumberFormat="true" borderId="1102" fillId="0" fontId="1" numFmtId="1000" quotePrefix="false">
      <alignment horizontal="center" vertical="top"/>
    </xf>
    <xf applyAlignment="true" applyBorder="true" applyFill="true" applyFont="false" applyNumberFormat="true" borderId="782" fillId="3" fontId="1" numFmtId="1000" quotePrefix="false">
      <alignment vertical="top"/>
    </xf>
    <xf applyAlignment="true" applyBorder="true" applyFill="true" applyFont="true" applyNumberFormat="true" borderId="109" fillId="4" fontId="2" numFmtId="1000" quotePrefix="false">
      <alignment vertical="top"/>
    </xf>
    <xf applyAlignment="true" applyBorder="true" applyFill="true" applyFont="false" applyNumberFormat="true" borderId="109" fillId="10" fontId="1" numFmtId="1000" quotePrefix="false">
      <alignment vertical="top"/>
    </xf>
    <xf applyAlignment="true" applyBorder="true" applyFill="false" applyFont="false" applyNumberFormat="true" borderId="1103" fillId="0" fontId="1" numFmtId="1000" quotePrefix="false">
      <alignment horizontal="center" vertical="top"/>
    </xf>
    <xf applyAlignment="true" applyBorder="true" applyFill="false" applyFont="false" applyNumberFormat="true" borderId="1104" fillId="0" fontId="1" numFmtId="1000" quotePrefix="false">
      <alignment horizontal="center" vertical="top"/>
    </xf>
    <xf applyAlignment="true" applyBorder="true" applyFill="false" applyFont="true" applyNumberFormat="true" borderId="1105" fillId="0" fontId="2" numFmtId="1000" quotePrefix="false">
      <alignment horizontal="center" vertical="top"/>
    </xf>
    <xf applyAlignment="true" applyBorder="true" applyFill="false" applyFont="false" applyNumberFormat="true" borderId="1106" fillId="0" fontId="1" numFmtId="1000" quotePrefix="false">
      <alignment horizontal="left" vertical="top"/>
    </xf>
    <xf applyAlignment="true" applyBorder="true" applyFill="false" applyFont="false" applyNumberFormat="true" borderId="1107" fillId="0" fontId="1" numFmtId="1000" quotePrefix="false">
      <alignment horizontal="left" vertical="top"/>
    </xf>
    <xf applyAlignment="true" applyBorder="true" applyFill="false" applyFont="false" applyNumberFormat="true" borderId="1108" fillId="0" fontId="1" numFmtId="1000" quotePrefix="false">
      <alignment horizontal="left" vertical="top"/>
    </xf>
    <xf applyAlignment="true" applyBorder="true" applyFill="false" applyFont="false" applyNumberFormat="true" borderId="1109" fillId="0" fontId="1" numFmtId="1000" quotePrefix="false">
      <alignment horizontal="left" vertical="top"/>
    </xf>
    <xf applyAlignment="true" applyBorder="true" applyFill="false" applyFont="false" applyNumberFormat="true" borderId="1110" fillId="0" fontId="1" numFmtId="1000" quotePrefix="false">
      <alignment horizontal="left" vertical="top"/>
    </xf>
    <xf applyAlignment="true" applyBorder="true" applyFill="false" applyFont="false" applyNumberFormat="true" borderId="1111" fillId="0" fontId="1" numFmtId="1000" quotePrefix="false">
      <alignment horizontal="left" vertical="top"/>
    </xf>
    <xf applyAlignment="true" applyBorder="true" applyFill="false" applyFont="false" applyNumberFormat="true" borderId="1112" fillId="0" fontId="1" numFmtId="1000" quotePrefix="false">
      <alignment horizontal="left" vertical="top"/>
    </xf>
    <xf applyAlignment="true" applyBorder="true" applyFill="false" applyFont="false" applyNumberFormat="true" borderId="1113" fillId="0" fontId="1" numFmtId="1000" quotePrefix="false">
      <alignment horizontal="left" vertical="top"/>
    </xf>
    <xf applyAlignment="true" applyBorder="true" applyFill="false" applyFont="false" applyNumberFormat="true" borderId="1114" fillId="0" fontId="1" numFmtId="1000" quotePrefix="false">
      <alignment horizontal="left" vertical="top"/>
    </xf>
    <xf applyAlignment="true" applyBorder="true" applyFill="false" applyFont="false" applyNumberFormat="true" borderId="1115" fillId="0" fontId="1" numFmtId="1000" quotePrefix="false">
      <alignment horizontal="left" vertical="top"/>
    </xf>
    <xf applyAlignment="true" applyBorder="true" applyFill="false" applyFont="false" applyNumberFormat="true" borderId="1116" fillId="0" fontId="1" numFmtId="1000" quotePrefix="false">
      <alignment horizontal="left" vertical="top"/>
    </xf>
    <xf applyAlignment="true" applyBorder="true" applyFill="false" applyFont="false" applyNumberFormat="true" borderId="1117" fillId="0" fontId="1" numFmtId="1000" quotePrefix="false">
      <alignment horizontal="left" vertical="top"/>
    </xf>
    <xf applyAlignment="true" applyBorder="true" applyFill="false" applyFont="false" applyNumberFormat="true" borderId="1118" fillId="0" fontId="1" numFmtId="1000" quotePrefix="false">
      <alignment horizontal="left" vertical="top"/>
    </xf>
    <xf applyAlignment="true" applyBorder="true" applyFill="false" applyFont="false" applyNumberFormat="true" borderId="1119" fillId="0" fontId="1" numFmtId="1000" quotePrefix="false">
      <alignment horizontal="left" vertical="top"/>
    </xf>
    <xf applyAlignment="true" applyBorder="true" applyFill="false" applyFont="false" applyNumberFormat="true" borderId="1120" fillId="0" fontId="1" numFmtId="1000" quotePrefix="false">
      <alignment horizontal="left" vertical="top"/>
    </xf>
    <xf applyAlignment="true" applyBorder="true" applyFill="false" applyFont="false" applyNumberFormat="true" borderId="1121" fillId="0" fontId="1" numFmtId="1000" quotePrefix="false">
      <alignment horizontal="left" vertical="top"/>
    </xf>
    <xf applyAlignment="true" applyBorder="true" applyFill="false" applyFont="false" applyNumberFormat="true" borderId="1122" fillId="0" fontId="1" numFmtId="1000" quotePrefix="false">
      <alignment horizontal="left" vertical="top"/>
    </xf>
    <xf applyAlignment="true" applyBorder="true" applyFill="false" applyFont="false" applyNumberFormat="true" borderId="1123" fillId="0" fontId="1" numFmtId="1000" quotePrefix="false">
      <alignment horizontal="left" vertical="top"/>
    </xf>
    <xf applyAlignment="true" applyBorder="true" applyFill="false" applyFont="false" applyNumberFormat="true" borderId="1124" fillId="0" fontId="1" numFmtId="1000" quotePrefix="false">
      <alignment horizontal="left" vertical="top"/>
    </xf>
    <xf applyAlignment="true" applyBorder="true" applyFill="false" applyFont="true" applyNumberFormat="true" borderId="1125" fillId="0" fontId="2" numFmtId="1000" quotePrefix="false">
      <alignment horizontal="center"/>
    </xf>
    <xf applyAlignment="true" applyBorder="true" applyFill="false" applyFont="true" applyNumberFormat="true" borderId="1126" fillId="0" fontId="2" numFmtId="1000" quotePrefix="false">
      <alignment horizontal="center"/>
    </xf>
    <xf applyAlignment="true" applyBorder="true" applyFill="false" applyFont="true" applyNumberFormat="true" borderId="1127" fillId="0" fontId="2" numFmtId="1000" quotePrefix="false">
      <alignment horizontal="center"/>
    </xf>
    <xf applyAlignment="true" applyBorder="true" applyFill="false" applyFont="false" applyNumberFormat="true" borderId="1128" fillId="0" fontId="1" numFmtId="1000" quotePrefix="false">
      <alignment horizontal="center" vertical="top"/>
    </xf>
    <xf applyAlignment="true" applyBorder="true" applyFill="false" applyFont="false" applyNumberFormat="true" borderId="1129" fillId="0" fontId="1" numFmtId="1000" quotePrefix="false">
      <alignment horizontal="center" vertical="top"/>
    </xf>
    <xf applyAlignment="true" applyBorder="true" applyFill="false" applyFont="false" applyNumberFormat="true" borderId="1130" fillId="0" fontId="1" numFmtId="1000" quotePrefix="false">
      <alignment horizontal="center" vertical="top"/>
    </xf>
    <xf applyAlignment="true" applyBorder="true" applyFill="false" applyFont="false" applyNumberFormat="true" borderId="1131" fillId="0" fontId="1" numFmtId="1000" quotePrefix="false">
      <alignment horizontal="center" vertical="top"/>
    </xf>
    <xf applyAlignment="true" applyBorder="true" applyFill="false" applyFont="false" applyNumberFormat="true" borderId="1132" fillId="0" fontId="1" numFmtId="1000" quotePrefix="false">
      <alignment horizontal="center" vertical="top"/>
    </xf>
    <xf applyAlignment="true" applyBorder="true" applyFill="false" applyFont="false" applyNumberFormat="true" borderId="1133" fillId="0" fontId="1" numFmtId="1000" quotePrefix="false">
      <alignment horizontal="center" vertical="top"/>
    </xf>
    <xf applyAlignment="true" applyBorder="true" applyFill="false" applyFont="false" applyNumberFormat="true" borderId="1134" fillId="0" fontId="1" numFmtId="1000" quotePrefix="false">
      <alignment horizontal="center" vertical="top"/>
    </xf>
    <xf applyAlignment="true" applyBorder="true" applyFill="false" applyFont="false" applyNumberFormat="true" borderId="1135" fillId="0" fontId="1" numFmtId="1000" quotePrefix="false">
      <alignment horizontal="center" vertical="top"/>
    </xf>
    <xf applyAlignment="true" applyBorder="true" applyFill="false" applyFont="false" applyNumberFormat="true" borderId="1136" fillId="0" fontId="1" numFmtId="1000" quotePrefix="false">
      <alignment horizontal="center" vertical="top"/>
    </xf>
    <xf applyAlignment="true" applyBorder="true" applyFill="false" applyFont="false" applyNumberFormat="true" borderId="1137" fillId="0" fontId="1" numFmtId="1000" quotePrefix="false">
      <alignment horizontal="center" vertical="top"/>
    </xf>
    <xf applyAlignment="true" applyBorder="true" applyFill="false" applyFont="false" applyNumberFormat="true" borderId="1138" fillId="0" fontId="1" numFmtId="1000" quotePrefix="false">
      <alignment horizontal="center" vertical="top"/>
    </xf>
    <xf applyAlignment="true" applyBorder="true" applyFill="false" applyFont="false" applyNumberFormat="true" borderId="1139" fillId="0" fontId="1" numFmtId="1000" quotePrefix="false">
      <alignment horizontal="center" vertical="top"/>
    </xf>
    <xf applyAlignment="true" applyBorder="true" applyFill="false" applyFont="false" applyNumberFormat="true" borderId="1140" fillId="0" fontId="1" numFmtId="1000" quotePrefix="false">
      <alignment horizontal="center" vertical="top"/>
    </xf>
    <xf applyAlignment="true" applyBorder="true" applyFill="false" applyFont="false" applyNumberFormat="true" borderId="1141" fillId="0" fontId="1" numFmtId="1000" quotePrefix="false">
      <alignment horizontal="center" vertical="top"/>
    </xf>
    <xf applyAlignment="true" applyBorder="true" applyFill="false" applyFont="false" applyNumberFormat="true" borderId="1142" fillId="0" fontId="1" numFmtId="1000" quotePrefix="false">
      <alignment horizontal="center" vertical="top"/>
    </xf>
    <xf applyAlignment="true" applyBorder="true" applyFill="false" applyFont="false" applyNumberFormat="true" borderId="1143" fillId="0" fontId="1" numFmtId="1000" quotePrefix="false">
      <alignment horizontal="center" vertical="top"/>
    </xf>
    <xf applyAlignment="true" applyBorder="true" applyFill="false" applyFont="false" applyNumberFormat="true" borderId="1144" fillId="0" fontId="1" numFmtId="1000" quotePrefix="false">
      <alignment horizontal="center" vertical="top"/>
    </xf>
    <xf applyAlignment="true" applyBorder="true" applyFill="false" applyFont="false" applyNumberFormat="true" borderId="1145" fillId="0" fontId="1" numFmtId="1000" quotePrefix="false">
      <alignment horizontal="center" vertical="top"/>
    </xf>
    <xf applyAlignment="true" applyBorder="true" applyFill="false" applyFont="false" applyNumberFormat="true" borderId="1146" fillId="0" fontId="1" numFmtId="1000" quotePrefix="false">
      <alignment horizontal="center" vertical="top"/>
    </xf>
    <xf applyAlignment="true" applyBorder="true" applyFill="true" applyFont="false" applyNumberFormat="true" borderId="1147" fillId="4" fontId="1" numFmtId="1000" quotePrefix="false">
      <alignment horizontal="center" vertical="top" wrapText="true"/>
    </xf>
    <xf applyAlignment="true" applyBorder="true" applyFill="false" applyFont="false" applyNumberFormat="true" borderId="1148" fillId="0" fontId="1" numFmtId="1000" quotePrefix="false">
      <alignment horizontal="center" vertical="top"/>
    </xf>
    <xf applyAlignment="true" applyBorder="true" applyFill="false" applyFont="false" applyNumberFormat="true" borderId="1149" fillId="0" fontId="1" numFmtId="1000" quotePrefix="false">
      <alignment horizontal="center" vertical="top"/>
    </xf>
    <xf applyAlignment="true" applyBorder="true" applyFill="false" applyFont="false" applyNumberFormat="true" borderId="1150" fillId="0" fontId="1" numFmtId="1000" quotePrefix="false">
      <alignment horizontal="center" vertical="top"/>
    </xf>
    <xf applyAlignment="true" applyBorder="true" applyFill="false" applyFont="false" applyNumberFormat="true" borderId="1151" fillId="0" fontId="1" numFmtId="1000" quotePrefix="false">
      <alignment horizontal="center" vertical="top"/>
    </xf>
    <xf applyAlignment="true" applyBorder="true" applyFill="false" applyFont="false" applyNumberFormat="true" borderId="1152" fillId="0" fontId="1" numFmtId="1000" quotePrefix="false">
      <alignment horizontal="center" vertical="top"/>
    </xf>
    <xf applyAlignment="true" applyBorder="true" applyFill="false" applyFont="false" applyNumberFormat="true" borderId="1153" fillId="0" fontId="1" numFmtId="1000" quotePrefix="false">
      <alignment horizontal="center" vertical="top"/>
    </xf>
    <xf applyAlignment="true" applyBorder="true" applyFill="false" applyFont="false" applyNumberFormat="true" borderId="1154" fillId="0" fontId="1" numFmtId="1000" quotePrefix="false">
      <alignment horizontal="center" vertical="top"/>
    </xf>
    <xf applyAlignment="true" applyBorder="true" applyFill="false" applyFont="false" applyNumberFormat="true" borderId="1155" fillId="0" fontId="1" numFmtId="1000" quotePrefix="false">
      <alignment horizontal="center" vertical="top"/>
    </xf>
    <xf applyAlignment="true" applyBorder="true" applyFill="false" applyFont="false" applyNumberFormat="true" borderId="1156" fillId="0" fontId="1" numFmtId="1000" quotePrefix="false">
      <alignment horizontal="center" vertical="top"/>
    </xf>
    <xf applyAlignment="true" applyBorder="true" applyFill="false" applyFont="false" applyNumberFormat="true" borderId="1157" fillId="0" fontId="1" numFmtId="1000" quotePrefix="false">
      <alignment horizontal="center" vertical="top"/>
    </xf>
    <xf applyAlignment="true" applyBorder="true" applyFill="false" applyFont="false" applyNumberFormat="true" borderId="1158" fillId="0" fontId="1" numFmtId="1000" quotePrefix="false">
      <alignment horizontal="center" vertical="top"/>
    </xf>
    <xf applyAlignment="true" applyBorder="true" applyFill="false" applyFont="false" applyNumberFormat="true" borderId="1159" fillId="0" fontId="1" numFmtId="1000" quotePrefix="false">
      <alignment horizontal="center" vertical="top"/>
    </xf>
    <xf applyAlignment="true" applyBorder="true" applyFill="false" applyFont="false" applyNumberFormat="true" borderId="1160" fillId="0" fontId="1" numFmtId="1000" quotePrefix="false">
      <alignment horizontal="center" vertical="top"/>
    </xf>
    <xf applyAlignment="true" applyBorder="true" applyFill="false" applyFont="false" applyNumberFormat="true" borderId="1161" fillId="0" fontId="1" numFmtId="1000" quotePrefix="false">
      <alignment horizontal="center" vertical="top"/>
    </xf>
    <xf applyAlignment="true" applyBorder="true" applyFill="false" applyFont="true" applyNumberFormat="true" borderId="1162" fillId="0" fontId="2" numFmtId="1000" quotePrefix="false">
      <alignment horizontal="center" vertical="top"/>
    </xf>
    <xf applyAlignment="true" applyBorder="true" applyFill="false" applyFont="false" applyNumberFormat="true" borderId="1163" fillId="0" fontId="1" numFmtId="1000" quotePrefix="false">
      <alignment horizontal="left" vertical="top"/>
    </xf>
    <xf applyAlignment="true" applyBorder="true" applyFill="false" applyFont="false" applyNumberFormat="true" borderId="1164" fillId="0" fontId="1" numFmtId="1000" quotePrefix="false">
      <alignment horizontal="left" vertical="top"/>
    </xf>
    <xf applyAlignment="true" applyBorder="true" applyFill="false" applyFont="false" applyNumberFormat="true" borderId="1165" fillId="0" fontId="1" numFmtId="1000" quotePrefix="false">
      <alignment horizontal="left" vertical="top"/>
    </xf>
    <xf applyAlignment="true" applyBorder="true" applyFill="false" applyFont="false" applyNumberFormat="true" borderId="1166" fillId="0" fontId="1" numFmtId="1000" quotePrefix="false">
      <alignment horizontal="left" vertical="top"/>
    </xf>
    <xf applyAlignment="true" applyBorder="true" applyFill="false" applyFont="false" applyNumberFormat="true" borderId="1167" fillId="0" fontId="1" numFmtId="1000" quotePrefix="false">
      <alignment horizontal="left" vertical="top"/>
    </xf>
    <xf applyAlignment="true" applyBorder="true" applyFill="false" applyFont="false" applyNumberFormat="true" borderId="1168" fillId="0" fontId="1" numFmtId="1000" quotePrefix="false">
      <alignment horizontal="left" vertical="top"/>
    </xf>
    <xf applyAlignment="true" applyBorder="true" applyFill="false" applyFont="false" applyNumberFormat="true" borderId="1169" fillId="0" fontId="1" numFmtId="1000" quotePrefix="false">
      <alignment horizontal="left" vertical="top"/>
    </xf>
    <xf applyAlignment="true" applyBorder="true" applyFill="false" applyFont="false" applyNumberFormat="true" borderId="1170" fillId="0" fontId="1" numFmtId="1000" quotePrefix="false">
      <alignment horizontal="left" vertical="top"/>
    </xf>
    <xf applyAlignment="true" applyBorder="true" applyFill="false" applyFont="false" applyNumberFormat="true" borderId="1171" fillId="0" fontId="1" numFmtId="1000" quotePrefix="false">
      <alignment horizontal="left" vertical="top"/>
    </xf>
    <xf applyAlignment="true" applyBorder="true" applyFill="false" applyFont="false" applyNumberFormat="true" borderId="1172" fillId="0" fontId="1" numFmtId="1000" quotePrefix="false">
      <alignment horizontal="left" vertical="top"/>
    </xf>
    <xf applyAlignment="true" applyBorder="true" applyFill="false" applyFont="false" applyNumberFormat="true" borderId="1173" fillId="0" fontId="1" numFmtId="1000" quotePrefix="false">
      <alignment horizontal="left" vertical="top"/>
    </xf>
    <xf applyAlignment="true" applyBorder="true" applyFill="false" applyFont="false" applyNumberFormat="true" borderId="1174" fillId="0" fontId="1" numFmtId="1000" quotePrefix="false">
      <alignment horizontal="left" vertical="top"/>
    </xf>
    <xf applyAlignment="true" applyBorder="true" applyFill="false" applyFont="false" applyNumberFormat="true" borderId="1175" fillId="0" fontId="1" numFmtId="1000" quotePrefix="false">
      <alignment horizontal="left" vertical="top"/>
    </xf>
    <xf applyAlignment="true" applyBorder="true" applyFill="false" applyFont="false" applyNumberFormat="true" borderId="1176" fillId="0" fontId="1" numFmtId="1000" quotePrefix="false">
      <alignment horizontal="left" vertical="top"/>
    </xf>
    <xf applyAlignment="true" applyBorder="true" applyFill="false" applyFont="false" applyNumberFormat="true" borderId="1177" fillId="0" fontId="1" numFmtId="1000" quotePrefix="false">
      <alignment horizontal="left" vertical="top"/>
    </xf>
    <xf applyAlignment="true" applyBorder="true" applyFill="false" applyFont="false" applyNumberFormat="true" borderId="1178" fillId="0" fontId="1" numFmtId="1000" quotePrefix="false">
      <alignment horizontal="left" vertical="top"/>
    </xf>
    <xf applyAlignment="true" applyBorder="true" applyFill="false" applyFont="false" applyNumberFormat="true" borderId="1179" fillId="0" fontId="1" numFmtId="1000" quotePrefix="false">
      <alignment horizontal="left" vertical="top"/>
    </xf>
    <xf applyAlignment="true" applyBorder="true" applyFill="false" applyFont="false" applyNumberFormat="true" borderId="1180" fillId="0" fontId="1" numFmtId="1000" quotePrefix="false">
      <alignment horizontal="left" vertical="top"/>
    </xf>
    <xf applyAlignment="true" applyBorder="true" applyFill="false" applyFont="false" applyNumberFormat="true" borderId="1181" fillId="0" fontId="1" numFmtId="1000" quotePrefix="false">
      <alignment horizontal="left" vertical="top"/>
    </xf>
    <xf applyAlignment="true" applyBorder="true" applyFill="false" applyFont="true" applyNumberFormat="true" borderId="1182" fillId="0" fontId="2" numFmtId="1000" quotePrefix="false">
      <alignment horizontal="center"/>
    </xf>
    <xf applyAlignment="true" applyBorder="true" applyFill="false" applyFont="true" applyNumberFormat="true" borderId="1183" fillId="0" fontId="2" numFmtId="1000" quotePrefix="false">
      <alignment horizontal="center"/>
    </xf>
    <xf applyAlignment="true" applyBorder="true" applyFill="false" applyFont="true" applyNumberFormat="true" borderId="1184" fillId="0" fontId="2" numFmtId="1000" quotePrefix="false">
      <alignment horizontal="center"/>
    </xf>
    <xf applyAlignment="true" applyBorder="true" applyFill="false" applyFont="false" applyNumberFormat="true" borderId="1185" fillId="0" fontId="1" numFmtId="1000" quotePrefix="false">
      <alignment horizontal="center" vertical="top"/>
    </xf>
    <xf applyAlignment="true" applyBorder="true" applyFill="false" applyFont="false" applyNumberFormat="true" borderId="1186" fillId="0" fontId="1" numFmtId="1000" quotePrefix="false">
      <alignment horizontal="center" vertical="top"/>
    </xf>
    <xf applyAlignment="true" applyBorder="true" applyFill="false" applyFont="false" applyNumberFormat="true" borderId="1187" fillId="0" fontId="1" numFmtId="1000" quotePrefix="false">
      <alignment horizontal="center" vertical="top"/>
    </xf>
    <xf applyAlignment="true" applyBorder="true" applyFill="false" applyFont="false" applyNumberFormat="true" borderId="1188" fillId="0" fontId="1" numFmtId="1000" quotePrefix="false">
      <alignment horizontal="center" vertical="top"/>
    </xf>
    <xf applyAlignment="true" applyBorder="true" applyFill="false" applyFont="false" applyNumberFormat="true" borderId="1189" fillId="0" fontId="1" numFmtId="1000" quotePrefix="false">
      <alignment horizontal="center" vertical="top"/>
    </xf>
    <xf applyAlignment="true" applyBorder="true" applyFill="false" applyFont="false" applyNumberFormat="true" borderId="1190" fillId="0" fontId="1" numFmtId="1000" quotePrefix="false">
      <alignment horizontal="center" vertical="top"/>
    </xf>
    <xf applyAlignment="true" applyBorder="true" applyFill="false" applyFont="false" applyNumberFormat="true" borderId="1191" fillId="0" fontId="1" numFmtId="1000" quotePrefix="false">
      <alignment horizontal="center" vertical="top"/>
    </xf>
    <xf applyAlignment="true" applyBorder="true" applyFill="false" applyFont="false" applyNumberFormat="true" borderId="1192" fillId="0" fontId="1" numFmtId="1000" quotePrefix="false">
      <alignment horizontal="center" vertical="top"/>
    </xf>
    <xf applyAlignment="true" applyBorder="true" applyFill="false" applyFont="false" applyNumberFormat="true" borderId="1193" fillId="0" fontId="1" numFmtId="1000" quotePrefix="false">
      <alignment horizontal="center" vertical="top"/>
    </xf>
    <xf applyAlignment="true" applyBorder="true" applyFill="false" applyFont="false" applyNumberFormat="true" borderId="1194" fillId="0" fontId="1" numFmtId="1000" quotePrefix="false">
      <alignment horizontal="center" vertical="top"/>
    </xf>
    <xf applyAlignment="true" applyBorder="true" applyFill="false" applyFont="false" applyNumberFormat="true" borderId="1195" fillId="0" fontId="1" numFmtId="1000" quotePrefix="false">
      <alignment horizontal="center" vertical="top"/>
    </xf>
    <xf applyAlignment="true" applyBorder="true" applyFill="false" applyFont="false" applyNumberFormat="true" borderId="1196" fillId="0" fontId="1" numFmtId="1000" quotePrefix="false">
      <alignment horizontal="center" vertical="top"/>
    </xf>
    <xf applyAlignment="true" applyBorder="true" applyFill="false" applyFont="false" applyNumberFormat="true" borderId="1197" fillId="0" fontId="1" numFmtId="1000" quotePrefix="false">
      <alignment horizontal="center" vertical="top"/>
    </xf>
    <xf applyAlignment="true" applyBorder="true" applyFill="false" applyFont="false" applyNumberFormat="true" borderId="1198" fillId="0" fontId="1" numFmtId="1000" quotePrefix="false">
      <alignment horizontal="center" vertical="top"/>
    </xf>
    <xf applyAlignment="true" applyBorder="true" applyFill="false" applyFont="false" applyNumberFormat="true" borderId="1199" fillId="0" fontId="1" numFmtId="1000" quotePrefix="false">
      <alignment horizontal="center" vertical="top"/>
    </xf>
    <xf applyAlignment="true" applyBorder="true" applyFill="false" applyFont="false" applyNumberFormat="true" borderId="1200" fillId="0" fontId="1" numFmtId="1000" quotePrefix="false">
      <alignment horizontal="center" vertical="top"/>
    </xf>
    <xf applyAlignment="true" applyBorder="true" applyFill="false" applyFont="false" applyNumberFormat="true" borderId="1201" fillId="0" fontId="1" numFmtId="1000" quotePrefix="false">
      <alignment horizontal="center" vertical="top"/>
    </xf>
    <xf applyAlignment="true" applyBorder="true" applyFill="false" applyFont="false" applyNumberFormat="true" borderId="1202" fillId="0" fontId="1" numFmtId="1000" quotePrefix="false">
      <alignment horizontal="center" vertical="top"/>
    </xf>
    <xf applyAlignment="true" applyBorder="true" applyFill="false" applyFont="false" applyNumberFormat="true" borderId="1203" fillId="0" fontId="1" numFmtId="1000" quotePrefix="false">
      <alignment horizontal="center" vertical="top"/>
    </xf>
    <xf applyAlignment="true" applyBorder="true" applyFill="false" applyFont="false" applyNumberFormat="true" borderId="1204" fillId="0" fontId="1" numFmtId="1000" quotePrefix="false">
      <alignment horizontal="center" vertical="top"/>
    </xf>
    <xf applyAlignment="true" applyBorder="true" applyFill="false" applyFont="false" applyNumberFormat="true" borderId="1205" fillId="0" fontId="1" numFmtId="1000" quotePrefix="false">
      <alignment horizontal="center" vertical="top"/>
    </xf>
    <xf applyAlignment="true" applyBorder="true" applyFill="false" applyFont="false" applyNumberFormat="true" borderId="1206" fillId="0" fontId="1" numFmtId="1000" quotePrefix="false">
      <alignment horizontal="center" vertical="top"/>
    </xf>
    <xf applyAlignment="true" applyBorder="true" applyFill="false" applyFont="false" applyNumberFormat="true" borderId="1207" fillId="0" fontId="1" numFmtId="1000" quotePrefix="false">
      <alignment horizontal="center" vertical="top"/>
    </xf>
    <xf applyAlignment="true" applyBorder="true" applyFill="false" applyFont="false" applyNumberFormat="true" borderId="1208" fillId="0" fontId="1" numFmtId="1000" quotePrefix="false">
      <alignment horizontal="center" vertical="top"/>
    </xf>
    <xf applyAlignment="true" applyBorder="true" applyFill="false" applyFont="false" applyNumberFormat="true" borderId="1209" fillId="0" fontId="1" numFmtId="1000" quotePrefix="false">
      <alignment horizontal="center" vertical="top"/>
    </xf>
    <xf applyAlignment="true" applyBorder="true" applyFill="false" applyFont="false" applyNumberFormat="true" borderId="1210" fillId="0" fontId="1" numFmtId="1000" quotePrefix="false">
      <alignment horizontal="center" vertical="top"/>
    </xf>
    <xf applyAlignment="true" applyBorder="true" applyFill="false" applyFont="false" applyNumberFormat="true" borderId="1211" fillId="0" fontId="1" numFmtId="1000" quotePrefix="false">
      <alignment horizontal="center" vertical="top"/>
    </xf>
    <xf applyAlignment="true" applyBorder="true" applyFill="false" applyFont="false" applyNumberFormat="true" borderId="1212" fillId="0" fontId="1" numFmtId="1000" quotePrefix="false">
      <alignment horizontal="center" vertical="top"/>
    </xf>
    <xf applyAlignment="true" applyBorder="true" applyFill="false" applyFont="false" applyNumberFormat="true" borderId="1213" fillId="0" fontId="1" numFmtId="1000" quotePrefix="false">
      <alignment horizontal="center" vertical="top"/>
    </xf>
    <xf applyAlignment="true" applyBorder="true" applyFill="false" applyFont="false" applyNumberFormat="true" borderId="1214" fillId="0" fontId="1" numFmtId="1000" quotePrefix="false">
      <alignment horizontal="center" vertical="top"/>
    </xf>
    <xf applyAlignment="true" applyBorder="true" applyFill="false" applyFont="false" applyNumberFormat="true" borderId="1215" fillId="0" fontId="1" numFmtId="1000" quotePrefix="false">
      <alignment horizontal="center" vertical="top"/>
    </xf>
    <xf applyAlignment="true" applyBorder="true" applyFill="false" applyFont="false" applyNumberFormat="true" borderId="1216" fillId="0" fontId="1" numFmtId="1000" quotePrefix="false">
      <alignment horizontal="center" vertical="top"/>
    </xf>
    <xf applyAlignment="true" applyBorder="true" applyFill="false" applyFont="false" applyNumberFormat="true" borderId="1217" fillId="0" fontId="1" numFmtId="1000" quotePrefix="false">
      <alignment horizontal="center" vertical="top"/>
    </xf>
    <xf applyAlignment="true" applyBorder="true" applyFill="false" applyFont="true" applyNumberFormat="true" borderId="1218" fillId="0" fontId="2" numFmtId="1000" quotePrefix="false">
      <alignment horizontal="center" vertical="top"/>
    </xf>
    <xf applyAlignment="true" applyBorder="true" applyFill="false" applyFont="false" applyNumberFormat="true" borderId="1219" fillId="0" fontId="1" numFmtId="1000" quotePrefix="false">
      <alignment horizontal="left" vertical="top"/>
    </xf>
    <xf applyAlignment="true" applyBorder="true" applyFill="false" applyFont="false" applyNumberFormat="true" borderId="1220" fillId="0" fontId="1" numFmtId="1000" quotePrefix="false">
      <alignment horizontal="left" vertical="top"/>
    </xf>
    <xf applyAlignment="true" applyBorder="true" applyFill="false" applyFont="false" applyNumberFormat="true" borderId="1221" fillId="0" fontId="1" numFmtId="1000" quotePrefix="false">
      <alignment horizontal="left" vertical="top"/>
    </xf>
    <xf applyAlignment="true" applyBorder="true" applyFill="false" applyFont="false" applyNumberFormat="true" borderId="1222" fillId="0" fontId="1" numFmtId="1000" quotePrefix="false">
      <alignment horizontal="left" vertical="top"/>
    </xf>
    <xf applyAlignment="true" applyBorder="true" applyFill="false" applyFont="false" applyNumberFormat="true" borderId="1223" fillId="0" fontId="1" numFmtId="1000" quotePrefix="false">
      <alignment horizontal="left" vertical="top"/>
    </xf>
    <xf applyAlignment="true" applyBorder="true" applyFill="false" applyFont="false" applyNumberFormat="true" borderId="1224" fillId="0" fontId="1" numFmtId="1000" quotePrefix="false">
      <alignment horizontal="left" vertical="top"/>
    </xf>
    <xf applyAlignment="true" applyBorder="true" applyFill="false" applyFont="false" applyNumberFormat="true" borderId="1225" fillId="0" fontId="1" numFmtId="1000" quotePrefix="false">
      <alignment horizontal="left" vertical="top"/>
    </xf>
    <xf applyAlignment="true" applyBorder="true" applyFill="false" applyFont="false" applyNumberFormat="true" borderId="1226" fillId="0" fontId="1" numFmtId="1000" quotePrefix="false">
      <alignment horizontal="left" vertical="top"/>
    </xf>
    <xf applyAlignment="true" applyBorder="true" applyFill="false" applyFont="false" applyNumberFormat="true" borderId="1227" fillId="0" fontId="1" numFmtId="1000" quotePrefix="false">
      <alignment horizontal="left" vertical="top"/>
    </xf>
    <xf applyAlignment="true" applyBorder="true" applyFill="false" applyFont="false" applyNumberFormat="true" borderId="1228" fillId="0" fontId="1" numFmtId="1000" quotePrefix="false">
      <alignment horizontal="left" vertical="top"/>
    </xf>
    <xf applyAlignment="true" applyBorder="true" applyFill="false" applyFont="false" applyNumberFormat="true" borderId="1229" fillId="0" fontId="1" numFmtId="1000" quotePrefix="false">
      <alignment horizontal="left" vertical="top"/>
    </xf>
    <xf applyAlignment="true" applyBorder="true" applyFill="false" applyFont="false" applyNumberFormat="true" borderId="1230" fillId="0" fontId="1" numFmtId="1000" quotePrefix="false">
      <alignment horizontal="left" vertical="top"/>
    </xf>
    <xf applyAlignment="true" applyBorder="true" applyFill="false" applyFont="false" applyNumberFormat="true" borderId="1231" fillId="0" fontId="1" numFmtId="1000" quotePrefix="false">
      <alignment horizontal="left" vertical="top"/>
    </xf>
    <xf applyAlignment="true" applyBorder="true" applyFill="false" applyFont="false" applyNumberFormat="true" borderId="1232" fillId="0" fontId="1" numFmtId="1000" quotePrefix="false">
      <alignment horizontal="left" vertical="top"/>
    </xf>
    <xf applyAlignment="true" applyBorder="true" applyFill="false" applyFont="false" applyNumberFormat="true" borderId="1233" fillId="0" fontId="1" numFmtId="1000" quotePrefix="false">
      <alignment horizontal="left" vertical="top"/>
    </xf>
    <xf applyAlignment="true" applyBorder="true" applyFill="false" applyFont="false" applyNumberFormat="true" borderId="1234" fillId="0" fontId="1" numFmtId="1000" quotePrefix="false">
      <alignment horizontal="left" vertical="top"/>
    </xf>
    <xf applyAlignment="true" applyBorder="true" applyFill="false" applyFont="false" applyNumberFormat="true" borderId="1235" fillId="0" fontId="1" numFmtId="1000" quotePrefix="false">
      <alignment horizontal="left" vertical="top"/>
    </xf>
    <xf applyAlignment="true" applyBorder="true" applyFill="false" applyFont="false" applyNumberFormat="true" borderId="1236" fillId="0" fontId="1" numFmtId="1000" quotePrefix="false">
      <alignment horizontal="left" vertical="top"/>
    </xf>
    <xf applyAlignment="true" applyBorder="true" applyFill="false" applyFont="false" applyNumberFormat="true" borderId="1237" fillId="0" fontId="1" numFmtId="1000" quotePrefix="false">
      <alignment horizontal="left" vertical="top"/>
    </xf>
    <xf applyAlignment="true" applyBorder="false" applyFill="false" applyFont="false" applyNumberFormat="true" borderId="0" fillId="0" fontId="1" numFmtId="1000" quotePrefix="false">
      <alignment horizontal="left"/>
    </xf>
    <xf applyAlignment="true" applyBorder="true" applyFill="false" applyFont="true" applyNumberFormat="true" borderId="1238" fillId="0" fontId="2" numFmtId="1000" quotePrefix="false">
      <alignment horizontal="center"/>
    </xf>
    <xf applyAlignment="true" applyBorder="true" applyFill="false" applyFont="true" applyNumberFormat="true" borderId="1239" fillId="0" fontId="2" numFmtId="1000" quotePrefix="false">
      <alignment horizontal="center"/>
    </xf>
    <xf applyAlignment="true" applyBorder="true" applyFill="false" applyFont="true" applyNumberFormat="true" borderId="1240" fillId="0" fontId="2" numFmtId="1000" quotePrefix="false">
      <alignment horizontal="center"/>
    </xf>
    <xf applyAlignment="true" applyBorder="true" applyFill="false" applyFont="false" applyNumberFormat="true" borderId="1241" fillId="0" fontId="1" numFmtId="1000" quotePrefix="false">
      <alignment horizontal="center" vertical="top"/>
    </xf>
    <xf applyAlignment="true" applyBorder="true" applyFill="false" applyFont="false" applyNumberFormat="true" borderId="1242" fillId="0" fontId="1" numFmtId="1000" quotePrefix="false">
      <alignment horizontal="center" vertical="top"/>
    </xf>
    <xf applyAlignment="true" applyBorder="true" applyFill="false" applyFont="false" applyNumberFormat="true" borderId="1243" fillId="0" fontId="1" numFmtId="1000" quotePrefix="false">
      <alignment horizontal="center" vertical="top"/>
    </xf>
    <xf applyAlignment="true" applyBorder="true" applyFill="false" applyFont="false" applyNumberFormat="true" borderId="1244" fillId="0" fontId="1" numFmtId="1000" quotePrefix="false">
      <alignment horizontal="center" vertical="top"/>
    </xf>
    <xf applyAlignment="true" applyBorder="true" applyFill="false" applyFont="false" applyNumberFormat="true" borderId="1245" fillId="0" fontId="1" numFmtId="1000" quotePrefix="false">
      <alignment horizontal="center" vertical="top"/>
    </xf>
    <xf applyAlignment="true" applyBorder="true" applyFill="false" applyFont="false" applyNumberFormat="true" borderId="1246" fillId="0" fontId="1" numFmtId="1000" quotePrefix="false">
      <alignment horizontal="center" vertical="top"/>
    </xf>
    <xf applyAlignment="true" applyBorder="true" applyFill="false" applyFont="false" applyNumberFormat="true" borderId="1247" fillId="0" fontId="1" numFmtId="1000" quotePrefix="false">
      <alignment horizontal="center" vertical="top"/>
    </xf>
    <xf applyAlignment="true" applyBorder="true" applyFill="false" applyFont="false" applyNumberFormat="true" borderId="1248" fillId="0" fontId="1" numFmtId="1000" quotePrefix="false">
      <alignment horizontal="center" vertical="top"/>
    </xf>
    <xf applyAlignment="true" applyBorder="true" applyFill="false" applyFont="false" applyNumberFormat="true" borderId="1249" fillId="0" fontId="1" numFmtId="1000" quotePrefix="false">
      <alignment horizontal="center" vertical="top"/>
    </xf>
    <xf applyAlignment="true" applyBorder="true" applyFill="false" applyFont="false" applyNumberFormat="true" borderId="1250" fillId="0" fontId="1" numFmtId="1000" quotePrefix="false">
      <alignment horizontal="center" vertical="top"/>
    </xf>
    <xf applyAlignment="true" applyBorder="true" applyFill="false" applyFont="false" applyNumberFormat="true" borderId="1251" fillId="0" fontId="1" numFmtId="1000" quotePrefix="false">
      <alignment horizontal="center" vertical="top"/>
    </xf>
    <xf applyAlignment="true" applyBorder="true" applyFill="false" applyFont="false" applyNumberFormat="true" borderId="1252" fillId="0" fontId="1" numFmtId="1000" quotePrefix="false">
      <alignment horizontal="center" vertical="top"/>
    </xf>
    <xf applyAlignment="true" applyBorder="true" applyFill="false" applyFont="false" applyNumberFormat="true" borderId="1253" fillId="0" fontId="1" numFmtId="1000" quotePrefix="false">
      <alignment horizontal="center" vertical="top"/>
    </xf>
    <xf applyAlignment="true" applyBorder="true" applyFill="false" applyFont="false" applyNumberFormat="true" borderId="1254" fillId="0" fontId="1" numFmtId="1000" quotePrefix="false">
      <alignment horizontal="center" vertical="top"/>
    </xf>
    <xf applyAlignment="true" applyBorder="true" applyFill="false" applyFont="false" applyNumberFormat="true" borderId="1255" fillId="0" fontId="1" numFmtId="1000" quotePrefix="false">
      <alignment horizontal="center" vertical="top"/>
    </xf>
    <xf applyAlignment="true" applyBorder="true" applyFill="false" applyFont="false" applyNumberFormat="true" borderId="1256" fillId="0" fontId="1" numFmtId="1000" quotePrefix="false">
      <alignment horizontal="center" vertical="top"/>
    </xf>
    <xf applyAlignment="true" applyBorder="true" applyFill="false" applyFont="false" applyNumberFormat="true" borderId="1257" fillId="0" fontId="1" numFmtId="1000" quotePrefix="false">
      <alignment horizontal="center" vertical="top"/>
    </xf>
    <xf applyAlignment="true" applyBorder="true" applyFill="false" applyFont="false" applyNumberFormat="true" borderId="1258" fillId="0" fontId="1" numFmtId="1000" quotePrefix="false">
      <alignment horizontal="center" vertical="top"/>
    </xf>
    <xf applyAlignment="true" applyBorder="true" applyFill="false" applyFont="false" applyNumberFormat="true" borderId="1259" fillId="0" fontId="1" numFmtId="1000" quotePrefix="false">
      <alignment horizontal="center" vertical="top"/>
    </xf>
    <xf applyAlignment="true" applyBorder="true" applyFill="false" applyFont="false" applyNumberFormat="true" borderId="1260" fillId="0" fontId="1" numFmtId="1000" quotePrefix="false">
      <alignment horizontal="center" vertical="top"/>
    </xf>
    <xf applyAlignment="true" applyBorder="true" applyFill="false" applyFont="false" applyNumberFormat="true" borderId="1261" fillId="0" fontId="1" numFmtId="1000" quotePrefix="false">
      <alignment horizontal="center" vertical="top"/>
    </xf>
    <xf applyAlignment="true" applyBorder="true" applyFill="false" applyFont="false" applyNumberFormat="true" borderId="1262" fillId="0" fontId="1" numFmtId="1000" quotePrefix="false">
      <alignment horizontal="center" vertical="top"/>
    </xf>
    <xf applyAlignment="true" applyBorder="true" applyFill="false" applyFont="false" applyNumberFormat="true" borderId="1263" fillId="0" fontId="1" numFmtId="1000" quotePrefix="false">
      <alignment horizontal="center" vertical="top"/>
    </xf>
    <xf applyAlignment="true" applyBorder="true" applyFill="false" applyFont="false" applyNumberFormat="true" borderId="1264" fillId="0" fontId="1" numFmtId="1000" quotePrefix="false">
      <alignment horizontal="center" vertical="top"/>
    </xf>
    <xf applyAlignment="true" applyBorder="true" applyFill="false" applyFont="false" applyNumberFormat="true" borderId="1265" fillId="0" fontId="1" numFmtId="1000" quotePrefix="false">
      <alignment horizontal="center" vertical="top"/>
    </xf>
    <xf applyAlignment="true" applyBorder="true" applyFill="false" applyFont="false" applyNumberFormat="true" borderId="1266" fillId="0" fontId="1" numFmtId="1000" quotePrefix="false">
      <alignment horizontal="center" vertical="top"/>
    </xf>
    <xf applyAlignment="true" applyBorder="true" applyFill="false" applyFont="false" applyNumberFormat="true" borderId="1267" fillId="0" fontId="1" numFmtId="1000" quotePrefix="false">
      <alignment horizontal="center" vertical="top"/>
    </xf>
    <xf applyAlignment="true" applyBorder="true" applyFill="false" applyFont="false" applyNumberFormat="true" borderId="1268" fillId="0" fontId="1" numFmtId="1000" quotePrefix="false">
      <alignment horizontal="center" vertical="top"/>
    </xf>
    <xf applyAlignment="true" applyBorder="true" applyFill="false" applyFont="false" applyNumberFormat="true" borderId="1269" fillId="0" fontId="1" numFmtId="1000" quotePrefix="false">
      <alignment horizontal="center" vertical="top"/>
    </xf>
    <xf applyAlignment="true" applyBorder="true" applyFill="false" applyFont="false" applyNumberFormat="true" borderId="1270" fillId="0" fontId="1" numFmtId="1000" quotePrefix="false">
      <alignment horizontal="center" vertical="top"/>
    </xf>
    <xf applyAlignment="true" applyBorder="true" applyFill="false" applyFont="false" applyNumberFormat="true" borderId="1271" fillId="0" fontId="1" numFmtId="1000" quotePrefix="false">
      <alignment horizontal="center" vertical="top"/>
    </xf>
    <xf applyAlignment="true" applyBorder="true" applyFill="false" applyFont="false" applyNumberFormat="true" borderId="1272" fillId="0" fontId="1" numFmtId="1000" quotePrefix="false">
      <alignment horizontal="center" vertical="top"/>
    </xf>
    <xf applyAlignment="true" applyBorder="true" applyFill="false" applyFont="false" applyNumberFormat="true" borderId="1273" fillId="0" fontId="1" numFmtId="1000" quotePrefix="false">
      <alignment horizontal="center" vertical="top"/>
    </xf>
    <xf applyAlignment="true" applyBorder="true" applyFill="false" applyFont="true" applyNumberFormat="true" borderId="1274" fillId="0" fontId="2" numFmtId="1000" quotePrefix="false">
      <alignment horizontal="center" vertical="top"/>
    </xf>
    <xf applyAlignment="true" applyBorder="true" applyFill="false" applyFont="false" applyNumberFormat="true" borderId="1275" fillId="0" fontId="1" numFmtId="1000" quotePrefix="false">
      <alignment horizontal="left" vertical="top"/>
    </xf>
    <xf applyAlignment="true" applyBorder="true" applyFill="false" applyFont="false" applyNumberFormat="true" borderId="1276" fillId="0" fontId="1" numFmtId="1000" quotePrefix="false">
      <alignment horizontal="left" vertical="top"/>
    </xf>
    <xf applyAlignment="true" applyBorder="true" applyFill="false" applyFont="false" applyNumberFormat="true" borderId="1277" fillId="0" fontId="1" numFmtId="1000" quotePrefix="false">
      <alignment horizontal="left" vertical="top"/>
    </xf>
    <xf applyAlignment="true" applyBorder="true" applyFill="false" applyFont="false" applyNumberFormat="true" borderId="1278" fillId="0" fontId="1" numFmtId="1000" quotePrefix="false">
      <alignment horizontal="left" vertical="top"/>
    </xf>
    <xf applyAlignment="true" applyBorder="true" applyFill="false" applyFont="false" applyNumberFormat="true" borderId="1279" fillId="0" fontId="1" numFmtId="1000" quotePrefix="false">
      <alignment horizontal="left" vertical="top"/>
    </xf>
    <xf applyAlignment="true" applyBorder="true" applyFill="false" applyFont="false" applyNumberFormat="true" borderId="1280" fillId="0" fontId="1" numFmtId="1000" quotePrefix="false">
      <alignment horizontal="left" vertical="top"/>
    </xf>
    <xf applyAlignment="true" applyBorder="true" applyFill="false" applyFont="false" applyNumberFormat="true" borderId="1281" fillId="0" fontId="1" numFmtId="1000" quotePrefix="false">
      <alignment horizontal="left" vertical="top"/>
    </xf>
    <xf applyAlignment="true" applyBorder="true" applyFill="false" applyFont="false" applyNumberFormat="true" borderId="1282" fillId="0" fontId="1" numFmtId="1000" quotePrefix="false">
      <alignment horizontal="left" vertical="top"/>
    </xf>
    <xf applyAlignment="true" applyBorder="true" applyFill="false" applyFont="false" applyNumberFormat="true" borderId="1283" fillId="0" fontId="1" numFmtId="1000" quotePrefix="false">
      <alignment horizontal="left" vertical="top"/>
    </xf>
    <xf applyAlignment="true" applyBorder="true" applyFill="false" applyFont="false" applyNumberFormat="true" borderId="1284" fillId="0" fontId="1" numFmtId="1000" quotePrefix="false">
      <alignment horizontal="left" vertical="top"/>
    </xf>
    <xf applyAlignment="true" applyBorder="true" applyFill="false" applyFont="false" applyNumberFormat="true" borderId="1285" fillId="0" fontId="1" numFmtId="1000" quotePrefix="false">
      <alignment horizontal="left" vertical="top"/>
    </xf>
    <xf applyAlignment="true" applyBorder="true" applyFill="false" applyFont="false" applyNumberFormat="true" borderId="1286" fillId="0" fontId="1" numFmtId="1000" quotePrefix="false">
      <alignment horizontal="left" vertical="top"/>
    </xf>
    <xf applyAlignment="true" applyBorder="true" applyFill="false" applyFont="false" applyNumberFormat="true" borderId="1287" fillId="0" fontId="1" numFmtId="1000" quotePrefix="false">
      <alignment horizontal="left" vertical="top"/>
    </xf>
    <xf applyAlignment="true" applyBorder="true" applyFill="false" applyFont="false" applyNumberFormat="true" borderId="1288" fillId="0" fontId="1" numFmtId="1000" quotePrefix="false">
      <alignment horizontal="left" vertical="top"/>
    </xf>
    <xf applyAlignment="true" applyBorder="true" applyFill="false" applyFont="false" applyNumberFormat="true" borderId="1289" fillId="0" fontId="1" numFmtId="1000" quotePrefix="false">
      <alignment horizontal="left" vertical="top"/>
    </xf>
    <xf applyAlignment="true" applyBorder="true" applyFill="false" applyFont="false" applyNumberFormat="true" borderId="1290" fillId="0" fontId="1" numFmtId="1000" quotePrefix="false">
      <alignment horizontal="left" vertical="top"/>
    </xf>
    <xf applyAlignment="true" applyBorder="true" applyFill="false" applyFont="false" applyNumberFormat="true" borderId="1291" fillId="0" fontId="1" numFmtId="1000" quotePrefix="false">
      <alignment horizontal="left" vertical="top"/>
    </xf>
    <xf applyAlignment="true" applyBorder="true" applyFill="false" applyFont="false" applyNumberFormat="true" borderId="1292" fillId="0" fontId="1" numFmtId="1000" quotePrefix="false">
      <alignment horizontal="left" vertical="top"/>
    </xf>
    <xf applyAlignment="true" applyBorder="true" applyFill="false" applyFont="false" applyNumberFormat="true" borderId="1293" fillId="0" fontId="1" numFmtId="1000" quotePrefix="false">
      <alignment horizontal="left" vertical="top"/>
    </xf>
    <xf applyAlignment="true" applyBorder="true" applyFill="false" applyFont="true" applyNumberFormat="true" borderId="1294" fillId="0" fontId="2" numFmtId="1000" quotePrefix="false">
      <alignment horizontal="center"/>
    </xf>
    <xf applyAlignment="true" applyBorder="true" applyFill="false" applyFont="true" applyNumberFormat="true" borderId="1295" fillId="0" fontId="2" numFmtId="1000" quotePrefix="false">
      <alignment horizontal="center"/>
    </xf>
    <xf applyAlignment="true" applyBorder="true" applyFill="false" applyFont="true" applyNumberFormat="true" borderId="1296" fillId="0" fontId="2" numFmtId="1000" quotePrefix="false">
      <alignment horizontal="center"/>
    </xf>
    <xf applyAlignment="true" applyBorder="true" applyFill="false" applyFont="false" applyNumberFormat="true" borderId="1297" fillId="0" fontId="1" numFmtId="1000" quotePrefix="false">
      <alignment horizontal="center" vertical="top"/>
    </xf>
    <xf applyAlignment="true" applyBorder="true" applyFill="false" applyFont="false" applyNumberFormat="true" borderId="1298" fillId="0" fontId="1" numFmtId="1000" quotePrefix="false">
      <alignment horizontal="center" vertical="top"/>
    </xf>
    <xf applyAlignment="true" applyBorder="true" applyFill="false" applyFont="false" applyNumberFormat="true" borderId="1299" fillId="0" fontId="1" numFmtId="1000" quotePrefix="false">
      <alignment horizontal="center" vertical="top"/>
    </xf>
    <xf applyAlignment="true" applyBorder="true" applyFill="false" applyFont="false" applyNumberFormat="true" borderId="1300" fillId="0" fontId="1" numFmtId="1000" quotePrefix="false">
      <alignment horizontal="center" vertical="top"/>
    </xf>
    <xf applyAlignment="true" applyBorder="true" applyFill="false" applyFont="false" applyNumberFormat="true" borderId="1301" fillId="0" fontId="1" numFmtId="1000" quotePrefix="false">
      <alignment horizontal="center" vertical="top"/>
    </xf>
    <xf applyAlignment="true" applyBorder="true" applyFill="false" applyFont="false" applyNumberFormat="true" borderId="1302" fillId="0" fontId="1" numFmtId="1000" quotePrefix="false">
      <alignment horizontal="center" vertical="top"/>
    </xf>
    <xf applyAlignment="true" applyBorder="true" applyFill="false" applyFont="false" applyNumberFormat="true" borderId="1303" fillId="0" fontId="1" numFmtId="1000" quotePrefix="false">
      <alignment horizontal="center" vertical="top"/>
    </xf>
    <xf applyAlignment="true" applyBorder="true" applyFill="false" applyFont="false" applyNumberFormat="true" borderId="1304" fillId="0" fontId="1" numFmtId="1000" quotePrefix="false">
      <alignment horizontal="center" vertical="top"/>
    </xf>
    <xf applyAlignment="true" applyBorder="true" applyFill="false" applyFont="false" applyNumberFormat="true" borderId="1305" fillId="0" fontId="1" numFmtId="1000" quotePrefix="false">
      <alignment horizontal="center" vertical="top"/>
    </xf>
    <xf applyAlignment="true" applyBorder="true" applyFill="false" applyFont="false" applyNumberFormat="true" borderId="1306" fillId="0" fontId="1" numFmtId="1000" quotePrefix="false">
      <alignment horizontal="center" vertical="top"/>
    </xf>
    <xf applyAlignment="true" applyBorder="true" applyFill="false" applyFont="false" applyNumberFormat="true" borderId="1307" fillId="0" fontId="1" numFmtId="1000" quotePrefix="false">
      <alignment horizontal="center" vertical="top"/>
    </xf>
    <xf applyAlignment="true" applyBorder="true" applyFill="false" applyFont="false" applyNumberFormat="true" borderId="1308" fillId="0" fontId="1" numFmtId="1000" quotePrefix="false">
      <alignment horizontal="center" vertical="top"/>
    </xf>
    <xf applyAlignment="true" applyBorder="true" applyFill="false" applyFont="false" applyNumberFormat="true" borderId="1309" fillId="0" fontId="1" numFmtId="1000" quotePrefix="false">
      <alignment horizontal="center" vertical="top"/>
    </xf>
    <xf applyAlignment="true" applyBorder="true" applyFill="false" applyFont="false" applyNumberFormat="true" borderId="1310" fillId="0" fontId="1" numFmtId="1000" quotePrefix="false">
      <alignment horizontal="center" vertical="top"/>
    </xf>
    <xf applyAlignment="true" applyBorder="true" applyFill="false" applyFont="false" applyNumberFormat="true" borderId="1311" fillId="0" fontId="1" numFmtId="1000" quotePrefix="false">
      <alignment horizontal="center" vertical="top"/>
    </xf>
    <xf applyAlignment="true" applyBorder="true" applyFill="false" applyFont="false" applyNumberFormat="true" borderId="1312" fillId="0" fontId="1" numFmtId="1000" quotePrefix="false">
      <alignment horizontal="center" vertical="top"/>
    </xf>
    <xf applyAlignment="true" applyBorder="true" applyFill="false" applyFont="false" applyNumberFormat="true" borderId="1313" fillId="0" fontId="1" numFmtId="1000" quotePrefix="false">
      <alignment horizontal="center" vertical="top"/>
    </xf>
    <xf applyAlignment="true" applyBorder="true" applyFill="false" applyFont="false" applyNumberFormat="true" borderId="1314" fillId="0" fontId="1" numFmtId="1000" quotePrefix="false">
      <alignment horizontal="center" vertical="top"/>
    </xf>
    <xf applyAlignment="true" applyBorder="true" applyFill="false" applyFont="false" applyNumberFormat="true" borderId="1315" fillId="0" fontId="1" numFmtId="1000" quotePrefix="false">
      <alignment horizontal="center" vertical="top"/>
    </xf>
    <xf applyAlignment="true" applyBorder="true" applyFill="false" applyFont="false" applyNumberFormat="true" borderId="1316" fillId="0" fontId="1" numFmtId="1000" quotePrefix="false">
      <alignment horizontal="center" vertical="top"/>
    </xf>
    <xf applyAlignment="true" applyBorder="true" applyFill="false" applyFont="false" applyNumberFormat="true" borderId="1317" fillId="0" fontId="1" numFmtId="1000" quotePrefix="false">
      <alignment horizontal="center" vertical="top"/>
    </xf>
    <xf applyAlignment="true" applyBorder="true" applyFill="false" applyFont="false" applyNumberFormat="true" borderId="1318" fillId="0" fontId="1" numFmtId="1000" quotePrefix="false">
      <alignment horizontal="center" vertical="top"/>
    </xf>
    <xf applyAlignment="true" applyBorder="true" applyFill="false" applyFont="false" applyNumberFormat="true" borderId="1319" fillId="0" fontId="1" numFmtId="1000" quotePrefix="false">
      <alignment horizontal="center" vertical="top"/>
    </xf>
    <xf applyAlignment="true" applyBorder="true" applyFill="false" applyFont="false" applyNumberFormat="true" borderId="1320" fillId="0" fontId="1" numFmtId="1000" quotePrefix="false">
      <alignment horizontal="center" vertical="top"/>
    </xf>
    <xf applyAlignment="true" applyBorder="true" applyFill="false" applyFont="false" applyNumberFormat="true" borderId="1321" fillId="0" fontId="1" numFmtId="1000" quotePrefix="false">
      <alignment horizontal="center" vertical="top"/>
    </xf>
    <xf applyAlignment="true" applyBorder="true" applyFill="false" applyFont="false" applyNumberFormat="true" borderId="1322" fillId="0" fontId="1" numFmtId="1000" quotePrefix="false">
      <alignment horizontal="center" vertical="top"/>
    </xf>
    <xf applyAlignment="true" applyBorder="true" applyFill="false" applyFont="false" applyNumberFormat="true" borderId="1323" fillId="0" fontId="1" numFmtId="1000" quotePrefix="false">
      <alignment horizontal="center" vertical="top"/>
    </xf>
    <xf applyAlignment="true" applyBorder="true" applyFill="false" applyFont="false" applyNumberFormat="true" borderId="1324" fillId="0" fontId="1" numFmtId="1000" quotePrefix="false">
      <alignment horizontal="center" vertical="top"/>
    </xf>
    <xf applyAlignment="true" applyBorder="true" applyFill="false" applyFont="false" applyNumberFormat="true" borderId="1325" fillId="0" fontId="1" numFmtId="1000" quotePrefix="false">
      <alignment horizontal="center" vertical="top"/>
    </xf>
    <xf applyAlignment="true" applyBorder="true" applyFill="false" applyFont="false" applyNumberFormat="true" borderId="1326" fillId="0" fontId="1" numFmtId="1000" quotePrefix="false">
      <alignment horizontal="center" vertical="top"/>
    </xf>
    <xf applyAlignment="true" applyBorder="true" applyFill="false" applyFont="false" applyNumberFormat="true" borderId="1327" fillId="0" fontId="1" numFmtId="1000" quotePrefix="false">
      <alignment horizontal="center" vertical="top"/>
    </xf>
    <xf applyAlignment="true" applyBorder="true" applyFill="false" applyFont="false" applyNumberFormat="true" borderId="1328" fillId="0" fontId="1" numFmtId="1000" quotePrefix="false">
      <alignment horizontal="center" vertical="top"/>
    </xf>
    <xf applyAlignment="true" applyBorder="true" applyFill="false" applyFont="false" applyNumberFormat="true" borderId="1329" fillId="0" fontId="1" numFmtId="1000" quotePrefix="false">
      <alignment horizontal="center" vertical="top"/>
    </xf>
    <xf applyAlignment="true" applyBorder="true" applyFill="false" applyFont="true" applyNumberFormat="true" borderId="1330" fillId="0" fontId="2" numFmtId="1000" quotePrefix="false">
      <alignment horizontal="center" vertical="top"/>
    </xf>
    <xf applyAlignment="true" applyBorder="true" applyFill="false" applyFont="false" applyNumberFormat="true" borderId="1331" fillId="0" fontId="1" numFmtId="1000" quotePrefix="false">
      <alignment horizontal="left" vertical="top"/>
    </xf>
    <xf applyAlignment="true" applyBorder="true" applyFill="false" applyFont="false" applyNumberFormat="true" borderId="1332" fillId="0" fontId="1" numFmtId="1000" quotePrefix="false">
      <alignment horizontal="left" vertical="top"/>
    </xf>
    <xf applyAlignment="true" applyBorder="true" applyFill="false" applyFont="false" applyNumberFormat="true" borderId="1333" fillId="0" fontId="1" numFmtId="1000" quotePrefix="false">
      <alignment horizontal="left" vertical="top"/>
    </xf>
    <xf applyAlignment="true" applyBorder="true" applyFill="false" applyFont="false" applyNumberFormat="true" borderId="1334" fillId="0" fontId="1" numFmtId="1000" quotePrefix="false">
      <alignment horizontal="left" vertical="top"/>
    </xf>
    <xf applyAlignment="true" applyBorder="true" applyFill="false" applyFont="false" applyNumberFormat="true" borderId="1335" fillId="0" fontId="1" numFmtId="1000" quotePrefix="false">
      <alignment horizontal="left" vertical="top"/>
    </xf>
    <xf applyAlignment="true" applyBorder="true" applyFill="false" applyFont="false" applyNumberFormat="true" borderId="1336" fillId="0" fontId="1" numFmtId="1000" quotePrefix="false">
      <alignment horizontal="left" vertical="top"/>
    </xf>
    <xf applyAlignment="true" applyBorder="true" applyFill="false" applyFont="false" applyNumberFormat="true" borderId="1337" fillId="0" fontId="1" numFmtId="1000" quotePrefix="false">
      <alignment horizontal="left" vertical="top"/>
    </xf>
    <xf applyAlignment="true" applyBorder="true" applyFill="false" applyFont="false" applyNumberFormat="true" borderId="1338" fillId="0" fontId="1" numFmtId="1000" quotePrefix="false">
      <alignment horizontal="left" vertical="top"/>
    </xf>
    <xf applyAlignment="true" applyBorder="true" applyFill="false" applyFont="false" applyNumberFormat="true" borderId="1339" fillId="0" fontId="1" numFmtId="1000" quotePrefix="false">
      <alignment horizontal="left" vertical="top"/>
    </xf>
    <xf applyAlignment="true" applyBorder="true" applyFill="false" applyFont="false" applyNumberFormat="true" borderId="1340" fillId="0" fontId="1" numFmtId="1000" quotePrefix="false">
      <alignment horizontal="left" vertical="top"/>
    </xf>
    <xf applyAlignment="true" applyBorder="true" applyFill="false" applyFont="false" applyNumberFormat="true" borderId="1341" fillId="0" fontId="1" numFmtId="1000" quotePrefix="false">
      <alignment horizontal="left" vertical="top"/>
    </xf>
    <xf applyAlignment="true" applyBorder="true" applyFill="false" applyFont="false" applyNumberFormat="true" borderId="1342" fillId="0" fontId="1" numFmtId="1000" quotePrefix="false">
      <alignment horizontal="left" vertical="top"/>
    </xf>
    <xf applyAlignment="true" applyBorder="true" applyFill="false" applyFont="false" applyNumberFormat="true" borderId="1343" fillId="0" fontId="1" numFmtId="1000" quotePrefix="false">
      <alignment horizontal="left" vertical="top"/>
    </xf>
    <xf applyAlignment="true" applyBorder="true" applyFill="false" applyFont="false" applyNumberFormat="true" borderId="1344" fillId="0" fontId="1" numFmtId="1000" quotePrefix="false">
      <alignment horizontal="left" vertical="top"/>
    </xf>
    <xf applyAlignment="true" applyBorder="true" applyFill="false" applyFont="false" applyNumberFormat="true" borderId="1345" fillId="0" fontId="1" numFmtId="1000" quotePrefix="false">
      <alignment horizontal="left" vertical="top"/>
    </xf>
    <xf applyAlignment="true" applyBorder="true" applyFill="false" applyFont="false" applyNumberFormat="true" borderId="1346" fillId="0" fontId="1" numFmtId="1000" quotePrefix="false">
      <alignment horizontal="left" vertical="top"/>
    </xf>
    <xf applyAlignment="true" applyBorder="true" applyFill="false" applyFont="false" applyNumberFormat="true" borderId="1347" fillId="0" fontId="1" numFmtId="1000" quotePrefix="false">
      <alignment horizontal="left" vertical="top"/>
    </xf>
    <xf applyAlignment="true" applyBorder="true" applyFill="false" applyFont="false" applyNumberFormat="true" borderId="1348" fillId="0" fontId="1" numFmtId="1000" quotePrefix="false">
      <alignment horizontal="left" vertical="top"/>
    </xf>
    <xf applyAlignment="true" applyBorder="true" applyFill="false" applyFont="false" applyNumberFormat="true" borderId="1349" fillId="0" fontId="1" numFmtId="1000" quotePrefix="false">
      <alignment horizontal="left" vertical="top"/>
    </xf>
    <xf applyAlignment="true" applyBorder="true" applyFill="false" applyFont="true" applyNumberFormat="true" borderId="1350" fillId="0" fontId="11" numFmtId="1000" quotePrefix="false">
      <alignment horizontal="center" textRotation="90"/>
    </xf>
    <xf applyAlignment="true" applyBorder="true" applyFill="false" applyFont="true" applyNumberFormat="true" borderId="1351" fillId="0" fontId="2" numFmtId="1000" quotePrefix="false">
      <alignment horizontal="center"/>
    </xf>
    <xf applyAlignment="true" applyBorder="true" applyFill="false" applyFont="true" applyNumberFormat="true" borderId="1352" fillId="0" fontId="2" numFmtId="1000" quotePrefix="false">
      <alignment horizontal="center"/>
    </xf>
    <xf applyAlignment="true" applyBorder="true" applyFill="false" applyFont="true" applyNumberFormat="true" borderId="1353" fillId="0" fontId="2" numFmtId="1000" quotePrefix="false">
      <alignment horizontal="center"/>
    </xf>
    <xf applyAlignment="true" applyBorder="true" applyFill="false" applyFont="false" applyNumberFormat="true" borderId="1354" fillId="0" fontId="1" numFmtId="1000" quotePrefix="false">
      <alignment horizontal="center" vertical="top"/>
    </xf>
    <xf applyAlignment="true" applyBorder="true" applyFill="false" applyFont="false" applyNumberFormat="true" borderId="1355" fillId="0" fontId="1" numFmtId="1000" quotePrefix="false">
      <alignment horizontal="center" vertical="top"/>
    </xf>
    <xf applyAlignment="true" applyBorder="true" applyFill="false" applyFont="false" applyNumberFormat="true" borderId="1356" fillId="0" fontId="1" numFmtId="1000" quotePrefix="false">
      <alignment horizontal="center" vertical="top"/>
    </xf>
    <xf applyAlignment="true" applyBorder="true" applyFill="false" applyFont="false" applyNumberFormat="true" borderId="1357" fillId="0" fontId="1" numFmtId="1000" quotePrefix="false">
      <alignment horizontal="center" vertical="top"/>
    </xf>
    <xf applyAlignment="true" applyBorder="true" applyFill="false" applyFont="false" applyNumberFormat="true" borderId="1358" fillId="0" fontId="1" numFmtId="1000" quotePrefix="false">
      <alignment horizontal="center" vertical="top"/>
    </xf>
    <xf applyAlignment="true" applyBorder="true" applyFill="false" applyFont="false" applyNumberFormat="true" borderId="1359" fillId="0" fontId="1" numFmtId="1000" quotePrefix="false">
      <alignment horizontal="center" vertical="top"/>
    </xf>
    <xf applyAlignment="true" applyBorder="true" applyFill="false" applyFont="false" applyNumberFormat="true" borderId="1360" fillId="0" fontId="1" numFmtId="1000" quotePrefix="false">
      <alignment horizontal="center" vertical="top"/>
    </xf>
    <xf applyAlignment="true" applyBorder="true" applyFill="false" applyFont="false" applyNumberFormat="true" borderId="1361" fillId="0" fontId="1" numFmtId="1000" quotePrefix="false">
      <alignment horizontal="center" vertical="top"/>
    </xf>
    <xf applyAlignment="true" applyBorder="true" applyFill="false" applyFont="false" applyNumberFormat="true" borderId="1362" fillId="0" fontId="1" numFmtId="1000" quotePrefix="false">
      <alignment horizontal="center" vertical="top"/>
    </xf>
    <xf applyAlignment="true" applyBorder="true" applyFill="false" applyFont="false" applyNumberFormat="true" borderId="1363" fillId="0" fontId="1" numFmtId="1000" quotePrefix="false">
      <alignment horizontal="center" vertical="top"/>
    </xf>
    <xf applyAlignment="true" applyBorder="true" applyFill="false" applyFont="false" applyNumberFormat="true" borderId="1364" fillId="0" fontId="1" numFmtId="1000" quotePrefix="false">
      <alignment horizontal="center" vertical="top"/>
    </xf>
    <xf applyAlignment="true" applyBorder="true" applyFill="false" applyFont="false" applyNumberFormat="true" borderId="1365" fillId="0" fontId="1" numFmtId="1000" quotePrefix="false">
      <alignment horizontal="center" vertical="top"/>
    </xf>
    <xf applyAlignment="true" applyBorder="true" applyFill="false" applyFont="false" applyNumberFormat="true" borderId="1366" fillId="0" fontId="1" numFmtId="1000" quotePrefix="false">
      <alignment horizontal="center" vertical="top"/>
    </xf>
    <xf applyAlignment="true" applyBorder="true" applyFill="false" applyFont="false" applyNumberFormat="true" borderId="1367" fillId="0" fontId="1" numFmtId="1000" quotePrefix="false">
      <alignment horizontal="center" vertical="top"/>
    </xf>
    <xf applyAlignment="true" applyBorder="true" applyFill="false" applyFont="false" applyNumberFormat="true" borderId="1368" fillId="0" fontId="1" numFmtId="1000" quotePrefix="false">
      <alignment horizontal="center" vertical="top"/>
    </xf>
    <xf applyAlignment="true" applyBorder="true" applyFill="false" applyFont="false" applyNumberFormat="true" borderId="1369" fillId="0" fontId="1" numFmtId="1000" quotePrefix="false">
      <alignment horizontal="center" vertical="top"/>
    </xf>
    <xf applyAlignment="true" applyBorder="true" applyFill="false" applyFont="true" applyNumberFormat="true" borderId="1370" fillId="0" fontId="11" numFmtId="1000" quotePrefix="false">
      <alignment horizontal="center" textRotation="90"/>
    </xf>
    <xf applyAlignment="true" applyBorder="true" applyFill="false" applyFont="false" applyNumberFormat="true" borderId="1371" fillId="0" fontId="1" numFmtId="1000" quotePrefix="false">
      <alignment horizontal="center" vertical="top"/>
    </xf>
    <xf applyAlignment="true" applyBorder="true" applyFill="false" applyFont="true" applyNumberFormat="true" borderId="1372" fillId="0" fontId="11" numFmtId="1000" quotePrefix="false">
      <alignment horizontal="center" textRotation="90"/>
    </xf>
    <xf applyAlignment="true" applyBorder="true" applyFill="false" applyFont="false" applyNumberFormat="true" borderId="1373" fillId="0" fontId="1" numFmtId="1000" quotePrefix="false">
      <alignment horizontal="center" vertical="top"/>
    </xf>
    <xf applyAlignment="true" applyBorder="true" applyFill="false" applyFont="false" applyNumberFormat="true" borderId="1374" fillId="0" fontId="1" numFmtId="1000" quotePrefix="false">
      <alignment horizontal="center" vertical="top"/>
    </xf>
    <xf applyAlignment="true" applyBorder="true" applyFill="false" applyFont="true" applyNumberFormat="true" borderId="1375" fillId="0" fontId="11" numFmtId="1000" quotePrefix="false">
      <alignment horizontal="center" textRotation="90"/>
    </xf>
    <xf applyAlignment="true" applyBorder="true" applyFill="false" applyFont="false" applyNumberFormat="true" borderId="1376" fillId="0" fontId="1" numFmtId="1000" quotePrefix="false">
      <alignment horizontal="center" vertical="top"/>
    </xf>
    <xf applyAlignment="true" applyBorder="true" applyFill="false" applyFont="false" applyNumberFormat="true" borderId="1377" fillId="0" fontId="1" numFmtId="1000" quotePrefix="false">
      <alignment horizontal="center" vertical="top"/>
    </xf>
    <xf applyAlignment="true" applyBorder="true" applyFill="false" applyFont="true" applyNumberFormat="true" borderId="1378" fillId="0" fontId="11" numFmtId="1000" quotePrefix="false">
      <alignment horizontal="center" textRotation="90"/>
    </xf>
    <xf applyAlignment="true" applyBorder="true" applyFill="false" applyFont="false" applyNumberFormat="true" borderId="1379" fillId="0" fontId="1" numFmtId="1000" quotePrefix="false">
      <alignment horizontal="center" vertical="top"/>
    </xf>
    <xf applyAlignment="true" applyBorder="true" applyFill="false" applyFont="false" applyNumberFormat="true" borderId="1380" fillId="0" fontId="1" numFmtId="1000" quotePrefix="false">
      <alignment horizontal="center" vertical="top"/>
    </xf>
    <xf applyAlignment="true" applyBorder="true" applyFill="false" applyFont="true" applyNumberFormat="true" borderId="1381" fillId="0" fontId="11" numFmtId="1000" quotePrefix="false">
      <alignment horizontal="center" textRotation="90"/>
    </xf>
    <xf applyAlignment="true" applyBorder="true" applyFill="false" applyFont="false" applyNumberFormat="true" borderId="1382" fillId="0" fontId="1" numFmtId="1000" quotePrefix="false">
      <alignment horizontal="center" vertical="top"/>
    </xf>
    <xf applyAlignment="true" applyBorder="true" applyFill="false" applyFont="false" applyNumberFormat="true" borderId="1383" fillId="0" fontId="1" numFmtId="1000" quotePrefix="false">
      <alignment horizontal="center" vertical="top"/>
    </xf>
    <xf applyAlignment="true" applyBorder="true" applyFill="false" applyFont="true" applyNumberFormat="true" borderId="1384" fillId="0" fontId="11" numFmtId="1000" quotePrefix="false">
      <alignment horizontal="center" textRotation="90"/>
    </xf>
    <xf applyAlignment="true" applyBorder="true" applyFill="false" applyFont="false" applyNumberFormat="true" borderId="1385" fillId="0" fontId="1" numFmtId="1000" quotePrefix="false">
      <alignment horizontal="center" vertical="top"/>
    </xf>
    <xf applyAlignment="true" applyBorder="true" applyFill="false" applyFont="false" applyNumberFormat="true" borderId="1386" fillId="0" fontId="1" numFmtId="1000" quotePrefix="false">
      <alignment horizontal="center" vertical="top"/>
    </xf>
    <xf applyAlignment="true" applyBorder="true" applyFill="false" applyFont="true" applyNumberFormat="true" borderId="1387" fillId="0" fontId="11" numFmtId="1000" quotePrefix="false">
      <alignment horizontal="center" textRotation="90"/>
    </xf>
    <xf applyAlignment="true" applyBorder="true" applyFill="false" applyFont="false" applyNumberFormat="true" borderId="1388" fillId="0" fontId="1" numFmtId="1000" quotePrefix="false">
      <alignment horizontal="center" vertical="top"/>
    </xf>
    <xf applyAlignment="true" applyBorder="true" applyFill="false" applyFont="false" applyNumberFormat="true" borderId="1389" fillId="0" fontId="1" numFmtId="1000" quotePrefix="false">
      <alignment horizontal="center" vertical="top"/>
    </xf>
    <xf applyAlignment="true" applyBorder="true" applyFill="false" applyFont="true" applyNumberFormat="true" borderId="1390" fillId="0" fontId="11" numFmtId="1000" quotePrefix="false">
      <alignment horizontal="center" textRotation="90"/>
    </xf>
    <xf applyAlignment="true" applyBorder="true" applyFill="false" applyFont="false" applyNumberFormat="true" borderId="1391" fillId="0" fontId="1" numFmtId="1000" quotePrefix="false">
      <alignment horizontal="center" vertical="top"/>
    </xf>
    <xf applyAlignment="true" applyBorder="true" applyFill="false" applyFont="false" applyNumberFormat="true" borderId="1392" fillId="0" fontId="1" numFmtId="1000" quotePrefix="false">
      <alignment horizontal="center" vertical="top"/>
    </xf>
    <xf applyAlignment="true" applyBorder="true" applyFill="false" applyFont="true" applyNumberFormat="true" borderId="1393" fillId="0" fontId="11" numFmtId="1000" quotePrefix="false">
      <alignment horizontal="center" textRotation="90"/>
    </xf>
    <xf applyAlignment="true" applyBorder="true" applyFill="false" applyFont="false" applyNumberFormat="true" borderId="1394" fillId="0" fontId="1" numFmtId="1000" quotePrefix="false">
      <alignment horizontal="center" vertical="top"/>
    </xf>
    <xf applyAlignment="true" applyBorder="true" applyFill="false" applyFont="false" applyNumberFormat="true" borderId="1395" fillId="0" fontId="1" numFmtId="1000" quotePrefix="false">
      <alignment horizontal="center" vertical="top"/>
    </xf>
    <xf applyAlignment="true" applyBorder="true" applyFill="false" applyFont="true" applyNumberFormat="true" borderId="1396" fillId="0" fontId="11" numFmtId="1000" quotePrefix="false">
      <alignment horizontal="center" textRotation="90"/>
    </xf>
    <xf applyAlignment="true" applyBorder="true" applyFill="false" applyFont="true" applyNumberFormat="true" borderId="1397" fillId="0" fontId="2" numFmtId="1000" quotePrefix="false">
      <alignment horizontal="center" vertical="top"/>
    </xf>
    <xf applyAlignment="true" applyBorder="true" applyFill="false" applyFont="false" applyNumberFormat="true" borderId="1398" fillId="0" fontId="1" numFmtId="1000" quotePrefix="false">
      <alignment horizontal="left" vertical="top"/>
    </xf>
    <xf applyAlignment="true" applyBorder="true" applyFill="false" applyFont="false" applyNumberFormat="true" borderId="1399" fillId="0" fontId="1" numFmtId="1000" quotePrefix="false">
      <alignment horizontal="left" vertical="top"/>
    </xf>
    <xf applyAlignment="true" applyBorder="true" applyFill="false" applyFont="false" applyNumberFormat="true" borderId="1400" fillId="0" fontId="1" numFmtId="1000" quotePrefix="false">
      <alignment horizontal="left" vertical="top"/>
    </xf>
    <xf applyAlignment="true" applyBorder="true" applyFill="false" applyFont="false" applyNumberFormat="true" borderId="1401" fillId="0" fontId="1" numFmtId="1000" quotePrefix="false">
      <alignment horizontal="left" vertical="top"/>
    </xf>
    <xf applyAlignment="true" applyBorder="true" applyFill="false" applyFont="false" applyNumberFormat="true" borderId="1402" fillId="0" fontId="1" numFmtId="1000" quotePrefix="false">
      <alignment horizontal="left" vertical="top"/>
    </xf>
    <xf applyAlignment="true" applyBorder="true" applyFill="false" applyFont="false" applyNumberFormat="true" borderId="1403" fillId="0" fontId="1" numFmtId="1000" quotePrefix="false">
      <alignment horizontal="left" vertical="top"/>
    </xf>
    <xf applyAlignment="true" applyBorder="true" applyFill="false" applyFont="false" applyNumberFormat="true" borderId="1404" fillId="0" fontId="1" numFmtId="1000" quotePrefix="false">
      <alignment horizontal="left" vertical="top"/>
    </xf>
    <xf applyAlignment="true" applyBorder="true" applyFill="false" applyFont="false" applyNumberFormat="true" borderId="1405" fillId="0" fontId="1" numFmtId="1000" quotePrefix="false">
      <alignment horizontal="left" vertical="top"/>
    </xf>
    <xf applyAlignment="true" applyBorder="true" applyFill="false" applyFont="false" applyNumberFormat="true" borderId="1406" fillId="0" fontId="1" numFmtId="1000" quotePrefix="false">
      <alignment horizontal="left" vertical="top"/>
    </xf>
    <xf applyAlignment="true" applyBorder="true" applyFill="false" applyFont="false" applyNumberFormat="true" borderId="1407" fillId="0" fontId="1" numFmtId="1000" quotePrefix="false">
      <alignment horizontal="left" vertical="top"/>
    </xf>
    <xf applyAlignment="true" applyBorder="true" applyFill="false" applyFont="false" applyNumberFormat="true" borderId="1408" fillId="0" fontId="1" numFmtId="1000" quotePrefix="false">
      <alignment horizontal="left" vertical="top"/>
    </xf>
    <xf applyAlignment="true" applyBorder="true" applyFill="false" applyFont="false" applyNumberFormat="true" borderId="1409" fillId="0" fontId="1" numFmtId="1000" quotePrefix="false">
      <alignment horizontal="left" vertical="top"/>
    </xf>
    <xf applyAlignment="true" applyBorder="true" applyFill="false" applyFont="false" applyNumberFormat="true" borderId="1410" fillId="0" fontId="1" numFmtId="1000" quotePrefix="false">
      <alignment horizontal="left" vertical="top"/>
    </xf>
    <xf applyAlignment="true" applyBorder="true" applyFill="false" applyFont="false" applyNumberFormat="true" borderId="1411" fillId="0" fontId="1" numFmtId="1000" quotePrefix="false">
      <alignment horizontal="left" vertical="top"/>
    </xf>
    <xf applyAlignment="true" applyBorder="true" applyFill="false" applyFont="false" applyNumberFormat="true" borderId="1412" fillId="0" fontId="1" numFmtId="1000" quotePrefix="false">
      <alignment horizontal="left" vertical="top"/>
    </xf>
    <xf applyAlignment="true" applyBorder="true" applyFill="false" applyFont="false" applyNumberFormat="true" borderId="1413" fillId="0" fontId="1" numFmtId="1000" quotePrefix="false">
      <alignment horizontal="left" vertical="top"/>
    </xf>
    <xf applyAlignment="true" applyBorder="true" applyFill="false" applyFont="false" applyNumberFormat="true" borderId="1414" fillId="0" fontId="1" numFmtId="1000" quotePrefix="false">
      <alignment horizontal="left" vertical="top"/>
    </xf>
    <xf applyAlignment="true" applyBorder="true" applyFill="false" applyFont="false" applyNumberFormat="true" borderId="1415" fillId="0" fontId="1" numFmtId="1000" quotePrefix="false">
      <alignment horizontal="left" vertical="top"/>
    </xf>
    <xf applyAlignment="true" applyBorder="true" applyFill="false" applyFont="false" applyNumberFormat="true" borderId="1416" fillId="0" fontId="1" numFmtId="1000" quotePrefix="false">
      <alignment horizontal="left" vertical="top"/>
    </xf>
    <xf applyAlignment="true" applyBorder="true" applyFill="false" applyFont="true" applyNumberFormat="true" borderId="1417" fillId="0" fontId="11" numFmtId="1000" quotePrefix="false">
      <alignment horizontal="center" textRotation="90"/>
    </xf>
    <xf applyAlignment="true" applyBorder="true" applyFill="false" applyFont="true" applyNumberFormat="true" borderId="1418" fillId="0" fontId="12" numFmtId="1000" quotePrefix="false">
      <alignment horizontal="center" textRotation="90" vertical="center"/>
    </xf>
    <xf applyAlignment="true" applyBorder="true" applyFill="false" applyFont="true" applyNumberFormat="true" borderId="1419" fillId="0" fontId="2" numFmtId="1000" quotePrefix="false">
      <alignment horizontal="center"/>
    </xf>
    <xf applyAlignment="true" applyBorder="true" applyFill="false" applyFont="true" applyNumberFormat="true" borderId="1420" fillId="0" fontId="2" numFmtId="1000" quotePrefix="false">
      <alignment horizontal="center"/>
    </xf>
    <xf applyAlignment="true" applyBorder="true" applyFill="false" applyFont="true" applyNumberFormat="true" borderId="1421" fillId="0" fontId="2" numFmtId="1000" quotePrefix="false">
      <alignment horizontal="center"/>
    </xf>
    <xf applyAlignment="true" applyBorder="true" applyFill="false" applyFont="false" applyNumberFormat="true" borderId="1422" fillId="0" fontId="1" numFmtId="1000" quotePrefix="false">
      <alignment horizontal="center" vertical="top"/>
    </xf>
    <xf applyAlignment="true" applyBorder="true" applyFill="false" applyFont="false" applyNumberFormat="true" borderId="1423" fillId="0" fontId="1" numFmtId="1000" quotePrefix="false">
      <alignment horizontal="center" vertical="top"/>
    </xf>
    <xf applyAlignment="true" applyBorder="true" applyFill="false" applyFont="false" applyNumberFormat="true" borderId="1424" fillId="0" fontId="1" numFmtId="1000" quotePrefix="false">
      <alignment horizontal="center" vertical="top"/>
    </xf>
    <xf applyAlignment="true" applyBorder="true" applyFill="false" applyFont="false" applyNumberFormat="true" borderId="1425" fillId="0" fontId="1" numFmtId="1000" quotePrefix="false">
      <alignment horizontal="center" vertical="top"/>
    </xf>
    <xf applyAlignment="true" applyBorder="true" applyFill="false" applyFont="false" applyNumberFormat="true" borderId="1426" fillId="0" fontId="1" numFmtId="1000" quotePrefix="false">
      <alignment horizontal="center" vertical="top"/>
    </xf>
    <xf applyAlignment="true" applyBorder="true" applyFill="false" applyFont="false" applyNumberFormat="true" borderId="1427" fillId="0" fontId="1" numFmtId="1000" quotePrefix="false">
      <alignment horizontal="center" vertical="top"/>
    </xf>
    <xf applyAlignment="true" applyBorder="true" applyFill="false" applyFont="false" applyNumberFormat="true" borderId="1428" fillId="0" fontId="1" numFmtId="1000" quotePrefix="false">
      <alignment horizontal="center" vertical="top"/>
    </xf>
    <xf applyAlignment="true" applyBorder="true" applyFill="false" applyFont="false" applyNumberFormat="true" borderId="1429" fillId="0" fontId="1" numFmtId="1000" quotePrefix="false">
      <alignment horizontal="center" vertical="top"/>
    </xf>
    <xf applyAlignment="true" applyBorder="true" applyFill="false" applyFont="false" applyNumberFormat="true" borderId="1430" fillId="0" fontId="1" numFmtId="1000" quotePrefix="false">
      <alignment horizontal="center" vertical="top"/>
    </xf>
    <xf applyAlignment="true" applyBorder="true" applyFill="false" applyFont="false" applyNumberFormat="true" borderId="1431" fillId="0" fontId="1" numFmtId="1000" quotePrefix="false">
      <alignment horizontal="center" vertical="top"/>
    </xf>
    <xf applyAlignment="true" applyBorder="true" applyFill="false" applyFont="false" applyNumberFormat="true" borderId="1432" fillId="0" fontId="1" numFmtId="1000" quotePrefix="false">
      <alignment horizontal="center" vertical="top"/>
    </xf>
    <xf applyAlignment="true" applyBorder="true" applyFill="false" applyFont="false" applyNumberFormat="true" borderId="1433" fillId="0" fontId="1" numFmtId="1000" quotePrefix="false">
      <alignment horizontal="center" vertical="top"/>
    </xf>
    <xf applyAlignment="true" applyBorder="true" applyFill="false" applyFont="false" applyNumberFormat="true" borderId="1434" fillId="0" fontId="1" numFmtId="1000" quotePrefix="false">
      <alignment horizontal="center" vertical="top"/>
    </xf>
    <xf applyAlignment="true" applyBorder="true" applyFill="false" applyFont="false" applyNumberFormat="true" borderId="1435" fillId="0" fontId="1" numFmtId="1000" quotePrefix="false">
      <alignment horizontal="center" vertical="top"/>
    </xf>
    <xf applyAlignment="true" applyBorder="true" applyFill="false" applyFont="false" applyNumberFormat="true" borderId="1436" fillId="0" fontId="1" numFmtId="1000" quotePrefix="false">
      <alignment horizontal="center" vertical="top"/>
    </xf>
    <xf applyAlignment="true" applyBorder="true" applyFill="false" applyFont="false" applyNumberFormat="true" borderId="1437" fillId="0" fontId="1" numFmtId="1000" quotePrefix="false">
      <alignment horizontal="center" vertical="top"/>
    </xf>
    <xf applyAlignment="true" applyBorder="true" applyFill="false" applyFont="true" applyNumberFormat="true" borderId="1438" fillId="0" fontId="11" numFmtId="1000" quotePrefix="false">
      <alignment horizontal="center" textRotation="90"/>
    </xf>
    <xf applyAlignment="true" applyBorder="true" applyFill="false" applyFont="true" applyNumberFormat="true" borderId="1439" fillId="0" fontId="12" numFmtId="1000" quotePrefix="false">
      <alignment horizontal="center" textRotation="90" vertical="center"/>
    </xf>
    <xf applyAlignment="true" applyBorder="true" applyFill="false" applyFont="false" applyNumberFormat="true" borderId="1440" fillId="0" fontId="1" numFmtId="1000" quotePrefix="false">
      <alignment horizontal="center" vertical="top"/>
    </xf>
    <xf applyAlignment="true" applyBorder="true" applyFill="false" applyFont="true" applyNumberFormat="true" borderId="1441" fillId="0" fontId="11" numFmtId="1000" quotePrefix="false">
      <alignment horizontal="center" textRotation="90"/>
    </xf>
    <xf applyAlignment="true" applyBorder="true" applyFill="false" applyFont="true" applyNumberFormat="true" borderId="1442" fillId="0" fontId="12" numFmtId="1000" quotePrefix="false">
      <alignment horizontal="center" textRotation="90" vertical="center"/>
    </xf>
    <xf applyAlignment="true" applyBorder="true" applyFill="false" applyFont="false" applyNumberFormat="true" borderId="1443" fillId="0" fontId="1" numFmtId="1000" quotePrefix="false">
      <alignment horizontal="center" vertical="top"/>
    </xf>
    <xf applyAlignment="true" applyBorder="true" applyFill="false" applyFont="false" applyNumberFormat="true" borderId="1444" fillId="0" fontId="1" numFmtId="1000" quotePrefix="false">
      <alignment horizontal="center" vertical="top"/>
    </xf>
    <xf applyAlignment="true" applyBorder="true" applyFill="false" applyFont="true" applyNumberFormat="true" borderId="1445" fillId="0" fontId="11" numFmtId="1000" quotePrefix="false">
      <alignment horizontal="center" textRotation="90"/>
    </xf>
    <xf applyAlignment="true" applyBorder="true" applyFill="false" applyFont="true" applyNumberFormat="true" borderId="1446" fillId="0" fontId="12" numFmtId="1000" quotePrefix="false">
      <alignment horizontal="center" textRotation="90" vertical="center"/>
    </xf>
    <xf applyAlignment="true" applyBorder="true" applyFill="false" applyFont="false" applyNumberFormat="true" borderId="1447" fillId="0" fontId="1" numFmtId="1000" quotePrefix="false">
      <alignment horizontal="center" vertical="top"/>
    </xf>
    <xf applyAlignment="true" applyBorder="true" applyFill="false" applyFont="false" applyNumberFormat="true" borderId="1448" fillId="0" fontId="1" numFmtId="1000" quotePrefix="false">
      <alignment horizontal="center" vertical="top"/>
    </xf>
    <xf applyAlignment="true" applyBorder="true" applyFill="false" applyFont="true" applyNumberFormat="true" borderId="1449" fillId="0" fontId="11" numFmtId="1000" quotePrefix="false">
      <alignment horizontal="center" textRotation="90"/>
    </xf>
    <xf applyAlignment="true" applyBorder="true" applyFill="false" applyFont="true" applyNumberFormat="true" borderId="1450" fillId="0" fontId="12" numFmtId="1000" quotePrefix="false">
      <alignment horizontal="center" textRotation="90" vertical="center"/>
    </xf>
    <xf applyAlignment="true" applyBorder="true" applyFill="false" applyFont="false" applyNumberFormat="true" borderId="1451" fillId="0" fontId="1" numFmtId="1000" quotePrefix="false">
      <alignment horizontal="center" vertical="top"/>
    </xf>
    <xf applyAlignment="true" applyBorder="true" applyFill="false" applyFont="false" applyNumberFormat="true" borderId="1452" fillId="0" fontId="1" numFmtId="1000" quotePrefix="false">
      <alignment horizontal="center" vertical="top"/>
    </xf>
    <xf applyAlignment="true" applyBorder="true" applyFill="false" applyFont="true" applyNumberFormat="true" borderId="1453" fillId="0" fontId="11" numFmtId="1000" quotePrefix="false">
      <alignment horizontal="center" textRotation="90"/>
    </xf>
    <xf applyAlignment="true" applyBorder="true" applyFill="false" applyFont="true" applyNumberFormat="true" borderId="1454" fillId="0" fontId="12" numFmtId="1000" quotePrefix="false">
      <alignment horizontal="center" textRotation="90" vertical="center"/>
    </xf>
    <xf applyAlignment="true" applyBorder="true" applyFill="false" applyFont="false" applyNumberFormat="true" borderId="1455" fillId="0" fontId="1" numFmtId="1000" quotePrefix="false">
      <alignment horizontal="center" vertical="top"/>
    </xf>
    <xf applyAlignment="true" applyBorder="true" applyFill="false" applyFont="false" applyNumberFormat="true" borderId="1456" fillId="0" fontId="1" numFmtId="1000" quotePrefix="false">
      <alignment horizontal="center" vertical="top"/>
    </xf>
    <xf applyAlignment="true" applyBorder="true" applyFill="false" applyFont="true" applyNumberFormat="true" borderId="1457" fillId="0" fontId="11" numFmtId="1000" quotePrefix="false">
      <alignment horizontal="center" textRotation="90"/>
    </xf>
    <xf applyAlignment="true" applyBorder="true" applyFill="false" applyFont="true" applyNumberFormat="true" borderId="1458" fillId="0" fontId="12" numFmtId="1000" quotePrefix="false">
      <alignment horizontal="center" textRotation="90" vertical="center"/>
    </xf>
    <xf applyAlignment="true" applyBorder="true" applyFill="false" applyFont="false" applyNumberFormat="true" borderId="1459" fillId="0" fontId="1" numFmtId="1000" quotePrefix="false">
      <alignment horizontal="center" vertical="top"/>
    </xf>
    <xf applyAlignment="true" applyBorder="true" applyFill="false" applyFont="false" applyNumberFormat="true" borderId="1460" fillId="0" fontId="1" numFmtId="1000" quotePrefix="false">
      <alignment horizontal="center" vertical="top"/>
    </xf>
    <xf applyAlignment="true" applyBorder="true" applyFill="false" applyFont="true" applyNumberFormat="true" borderId="1461" fillId="0" fontId="11" numFmtId="1000" quotePrefix="false">
      <alignment horizontal="center" textRotation="90"/>
    </xf>
    <xf applyAlignment="true" applyBorder="true" applyFill="false" applyFont="true" applyNumberFormat="true" borderId="1462" fillId="0" fontId="12" numFmtId="1000" quotePrefix="false">
      <alignment horizontal="center" textRotation="90" vertical="center"/>
    </xf>
    <xf applyAlignment="true" applyBorder="true" applyFill="false" applyFont="false" applyNumberFormat="true" borderId="1463" fillId="0" fontId="1" numFmtId="1000" quotePrefix="false">
      <alignment horizontal="center" vertical="top"/>
    </xf>
    <xf applyAlignment="true" applyBorder="true" applyFill="false" applyFont="false" applyNumberFormat="true" borderId="1464" fillId="0" fontId="1" numFmtId="1000" quotePrefix="false">
      <alignment horizontal="center" vertical="top"/>
    </xf>
    <xf applyAlignment="true" applyBorder="true" applyFill="false" applyFont="true" applyNumberFormat="true" borderId="1465" fillId="0" fontId="11" numFmtId="1000" quotePrefix="false">
      <alignment horizontal="center" textRotation="90"/>
    </xf>
    <xf applyAlignment="true" applyBorder="true" applyFill="false" applyFont="true" applyNumberFormat="true" borderId="1466" fillId="0" fontId="12" numFmtId="1000" quotePrefix="false">
      <alignment horizontal="center" textRotation="90" vertical="center"/>
    </xf>
    <xf applyAlignment="true" applyBorder="true" applyFill="false" applyFont="false" applyNumberFormat="true" borderId="1467" fillId="0" fontId="1" numFmtId="1000" quotePrefix="false">
      <alignment horizontal="center" vertical="top"/>
    </xf>
    <xf applyAlignment="true" applyBorder="true" applyFill="false" applyFont="false" applyNumberFormat="true" borderId="1468" fillId="0" fontId="1" numFmtId="1000" quotePrefix="false">
      <alignment horizontal="center" vertical="top"/>
    </xf>
    <xf applyAlignment="true" applyBorder="true" applyFill="false" applyFont="true" applyNumberFormat="true" borderId="1469" fillId="0" fontId="11" numFmtId="1000" quotePrefix="false">
      <alignment horizontal="center" textRotation="90"/>
    </xf>
    <xf applyAlignment="true" applyBorder="true" applyFill="false" applyFont="true" applyNumberFormat="true" borderId="1470" fillId="0" fontId="12" numFmtId="1000" quotePrefix="false">
      <alignment horizontal="center" textRotation="90" vertical="center"/>
    </xf>
    <xf applyAlignment="true" applyBorder="true" applyFill="false" applyFont="false" applyNumberFormat="true" borderId="1471" fillId="0" fontId="1" numFmtId="1000" quotePrefix="false">
      <alignment horizontal="center" vertical="top"/>
    </xf>
    <xf applyAlignment="true" applyBorder="true" applyFill="false" applyFont="false" applyNumberFormat="true" borderId="1472" fillId="0" fontId="1" numFmtId="1000" quotePrefix="false">
      <alignment horizontal="center" vertical="top"/>
    </xf>
    <xf applyAlignment="true" applyBorder="true" applyFill="false" applyFont="true" applyNumberFormat="true" borderId="1473" fillId="0" fontId="11" numFmtId="1000" quotePrefix="false">
      <alignment horizontal="center" textRotation="90"/>
    </xf>
    <xf applyAlignment="true" applyBorder="true" applyFill="false" applyFont="true" applyNumberFormat="true" borderId="1474" fillId="0" fontId="12" numFmtId="1000" quotePrefix="false">
      <alignment horizontal="center" textRotation="90" vertical="center"/>
    </xf>
    <xf applyAlignment="true" applyBorder="true" applyFill="false" applyFont="true" applyNumberFormat="true" borderId="1475" fillId="0" fontId="2" numFmtId="1000" quotePrefix="false">
      <alignment horizontal="center" vertical="top"/>
    </xf>
    <xf applyAlignment="true" applyBorder="true" applyFill="false" applyFont="false" applyNumberFormat="true" borderId="1476" fillId="0" fontId="1" numFmtId="1000" quotePrefix="false">
      <alignment horizontal="left" vertical="top"/>
    </xf>
    <xf applyAlignment="true" applyBorder="true" applyFill="false" applyFont="false" applyNumberFormat="true" borderId="1477" fillId="0" fontId="1" numFmtId="1000" quotePrefix="false">
      <alignment horizontal="left" vertical="top"/>
    </xf>
    <xf applyAlignment="true" applyBorder="true" applyFill="false" applyFont="false" applyNumberFormat="true" borderId="1478" fillId="0" fontId="1" numFmtId="1000" quotePrefix="false">
      <alignment horizontal="left" vertical="top"/>
    </xf>
    <xf applyAlignment="true" applyBorder="true" applyFill="false" applyFont="false" applyNumberFormat="true" borderId="1479" fillId="0" fontId="1" numFmtId="1000" quotePrefix="false">
      <alignment horizontal="left" vertical="top"/>
    </xf>
    <xf applyAlignment="true" applyBorder="true" applyFill="false" applyFont="false" applyNumberFormat="true" borderId="1480" fillId="0" fontId="1" numFmtId="1000" quotePrefix="false">
      <alignment horizontal="left" vertical="top"/>
    </xf>
    <xf applyAlignment="true" applyBorder="true" applyFill="false" applyFont="false" applyNumberFormat="true" borderId="1481" fillId="0" fontId="1" numFmtId="1000" quotePrefix="false">
      <alignment horizontal="left" vertical="top"/>
    </xf>
    <xf applyAlignment="true" applyBorder="true" applyFill="false" applyFont="false" applyNumberFormat="true" borderId="1482" fillId="0" fontId="1" numFmtId="1000" quotePrefix="false">
      <alignment horizontal="left" vertical="top"/>
    </xf>
    <xf applyAlignment="true" applyBorder="true" applyFill="false" applyFont="false" applyNumberFormat="true" borderId="1483" fillId="0" fontId="1" numFmtId="1000" quotePrefix="false">
      <alignment horizontal="left" vertical="top"/>
    </xf>
    <xf applyAlignment="true" applyBorder="true" applyFill="false" applyFont="false" applyNumberFormat="true" borderId="1484" fillId="0" fontId="1" numFmtId="1000" quotePrefix="false">
      <alignment horizontal="left" vertical="top"/>
    </xf>
    <xf applyAlignment="true" applyBorder="true" applyFill="false" applyFont="false" applyNumberFormat="true" borderId="1485" fillId="0" fontId="1" numFmtId="1000" quotePrefix="false">
      <alignment horizontal="left" vertical="top"/>
    </xf>
    <xf applyAlignment="true" applyBorder="true" applyFill="false" applyFont="false" applyNumberFormat="true" borderId="1486" fillId="0" fontId="1" numFmtId="1000" quotePrefix="false">
      <alignment horizontal="left" vertical="top"/>
    </xf>
    <xf applyAlignment="true" applyBorder="true" applyFill="false" applyFont="false" applyNumberFormat="true" borderId="1487" fillId="0" fontId="1" numFmtId="1000" quotePrefix="false">
      <alignment horizontal="left" vertical="top"/>
    </xf>
    <xf applyAlignment="true" applyBorder="true" applyFill="false" applyFont="false" applyNumberFormat="true" borderId="1488" fillId="0" fontId="1" numFmtId="1000" quotePrefix="false">
      <alignment horizontal="left" vertical="top"/>
    </xf>
    <xf applyAlignment="true" applyBorder="true" applyFill="false" applyFont="false" applyNumberFormat="true" borderId="1489" fillId="0" fontId="1" numFmtId="1000" quotePrefix="false">
      <alignment horizontal="left" vertical="top"/>
    </xf>
    <xf applyAlignment="true" applyBorder="true" applyFill="false" applyFont="false" applyNumberFormat="true" borderId="1490" fillId="0" fontId="1" numFmtId="1000" quotePrefix="false">
      <alignment horizontal="left" vertical="top"/>
    </xf>
    <xf applyAlignment="true" applyBorder="true" applyFill="false" applyFont="false" applyNumberFormat="true" borderId="1491" fillId="0" fontId="1" numFmtId="1000" quotePrefix="false">
      <alignment horizontal="left" vertical="top"/>
    </xf>
    <xf applyAlignment="true" applyBorder="true" applyFill="false" applyFont="false" applyNumberFormat="true" borderId="1492" fillId="0" fontId="1" numFmtId="1000" quotePrefix="false">
      <alignment horizontal="left" vertical="top"/>
    </xf>
    <xf applyAlignment="true" applyBorder="true" applyFill="false" applyFont="false" applyNumberFormat="true" borderId="1493" fillId="0" fontId="1" numFmtId="1000" quotePrefix="false">
      <alignment horizontal="left" vertical="top"/>
    </xf>
    <xf applyAlignment="true" applyBorder="true" applyFill="false" applyFont="false" applyNumberFormat="true" borderId="1494" fillId="0" fontId="1" numFmtId="1000" quotePrefix="false">
      <alignment horizontal="left" vertical="top"/>
    </xf>
    <xf applyAlignment="true" applyBorder="true" applyFill="false" applyFont="true" applyNumberFormat="true" borderId="1495" fillId="0" fontId="12" numFmtId="1000" quotePrefix="false">
      <alignment horizontal="center" textRotation="90" vertical="center"/>
    </xf>
    <xf applyAlignment="true" applyBorder="true" applyFill="false" applyFont="true" applyNumberFormat="true" borderId="1496" fillId="0" fontId="2" numFmtId="1000" quotePrefix="false">
      <alignment horizontal="center"/>
    </xf>
    <xf applyAlignment="true" applyBorder="true" applyFill="false" applyFont="true" applyNumberFormat="true" borderId="1497" fillId="0" fontId="2" numFmtId="1000" quotePrefix="false">
      <alignment horizontal="center"/>
    </xf>
    <xf applyAlignment="true" applyBorder="true" applyFill="false" applyFont="true" applyNumberFormat="true" borderId="1498" fillId="0" fontId="2" numFmtId="1000" quotePrefix="false">
      <alignment horizontal="center"/>
    </xf>
    <xf applyAlignment="true" applyBorder="true" applyFill="false" applyFont="false" applyNumberFormat="true" borderId="1499" fillId="0" fontId="1" numFmtId="1000" quotePrefix="false">
      <alignment horizontal="center" vertical="top"/>
    </xf>
    <xf applyAlignment="true" applyBorder="true" applyFill="false" applyFont="false" applyNumberFormat="true" borderId="1500" fillId="0" fontId="1" numFmtId="1000" quotePrefix="false">
      <alignment horizontal="center" vertical="top"/>
    </xf>
    <xf applyAlignment="true" applyBorder="true" applyFill="false" applyFont="false" applyNumberFormat="true" borderId="1501" fillId="0" fontId="1" numFmtId="1000" quotePrefix="false">
      <alignment horizontal="center" vertical="top"/>
    </xf>
    <xf applyAlignment="true" applyBorder="true" applyFill="false" applyFont="false" applyNumberFormat="true" borderId="1502" fillId="0" fontId="1" numFmtId="1000" quotePrefix="false">
      <alignment horizontal="center" vertical="top"/>
    </xf>
    <xf applyAlignment="true" applyBorder="true" applyFill="false" applyFont="false" applyNumberFormat="true" borderId="1503" fillId="0" fontId="1" numFmtId="1000" quotePrefix="false">
      <alignment horizontal="center" vertical="top"/>
    </xf>
    <xf applyAlignment="true" applyBorder="true" applyFill="false" applyFont="false" applyNumberFormat="true" borderId="1504" fillId="0" fontId="1" numFmtId="1000" quotePrefix="false">
      <alignment horizontal="center" vertical="top"/>
    </xf>
    <xf applyAlignment="true" applyBorder="true" applyFill="false" applyFont="false" applyNumberFormat="true" borderId="1505" fillId="0" fontId="1" numFmtId="1000" quotePrefix="false">
      <alignment horizontal="center" vertical="top"/>
    </xf>
    <xf applyAlignment="true" applyBorder="true" applyFill="false" applyFont="false" applyNumberFormat="true" borderId="1506" fillId="0" fontId="1" numFmtId="1000" quotePrefix="false">
      <alignment horizontal="center" vertical="top"/>
    </xf>
    <xf applyAlignment="true" applyBorder="true" applyFill="false" applyFont="false" applyNumberFormat="true" borderId="1507" fillId="0" fontId="1" numFmtId="1000" quotePrefix="false">
      <alignment horizontal="center" vertical="top"/>
    </xf>
    <xf applyAlignment="true" applyBorder="true" applyFill="false" applyFont="false" applyNumberFormat="true" borderId="1508" fillId="0" fontId="1" numFmtId="1000" quotePrefix="false">
      <alignment horizontal="center" vertical="top"/>
    </xf>
    <xf applyAlignment="true" applyBorder="true" applyFill="false" applyFont="false" applyNumberFormat="true" borderId="1509" fillId="0" fontId="1" numFmtId="1000" quotePrefix="false">
      <alignment horizontal="center" vertical="top"/>
    </xf>
    <xf applyAlignment="true" applyBorder="true" applyFill="false" applyFont="false" applyNumberFormat="true" borderId="1510" fillId="0" fontId="1" numFmtId="1000" quotePrefix="false">
      <alignment horizontal="center" vertical="top"/>
    </xf>
    <xf applyAlignment="true" applyBorder="true" applyFill="false" applyFont="false" applyNumberFormat="true" borderId="1511" fillId="0" fontId="1" numFmtId="1000" quotePrefix="false">
      <alignment horizontal="center" vertical="top"/>
    </xf>
    <xf applyAlignment="true" applyBorder="true" applyFill="false" applyFont="false" applyNumberFormat="true" borderId="1512" fillId="0" fontId="1" numFmtId="1000" quotePrefix="false">
      <alignment horizontal="center" vertical="top"/>
    </xf>
    <xf applyAlignment="true" applyBorder="true" applyFill="false" applyFont="false" applyNumberFormat="true" borderId="1513" fillId="0" fontId="1" numFmtId="1000" quotePrefix="false">
      <alignment horizontal="center" vertical="top"/>
    </xf>
    <xf applyAlignment="true" applyBorder="true" applyFill="false" applyFont="false" applyNumberFormat="true" borderId="1514" fillId="0" fontId="1" numFmtId="1000" quotePrefix="false">
      <alignment horizontal="center" vertical="top"/>
    </xf>
    <xf applyAlignment="true" applyBorder="true" applyFill="false" applyFont="true" applyNumberFormat="true" borderId="1515" fillId="0" fontId="12" numFmtId="1000" quotePrefix="false">
      <alignment horizontal="center" textRotation="90" vertical="center"/>
    </xf>
    <xf applyAlignment="true" applyBorder="true" applyFill="false" applyFont="false" applyNumberFormat="true" borderId="1516" fillId="0" fontId="1" numFmtId="1000" quotePrefix="false">
      <alignment horizontal="center" vertical="top"/>
    </xf>
    <xf applyAlignment="true" applyBorder="true" applyFill="false" applyFont="true" applyNumberFormat="true" borderId="1517" fillId="0" fontId="12" numFmtId="1000" quotePrefix="false">
      <alignment horizontal="center" textRotation="90" vertical="center"/>
    </xf>
    <xf applyAlignment="true" applyBorder="true" applyFill="false" applyFont="false" applyNumberFormat="true" borderId="1518" fillId="0" fontId="1" numFmtId="1000" quotePrefix="false">
      <alignment horizontal="center" vertical="top"/>
    </xf>
    <xf applyAlignment="true" applyBorder="true" applyFill="false" applyFont="false" applyNumberFormat="true" borderId="1519" fillId="0" fontId="1" numFmtId="1000" quotePrefix="false">
      <alignment horizontal="center" vertical="top"/>
    </xf>
    <xf applyAlignment="true" applyBorder="true" applyFill="false" applyFont="true" applyNumberFormat="true" borderId="1520" fillId="0" fontId="12" numFmtId="1000" quotePrefix="false">
      <alignment horizontal="center" textRotation="90" vertical="center"/>
    </xf>
    <xf applyAlignment="true" applyBorder="true" applyFill="false" applyFont="false" applyNumberFormat="true" borderId="1521" fillId="0" fontId="1" numFmtId="1000" quotePrefix="false">
      <alignment horizontal="center" vertical="top"/>
    </xf>
    <xf applyAlignment="true" applyBorder="true" applyFill="false" applyFont="false" applyNumberFormat="true" borderId="1522" fillId="0" fontId="1" numFmtId="1000" quotePrefix="false">
      <alignment horizontal="center" vertical="top"/>
    </xf>
    <xf applyAlignment="true" applyBorder="true" applyFill="false" applyFont="true" applyNumberFormat="true" borderId="1523" fillId="0" fontId="12" numFmtId="1000" quotePrefix="false">
      <alignment horizontal="center" textRotation="90" vertical="center"/>
    </xf>
    <xf applyAlignment="true" applyBorder="true" applyFill="false" applyFont="false" applyNumberFormat="true" borderId="1524" fillId="0" fontId="1" numFmtId="1000" quotePrefix="false">
      <alignment horizontal="center" vertical="top"/>
    </xf>
    <xf applyAlignment="true" applyBorder="true" applyFill="false" applyFont="false" applyNumberFormat="true" borderId="1525" fillId="0" fontId="1" numFmtId="1000" quotePrefix="false">
      <alignment horizontal="center" vertical="top"/>
    </xf>
    <xf applyAlignment="true" applyBorder="true" applyFill="false" applyFont="true" applyNumberFormat="true" borderId="1526" fillId="0" fontId="12" numFmtId="1000" quotePrefix="false">
      <alignment horizontal="center" textRotation="90" vertical="center"/>
    </xf>
    <xf applyAlignment="true" applyBorder="true" applyFill="false" applyFont="false" applyNumberFormat="true" borderId="1527" fillId="0" fontId="1" numFmtId="1000" quotePrefix="false">
      <alignment horizontal="center" vertical="top"/>
    </xf>
    <xf applyAlignment="true" applyBorder="true" applyFill="false" applyFont="false" applyNumberFormat="true" borderId="1528" fillId="0" fontId="1" numFmtId="1000" quotePrefix="false">
      <alignment horizontal="center" vertical="top"/>
    </xf>
    <xf applyAlignment="true" applyBorder="true" applyFill="false" applyFont="true" applyNumberFormat="true" borderId="1529" fillId="0" fontId="12" numFmtId="1000" quotePrefix="false">
      <alignment horizontal="center" textRotation="90" vertical="center"/>
    </xf>
    <xf applyAlignment="true" applyBorder="true" applyFill="false" applyFont="false" applyNumberFormat="true" borderId="1530" fillId="0" fontId="1" numFmtId="1000" quotePrefix="false">
      <alignment horizontal="center" vertical="top"/>
    </xf>
    <xf applyAlignment="true" applyBorder="true" applyFill="false" applyFont="false" applyNumberFormat="true" borderId="1531" fillId="0" fontId="1" numFmtId="1000" quotePrefix="false">
      <alignment horizontal="center" vertical="top"/>
    </xf>
    <xf applyAlignment="true" applyBorder="true" applyFill="false" applyFont="true" applyNumberFormat="true" borderId="1532" fillId="0" fontId="12" numFmtId="1000" quotePrefix="false">
      <alignment horizontal="center" textRotation="90" vertical="center"/>
    </xf>
    <xf applyAlignment="true" applyBorder="true" applyFill="false" applyFont="false" applyNumberFormat="true" borderId="1533" fillId="0" fontId="1" numFmtId="1000" quotePrefix="false">
      <alignment horizontal="center" vertical="top"/>
    </xf>
    <xf applyAlignment="true" applyBorder="true" applyFill="false" applyFont="false" applyNumberFormat="true" borderId="1534" fillId="0" fontId="1" numFmtId="1000" quotePrefix="false">
      <alignment horizontal="center" vertical="top"/>
    </xf>
    <xf applyAlignment="true" applyBorder="true" applyFill="false" applyFont="true" applyNumberFormat="true" borderId="1535" fillId="0" fontId="12" numFmtId="1000" quotePrefix="false">
      <alignment horizontal="center" textRotation="90" vertical="center"/>
    </xf>
    <xf applyAlignment="true" applyBorder="true" applyFill="false" applyFont="false" applyNumberFormat="true" borderId="1536" fillId="0" fontId="1" numFmtId="1000" quotePrefix="false">
      <alignment horizontal="center" vertical="top"/>
    </xf>
    <xf applyAlignment="true" applyBorder="true" applyFill="false" applyFont="false" applyNumberFormat="true" borderId="1537" fillId="0" fontId="1" numFmtId="1000" quotePrefix="false">
      <alignment horizontal="center" vertical="top"/>
    </xf>
    <xf applyAlignment="true" applyBorder="true" applyFill="false" applyFont="true" applyNumberFormat="true" borderId="1538" fillId="0" fontId="12" numFmtId="1000" quotePrefix="false">
      <alignment horizontal="center" textRotation="90" vertical="center"/>
    </xf>
    <xf applyAlignment="true" applyBorder="true" applyFill="false" applyFont="false" applyNumberFormat="true" borderId="1539" fillId="0" fontId="1" numFmtId="1000" quotePrefix="false">
      <alignment horizontal="center" vertical="top"/>
    </xf>
    <xf applyAlignment="true" applyBorder="true" applyFill="false" applyFont="false" applyNumberFormat="true" borderId="1540" fillId="0" fontId="1" numFmtId="1000" quotePrefix="false">
      <alignment horizontal="center" vertical="top"/>
    </xf>
    <xf applyAlignment="true" applyBorder="true" applyFill="false" applyFont="true" applyNumberFormat="true" borderId="1541" fillId="0" fontId="12" numFmtId="1000" quotePrefix="false">
      <alignment horizontal="center" textRotation="90" vertical="center"/>
    </xf>
    <xf applyAlignment="true" applyBorder="true" applyFill="false" applyFont="true" applyNumberFormat="true" borderId="1542" fillId="0" fontId="2" numFmtId="1000" quotePrefix="false">
      <alignment horizontal="center" vertical="top"/>
    </xf>
    <xf applyAlignment="true" applyBorder="true" applyFill="false" applyFont="true" applyNumberFormat="true" borderId="1543" fillId="0" fontId="12" numFmtId="1000" quotePrefix="false">
      <alignment horizontal="center" textRotation="90" vertical="center"/>
    </xf>
    <xf applyAlignment="true" applyBorder="true" applyFill="false" applyFont="true" applyNumberFormat="true" borderId="1544" fillId="0" fontId="2" numFmtId="1000" quotePrefix="false">
      <alignment horizontal="center"/>
    </xf>
    <xf applyAlignment="true" applyBorder="true" applyFill="false" applyFont="true" applyNumberFormat="true" borderId="1545" fillId="0" fontId="2" numFmtId="1000" quotePrefix="false">
      <alignment horizontal="center"/>
    </xf>
    <xf applyAlignment="true" applyBorder="true" applyFill="false" applyFont="true" applyNumberFormat="true" borderId="1546" fillId="0" fontId="2" numFmtId="1000" quotePrefix="false">
      <alignment horizontal="center"/>
    </xf>
    <xf applyAlignment="true" applyBorder="true" applyFill="false" applyFont="false" applyNumberFormat="true" borderId="1547" fillId="0" fontId="1" numFmtId="1000" quotePrefix="false">
      <alignment horizontal="center" vertical="top"/>
    </xf>
    <xf applyAlignment="true" applyBorder="true" applyFill="false" applyFont="false" applyNumberFormat="true" borderId="1548" fillId="0" fontId="1" numFmtId="1000" quotePrefix="false">
      <alignment horizontal="center" vertical="top"/>
    </xf>
    <xf applyAlignment="true" applyBorder="true" applyFill="false" applyFont="false" applyNumberFormat="true" borderId="1549" fillId="0" fontId="1" numFmtId="1000" quotePrefix="false">
      <alignment horizontal="center" vertical="top"/>
    </xf>
    <xf applyAlignment="true" applyBorder="true" applyFill="false" applyFont="false" applyNumberFormat="true" borderId="1550" fillId="0" fontId="1" numFmtId="1000" quotePrefix="false">
      <alignment horizontal="center" vertical="top"/>
    </xf>
    <xf applyAlignment="true" applyBorder="true" applyFill="false" applyFont="false" applyNumberFormat="true" borderId="1551" fillId="0" fontId="1" numFmtId="1000" quotePrefix="false">
      <alignment horizontal="center" vertical="top"/>
    </xf>
    <xf applyAlignment="true" applyBorder="true" applyFill="false" applyFont="false" applyNumberFormat="true" borderId="1552" fillId="0" fontId="1" numFmtId="1000" quotePrefix="false">
      <alignment horizontal="center" vertical="top"/>
    </xf>
    <xf applyAlignment="true" applyBorder="true" applyFill="false" applyFont="false" applyNumberFormat="true" borderId="1553" fillId="0" fontId="1" numFmtId="1000" quotePrefix="false">
      <alignment horizontal="center" vertical="top"/>
    </xf>
    <xf applyAlignment="true" applyBorder="true" applyFill="false" applyFont="false" applyNumberFormat="true" borderId="1554" fillId="0" fontId="1" numFmtId="1000" quotePrefix="false">
      <alignment horizontal="center" vertical="top"/>
    </xf>
    <xf applyAlignment="true" applyBorder="true" applyFill="false" applyFont="false" applyNumberFormat="true" borderId="1555" fillId="0" fontId="1" numFmtId="1000" quotePrefix="false">
      <alignment horizontal="center" vertical="top"/>
    </xf>
    <xf applyAlignment="true" applyBorder="true" applyFill="false" applyFont="false" applyNumberFormat="true" borderId="1556" fillId="0" fontId="1" numFmtId="1000" quotePrefix="false">
      <alignment horizontal="center" vertical="top"/>
    </xf>
    <xf applyAlignment="true" applyBorder="true" applyFill="false" applyFont="false" applyNumberFormat="true" borderId="1557" fillId="0" fontId="1" numFmtId="1000" quotePrefix="false">
      <alignment horizontal="center" vertical="top"/>
    </xf>
    <xf applyAlignment="true" applyBorder="true" applyFill="false" applyFont="false" applyNumberFormat="true" borderId="1558" fillId="0" fontId="1" numFmtId="1000" quotePrefix="false">
      <alignment horizontal="center" vertical="top"/>
    </xf>
    <xf applyAlignment="true" applyBorder="true" applyFill="false" applyFont="false" applyNumberFormat="true" borderId="1559" fillId="0" fontId="1" numFmtId="1000" quotePrefix="false">
      <alignment horizontal="center" vertical="top"/>
    </xf>
    <xf applyAlignment="true" applyBorder="true" applyFill="false" applyFont="false" applyNumberFormat="true" borderId="1560" fillId="0" fontId="1" numFmtId="1000" quotePrefix="false">
      <alignment horizontal="center" vertical="top"/>
    </xf>
    <xf applyAlignment="true" applyBorder="true" applyFill="false" applyFont="false" applyNumberFormat="true" borderId="1561" fillId="0" fontId="1" numFmtId="1000" quotePrefix="false">
      <alignment horizontal="center" vertical="top"/>
    </xf>
    <xf applyAlignment="true" applyBorder="true" applyFill="false" applyFont="true" applyNumberFormat="true" borderId="1562" fillId="0" fontId="12" numFmtId="1000" quotePrefix="false">
      <alignment horizontal="center" textRotation="90" vertical="center"/>
    </xf>
    <xf applyAlignment="true" applyBorder="true" applyFill="false" applyFont="false" applyNumberFormat="true" borderId="1563" fillId="0" fontId="1" numFmtId="1000" quotePrefix="false">
      <alignment horizontal="center" vertical="top"/>
    </xf>
    <xf applyAlignment="true" applyBorder="true" applyFill="false" applyFont="true" applyNumberFormat="true" borderId="1564" fillId="0" fontId="12" numFmtId="1000" quotePrefix="false">
      <alignment horizontal="center" textRotation="90" vertical="center"/>
    </xf>
    <xf applyAlignment="true" applyBorder="true" applyFill="false" applyFont="false" applyNumberFormat="true" borderId="1565" fillId="0" fontId="1" numFmtId="1000" quotePrefix="false">
      <alignment horizontal="center" vertical="top"/>
    </xf>
    <xf applyAlignment="true" applyBorder="true" applyFill="false" applyFont="false" applyNumberFormat="true" borderId="1566" fillId="0" fontId="1" numFmtId="1000" quotePrefix="false">
      <alignment horizontal="center" vertical="top"/>
    </xf>
    <xf applyAlignment="true" applyBorder="true" applyFill="false" applyFont="true" applyNumberFormat="true" borderId="1567" fillId="0" fontId="12" numFmtId="1000" quotePrefix="false">
      <alignment horizontal="center" textRotation="90" vertical="center"/>
    </xf>
    <xf applyAlignment="true" applyBorder="true" applyFill="false" applyFont="false" applyNumberFormat="true" borderId="1568" fillId="0" fontId="1" numFmtId="1000" quotePrefix="false">
      <alignment horizontal="center" vertical="top"/>
    </xf>
    <xf applyAlignment="true" applyBorder="true" applyFill="false" applyFont="false" applyNumberFormat="true" borderId="1569" fillId="0" fontId="1" numFmtId="1000" quotePrefix="false">
      <alignment horizontal="center" vertical="top"/>
    </xf>
    <xf applyAlignment="true" applyBorder="true" applyFill="false" applyFont="true" applyNumberFormat="true" borderId="1570" fillId="0" fontId="12" numFmtId="1000" quotePrefix="false">
      <alignment horizontal="center" textRotation="90" vertical="center"/>
    </xf>
    <xf applyAlignment="true" applyBorder="true" applyFill="false" applyFont="false" applyNumberFormat="true" borderId="1571" fillId="0" fontId="1" numFmtId="1000" quotePrefix="false">
      <alignment horizontal="center" vertical="top"/>
    </xf>
    <xf applyAlignment="true" applyBorder="true" applyFill="false" applyFont="false" applyNumberFormat="true" borderId="1572" fillId="0" fontId="1" numFmtId="1000" quotePrefix="false">
      <alignment horizontal="center" vertical="top"/>
    </xf>
    <xf applyAlignment="true" applyBorder="true" applyFill="false" applyFont="true" applyNumberFormat="true" borderId="1573" fillId="0" fontId="12" numFmtId="1000" quotePrefix="false">
      <alignment horizontal="center" textRotation="90" vertical="center"/>
    </xf>
    <xf applyAlignment="true" applyBorder="true" applyFill="false" applyFont="false" applyNumberFormat="true" borderId="1574" fillId="0" fontId="1" numFmtId="1000" quotePrefix="false">
      <alignment horizontal="center" vertical="top"/>
    </xf>
    <xf applyAlignment="true" applyBorder="true" applyFill="false" applyFont="false" applyNumberFormat="true" borderId="1575" fillId="0" fontId="1" numFmtId="1000" quotePrefix="false">
      <alignment horizontal="center" vertical="top"/>
    </xf>
    <xf applyAlignment="true" applyBorder="true" applyFill="false" applyFont="true" applyNumberFormat="true" borderId="1576" fillId="0" fontId="12" numFmtId="1000" quotePrefix="false">
      <alignment horizontal="center" textRotation="90" vertical="center"/>
    </xf>
    <xf applyAlignment="true" applyBorder="true" applyFill="true" applyFont="false" applyNumberFormat="true" borderId="78" fillId="14" fontId="1" numFmtId="1000" quotePrefix="false">
      <alignment horizontal="center"/>
    </xf>
    <xf applyAlignment="true" applyBorder="true" applyFill="false" applyFont="false" applyNumberFormat="true" borderId="1577" fillId="0" fontId="1" numFmtId="1000" quotePrefix="false">
      <alignment horizontal="center" vertical="top"/>
    </xf>
    <xf applyAlignment="true" applyBorder="true" applyFill="false" applyFont="false" applyNumberFormat="true" borderId="1578" fillId="0" fontId="1" numFmtId="1000" quotePrefix="false">
      <alignment horizontal="center" vertical="top"/>
    </xf>
    <xf applyAlignment="true" applyBorder="true" applyFill="false" applyFont="true" applyNumberFormat="true" borderId="1579" fillId="0" fontId="12" numFmtId="1000" quotePrefix="false">
      <alignment horizontal="center" textRotation="90" vertical="center"/>
    </xf>
    <xf applyAlignment="true" applyBorder="true" applyFill="false" applyFont="false" applyNumberFormat="true" borderId="1580" fillId="0" fontId="1" numFmtId="1000" quotePrefix="false">
      <alignment horizontal="center" vertical="top"/>
    </xf>
    <xf applyAlignment="true" applyBorder="true" applyFill="false" applyFont="false" applyNumberFormat="true" borderId="1581" fillId="0" fontId="1" numFmtId="1000" quotePrefix="false">
      <alignment horizontal="center" vertical="top"/>
    </xf>
    <xf applyAlignment="true" applyBorder="true" applyFill="false" applyFont="true" applyNumberFormat="true" borderId="1582" fillId="0" fontId="12" numFmtId="1000" quotePrefix="false">
      <alignment horizontal="center" textRotation="90" vertical="center"/>
    </xf>
    <xf applyAlignment="true" applyBorder="true" applyFill="false" applyFont="false" applyNumberFormat="true" borderId="1583" fillId="0" fontId="1" numFmtId="1000" quotePrefix="false">
      <alignment horizontal="center" vertical="top"/>
    </xf>
    <xf applyAlignment="true" applyBorder="true" applyFill="false" applyFont="false" applyNumberFormat="true" borderId="1584" fillId="0" fontId="1" numFmtId="1000" quotePrefix="false">
      <alignment horizontal="center" vertical="top"/>
    </xf>
    <xf applyAlignment="true" applyBorder="true" applyFill="false" applyFont="true" applyNumberFormat="true" borderId="1585" fillId="0" fontId="12" numFmtId="1000" quotePrefix="false">
      <alignment horizontal="center" textRotation="90" vertical="center"/>
    </xf>
    <xf applyAlignment="true" applyBorder="true" applyFill="false" applyFont="false" applyNumberFormat="true" borderId="1586" fillId="0" fontId="1" numFmtId="1000" quotePrefix="false">
      <alignment horizontal="center" vertical="top"/>
    </xf>
    <xf applyAlignment="true" applyBorder="true" applyFill="false" applyFont="false" applyNumberFormat="true" borderId="1587" fillId="0" fontId="1" numFmtId="1000" quotePrefix="false">
      <alignment horizontal="center" vertical="top"/>
    </xf>
    <xf applyAlignment="true" applyBorder="true" applyFill="false" applyFont="false" applyNumberFormat="true" borderId="1588" fillId="0" fontId="1" numFmtId="1000" quotePrefix="false">
      <alignment horizontal="center" vertical="top"/>
    </xf>
    <xf applyAlignment="true" applyBorder="true" applyFill="false" applyFont="false" applyNumberFormat="true" borderId="1589" fillId="0" fontId="1" numFmtId="1000" quotePrefix="false">
      <alignment horizontal="center" vertical="top"/>
    </xf>
    <xf applyAlignment="true" applyBorder="true" applyFill="false" applyFont="true" applyNumberFormat="true" borderId="1590" fillId="0" fontId="12" numFmtId="1000" quotePrefix="false">
      <alignment horizontal="center" textRotation="90" vertical="center"/>
    </xf>
    <xf applyAlignment="true" applyBorder="true" applyFill="false" applyFont="true" applyNumberFormat="true" borderId="1591" fillId="0" fontId="2" numFmtId="1000" quotePrefix="false">
      <alignment horizontal="center" vertical="top"/>
    </xf>
    <xf applyAlignment="true" applyBorder="true" applyFill="false" applyFont="false" applyNumberFormat="true" borderId="1592" fillId="0" fontId="1" numFmtId="1000" quotePrefix="false">
      <alignment horizontal="left" vertical="top"/>
    </xf>
    <xf applyAlignment="true" applyBorder="true" applyFill="false" applyFont="false" applyNumberFormat="true" borderId="1593" fillId="0" fontId="1" numFmtId="1000" quotePrefix="false">
      <alignment horizontal="left" vertical="top"/>
    </xf>
    <xf applyAlignment="true" applyBorder="true" applyFill="false" applyFont="false" applyNumberFormat="true" borderId="1594" fillId="0" fontId="1" numFmtId="1000" quotePrefix="false">
      <alignment horizontal="left" vertical="top"/>
    </xf>
    <xf applyAlignment="true" applyBorder="true" applyFill="false" applyFont="false" applyNumberFormat="true" borderId="1595" fillId="0" fontId="1" numFmtId="1000" quotePrefix="false">
      <alignment horizontal="left" vertical="top"/>
    </xf>
    <xf applyAlignment="true" applyBorder="true" applyFill="false" applyFont="false" applyNumberFormat="true" borderId="1596" fillId="0" fontId="1" numFmtId="1000" quotePrefix="false">
      <alignment horizontal="left" vertical="top"/>
    </xf>
    <xf applyAlignment="true" applyBorder="true" applyFill="false" applyFont="false" applyNumberFormat="true" borderId="1597" fillId="0" fontId="1" numFmtId="1000" quotePrefix="false">
      <alignment horizontal="left" vertical="top"/>
    </xf>
    <xf applyAlignment="true" applyBorder="true" applyFill="false" applyFont="false" applyNumberFormat="true" borderId="1598" fillId="0" fontId="1" numFmtId="1000" quotePrefix="false">
      <alignment horizontal="left" vertical="top"/>
    </xf>
    <xf applyAlignment="true" applyBorder="true" applyFill="false" applyFont="false" applyNumberFormat="true" borderId="1599" fillId="0" fontId="1" numFmtId="1000" quotePrefix="false">
      <alignment horizontal="left" vertical="top"/>
    </xf>
    <xf applyAlignment="true" applyBorder="true" applyFill="false" applyFont="false" applyNumberFormat="true" borderId="1600" fillId="0" fontId="1" numFmtId="1000" quotePrefix="false">
      <alignment horizontal="left" vertical="top"/>
    </xf>
    <xf applyAlignment="true" applyBorder="true" applyFill="false" applyFont="false" applyNumberFormat="true" borderId="1601" fillId="0" fontId="1" numFmtId="1000" quotePrefix="false">
      <alignment horizontal="left" vertical="top"/>
    </xf>
    <xf applyAlignment="true" applyBorder="true" applyFill="false" applyFont="false" applyNumberFormat="true" borderId="1602" fillId="0" fontId="1" numFmtId="1000" quotePrefix="false">
      <alignment horizontal="left" vertical="top"/>
    </xf>
    <xf applyAlignment="true" applyBorder="true" applyFill="false" applyFont="false" applyNumberFormat="true" borderId="1603" fillId="0" fontId="1" numFmtId="1000" quotePrefix="false">
      <alignment horizontal="left" vertical="top"/>
    </xf>
    <xf applyAlignment="true" applyBorder="true" applyFill="false" applyFont="false" applyNumberFormat="true" borderId="1604" fillId="0" fontId="1" numFmtId="1000" quotePrefix="false">
      <alignment horizontal="left" vertical="top"/>
    </xf>
    <xf applyAlignment="true" applyBorder="true" applyFill="false" applyFont="false" applyNumberFormat="true" borderId="1605" fillId="0" fontId="1" numFmtId="1000" quotePrefix="false">
      <alignment horizontal="left" vertical="top"/>
    </xf>
    <xf applyAlignment="true" applyBorder="true" applyFill="false" applyFont="false" applyNumberFormat="true" borderId="1606" fillId="0" fontId="1" numFmtId="1000" quotePrefix="false">
      <alignment horizontal="left" vertical="top"/>
    </xf>
    <xf applyAlignment="true" applyBorder="true" applyFill="false" applyFont="false" applyNumberFormat="true" borderId="1607" fillId="0" fontId="1" numFmtId="1000" quotePrefix="false">
      <alignment horizontal="left" vertical="top"/>
    </xf>
    <xf applyAlignment="true" applyBorder="true" applyFill="false" applyFont="false" applyNumberFormat="true" borderId="1608" fillId="0" fontId="1" numFmtId="1000" quotePrefix="false">
      <alignment horizontal="left" vertical="top"/>
    </xf>
    <xf applyAlignment="true" applyBorder="true" applyFill="false" applyFont="false" applyNumberFormat="true" borderId="1609" fillId="0" fontId="1" numFmtId="1000" quotePrefix="false">
      <alignment horizontal="left" vertical="top"/>
    </xf>
    <xf applyAlignment="true" applyBorder="true" applyFill="false" applyFont="false" applyNumberFormat="true" borderId="1610" fillId="0" fontId="1" numFmtId="1000" quotePrefix="false">
      <alignment horizontal="left" vertical="top"/>
    </xf>
    <xf applyAlignment="true" applyBorder="true" applyFill="false" applyFont="true" applyNumberFormat="true" borderId="1611" fillId="0" fontId="2" numFmtId="1000" quotePrefix="false">
      <alignment horizontal="center"/>
    </xf>
    <xf applyAlignment="true" applyBorder="true" applyFill="false" applyFont="true" applyNumberFormat="true" borderId="1612" fillId="0" fontId="2" numFmtId="1000" quotePrefix="false">
      <alignment horizontal="center"/>
    </xf>
    <xf applyAlignment="true" applyBorder="true" applyFill="false" applyFont="true" applyNumberFormat="true" borderId="1613" fillId="0" fontId="2" numFmtId="1000" quotePrefix="false">
      <alignment horizontal="center"/>
    </xf>
    <xf applyAlignment="true" applyBorder="true" applyFill="false" applyFont="false" applyNumberFormat="true" borderId="1614" fillId="0" fontId="1" numFmtId="1000" quotePrefix="false">
      <alignment horizontal="center" vertical="top"/>
    </xf>
    <xf applyAlignment="true" applyBorder="true" applyFill="false" applyFont="false" applyNumberFormat="true" borderId="1615" fillId="0" fontId="1" numFmtId="1000" quotePrefix="false">
      <alignment horizontal="center" vertical="top"/>
    </xf>
    <xf applyAlignment="true" applyBorder="true" applyFill="false" applyFont="false" applyNumberFormat="true" borderId="1616" fillId="0" fontId="1" numFmtId="1000" quotePrefix="false">
      <alignment horizontal="center" vertical="top"/>
    </xf>
    <xf applyAlignment="true" applyBorder="true" applyFill="false" applyFont="false" applyNumberFormat="true" borderId="1617" fillId="0" fontId="1" numFmtId="1000" quotePrefix="false">
      <alignment horizontal="center" vertical="top"/>
    </xf>
    <xf applyAlignment="true" applyBorder="true" applyFill="false" applyFont="false" applyNumberFormat="true" borderId="1618" fillId="0" fontId="1" numFmtId="1000" quotePrefix="false">
      <alignment horizontal="center" vertical="top"/>
    </xf>
    <xf applyAlignment="true" applyBorder="true" applyFill="false" applyFont="false" applyNumberFormat="true" borderId="1619" fillId="0" fontId="1" numFmtId="1000" quotePrefix="false">
      <alignment horizontal="center" vertical="top"/>
    </xf>
    <xf applyAlignment="true" applyBorder="true" applyFill="false" applyFont="false" applyNumberFormat="true" borderId="1620" fillId="0" fontId="1" numFmtId="1000" quotePrefix="false">
      <alignment horizontal="center" vertical="top"/>
    </xf>
    <xf applyAlignment="true" applyBorder="true" applyFill="false" applyFont="false" applyNumberFormat="true" borderId="1621" fillId="0" fontId="1" numFmtId="1000" quotePrefix="false">
      <alignment horizontal="center" vertical="top"/>
    </xf>
    <xf applyAlignment="true" applyBorder="true" applyFill="false" applyFont="false" applyNumberFormat="true" borderId="1622" fillId="0" fontId="1" numFmtId="1000" quotePrefix="false">
      <alignment horizontal="center" vertical="top"/>
    </xf>
    <xf applyAlignment="true" applyBorder="true" applyFill="false" applyFont="false" applyNumberFormat="true" borderId="1623" fillId="0" fontId="1" numFmtId="1000" quotePrefix="false">
      <alignment horizontal="center" vertical="top"/>
    </xf>
    <xf applyAlignment="true" applyBorder="true" applyFill="false" applyFont="false" applyNumberFormat="true" borderId="1624" fillId="0" fontId="1" numFmtId="1000" quotePrefix="false">
      <alignment horizontal="center" vertical="top"/>
    </xf>
    <xf applyAlignment="true" applyBorder="true" applyFill="false" applyFont="false" applyNumberFormat="true" borderId="1625" fillId="0" fontId="1" numFmtId="1000" quotePrefix="false">
      <alignment horizontal="center" vertical="top"/>
    </xf>
    <xf applyAlignment="true" applyBorder="true" applyFill="false" applyFont="false" applyNumberFormat="true" borderId="1626" fillId="0" fontId="1" numFmtId="1000" quotePrefix="false">
      <alignment horizontal="center" vertical="top"/>
    </xf>
    <xf applyAlignment="true" applyBorder="true" applyFill="false" applyFont="false" applyNumberFormat="true" borderId="1627" fillId="0" fontId="1" numFmtId="1000" quotePrefix="false">
      <alignment horizontal="center" vertical="top"/>
    </xf>
    <xf applyAlignment="true" applyBorder="true" applyFill="false" applyFont="false" applyNumberFormat="true" borderId="1628" fillId="0" fontId="1" numFmtId="1000" quotePrefix="false">
      <alignment horizontal="center" vertical="top"/>
    </xf>
    <xf applyAlignment="true" applyBorder="true" applyFill="false" applyFont="false" applyNumberFormat="true" borderId="1629" fillId="0" fontId="1" numFmtId="1000" quotePrefix="false">
      <alignment horizontal="center" vertical="top"/>
    </xf>
    <xf applyAlignment="true" applyBorder="true" applyFill="false" applyFont="false" applyNumberFormat="true" borderId="1630" fillId="0" fontId="1" numFmtId="1000" quotePrefix="false">
      <alignment horizontal="center" vertical="top"/>
    </xf>
    <xf applyAlignment="true" applyBorder="true" applyFill="false" applyFont="false" applyNumberFormat="true" borderId="1631" fillId="0" fontId="1" numFmtId="1000" quotePrefix="false">
      <alignment horizontal="center" vertical="top"/>
    </xf>
    <xf applyAlignment="true" applyBorder="true" applyFill="false" applyFont="false" applyNumberFormat="true" borderId="1632" fillId="0" fontId="1" numFmtId="1000" quotePrefix="false">
      <alignment horizontal="center" vertical="top"/>
    </xf>
    <xf applyAlignment="true" applyBorder="true" applyFill="true" applyFont="false" applyNumberFormat="true" borderId="1633" fillId="10" fontId="1" numFmtId="1000" quotePrefix="false">
      <alignment horizontal="center" vertical="top" wrapText="true"/>
    </xf>
    <xf applyAlignment="true" applyBorder="true" applyFill="true" applyFont="false" applyNumberFormat="true" borderId="1634" fillId="3" fontId="1" numFmtId="1000" quotePrefix="false">
      <alignment horizontal="center" vertical="top" wrapText="true"/>
    </xf>
    <xf applyAlignment="true" applyBorder="true" applyFill="false" applyFont="false" applyNumberFormat="true" borderId="1635" fillId="0" fontId="1" numFmtId="1000" quotePrefix="false">
      <alignment horizontal="center" vertical="top"/>
    </xf>
    <xf applyAlignment="true" applyBorder="true" applyFill="false" applyFont="false" applyNumberFormat="true" borderId="1636" fillId="0" fontId="1" numFmtId="1000" quotePrefix="false">
      <alignment horizontal="center" vertical="top"/>
    </xf>
    <xf applyAlignment="true" applyBorder="true" applyFill="false" applyFont="false" applyNumberFormat="true" borderId="1637" fillId="0" fontId="1" numFmtId="1000" quotePrefix="false">
      <alignment horizontal="center" vertical="top"/>
    </xf>
    <xf applyAlignment="true" applyBorder="true" applyFill="false" applyFont="false" applyNumberFormat="true" borderId="1638" fillId="0" fontId="1" numFmtId="1000" quotePrefix="false">
      <alignment horizontal="center" vertical="top"/>
    </xf>
    <xf applyAlignment="true" applyBorder="true" applyFill="true" applyFont="false" applyNumberFormat="true" borderId="1639" fillId="10" fontId="1" numFmtId="1000" quotePrefix="false">
      <alignment horizontal="center" vertical="top" wrapText="true"/>
    </xf>
    <xf applyAlignment="true" applyBorder="true" applyFill="true" applyFont="false" applyNumberFormat="true" borderId="1640" fillId="10" fontId="1" numFmtId="1000" quotePrefix="false">
      <alignment horizontal="center" vertical="top" wrapText="true"/>
    </xf>
    <xf applyAlignment="true" applyBorder="true" applyFill="true" applyFont="false" applyNumberFormat="true" borderId="1641" fillId="10" fontId="1" numFmtId="1000" quotePrefix="false">
      <alignment horizontal="center" vertical="top" wrapText="true"/>
    </xf>
    <xf applyAlignment="true" applyBorder="true" applyFill="false" applyFont="false" applyNumberFormat="true" borderId="1642" fillId="0" fontId="1" numFmtId="1000" quotePrefix="false">
      <alignment horizontal="center" vertical="top"/>
    </xf>
    <xf applyAlignment="true" applyBorder="true" applyFill="false" applyFont="false" applyNumberFormat="true" borderId="1643" fillId="0" fontId="1" numFmtId="1000" quotePrefix="false">
      <alignment horizontal="center" vertical="top"/>
    </xf>
    <xf applyAlignment="true" applyBorder="true" applyFill="false" applyFont="false" applyNumberFormat="true" borderId="1644" fillId="0" fontId="1" numFmtId="1000" quotePrefix="false">
      <alignment horizontal="center" vertical="top"/>
    </xf>
    <xf applyAlignment="true" applyBorder="true" applyFill="false" applyFont="false" applyNumberFormat="true" borderId="1645" fillId="0" fontId="1" numFmtId="1000" quotePrefix="false">
      <alignment horizontal="center" vertical="top"/>
    </xf>
    <xf applyAlignment="true" applyBorder="true" applyFill="true" applyFont="false" applyNumberFormat="true" borderId="1646" fillId="10" fontId="1" numFmtId="1000" quotePrefix="false">
      <alignment horizontal="center" vertical="top" wrapText="true"/>
    </xf>
    <xf applyAlignment="true" applyBorder="true" applyFill="true" applyFont="false" applyNumberFormat="true" borderId="1647" fillId="10" fontId="1" numFmtId="1000" quotePrefix="false">
      <alignment horizontal="center" vertical="top" wrapText="true"/>
    </xf>
    <xf applyAlignment="true" applyBorder="true" applyFill="false" applyFont="false" applyNumberFormat="true" borderId="1648" fillId="0" fontId="1" numFmtId="1000" quotePrefix="false">
      <alignment horizontal="center" vertical="top"/>
    </xf>
    <xf applyAlignment="true" applyBorder="true" applyFill="false" applyFont="false" applyNumberFormat="true" borderId="1649" fillId="0" fontId="1" numFmtId="1000" quotePrefix="false">
      <alignment horizontal="center" vertical="top"/>
    </xf>
    <xf applyAlignment="true" applyBorder="true" applyFill="true" applyFont="false" applyNumberFormat="true" borderId="1650" fillId="2" fontId="1" numFmtId="1000" quotePrefix="false">
      <alignment horizontal="center" vertical="top" wrapText="true"/>
    </xf>
    <xf applyAlignment="true" applyBorder="true" applyFill="false" applyFont="false" applyNumberFormat="true" borderId="1651" fillId="0" fontId="1" numFmtId="1000" quotePrefix="false">
      <alignment horizontal="center" vertical="top"/>
    </xf>
    <xf applyAlignment="true" applyBorder="true" applyFill="false" applyFont="false" applyNumberFormat="true" borderId="1652" fillId="0" fontId="1" numFmtId="1000" quotePrefix="false">
      <alignment horizontal="center" vertical="top"/>
    </xf>
    <xf applyAlignment="true" applyBorder="true" applyFill="true" applyFont="false" applyNumberFormat="true" borderId="1653" fillId="2" fontId="1" numFmtId="1000" quotePrefix="false">
      <alignment horizontal="center" vertical="top" wrapText="true"/>
    </xf>
    <xf applyAlignment="true" applyBorder="true" applyFill="true" applyFont="false" applyNumberFormat="true" borderId="1654" fillId="2" fontId="1" numFmtId="1000" quotePrefix="false">
      <alignment horizontal="center" vertical="top" wrapText="true"/>
    </xf>
    <xf applyAlignment="true" applyBorder="true" applyFill="false" applyFont="false" applyNumberFormat="true" borderId="1655" fillId="0" fontId="1" numFmtId="1000" quotePrefix="false">
      <alignment horizontal="center" vertical="top"/>
    </xf>
    <xf applyAlignment="true" applyBorder="true" applyFill="false" applyFont="false" applyNumberFormat="true" borderId="1656" fillId="0" fontId="1" numFmtId="1000" quotePrefix="false">
      <alignment horizontal="center" vertical="top"/>
    </xf>
    <xf applyAlignment="true" applyBorder="true" applyFill="false" applyFont="false" applyNumberFormat="true" borderId="23" fillId="0" fontId="1" numFmtId="1000" quotePrefix="false">
      <alignment horizontal="center"/>
    </xf>
    <xf applyAlignment="true" applyBorder="true" applyFill="false" applyFont="false" applyNumberFormat="true" borderId="1657" fillId="0" fontId="1" numFmtId="1000" quotePrefix="false">
      <alignment horizontal="center"/>
    </xf>
    <xf applyAlignment="true" applyBorder="true" applyFill="false" applyFont="true" applyNumberFormat="true" borderId="1658" fillId="0" fontId="2" numFmtId="1000" quotePrefix="false">
      <alignment horizontal="center" vertical="top"/>
    </xf>
    <xf applyAlignment="true" applyBorder="true" applyFill="false" applyFont="false" applyNumberFormat="true" borderId="1659" fillId="0" fontId="1" numFmtId="1000" quotePrefix="false">
      <alignment horizontal="left" vertical="top"/>
    </xf>
    <xf applyAlignment="true" applyBorder="true" applyFill="false" applyFont="false" applyNumberFormat="true" borderId="1660" fillId="0" fontId="1" numFmtId="1000" quotePrefix="false">
      <alignment horizontal="left" vertical="top"/>
    </xf>
    <xf applyAlignment="true" applyBorder="true" applyFill="false" applyFont="false" applyNumberFormat="true" borderId="1661" fillId="0" fontId="1" numFmtId="1000" quotePrefix="false">
      <alignment horizontal="left" vertical="top"/>
    </xf>
    <xf applyAlignment="true" applyBorder="true" applyFill="false" applyFont="false" applyNumberFormat="true" borderId="1662" fillId="0" fontId="1" numFmtId="1000" quotePrefix="false">
      <alignment horizontal="left" vertical="top"/>
    </xf>
    <xf applyAlignment="true" applyBorder="true" applyFill="false" applyFont="false" applyNumberFormat="true" borderId="1663" fillId="0" fontId="1" numFmtId="1000" quotePrefix="false">
      <alignment horizontal="left" vertical="top"/>
    </xf>
    <xf applyAlignment="true" applyBorder="true" applyFill="false" applyFont="false" applyNumberFormat="true" borderId="1664" fillId="0" fontId="1" numFmtId="1000" quotePrefix="false">
      <alignment horizontal="left" vertical="top"/>
    </xf>
    <xf applyAlignment="true" applyBorder="true" applyFill="false" applyFont="false" applyNumberFormat="true" borderId="1665" fillId="0" fontId="1" numFmtId="1000" quotePrefix="false">
      <alignment horizontal="left" vertical="top"/>
    </xf>
    <xf applyAlignment="true" applyBorder="true" applyFill="false" applyFont="false" applyNumberFormat="true" borderId="1666" fillId="0" fontId="1" numFmtId="1000" quotePrefix="false">
      <alignment horizontal="left" vertical="top"/>
    </xf>
    <xf applyAlignment="true" applyBorder="true" applyFill="false" applyFont="false" applyNumberFormat="true" borderId="1667" fillId="0" fontId="1" numFmtId="1000" quotePrefix="false">
      <alignment horizontal="left" vertical="top"/>
    </xf>
    <xf applyAlignment="true" applyBorder="true" applyFill="false" applyFont="false" applyNumberFormat="true" borderId="1668" fillId="0" fontId="1" numFmtId="1000" quotePrefix="false">
      <alignment horizontal="left" vertical="top"/>
    </xf>
    <xf applyAlignment="true" applyBorder="true" applyFill="false" applyFont="false" applyNumberFormat="true" borderId="1669" fillId="0" fontId="1" numFmtId="1000" quotePrefix="false">
      <alignment horizontal="left" vertical="top"/>
    </xf>
    <xf applyAlignment="true" applyBorder="true" applyFill="false" applyFont="false" applyNumberFormat="true" borderId="1670" fillId="0" fontId="1" numFmtId="1000" quotePrefix="false">
      <alignment horizontal="left" vertical="top"/>
    </xf>
    <xf applyAlignment="true" applyBorder="true" applyFill="false" applyFont="false" applyNumberFormat="true" borderId="1671" fillId="0" fontId="1" numFmtId="1000" quotePrefix="false">
      <alignment horizontal="left" vertical="top"/>
    </xf>
    <xf applyAlignment="true" applyBorder="true" applyFill="false" applyFont="false" applyNumberFormat="true" borderId="1672" fillId="0" fontId="1" numFmtId="1000" quotePrefix="false">
      <alignment horizontal="left" vertical="top"/>
    </xf>
    <xf applyAlignment="true" applyBorder="true" applyFill="false" applyFont="false" applyNumberFormat="true" borderId="1673" fillId="0" fontId="1" numFmtId="1000" quotePrefix="false">
      <alignment horizontal="left" vertical="top"/>
    </xf>
    <xf applyAlignment="true" applyBorder="true" applyFill="false" applyFont="false" applyNumberFormat="true" borderId="1674" fillId="0" fontId="1" numFmtId="1000" quotePrefix="false">
      <alignment horizontal="left" vertical="top"/>
    </xf>
    <xf applyAlignment="true" applyBorder="true" applyFill="false" applyFont="false" applyNumberFormat="true" borderId="1675" fillId="0" fontId="1" numFmtId="1000" quotePrefix="false">
      <alignment horizontal="left" vertical="top"/>
    </xf>
    <xf applyAlignment="true" applyBorder="true" applyFill="false" applyFont="false" applyNumberFormat="true" borderId="1676" fillId="0" fontId="1" numFmtId="1000" quotePrefix="false">
      <alignment horizontal="left" vertical="top"/>
    </xf>
    <xf applyAlignment="true" applyBorder="true" applyFill="false" applyFont="false" applyNumberFormat="true" borderId="1677" fillId="0" fontId="1" numFmtId="1000" quotePrefix="false">
      <alignment horizontal="left" vertical="top"/>
    </xf>
    <xf applyAlignment="true" applyBorder="true" applyFill="false" applyFont="true" applyNumberFormat="true" borderId="1678" fillId="0" fontId="2" numFmtId="1000" quotePrefix="false">
      <alignment horizontal="center"/>
    </xf>
    <xf applyAlignment="true" applyBorder="true" applyFill="false" applyFont="true" applyNumberFormat="true" borderId="1679" fillId="0" fontId="2" numFmtId="1000" quotePrefix="false">
      <alignment horizontal="center"/>
    </xf>
    <xf applyAlignment="true" applyBorder="true" applyFill="false" applyFont="true" applyNumberFormat="true" borderId="1680" fillId="0" fontId="2" numFmtId="1000" quotePrefix="false">
      <alignment horizontal="center"/>
    </xf>
    <xf applyAlignment="true" applyBorder="true" applyFill="false" applyFont="false" applyNumberFormat="true" borderId="1681" fillId="0" fontId="1" numFmtId="1000" quotePrefix="false">
      <alignment horizontal="center" vertical="top"/>
    </xf>
    <xf applyAlignment="true" applyBorder="true" applyFill="false" applyFont="false" applyNumberFormat="true" borderId="1682" fillId="0" fontId="1" numFmtId="1000" quotePrefix="false">
      <alignment horizontal="center" vertical="top"/>
    </xf>
    <xf applyAlignment="true" applyBorder="true" applyFill="false" applyFont="false" applyNumberFormat="true" borderId="1683" fillId="0" fontId="1" numFmtId="1000" quotePrefix="false">
      <alignment horizontal="center" vertical="top"/>
    </xf>
    <xf applyAlignment="true" applyBorder="true" applyFill="false" applyFont="false" applyNumberFormat="true" borderId="1684" fillId="0" fontId="1" numFmtId="1000" quotePrefix="false">
      <alignment horizontal="center" vertical="top"/>
    </xf>
    <xf applyAlignment="true" applyBorder="true" applyFill="false" applyFont="false" applyNumberFormat="true" borderId="1685" fillId="0" fontId="1" numFmtId="1000" quotePrefix="false">
      <alignment horizontal="center" vertical="top"/>
    </xf>
    <xf applyAlignment="true" applyBorder="true" applyFill="false" applyFont="false" applyNumberFormat="true" borderId="1686" fillId="0" fontId="1" numFmtId="1000" quotePrefix="false">
      <alignment horizontal="center" vertical="top"/>
    </xf>
    <xf applyAlignment="true" applyBorder="true" applyFill="false" applyFont="false" applyNumberFormat="true" borderId="1687" fillId="0" fontId="1" numFmtId="1000" quotePrefix="false">
      <alignment horizontal="center" vertical="top"/>
    </xf>
    <xf applyAlignment="true" applyBorder="true" applyFill="false" applyFont="false" applyNumberFormat="true" borderId="1688" fillId="0" fontId="1" numFmtId="1000" quotePrefix="false">
      <alignment horizontal="center" vertical="top"/>
    </xf>
    <xf applyAlignment="true" applyBorder="true" applyFill="false" applyFont="false" applyNumberFormat="true" borderId="1689" fillId="0" fontId="1" numFmtId="1000" quotePrefix="false">
      <alignment horizontal="center" vertical="top"/>
    </xf>
    <xf applyAlignment="true" applyBorder="true" applyFill="false" applyFont="false" applyNumberFormat="true" borderId="1690" fillId="0" fontId="1" numFmtId="1000" quotePrefix="false">
      <alignment horizontal="center" vertical="top"/>
    </xf>
    <xf applyAlignment="true" applyBorder="true" applyFill="false" applyFont="false" applyNumberFormat="true" borderId="1691" fillId="0" fontId="1" numFmtId="1000" quotePrefix="false">
      <alignment horizontal="center" vertical="top"/>
    </xf>
    <xf applyAlignment="true" applyBorder="true" applyFill="false" applyFont="false" applyNumberFormat="true" borderId="1692" fillId="0" fontId="1" numFmtId="1000" quotePrefix="false">
      <alignment horizontal="center" vertical="top"/>
    </xf>
    <xf applyAlignment="true" applyBorder="true" applyFill="false" applyFont="false" applyNumberFormat="true" borderId="1693" fillId="0" fontId="1" numFmtId="1000" quotePrefix="false">
      <alignment horizontal="center" vertical="top"/>
    </xf>
    <xf applyAlignment="true" applyBorder="true" applyFill="false" applyFont="false" applyNumberFormat="true" borderId="1694" fillId="0" fontId="1" numFmtId="1000" quotePrefix="false">
      <alignment horizontal="center" vertical="top"/>
    </xf>
    <xf applyAlignment="true" applyBorder="true" applyFill="false" applyFont="false" applyNumberFormat="true" borderId="1695" fillId="0" fontId="1" numFmtId="1000" quotePrefix="false">
      <alignment horizontal="center" vertical="top"/>
    </xf>
    <xf applyAlignment="true" applyBorder="true" applyFill="false" applyFont="false" applyNumberFormat="true" borderId="1696" fillId="0" fontId="1" numFmtId="1000" quotePrefix="false">
      <alignment horizontal="center" vertical="top"/>
    </xf>
    <xf applyAlignment="true" applyBorder="true" applyFill="false" applyFont="false" applyNumberFormat="true" borderId="1697" fillId="0" fontId="1" numFmtId="1000" quotePrefix="false">
      <alignment horizontal="center" vertical="top"/>
    </xf>
    <xf applyAlignment="true" applyBorder="true" applyFill="true" applyFont="false" applyNumberFormat="true" borderId="102" fillId="9" fontId="1" numFmtId="1000" quotePrefix="false">
      <alignment horizontal="center"/>
    </xf>
    <xf applyAlignment="true" applyBorder="true" applyFill="true" applyFont="false" applyNumberFormat="true" borderId="76" fillId="9" fontId="1" numFmtId="1000" quotePrefix="false">
      <alignment horizontal="center"/>
    </xf>
    <xf applyAlignment="true" applyBorder="true" applyFill="true" applyFont="false" applyNumberFormat="true" borderId="77" fillId="9" fontId="1" numFmtId="1000" quotePrefix="false">
      <alignment horizontal="center"/>
    </xf>
    <xf applyAlignment="true" applyBorder="true" applyFill="false" applyFont="false" applyNumberFormat="true" borderId="22" fillId="0" fontId="1" numFmtId="1000" quotePrefix="false">
      <alignment vertical="top"/>
    </xf>
    <xf applyAlignment="true" applyBorder="true" applyFill="false" applyFont="false" applyNumberFormat="true" borderId="23" fillId="0" fontId="1" numFmtId="1000" quotePrefix="false">
      <alignment vertical="top"/>
    </xf>
    <xf applyAlignment="true" applyBorder="true" applyFill="false" applyFont="false" applyNumberFormat="true" borderId="24" fillId="0" fontId="1" numFmtId="1000" quotePrefix="false">
      <alignment vertical="top"/>
    </xf>
    <xf applyAlignment="true" applyBorder="true" applyFill="false" applyFont="false" applyNumberFormat="true" borderId="1698" fillId="0" fontId="1" numFmtId="1000" quotePrefix="false">
      <alignment vertical="top"/>
    </xf>
    <xf applyAlignment="true" applyBorder="true" applyFill="false" applyFont="false" applyNumberFormat="true" borderId="1699" fillId="0" fontId="1" numFmtId="1000" quotePrefix="false">
      <alignment horizontal="center" vertical="top"/>
    </xf>
    <xf applyAlignment="true" applyBorder="false" applyFill="false" applyFont="false" applyNumberFormat="true" borderId="0" fillId="0" fontId="1" numFmtId="1003" quotePrefix="false">
      <alignment vertical="top"/>
    </xf>
    <xf applyAlignment="true" applyBorder="true" applyFill="false" applyFont="false" applyNumberFormat="true" borderId="1700" fillId="0" fontId="1" numFmtId="1000" quotePrefix="false">
      <alignment horizontal="center" vertical="top"/>
    </xf>
    <xf applyAlignment="true" applyBorder="true" applyFill="false" applyFont="false" applyNumberFormat="true" borderId="1701" fillId="0" fontId="1" numFmtId="1000" quotePrefix="false">
      <alignment horizontal="center" vertical="top"/>
    </xf>
    <xf applyAlignment="true" applyBorder="true" applyFill="false" applyFont="false" applyNumberFormat="true" borderId="1702" fillId="0" fontId="1" numFmtId="1000" quotePrefix="false">
      <alignment horizontal="center" vertical="top"/>
    </xf>
    <xf applyAlignment="true" applyBorder="true" applyFill="false" applyFont="false" applyNumberFormat="true" borderId="1703" fillId="0" fontId="1" numFmtId="1000" quotePrefix="false">
      <alignment horizontal="center" vertical="top"/>
    </xf>
    <xf applyAlignment="true" applyBorder="true" applyFill="false" applyFont="false" applyNumberFormat="true" borderId="1704" fillId="0" fontId="1" numFmtId="1000" quotePrefix="false">
      <alignment horizontal="center" vertical="top"/>
    </xf>
    <xf applyAlignment="true" applyBorder="true" applyFill="false" applyFont="false" applyNumberFormat="true" borderId="1705" fillId="0" fontId="1" numFmtId="1000" quotePrefix="false">
      <alignment horizontal="center" vertical="top"/>
    </xf>
    <xf applyAlignment="true" applyBorder="true" applyFill="false" applyFont="false" applyNumberFormat="true" borderId="1706" fillId="0" fontId="1" numFmtId="1000" quotePrefix="false">
      <alignment horizontal="center" vertical="top"/>
    </xf>
    <xf applyAlignment="true" applyBorder="true" applyFill="false" applyFont="false" applyNumberFormat="true" borderId="1707" fillId="0" fontId="1" numFmtId="1000" quotePrefix="false">
      <alignment horizontal="center" vertical="top"/>
    </xf>
    <xf applyAlignment="true" applyBorder="true" applyFill="false" applyFont="false" applyNumberFormat="true" borderId="1708" fillId="0" fontId="1" numFmtId="1000" quotePrefix="false">
      <alignment horizontal="center" vertical="top"/>
    </xf>
    <xf applyAlignment="true" applyBorder="true" applyFill="false" applyFont="false" applyNumberFormat="true" borderId="1709" fillId="0" fontId="1" numFmtId="1000" quotePrefix="false">
      <alignment horizontal="center" vertical="top"/>
    </xf>
    <xf applyAlignment="true" applyBorder="true" applyFill="false" applyFont="false" applyNumberFormat="true" borderId="1710" fillId="0" fontId="1" numFmtId="1000" quotePrefix="false">
      <alignment horizontal="center" vertical="top"/>
    </xf>
    <xf applyAlignment="true" applyBorder="true" applyFill="false" applyFont="false" applyNumberFormat="true" borderId="1711" fillId="0" fontId="1" numFmtId="1000" quotePrefix="false">
      <alignment horizontal="center" vertical="top"/>
    </xf>
    <xf applyAlignment="true" applyBorder="true" applyFill="false" applyFont="false" applyNumberFormat="true" borderId="1712" fillId="0" fontId="1" numFmtId="1000" quotePrefix="false">
      <alignment horizontal="center" vertical="top"/>
    </xf>
    <xf applyAlignment="true" applyBorder="true" applyFill="false" applyFont="false" applyNumberFormat="true" borderId="1713" fillId="0" fontId="1" numFmtId="1000" quotePrefix="false">
      <alignment horizontal="center" vertical="top"/>
    </xf>
    <xf applyAlignment="true" applyBorder="true" applyFill="false" applyFont="false" applyNumberFormat="true" borderId="28" fillId="0" fontId="1" numFmtId="1003" quotePrefix="false">
      <alignment vertical="top"/>
    </xf>
    <xf applyAlignment="true" applyBorder="true" applyFill="false" applyFont="false" applyNumberFormat="true" borderId="28" fillId="0" fontId="1" numFmtId="1000" quotePrefix="false">
      <alignment vertical="top"/>
    </xf>
    <xf applyAlignment="true" applyBorder="true" applyFill="false" applyFont="false" applyNumberFormat="true" borderId="1714" fillId="0" fontId="1" numFmtId="1000" quotePrefix="false">
      <alignment horizontal="center" vertical="top"/>
    </xf>
    <xf applyAlignment="true" applyBorder="true" applyFill="false" applyFont="false" applyNumberFormat="true" borderId="1715" fillId="0" fontId="1" numFmtId="1000" quotePrefix="false">
      <alignment horizontal="center" vertical="top"/>
    </xf>
    <xf applyAlignment="true" applyBorder="true" applyFill="false" applyFont="true" applyNumberFormat="true" borderId="1716" fillId="0" fontId="2" numFmtId="1000" quotePrefix="false">
      <alignment horizontal="center" vertical="top"/>
    </xf>
    <xf applyAlignment="true" applyBorder="true" applyFill="false" applyFont="false" applyNumberFormat="true" borderId="1717" fillId="0" fontId="1" numFmtId="1000" quotePrefix="false">
      <alignment horizontal="left" vertical="top"/>
    </xf>
    <xf applyAlignment="true" applyBorder="true" applyFill="false" applyFont="false" applyNumberFormat="true" borderId="1718" fillId="0" fontId="1" numFmtId="1000" quotePrefix="false">
      <alignment horizontal="left" vertical="top"/>
    </xf>
    <xf applyAlignment="true" applyBorder="true" applyFill="false" applyFont="false" applyNumberFormat="true" borderId="1719" fillId="0" fontId="1" numFmtId="1000" quotePrefix="false">
      <alignment horizontal="left" vertical="top"/>
    </xf>
    <xf applyAlignment="true" applyBorder="true" applyFill="false" applyFont="false" applyNumberFormat="true" borderId="1720" fillId="0" fontId="1" numFmtId="1000" quotePrefix="false">
      <alignment horizontal="left" vertical="top"/>
    </xf>
    <xf applyAlignment="true" applyBorder="true" applyFill="false" applyFont="false" applyNumberFormat="true" borderId="1721" fillId="0" fontId="1" numFmtId="1000" quotePrefix="false">
      <alignment horizontal="left" vertical="top"/>
    </xf>
    <xf applyAlignment="true" applyBorder="true" applyFill="false" applyFont="false" applyNumberFormat="true" borderId="1722" fillId="0" fontId="1" numFmtId="1000" quotePrefix="false">
      <alignment horizontal="left" vertical="top"/>
    </xf>
    <xf applyAlignment="true" applyBorder="true" applyFill="false" applyFont="false" applyNumberFormat="true" borderId="1723" fillId="0" fontId="1" numFmtId="1000" quotePrefix="false">
      <alignment horizontal="left" vertical="top"/>
    </xf>
    <xf applyAlignment="true" applyBorder="true" applyFill="false" applyFont="false" applyNumberFormat="true" borderId="1724" fillId="0" fontId="1" numFmtId="1000" quotePrefix="false">
      <alignment horizontal="left" vertical="top"/>
    </xf>
    <xf applyAlignment="true" applyBorder="true" applyFill="false" applyFont="false" applyNumberFormat="true" borderId="1725" fillId="0" fontId="1" numFmtId="1000" quotePrefix="false">
      <alignment horizontal="left" vertical="top"/>
    </xf>
    <xf applyAlignment="true" applyBorder="true" applyFill="false" applyFont="false" applyNumberFormat="true" borderId="1726" fillId="0" fontId="1" numFmtId="1000" quotePrefix="false">
      <alignment horizontal="left" vertical="top"/>
    </xf>
    <xf applyAlignment="true" applyBorder="true" applyFill="false" applyFont="false" applyNumberFormat="true" borderId="1727" fillId="0" fontId="1" numFmtId="1000" quotePrefix="false">
      <alignment horizontal="left" vertical="top"/>
    </xf>
    <xf applyAlignment="true" applyBorder="true" applyFill="false" applyFont="false" applyNumberFormat="true" borderId="1728" fillId="0" fontId="1" numFmtId="1000" quotePrefix="false">
      <alignment horizontal="left" vertical="top"/>
    </xf>
    <xf applyAlignment="true" applyBorder="true" applyFill="false" applyFont="false" applyNumberFormat="true" borderId="1729" fillId="0" fontId="1" numFmtId="1000" quotePrefix="false">
      <alignment horizontal="left" vertical="top"/>
    </xf>
    <xf applyAlignment="true" applyBorder="true" applyFill="false" applyFont="false" applyNumberFormat="true" borderId="1730" fillId="0" fontId="1" numFmtId="1000" quotePrefix="false">
      <alignment horizontal="left" vertical="top"/>
    </xf>
    <xf applyAlignment="true" applyBorder="true" applyFill="false" applyFont="false" applyNumberFormat="true" borderId="1731" fillId="0" fontId="1" numFmtId="1000" quotePrefix="false">
      <alignment horizontal="left" vertical="top"/>
    </xf>
    <xf applyAlignment="true" applyBorder="true" applyFill="false" applyFont="false" applyNumberFormat="true" borderId="1732" fillId="0" fontId="1" numFmtId="1000" quotePrefix="false">
      <alignment horizontal="left" vertical="top"/>
    </xf>
    <xf applyAlignment="true" applyBorder="true" applyFill="false" applyFont="false" applyNumberFormat="true" borderId="1733" fillId="0" fontId="1" numFmtId="1000" quotePrefix="false">
      <alignment horizontal="left" vertical="top"/>
    </xf>
    <xf applyAlignment="true" applyBorder="true" applyFill="false" applyFont="false" applyNumberFormat="true" borderId="1734" fillId="0" fontId="1" numFmtId="1000" quotePrefix="false">
      <alignment horizontal="left" vertical="top"/>
    </xf>
    <xf applyAlignment="true" applyBorder="true" applyFill="false" applyFont="false" applyNumberFormat="true" borderId="1735" fillId="0" fontId="1" numFmtId="1000" quotePrefix="false">
      <alignment horizontal="left" vertical="top"/>
    </xf>
    <xf applyAlignment="true" applyBorder="true" applyFill="false" applyFont="true" applyNumberFormat="true" borderId="1736" fillId="0" fontId="2" numFmtId="1000" quotePrefix="false">
      <alignment horizontal="center"/>
    </xf>
    <xf applyAlignment="true" applyBorder="true" applyFill="false" applyFont="true" applyNumberFormat="true" borderId="1737" fillId="0" fontId="2" numFmtId="1000" quotePrefix="false">
      <alignment horizontal="center"/>
    </xf>
    <xf applyAlignment="true" applyBorder="true" applyFill="false" applyFont="true" applyNumberFormat="true" borderId="1738" fillId="0" fontId="2" numFmtId="1000" quotePrefix="false">
      <alignment horizontal="center"/>
    </xf>
    <xf applyAlignment="true" applyBorder="true" applyFill="false" applyFont="false" applyNumberFormat="true" borderId="1739" fillId="0" fontId="1" numFmtId="1000" quotePrefix="false">
      <alignment horizontal="center" vertical="top"/>
    </xf>
    <xf applyAlignment="true" applyBorder="true" applyFill="false" applyFont="false" applyNumberFormat="true" borderId="1740" fillId="0" fontId="1" numFmtId="1000" quotePrefix="false">
      <alignment horizontal="center" vertical="top"/>
    </xf>
    <xf applyAlignment="true" applyBorder="true" applyFill="false" applyFont="false" applyNumberFormat="true" borderId="1741" fillId="0" fontId="1" numFmtId="1000" quotePrefix="false">
      <alignment horizontal="center" vertical="top"/>
    </xf>
    <xf applyAlignment="true" applyBorder="true" applyFill="false" applyFont="false" applyNumberFormat="true" borderId="1742" fillId="0" fontId="1" numFmtId="1000" quotePrefix="false">
      <alignment horizontal="center" vertical="top"/>
    </xf>
    <xf applyAlignment="true" applyBorder="true" applyFill="false" applyFont="false" applyNumberFormat="true" borderId="1743" fillId="0" fontId="1" numFmtId="1000" quotePrefix="false">
      <alignment horizontal="center" vertical="top"/>
    </xf>
    <xf applyAlignment="true" applyBorder="true" applyFill="false" applyFont="false" applyNumberFormat="true" borderId="1744" fillId="0" fontId="1" numFmtId="1000" quotePrefix="false">
      <alignment horizontal="center" vertical="top"/>
    </xf>
    <xf applyAlignment="true" applyBorder="true" applyFill="false" applyFont="false" applyNumberFormat="true" borderId="1745" fillId="0" fontId="1" numFmtId="1000" quotePrefix="false">
      <alignment horizontal="center" vertical="top"/>
    </xf>
    <xf applyAlignment="true" applyBorder="true" applyFill="false" applyFont="false" applyNumberFormat="true" borderId="1746" fillId="0" fontId="1" numFmtId="1000" quotePrefix="false">
      <alignment horizontal="center" vertical="top"/>
    </xf>
    <xf applyAlignment="true" applyBorder="true" applyFill="false" applyFont="false" applyNumberFormat="true" borderId="1747" fillId="0" fontId="1" numFmtId="1000" quotePrefix="false">
      <alignment horizontal="center" vertical="top"/>
    </xf>
    <xf applyAlignment="true" applyBorder="true" applyFill="false" applyFont="false" applyNumberFormat="true" borderId="1748" fillId="0" fontId="1" numFmtId="1000" quotePrefix="false">
      <alignment horizontal="center" vertical="top"/>
    </xf>
    <xf applyAlignment="true" applyBorder="true" applyFill="false" applyFont="false" applyNumberFormat="true" borderId="1749" fillId="0" fontId="1" numFmtId="1000" quotePrefix="false">
      <alignment horizontal="center" vertical="top"/>
    </xf>
    <xf applyAlignment="true" applyBorder="true" applyFill="false" applyFont="false" applyNumberFormat="true" borderId="1750" fillId="0" fontId="1" numFmtId="1000" quotePrefix="false">
      <alignment horizontal="center" vertical="top"/>
    </xf>
    <xf applyAlignment="true" applyBorder="true" applyFill="false" applyFont="false" applyNumberFormat="true" borderId="1751" fillId="0" fontId="1" numFmtId="1000" quotePrefix="false">
      <alignment horizontal="center" vertical="top"/>
    </xf>
    <xf applyAlignment="true" applyBorder="true" applyFill="false" applyFont="false" applyNumberFormat="true" borderId="1752" fillId="0" fontId="1" numFmtId="1000" quotePrefix="false">
      <alignment horizontal="center" vertical="top"/>
    </xf>
    <xf applyAlignment="true" applyBorder="true" applyFill="false" applyFont="false" applyNumberFormat="true" borderId="1753" fillId="0" fontId="1" numFmtId="1000" quotePrefix="false">
      <alignment horizontal="center" vertical="top"/>
    </xf>
    <xf applyAlignment="true" applyBorder="true" applyFill="false" applyFont="false" applyNumberFormat="true" borderId="1754" fillId="0" fontId="1" numFmtId="1000" quotePrefix="false">
      <alignment horizontal="center" vertical="top"/>
    </xf>
    <xf applyAlignment="true" applyBorder="true" applyFill="false" applyFont="false" applyNumberFormat="true" borderId="1755" fillId="0" fontId="1" numFmtId="1000" quotePrefix="false">
      <alignment horizontal="center" vertical="top"/>
    </xf>
    <xf applyAlignment="true" applyBorder="true" applyFill="false" applyFont="false" applyNumberFormat="true" borderId="1756" fillId="0" fontId="1" numFmtId="1000" quotePrefix="false">
      <alignment horizontal="center" vertical="top"/>
    </xf>
    <xf applyAlignment="true" applyBorder="true" applyFill="false" applyFont="false" applyNumberFormat="true" borderId="1757" fillId="0" fontId="1" numFmtId="1000" quotePrefix="false">
      <alignment horizontal="center" vertical="top"/>
    </xf>
    <xf applyAlignment="true" applyBorder="true" applyFill="false" applyFont="false" applyNumberFormat="true" borderId="1758" fillId="0" fontId="1" numFmtId="1000" quotePrefix="false">
      <alignment horizontal="center" vertical="top"/>
    </xf>
    <xf applyAlignment="true" applyBorder="true" applyFill="false" applyFont="false" applyNumberFormat="true" borderId="1759" fillId="0" fontId="1" numFmtId="1000" quotePrefix="false">
      <alignment horizontal="center" vertical="top"/>
    </xf>
    <xf applyAlignment="true" applyBorder="true" applyFill="false" applyFont="false" applyNumberFormat="true" borderId="1760" fillId="0" fontId="1" numFmtId="1000" quotePrefix="false">
      <alignment horizontal="center" vertical="top"/>
    </xf>
    <xf applyAlignment="true" applyBorder="true" applyFill="false" applyFont="false" applyNumberFormat="true" borderId="1761" fillId="0" fontId="1" numFmtId="1000" quotePrefix="false">
      <alignment horizontal="center" vertical="top"/>
    </xf>
    <xf applyAlignment="true" applyBorder="true" applyFill="false" applyFont="false" applyNumberFormat="true" borderId="1762" fillId="0" fontId="1" numFmtId="1000" quotePrefix="false">
      <alignment horizontal="center" vertical="top"/>
    </xf>
    <xf applyAlignment="true" applyBorder="true" applyFill="false" applyFont="false" applyNumberFormat="true" borderId="1763" fillId="0" fontId="1" numFmtId="1000" quotePrefix="false">
      <alignment horizontal="center" vertical="top"/>
    </xf>
    <xf applyAlignment="true" applyBorder="true" applyFill="false" applyFont="false" applyNumberFormat="true" borderId="1764" fillId="0" fontId="1" numFmtId="1000" quotePrefix="false">
      <alignment horizontal="center" vertical="top"/>
    </xf>
    <xf applyAlignment="true" applyBorder="true" applyFill="false" applyFont="false" applyNumberFormat="true" borderId="1765" fillId="0" fontId="1" numFmtId="1000" quotePrefix="false">
      <alignment horizontal="center" vertical="top"/>
    </xf>
    <xf applyAlignment="true" applyBorder="true" applyFill="false" applyFont="false" applyNumberFormat="true" borderId="1766" fillId="0" fontId="1" numFmtId="1000" quotePrefix="false">
      <alignment horizontal="center" vertical="top"/>
    </xf>
    <xf applyAlignment="true" applyBorder="true" applyFill="false" applyFont="false" applyNumberFormat="true" borderId="1767" fillId="0" fontId="1" numFmtId="1000" quotePrefix="false">
      <alignment horizontal="center" vertical="top"/>
    </xf>
    <xf applyAlignment="true" applyBorder="true" applyFill="false" applyFont="false" applyNumberFormat="true" borderId="1768" fillId="0" fontId="1" numFmtId="1000" quotePrefix="false">
      <alignment horizontal="center" vertical="top"/>
    </xf>
    <xf applyAlignment="true" applyBorder="true" applyFill="false" applyFont="false" applyNumberFormat="true" borderId="1769" fillId="0" fontId="1" numFmtId="1000" quotePrefix="false">
      <alignment horizontal="center" vertical="top"/>
    </xf>
    <xf applyAlignment="true" applyBorder="true" applyFill="false" applyFont="false" applyNumberFormat="true" borderId="1770" fillId="0" fontId="1" numFmtId="1000" quotePrefix="false">
      <alignment horizontal="center" vertical="top"/>
    </xf>
    <xf applyAlignment="true" applyBorder="true" applyFill="false" applyFont="false" applyNumberFormat="true" borderId="1771" fillId="0" fontId="1" numFmtId="1000" quotePrefix="false">
      <alignment horizontal="center" vertical="top"/>
    </xf>
    <xf applyAlignment="true" applyBorder="true" applyFill="false" applyFont="false" applyNumberFormat="true" borderId="1772" fillId="0" fontId="1" numFmtId="1000" quotePrefix="false">
      <alignment horizontal="center" vertical="top"/>
    </xf>
    <xf applyAlignment="true" applyBorder="true" applyFill="false" applyFont="false" applyNumberFormat="true" borderId="1773" fillId="0" fontId="1" numFmtId="1000" quotePrefix="false">
      <alignment horizontal="center" vertical="top"/>
    </xf>
    <xf applyAlignment="true" applyBorder="true" applyFill="false" applyFont="false" applyNumberFormat="true" borderId="1774" fillId="0" fontId="1" numFmtId="1000" quotePrefix="false">
      <alignment horizontal="center" vertical="top"/>
    </xf>
    <xf applyAlignment="true" applyBorder="true" applyFill="false" applyFont="false" applyNumberFormat="true" borderId="1775" fillId="0" fontId="1" numFmtId="1000" quotePrefix="false">
      <alignment horizontal="center" vertical="top"/>
    </xf>
    <xf applyAlignment="true" applyBorder="true" applyFill="false" applyFont="false" applyNumberFormat="true" borderId="1776" fillId="0" fontId="1" numFmtId="1000" quotePrefix="false">
      <alignment horizontal="center" vertical="top"/>
    </xf>
    <xf applyAlignment="true" applyBorder="true" applyFill="false" applyFont="false" applyNumberFormat="true" borderId="1777" fillId="0" fontId="1" numFmtId="1000" quotePrefix="false">
      <alignment horizontal="center" vertical="top"/>
    </xf>
    <xf applyAlignment="true" applyBorder="true" applyFill="false" applyFont="false" applyNumberFormat="true" borderId="1778" fillId="0" fontId="1" numFmtId="1000" quotePrefix="false">
      <alignment horizontal="center" vertical="top"/>
    </xf>
    <xf applyAlignment="true" applyBorder="true" applyFill="false" applyFont="false" applyNumberFormat="true" borderId="1779" fillId="0" fontId="1" numFmtId="1000" quotePrefix="false">
      <alignment horizontal="center" vertical="top"/>
    </xf>
    <xf applyAlignment="true" applyBorder="true" applyFill="false" applyFont="false" applyNumberFormat="true" borderId="1780" fillId="0" fontId="1" numFmtId="1000" quotePrefix="false">
      <alignment horizontal="center" vertical="top"/>
    </xf>
    <xf applyAlignment="true" applyBorder="true" applyFill="false" applyFont="false" applyNumberFormat="true" borderId="1781" fillId="0" fontId="1" numFmtId="1000" quotePrefix="false">
      <alignment horizontal="center" vertical="top"/>
    </xf>
    <xf applyAlignment="true" applyBorder="true" applyFill="false" applyFont="false" applyNumberFormat="true" borderId="1782" fillId="0" fontId="1" numFmtId="1000" quotePrefix="false">
      <alignment horizontal="center" vertical="top"/>
    </xf>
    <xf applyAlignment="true" applyBorder="true" applyFill="false" applyFont="false" applyNumberFormat="true" borderId="1783" fillId="0" fontId="1" numFmtId="1000" quotePrefix="false">
      <alignment horizontal="center" vertical="top"/>
    </xf>
    <xf applyAlignment="true" applyBorder="true" applyFill="false" applyFont="false" applyNumberFormat="true" borderId="1784" fillId="0" fontId="1" numFmtId="1000" quotePrefix="false">
      <alignment horizontal="center" vertical="top"/>
    </xf>
    <xf applyAlignment="true" applyBorder="true" applyFill="false" applyFont="false" applyNumberFormat="true" borderId="1785" fillId="0" fontId="1" numFmtId="1000" quotePrefix="false">
      <alignment horizontal="center" vertical="top"/>
    </xf>
    <xf applyAlignment="true" applyBorder="true" applyFill="false" applyFont="false" applyNumberFormat="true" borderId="76" fillId="0" fontId="1" numFmtId="1000" quotePrefix="false">
      <alignment horizontal="center"/>
    </xf>
    <xf applyAlignment="true" applyBorder="true" applyFill="false" applyFont="false" applyNumberFormat="true" borderId="77" fillId="0" fontId="1" numFmtId="1000" quotePrefix="false">
      <alignment horizontal="center"/>
    </xf>
    <xf applyAlignment="true" applyBorder="true" applyFill="false" applyFont="false" applyNumberFormat="true" borderId="1786" fillId="0" fontId="1" numFmtId="1000" quotePrefix="false">
      <alignment horizontal="center" vertical="top"/>
    </xf>
    <xf applyAlignment="true" applyBorder="true" applyFill="false" applyFont="false" applyNumberFormat="true" borderId="1787" fillId="0" fontId="1" numFmtId="1000" quotePrefix="false">
      <alignment horizontal="center" vertical="top"/>
    </xf>
    <xf applyAlignment="true" applyBorder="true" applyFill="false" applyFont="false" applyNumberFormat="true" borderId="1788" fillId="0" fontId="1" numFmtId="1000" quotePrefix="false">
      <alignment horizontal="center" vertical="top"/>
    </xf>
    <xf applyAlignment="true" applyBorder="true" applyFill="false" applyFont="false" applyNumberFormat="true" borderId="1789" fillId="0" fontId="1" numFmtId="1000" quotePrefix="false">
      <alignment horizontal="center" vertical="top"/>
    </xf>
    <xf applyAlignment="true" applyBorder="true" applyFill="false" applyFont="false" applyNumberFormat="true" borderId="1790" fillId="0" fontId="1" numFmtId="1000" quotePrefix="false">
      <alignment horizontal="center" vertical="top"/>
    </xf>
    <xf applyAlignment="true" applyBorder="true" applyFill="false" applyFont="false" applyNumberFormat="true" borderId="1791" fillId="0" fontId="1" numFmtId="1000" quotePrefix="false">
      <alignment horizontal="center" vertical="top"/>
    </xf>
    <xf applyAlignment="true" applyBorder="true" applyFill="false" applyFont="false" applyNumberFormat="true" borderId="1792" fillId="0" fontId="1" numFmtId="1000" quotePrefix="false">
      <alignment horizontal="center" vertical="top"/>
    </xf>
    <xf applyAlignment="true" applyBorder="true" applyFill="false" applyFont="false" applyNumberFormat="true" borderId="1793" fillId="0" fontId="1" numFmtId="1000" quotePrefix="false">
      <alignment horizontal="center" vertical="top"/>
    </xf>
    <xf applyAlignment="true" applyBorder="true" applyFill="false" applyFont="false" applyNumberFormat="true" borderId="1794" fillId="0" fontId="1" numFmtId="1000" quotePrefix="false">
      <alignment horizontal="center" vertical="top"/>
    </xf>
    <xf applyAlignment="true" applyBorder="true" applyFill="false" applyFont="false" applyNumberFormat="true" borderId="1795" fillId="0" fontId="1" numFmtId="1000" quotePrefix="false">
      <alignment horizontal="center" vertical="top"/>
    </xf>
    <xf applyAlignment="true" applyBorder="true" applyFill="false" applyFont="false" applyNumberFormat="true" borderId="1796" fillId="0" fontId="1" numFmtId="1000" quotePrefix="false">
      <alignment horizontal="center" vertical="top"/>
    </xf>
    <xf applyAlignment="true" applyBorder="true" applyFill="false" applyFont="false" applyNumberFormat="true" borderId="1797" fillId="0" fontId="1" numFmtId="1000" quotePrefix="false">
      <alignment horizontal="center" vertical="top"/>
    </xf>
    <xf applyAlignment="true" applyBorder="true" applyFill="false" applyFont="false" applyNumberFormat="true" borderId="1798" fillId="0" fontId="1" numFmtId="1000" quotePrefix="false">
      <alignment horizontal="center" vertical="top"/>
    </xf>
    <xf applyAlignment="true" applyBorder="true" applyFill="false" applyFont="false" applyNumberFormat="true" borderId="1799" fillId="0" fontId="1" numFmtId="1000" quotePrefix="false">
      <alignment horizontal="center" vertical="top"/>
    </xf>
    <xf applyAlignment="true" applyBorder="true" applyFill="false" applyFont="false" applyNumberFormat="true" borderId="1800" fillId="0" fontId="1" numFmtId="1000" quotePrefix="false">
      <alignment horizontal="center" vertical="top"/>
    </xf>
    <xf applyAlignment="true" applyBorder="true" applyFill="false" applyFont="false" applyNumberFormat="true" borderId="1801" fillId="0" fontId="1" numFmtId="1000" quotePrefix="false">
      <alignment horizontal="center" vertical="top"/>
    </xf>
    <xf applyAlignment="true" applyBorder="true" applyFill="false" applyFont="false" applyNumberFormat="true" borderId="1802" fillId="0" fontId="1" numFmtId="1000" quotePrefix="false">
      <alignment horizontal="center" vertical="top"/>
    </xf>
    <xf applyAlignment="true" applyBorder="true" applyFill="false" applyFont="false" applyNumberFormat="true" borderId="1803" fillId="0" fontId="1" numFmtId="1000" quotePrefix="false">
      <alignment horizontal="center" vertical="top"/>
    </xf>
    <xf applyAlignment="true" applyBorder="true" applyFill="false" applyFont="false" applyNumberFormat="true" borderId="1804" fillId="0" fontId="1" numFmtId="1000" quotePrefix="false">
      <alignment horizontal="center" vertical="top"/>
    </xf>
    <xf applyAlignment="true" applyBorder="true" applyFill="false" applyFont="false" applyNumberFormat="true" borderId="1805" fillId="0" fontId="1" numFmtId="1000" quotePrefix="false">
      <alignment horizontal="center" vertical="top"/>
    </xf>
    <xf applyAlignment="true" applyBorder="true" applyFill="false" applyFont="false" applyNumberFormat="true" borderId="1806" fillId="0" fontId="1" numFmtId="1000" quotePrefix="false">
      <alignment horizontal="center" vertical="top"/>
    </xf>
    <xf applyAlignment="true" applyBorder="true" applyFill="false" applyFont="false" applyNumberFormat="true" borderId="1807" fillId="0" fontId="1" numFmtId="1000" quotePrefix="false">
      <alignment horizontal="center" vertical="top"/>
    </xf>
    <xf applyAlignment="true" applyBorder="true" applyFill="false" applyFont="false" applyNumberFormat="true" borderId="1808" fillId="0" fontId="1" numFmtId="1000" quotePrefix="false">
      <alignment horizontal="center" vertical="top"/>
    </xf>
    <xf applyAlignment="true" applyBorder="true" applyFill="false" applyFont="false" applyNumberFormat="true" borderId="1809" fillId="0" fontId="1" numFmtId="1000" quotePrefix="false">
      <alignment horizontal="center" vertical="top"/>
    </xf>
    <xf applyAlignment="true" applyBorder="true" applyFill="false" applyFont="false" applyNumberFormat="true" borderId="1810" fillId="0" fontId="1" numFmtId="1000" quotePrefix="false">
      <alignment horizontal="center" vertical="top"/>
    </xf>
    <xf applyAlignment="true" applyBorder="true" applyFill="false" applyFont="false" applyNumberFormat="true" borderId="1811" fillId="0" fontId="1" numFmtId="1000" quotePrefix="false">
      <alignment horizontal="center" vertical="top"/>
    </xf>
    <xf applyAlignment="true" applyBorder="true" applyFill="false" applyFont="false" applyNumberFormat="true" borderId="1812" fillId="0" fontId="1" numFmtId="1000" quotePrefix="false">
      <alignment horizontal="center" vertical="top"/>
    </xf>
    <xf applyAlignment="true" applyBorder="true" applyFill="false" applyFont="false" applyNumberFormat="true" borderId="1813" fillId="0" fontId="1" numFmtId="1000" quotePrefix="false">
      <alignment horizontal="center" vertical="top"/>
    </xf>
    <xf applyAlignment="true" applyBorder="false" applyFill="false" applyFont="true" applyNumberFormat="true" borderId="0" fillId="0" fontId="2" numFmtId="1000" quotePrefix="false">
      <alignment horizontal="center"/>
    </xf>
    <xf applyAlignment="true" applyBorder="true" applyFill="false" applyFont="true" applyNumberFormat="true" borderId="1814" fillId="0" fontId="2" numFmtId="1000" quotePrefix="false">
      <alignment horizontal="center" vertical="top"/>
    </xf>
    <xf applyAlignment="true" applyBorder="true" applyFill="false" applyFont="false" applyNumberFormat="true" borderId="1815" fillId="0" fontId="1" numFmtId="1000" quotePrefix="false">
      <alignment horizontal="left" vertical="top"/>
    </xf>
    <xf applyAlignment="true" applyBorder="true" applyFill="false" applyFont="false" applyNumberFormat="true" borderId="1816" fillId="0" fontId="1" numFmtId="1000" quotePrefix="false">
      <alignment horizontal="left" vertical="top"/>
    </xf>
    <xf applyAlignment="true" applyBorder="true" applyFill="false" applyFont="false" applyNumberFormat="true" borderId="1817" fillId="0" fontId="1" numFmtId="1000" quotePrefix="false">
      <alignment horizontal="left" vertical="top"/>
    </xf>
    <xf applyAlignment="true" applyBorder="true" applyFill="false" applyFont="false" applyNumberFormat="true" borderId="1818" fillId="0" fontId="1" numFmtId="1000" quotePrefix="false">
      <alignment horizontal="left" vertical="top"/>
    </xf>
    <xf applyAlignment="true" applyBorder="true" applyFill="false" applyFont="false" applyNumberFormat="true" borderId="1819" fillId="0" fontId="1" numFmtId="1000" quotePrefix="false">
      <alignment horizontal="left" vertical="top"/>
    </xf>
    <xf applyAlignment="true" applyBorder="true" applyFill="false" applyFont="false" applyNumberFormat="true" borderId="1820" fillId="0" fontId="1" numFmtId="1000" quotePrefix="false">
      <alignment horizontal="left" vertical="top"/>
    </xf>
    <xf applyAlignment="true" applyBorder="true" applyFill="false" applyFont="false" applyNumberFormat="true" borderId="1821" fillId="0" fontId="1" numFmtId="1000" quotePrefix="false">
      <alignment horizontal="left" vertical="top"/>
    </xf>
    <xf applyAlignment="true" applyBorder="true" applyFill="false" applyFont="false" applyNumberFormat="true" borderId="1822" fillId="0" fontId="1" numFmtId="1000" quotePrefix="false">
      <alignment horizontal="left" vertical="top"/>
    </xf>
    <xf applyAlignment="true" applyBorder="true" applyFill="false" applyFont="false" applyNumberFormat="true" borderId="1823" fillId="0" fontId="1" numFmtId="1000" quotePrefix="false">
      <alignment horizontal="left" vertical="top"/>
    </xf>
    <xf applyAlignment="true" applyBorder="true" applyFill="false" applyFont="false" applyNumberFormat="true" borderId="1824" fillId="0" fontId="1" numFmtId="1000" quotePrefix="false">
      <alignment horizontal="left" vertical="top"/>
    </xf>
    <xf applyAlignment="true" applyBorder="true" applyFill="false" applyFont="false" applyNumberFormat="true" borderId="1825" fillId="0" fontId="1" numFmtId="1000" quotePrefix="false">
      <alignment horizontal="left" vertical="top"/>
    </xf>
    <xf applyAlignment="true" applyBorder="true" applyFill="false" applyFont="false" applyNumberFormat="true" borderId="1826" fillId="0" fontId="1" numFmtId="1000" quotePrefix="false">
      <alignment horizontal="left" vertical="top"/>
    </xf>
    <xf applyAlignment="true" applyBorder="true" applyFill="false" applyFont="false" applyNumberFormat="true" borderId="1827" fillId="0" fontId="1" numFmtId="1000" quotePrefix="false">
      <alignment horizontal="left" vertical="top"/>
    </xf>
    <xf applyAlignment="true" applyBorder="true" applyFill="false" applyFont="false" applyNumberFormat="true" borderId="1828" fillId="0" fontId="1" numFmtId="1000" quotePrefix="false">
      <alignment horizontal="left" vertical="top"/>
    </xf>
    <xf applyAlignment="true" applyBorder="true" applyFill="false" applyFont="false" applyNumberFormat="true" borderId="1829" fillId="0" fontId="1" numFmtId="1000" quotePrefix="false">
      <alignment horizontal="left" vertical="top"/>
    </xf>
    <xf applyAlignment="true" applyBorder="true" applyFill="false" applyFont="false" applyNumberFormat="true" borderId="1830" fillId="0" fontId="1" numFmtId="1000" quotePrefix="false">
      <alignment horizontal="left" vertical="top"/>
    </xf>
    <xf applyAlignment="true" applyBorder="true" applyFill="false" applyFont="false" applyNumberFormat="true" borderId="1831" fillId="0" fontId="1" numFmtId="1000" quotePrefix="false">
      <alignment horizontal="left" vertical="top"/>
    </xf>
    <xf applyAlignment="true" applyBorder="true" applyFill="false" applyFont="false" applyNumberFormat="true" borderId="1832" fillId="0" fontId="1" numFmtId="1000" quotePrefix="false">
      <alignment horizontal="left" vertical="top"/>
    </xf>
    <xf applyAlignment="true" applyBorder="true" applyFill="false" applyFont="false" applyNumberFormat="true" borderId="1833" fillId="0" fontId="1" numFmtId="1000" quotePrefix="false">
      <alignment horizontal="left" vertical="top"/>
    </xf>
    <xf applyAlignment="true" applyBorder="true" applyFill="false" applyFont="true" applyNumberFormat="true" borderId="1834" fillId="0" fontId="2" numFmtId="1000" quotePrefix="false">
      <alignment horizontal="center"/>
    </xf>
    <xf applyAlignment="true" applyBorder="true" applyFill="false" applyFont="true" applyNumberFormat="true" borderId="1835" fillId="0" fontId="2" numFmtId="1000" quotePrefix="false">
      <alignment horizontal="center"/>
    </xf>
    <xf applyAlignment="true" applyBorder="true" applyFill="false" applyFont="true" applyNumberFormat="true" borderId="1836" fillId="0" fontId="2" numFmtId="1000" quotePrefix="false">
      <alignment horizontal="center"/>
    </xf>
    <xf applyAlignment="true" applyBorder="true" applyFill="false" applyFont="false" applyNumberFormat="true" borderId="1837" fillId="0" fontId="1" numFmtId="1000" quotePrefix="false">
      <alignment horizontal="center" vertical="top"/>
    </xf>
    <xf applyAlignment="true" applyBorder="true" applyFill="false" applyFont="false" applyNumberFormat="true" borderId="1838" fillId="0" fontId="1" numFmtId="1000" quotePrefix="false">
      <alignment horizontal="center" vertical="top"/>
    </xf>
    <xf applyAlignment="true" applyBorder="true" applyFill="false" applyFont="false" applyNumberFormat="true" borderId="1839" fillId="0" fontId="1" numFmtId="1000" quotePrefix="false">
      <alignment horizontal="center" vertical="top"/>
    </xf>
    <xf applyAlignment="true" applyBorder="true" applyFill="false" applyFont="false" applyNumberFormat="true" borderId="1840" fillId="0" fontId="1" numFmtId="1000" quotePrefix="false">
      <alignment horizontal="center" vertical="top"/>
    </xf>
    <xf applyAlignment="true" applyBorder="true" applyFill="false" applyFont="false" applyNumberFormat="true" borderId="1841" fillId="0" fontId="1" numFmtId="1000" quotePrefix="false">
      <alignment horizontal="center" vertical="top"/>
    </xf>
    <xf applyAlignment="true" applyBorder="true" applyFill="false" applyFont="false" applyNumberFormat="true" borderId="1842" fillId="0" fontId="1" numFmtId="1000" quotePrefix="false">
      <alignment horizontal="center" vertical="top"/>
    </xf>
    <xf applyAlignment="true" applyBorder="true" applyFill="false" applyFont="false" applyNumberFormat="true" borderId="1843" fillId="0" fontId="1" numFmtId="1000" quotePrefix="false">
      <alignment horizontal="center" vertical="top"/>
    </xf>
    <xf applyAlignment="true" applyBorder="true" applyFill="false" applyFont="false" applyNumberFormat="true" borderId="1844" fillId="0" fontId="1" numFmtId="1000" quotePrefix="false">
      <alignment horizontal="center" vertical="top"/>
    </xf>
    <xf applyAlignment="true" applyBorder="true" applyFill="false" applyFont="false" applyNumberFormat="true" borderId="1845" fillId="0" fontId="1" numFmtId="1000" quotePrefix="false">
      <alignment horizontal="center" vertical="top"/>
    </xf>
    <xf applyAlignment="true" applyBorder="true" applyFill="false" applyFont="false" applyNumberFormat="true" borderId="1846" fillId="0" fontId="1" numFmtId="1000" quotePrefix="false">
      <alignment horizontal="center" vertical="top"/>
    </xf>
    <xf applyAlignment="true" applyBorder="true" applyFill="false" applyFont="false" applyNumberFormat="true" borderId="1847" fillId="0" fontId="1" numFmtId="1000" quotePrefix="false">
      <alignment horizontal="center" vertical="top"/>
    </xf>
    <xf applyAlignment="true" applyBorder="true" applyFill="false" applyFont="false" applyNumberFormat="true" borderId="1848" fillId="0" fontId="1" numFmtId="1000" quotePrefix="false">
      <alignment horizontal="center" vertical="top"/>
    </xf>
    <xf applyAlignment="true" applyBorder="true" applyFill="false" applyFont="false" applyNumberFormat="true" borderId="1849" fillId="0" fontId="1" numFmtId="1000" quotePrefix="false">
      <alignment horizontal="center" vertical="top"/>
    </xf>
    <xf applyAlignment="true" applyBorder="true" applyFill="false" applyFont="false" applyNumberFormat="true" borderId="1850" fillId="0" fontId="1" numFmtId="1000" quotePrefix="false">
      <alignment horizontal="center" vertical="top"/>
    </xf>
    <xf applyAlignment="true" applyBorder="true" applyFill="false" applyFont="false" applyNumberFormat="true" borderId="1851" fillId="0" fontId="1" numFmtId="1000" quotePrefix="false">
      <alignment horizontal="center" vertical="top"/>
    </xf>
    <xf applyAlignment="true" applyBorder="true" applyFill="false" applyFont="false" applyNumberFormat="true" borderId="1852" fillId="0" fontId="1" numFmtId="1000" quotePrefix="false">
      <alignment horizontal="center" vertical="top"/>
    </xf>
    <xf applyAlignment="true" applyBorder="true" applyFill="false" applyFont="true" applyNumberFormat="true" borderId="1853" fillId="0" fontId="13" numFmtId="1000" quotePrefix="false">
      <alignment horizontal="center" vertical="top"/>
    </xf>
    <xf applyAlignment="true" applyBorder="true" applyFill="false" applyFont="true" applyNumberFormat="true" borderId="1854" fillId="0" fontId="13" numFmtId="1000" quotePrefix="false">
      <alignment horizontal="center" vertical="top"/>
    </xf>
    <xf applyAlignment="true" applyBorder="true" applyFill="false" applyFont="true" applyNumberFormat="true" borderId="1855" fillId="0" fontId="13" numFmtId="1000" quotePrefix="false">
      <alignment horizontal="center" vertical="top"/>
    </xf>
    <xf applyAlignment="true" applyBorder="true" applyFill="false" applyFont="true" applyNumberFormat="true" borderId="1856" fillId="0" fontId="13" numFmtId="1000" quotePrefix="false">
      <alignment horizontal="center" vertical="top"/>
    </xf>
    <xf applyAlignment="true" applyBorder="true" applyFill="false" applyFont="true" applyNumberFormat="true" borderId="1857" fillId="0" fontId="13" numFmtId="1000" quotePrefix="false">
      <alignment horizontal="center" vertical="top"/>
    </xf>
    <xf applyAlignment="true" applyBorder="true" applyFill="false" applyFont="true" applyNumberFormat="true" borderId="1858" fillId="0" fontId="13" numFmtId="1000" quotePrefix="false">
      <alignment horizontal="center" vertical="top"/>
    </xf>
    <xf applyAlignment="true" applyBorder="true" applyFill="false" applyFont="true" applyNumberFormat="true" borderId="1859" fillId="0" fontId="13" numFmtId="1000" quotePrefix="false">
      <alignment horizontal="center" vertical="top"/>
    </xf>
    <xf applyAlignment="true" applyBorder="true" applyFill="false" applyFont="true" applyNumberFormat="true" borderId="1860" fillId="0" fontId="13" numFmtId="1000" quotePrefix="false">
      <alignment horizontal="center" vertical="top"/>
    </xf>
    <xf applyAlignment="true" applyBorder="true" applyFill="false" applyFont="true" applyNumberFormat="true" borderId="1861" fillId="0" fontId="13" numFmtId="1000" quotePrefix="false">
      <alignment horizontal="center" vertical="top"/>
    </xf>
    <xf applyAlignment="true" applyBorder="true" applyFill="false" applyFont="true" applyNumberFormat="true" borderId="1862" fillId="0" fontId="13" numFmtId="1000" quotePrefix="false">
      <alignment horizontal="center" vertical="top"/>
    </xf>
    <xf applyAlignment="true" applyBorder="true" applyFill="false" applyFont="true" applyNumberFormat="true" borderId="1863" fillId="0" fontId="13" numFmtId="1000" quotePrefix="false">
      <alignment horizontal="center" vertical="top"/>
    </xf>
    <xf applyAlignment="true" applyBorder="true" applyFill="false" applyFont="true" applyNumberFormat="true" borderId="1864" fillId="0" fontId="13" numFmtId="1000" quotePrefix="false">
      <alignment horizontal="center" vertical="top"/>
    </xf>
    <xf applyAlignment="true" applyBorder="true" applyFill="false" applyFont="true" applyNumberFormat="true" borderId="1865" fillId="0" fontId="13" numFmtId="1000" quotePrefix="false">
      <alignment horizontal="center" vertical="top"/>
    </xf>
    <xf applyAlignment="true" applyBorder="true" applyFill="false" applyFont="true" applyNumberFormat="true" borderId="1866" fillId="0" fontId="13" numFmtId="1000" quotePrefix="false">
      <alignment horizontal="center" vertical="top"/>
    </xf>
    <xf applyAlignment="true" applyBorder="true" applyFill="false" applyFont="true" applyNumberFormat="true" borderId="1867" fillId="0" fontId="13" numFmtId="1000" quotePrefix="false">
      <alignment horizontal="center" vertical="top"/>
    </xf>
    <xf applyAlignment="true" applyBorder="true" applyFill="false" applyFont="true" applyNumberFormat="true" borderId="1868" fillId="0" fontId="13" numFmtId="1000" quotePrefix="false">
      <alignment horizontal="center" vertical="top"/>
    </xf>
    <xf applyAlignment="true" applyBorder="true" applyFill="false" applyFont="false" applyNumberFormat="true" borderId="1869" fillId="0" fontId="1" numFmtId="1000" quotePrefix="false">
      <alignment horizontal="center" vertical="top"/>
    </xf>
    <xf applyAlignment="true" applyBorder="true" applyFill="false" applyFont="true" applyNumberFormat="true" borderId="1870" fillId="0" fontId="13" numFmtId="1000" quotePrefix="false">
      <alignment horizontal="center" vertical="top"/>
    </xf>
    <xf applyAlignment="true" applyBorder="false" applyFill="false" applyFont="true" applyNumberFormat="true" borderId="0" fillId="0" fontId="13" numFmtId="1000" quotePrefix="false">
      <alignment horizontal="center" vertical="top"/>
    </xf>
    <xf applyAlignment="true" applyBorder="true" applyFill="false" applyFont="true" applyNumberFormat="true" borderId="1871" fillId="0" fontId="13" numFmtId="1000" quotePrefix="false">
      <alignment horizontal="center" vertical="top"/>
    </xf>
    <xf applyAlignment="true" applyBorder="true" applyFill="false" applyFont="true" applyNumberFormat="true" borderId="1872" fillId="0" fontId="13" numFmtId="1000" quotePrefix="false">
      <alignment horizontal="center" vertical="top"/>
    </xf>
    <xf applyAlignment="true" applyBorder="true" applyFill="false" applyFont="true" applyNumberFormat="true" borderId="1873" fillId="0" fontId="13" numFmtId="1000" quotePrefix="false">
      <alignment horizontal="center" vertical="top"/>
    </xf>
    <xf applyAlignment="true" applyBorder="true" applyFill="false" applyFont="true" applyNumberFormat="true" borderId="1874" fillId="0" fontId="13" numFmtId="1000" quotePrefix="false">
      <alignment horizontal="center" vertical="top"/>
    </xf>
    <xf applyAlignment="true" applyBorder="true" applyFill="false" applyFont="true" applyNumberFormat="true" borderId="1875" fillId="0" fontId="13" numFmtId="1000" quotePrefix="false">
      <alignment horizontal="center" vertical="top"/>
    </xf>
    <xf applyAlignment="true" applyBorder="true" applyFill="false" applyFont="true" applyNumberFormat="true" borderId="1876" fillId="0" fontId="13" numFmtId="1000" quotePrefix="false">
      <alignment horizontal="center" vertical="top"/>
    </xf>
    <xf applyAlignment="true" applyBorder="true" applyFill="false" applyFont="true" applyNumberFormat="true" borderId="1877" fillId="0" fontId="13" numFmtId="1000" quotePrefix="false">
      <alignment horizontal="center" vertical="top"/>
    </xf>
    <xf applyAlignment="true" applyBorder="true" applyFill="false" applyFont="true" applyNumberFormat="true" borderId="1878" fillId="0" fontId="13" numFmtId="1000" quotePrefix="false">
      <alignment horizontal="center" vertical="top"/>
    </xf>
    <xf applyAlignment="true" applyBorder="true" applyFill="false" applyFont="true" applyNumberFormat="true" borderId="1879" fillId="0" fontId="13" numFmtId="1000" quotePrefix="false">
      <alignment horizontal="center" vertical="top"/>
    </xf>
    <xf applyAlignment="true" applyBorder="true" applyFill="false" applyFont="false" applyNumberFormat="true" borderId="1880" fillId="0" fontId="1" numFmtId="1000" quotePrefix="false">
      <alignment horizontal="center" vertical="top"/>
    </xf>
    <xf applyAlignment="true" applyBorder="true" applyFill="false" applyFont="false" applyNumberFormat="true" borderId="1881" fillId="0" fontId="1" numFmtId="1000" quotePrefix="false">
      <alignment horizontal="center" vertical="top"/>
    </xf>
    <xf applyAlignment="true" applyBorder="true" applyFill="false" applyFont="true" applyNumberFormat="true" borderId="1882" fillId="0" fontId="13" numFmtId="1000" quotePrefix="false">
      <alignment horizontal="center" vertical="top"/>
    </xf>
    <xf applyAlignment="true" applyBorder="true" applyFill="false" applyFont="true" applyNumberFormat="true" borderId="1883" fillId="0" fontId="13" numFmtId="1000" quotePrefix="false">
      <alignment horizontal="center" vertical="top"/>
    </xf>
    <xf applyAlignment="true" applyBorder="true" applyFill="false" applyFont="true" applyNumberFormat="true" borderId="1884" fillId="0" fontId="13" numFmtId="1000" quotePrefix="false">
      <alignment horizontal="center" vertical="top"/>
    </xf>
    <xf applyAlignment="true" applyBorder="true" applyFill="false" applyFont="true" applyNumberFormat="true" borderId="1885" fillId="0" fontId="13" numFmtId="1000" quotePrefix="false">
      <alignment horizontal="center" vertical="top"/>
    </xf>
    <xf applyAlignment="true" applyBorder="true" applyFill="false" applyFont="true" applyNumberFormat="true" borderId="1886" fillId="0" fontId="13" numFmtId="1000" quotePrefix="false">
      <alignment horizontal="center" vertical="top"/>
    </xf>
    <xf applyAlignment="true" applyBorder="true" applyFill="false" applyFont="true" applyNumberFormat="true" borderId="1887" fillId="0" fontId="13" numFmtId="1000" quotePrefix="false">
      <alignment horizontal="center" vertical="top"/>
    </xf>
    <xf applyAlignment="true" applyBorder="true" applyFill="false" applyFont="true" applyNumberFormat="true" borderId="1888" fillId="0" fontId="13" numFmtId="1000" quotePrefix="false">
      <alignment horizontal="center" vertical="top"/>
    </xf>
    <xf applyAlignment="true" applyBorder="true" applyFill="false" applyFont="true" applyNumberFormat="true" borderId="1889" fillId="0" fontId="13" numFmtId="1000" quotePrefix="false">
      <alignment horizontal="center" vertical="top"/>
    </xf>
    <xf applyAlignment="true" applyBorder="true" applyFill="false" applyFont="true" applyNumberFormat="true" borderId="1890" fillId="0" fontId="13" numFmtId="1000" quotePrefix="false">
      <alignment horizontal="center" vertical="top"/>
    </xf>
    <xf applyAlignment="true" applyBorder="true" applyFill="false" applyFont="true" applyNumberFormat="true" borderId="1891" fillId="0" fontId="13" numFmtId="1000" quotePrefix="false">
      <alignment horizontal="center" vertical="top"/>
    </xf>
    <xf applyAlignment="true" applyBorder="true" applyFill="false" applyFont="false" applyNumberFormat="true" borderId="1892" fillId="0" fontId="1" numFmtId="1000" quotePrefix="false">
      <alignment horizontal="center" vertical="top"/>
    </xf>
    <xf applyAlignment="true" applyBorder="true" applyFill="false" applyFont="false" applyNumberFormat="true" borderId="1893" fillId="0" fontId="1" numFmtId="1000" quotePrefix="false">
      <alignment horizontal="center" vertical="top"/>
    </xf>
    <xf applyAlignment="true" applyBorder="true" applyFill="false" applyFont="true" applyNumberFormat="true" borderId="1894" fillId="0" fontId="13" numFmtId="1000" quotePrefix="false">
      <alignment horizontal="center" vertical="top"/>
    </xf>
    <xf applyAlignment="true" applyBorder="true" applyFill="false" applyFont="true" applyNumberFormat="true" borderId="1895" fillId="0" fontId="13" numFmtId="1000" quotePrefix="false">
      <alignment horizontal="center" vertical="top"/>
    </xf>
    <xf applyAlignment="true" applyBorder="true" applyFill="false" applyFont="true" applyNumberFormat="true" borderId="1896" fillId="0" fontId="13" numFmtId="1000" quotePrefix="false">
      <alignment horizontal="center" vertical="top"/>
    </xf>
    <xf applyAlignment="true" applyBorder="true" applyFill="false" applyFont="true" applyNumberFormat="true" borderId="1897" fillId="0" fontId="13" numFmtId="1000" quotePrefix="false">
      <alignment horizontal="center" vertical="top"/>
    </xf>
    <xf applyAlignment="true" applyBorder="true" applyFill="false" applyFont="true" applyNumberFormat="true" borderId="1898" fillId="0" fontId="13" numFmtId="1000" quotePrefix="false">
      <alignment horizontal="center" vertical="top"/>
    </xf>
    <xf applyAlignment="true" applyBorder="true" applyFill="false" applyFont="true" applyNumberFormat="true" borderId="1899" fillId="0" fontId="13" numFmtId="1000" quotePrefix="false">
      <alignment horizontal="center" vertical="top"/>
    </xf>
    <xf applyAlignment="true" applyBorder="true" applyFill="false" applyFont="true" applyNumberFormat="true" borderId="1900" fillId="0" fontId="13" numFmtId="1000" quotePrefix="false">
      <alignment horizontal="center" vertical="top"/>
    </xf>
    <xf applyAlignment="true" applyBorder="true" applyFill="false" applyFont="true" applyNumberFormat="true" borderId="1901" fillId="0" fontId="13" numFmtId="1000" quotePrefix="false">
      <alignment horizontal="center" vertical="top"/>
    </xf>
    <xf applyAlignment="true" applyBorder="true" applyFill="false" applyFont="true" applyNumberFormat="true" borderId="1902" fillId="0" fontId="13" numFmtId="1000" quotePrefix="false">
      <alignment horizontal="center" vertical="top"/>
    </xf>
    <xf applyAlignment="true" applyBorder="true" applyFill="false" applyFont="true" applyNumberFormat="true" borderId="1903" fillId="0" fontId="13" numFmtId="1000" quotePrefix="false">
      <alignment horizontal="center" vertical="top"/>
    </xf>
    <xf applyAlignment="true" applyBorder="true" applyFill="false" applyFont="false" applyNumberFormat="true" borderId="1904" fillId="0" fontId="1" numFmtId="1000" quotePrefix="false">
      <alignment horizontal="center" vertical="top"/>
    </xf>
    <xf applyAlignment="true" applyBorder="true" applyFill="false" applyFont="false" applyNumberFormat="true" borderId="1905" fillId="0" fontId="1" numFmtId="1000" quotePrefix="false">
      <alignment horizontal="center" vertical="top"/>
    </xf>
    <xf applyAlignment="true" applyBorder="true" applyFill="false" applyFont="true" applyNumberFormat="true" borderId="1906" fillId="0" fontId="13" numFmtId="1000" quotePrefix="false">
      <alignment horizontal="center" vertical="top"/>
    </xf>
    <xf applyAlignment="true" applyBorder="true" applyFill="false" applyFont="true" applyNumberFormat="true" borderId="1907" fillId="0" fontId="13" numFmtId="1000" quotePrefix="false">
      <alignment horizontal="center" vertical="top"/>
    </xf>
    <xf applyAlignment="true" applyBorder="true" applyFill="false" applyFont="true" applyNumberFormat="true" borderId="1908" fillId="0" fontId="13" numFmtId="1000" quotePrefix="false">
      <alignment horizontal="center" vertical="top"/>
    </xf>
    <xf applyAlignment="true" applyBorder="true" applyFill="false" applyFont="true" applyNumberFormat="true" borderId="1909" fillId="0" fontId="13" numFmtId="1000" quotePrefix="false">
      <alignment horizontal="center" vertical="top"/>
    </xf>
    <xf applyAlignment="true" applyBorder="true" applyFill="false" applyFont="true" applyNumberFormat="true" borderId="1910" fillId="0" fontId="13" numFmtId="1000" quotePrefix="false">
      <alignment horizontal="center" vertical="top"/>
    </xf>
    <xf applyAlignment="true" applyBorder="true" applyFill="false" applyFont="true" applyNumberFormat="true" borderId="1911" fillId="0" fontId="13" numFmtId="1000" quotePrefix="false">
      <alignment horizontal="center" vertical="top"/>
    </xf>
    <xf applyAlignment="true" applyBorder="true" applyFill="false" applyFont="true" applyNumberFormat="true" borderId="1912" fillId="0" fontId="13" numFmtId="1000" quotePrefix="false">
      <alignment horizontal="center" vertical="top"/>
    </xf>
    <xf applyAlignment="true" applyBorder="true" applyFill="false" applyFont="true" applyNumberFormat="true" borderId="1913" fillId="0" fontId="13" numFmtId="1000" quotePrefix="false">
      <alignment horizontal="center" vertical="top"/>
    </xf>
    <xf applyAlignment="true" applyBorder="true" applyFill="false" applyFont="true" applyNumberFormat="true" borderId="1914" fillId="0" fontId="13" numFmtId="1000" quotePrefix="false">
      <alignment horizontal="center" vertical="top"/>
    </xf>
    <xf applyAlignment="true" applyBorder="true" applyFill="false" applyFont="true" applyNumberFormat="true" borderId="1915" fillId="0" fontId="13" numFmtId="1000" quotePrefix="false">
      <alignment horizontal="center" vertical="top"/>
    </xf>
    <xf applyAlignment="true" applyBorder="true" applyFill="false" applyFont="false" applyNumberFormat="true" borderId="1916" fillId="0" fontId="1" numFmtId="1000" quotePrefix="false">
      <alignment horizontal="center" vertical="top"/>
    </xf>
    <xf applyAlignment="true" applyBorder="true" applyFill="false" applyFont="false" applyNumberFormat="true" borderId="1917" fillId="0" fontId="1" numFmtId="1000" quotePrefix="false">
      <alignment horizontal="center" vertical="top"/>
    </xf>
    <xf applyAlignment="true" applyBorder="true" applyFill="true" applyFont="false" applyNumberFormat="true" borderId="75" fillId="18" fontId="1" numFmtId="1000" quotePrefix="false">
      <alignment horizontal="center"/>
    </xf>
    <xf applyAlignment="true" applyBorder="true" applyFill="true" applyFont="false" applyNumberFormat="true" borderId="76" fillId="18" fontId="1" numFmtId="1000" quotePrefix="false">
      <alignment horizontal="center"/>
    </xf>
    <xf applyAlignment="true" applyBorder="true" applyFill="true" applyFont="false" applyNumberFormat="true" borderId="85" fillId="18" fontId="1" numFmtId="1000" quotePrefix="false">
      <alignment horizontal="center"/>
    </xf>
    <xf applyAlignment="true" applyBorder="true" applyFill="false" applyFont="true" applyNumberFormat="true" borderId="1918" fillId="0" fontId="13" numFmtId="1000" quotePrefix="false">
      <alignment horizontal="center" vertical="top"/>
    </xf>
    <xf applyAlignment="true" applyBorder="true" applyFill="false" applyFont="true" applyNumberFormat="true" borderId="1919" fillId="0" fontId="13" numFmtId="1000" quotePrefix="false">
      <alignment horizontal="center" vertical="top"/>
    </xf>
    <xf applyAlignment="true" applyBorder="true" applyFill="false" applyFont="true" applyNumberFormat="true" borderId="1920" fillId="0" fontId="13" numFmtId="1000" quotePrefix="false">
      <alignment horizontal="center" vertical="top"/>
    </xf>
    <xf applyAlignment="true" applyBorder="true" applyFill="false" applyFont="true" applyNumberFormat="true" borderId="1921" fillId="0" fontId="13" numFmtId="1000" quotePrefix="false">
      <alignment horizontal="center" vertical="top"/>
    </xf>
    <xf applyAlignment="true" applyBorder="true" applyFill="false" applyFont="true" applyNumberFormat="true" borderId="1922" fillId="0" fontId="13" numFmtId="1000" quotePrefix="false">
      <alignment horizontal="center" vertical="top"/>
    </xf>
    <xf applyAlignment="true" applyBorder="true" applyFill="false" applyFont="true" applyNumberFormat="true" borderId="1923" fillId="0" fontId="13" numFmtId="1000" quotePrefix="false">
      <alignment horizontal="center" vertical="top"/>
    </xf>
    <xf applyAlignment="true" applyBorder="true" applyFill="false" applyFont="true" applyNumberFormat="true" borderId="1924" fillId="0" fontId="13" numFmtId="1000" quotePrefix="false">
      <alignment horizontal="center" vertical="top"/>
    </xf>
    <xf applyAlignment="true" applyBorder="true" applyFill="false" applyFont="true" applyNumberFormat="true" borderId="1925" fillId="0" fontId="13" numFmtId="1000" quotePrefix="false">
      <alignment horizontal="center" vertical="top"/>
    </xf>
    <xf applyAlignment="true" applyBorder="true" applyFill="false" applyFont="true" applyNumberFormat="true" borderId="1926" fillId="0" fontId="13" numFmtId="1000" quotePrefix="false">
      <alignment horizontal="center" vertical="top"/>
    </xf>
    <xf applyAlignment="true" applyBorder="true" applyFill="false" applyFont="true" applyNumberFormat="true" borderId="1927" fillId="0" fontId="13" numFmtId="1000" quotePrefix="false">
      <alignment horizontal="center" vertical="top"/>
    </xf>
    <xf applyAlignment="true" applyBorder="true" applyFill="false" applyFont="false" applyNumberFormat="true" borderId="1928" fillId="0" fontId="1" numFmtId="1000" quotePrefix="false">
      <alignment horizontal="center" vertical="top"/>
    </xf>
    <xf applyAlignment="true" applyBorder="true" applyFill="false" applyFont="false" applyNumberFormat="true" borderId="1929" fillId="0" fontId="1" numFmtId="1000" quotePrefix="false">
      <alignment horizontal="center" vertical="top"/>
    </xf>
    <xf applyAlignment="true" applyBorder="true" applyFill="false" applyFont="true" applyNumberFormat="true" borderId="1930" fillId="0" fontId="13" numFmtId="1000" quotePrefix="false">
      <alignment horizontal="center" vertical="top"/>
    </xf>
    <xf applyAlignment="true" applyBorder="true" applyFill="false" applyFont="true" applyNumberFormat="true" borderId="1931" fillId="0" fontId="13" numFmtId="1000" quotePrefix="false">
      <alignment horizontal="center" vertical="top"/>
    </xf>
    <xf applyAlignment="true" applyBorder="true" applyFill="false" applyFont="true" applyNumberFormat="true" borderId="1932" fillId="0" fontId="13" numFmtId="1000" quotePrefix="false">
      <alignment horizontal="center" vertical="top"/>
    </xf>
    <xf applyAlignment="true" applyBorder="true" applyFill="false" applyFont="true" applyNumberFormat="true" borderId="1933" fillId="0" fontId="13" numFmtId="1000" quotePrefix="false">
      <alignment horizontal="center" vertical="top"/>
    </xf>
    <xf applyAlignment="true" applyBorder="true" applyFill="false" applyFont="true" applyNumberFormat="true" borderId="1934" fillId="0" fontId="13" numFmtId="1000" quotePrefix="false">
      <alignment horizontal="center" vertical="top"/>
    </xf>
    <xf applyAlignment="true" applyBorder="true" applyFill="false" applyFont="true" applyNumberFormat="true" borderId="1935" fillId="0" fontId="13" numFmtId="1000" quotePrefix="false">
      <alignment horizontal="center" vertical="top"/>
    </xf>
    <xf applyAlignment="true" applyBorder="true" applyFill="false" applyFont="true" applyNumberFormat="true" borderId="1936" fillId="0" fontId="13" numFmtId="1000" quotePrefix="false">
      <alignment horizontal="center" vertical="top"/>
    </xf>
    <xf applyAlignment="true" applyBorder="true" applyFill="false" applyFont="true" applyNumberFormat="true" borderId="1937" fillId="0" fontId="13" numFmtId="1000" quotePrefix="false">
      <alignment horizontal="center" vertical="top"/>
    </xf>
    <xf applyAlignment="true" applyBorder="true" applyFill="false" applyFont="true" applyNumberFormat="true" borderId="1938" fillId="0" fontId="13" numFmtId="1000" quotePrefix="false">
      <alignment horizontal="center" vertical="top"/>
    </xf>
    <xf applyAlignment="true" applyBorder="true" applyFill="false" applyFont="true" applyNumberFormat="true" borderId="1939" fillId="0" fontId="13" numFmtId="1000" quotePrefix="false">
      <alignment horizontal="center" vertical="top"/>
    </xf>
    <xf applyAlignment="true" applyBorder="true" applyFill="false" applyFont="false" applyNumberFormat="true" borderId="1940" fillId="0" fontId="1" numFmtId="1000" quotePrefix="false">
      <alignment horizontal="center" vertical="top"/>
    </xf>
    <xf applyAlignment="true" applyBorder="true" applyFill="false" applyFont="false" applyNumberFormat="true" borderId="1941" fillId="0" fontId="1" numFmtId="1000" quotePrefix="false">
      <alignment horizontal="center" vertical="top"/>
    </xf>
    <xf applyAlignment="true" applyBorder="true" applyFill="false" applyFont="true" applyNumberFormat="true" borderId="1942" fillId="0" fontId="13" numFmtId="1000" quotePrefix="false">
      <alignment horizontal="center" vertical="top"/>
    </xf>
    <xf applyAlignment="true" applyBorder="true" applyFill="false" applyFont="true" applyNumberFormat="true" borderId="1943" fillId="0" fontId="13" numFmtId="1000" quotePrefix="false">
      <alignment horizontal="center" vertical="top"/>
    </xf>
    <xf applyAlignment="true" applyBorder="true" applyFill="false" applyFont="true" applyNumberFormat="true" borderId="1944" fillId="0" fontId="13" numFmtId="1000" quotePrefix="false">
      <alignment horizontal="center" vertical="top"/>
    </xf>
    <xf applyAlignment="true" applyBorder="true" applyFill="false" applyFont="true" applyNumberFormat="true" borderId="1945" fillId="0" fontId="13" numFmtId="1000" quotePrefix="false">
      <alignment horizontal="center" vertical="top"/>
    </xf>
    <xf applyAlignment="true" applyBorder="true" applyFill="false" applyFont="true" applyNumberFormat="true" borderId="1946" fillId="0" fontId="13" numFmtId="1000" quotePrefix="false">
      <alignment horizontal="center" vertical="top"/>
    </xf>
    <xf applyAlignment="true" applyBorder="true" applyFill="false" applyFont="true" applyNumberFormat="true" borderId="1947" fillId="0" fontId="13" numFmtId="1000" quotePrefix="false">
      <alignment horizontal="center" vertical="top"/>
    </xf>
    <xf applyAlignment="true" applyBorder="true" applyFill="false" applyFont="true" applyNumberFormat="true" borderId="1948" fillId="0" fontId="13" numFmtId="1000" quotePrefix="false">
      <alignment horizontal="center" vertical="top"/>
    </xf>
    <xf applyAlignment="true" applyBorder="true" applyFill="false" applyFont="true" applyNumberFormat="true" borderId="1949" fillId="0" fontId="13" numFmtId="1000" quotePrefix="false">
      <alignment horizontal="center" vertical="top"/>
    </xf>
    <xf applyAlignment="true" applyBorder="true" applyFill="false" applyFont="true" applyNumberFormat="true" borderId="1950" fillId="0" fontId="13" numFmtId="1000" quotePrefix="false">
      <alignment horizontal="center" vertical="top"/>
    </xf>
    <xf applyAlignment="true" applyBorder="true" applyFill="false" applyFont="true" applyNumberFormat="true" borderId="1951" fillId="0" fontId="13" numFmtId="1000" quotePrefix="false">
      <alignment horizontal="center" vertical="top"/>
    </xf>
    <xf applyAlignment="true" applyBorder="true" applyFill="false" applyFont="false" applyNumberFormat="true" borderId="1952" fillId="0" fontId="1" numFmtId="1000" quotePrefix="false">
      <alignment horizontal="center" vertical="top"/>
    </xf>
    <xf applyAlignment="true" applyBorder="true" applyFill="false" applyFont="false" applyNumberFormat="true" borderId="1953" fillId="0" fontId="1" numFmtId="1000" quotePrefix="false">
      <alignment horizontal="center" vertical="top"/>
    </xf>
    <xf applyAlignment="true" applyBorder="true" applyFill="false" applyFont="true" applyNumberFormat="true" borderId="1954" fillId="0" fontId="13" numFmtId="1000" quotePrefix="false">
      <alignment horizontal="center" vertical="top"/>
    </xf>
    <xf applyAlignment="true" applyBorder="true" applyFill="false" applyFont="true" applyNumberFormat="true" borderId="1955" fillId="0" fontId="13" numFmtId="1000" quotePrefix="false">
      <alignment horizontal="center" vertical="top"/>
    </xf>
    <xf applyAlignment="true" applyBorder="true" applyFill="false" applyFont="true" applyNumberFormat="true" borderId="1956" fillId="0" fontId="13" numFmtId="1000" quotePrefix="false">
      <alignment horizontal="center" vertical="top"/>
    </xf>
    <xf applyAlignment="true" applyBorder="true" applyFill="false" applyFont="true" applyNumberFormat="true" borderId="1957" fillId="0" fontId="13" numFmtId="1000" quotePrefix="false">
      <alignment horizontal="center" vertical="top"/>
    </xf>
    <xf applyAlignment="true" applyBorder="true" applyFill="false" applyFont="true" applyNumberFormat="true" borderId="1958" fillId="0" fontId="13" numFmtId="1000" quotePrefix="false">
      <alignment horizontal="center" vertical="top"/>
    </xf>
    <xf applyAlignment="true" applyBorder="true" applyFill="false" applyFont="true" applyNumberFormat="true" borderId="1959" fillId="0" fontId="13" numFmtId="1000" quotePrefix="false">
      <alignment horizontal="center" vertical="top"/>
    </xf>
    <xf applyAlignment="true" applyBorder="true" applyFill="false" applyFont="true" applyNumberFormat="true" borderId="1960" fillId="0" fontId="13" numFmtId="1000" quotePrefix="false">
      <alignment horizontal="center" vertical="top"/>
    </xf>
    <xf applyAlignment="true" applyBorder="true" applyFill="false" applyFont="true" applyNumberFormat="true" borderId="1961" fillId="0" fontId="13" numFmtId="1000" quotePrefix="false">
      <alignment horizontal="center" vertical="top"/>
    </xf>
    <xf applyAlignment="true" applyBorder="true" applyFill="false" applyFont="true" applyNumberFormat="true" borderId="1962" fillId="0" fontId="13" numFmtId="1000" quotePrefix="false">
      <alignment horizontal="center" vertical="top"/>
    </xf>
    <xf applyAlignment="true" applyBorder="true" applyFill="false" applyFont="true" applyNumberFormat="true" borderId="1963" fillId="0" fontId="13" numFmtId="1000" quotePrefix="false">
      <alignment horizontal="center" vertical="top"/>
    </xf>
    <xf applyAlignment="true" applyBorder="true" applyFill="false" applyFont="true" applyNumberFormat="true" borderId="1964" fillId="0" fontId="13" numFmtId="1000" quotePrefix="false">
      <alignment horizontal="center" vertical="top"/>
    </xf>
    <xf applyAlignment="true" applyBorder="true" applyFill="false" applyFont="true" applyNumberFormat="true" borderId="1965" fillId="0" fontId="13" numFmtId="1000" quotePrefix="false">
      <alignment horizontal="center" vertical="top"/>
    </xf>
    <xf applyAlignment="true" applyBorder="true" applyFill="false" applyFont="true" applyNumberFormat="true" borderId="1966" fillId="0" fontId="13" numFmtId="1000" quotePrefix="false">
      <alignment horizontal="center" vertical="top"/>
    </xf>
    <xf applyAlignment="true" applyBorder="true" applyFill="false" applyFont="true" applyNumberFormat="true" borderId="1967" fillId="0" fontId="13" numFmtId="1000" quotePrefix="false">
      <alignment horizontal="center" vertical="top"/>
    </xf>
    <xf applyAlignment="true" applyBorder="true" applyFill="false" applyFont="true" applyNumberFormat="true" borderId="1968" fillId="0" fontId="13" numFmtId="1000" quotePrefix="false">
      <alignment horizontal="center" vertical="top"/>
    </xf>
    <xf applyAlignment="true" applyBorder="true" applyFill="false" applyFont="true" applyNumberFormat="true" borderId="1969" fillId="0" fontId="13" numFmtId="1000" quotePrefix="false">
      <alignment horizontal="center" vertical="top"/>
    </xf>
    <xf applyAlignment="true" applyBorder="true" applyFill="false" applyFont="true" applyNumberFormat="true" borderId="1970" fillId="0" fontId="13" numFmtId="1000" quotePrefix="false">
      <alignment horizontal="center" vertical="top"/>
    </xf>
    <xf applyAlignment="true" applyBorder="true" applyFill="false" applyFont="true" applyNumberFormat="true" borderId="1971" fillId="0" fontId="13" numFmtId="1000" quotePrefix="false">
      <alignment horizontal="center" vertical="top"/>
    </xf>
    <xf applyAlignment="true" applyBorder="true" applyFill="false" applyFont="true" applyNumberFormat="true" borderId="1972" fillId="0" fontId="13" numFmtId="1000" quotePrefix="false">
      <alignment horizontal="center" vertical="top"/>
    </xf>
    <xf applyAlignment="true" applyBorder="true" applyFill="false" applyFont="true" applyNumberFormat="true" borderId="1973" fillId="0" fontId="13" numFmtId="1000" quotePrefix="false">
      <alignment horizontal="center" vertical="top"/>
    </xf>
    <xf applyAlignment="true" applyBorder="true" applyFill="false" applyFont="false" applyNumberFormat="true" borderId="1974" fillId="0" fontId="1" numFmtId="1000" quotePrefix="false">
      <alignment horizontal="center" vertical="top"/>
    </xf>
    <xf applyAlignment="true" applyBorder="true" applyFill="false" applyFont="false" applyNumberFormat="true" borderId="1975" fillId="0" fontId="1" numFmtId="1000" quotePrefix="false">
      <alignment horizontal="center" vertical="top"/>
    </xf>
    <xf applyAlignment="true" applyBorder="true" applyFill="false" applyFont="true" applyNumberFormat="true" borderId="1976" fillId="0" fontId="2" numFmtId="1000" quotePrefix="false">
      <alignment horizontal="center" vertical="top"/>
    </xf>
    <xf applyAlignment="true" applyBorder="true" applyFill="false" applyFont="false" applyNumberFormat="true" borderId="1977" fillId="0" fontId="1" numFmtId="1000" quotePrefix="false">
      <alignment horizontal="left" vertical="top"/>
    </xf>
    <xf applyAlignment="true" applyBorder="true" applyFill="false" applyFont="false" applyNumberFormat="true" borderId="1978" fillId="0" fontId="1" numFmtId="1000" quotePrefix="false">
      <alignment horizontal="left" vertical="top"/>
    </xf>
    <xf applyAlignment="true" applyBorder="true" applyFill="false" applyFont="false" applyNumberFormat="true" borderId="1979" fillId="0" fontId="1" numFmtId="1000" quotePrefix="false">
      <alignment horizontal="left" vertical="top"/>
    </xf>
    <xf applyAlignment="true" applyBorder="true" applyFill="false" applyFont="false" applyNumberFormat="true" borderId="1980" fillId="0" fontId="1" numFmtId="1000" quotePrefix="false">
      <alignment horizontal="left" vertical="top"/>
    </xf>
    <xf applyAlignment="true" applyBorder="true" applyFill="false" applyFont="false" applyNumberFormat="true" borderId="1981" fillId="0" fontId="1" numFmtId="1000" quotePrefix="false">
      <alignment horizontal="left" vertical="top"/>
    </xf>
    <xf applyAlignment="true" applyBorder="true" applyFill="false" applyFont="false" applyNumberFormat="true" borderId="1982" fillId="0" fontId="1" numFmtId="1000" quotePrefix="false">
      <alignment horizontal="left" vertical="top"/>
    </xf>
    <xf applyAlignment="true" applyBorder="true" applyFill="false" applyFont="false" applyNumberFormat="true" borderId="1983" fillId="0" fontId="1" numFmtId="1000" quotePrefix="false">
      <alignment horizontal="left" vertical="top"/>
    </xf>
    <xf applyAlignment="true" applyBorder="true" applyFill="false" applyFont="false" applyNumberFormat="true" borderId="1984" fillId="0" fontId="1" numFmtId="1000" quotePrefix="false">
      <alignment horizontal="left" vertical="top"/>
    </xf>
    <xf applyAlignment="true" applyBorder="true" applyFill="false" applyFont="false" applyNumberFormat="true" borderId="1985" fillId="0" fontId="1" numFmtId="1000" quotePrefix="false">
      <alignment horizontal="left" vertical="top"/>
    </xf>
    <xf applyAlignment="true" applyBorder="true" applyFill="false" applyFont="false" applyNumberFormat="true" borderId="1986" fillId="0" fontId="1" numFmtId="1000" quotePrefix="false">
      <alignment horizontal="left" vertical="top"/>
    </xf>
    <xf applyAlignment="true" applyBorder="true" applyFill="false" applyFont="false" applyNumberFormat="true" borderId="1987" fillId="0" fontId="1" numFmtId="1000" quotePrefix="false">
      <alignment horizontal="left" vertical="top"/>
    </xf>
    <xf applyAlignment="true" applyBorder="true" applyFill="false" applyFont="false" applyNumberFormat="true" borderId="1988" fillId="0" fontId="1" numFmtId="1000" quotePrefix="false">
      <alignment horizontal="left" vertical="top"/>
    </xf>
    <xf applyAlignment="true" applyBorder="true" applyFill="false" applyFont="false" applyNumberFormat="true" borderId="1989" fillId="0" fontId="1" numFmtId="1000" quotePrefix="false">
      <alignment horizontal="left" vertical="top"/>
    </xf>
    <xf applyAlignment="true" applyBorder="true" applyFill="false" applyFont="false" applyNumberFormat="true" borderId="1990" fillId="0" fontId="1" numFmtId="1000" quotePrefix="false">
      <alignment horizontal="left" vertical="top"/>
    </xf>
    <xf applyAlignment="true" applyBorder="true" applyFill="false" applyFont="false" applyNumberFormat="true" borderId="1991" fillId="0" fontId="1" numFmtId="1000" quotePrefix="false">
      <alignment horizontal="left" vertical="top"/>
    </xf>
    <xf applyAlignment="true" applyBorder="true" applyFill="false" applyFont="false" applyNumberFormat="true" borderId="1992" fillId="0" fontId="1" numFmtId="1000" quotePrefix="false">
      <alignment horizontal="left" vertical="top"/>
    </xf>
    <xf applyAlignment="true" applyBorder="true" applyFill="false" applyFont="false" applyNumberFormat="true" borderId="1993" fillId="0" fontId="1" numFmtId="1000" quotePrefix="false">
      <alignment horizontal="left" vertical="top"/>
    </xf>
    <xf applyAlignment="true" applyBorder="true" applyFill="false" applyFont="false" applyNumberFormat="true" borderId="1994" fillId="0" fontId="1" numFmtId="1000" quotePrefix="false">
      <alignment horizontal="left" vertical="top"/>
    </xf>
    <xf applyAlignment="true" applyBorder="true" applyFill="false" applyFont="false" applyNumberFormat="true" borderId="1995" fillId="0" fontId="1" numFmtId="1000" quotePrefix="false">
      <alignment horizontal="left" vertical="top"/>
    </xf>
    <xf applyAlignment="true" applyBorder="true" applyFill="false" applyFont="true" applyNumberFormat="true" borderId="1996" fillId="0" fontId="2" numFmtId="1000" quotePrefix="false">
      <alignment horizontal="center"/>
    </xf>
    <xf applyAlignment="true" applyBorder="true" applyFill="false" applyFont="true" applyNumberFormat="true" borderId="1997" fillId="0" fontId="2" numFmtId="1000" quotePrefix="false">
      <alignment horizontal="center"/>
    </xf>
    <xf applyAlignment="true" applyBorder="true" applyFill="false" applyFont="true" applyNumberFormat="true" borderId="1998" fillId="0" fontId="2" numFmtId="1000" quotePrefix="false">
      <alignment horizontal="center"/>
    </xf>
    <xf applyAlignment="true" applyBorder="true" applyFill="false" applyFont="false" applyNumberFormat="true" borderId="1999" fillId="0" fontId="1" numFmtId="1000" quotePrefix="false">
      <alignment horizontal="center" vertical="top"/>
    </xf>
    <xf applyAlignment="true" applyBorder="true" applyFill="false" applyFont="false" applyNumberFormat="true" borderId="2000" fillId="0" fontId="1" numFmtId="1000" quotePrefix="false">
      <alignment horizontal="center" vertical="top"/>
    </xf>
    <xf applyAlignment="true" applyBorder="true" applyFill="false" applyFont="false" applyNumberFormat="true" borderId="2001" fillId="0" fontId="1" numFmtId="1000" quotePrefix="false">
      <alignment horizontal="center" vertical="top"/>
    </xf>
    <xf applyAlignment="true" applyBorder="true" applyFill="false" applyFont="false" applyNumberFormat="true" borderId="2002" fillId="0" fontId="1" numFmtId="1000" quotePrefix="false">
      <alignment horizontal="center" vertical="top"/>
    </xf>
    <xf applyAlignment="true" applyBorder="true" applyFill="false" applyFont="false" applyNumberFormat="true" borderId="2003" fillId="0" fontId="1" numFmtId="1000" quotePrefix="false">
      <alignment horizontal="center" vertical="top"/>
    </xf>
    <xf applyAlignment="true" applyBorder="true" applyFill="false" applyFont="false" applyNumberFormat="true" borderId="2004" fillId="0" fontId="1" numFmtId="1000" quotePrefix="false">
      <alignment horizontal="center" vertical="top"/>
    </xf>
    <xf applyAlignment="true" applyBorder="true" applyFill="false" applyFont="false" applyNumberFormat="true" borderId="2005" fillId="0" fontId="1" numFmtId="1000" quotePrefix="false">
      <alignment horizontal="center" vertical="top"/>
    </xf>
    <xf applyAlignment="true" applyBorder="true" applyFill="false" applyFont="false" applyNumberFormat="true" borderId="2006" fillId="0" fontId="1" numFmtId="1000" quotePrefix="false">
      <alignment horizontal="center" vertical="top"/>
    </xf>
    <xf applyAlignment="true" applyBorder="true" applyFill="false" applyFont="false" applyNumberFormat="true" borderId="2007" fillId="0" fontId="1" numFmtId="1000" quotePrefix="false">
      <alignment horizontal="center" vertical="top"/>
    </xf>
    <xf applyAlignment="true" applyBorder="true" applyFill="false" applyFont="false" applyNumberFormat="true" borderId="2008" fillId="0" fontId="1" numFmtId="1000" quotePrefix="false">
      <alignment horizontal="center" vertical="top"/>
    </xf>
    <xf applyAlignment="true" applyBorder="true" applyFill="false" applyFont="false" applyNumberFormat="true" borderId="2009" fillId="0" fontId="1" numFmtId="1000" quotePrefix="false">
      <alignment horizontal="center" vertical="top"/>
    </xf>
    <xf applyAlignment="true" applyBorder="true" applyFill="false" applyFont="false" applyNumberFormat="true" borderId="2010" fillId="0" fontId="1" numFmtId="1000" quotePrefix="false">
      <alignment horizontal="center" vertical="top"/>
    </xf>
    <xf applyAlignment="true" applyBorder="true" applyFill="false" applyFont="false" applyNumberFormat="true" borderId="2011" fillId="0" fontId="1" numFmtId="1000" quotePrefix="false">
      <alignment horizontal="center" vertical="top"/>
    </xf>
    <xf applyAlignment="true" applyBorder="true" applyFill="false" applyFont="false" applyNumberFormat="true" borderId="2012" fillId="0" fontId="1" numFmtId="1000" quotePrefix="false">
      <alignment horizontal="center" vertical="top"/>
    </xf>
    <xf applyAlignment="true" applyBorder="true" applyFill="false" applyFont="false" applyNumberFormat="true" borderId="2013" fillId="0" fontId="1" numFmtId="1000" quotePrefix="false">
      <alignment horizontal="center" vertical="top"/>
    </xf>
    <xf applyAlignment="true" applyBorder="true" applyFill="false" applyFont="false" applyNumberFormat="true" borderId="2014" fillId="0" fontId="1" numFmtId="1000" quotePrefix="false">
      <alignment horizontal="center" vertical="top"/>
    </xf>
    <xf applyAlignment="true" applyBorder="true" applyFill="false" applyFont="true" applyNumberFormat="true" borderId="2015" fillId="0" fontId="13" numFmtId="1000" quotePrefix="false">
      <alignment horizontal="center" vertical="top"/>
    </xf>
    <xf applyAlignment="true" applyBorder="true" applyFill="false" applyFont="true" applyNumberFormat="true" borderId="2016" fillId="0" fontId="13" numFmtId="1000" quotePrefix="false">
      <alignment horizontal="center" vertical="top"/>
    </xf>
    <xf applyAlignment="true" applyBorder="true" applyFill="false" applyFont="true" applyNumberFormat="true" borderId="2017" fillId="0" fontId="13" numFmtId="1000" quotePrefix="false">
      <alignment horizontal="center" vertical="top"/>
    </xf>
    <xf applyAlignment="true" applyBorder="true" applyFill="false" applyFont="false" applyNumberFormat="true" borderId="2018" fillId="0" fontId="1" numFmtId="1000" quotePrefix="false">
      <alignment horizontal="center" vertical="top"/>
    </xf>
    <xf applyAlignment="true" applyBorder="true" applyFill="false" applyFont="false" applyNumberFormat="true" borderId="2019" fillId="0" fontId="1" numFmtId="1000" quotePrefix="false">
      <alignment horizontal="center" vertical="top"/>
    </xf>
    <xf applyAlignment="true" applyBorder="true" applyFill="false" applyFont="false" applyNumberFormat="true" borderId="2020" fillId="0" fontId="1" numFmtId="1000" quotePrefix="false">
      <alignment horizontal="center" vertical="top"/>
    </xf>
    <xf applyAlignment="true" applyBorder="true" applyFill="false" applyFont="false" applyNumberFormat="true" borderId="2021" fillId="0" fontId="1" numFmtId="1000" quotePrefix="false">
      <alignment horizontal="center" vertical="top"/>
    </xf>
    <xf applyAlignment="true" applyBorder="true" applyFill="false" applyFont="false" applyNumberFormat="true" borderId="2022" fillId="0" fontId="1" numFmtId="1000" quotePrefix="false">
      <alignment horizontal="center" vertical="top"/>
    </xf>
    <xf applyAlignment="true" applyBorder="true" applyFill="false" applyFont="false" applyNumberFormat="true" borderId="2023" fillId="0" fontId="1" numFmtId="1000" quotePrefix="false">
      <alignment horizontal="center" vertical="top"/>
    </xf>
    <xf applyAlignment="true" applyBorder="true" applyFill="false" applyFont="true" applyNumberFormat="true" borderId="2024" fillId="0" fontId="13" numFmtId="1000" quotePrefix="false">
      <alignment horizontal="center" vertical="top"/>
    </xf>
    <xf applyAlignment="true" applyBorder="true" applyFill="false" applyFont="true" applyNumberFormat="true" borderId="2025" fillId="0" fontId="13" numFmtId="1000" quotePrefix="false">
      <alignment horizontal="center" vertical="top"/>
    </xf>
    <xf applyAlignment="true" applyBorder="true" applyFill="false" applyFont="true" applyNumberFormat="true" borderId="2026" fillId="0" fontId="13" numFmtId="1000" quotePrefix="false">
      <alignment horizontal="center" vertical="top"/>
    </xf>
    <xf applyAlignment="true" applyBorder="true" applyFill="false" applyFont="true" applyNumberFormat="true" borderId="2027" fillId="0" fontId="13" numFmtId="1000" quotePrefix="false">
      <alignment horizontal="center" vertical="top"/>
    </xf>
    <xf applyAlignment="true" applyBorder="true" applyFill="false" applyFont="true" applyNumberFormat="true" borderId="2028" fillId="0" fontId="13" numFmtId="1000" quotePrefix="false">
      <alignment horizontal="center" vertical="top"/>
    </xf>
    <xf applyAlignment="true" applyBorder="true" applyFill="false" applyFont="true" applyNumberFormat="true" borderId="2029" fillId="0" fontId="13" numFmtId="1000" quotePrefix="false">
      <alignment horizontal="center" vertical="top"/>
    </xf>
    <xf applyAlignment="true" applyBorder="true" applyFill="false" applyFont="false" applyNumberFormat="true" borderId="2030" fillId="0" fontId="1" numFmtId="1000" quotePrefix="false">
      <alignment horizontal="center" vertical="top"/>
    </xf>
    <xf applyAlignment="true" applyBorder="true" applyFill="false" applyFont="true" applyNumberFormat="true" borderId="2031" fillId="0" fontId="13" numFmtId="1000" quotePrefix="false">
      <alignment horizontal="center" vertical="top"/>
    </xf>
    <xf applyAlignment="true" applyBorder="true" applyFill="false" applyFont="true" applyNumberFormat="true" borderId="2032" fillId="0" fontId="13" numFmtId="1000" quotePrefix="false">
      <alignment horizontal="center" vertical="top"/>
    </xf>
    <xf applyAlignment="true" applyBorder="true" applyFill="false" applyFont="false" applyNumberFormat="true" borderId="2033" fillId="0" fontId="1" numFmtId="1000" quotePrefix="false">
      <alignment horizontal="center" vertical="top"/>
    </xf>
    <xf applyAlignment="true" applyBorder="true" applyFill="false" applyFont="false" applyNumberFormat="true" borderId="2034" fillId="0" fontId="1" numFmtId="1000" quotePrefix="false">
      <alignment horizontal="center" vertical="top"/>
    </xf>
    <xf applyAlignment="true" applyBorder="true" applyFill="false" applyFont="false" applyNumberFormat="true" borderId="2035" fillId="0" fontId="1" numFmtId="1000" quotePrefix="false">
      <alignment horizontal="center" vertical="top"/>
    </xf>
    <xf applyAlignment="true" applyBorder="true" applyFill="false" applyFont="false" applyNumberFormat="true" borderId="2036" fillId="0" fontId="1" numFmtId="1000" quotePrefix="false">
      <alignment horizontal="center" vertical="top"/>
    </xf>
    <xf applyAlignment="true" applyBorder="true" applyFill="false" applyFont="true" applyNumberFormat="true" borderId="2037" fillId="0" fontId="13" numFmtId="1000" quotePrefix="false">
      <alignment horizontal="center" vertical="top"/>
    </xf>
    <xf applyAlignment="true" applyBorder="true" applyFill="false" applyFont="true" applyNumberFormat="true" borderId="2038" fillId="0" fontId="13" numFmtId="1000" quotePrefix="false">
      <alignment horizontal="center" vertical="top"/>
    </xf>
    <xf applyAlignment="true" applyBorder="true" applyFill="false" applyFont="true" applyNumberFormat="true" borderId="2039" fillId="0" fontId="13" numFmtId="1000" quotePrefix="false">
      <alignment horizontal="center" vertical="top"/>
    </xf>
    <xf applyAlignment="true" applyBorder="true" applyFill="false" applyFont="true" applyNumberFormat="true" borderId="2040" fillId="0" fontId="13" numFmtId="1000" quotePrefix="false">
      <alignment horizontal="center" vertical="top"/>
    </xf>
    <xf applyAlignment="true" applyBorder="true" applyFill="false" applyFont="false" applyNumberFormat="true" borderId="2041" fillId="0" fontId="1" numFmtId="1000" quotePrefix="false">
      <alignment horizontal="center" vertical="top"/>
    </xf>
    <xf applyAlignment="true" applyBorder="true" applyFill="false" applyFont="false" applyNumberFormat="true" borderId="2042" fillId="0" fontId="1" numFmtId="1000" quotePrefix="false">
      <alignment horizontal="center" vertical="top"/>
    </xf>
    <xf applyAlignment="true" applyBorder="true" applyFill="false" applyFont="true" applyNumberFormat="true" borderId="2043" fillId="0" fontId="13" numFmtId="1000" quotePrefix="false">
      <alignment horizontal="center" vertical="top"/>
    </xf>
    <xf applyAlignment="true" applyBorder="true" applyFill="false" applyFont="true" applyNumberFormat="true" borderId="2044" fillId="0" fontId="13" numFmtId="1000" quotePrefix="false">
      <alignment horizontal="center" vertical="top"/>
    </xf>
    <xf applyAlignment="true" applyBorder="true" applyFill="false" applyFont="false" applyNumberFormat="true" borderId="2045" fillId="0" fontId="1" numFmtId="1000" quotePrefix="false">
      <alignment horizontal="center" vertical="top"/>
    </xf>
    <xf applyAlignment="true" applyBorder="true" applyFill="false" applyFont="false" applyNumberFormat="true" borderId="2046" fillId="0" fontId="1" numFmtId="1000" quotePrefix="false">
      <alignment horizontal="center" vertical="top"/>
    </xf>
    <xf applyAlignment="true" applyBorder="true" applyFill="false" applyFont="false" applyNumberFormat="true" borderId="2047" fillId="0" fontId="1" numFmtId="1000" quotePrefix="false">
      <alignment horizontal="center" vertical="top"/>
    </xf>
    <xf applyAlignment="true" applyBorder="true" applyFill="false" applyFont="false" applyNumberFormat="true" borderId="2048" fillId="0" fontId="1" numFmtId="1000" quotePrefix="false">
      <alignment horizontal="center" vertical="top"/>
    </xf>
    <xf applyAlignment="true" applyBorder="true" applyFill="false" applyFont="true" applyNumberFormat="true" borderId="2049" fillId="0" fontId="13" numFmtId="1000" quotePrefix="false">
      <alignment horizontal="center" vertical="top"/>
    </xf>
    <xf applyAlignment="true" applyBorder="true" applyFill="false" applyFont="true" applyNumberFormat="true" borderId="2050" fillId="0" fontId="13" numFmtId="1000" quotePrefix="false">
      <alignment horizontal="center" vertical="top"/>
    </xf>
    <xf applyAlignment="true" applyBorder="true" applyFill="false" applyFont="true" applyNumberFormat="true" borderId="2051" fillId="0" fontId="13" numFmtId="1000" quotePrefix="false">
      <alignment horizontal="center" vertical="top"/>
    </xf>
    <xf applyAlignment="true" applyBorder="true" applyFill="false" applyFont="true" applyNumberFormat="true" borderId="2052" fillId="0" fontId="13" numFmtId="1000" quotePrefix="false">
      <alignment horizontal="center" vertical="top"/>
    </xf>
    <xf applyAlignment="true" applyBorder="true" applyFill="false" applyFont="false" applyNumberFormat="true" borderId="2053" fillId="0" fontId="1" numFmtId="1000" quotePrefix="false">
      <alignment horizontal="center" vertical="top"/>
    </xf>
    <xf applyAlignment="true" applyBorder="true" applyFill="false" applyFont="false" applyNumberFormat="true" borderId="2054" fillId="0" fontId="1" numFmtId="1000" quotePrefix="false">
      <alignment horizontal="center" vertical="top"/>
    </xf>
    <xf applyAlignment="true" applyBorder="true" applyFill="false" applyFont="true" applyNumberFormat="true" borderId="2055" fillId="0" fontId="13" numFmtId="1000" quotePrefix="false">
      <alignment horizontal="center" vertical="top"/>
    </xf>
    <xf applyAlignment="true" applyBorder="true" applyFill="false" applyFont="true" applyNumberFormat="true" borderId="2056" fillId="0" fontId="13" numFmtId="1000" quotePrefix="false">
      <alignment horizontal="center" vertical="top"/>
    </xf>
    <xf applyAlignment="true" applyBorder="true" applyFill="false" applyFont="false" applyNumberFormat="true" borderId="2057" fillId="0" fontId="1" numFmtId="1000" quotePrefix="false">
      <alignment horizontal="center" vertical="top"/>
    </xf>
    <xf applyAlignment="true" applyBorder="true" applyFill="false" applyFont="false" applyNumberFormat="true" borderId="2058" fillId="0" fontId="1" numFmtId="1000" quotePrefix="false">
      <alignment horizontal="center" vertical="top"/>
    </xf>
    <xf applyAlignment="true" applyBorder="true" applyFill="false" applyFont="false" applyNumberFormat="true" borderId="2059" fillId="0" fontId="1" numFmtId="1000" quotePrefix="false">
      <alignment horizontal="center" vertical="top"/>
    </xf>
    <xf applyAlignment="true" applyBorder="true" applyFill="false" applyFont="false" applyNumberFormat="true" borderId="2060" fillId="0" fontId="1" numFmtId="1000" quotePrefix="false">
      <alignment horizontal="center" vertical="top"/>
    </xf>
    <xf applyAlignment="true" applyBorder="true" applyFill="false" applyFont="true" applyNumberFormat="true" borderId="2061" fillId="0" fontId="13" numFmtId="1000" quotePrefix="false">
      <alignment horizontal="center" vertical="top"/>
    </xf>
    <xf applyAlignment="true" applyBorder="true" applyFill="false" applyFont="true" applyNumberFormat="true" borderId="2062" fillId="0" fontId="13" numFmtId="1000" quotePrefix="false">
      <alignment horizontal="center" vertical="top"/>
    </xf>
    <xf applyAlignment="true" applyBorder="true" applyFill="false" applyFont="true" applyNumberFormat="true" borderId="2063" fillId="0" fontId="13" numFmtId="1000" quotePrefix="false">
      <alignment horizontal="center" vertical="top"/>
    </xf>
    <xf applyAlignment="true" applyBorder="true" applyFill="false" applyFont="true" applyNumberFormat="true" borderId="2064" fillId="0" fontId="13" numFmtId="1000" quotePrefix="false">
      <alignment horizontal="center" vertical="top"/>
    </xf>
    <xf applyAlignment="true" applyBorder="true" applyFill="false" applyFont="false" applyNumberFormat="true" borderId="2065" fillId="0" fontId="1" numFmtId="1000" quotePrefix="false">
      <alignment horizontal="center" vertical="top"/>
    </xf>
    <xf applyAlignment="true" applyBorder="true" applyFill="false" applyFont="false" applyNumberFormat="true" borderId="2066" fillId="0" fontId="1" numFmtId="1000" quotePrefix="false">
      <alignment horizontal="center" vertical="top"/>
    </xf>
    <xf applyAlignment="true" applyBorder="true" applyFill="false" applyFont="true" applyNumberFormat="true" borderId="2067" fillId="0" fontId="13" numFmtId="1000" quotePrefix="false">
      <alignment horizontal="center" vertical="top"/>
    </xf>
    <xf applyAlignment="true" applyBorder="true" applyFill="false" applyFont="true" applyNumberFormat="true" borderId="2068" fillId="0" fontId="13" numFmtId="1000" quotePrefix="false">
      <alignment horizontal="center" vertical="top"/>
    </xf>
    <xf applyAlignment="true" applyBorder="true" applyFill="false" applyFont="false" applyNumberFormat="true" borderId="2069" fillId="0" fontId="1" numFmtId="1000" quotePrefix="false">
      <alignment horizontal="center" vertical="top"/>
    </xf>
    <xf applyAlignment="true" applyBorder="true" applyFill="false" applyFont="false" applyNumberFormat="true" borderId="2070" fillId="0" fontId="1" numFmtId="1000" quotePrefix="false">
      <alignment horizontal="center" vertical="top"/>
    </xf>
    <xf applyAlignment="true" applyBorder="true" applyFill="false" applyFont="false" applyNumberFormat="true" borderId="2071" fillId="0" fontId="1" numFmtId="1000" quotePrefix="false">
      <alignment horizontal="center" vertical="top"/>
    </xf>
    <xf applyAlignment="true" applyBorder="true" applyFill="false" applyFont="false" applyNumberFormat="true" borderId="2072" fillId="0" fontId="1" numFmtId="1000" quotePrefix="false">
      <alignment horizontal="center" vertical="top"/>
    </xf>
    <xf applyAlignment="true" applyBorder="true" applyFill="false" applyFont="true" applyNumberFormat="true" borderId="2073" fillId="0" fontId="13" numFmtId="1000" quotePrefix="false">
      <alignment horizontal="center" vertical="top"/>
    </xf>
    <xf applyAlignment="true" applyBorder="true" applyFill="false" applyFont="true" applyNumberFormat="true" borderId="2074" fillId="0" fontId="13" numFmtId="1000" quotePrefix="false">
      <alignment horizontal="center" vertical="top"/>
    </xf>
    <xf applyAlignment="true" applyBorder="true" applyFill="false" applyFont="true" applyNumberFormat="true" borderId="2075" fillId="0" fontId="13" numFmtId="1000" quotePrefix="false">
      <alignment horizontal="center" vertical="top"/>
    </xf>
    <xf applyAlignment="true" applyBorder="true" applyFill="false" applyFont="true" applyNumberFormat="true" borderId="2076" fillId="0" fontId="13" numFmtId="1000" quotePrefix="false">
      <alignment horizontal="center" vertical="top"/>
    </xf>
    <xf applyAlignment="true" applyBorder="true" applyFill="false" applyFont="false" applyNumberFormat="true" borderId="2077" fillId="0" fontId="1" numFmtId="1000" quotePrefix="false">
      <alignment horizontal="center" vertical="top"/>
    </xf>
    <xf applyAlignment="true" applyBorder="true" applyFill="false" applyFont="false" applyNumberFormat="true" borderId="2078" fillId="0" fontId="1" numFmtId="1000" quotePrefix="false">
      <alignment horizontal="center" vertical="top"/>
    </xf>
    <xf applyAlignment="true" applyBorder="true" applyFill="true" applyFont="false" applyNumberFormat="true" borderId="102" fillId="18" fontId="1" numFmtId="1000" quotePrefix="false">
      <alignment horizontal="center"/>
    </xf>
    <xf applyAlignment="true" applyBorder="true" applyFill="false" applyFont="false" applyNumberFormat="true" borderId="103" fillId="0" fontId="1" numFmtId="1000" quotePrefix="false">
      <alignment horizontal="center"/>
    </xf>
    <xf applyAlignment="true" applyBorder="true" applyFill="false" applyFont="true" applyNumberFormat="true" borderId="2079" fillId="0" fontId="13" numFmtId="1000" quotePrefix="false">
      <alignment horizontal="center" vertical="top"/>
    </xf>
    <xf applyAlignment="true" applyBorder="true" applyFill="false" applyFont="true" applyNumberFormat="true" borderId="2080" fillId="0" fontId="13" numFmtId="1000" quotePrefix="false">
      <alignment horizontal="center" vertical="top"/>
    </xf>
    <xf applyAlignment="true" applyBorder="true" applyFill="false" applyFont="false" applyNumberFormat="true" borderId="2081" fillId="0" fontId="1" numFmtId="1000" quotePrefix="false">
      <alignment horizontal="center" vertical="top"/>
    </xf>
    <xf applyAlignment="true" applyBorder="true" applyFill="false" applyFont="false" applyNumberFormat="true" borderId="2082" fillId="0" fontId="1" numFmtId="1000" quotePrefix="false">
      <alignment horizontal="center" vertical="top"/>
    </xf>
    <xf applyAlignment="true" applyBorder="true" applyFill="false" applyFont="false" applyNumberFormat="true" borderId="2083" fillId="0" fontId="1" numFmtId="1000" quotePrefix="false">
      <alignment horizontal="center" vertical="top"/>
    </xf>
    <xf applyAlignment="true" applyBorder="true" applyFill="false" applyFont="false" applyNumberFormat="true" borderId="2084" fillId="0" fontId="1" numFmtId="1000" quotePrefix="false">
      <alignment horizontal="center" vertical="top"/>
    </xf>
    <xf applyAlignment="true" applyBorder="true" applyFill="false" applyFont="true" applyNumberFormat="true" borderId="2085" fillId="0" fontId="13" numFmtId="1000" quotePrefix="false">
      <alignment horizontal="center" vertical="top"/>
    </xf>
    <xf applyAlignment="true" applyBorder="true" applyFill="false" applyFont="true" applyNumberFormat="true" borderId="2086" fillId="0" fontId="13" numFmtId="1000" quotePrefix="false">
      <alignment horizontal="center" vertical="top"/>
    </xf>
    <xf applyAlignment="true" applyBorder="true" applyFill="false" applyFont="true" applyNumberFormat="true" borderId="2087" fillId="0" fontId="13" numFmtId="1000" quotePrefix="false">
      <alignment horizontal="center" vertical="top"/>
    </xf>
    <xf applyAlignment="true" applyBorder="true" applyFill="false" applyFont="true" applyNumberFormat="true" borderId="2088" fillId="0" fontId="13" numFmtId="1000" quotePrefix="false">
      <alignment horizontal="center" vertical="top"/>
    </xf>
    <xf applyAlignment="true" applyBorder="true" applyFill="false" applyFont="false" applyNumberFormat="true" borderId="2089" fillId="0" fontId="1" numFmtId="1000" quotePrefix="false">
      <alignment horizontal="center" vertical="top"/>
    </xf>
    <xf applyAlignment="true" applyBorder="true" applyFill="false" applyFont="false" applyNumberFormat="true" borderId="2090" fillId="0" fontId="1" numFmtId="1000" quotePrefix="false">
      <alignment horizontal="center" vertical="top"/>
    </xf>
    <xf applyAlignment="true" applyBorder="true" applyFill="false" applyFont="true" applyNumberFormat="true" borderId="2091" fillId="0" fontId="13" numFmtId="1000" quotePrefix="false">
      <alignment horizontal="center" vertical="top"/>
    </xf>
    <xf applyAlignment="true" applyBorder="true" applyFill="false" applyFont="true" applyNumberFormat="true" borderId="2092" fillId="0" fontId="13" numFmtId="1000" quotePrefix="false">
      <alignment horizontal="center" vertical="top"/>
    </xf>
    <xf applyAlignment="true" applyBorder="true" applyFill="false" applyFont="false" applyNumberFormat="true" borderId="2093" fillId="0" fontId="1" numFmtId="1000" quotePrefix="false">
      <alignment horizontal="center" vertical="top"/>
    </xf>
    <xf applyAlignment="true" applyBorder="true" applyFill="false" applyFont="false" applyNumberFormat="true" borderId="2094" fillId="0" fontId="1" numFmtId="1000" quotePrefix="false">
      <alignment horizontal="center" vertical="top"/>
    </xf>
    <xf applyAlignment="true" applyBorder="true" applyFill="false" applyFont="false" applyNumberFormat="true" borderId="2095" fillId="0" fontId="1" numFmtId="1000" quotePrefix="false">
      <alignment horizontal="center" vertical="top"/>
    </xf>
    <xf applyAlignment="true" applyBorder="true" applyFill="false" applyFont="false" applyNumberFormat="true" borderId="2096" fillId="0" fontId="1" numFmtId="1000" quotePrefix="false">
      <alignment horizontal="center" vertical="top"/>
    </xf>
    <xf applyAlignment="true" applyBorder="true" applyFill="false" applyFont="true" applyNumberFormat="true" borderId="2097" fillId="0" fontId="13" numFmtId="1000" quotePrefix="false">
      <alignment horizontal="center" vertical="top"/>
    </xf>
    <xf applyAlignment="true" applyBorder="true" applyFill="false" applyFont="true" applyNumberFormat="true" borderId="2098" fillId="0" fontId="13" numFmtId="1000" quotePrefix="false">
      <alignment horizontal="center" vertical="top"/>
    </xf>
    <xf applyAlignment="true" applyBorder="true" applyFill="false" applyFont="true" applyNumberFormat="true" borderId="2099" fillId="0" fontId="13" numFmtId="1000" quotePrefix="false">
      <alignment horizontal="center" vertical="top"/>
    </xf>
    <xf applyAlignment="true" applyBorder="true" applyFill="false" applyFont="true" applyNumberFormat="true" borderId="2100" fillId="0" fontId="13" numFmtId="1000" quotePrefix="false">
      <alignment horizontal="center" vertical="top"/>
    </xf>
    <xf applyAlignment="true" applyBorder="true" applyFill="false" applyFont="false" applyNumberFormat="true" borderId="2101" fillId="0" fontId="1" numFmtId="1000" quotePrefix="false">
      <alignment horizontal="center" vertical="top"/>
    </xf>
    <xf applyAlignment="true" applyBorder="true" applyFill="false" applyFont="false" applyNumberFormat="true" borderId="2102" fillId="0" fontId="1" numFmtId="1000" quotePrefix="false">
      <alignment horizontal="center" vertical="top"/>
    </xf>
    <xf applyAlignment="true" applyBorder="true" applyFill="false" applyFont="true" applyNumberFormat="true" borderId="2103" fillId="0" fontId="13" numFmtId="1000" quotePrefix="false">
      <alignment horizontal="center" vertical="top"/>
    </xf>
    <xf applyAlignment="true" applyBorder="true" applyFill="false" applyFont="true" applyNumberFormat="true" borderId="2104" fillId="0" fontId="13" numFmtId="1000" quotePrefix="false">
      <alignment horizontal="center" vertical="top"/>
    </xf>
    <xf applyAlignment="true" applyBorder="true" applyFill="false" applyFont="false" applyNumberFormat="true" borderId="2105" fillId="0" fontId="1" numFmtId="1000" quotePrefix="false">
      <alignment horizontal="center" vertical="top"/>
    </xf>
    <xf applyAlignment="true" applyBorder="true" applyFill="false" applyFont="false" applyNumberFormat="true" borderId="2106" fillId="0" fontId="1" numFmtId="1000" quotePrefix="false">
      <alignment horizontal="center" vertical="top"/>
    </xf>
    <xf applyAlignment="true" applyBorder="true" applyFill="false" applyFont="false" applyNumberFormat="true" borderId="2107" fillId="0" fontId="1" numFmtId="1000" quotePrefix="false">
      <alignment horizontal="center" vertical="top"/>
    </xf>
    <xf applyAlignment="true" applyBorder="true" applyFill="false" applyFont="false" applyNumberFormat="true" borderId="2108" fillId="0" fontId="1" numFmtId="1000" quotePrefix="false">
      <alignment horizontal="center" vertical="top"/>
    </xf>
    <xf applyAlignment="true" applyBorder="true" applyFill="false" applyFont="true" applyNumberFormat="true" borderId="2109" fillId="0" fontId="13" numFmtId="1000" quotePrefix="false">
      <alignment horizontal="center" vertical="top"/>
    </xf>
    <xf applyAlignment="true" applyBorder="true" applyFill="false" applyFont="true" applyNumberFormat="true" borderId="2110" fillId="0" fontId="13" numFmtId="1000" quotePrefix="false">
      <alignment horizontal="center" vertical="top"/>
    </xf>
    <xf applyAlignment="true" applyBorder="true" applyFill="false" applyFont="true" applyNumberFormat="true" borderId="2111" fillId="0" fontId="13" numFmtId="1000" quotePrefix="false">
      <alignment horizontal="center" vertical="top"/>
    </xf>
    <xf applyAlignment="true" applyBorder="true" applyFill="false" applyFont="true" applyNumberFormat="true" borderId="2112" fillId="0" fontId="13" numFmtId="1000" quotePrefix="false">
      <alignment horizontal="center" vertical="top"/>
    </xf>
    <xf applyAlignment="true" applyBorder="true" applyFill="false" applyFont="false" applyNumberFormat="true" borderId="2113" fillId="0" fontId="1" numFmtId="1000" quotePrefix="false">
      <alignment horizontal="center" vertical="top"/>
    </xf>
    <xf applyAlignment="true" applyBorder="true" applyFill="false" applyFont="false" applyNumberFormat="true" borderId="2114" fillId="0" fontId="1" numFmtId="1000" quotePrefix="false">
      <alignment horizontal="center" vertical="top"/>
    </xf>
    <xf applyAlignment="true" applyBorder="true" applyFill="false" applyFont="true" applyNumberFormat="true" borderId="2115" fillId="0" fontId="13" numFmtId="1000" quotePrefix="false">
      <alignment horizontal="center" vertical="top"/>
    </xf>
    <xf applyAlignment="true" applyBorder="true" applyFill="false" applyFont="true" applyNumberFormat="true" borderId="2116" fillId="0" fontId="13" numFmtId="1000" quotePrefix="false">
      <alignment horizontal="center" vertical="top"/>
    </xf>
    <xf applyAlignment="true" applyBorder="true" applyFill="false" applyFont="true" applyNumberFormat="true" borderId="2117" fillId="0" fontId="13" numFmtId="1000" quotePrefix="false">
      <alignment horizontal="center" vertical="top"/>
    </xf>
    <xf applyAlignment="true" applyBorder="true" applyFill="false" applyFont="true" applyNumberFormat="true" borderId="2118" fillId="0" fontId="13" numFmtId="1000" quotePrefix="false">
      <alignment horizontal="center" vertical="top"/>
    </xf>
    <xf applyAlignment="true" applyBorder="true" applyFill="false" applyFont="false" applyNumberFormat="true" borderId="2119" fillId="0" fontId="1" numFmtId="1000" quotePrefix="false">
      <alignment horizontal="center" vertical="top"/>
    </xf>
    <xf applyAlignment="true" applyBorder="true" applyFill="false" applyFont="false" applyNumberFormat="true" borderId="2120" fillId="0" fontId="1" numFmtId="1000" quotePrefix="false">
      <alignment horizontal="center" vertical="top"/>
    </xf>
    <xf applyAlignment="true" applyBorder="true" applyFill="false" applyFont="false" applyNumberFormat="true" borderId="2121" fillId="0" fontId="1" numFmtId="1000" quotePrefix="false">
      <alignment horizontal="center" vertical="top"/>
    </xf>
    <xf applyAlignment="true" applyBorder="true" applyFill="false" applyFont="false" applyNumberFormat="true" borderId="2122" fillId="0" fontId="1" numFmtId="1000" quotePrefix="false">
      <alignment horizontal="center" vertical="top"/>
    </xf>
    <xf applyAlignment="true" applyBorder="true" applyFill="false" applyFont="false" applyNumberFormat="true" borderId="2123" fillId="0" fontId="1" numFmtId="1000" quotePrefix="false">
      <alignment horizontal="center" vertical="top"/>
    </xf>
    <xf applyAlignment="true" applyBorder="true" applyFill="false" applyFont="false" applyNumberFormat="true" borderId="2124" fillId="0" fontId="1" numFmtId="1000" quotePrefix="false">
      <alignment horizontal="center" vertical="top"/>
    </xf>
    <xf applyAlignment="true" applyBorder="true" applyFill="false" applyFont="false" applyNumberFormat="true" borderId="2125" fillId="0" fontId="1" numFmtId="1000" quotePrefix="false">
      <alignment horizontal="center" vertical="top"/>
    </xf>
    <xf applyAlignment="true" applyBorder="true" applyFill="false" applyFont="false" applyNumberFormat="true" borderId="2126" fillId="0" fontId="1" numFmtId="1000" quotePrefix="false">
      <alignment horizontal="center" vertical="top"/>
    </xf>
    <xf applyAlignment="true" applyBorder="true" applyFill="false" applyFont="true" applyNumberFormat="true" borderId="2127" fillId="0" fontId="13" numFmtId="1000" quotePrefix="false">
      <alignment horizontal="center" vertical="top"/>
    </xf>
    <xf applyAlignment="true" applyBorder="true" applyFill="false" applyFont="true" applyNumberFormat="true" borderId="2128" fillId="0" fontId="13" numFmtId="1000" quotePrefix="false">
      <alignment horizontal="center" vertical="top"/>
    </xf>
    <xf applyAlignment="true" applyBorder="true" applyFill="false" applyFont="true" applyNumberFormat="true" borderId="2129" fillId="0" fontId="13" numFmtId="1000" quotePrefix="false">
      <alignment horizontal="center" vertical="top"/>
    </xf>
    <xf applyAlignment="true" applyBorder="true" applyFill="false" applyFont="true" applyNumberFormat="true" borderId="2130" fillId="0" fontId="13" numFmtId="1000" quotePrefix="false">
      <alignment horizontal="center" vertical="top"/>
    </xf>
    <xf applyAlignment="true" applyBorder="true" applyFill="false" applyFont="true" applyNumberFormat="true" borderId="2131" fillId="0" fontId="13" numFmtId="1000" quotePrefix="false">
      <alignment horizontal="center" vertical="top"/>
    </xf>
    <xf applyAlignment="true" applyBorder="true" applyFill="false" applyFont="true" applyNumberFormat="true" borderId="2132" fillId="0" fontId="13" numFmtId="1000" quotePrefix="false">
      <alignment horizontal="center" vertical="top"/>
    </xf>
    <xf applyAlignment="true" applyBorder="true" applyFill="false" applyFont="true" applyNumberFormat="true" borderId="2133" fillId="0" fontId="13" numFmtId="1000" quotePrefix="false">
      <alignment horizontal="center" vertical="top"/>
    </xf>
    <xf applyAlignment="true" applyBorder="true" applyFill="false" applyFont="true" applyNumberFormat="true" borderId="2134" fillId="0" fontId="13" numFmtId="1000" quotePrefix="false">
      <alignment horizontal="center" vertical="top"/>
    </xf>
    <xf applyAlignment="true" applyBorder="true" applyFill="false" applyFont="false" applyNumberFormat="true" borderId="2135" fillId="0" fontId="1" numFmtId="1000" quotePrefix="false">
      <alignment horizontal="center" vertical="top"/>
    </xf>
    <xf applyAlignment="true" applyBorder="true" applyFill="false" applyFont="false" applyNumberFormat="true" borderId="2136" fillId="0" fontId="1" numFmtId="1000" quotePrefix="false">
      <alignment horizontal="center" vertical="top"/>
    </xf>
    <xf applyAlignment="true" applyBorder="true" applyFill="false" applyFont="true" applyNumberFormat="true" borderId="2137" fillId="0" fontId="2" numFmtId="1000" quotePrefix="false">
      <alignment horizontal="center" vertical="top"/>
    </xf>
    <xf applyAlignment="true" applyBorder="true" applyFill="false" applyFont="false" applyNumberFormat="true" borderId="2138" fillId="0" fontId="1" numFmtId="1000" quotePrefix="false">
      <alignment horizontal="left" vertical="top"/>
    </xf>
    <xf applyAlignment="true" applyBorder="true" applyFill="false" applyFont="false" applyNumberFormat="true" borderId="2139" fillId="0" fontId="1" numFmtId="1000" quotePrefix="false">
      <alignment horizontal="left" vertical="top"/>
    </xf>
    <xf applyAlignment="true" applyBorder="true" applyFill="false" applyFont="false" applyNumberFormat="true" borderId="2140" fillId="0" fontId="1" numFmtId="1000" quotePrefix="false">
      <alignment horizontal="left" vertical="top"/>
    </xf>
    <xf applyAlignment="true" applyBorder="true" applyFill="false" applyFont="false" applyNumberFormat="true" borderId="2141" fillId="0" fontId="1" numFmtId="1000" quotePrefix="false">
      <alignment horizontal="left" vertical="top"/>
    </xf>
    <xf applyAlignment="true" applyBorder="true" applyFill="false" applyFont="false" applyNumberFormat="true" borderId="2142" fillId="0" fontId="1" numFmtId="1000" quotePrefix="false">
      <alignment horizontal="left" vertical="top"/>
    </xf>
    <xf applyAlignment="true" applyBorder="true" applyFill="false" applyFont="false" applyNumberFormat="true" borderId="2143" fillId="0" fontId="1" numFmtId="1000" quotePrefix="false">
      <alignment horizontal="left" vertical="top"/>
    </xf>
    <xf applyAlignment="true" applyBorder="true" applyFill="false" applyFont="false" applyNumberFormat="true" borderId="2144" fillId="0" fontId="1" numFmtId="1000" quotePrefix="false">
      <alignment horizontal="left" vertical="top"/>
    </xf>
    <xf applyAlignment="true" applyBorder="true" applyFill="false" applyFont="false" applyNumberFormat="true" borderId="2145" fillId="0" fontId="1" numFmtId="1000" quotePrefix="false">
      <alignment horizontal="left" vertical="top"/>
    </xf>
    <xf applyAlignment="true" applyBorder="true" applyFill="false" applyFont="false" applyNumberFormat="true" borderId="2146" fillId="0" fontId="1" numFmtId="1000" quotePrefix="false">
      <alignment horizontal="left" vertical="top"/>
    </xf>
    <xf applyAlignment="true" applyBorder="true" applyFill="false" applyFont="false" applyNumberFormat="true" borderId="2147" fillId="0" fontId="1" numFmtId="1000" quotePrefix="false">
      <alignment horizontal="left" vertical="top"/>
    </xf>
    <xf applyAlignment="true" applyBorder="true" applyFill="false" applyFont="false" applyNumberFormat="true" borderId="2148" fillId="0" fontId="1" numFmtId="1000" quotePrefix="false">
      <alignment horizontal="left" vertical="top"/>
    </xf>
    <xf applyAlignment="true" applyBorder="true" applyFill="false" applyFont="false" applyNumberFormat="true" borderId="2149" fillId="0" fontId="1" numFmtId="1000" quotePrefix="false">
      <alignment horizontal="left" vertical="top"/>
    </xf>
    <xf applyAlignment="true" applyBorder="true" applyFill="false" applyFont="false" applyNumberFormat="true" borderId="2150" fillId="0" fontId="1" numFmtId="1000" quotePrefix="false">
      <alignment horizontal="left" vertical="top"/>
    </xf>
    <xf applyAlignment="true" applyBorder="true" applyFill="false" applyFont="false" applyNumberFormat="true" borderId="2151" fillId="0" fontId="1" numFmtId="1000" quotePrefix="false">
      <alignment horizontal="left" vertical="top"/>
    </xf>
    <xf applyAlignment="true" applyBorder="true" applyFill="false" applyFont="false" applyNumberFormat="true" borderId="2152" fillId="0" fontId="1" numFmtId="1000" quotePrefix="false">
      <alignment horizontal="left" vertical="top"/>
    </xf>
    <xf applyAlignment="true" applyBorder="true" applyFill="false" applyFont="false" applyNumberFormat="true" borderId="2153" fillId="0" fontId="1" numFmtId="1000" quotePrefix="false">
      <alignment horizontal="left" vertical="top"/>
    </xf>
    <xf applyAlignment="true" applyBorder="true" applyFill="false" applyFont="false" applyNumberFormat="true" borderId="2154" fillId="0" fontId="1" numFmtId="1000" quotePrefix="false">
      <alignment horizontal="left" vertical="top"/>
    </xf>
    <xf applyAlignment="true" applyBorder="true" applyFill="false" applyFont="false" applyNumberFormat="true" borderId="2155" fillId="0" fontId="1" numFmtId="1000" quotePrefix="false">
      <alignment horizontal="left" vertical="top"/>
    </xf>
    <xf applyAlignment="true" applyBorder="true" applyFill="false" applyFont="false" applyNumberFormat="true" borderId="2156" fillId="0" fontId="1" numFmtId="1000" quotePrefix="false">
      <alignment horizontal="left" vertical="top"/>
    </xf>
    <xf applyAlignment="true" applyBorder="true" applyFill="false" applyFont="true" applyNumberFormat="true" borderId="2157" fillId="0" fontId="2" numFmtId="1000" quotePrefix="false">
      <alignment horizontal="center"/>
    </xf>
    <xf applyAlignment="true" applyBorder="true" applyFill="false" applyFont="true" applyNumberFormat="true" borderId="2158" fillId="0" fontId="2" numFmtId="1000" quotePrefix="false">
      <alignment horizontal="center"/>
    </xf>
    <xf applyAlignment="true" applyBorder="true" applyFill="false" applyFont="true" applyNumberFormat="true" borderId="2159" fillId="0" fontId="2" numFmtId="1000" quotePrefix="false">
      <alignment horizontal="center"/>
    </xf>
    <xf applyAlignment="true" applyBorder="true" applyFill="false" applyFont="false" applyNumberFormat="true" borderId="2160" fillId="0" fontId="1" numFmtId="1000" quotePrefix="false">
      <alignment horizontal="center" vertical="top"/>
    </xf>
    <xf applyAlignment="true" applyBorder="true" applyFill="false" applyFont="false" applyNumberFormat="true" borderId="2161" fillId="0" fontId="1" numFmtId="1000" quotePrefix="false">
      <alignment horizontal="center" vertical="top"/>
    </xf>
    <xf applyAlignment="true" applyBorder="true" applyFill="false" applyFont="false" applyNumberFormat="true" borderId="2162" fillId="0" fontId="1" numFmtId="1000" quotePrefix="false">
      <alignment horizontal="center" vertical="top"/>
    </xf>
    <xf applyAlignment="true" applyBorder="true" applyFill="false" applyFont="false" applyNumberFormat="true" borderId="2163" fillId="0" fontId="1" numFmtId="1000" quotePrefix="false">
      <alignment horizontal="center" vertical="top"/>
    </xf>
    <xf applyAlignment="true" applyBorder="true" applyFill="false" applyFont="false" applyNumberFormat="true" borderId="2164" fillId="0" fontId="1" numFmtId="1000" quotePrefix="false">
      <alignment horizontal="center" vertical="top"/>
    </xf>
    <xf applyAlignment="true" applyBorder="true" applyFill="false" applyFont="false" applyNumberFormat="true" borderId="2165" fillId="0" fontId="1" numFmtId="1000" quotePrefix="false">
      <alignment horizontal="center" vertical="top"/>
    </xf>
    <xf applyAlignment="true" applyBorder="true" applyFill="false" applyFont="false" applyNumberFormat="true" borderId="2166" fillId="0" fontId="1" numFmtId="1000" quotePrefix="false">
      <alignment horizontal="center" vertical="top"/>
    </xf>
    <xf applyAlignment="true" applyBorder="true" applyFill="false" applyFont="false" applyNumberFormat="true" borderId="2167" fillId="0" fontId="1" numFmtId="1000" quotePrefix="false">
      <alignment horizontal="center" vertical="top"/>
    </xf>
    <xf applyAlignment="true" applyBorder="true" applyFill="false" applyFont="false" applyNumberFormat="true" borderId="2168" fillId="0" fontId="1" numFmtId="1000" quotePrefix="false">
      <alignment horizontal="center" vertical="top"/>
    </xf>
    <xf applyAlignment="true" applyBorder="true" applyFill="false" applyFont="false" applyNumberFormat="true" borderId="2169" fillId="0" fontId="1" numFmtId="1000" quotePrefix="false">
      <alignment horizontal="center" vertical="top"/>
    </xf>
    <xf applyAlignment="true" applyBorder="true" applyFill="false" applyFont="false" applyNumberFormat="true" borderId="2170" fillId="0" fontId="1" numFmtId="1000" quotePrefix="false">
      <alignment horizontal="center" vertical="top"/>
    </xf>
    <xf applyAlignment="true" applyBorder="true" applyFill="false" applyFont="false" applyNumberFormat="true" borderId="2171" fillId="0" fontId="1" numFmtId="1000" quotePrefix="false">
      <alignment horizontal="center" vertical="top"/>
    </xf>
    <xf applyAlignment="true" applyBorder="true" applyFill="false" applyFont="false" applyNumberFormat="true" borderId="2172" fillId="0" fontId="1" numFmtId="1000" quotePrefix="false">
      <alignment horizontal="center" vertical="top"/>
    </xf>
    <xf applyAlignment="true" applyBorder="true" applyFill="false" applyFont="false" applyNumberFormat="true" borderId="2173" fillId="0" fontId="1" numFmtId="1000" quotePrefix="false">
      <alignment horizontal="center" vertical="top"/>
    </xf>
    <xf applyAlignment="true" applyBorder="true" applyFill="false" applyFont="false" applyNumberFormat="true" borderId="2174" fillId="0" fontId="1" numFmtId="1000" quotePrefix="false">
      <alignment horizontal="center" vertical="top"/>
    </xf>
    <xf applyAlignment="true" applyBorder="true" applyFill="false" applyFont="false" applyNumberFormat="true" borderId="2175" fillId="0" fontId="1" numFmtId="1000" quotePrefix="false">
      <alignment horizontal="center" vertical="top"/>
    </xf>
    <xf applyAlignment="true" applyBorder="true" applyFill="false" applyFont="true" applyNumberFormat="true" borderId="2176" fillId="0" fontId="13" numFmtId="1000" quotePrefix="false">
      <alignment horizontal="center" vertical="top"/>
    </xf>
    <xf applyAlignment="true" applyBorder="true" applyFill="false" applyFont="true" applyNumberFormat="true" borderId="2177" fillId="0" fontId="13" numFmtId="1000" quotePrefix="false">
      <alignment horizontal="center" vertical="top"/>
    </xf>
    <xf applyAlignment="true" applyBorder="true" applyFill="false" applyFont="true" applyNumberFormat="true" borderId="2178" fillId="0" fontId="13" numFmtId="1000" quotePrefix="false">
      <alignment horizontal="center" vertical="top"/>
    </xf>
    <xf applyAlignment="true" applyBorder="true" applyFill="false" applyFont="true" applyNumberFormat="true" borderId="2179" fillId="0" fontId="13" numFmtId="1000" quotePrefix="false">
      <alignment horizontal="center" vertical="top"/>
    </xf>
    <xf applyAlignment="true" applyBorder="true" applyFill="false" applyFont="true" applyNumberFormat="true" borderId="2180" fillId="0" fontId="13" numFmtId="1000" quotePrefix="false">
      <alignment horizontal="center" vertical="top"/>
    </xf>
    <xf applyAlignment="true" applyBorder="true" applyFill="false" applyFont="true" applyNumberFormat="true" borderId="2181" fillId="0" fontId="13" numFmtId="1000" quotePrefix="false">
      <alignment horizontal="center" vertical="top"/>
    </xf>
    <xf applyAlignment="true" applyBorder="true" applyFill="false" applyFont="true" applyNumberFormat="true" borderId="2182" fillId="0" fontId="13" numFmtId="1000" quotePrefix="false">
      <alignment horizontal="center" vertical="top"/>
    </xf>
    <xf applyAlignment="true" applyBorder="true" applyFill="false" applyFont="true" applyNumberFormat="true" borderId="2183" fillId="0" fontId="13" numFmtId="1000" quotePrefix="false">
      <alignment horizontal="center" vertical="top"/>
    </xf>
    <xf applyAlignment="true" applyBorder="true" applyFill="false" applyFont="true" applyNumberFormat="true" borderId="2184" fillId="0" fontId="13" numFmtId="1000" quotePrefix="false">
      <alignment horizontal="center" vertical="top"/>
    </xf>
    <xf applyAlignment="true" applyBorder="true" applyFill="false" applyFont="true" applyNumberFormat="true" borderId="2185" fillId="0" fontId="13" numFmtId="1000" quotePrefix="false">
      <alignment horizontal="center" vertical="top"/>
    </xf>
    <xf applyAlignment="true" applyBorder="true" applyFill="false" applyFont="true" applyNumberFormat="true" borderId="2186" fillId="0" fontId="13" numFmtId="1000" quotePrefix="false">
      <alignment horizontal="center" vertical="top"/>
    </xf>
    <xf applyAlignment="true" applyBorder="true" applyFill="false" applyFont="true" applyNumberFormat="true" borderId="2187" fillId="0" fontId="13" numFmtId="1000" quotePrefix="false">
      <alignment horizontal="center" vertical="top"/>
    </xf>
    <xf applyAlignment="true" applyBorder="true" applyFill="false" applyFont="false" applyNumberFormat="true" borderId="2188" fillId="0" fontId="1" numFmtId="1000" quotePrefix="false">
      <alignment horizontal="center" vertical="top"/>
    </xf>
    <xf applyAlignment="true" applyBorder="true" applyFill="false" applyFont="false" applyNumberFormat="true" borderId="2189" fillId="0" fontId="1" numFmtId="1000" quotePrefix="false">
      <alignment horizontal="center" vertical="top"/>
    </xf>
    <xf applyAlignment="true" applyBorder="true" applyFill="false" applyFont="false" applyNumberFormat="true" borderId="2190" fillId="0" fontId="1" numFmtId="1000" quotePrefix="false">
      <alignment horizontal="center" vertical="top"/>
    </xf>
    <xf applyAlignment="true" applyBorder="true" applyFill="false" applyFont="false" applyNumberFormat="true" borderId="2191" fillId="0" fontId="1" numFmtId="1000" quotePrefix="false">
      <alignment horizontal="center" vertical="top"/>
    </xf>
    <xf applyAlignment="true" applyBorder="true" applyFill="false" applyFont="true" applyNumberFormat="true" borderId="2192" fillId="0" fontId="13" numFmtId="1000" quotePrefix="false">
      <alignment horizontal="center" vertical="top"/>
    </xf>
    <xf applyAlignment="true" applyBorder="true" applyFill="false" applyFont="true" applyNumberFormat="true" borderId="2193" fillId="0" fontId="13" numFmtId="1000" quotePrefix="false">
      <alignment horizontal="center" vertical="top"/>
    </xf>
    <xf applyAlignment="true" applyBorder="true" applyFill="false" applyFont="true" applyNumberFormat="true" borderId="2194" fillId="0" fontId="13" numFmtId="1000" quotePrefix="false">
      <alignment horizontal="center" vertical="top"/>
    </xf>
    <xf applyAlignment="true" applyBorder="true" applyFill="false" applyFont="true" applyNumberFormat="true" borderId="2195" fillId="0" fontId="13" numFmtId="1000" quotePrefix="false">
      <alignment horizontal="center" vertical="top"/>
    </xf>
    <xf applyAlignment="true" applyBorder="true" applyFill="false" applyFont="true" applyNumberFormat="true" borderId="2196" fillId="0" fontId="13" numFmtId="1000" quotePrefix="false">
      <alignment horizontal="center" vertical="top"/>
    </xf>
    <xf applyAlignment="true" applyBorder="true" applyFill="false" applyFont="true" applyNumberFormat="true" borderId="2197" fillId="0" fontId="13" numFmtId="1000" quotePrefix="false">
      <alignment horizontal="center" vertical="top"/>
    </xf>
    <xf applyAlignment="true" applyBorder="true" applyFill="false" applyFont="true" applyNumberFormat="true" borderId="2198" fillId="0" fontId="13" numFmtId="1000" quotePrefix="false">
      <alignment horizontal="center" vertical="top"/>
    </xf>
    <xf applyAlignment="true" applyBorder="true" applyFill="false" applyFont="true" applyNumberFormat="true" borderId="2199" fillId="0" fontId="13" numFmtId="1000" quotePrefix="false">
      <alignment horizontal="center" vertical="top"/>
    </xf>
    <xf applyAlignment="true" applyBorder="true" applyFill="false" applyFont="false" applyNumberFormat="true" borderId="2200" fillId="0" fontId="1" numFmtId="1000" quotePrefix="false">
      <alignment horizontal="center" vertical="top"/>
    </xf>
    <xf applyAlignment="true" applyBorder="true" applyFill="false" applyFont="false" applyNumberFormat="true" borderId="2201" fillId="0" fontId="1" numFmtId="1000" quotePrefix="false">
      <alignment horizontal="center" vertical="top"/>
    </xf>
    <xf applyAlignment="true" applyBorder="true" applyFill="false" applyFont="false" applyNumberFormat="true" borderId="2202" fillId="0" fontId="1" numFmtId="1000" quotePrefix="false">
      <alignment horizontal="center" vertical="top"/>
    </xf>
    <xf applyAlignment="true" applyBorder="true" applyFill="false" applyFont="false" applyNumberFormat="true" borderId="2203" fillId="0" fontId="1" numFmtId="1000" quotePrefix="false">
      <alignment horizontal="center" vertical="top"/>
    </xf>
    <xf applyAlignment="true" applyBorder="true" applyFill="false" applyFont="true" applyNumberFormat="true" borderId="2204" fillId="0" fontId="13" numFmtId="1000" quotePrefix="false">
      <alignment horizontal="center" vertical="top"/>
    </xf>
    <xf applyAlignment="true" applyBorder="true" applyFill="false" applyFont="true" applyNumberFormat="true" borderId="2205" fillId="0" fontId="13" numFmtId="1000" quotePrefix="false">
      <alignment horizontal="center" vertical="top"/>
    </xf>
    <xf applyAlignment="true" applyBorder="true" applyFill="false" applyFont="true" applyNumberFormat="true" borderId="2206" fillId="0" fontId="13" numFmtId="1000" quotePrefix="false">
      <alignment horizontal="center" vertical="top"/>
    </xf>
    <xf applyAlignment="true" applyBorder="true" applyFill="false" applyFont="true" applyNumberFormat="true" borderId="2207" fillId="0" fontId="13" numFmtId="1000" quotePrefix="false">
      <alignment horizontal="center" vertical="top"/>
    </xf>
    <xf applyAlignment="true" applyBorder="true" applyFill="false" applyFont="true" applyNumberFormat="true" borderId="2208" fillId="0" fontId="13" numFmtId="1000" quotePrefix="false">
      <alignment horizontal="center" vertical="top"/>
    </xf>
    <xf applyAlignment="true" applyBorder="true" applyFill="false" applyFont="true" applyNumberFormat="true" borderId="2209" fillId="0" fontId="13" numFmtId="1000" quotePrefix="false">
      <alignment horizontal="center" vertical="top"/>
    </xf>
    <xf applyAlignment="true" applyBorder="true" applyFill="false" applyFont="true" applyNumberFormat="true" borderId="2210" fillId="0" fontId="13" numFmtId="1000" quotePrefix="false">
      <alignment horizontal="center" vertical="top"/>
    </xf>
    <xf applyAlignment="true" applyBorder="true" applyFill="false" applyFont="true" applyNumberFormat="true" borderId="2211" fillId="0" fontId="13" numFmtId="1000" quotePrefix="false">
      <alignment horizontal="center" vertical="top"/>
    </xf>
    <xf applyAlignment="true" applyBorder="true" applyFill="false" applyFont="false" applyNumberFormat="true" borderId="2212" fillId="0" fontId="1" numFmtId="1000" quotePrefix="false">
      <alignment horizontal="center" vertical="top"/>
    </xf>
    <xf applyAlignment="true" applyBorder="true" applyFill="false" applyFont="false" applyNumberFormat="true" borderId="2213" fillId="0" fontId="1" numFmtId="1000" quotePrefix="false">
      <alignment horizontal="center" vertical="top"/>
    </xf>
    <xf applyAlignment="true" applyBorder="true" applyFill="false" applyFont="false" applyNumberFormat="true" borderId="2214" fillId="0" fontId="1" numFmtId="1000" quotePrefix="false">
      <alignment horizontal="center" vertical="top"/>
    </xf>
    <xf applyAlignment="true" applyBorder="true" applyFill="false" applyFont="false" applyNumberFormat="true" borderId="2215" fillId="0" fontId="1" numFmtId="1000" quotePrefix="false">
      <alignment horizontal="center" vertical="top"/>
    </xf>
    <xf applyAlignment="true" applyBorder="true" applyFill="false" applyFont="true" applyNumberFormat="true" borderId="2216" fillId="0" fontId="13" numFmtId="1000" quotePrefix="false">
      <alignment horizontal="center" vertical="top"/>
    </xf>
    <xf applyAlignment="true" applyBorder="true" applyFill="false" applyFont="true" applyNumberFormat="true" borderId="2217" fillId="0" fontId="13" numFmtId="1000" quotePrefix="false">
      <alignment horizontal="center" vertical="top"/>
    </xf>
    <xf applyAlignment="true" applyBorder="true" applyFill="false" applyFont="true" applyNumberFormat="true" borderId="2218" fillId="0" fontId="13" numFmtId="1000" quotePrefix="false">
      <alignment horizontal="center" vertical="top"/>
    </xf>
    <xf applyAlignment="true" applyBorder="true" applyFill="false" applyFont="true" applyNumberFormat="true" borderId="2219" fillId="0" fontId="13" numFmtId="1000" quotePrefix="false">
      <alignment horizontal="center" vertical="top"/>
    </xf>
    <xf applyAlignment="true" applyBorder="true" applyFill="false" applyFont="true" applyNumberFormat="true" borderId="2220" fillId="0" fontId="13" numFmtId="1000" quotePrefix="false">
      <alignment horizontal="center" vertical="top"/>
    </xf>
    <xf applyAlignment="true" applyBorder="true" applyFill="false" applyFont="true" applyNumberFormat="true" borderId="2221" fillId="0" fontId="13" numFmtId="1000" quotePrefix="false">
      <alignment horizontal="center" vertical="top"/>
    </xf>
    <xf applyAlignment="true" applyBorder="true" applyFill="false" applyFont="true" applyNumberFormat="true" borderId="2222" fillId="0" fontId="13" numFmtId="1000" quotePrefix="false">
      <alignment horizontal="center" vertical="top"/>
    </xf>
    <xf applyAlignment="true" applyBorder="true" applyFill="false" applyFont="true" applyNumberFormat="true" borderId="2223" fillId="0" fontId="13" numFmtId="1000" quotePrefix="false">
      <alignment horizontal="center" vertical="top"/>
    </xf>
    <xf applyAlignment="true" applyBorder="true" applyFill="false" applyFont="false" applyNumberFormat="true" borderId="2224" fillId="0" fontId="1" numFmtId="1000" quotePrefix="false">
      <alignment horizontal="center" vertical="top"/>
    </xf>
    <xf applyAlignment="true" applyBorder="true" applyFill="false" applyFont="false" applyNumberFormat="true" borderId="2225" fillId="0" fontId="1" numFmtId="1000" quotePrefix="false">
      <alignment horizontal="center" vertical="top"/>
    </xf>
    <xf applyAlignment="true" applyBorder="true" applyFill="false" applyFont="false" applyNumberFormat="true" borderId="2226" fillId="0" fontId="1" numFmtId="1000" quotePrefix="false">
      <alignment horizontal="center" vertical="top"/>
    </xf>
    <xf applyAlignment="true" applyBorder="true" applyFill="false" applyFont="false" applyNumberFormat="true" borderId="2227" fillId="0" fontId="1" numFmtId="1000" quotePrefix="false">
      <alignment horizontal="center" vertical="top"/>
    </xf>
    <xf applyAlignment="true" applyBorder="true" applyFill="false" applyFont="true" applyNumberFormat="true" borderId="2228" fillId="0" fontId="13" numFmtId="1000" quotePrefix="false">
      <alignment horizontal="center" vertical="top"/>
    </xf>
    <xf applyAlignment="true" applyBorder="true" applyFill="false" applyFont="true" applyNumberFormat="true" borderId="2229" fillId="0" fontId="13" numFmtId="1000" quotePrefix="false">
      <alignment horizontal="center" vertical="top"/>
    </xf>
    <xf applyAlignment="true" applyBorder="true" applyFill="false" applyFont="true" applyNumberFormat="true" borderId="2230" fillId="0" fontId="13" numFmtId="1000" quotePrefix="false">
      <alignment horizontal="center" vertical="top"/>
    </xf>
    <xf applyAlignment="true" applyBorder="true" applyFill="false" applyFont="true" applyNumberFormat="true" borderId="2231" fillId="0" fontId="13" numFmtId="1000" quotePrefix="false">
      <alignment horizontal="center" vertical="top"/>
    </xf>
    <xf applyAlignment="true" applyBorder="true" applyFill="false" applyFont="true" applyNumberFormat="true" borderId="2232" fillId="0" fontId="13" numFmtId="1000" quotePrefix="false">
      <alignment horizontal="center" vertical="top"/>
    </xf>
    <xf applyAlignment="true" applyBorder="true" applyFill="false" applyFont="true" applyNumberFormat="true" borderId="2233" fillId="0" fontId="13" numFmtId="1000" quotePrefix="false">
      <alignment horizontal="center" vertical="top"/>
    </xf>
    <xf applyAlignment="true" applyBorder="true" applyFill="false" applyFont="true" applyNumberFormat="true" borderId="2234" fillId="0" fontId="13" numFmtId="1000" quotePrefix="false">
      <alignment horizontal="center" vertical="top"/>
    </xf>
    <xf applyAlignment="true" applyBorder="true" applyFill="false" applyFont="true" applyNumberFormat="true" borderId="2235" fillId="0" fontId="13" numFmtId="1000" quotePrefix="false">
      <alignment horizontal="center" vertical="top"/>
    </xf>
    <xf applyAlignment="true" applyBorder="true" applyFill="false" applyFont="false" applyNumberFormat="true" borderId="2236" fillId="0" fontId="1" numFmtId="1000" quotePrefix="false">
      <alignment horizontal="center" vertical="top"/>
    </xf>
    <xf applyAlignment="true" applyBorder="true" applyFill="false" applyFont="false" applyNumberFormat="true" borderId="2237" fillId="0" fontId="1" numFmtId="1000" quotePrefix="false">
      <alignment horizontal="center" vertical="top"/>
    </xf>
    <xf applyAlignment="true" applyBorder="true" applyFill="false" applyFont="false" applyNumberFormat="true" borderId="2238" fillId="0" fontId="1" numFmtId="1000" quotePrefix="false">
      <alignment horizontal="center" vertical="top"/>
    </xf>
    <xf applyAlignment="true" applyBorder="true" applyFill="false" applyFont="false" applyNumberFormat="true" borderId="2239" fillId="0" fontId="1" numFmtId="1000" quotePrefix="false">
      <alignment horizontal="center" vertical="top"/>
    </xf>
    <xf applyAlignment="true" applyBorder="true" applyFill="false" applyFont="true" applyNumberFormat="true" borderId="2240" fillId="0" fontId="13" numFmtId="1000" quotePrefix="false">
      <alignment horizontal="center" vertical="top"/>
    </xf>
    <xf applyAlignment="true" applyBorder="true" applyFill="false" applyFont="true" applyNumberFormat="true" borderId="2241" fillId="0" fontId="13" numFmtId="1000" quotePrefix="false">
      <alignment horizontal="center" vertical="top"/>
    </xf>
    <xf applyAlignment="true" applyBorder="true" applyFill="false" applyFont="true" applyNumberFormat="true" borderId="2242" fillId="0" fontId="13" numFmtId="1000" quotePrefix="false">
      <alignment horizontal="center" vertical="top"/>
    </xf>
    <xf applyAlignment="true" applyBorder="true" applyFill="false" applyFont="true" applyNumberFormat="true" borderId="2243" fillId="0" fontId="13" numFmtId="1000" quotePrefix="false">
      <alignment horizontal="center" vertical="top"/>
    </xf>
    <xf applyAlignment="true" applyBorder="true" applyFill="false" applyFont="true" applyNumberFormat="true" borderId="2244" fillId="0" fontId="13" numFmtId="1000" quotePrefix="false">
      <alignment horizontal="center" vertical="top"/>
    </xf>
    <xf applyAlignment="true" applyBorder="true" applyFill="false" applyFont="true" applyNumberFormat="true" borderId="2245" fillId="0" fontId="13" numFmtId="1000" quotePrefix="false">
      <alignment horizontal="center" vertical="top"/>
    </xf>
    <xf applyAlignment="true" applyBorder="true" applyFill="false" applyFont="true" applyNumberFormat="true" borderId="2246" fillId="0" fontId="13" numFmtId="1000" quotePrefix="false">
      <alignment horizontal="center" vertical="top"/>
    </xf>
    <xf applyAlignment="true" applyBorder="true" applyFill="false" applyFont="true" applyNumberFormat="true" borderId="2247" fillId="0" fontId="13" numFmtId="1000" quotePrefix="false">
      <alignment horizontal="center" vertical="top"/>
    </xf>
    <xf applyAlignment="true" applyBorder="true" applyFill="false" applyFont="false" applyNumberFormat="true" borderId="2248" fillId="0" fontId="1" numFmtId="1000" quotePrefix="false">
      <alignment horizontal="center" vertical="top"/>
    </xf>
    <xf applyAlignment="true" applyBorder="true" applyFill="false" applyFont="false" applyNumberFormat="true" borderId="2249" fillId="0" fontId="1" numFmtId="1000" quotePrefix="false">
      <alignment horizontal="center" vertical="top"/>
    </xf>
    <xf applyAlignment="true" applyBorder="true" applyFill="false" applyFont="false" applyNumberFormat="true" borderId="2250" fillId="0" fontId="1" numFmtId="1000" quotePrefix="false">
      <alignment horizontal="center" vertical="top"/>
    </xf>
    <xf applyAlignment="true" applyBorder="true" applyFill="false" applyFont="false" applyNumberFormat="true" borderId="2251" fillId="0" fontId="1" numFmtId="1000" quotePrefix="false">
      <alignment horizontal="center" vertical="top"/>
    </xf>
    <xf applyAlignment="true" applyBorder="true" applyFill="false" applyFont="true" applyNumberFormat="true" borderId="2252" fillId="0" fontId="13" numFmtId="1000" quotePrefix="false">
      <alignment horizontal="center" vertical="top"/>
    </xf>
    <xf applyAlignment="true" applyBorder="true" applyFill="false" applyFont="true" applyNumberFormat="true" borderId="2253" fillId="0" fontId="13" numFmtId="1000" quotePrefix="false">
      <alignment horizontal="center" vertical="top"/>
    </xf>
    <xf applyAlignment="true" applyBorder="true" applyFill="false" applyFont="true" applyNumberFormat="true" borderId="2254" fillId="0" fontId="13" numFmtId="1000" quotePrefix="false">
      <alignment horizontal="center" vertical="top"/>
    </xf>
    <xf applyAlignment="true" applyBorder="true" applyFill="false" applyFont="true" applyNumberFormat="true" borderId="2255" fillId="0" fontId="13" numFmtId="1000" quotePrefix="false">
      <alignment horizontal="center" vertical="top"/>
    </xf>
    <xf applyAlignment="true" applyBorder="true" applyFill="false" applyFont="true" applyNumberFormat="true" borderId="2256" fillId="0" fontId="13" numFmtId="1000" quotePrefix="false">
      <alignment horizontal="center" vertical="top"/>
    </xf>
    <xf applyAlignment="true" applyBorder="true" applyFill="false" applyFont="true" applyNumberFormat="true" borderId="2257" fillId="0" fontId="13" numFmtId="1000" quotePrefix="false">
      <alignment horizontal="center" vertical="top"/>
    </xf>
    <xf applyAlignment="true" applyBorder="true" applyFill="false" applyFont="true" applyNumberFormat="true" borderId="2258" fillId="0" fontId="13" numFmtId="1000" quotePrefix="false">
      <alignment horizontal="center" vertical="top"/>
    </xf>
    <xf applyAlignment="true" applyBorder="true" applyFill="false" applyFont="true" applyNumberFormat="true" borderId="2259" fillId="0" fontId="13" numFmtId="1000" quotePrefix="false">
      <alignment horizontal="center" vertical="top"/>
    </xf>
    <xf applyAlignment="true" applyBorder="true" applyFill="false" applyFont="false" applyNumberFormat="true" borderId="2260" fillId="0" fontId="1" numFmtId="1000" quotePrefix="false">
      <alignment horizontal="center" vertical="top"/>
    </xf>
    <xf applyAlignment="true" applyBorder="true" applyFill="false" applyFont="false" applyNumberFormat="true" borderId="2261" fillId="0" fontId="1" numFmtId="1000" quotePrefix="false">
      <alignment horizontal="center" vertical="top"/>
    </xf>
    <xf applyAlignment="true" applyBorder="true" applyFill="false" applyFont="false" applyNumberFormat="true" borderId="2262" fillId="0" fontId="1" numFmtId="1000" quotePrefix="false">
      <alignment horizontal="center" vertical="top"/>
    </xf>
    <xf applyAlignment="true" applyBorder="true" applyFill="false" applyFont="false" applyNumberFormat="true" borderId="2263" fillId="0" fontId="1" numFmtId="1000" quotePrefix="false">
      <alignment horizontal="center" vertical="top"/>
    </xf>
    <xf applyAlignment="true" applyBorder="true" applyFill="false" applyFont="true" applyNumberFormat="true" borderId="2264" fillId="0" fontId="13" numFmtId="1000" quotePrefix="false">
      <alignment horizontal="center" vertical="top"/>
    </xf>
    <xf applyAlignment="true" applyBorder="true" applyFill="false" applyFont="true" applyNumberFormat="true" borderId="2265" fillId="0" fontId="13" numFmtId="1000" quotePrefix="false">
      <alignment horizontal="center" vertical="top"/>
    </xf>
    <xf applyAlignment="true" applyBorder="true" applyFill="false" applyFont="true" applyNumberFormat="true" borderId="2266" fillId="0" fontId="13" numFmtId="1000" quotePrefix="false">
      <alignment horizontal="center" vertical="top"/>
    </xf>
    <xf applyAlignment="true" applyBorder="true" applyFill="false" applyFont="true" applyNumberFormat="true" borderId="2267" fillId="0" fontId="13" numFmtId="1000" quotePrefix="false">
      <alignment horizontal="center" vertical="top"/>
    </xf>
    <xf applyAlignment="true" applyBorder="true" applyFill="false" applyFont="true" applyNumberFormat="true" borderId="2268" fillId="0" fontId="13" numFmtId="1000" quotePrefix="false">
      <alignment horizontal="center" vertical="top"/>
    </xf>
    <xf applyAlignment="true" applyBorder="true" applyFill="false" applyFont="true" applyNumberFormat="true" borderId="2269" fillId="0" fontId="13" numFmtId="1000" quotePrefix="false">
      <alignment horizontal="center" vertical="top"/>
    </xf>
    <xf applyAlignment="true" applyBorder="true" applyFill="false" applyFont="true" applyNumberFormat="true" borderId="2270" fillId="0" fontId="13" numFmtId="1000" quotePrefix="false">
      <alignment horizontal="center" vertical="top"/>
    </xf>
    <xf applyAlignment="true" applyBorder="true" applyFill="false" applyFont="true" applyNumberFormat="true" borderId="2271" fillId="0" fontId="13" numFmtId="1000" quotePrefix="false">
      <alignment horizontal="center" vertical="top"/>
    </xf>
    <xf applyAlignment="true" applyBorder="true" applyFill="false" applyFont="false" applyNumberFormat="true" borderId="2272" fillId="0" fontId="1" numFmtId="1000" quotePrefix="false">
      <alignment horizontal="center" vertical="top"/>
    </xf>
    <xf applyAlignment="true" applyBorder="true" applyFill="false" applyFont="false" applyNumberFormat="true" borderId="2273" fillId="0" fontId="1" numFmtId="1000" quotePrefix="false">
      <alignment horizontal="center" vertical="top"/>
    </xf>
    <xf applyAlignment="true" applyBorder="true" applyFill="false" applyFont="false" applyNumberFormat="true" borderId="2274" fillId="0" fontId="1" numFmtId="1000" quotePrefix="false">
      <alignment horizontal="center" vertical="top"/>
    </xf>
    <xf applyAlignment="true" applyBorder="true" applyFill="false" applyFont="false" applyNumberFormat="true" borderId="2275" fillId="0" fontId="1" numFmtId="1000" quotePrefix="false">
      <alignment horizontal="center" vertical="top"/>
    </xf>
    <xf applyAlignment="true" applyBorder="true" applyFill="false" applyFont="true" applyNumberFormat="true" borderId="2276" fillId="0" fontId="13" numFmtId="1000" quotePrefix="false">
      <alignment horizontal="center" vertical="top"/>
    </xf>
    <xf applyAlignment="true" applyBorder="true" applyFill="false" applyFont="true" applyNumberFormat="true" borderId="2277" fillId="0" fontId="13" numFmtId="1000" quotePrefix="false">
      <alignment horizontal="center" vertical="top"/>
    </xf>
    <xf applyAlignment="true" applyBorder="true" applyFill="false" applyFont="true" applyNumberFormat="true" borderId="2278" fillId="0" fontId="13" numFmtId="1000" quotePrefix="false">
      <alignment horizontal="center" vertical="top"/>
    </xf>
    <xf applyAlignment="true" applyBorder="true" applyFill="false" applyFont="true" applyNumberFormat="true" borderId="2279" fillId="0" fontId="13" numFmtId="1000" quotePrefix="false">
      <alignment horizontal="center" vertical="top"/>
    </xf>
    <xf applyAlignment="true" applyBorder="true" applyFill="false" applyFont="true" applyNumberFormat="true" borderId="2280" fillId="0" fontId="13" numFmtId="1000" quotePrefix="false">
      <alignment horizontal="center" vertical="top"/>
    </xf>
    <xf applyAlignment="true" applyBorder="true" applyFill="false" applyFont="true" applyNumberFormat="true" borderId="2281" fillId="0" fontId="13" numFmtId="1000" quotePrefix="false">
      <alignment horizontal="center" vertical="top"/>
    </xf>
    <xf applyAlignment="true" applyBorder="true" applyFill="false" applyFont="true" applyNumberFormat="true" borderId="2282" fillId="0" fontId="13" numFmtId="1000" quotePrefix="false">
      <alignment horizontal="center" vertical="top"/>
    </xf>
    <xf applyAlignment="true" applyBorder="true" applyFill="false" applyFont="true" applyNumberFormat="true" borderId="2283" fillId="0" fontId="13" numFmtId="1000" quotePrefix="false">
      <alignment horizontal="center" vertical="top"/>
    </xf>
    <xf applyAlignment="true" applyBorder="true" applyFill="false" applyFont="true" applyNumberFormat="true" borderId="2284" fillId="0" fontId="13" numFmtId="1000" quotePrefix="false">
      <alignment horizontal="center" vertical="top"/>
    </xf>
    <xf applyAlignment="true" applyBorder="true" applyFill="false" applyFont="true" applyNumberFormat="true" borderId="2285" fillId="0" fontId="13" numFmtId="1000" quotePrefix="false">
      <alignment horizontal="center" vertical="top"/>
    </xf>
    <xf applyAlignment="true" applyBorder="true" applyFill="false" applyFont="true" applyNumberFormat="true" borderId="2286" fillId="0" fontId="13" numFmtId="1000" quotePrefix="false">
      <alignment horizontal="center" vertical="top"/>
    </xf>
    <xf applyAlignment="true" applyBorder="true" applyFill="false" applyFont="true" applyNumberFormat="true" borderId="2287" fillId="0" fontId="13" numFmtId="1000" quotePrefix="false">
      <alignment horizontal="center" vertical="top"/>
    </xf>
    <xf applyAlignment="true" applyBorder="true" applyFill="false" applyFont="true" applyNumberFormat="true" borderId="2288" fillId="0" fontId="13" numFmtId="1000" quotePrefix="false">
      <alignment horizontal="center" vertical="top"/>
    </xf>
    <xf applyAlignment="true" applyBorder="true" applyFill="false" applyFont="true" applyNumberFormat="true" borderId="2289" fillId="0" fontId="13" numFmtId="1000" quotePrefix="false">
      <alignment horizontal="center" vertical="top"/>
    </xf>
    <xf applyAlignment="true" applyBorder="true" applyFill="false" applyFont="true" applyNumberFormat="true" borderId="2290" fillId="0" fontId="13" numFmtId="1000" quotePrefix="false">
      <alignment horizontal="center" vertical="top"/>
    </xf>
    <xf applyAlignment="true" applyBorder="true" applyFill="false" applyFont="true" applyNumberFormat="true" borderId="2291" fillId="0" fontId="13" numFmtId="1000" quotePrefix="false">
      <alignment horizontal="center" vertical="top"/>
    </xf>
    <xf applyAlignment="true" applyBorder="true" applyFill="false" applyFont="false" applyNumberFormat="true" borderId="2292" fillId="0" fontId="1" numFmtId="1000" quotePrefix="false">
      <alignment horizontal="center" vertical="top"/>
    </xf>
    <xf applyAlignment="true" applyBorder="true" applyFill="false" applyFont="false" applyNumberFormat="true" borderId="2293" fillId="0" fontId="1" numFmtId="1000" quotePrefix="false">
      <alignment horizontal="center" vertical="top"/>
    </xf>
    <xf applyAlignment="true" applyBorder="true" applyFill="false" applyFont="false" applyNumberFormat="true" borderId="2294" fillId="0" fontId="1" numFmtId="1000" quotePrefix="false">
      <alignment horizontal="center" vertical="top"/>
    </xf>
    <xf applyAlignment="true" applyBorder="true" applyFill="false" applyFont="false" applyNumberFormat="true" borderId="2295" fillId="0" fontId="1" numFmtId="1000" quotePrefix="false">
      <alignment horizontal="center" vertical="top"/>
    </xf>
    <xf applyAlignment="true" applyBorder="true" applyFill="false" applyFont="false" applyNumberFormat="true" borderId="2296" fillId="0" fontId="1" numFmtId="1000" quotePrefix="false">
      <alignment horizontal="center" vertical="top"/>
    </xf>
    <xf applyAlignment="true" applyBorder="true" applyFill="false" applyFont="false" applyNumberFormat="true" borderId="2297" fillId="0" fontId="1" numFmtId="1000" quotePrefix="false">
      <alignment horizontal="center" vertical="top"/>
    </xf>
    <xf applyAlignment="true" applyBorder="true" applyFill="false" applyFont="true" applyNumberFormat="true" borderId="2298" fillId="0" fontId="2" numFmtId="1000" quotePrefix="false">
      <alignment horizontal="center" vertical="top"/>
    </xf>
    <xf applyAlignment="true" applyBorder="true" applyFill="false" applyFont="false" applyNumberFormat="true" borderId="2299" fillId="0" fontId="1" numFmtId="1000" quotePrefix="false">
      <alignment horizontal="left" vertical="top"/>
    </xf>
    <xf applyAlignment="true" applyBorder="true" applyFill="false" applyFont="false" applyNumberFormat="true" borderId="2300" fillId="0" fontId="1" numFmtId="1000" quotePrefix="false">
      <alignment horizontal="left" vertical="top"/>
    </xf>
    <xf applyAlignment="true" applyBorder="true" applyFill="false" applyFont="false" applyNumberFormat="true" borderId="2301" fillId="0" fontId="1" numFmtId="1000" quotePrefix="false">
      <alignment horizontal="left" vertical="top"/>
    </xf>
    <xf applyAlignment="true" applyBorder="true" applyFill="false" applyFont="false" applyNumberFormat="true" borderId="2302" fillId="0" fontId="1" numFmtId="1000" quotePrefix="false">
      <alignment horizontal="left" vertical="top"/>
    </xf>
    <xf applyAlignment="true" applyBorder="true" applyFill="false" applyFont="false" applyNumberFormat="true" borderId="2303" fillId="0" fontId="1" numFmtId="1000" quotePrefix="false">
      <alignment horizontal="left" vertical="top"/>
    </xf>
    <xf applyAlignment="true" applyBorder="true" applyFill="false" applyFont="false" applyNumberFormat="true" borderId="2304" fillId="0" fontId="1" numFmtId="1000" quotePrefix="false">
      <alignment horizontal="left" vertical="top"/>
    </xf>
    <xf applyAlignment="true" applyBorder="true" applyFill="false" applyFont="false" applyNumberFormat="true" borderId="2305" fillId="0" fontId="1" numFmtId="1000" quotePrefix="false">
      <alignment horizontal="left" vertical="top"/>
    </xf>
    <xf applyAlignment="true" applyBorder="true" applyFill="false" applyFont="false" applyNumberFormat="true" borderId="2306" fillId="0" fontId="1" numFmtId="1000" quotePrefix="false">
      <alignment horizontal="left" vertical="top"/>
    </xf>
    <xf applyAlignment="true" applyBorder="true" applyFill="false" applyFont="false" applyNumberFormat="true" borderId="2307" fillId="0" fontId="1" numFmtId="1000" quotePrefix="false">
      <alignment horizontal="left" vertical="top"/>
    </xf>
    <xf applyAlignment="true" applyBorder="true" applyFill="false" applyFont="false" applyNumberFormat="true" borderId="2308" fillId="0" fontId="1" numFmtId="1000" quotePrefix="false">
      <alignment horizontal="left" vertical="top"/>
    </xf>
    <xf applyAlignment="true" applyBorder="true" applyFill="false" applyFont="false" applyNumberFormat="true" borderId="2309" fillId="0" fontId="1" numFmtId="1000" quotePrefix="false">
      <alignment horizontal="left" vertical="top"/>
    </xf>
    <xf applyAlignment="true" applyBorder="true" applyFill="false" applyFont="false" applyNumberFormat="true" borderId="2310" fillId="0" fontId="1" numFmtId="1000" quotePrefix="false">
      <alignment horizontal="left" vertical="top"/>
    </xf>
    <xf applyAlignment="true" applyBorder="true" applyFill="false" applyFont="false" applyNumberFormat="true" borderId="2311" fillId="0" fontId="1" numFmtId="1000" quotePrefix="false">
      <alignment horizontal="left" vertical="top"/>
    </xf>
    <xf applyAlignment="true" applyBorder="true" applyFill="false" applyFont="false" applyNumberFormat="true" borderId="2312" fillId="0" fontId="1" numFmtId="1000" quotePrefix="false">
      <alignment horizontal="left" vertical="top"/>
    </xf>
    <xf applyAlignment="true" applyBorder="true" applyFill="false" applyFont="false" applyNumberFormat="true" borderId="2313" fillId="0" fontId="1" numFmtId="1000" quotePrefix="false">
      <alignment horizontal="left" vertical="top"/>
    </xf>
    <xf applyAlignment="true" applyBorder="true" applyFill="false" applyFont="false" applyNumberFormat="true" borderId="2314" fillId="0" fontId="1" numFmtId="1000" quotePrefix="false">
      <alignment horizontal="left" vertical="top"/>
    </xf>
    <xf applyAlignment="true" applyBorder="true" applyFill="false" applyFont="false" applyNumberFormat="true" borderId="2315" fillId="0" fontId="1" numFmtId="1000" quotePrefix="false">
      <alignment horizontal="left" vertical="top"/>
    </xf>
    <xf applyAlignment="true" applyBorder="true" applyFill="false" applyFont="false" applyNumberFormat="true" borderId="2316" fillId="0" fontId="1" numFmtId="1000" quotePrefix="false">
      <alignment horizontal="left" vertical="top"/>
    </xf>
    <xf applyAlignment="true" applyBorder="true" applyFill="false" applyFont="false" applyNumberFormat="true" borderId="2317" fillId="0" fontId="1" numFmtId="1000" quotePrefix="false">
      <alignment horizontal="left" vertical="top"/>
    </xf>
    <xf applyAlignment="true" applyBorder="true" applyFill="false" applyFont="true" applyNumberFormat="true" borderId="2318" fillId="0" fontId="2" numFmtId="1000" quotePrefix="false">
      <alignment horizontal="center"/>
    </xf>
    <xf applyAlignment="true" applyBorder="true" applyFill="false" applyFont="true" applyNumberFormat="true" borderId="2319" fillId="0" fontId="2" numFmtId="1000" quotePrefix="false">
      <alignment horizontal="center"/>
    </xf>
    <xf applyAlignment="true" applyBorder="true" applyFill="false" applyFont="true" applyNumberFormat="true" borderId="2320" fillId="0" fontId="2" numFmtId="1000" quotePrefix="false">
      <alignment horizontal="center"/>
    </xf>
    <xf applyAlignment="true" applyBorder="true" applyFill="false" applyFont="false" applyNumberFormat="true" borderId="2321" fillId="0" fontId="1" numFmtId="1000" quotePrefix="false">
      <alignment horizontal="center" vertical="top"/>
    </xf>
    <xf applyAlignment="true" applyBorder="true" applyFill="false" applyFont="false" applyNumberFormat="true" borderId="2322" fillId="0" fontId="1" numFmtId="1000" quotePrefix="false">
      <alignment horizontal="center" vertical="top"/>
    </xf>
    <xf applyAlignment="true" applyBorder="true" applyFill="false" applyFont="false" applyNumberFormat="true" borderId="2323" fillId="0" fontId="1" numFmtId="1000" quotePrefix="false">
      <alignment horizontal="center" vertical="top"/>
    </xf>
    <xf applyAlignment="true" applyBorder="true" applyFill="false" applyFont="false" applyNumberFormat="true" borderId="2324" fillId="0" fontId="1" numFmtId="1000" quotePrefix="false">
      <alignment horizontal="center" vertical="top"/>
    </xf>
    <xf applyAlignment="true" applyBorder="true" applyFill="false" applyFont="false" applyNumberFormat="true" borderId="2325" fillId="0" fontId="1" numFmtId="1000" quotePrefix="false">
      <alignment horizontal="center" vertical="top"/>
    </xf>
    <xf applyAlignment="true" applyBorder="true" applyFill="false" applyFont="false" applyNumberFormat="true" borderId="2326" fillId="0" fontId="1" numFmtId="1000" quotePrefix="false">
      <alignment horizontal="center" vertical="top"/>
    </xf>
    <xf applyAlignment="true" applyBorder="true" applyFill="false" applyFont="false" applyNumberFormat="true" borderId="2327" fillId="0" fontId="1" numFmtId="1000" quotePrefix="false">
      <alignment horizontal="center" vertical="top"/>
    </xf>
    <xf applyAlignment="true" applyBorder="true" applyFill="false" applyFont="false" applyNumberFormat="true" borderId="2328" fillId="0" fontId="1" numFmtId="1000" quotePrefix="false">
      <alignment horizontal="center" vertical="top"/>
    </xf>
    <xf applyAlignment="true" applyBorder="true" applyFill="false" applyFont="false" applyNumberFormat="true" borderId="2329" fillId="0" fontId="1" numFmtId="1000" quotePrefix="false">
      <alignment horizontal="center" vertical="top"/>
    </xf>
    <xf applyAlignment="true" applyBorder="true" applyFill="false" applyFont="false" applyNumberFormat="true" borderId="2330" fillId="0" fontId="1" numFmtId="1000" quotePrefix="false">
      <alignment horizontal="center" vertical="top"/>
    </xf>
    <xf applyAlignment="true" applyBorder="true" applyFill="false" applyFont="false" applyNumberFormat="true" borderId="2331" fillId="0" fontId="1" numFmtId="1000" quotePrefix="false">
      <alignment horizontal="center" vertical="top"/>
    </xf>
    <xf applyAlignment="true" applyBorder="true" applyFill="false" applyFont="false" applyNumberFormat="true" borderId="2332" fillId="0" fontId="1" numFmtId="1000" quotePrefix="false">
      <alignment horizontal="center" vertical="top"/>
    </xf>
    <xf applyAlignment="true" applyBorder="true" applyFill="false" applyFont="false" applyNumberFormat="true" borderId="2333" fillId="0" fontId="1" numFmtId="1000" quotePrefix="false">
      <alignment horizontal="center" vertical="top"/>
    </xf>
    <xf applyAlignment="true" applyBorder="true" applyFill="false" applyFont="false" applyNumberFormat="true" borderId="2334" fillId="0" fontId="1" numFmtId="1000" quotePrefix="false">
      <alignment horizontal="center" vertical="top"/>
    </xf>
    <xf applyAlignment="true" applyBorder="true" applyFill="false" applyFont="false" applyNumberFormat="true" borderId="2335" fillId="0" fontId="1" numFmtId="1000" quotePrefix="false">
      <alignment horizontal="center" vertical="top"/>
    </xf>
    <xf applyAlignment="true" applyBorder="true" applyFill="false" applyFont="false" applyNumberFormat="true" borderId="2336" fillId="0" fontId="1" numFmtId="1000" quotePrefix="false">
      <alignment horizontal="center" vertical="top"/>
    </xf>
    <xf applyAlignment="true" applyBorder="true" applyFill="false" applyFont="false" applyNumberFormat="true" borderId="2337" fillId="0" fontId="1" numFmtId="1000" quotePrefix="false">
      <alignment horizontal="center" vertical="top"/>
    </xf>
    <xf applyAlignment="true" applyBorder="true" applyFill="false" applyFont="false" applyNumberFormat="true" borderId="2338" fillId="0" fontId="1" numFmtId="1000" quotePrefix="false">
      <alignment horizontal="center" vertical="top"/>
    </xf>
    <xf applyAlignment="true" applyBorder="true" applyFill="false" applyFont="false" applyNumberFormat="true" borderId="2339" fillId="0" fontId="1" numFmtId="1000" quotePrefix="false">
      <alignment horizontal="center" vertical="top"/>
    </xf>
    <xf applyAlignment="true" applyBorder="true" applyFill="false" applyFont="true" applyNumberFormat="true" borderId="2340" fillId="0" fontId="13" numFmtId="1000" quotePrefix="false">
      <alignment horizontal="center" vertical="top"/>
    </xf>
    <xf applyAlignment="true" applyBorder="true" applyFill="false" applyFont="true" applyNumberFormat="true" borderId="2341" fillId="0" fontId="13" numFmtId="1000" quotePrefix="false">
      <alignment horizontal="center" vertical="top"/>
    </xf>
    <xf applyAlignment="true" applyBorder="true" applyFill="false" applyFont="true" applyNumberFormat="true" borderId="2342" fillId="0" fontId="13" numFmtId="1000" quotePrefix="false">
      <alignment horizontal="center" vertical="top"/>
    </xf>
    <xf applyAlignment="true" applyBorder="true" applyFill="false" applyFont="true" applyNumberFormat="true" borderId="2343" fillId="0" fontId="13" numFmtId="1000" quotePrefix="false">
      <alignment horizontal="center" vertical="top"/>
    </xf>
    <xf applyAlignment="true" applyBorder="true" applyFill="false" applyFont="true" applyNumberFormat="true" borderId="2344" fillId="0" fontId="13" numFmtId="1000" quotePrefix="false">
      <alignment horizontal="center" vertical="top"/>
    </xf>
    <xf applyAlignment="true" applyBorder="true" applyFill="false" applyFont="true" applyNumberFormat="true" borderId="2345" fillId="0" fontId="13" numFmtId="1000" quotePrefix="false">
      <alignment horizontal="center" vertical="top"/>
    </xf>
    <xf applyAlignment="true" applyBorder="true" applyFill="false" applyFont="true" applyNumberFormat="true" borderId="2346" fillId="0" fontId="13" numFmtId="1000" quotePrefix="false">
      <alignment horizontal="center" vertical="top"/>
    </xf>
    <xf applyAlignment="true" applyBorder="true" applyFill="false" applyFont="true" applyNumberFormat="true" borderId="2347" fillId="0" fontId="13" numFmtId="1000" quotePrefix="false">
      <alignment horizontal="center" vertical="top"/>
    </xf>
    <xf applyAlignment="true" applyBorder="true" applyFill="false" applyFont="true" applyNumberFormat="true" borderId="2348" fillId="0" fontId="13" numFmtId="1000" quotePrefix="false">
      <alignment horizontal="center" vertical="top"/>
    </xf>
    <xf applyAlignment="true" applyBorder="true" applyFill="false" applyFont="true" applyNumberFormat="true" borderId="2349" fillId="0" fontId="13" numFmtId="1000" quotePrefix="false">
      <alignment horizontal="center" vertical="top"/>
    </xf>
    <xf applyAlignment="true" applyBorder="true" applyFill="false" applyFont="true" applyNumberFormat="true" borderId="2350" fillId="0" fontId="13" numFmtId="1000" quotePrefix="false">
      <alignment horizontal="center" vertical="top"/>
    </xf>
    <xf applyAlignment="true" applyBorder="true" applyFill="false" applyFont="true" applyNumberFormat="true" borderId="2351" fillId="0" fontId="13" numFmtId="1000" quotePrefix="false">
      <alignment horizontal="center" vertical="top"/>
    </xf>
    <xf applyAlignment="true" applyBorder="true" applyFill="false" applyFont="false" applyNumberFormat="true" borderId="2352" fillId="0" fontId="1" numFmtId="1000" quotePrefix="false">
      <alignment horizontal="center" vertical="top"/>
    </xf>
    <xf applyAlignment="true" applyBorder="true" applyFill="false" applyFont="false" applyNumberFormat="true" borderId="2353" fillId="0" fontId="1" numFmtId="1000" quotePrefix="false">
      <alignment horizontal="center" vertical="top"/>
    </xf>
    <xf applyAlignment="true" applyBorder="true" applyFill="false" applyFont="false" applyNumberFormat="true" borderId="2354" fillId="0" fontId="1" numFmtId="1000" quotePrefix="false">
      <alignment horizontal="center" vertical="top"/>
    </xf>
    <xf applyAlignment="true" applyBorder="true" applyFill="false" applyFont="true" applyNumberFormat="true" borderId="2355" fillId="0" fontId="13" numFmtId="1000" quotePrefix="false">
      <alignment horizontal="center" vertical="top"/>
    </xf>
    <xf applyAlignment="true" applyBorder="true" applyFill="false" applyFont="true" applyNumberFormat="true" borderId="2356" fillId="0" fontId="13" numFmtId="1000" quotePrefix="false">
      <alignment horizontal="center" vertical="top"/>
    </xf>
    <xf applyAlignment="true" applyBorder="true" applyFill="false" applyFont="true" applyNumberFormat="true" borderId="2357" fillId="0" fontId="13" numFmtId="1000" quotePrefix="false">
      <alignment horizontal="center" vertical="top"/>
    </xf>
    <xf applyAlignment="true" applyBorder="true" applyFill="false" applyFont="true" applyNumberFormat="true" borderId="2358" fillId="0" fontId="13" numFmtId="1000" quotePrefix="false">
      <alignment horizontal="center" vertical="top"/>
    </xf>
    <xf applyAlignment="true" applyBorder="true" applyFill="false" applyFont="true" applyNumberFormat="true" borderId="2359" fillId="0" fontId="13" numFmtId="1000" quotePrefix="false">
      <alignment horizontal="center" vertical="top"/>
    </xf>
    <xf applyAlignment="true" applyBorder="true" applyFill="false" applyFont="true" applyNumberFormat="true" borderId="2360" fillId="0" fontId="13" numFmtId="1000" quotePrefix="false">
      <alignment horizontal="center" vertical="top"/>
    </xf>
    <xf applyAlignment="true" applyBorder="true" applyFill="false" applyFont="true" applyNumberFormat="true" borderId="2361" fillId="0" fontId="13" numFmtId="1000" quotePrefix="false">
      <alignment horizontal="center" vertical="top"/>
    </xf>
    <xf applyAlignment="true" applyBorder="true" applyFill="false" applyFont="true" applyNumberFormat="true" borderId="2362" fillId="0" fontId="13" numFmtId="1000" quotePrefix="false">
      <alignment horizontal="center" vertical="top"/>
    </xf>
    <xf applyAlignment="true" applyBorder="true" applyFill="false" applyFont="false" applyNumberFormat="true" borderId="2363" fillId="0" fontId="1" numFmtId="1000" quotePrefix="false">
      <alignment horizontal="center" vertical="top"/>
    </xf>
    <xf applyAlignment="true" applyBorder="true" applyFill="false" applyFont="false" applyNumberFormat="true" borderId="2364" fillId="0" fontId="1" numFmtId="1000" quotePrefix="false">
      <alignment horizontal="center" vertical="top"/>
    </xf>
    <xf applyAlignment="true" applyBorder="true" applyFill="false" applyFont="false" applyNumberFormat="true" borderId="2365" fillId="0" fontId="1" numFmtId="1000" quotePrefix="false">
      <alignment horizontal="center" vertical="top"/>
    </xf>
    <xf applyAlignment="true" applyBorder="true" applyFill="false" applyFont="false" applyNumberFormat="true" borderId="2366" fillId="0" fontId="1" numFmtId="1000" quotePrefix="false">
      <alignment horizontal="center" vertical="top"/>
    </xf>
    <xf applyAlignment="true" applyBorder="true" applyFill="false" applyFont="true" applyNumberFormat="true" borderId="2367" fillId="0" fontId="13" numFmtId="1000" quotePrefix="false">
      <alignment horizontal="center" vertical="top"/>
    </xf>
    <xf applyAlignment="true" applyBorder="true" applyFill="false" applyFont="true" applyNumberFormat="true" borderId="2368" fillId="0" fontId="13" numFmtId="1000" quotePrefix="false">
      <alignment horizontal="center" vertical="top"/>
    </xf>
    <xf applyAlignment="true" applyBorder="true" applyFill="false" applyFont="true" applyNumberFormat="true" borderId="2369" fillId="0" fontId="13" numFmtId="1000" quotePrefix="false">
      <alignment horizontal="center" vertical="top"/>
    </xf>
    <xf applyAlignment="true" applyBorder="true" applyFill="false" applyFont="true" applyNumberFormat="true" borderId="2370" fillId="0" fontId="13" numFmtId="1000" quotePrefix="false">
      <alignment horizontal="center" vertical="top"/>
    </xf>
    <xf applyAlignment="true" applyBorder="true" applyFill="false" applyFont="true" applyNumberFormat="true" borderId="2371" fillId="0" fontId="13" numFmtId="1000" quotePrefix="false">
      <alignment horizontal="center" vertical="top"/>
    </xf>
    <xf applyAlignment="true" applyBorder="true" applyFill="false" applyFont="true" applyNumberFormat="true" borderId="2372" fillId="0" fontId="13" numFmtId="1000" quotePrefix="false">
      <alignment horizontal="center" vertical="top"/>
    </xf>
    <xf applyAlignment="true" applyBorder="true" applyFill="false" applyFont="true" applyNumberFormat="true" borderId="2373" fillId="0" fontId="13" numFmtId="1000" quotePrefix="false">
      <alignment horizontal="center" vertical="top"/>
    </xf>
    <xf applyAlignment="true" applyBorder="true" applyFill="false" applyFont="true" applyNumberFormat="true" borderId="2374" fillId="0" fontId="13" numFmtId="1000" quotePrefix="false">
      <alignment horizontal="center" vertical="top"/>
    </xf>
    <xf applyAlignment="true" applyBorder="true" applyFill="false" applyFont="false" applyNumberFormat="true" borderId="2375" fillId="0" fontId="1" numFmtId="1000" quotePrefix="false">
      <alignment horizontal="center" vertical="top"/>
    </xf>
    <xf applyAlignment="true" applyBorder="true" applyFill="false" applyFont="false" applyNumberFormat="true" borderId="2376" fillId="0" fontId="1" numFmtId="1000" quotePrefix="false">
      <alignment horizontal="center" vertical="top"/>
    </xf>
    <xf applyAlignment="true" applyBorder="true" applyFill="false" applyFont="false" applyNumberFormat="true" borderId="2377" fillId="0" fontId="1" numFmtId="1000" quotePrefix="false">
      <alignment horizontal="center" vertical="top"/>
    </xf>
    <xf applyAlignment="true" applyBorder="true" applyFill="false" applyFont="false" applyNumberFormat="true" borderId="2378" fillId="0" fontId="1" numFmtId="1000" quotePrefix="false">
      <alignment horizontal="center" vertical="top"/>
    </xf>
    <xf applyAlignment="true" applyBorder="true" applyFill="false" applyFont="true" applyNumberFormat="true" borderId="2379" fillId="0" fontId="13" numFmtId="1000" quotePrefix="false">
      <alignment horizontal="center" vertical="top"/>
    </xf>
    <xf applyAlignment="true" applyBorder="true" applyFill="false" applyFont="true" applyNumberFormat="true" borderId="2380" fillId="0" fontId="13" numFmtId="1000" quotePrefix="false">
      <alignment horizontal="center" vertical="top"/>
    </xf>
    <xf applyAlignment="true" applyBorder="true" applyFill="false" applyFont="true" applyNumberFormat="true" borderId="2381" fillId="0" fontId="13" numFmtId="1000" quotePrefix="false">
      <alignment horizontal="center" vertical="top"/>
    </xf>
    <xf applyAlignment="true" applyBorder="true" applyFill="false" applyFont="true" applyNumberFormat="true" borderId="2382" fillId="0" fontId="13" numFmtId="1000" quotePrefix="false">
      <alignment horizontal="center" vertical="top"/>
    </xf>
    <xf applyAlignment="true" applyBorder="true" applyFill="false" applyFont="true" applyNumberFormat="true" borderId="2383" fillId="0" fontId="13" numFmtId="1000" quotePrefix="false">
      <alignment horizontal="center" vertical="top"/>
    </xf>
    <xf applyAlignment="true" applyBorder="true" applyFill="false" applyFont="true" applyNumberFormat="true" borderId="2384" fillId="0" fontId="13" numFmtId="1000" quotePrefix="false">
      <alignment horizontal="center" vertical="top"/>
    </xf>
    <xf applyAlignment="true" applyBorder="true" applyFill="false" applyFont="true" applyNumberFormat="true" borderId="2385" fillId="0" fontId="13" numFmtId="1000" quotePrefix="false">
      <alignment horizontal="center" vertical="top"/>
    </xf>
    <xf applyAlignment="true" applyBorder="true" applyFill="false" applyFont="true" applyNumberFormat="true" borderId="2386" fillId="0" fontId="13" numFmtId="1000" quotePrefix="false">
      <alignment horizontal="center" vertical="top"/>
    </xf>
    <xf applyAlignment="true" applyBorder="true" applyFill="false" applyFont="false" applyNumberFormat="true" borderId="2387" fillId="0" fontId="1" numFmtId="1000" quotePrefix="false">
      <alignment horizontal="center" vertical="top"/>
    </xf>
    <xf applyAlignment="true" applyBorder="true" applyFill="false" applyFont="false" applyNumberFormat="true" borderId="2388" fillId="0" fontId="1" numFmtId="1000" quotePrefix="false">
      <alignment horizontal="center" vertical="top"/>
    </xf>
    <xf applyAlignment="true" applyBorder="true" applyFill="false" applyFont="false" applyNumberFormat="true" borderId="2389" fillId="0" fontId="1" numFmtId="1000" quotePrefix="false">
      <alignment horizontal="center" vertical="top"/>
    </xf>
    <xf applyAlignment="true" applyBorder="true" applyFill="false" applyFont="false" applyNumberFormat="true" borderId="2390" fillId="0" fontId="1" numFmtId="1000" quotePrefix="false">
      <alignment horizontal="center" vertical="top"/>
    </xf>
    <xf applyAlignment="true" applyBorder="true" applyFill="false" applyFont="true" applyNumberFormat="true" borderId="2391" fillId="0" fontId="13" numFmtId="1000" quotePrefix="false">
      <alignment horizontal="center" vertical="top"/>
    </xf>
    <xf applyAlignment="true" applyBorder="true" applyFill="false" applyFont="true" applyNumberFormat="true" borderId="2392" fillId="0" fontId="13" numFmtId="1000" quotePrefix="false">
      <alignment horizontal="center" vertical="top"/>
    </xf>
    <xf applyAlignment="true" applyBorder="true" applyFill="false" applyFont="true" applyNumberFormat="true" borderId="2393" fillId="0" fontId="13" numFmtId="1000" quotePrefix="false">
      <alignment horizontal="center" vertical="top"/>
    </xf>
    <xf applyAlignment="true" applyBorder="true" applyFill="false" applyFont="true" applyNumberFormat="true" borderId="2394" fillId="0" fontId="13" numFmtId="1000" quotePrefix="false">
      <alignment horizontal="center" vertical="top"/>
    </xf>
    <xf applyAlignment="true" applyBorder="true" applyFill="false" applyFont="true" applyNumberFormat="true" borderId="2395" fillId="0" fontId="13" numFmtId="1000" quotePrefix="false">
      <alignment horizontal="center" vertical="top"/>
    </xf>
    <xf applyAlignment="true" applyBorder="true" applyFill="false" applyFont="true" applyNumberFormat="true" borderId="2396" fillId="0" fontId="13" numFmtId="1000" quotePrefix="false">
      <alignment horizontal="center" vertical="top"/>
    </xf>
    <xf applyAlignment="true" applyBorder="true" applyFill="false" applyFont="true" applyNumberFormat="true" borderId="2397" fillId="0" fontId="13" numFmtId="1000" quotePrefix="false">
      <alignment horizontal="center" vertical="top"/>
    </xf>
    <xf applyAlignment="true" applyBorder="true" applyFill="false" applyFont="true" applyNumberFormat="true" borderId="2398" fillId="0" fontId="13" numFmtId="1000" quotePrefix="false">
      <alignment horizontal="center" vertical="top"/>
    </xf>
    <xf applyAlignment="true" applyBorder="true" applyFill="false" applyFont="false" applyNumberFormat="true" borderId="2399" fillId="0" fontId="1" numFmtId="1000" quotePrefix="false">
      <alignment horizontal="center" vertical="top"/>
    </xf>
    <xf applyAlignment="true" applyBorder="true" applyFill="false" applyFont="false" applyNumberFormat="true" borderId="2400" fillId="0" fontId="1" numFmtId="1000" quotePrefix="false">
      <alignment horizontal="center" vertical="top"/>
    </xf>
    <xf applyAlignment="true" applyBorder="true" applyFill="false" applyFont="false" applyNumberFormat="true" borderId="102" fillId="0" fontId="1" numFmtId="1000" quotePrefix="false">
      <alignment horizontal="center"/>
    </xf>
    <xf applyAlignment="true" applyBorder="true" applyFill="false" applyFont="false" applyNumberFormat="true" borderId="2401" fillId="0" fontId="1" numFmtId="1000" quotePrefix="false">
      <alignment horizontal="center" vertical="top"/>
    </xf>
    <xf applyAlignment="true" applyBorder="true" applyFill="false" applyFont="false" applyNumberFormat="true" borderId="2402" fillId="0" fontId="1" numFmtId="1000" quotePrefix="false">
      <alignment horizontal="center" vertical="top"/>
    </xf>
    <xf applyAlignment="true" applyBorder="true" applyFill="false" applyFont="true" applyNumberFormat="true" borderId="2403" fillId="0" fontId="13" numFmtId="1000" quotePrefix="false">
      <alignment horizontal="center" vertical="top"/>
    </xf>
    <xf applyAlignment="true" applyBorder="true" applyFill="false" applyFont="true" applyNumberFormat="true" borderId="2404" fillId="0" fontId="13" numFmtId="1000" quotePrefix="false">
      <alignment horizontal="center" vertical="top"/>
    </xf>
    <xf applyAlignment="true" applyBorder="true" applyFill="false" applyFont="true" applyNumberFormat="true" borderId="2405" fillId="0" fontId="13" numFmtId="1000" quotePrefix="false">
      <alignment horizontal="center" vertical="top"/>
    </xf>
    <xf applyAlignment="true" applyBorder="true" applyFill="false" applyFont="true" applyNumberFormat="true" borderId="2406" fillId="0" fontId="13" numFmtId="1000" quotePrefix="false">
      <alignment horizontal="center" vertical="top"/>
    </xf>
    <xf applyAlignment="true" applyBorder="true" applyFill="false" applyFont="true" applyNumberFormat="true" borderId="2407" fillId="0" fontId="13" numFmtId="1000" quotePrefix="false">
      <alignment horizontal="center" vertical="top"/>
    </xf>
    <xf applyAlignment="true" applyBorder="true" applyFill="false" applyFont="true" applyNumberFormat="true" borderId="2408" fillId="0" fontId="13" numFmtId="1000" quotePrefix="false">
      <alignment horizontal="center" vertical="top"/>
    </xf>
    <xf applyAlignment="true" applyBorder="true" applyFill="false" applyFont="true" applyNumberFormat="true" borderId="2409" fillId="0" fontId="13" numFmtId="1000" quotePrefix="false">
      <alignment horizontal="center" vertical="top"/>
    </xf>
    <xf applyAlignment="true" applyBorder="true" applyFill="false" applyFont="true" applyNumberFormat="true" borderId="2410" fillId="0" fontId="13" numFmtId="1000" quotePrefix="false">
      <alignment horizontal="center" vertical="top"/>
    </xf>
    <xf applyAlignment="true" applyBorder="true" applyFill="false" applyFont="false" applyNumberFormat="true" borderId="2411" fillId="0" fontId="1" numFmtId="1000" quotePrefix="false">
      <alignment horizontal="center" vertical="top"/>
    </xf>
    <xf applyAlignment="true" applyBorder="true" applyFill="false" applyFont="false" applyNumberFormat="true" borderId="2412" fillId="0" fontId="1" numFmtId="1000" quotePrefix="false">
      <alignment horizontal="center" vertical="top"/>
    </xf>
    <xf applyAlignment="true" applyBorder="true" applyFill="false" applyFont="false" applyNumberFormat="true" borderId="2413" fillId="0" fontId="1" numFmtId="1000" quotePrefix="false">
      <alignment horizontal="center" vertical="top"/>
    </xf>
    <xf applyAlignment="true" applyBorder="true" applyFill="false" applyFont="false" applyNumberFormat="true" borderId="2414" fillId="0" fontId="1" numFmtId="1000" quotePrefix="false">
      <alignment horizontal="center" vertical="top"/>
    </xf>
    <xf applyAlignment="true" applyBorder="true" applyFill="false" applyFont="true" applyNumberFormat="true" borderId="2415" fillId="0" fontId="13" numFmtId="1000" quotePrefix="false">
      <alignment horizontal="center" vertical="top"/>
    </xf>
    <xf applyAlignment="true" applyBorder="true" applyFill="false" applyFont="true" applyNumberFormat="true" borderId="2416" fillId="0" fontId="13" numFmtId="1000" quotePrefix="false">
      <alignment horizontal="center" vertical="top"/>
    </xf>
    <xf applyAlignment="true" applyBorder="true" applyFill="false" applyFont="true" applyNumberFormat="true" borderId="2417" fillId="0" fontId="13" numFmtId="1000" quotePrefix="false">
      <alignment horizontal="center" vertical="top"/>
    </xf>
    <xf applyAlignment="true" applyBorder="true" applyFill="false" applyFont="true" applyNumberFormat="true" borderId="2418" fillId="0" fontId="13" numFmtId="1000" quotePrefix="false">
      <alignment horizontal="center" vertical="top"/>
    </xf>
    <xf applyAlignment="true" applyBorder="true" applyFill="false" applyFont="true" applyNumberFormat="true" borderId="2419" fillId="0" fontId="13" numFmtId="1000" quotePrefix="false">
      <alignment horizontal="center" vertical="top"/>
    </xf>
    <xf applyAlignment="true" applyBorder="true" applyFill="false" applyFont="true" applyNumberFormat="true" borderId="2420" fillId="0" fontId="13" numFmtId="1000" quotePrefix="false">
      <alignment horizontal="center" vertical="top"/>
    </xf>
    <xf applyAlignment="true" applyBorder="true" applyFill="false" applyFont="true" applyNumberFormat="true" borderId="2421" fillId="0" fontId="13" numFmtId="1000" quotePrefix="false">
      <alignment horizontal="center" vertical="top"/>
    </xf>
    <xf applyAlignment="true" applyBorder="true" applyFill="false" applyFont="true" applyNumberFormat="true" borderId="2422" fillId="0" fontId="13" numFmtId="1000" quotePrefix="false">
      <alignment horizontal="center" vertical="top"/>
    </xf>
    <xf applyAlignment="true" applyBorder="true" applyFill="false" applyFont="false" applyNumberFormat="true" borderId="2423" fillId="0" fontId="1" numFmtId="1000" quotePrefix="false">
      <alignment horizontal="center" vertical="top"/>
    </xf>
    <xf applyAlignment="true" applyBorder="true" applyFill="false" applyFont="false" applyNumberFormat="true" borderId="2424" fillId="0" fontId="1" numFmtId="1000" quotePrefix="false">
      <alignment horizontal="center" vertical="top"/>
    </xf>
    <xf applyAlignment="true" applyBorder="true" applyFill="false" applyFont="false" applyNumberFormat="true" borderId="2425" fillId="0" fontId="1" numFmtId="1000" quotePrefix="false">
      <alignment horizontal="center" vertical="top"/>
    </xf>
    <xf applyAlignment="true" applyBorder="true" applyFill="false" applyFont="false" applyNumberFormat="true" borderId="2426" fillId="0" fontId="1" numFmtId="1000" quotePrefix="false">
      <alignment horizontal="center" vertical="top"/>
    </xf>
    <xf applyAlignment="true" applyBorder="true" applyFill="false" applyFont="true" applyNumberFormat="true" borderId="2427" fillId="0" fontId="13" numFmtId="1000" quotePrefix="false">
      <alignment horizontal="center" vertical="top"/>
    </xf>
    <xf applyAlignment="true" applyBorder="true" applyFill="false" applyFont="true" applyNumberFormat="true" borderId="2428" fillId="0" fontId="13" numFmtId="1000" quotePrefix="false">
      <alignment horizontal="center" vertical="top"/>
    </xf>
    <xf applyAlignment="true" applyBorder="true" applyFill="false" applyFont="true" applyNumberFormat="true" borderId="2429" fillId="0" fontId="13" numFmtId="1000" quotePrefix="false">
      <alignment horizontal="center" vertical="top"/>
    </xf>
    <xf applyAlignment="true" applyBorder="true" applyFill="false" applyFont="true" applyNumberFormat="true" borderId="2430" fillId="0" fontId="13" numFmtId="1000" quotePrefix="false">
      <alignment horizontal="center" vertical="top"/>
    </xf>
    <xf applyAlignment="true" applyBorder="true" applyFill="false" applyFont="true" applyNumberFormat="true" borderId="2431" fillId="0" fontId="13" numFmtId="1000" quotePrefix="false">
      <alignment horizontal="center" vertical="top"/>
    </xf>
    <xf applyAlignment="true" applyBorder="true" applyFill="false" applyFont="true" applyNumberFormat="true" borderId="2432" fillId="0" fontId="13" numFmtId="1000" quotePrefix="false">
      <alignment horizontal="center" vertical="top"/>
    </xf>
    <xf applyAlignment="true" applyBorder="true" applyFill="false" applyFont="true" applyNumberFormat="true" borderId="2433" fillId="0" fontId="13" numFmtId="1000" quotePrefix="false">
      <alignment horizontal="center" vertical="top"/>
    </xf>
    <xf applyAlignment="true" applyBorder="true" applyFill="false" applyFont="true" applyNumberFormat="true" borderId="2434" fillId="0" fontId="13" numFmtId="1000" quotePrefix="false">
      <alignment horizontal="center" vertical="top"/>
    </xf>
    <xf applyAlignment="true" applyBorder="true" applyFill="false" applyFont="false" applyNumberFormat="true" borderId="2435" fillId="0" fontId="1" numFmtId="1000" quotePrefix="false">
      <alignment horizontal="center" vertical="top"/>
    </xf>
    <xf applyAlignment="true" applyBorder="true" applyFill="false" applyFont="false" applyNumberFormat="true" borderId="2436" fillId="0" fontId="1" numFmtId="1000" quotePrefix="false">
      <alignment horizontal="center" vertical="top"/>
    </xf>
    <xf applyAlignment="true" applyBorder="true" applyFill="false" applyFont="false" applyNumberFormat="true" borderId="2437" fillId="0" fontId="1" numFmtId="1000" quotePrefix="false">
      <alignment horizontal="center" vertical="top"/>
    </xf>
    <xf applyAlignment="true" applyBorder="true" applyFill="false" applyFont="false" applyNumberFormat="true" borderId="2438" fillId="0" fontId="1" numFmtId="1000" quotePrefix="false">
      <alignment horizontal="center" vertical="top"/>
    </xf>
    <xf applyAlignment="true" applyBorder="true" applyFill="false" applyFont="false" applyNumberFormat="true" borderId="2439" fillId="0" fontId="1" numFmtId="1000" quotePrefix="false">
      <alignment horizontal="center" vertical="top"/>
    </xf>
    <xf applyAlignment="true" applyBorder="true" applyFill="false" applyFont="false" applyNumberFormat="true" borderId="2440" fillId="0" fontId="1" numFmtId="1000" quotePrefix="false">
      <alignment horizontal="center" vertical="top"/>
    </xf>
    <xf applyAlignment="true" applyBorder="true" applyFill="false" applyFont="true" applyNumberFormat="true" borderId="2441" fillId="0" fontId="13" numFmtId="1000" quotePrefix="false">
      <alignment horizontal="center" vertical="top"/>
    </xf>
    <xf applyAlignment="true" applyBorder="true" applyFill="false" applyFont="true" applyNumberFormat="true" borderId="2442" fillId="0" fontId="13" numFmtId="1000" quotePrefix="false">
      <alignment horizontal="center" vertical="top"/>
    </xf>
    <xf applyAlignment="true" applyBorder="true" applyFill="false" applyFont="true" applyNumberFormat="true" borderId="2443" fillId="0" fontId="13" numFmtId="1000" quotePrefix="false">
      <alignment horizontal="center" vertical="top"/>
    </xf>
    <xf applyAlignment="true" applyBorder="true" applyFill="false" applyFont="true" applyNumberFormat="true" borderId="2444" fillId="0" fontId="13" numFmtId="1000" quotePrefix="false">
      <alignment horizontal="center" vertical="top"/>
    </xf>
    <xf applyAlignment="true" applyBorder="true" applyFill="false" applyFont="true" applyNumberFormat="true" borderId="2445" fillId="0" fontId="13" numFmtId="1000" quotePrefix="false">
      <alignment horizontal="center" vertical="top"/>
    </xf>
    <xf applyAlignment="true" applyBorder="true" applyFill="false" applyFont="true" applyNumberFormat="true" borderId="2446" fillId="0" fontId="13" numFmtId="1000" quotePrefix="false">
      <alignment horizontal="center" vertical="top"/>
    </xf>
    <xf applyAlignment="true" applyBorder="true" applyFill="false" applyFont="true" applyNumberFormat="true" borderId="2447" fillId="0" fontId="13" numFmtId="1000" quotePrefix="false">
      <alignment horizontal="center" vertical="top"/>
    </xf>
    <xf applyAlignment="true" applyBorder="true" applyFill="false" applyFont="true" applyNumberFormat="true" borderId="2448" fillId="0" fontId="13" numFmtId="1000" quotePrefix="false">
      <alignment horizontal="center" vertical="top"/>
    </xf>
    <xf applyAlignment="true" applyBorder="true" applyFill="false" applyFont="true" applyNumberFormat="true" borderId="2449" fillId="0" fontId="13" numFmtId="1000" quotePrefix="false">
      <alignment horizontal="center" vertical="top"/>
    </xf>
    <xf applyAlignment="true" applyBorder="true" applyFill="false" applyFont="true" applyNumberFormat="true" borderId="2450" fillId="0" fontId="13" numFmtId="1000" quotePrefix="false">
      <alignment horizontal="center" vertical="top"/>
    </xf>
    <xf applyAlignment="true" applyBorder="true" applyFill="false" applyFont="true" applyNumberFormat="true" borderId="2451" fillId="0" fontId="13" numFmtId="1000" quotePrefix="false">
      <alignment horizontal="center" vertical="top"/>
    </xf>
    <xf applyAlignment="true" applyBorder="true" applyFill="false" applyFont="true" applyNumberFormat="true" borderId="2452" fillId="0" fontId="13" numFmtId="1000" quotePrefix="false">
      <alignment horizontal="center" vertical="top"/>
    </xf>
    <xf applyAlignment="true" applyBorder="true" applyFill="false" applyFont="true" applyNumberFormat="true" borderId="2453" fillId="0" fontId="13" numFmtId="1000" quotePrefix="false">
      <alignment horizontal="center" vertical="top"/>
    </xf>
    <xf applyAlignment="true" applyBorder="true" applyFill="false" applyFont="true" applyNumberFormat="true" borderId="2454" fillId="0" fontId="13" numFmtId="1000" quotePrefix="false">
      <alignment horizontal="center" vertical="top"/>
    </xf>
    <xf applyAlignment="true" applyBorder="true" applyFill="false" applyFont="true" applyNumberFormat="true" borderId="2455" fillId="0" fontId="13" numFmtId="1000" quotePrefix="false">
      <alignment horizontal="center" vertical="top"/>
    </xf>
    <xf applyAlignment="true" applyBorder="true" applyFill="false" applyFont="true" applyNumberFormat="true" borderId="2456" fillId="0" fontId="13" numFmtId="1000" quotePrefix="false">
      <alignment horizontal="center" vertical="top"/>
    </xf>
    <xf applyAlignment="true" applyBorder="true" applyFill="false" applyFont="false" applyNumberFormat="true" borderId="2457" fillId="0" fontId="1" numFmtId="1000" quotePrefix="false">
      <alignment horizontal="center" vertical="top"/>
    </xf>
    <xf applyAlignment="true" applyBorder="true" applyFill="false" applyFont="false" applyNumberFormat="true" borderId="2458" fillId="0" fontId="1" numFmtId="1000" quotePrefix="false">
      <alignment horizontal="center" vertical="top"/>
    </xf>
    <xf applyAlignment="true" applyBorder="true" applyFill="false" applyFont="true" applyNumberFormat="true" borderId="2459" fillId="0" fontId="2" numFmtId="1000" quotePrefix="false">
      <alignment horizontal="center" vertical="top"/>
    </xf>
    <xf applyAlignment="true" applyBorder="true" applyFill="false" applyFont="false" applyNumberFormat="true" borderId="2460" fillId="0" fontId="1" numFmtId="1000" quotePrefix="false">
      <alignment horizontal="left" vertical="top"/>
    </xf>
    <xf applyAlignment="true" applyBorder="true" applyFill="false" applyFont="false" applyNumberFormat="true" borderId="2461" fillId="0" fontId="1" numFmtId="1000" quotePrefix="false">
      <alignment horizontal="left" vertical="top"/>
    </xf>
    <xf applyAlignment="true" applyBorder="true" applyFill="false" applyFont="false" applyNumberFormat="true" borderId="2462" fillId="0" fontId="1" numFmtId="1000" quotePrefix="false">
      <alignment horizontal="left" vertical="top"/>
    </xf>
    <xf applyAlignment="true" applyBorder="true" applyFill="false" applyFont="false" applyNumberFormat="true" borderId="2463" fillId="0" fontId="1" numFmtId="1000" quotePrefix="false">
      <alignment horizontal="left" vertical="top"/>
    </xf>
    <xf applyAlignment="true" applyBorder="true" applyFill="false" applyFont="false" applyNumberFormat="true" borderId="2464" fillId="0" fontId="1" numFmtId="1000" quotePrefix="false">
      <alignment horizontal="left" vertical="top"/>
    </xf>
    <xf applyAlignment="true" applyBorder="true" applyFill="false" applyFont="false" applyNumberFormat="true" borderId="2465" fillId="0" fontId="1" numFmtId="1000" quotePrefix="false">
      <alignment horizontal="left" vertical="top"/>
    </xf>
    <xf applyAlignment="true" applyBorder="true" applyFill="false" applyFont="false" applyNumberFormat="true" borderId="2466" fillId="0" fontId="1" numFmtId="1000" quotePrefix="false">
      <alignment horizontal="left" vertical="top"/>
    </xf>
    <xf applyAlignment="true" applyBorder="true" applyFill="false" applyFont="false" applyNumberFormat="true" borderId="2467" fillId="0" fontId="1" numFmtId="1000" quotePrefix="false">
      <alignment horizontal="left" vertical="top"/>
    </xf>
    <xf applyAlignment="true" applyBorder="true" applyFill="false" applyFont="false" applyNumberFormat="true" borderId="2468" fillId="0" fontId="1" numFmtId="1000" quotePrefix="false">
      <alignment horizontal="left" vertical="top"/>
    </xf>
    <xf applyAlignment="true" applyBorder="true" applyFill="false" applyFont="false" applyNumberFormat="true" borderId="2469" fillId="0" fontId="1" numFmtId="1000" quotePrefix="false">
      <alignment horizontal="left" vertical="top"/>
    </xf>
    <xf applyAlignment="true" applyBorder="true" applyFill="false" applyFont="false" applyNumberFormat="true" borderId="2470" fillId="0" fontId="1" numFmtId="1000" quotePrefix="false">
      <alignment horizontal="left" vertical="top"/>
    </xf>
    <xf applyAlignment="true" applyBorder="true" applyFill="false" applyFont="false" applyNumberFormat="true" borderId="2471" fillId="0" fontId="1" numFmtId="1000" quotePrefix="false">
      <alignment horizontal="left" vertical="top"/>
    </xf>
    <xf applyAlignment="true" applyBorder="true" applyFill="false" applyFont="false" applyNumberFormat="true" borderId="2472" fillId="0" fontId="1" numFmtId="1000" quotePrefix="false">
      <alignment horizontal="left" vertical="top"/>
    </xf>
    <xf applyAlignment="true" applyBorder="true" applyFill="false" applyFont="false" applyNumberFormat="true" borderId="2473" fillId="0" fontId="1" numFmtId="1000" quotePrefix="false">
      <alignment horizontal="left" vertical="top"/>
    </xf>
    <xf applyAlignment="true" applyBorder="true" applyFill="false" applyFont="false" applyNumberFormat="true" borderId="2474" fillId="0" fontId="1" numFmtId="1000" quotePrefix="false">
      <alignment horizontal="left" vertical="top"/>
    </xf>
    <xf applyAlignment="true" applyBorder="true" applyFill="false" applyFont="false" applyNumberFormat="true" borderId="2475" fillId="0" fontId="1" numFmtId="1000" quotePrefix="false">
      <alignment horizontal="left" vertical="top"/>
    </xf>
    <xf applyAlignment="true" applyBorder="true" applyFill="false" applyFont="false" applyNumberFormat="true" borderId="2476" fillId="0" fontId="1" numFmtId="1000" quotePrefix="false">
      <alignment horizontal="left" vertical="top"/>
    </xf>
    <xf applyAlignment="true" applyBorder="true" applyFill="false" applyFont="false" applyNumberFormat="true" borderId="2477" fillId="0" fontId="1" numFmtId="1000" quotePrefix="false">
      <alignment horizontal="left" vertical="top"/>
    </xf>
    <xf applyAlignment="true" applyBorder="true" applyFill="false" applyFont="false" applyNumberFormat="true" borderId="2478" fillId="0" fontId="1" numFmtId="1000" quotePrefix="false">
      <alignment horizontal="left" vertical="top"/>
    </xf>
    <xf applyAlignment="true" applyBorder="true" applyFill="false" applyFont="true" applyNumberFormat="true" borderId="2479" fillId="0" fontId="2" numFmtId="1000" quotePrefix="false">
      <alignment horizontal="center"/>
    </xf>
    <xf applyAlignment="true" applyBorder="true" applyFill="false" applyFont="true" applyNumberFormat="true" borderId="2480" fillId="0" fontId="2" numFmtId="1000" quotePrefix="false">
      <alignment horizontal="center"/>
    </xf>
    <xf applyAlignment="true" applyBorder="true" applyFill="false" applyFont="true" applyNumberFormat="true" borderId="2481" fillId="0" fontId="2" numFmtId="1000" quotePrefix="false">
      <alignment horizontal="center"/>
    </xf>
    <xf applyAlignment="true" applyBorder="true" applyFill="false" applyFont="false" applyNumberFormat="true" borderId="2482" fillId="0" fontId="1" numFmtId="1000" quotePrefix="false">
      <alignment horizontal="center" vertical="top"/>
    </xf>
    <xf applyAlignment="true" applyBorder="true" applyFill="false" applyFont="false" applyNumberFormat="true" borderId="2483" fillId="0" fontId="1" numFmtId="1000" quotePrefix="false">
      <alignment horizontal="center" vertical="top"/>
    </xf>
    <xf applyAlignment="true" applyBorder="true" applyFill="false" applyFont="false" applyNumberFormat="true" borderId="2484" fillId="0" fontId="1" numFmtId="1000" quotePrefix="false">
      <alignment horizontal="center" vertical="top"/>
    </xf>
    <xf applyAlignment="true" applyBorder="true" applyFill="false" applyFont="false" applyNumberFormat="true" borderId="2485" fillId="0" fontId="1" numFmtId="1000" quotePrefix="false">
      <alignment horizontal="center" vertical="top"/>
    </xf>
    <xf applyAlignment="true" applyBorder="true" applyFill="false" applyFont="false" applyNumberFormat="true" borderId="2486" fillId="0" fontId="1" numFmtId="1000" quotePrefix="false">
      <alignment horizontal="center" vertical="top"/>
    </xf>
    <xf applyAlignment="true" applyBorder="true" applyFill="false" applyFont="false" applyNumberFormat="true" borderId="2487" fillId="0" fontId="1" numFmtId="1000" quotePrefix="false">
      <alignment horizontal="center" vertical="top"/>
    </xf>
    <xf applyAlignment="true" applyBorder="true" applyFill="false" applyFont="false" applyNumberFormat="true" borderId="2488" fillId="0" fontId="1" numFmtId="1000" quotePrefix="false">
      <alignment horizontal="center" vertical="top"/>
    </xf>
    <xf applyAlignment="true" applyBorder="true" applyFill="false" applyFont="false" applyNumberFormat="true" borderId="2489" fillId="0" fontId="1" numFmtId="1000" quotePrefix="false">
      <alignment horizontal="center" vertical="top"/>
    </xf>
    <xf applyAlignment="true" applyBorder="true" applyFill="false" applyFont="false" applyNumberFormat="true" borderId="2490" fillId="0" fontId="1" numFmtId="1000" quotePrefix="false">
      <alignment horizontal="center" vertical="top"/>
    </xf>
    <xf applyAlignment="true" applyBorder="true" applyFill="false" applyFont="false" applyNumberFormat="true" borderId="2491" fillId="0" fontId="1" numFmtId="1000" quotePrefix="false">
      <alignment horizontal="center" vertical="top"/>
    </xf>
    <xf applyAlignment="true" applyBorder="true" applyFill="false" applyFont="false" applyNumberFormat="true" borderId="2492" fillId="0" fontId="1" numFmtId="1000" quotePrefix="false">
      <alignment horizontal="center" vertical="top"/>
    </xf>
    <xf applyAlignment="true" applyBorder="true" applyFill="false" applyFont="false" applyNumberFormat="true" borderId="2493" fillId="0" fontId="1" numFmtId="1000" quotePrefix="false">
      <alignment horizontal="center" vertical="top"/>
    </xf>
    <xf applyAlignment="true" applyBorder="true" applyFill="false" applyFont="false" applyNumberFormat="true" borderId="2494" fillId="0" fontId="1" numFmtId="1000" quotePrefix="false">
      <alignment horizontal="center" vertical="top"/>
    </xf>
    <xf applyAlignment="true" applyBorder="true" applyFill="false" applyFont="false" applyNumberFormat="true" borderId="2495" fillId="0" fontId="1" numFmtId="1000" quotePrefix="false">
      <alignment horizontal="center" vertical="top"/>
    </xf>
    <xf applyAlignment="true" applyBorder="true" applyFill="false" applyFont="false" applyNumberFormat="true" borderId="2496" fillId="0" fontId="1" numFmtId="1000" quotePrefix="false">
      <alignment horizontal="center" vertical="top"/>
    </xf>
    <xf applyAlignment="true" applyBorder="true" applyFill="false" applyFont="false" applyNumberFormat="true" borderId="2497" fillId="0" fontId="1" numFmtId="1000" quotePrefix="false">
      <alignment horizontal="center" vertical="top"/>
    </xf>
    <xf applyAlignment="true" applyBorder="true" applyFill="false" applyFont="true" applyNumberFormat="true" borderId="2498" fillId="0" fontId="13" numFmtId="1000" quotePrefix="false">
      <alignment horizontal="center" vertical="top"/>
    </xf>
    <xf applyAlignment="true" applyBorder="true" applyFill="false" applyFont="true" applyNumberFormat="true" borderId="2499" fillId="0" fontId="13" numFmtId="1000" quotePrefix="false">
      <alignment horizontal="center" vertical="top"/>
    </xf>
    <xf applyAlignment="true" applyBorder="true" applyFill="false" applyFont="true" applyNumberFormat="true" borderId="2500" fillId="0" fontId="13" numFmtId="1000" quotePrefix="false">
      <alignment horizontal="center" vertical="top"/>
    </xf>
    <xf applyAlignment="true" applyBorder="true" applyFill="false" applyFont="false" applyNumberFormat="true" borderId="2501" fillId="0" fontId="1" numFmtId="1000" quotePrefix="false">
      <alignment horizontal="center" vertical="top"/>
    </xf>
    <xf applyAlignment="true" applyBorder="true" applyFill="false" applyFont="false" applyNumberFormat="true" borderId="2502" fillId="0" fontId="1" numFmtId="1000" quotePrefix="false">
      <alignment horizontal="center" vertical="top"/>
    </xf>
    <xf applyAlignment="true" applyBorder="true" applyFill="false" applyFont="false" applyNumberFormat="true" borderId="2503" fillId="0" fontId="1" numFmtId="1000" quotePrefix="false">
      <alignment horizontal="center" vertical="top"/>
    </xf>
    <xf applyAlignment="true" applyBorder="true" applyFill="false" applyFont="false" applyNumberFormat="true" borderId="2504" fillId="0" fontId="1" numFmtId="1000" quotePrefix="false">
      <alignment horizontal="center" vertical="top"/>
    </xf>
    <xf applyAlignment="true" applyBorder="true" applyFill="false" applyFont="false" applyNumberFormat="true" borderId="2505" fillId="0" fontId="1" numFmtId="1000" quotePrefix="false">
      <alignment horizontal="center" vertical="top"/>
    </xf>
    <xf applyAlignment="true" applyBorder="true" applyFill="false" applyFont="false" applyNumberFormat="true" borderId="2506" fillId="0" fontId="1" numFmtId="1000" quotePrefix="false">
      <alignment horizontal="center" vertical="top"/>
    </xf>
    <xf applyAlignment="true" applyBorder="true" applyFill="false" applyFont="false" applyNumberFormat="true" borderId="2507" fillId="0" fontId="1" numFmtId="1000" quotePrefix="false">
      <alignment horizontal="center" vertical="top"/>
    </xf>
    <xf applyAlignment="true" applyBorder="true" applyFill="false" applyFont="true" applyNumberFormat="true" borderId="2508" fillId="0" fontId="13" numFmtId="1000" quotePrefix="false">
      <alignment horizontal="center" vertical="top"/>
    </xf>
    <xf applyAlignment="true" applyBorder="true" applyFill="false" applyFont="true" applyNumberFormat="true" borderId="2509" fillId="0" fontId="13" numFmtId="1000" quotePrefix="false">
      <alignment horizontal="center" vertical="top"/>
    </xf>
    <xf applyAlignment="true" applyBorder="true" applyFill="false" applyFont="false" applyNumberFormat="true" borderId="2510" fillId="0" fontId="1" numFmtId="1000" quotePrefix="false">
      <alignment horizontal="center" vertical="top"/>
    </xf>
    <xf applyAlignment="true" applyBorder="true" applyFill="false" applyFont="false" applyNumberFormat="true" borderId="2511" fillId="0" fontId="1" numFmtId="1000" quotePrefix="false">
      <alignment horizontal="center" vertical="top"/>
    </xf>
    <xf applyAlignment="true" applyBorder="true" applyFill="false" applyFont="false" applyNumberFormat="true" borderId="2512" fillId="0" fontId="1" numFmtId="1000" quotePrefix="false">
      <alignment horizontal="center" vertical="top"/>
    </xf>
    <xf applyAlignment="true" applyBorder="true" applyFill="false" applyFont="false" applyNumberFormat="true" borderId="2513" fillId="0" fontId="1" numFmtId="1000" quotePrefix="false">
      <alignment horizontal="center" vertical="top"/>
    </xf>
    <xf applyAlignment="true" applyBorder="true" applyFill="false" applyFont="false" applyNumberFormat="true" borderId="2514" fillId="0" fontId="1" numFmtId="1000" quotePrefix="false">
      <alignment horizontal="center" vertical="top"/>
    </xf>
    <xf applyAlignment="true" applyBorder="true" applyFill="false" applyFont="false" applyNumberFormat="true" borderId="2515" fillId="0" fontId="1" numFmtId="1000" quotePrefix="false">
      <alignment horizontal="center" vertical="top"/>
    </xf>
    <xf applyAlignment="true" applyBorder="true" applyFill="false" applyFont="true" applyNumberFormat="true" borderId="2516" fillId="0" fontId="13" numFmtId="1000" quotePrefix="false">
      <alignment horizontal="center" vertical="top"/>
    </xf>
    <xf applyAlignment="true" applyBorder="true" applyFill="false" applyFont="true" applyNumberFormat="true" borderId="2517" fillId="0" fontId="13" numFmtId="1000" quotePrefix="false">
      <alignment horizontal="center" vertical="top"/>
    </xf>
    <xf applyAlignment="true" applyBorder="true" applyFill="false" applyFont="false" applyNumberFormat="true" borderId="2518" fillId="0" fontId="1" numFmtId="1000" quotePrefix="false">
      <alignment horizontal="center" vertical="top"/>
    </xf>
    <xf applyAlignment="true" applyBorder="true" applyFill="false" applyFont="false" applyNumberFormat="true" borderId="2519" fillId="0" fontId="1" numFmtId="1000" quotePrefix="false">
      <alignment horizontal="center" vertical="top"/>
    </xf>
    <xf applyAlignment="true" applyBorder="true" applyFill="false" applyFont="false" applyNumberFormat="true" borderId="2520" fillId="0" fontId="1" numFmtId="1000" quotePrefix="false">
      <alignment horizontal="center" vertical="top"/>
    </xf>
    <xf applyAlignment="true" applyBorder="true" applyFill="false" applyFont="false" applyNumberFormat="true" borderId="2521" fillId="0" fontId="1" numFmtId="1000" quotePrefix="false">
      <alignment horizontal="center" vertical="top"/>
    </xf>
    <xf applyAlignment="true" applyBorder="true" applyFill="false" applyFont="false" applyNumberFormat="true" borderId="2522" fillId="0" fontId="1" numFmtId="1000" quotePrefix="false">
      <alignment horizontal="center" vertical="top"/>
    </xf>
    <xf applyAlignment="true" applyBorder="true" applyFill="false" applyFont="false" applyNumberFormat="true" borderId="2523" fillId="0" fontId="1" numFmtId="1000" quotePrefix="false">
      <alignment horizontal="center" vertical="top"/>
    </xf>
    <xf applyAlignment="true" applyBorder="true" applyFill="false" applyFont="true" applyNumberFormat="true" borderId="2524" fillId="0" fontId="13" numFmtId="1000" quotePrefix="false">
      <alignment horizontal="center" vertical="top"/>
    </xf>
    <xf applyAlignment="true" applyBorder="true" applyFill="false" applyFont="true" applyNumberFormat="true" borderId="2525" fillId="0" fontId="13" numFmtId="1000" quotePrefix="false">
      <alignment horizontal="center" vertical="top"/>
    </xf>
    <xf applyAlignment="true" applyBorder="true" applyFill="false" applyFont="false" applyNumberFormat="true" borderId="2526" fillId="0" fontId="1" numFmtId="1000" quotePrefix="false">
      <alignment horizontal="center" vertical="top"/>
    </xf>
    <xf applyAlignment="true" applyBorder="true" applyFill="false" applyFont="false" applyNumberFormat="true" borderId="2527" fillId="0" fontId="1" numFmtId="1000" quotePrefix="false">
      <alignment horizontal="center" vertical="top"/>
    </xf>
    <xf applyAlignment="true" applyBorder="true" applyFill="false" applyFont="false" applyNumberFormat="true" borderId="2528" fillId="0" fontId="1" numFmtId="1000" quotePrefix="false">
      <alignment horizontal="center" vertical="top"/>
    </xf>
    <xf applyAlignment="true" applyBorder="true" applyFill="false" applyFont="false" applyNumberFormat="true" borderId="2529" fillId="0" fontId="1" numFmtId="1000" quotePrefix="false">
      <alignment horizontal="center" vertical="top"/>
    </xf>
    <xf applyAlignment="true" applyBorder="true" applyFill="false" applyFont="false" applyNumberFormat="true" borderId="2530" fillId="0" fontId="1" numFmtId="1000" quotePrefix="false">
      <alignment horizontal="center" vertical="top"/>
    </xf>
    <xf applyAlignment="true" applyBorder="true" applyFill="false" applyFont="false" applyNumberFormat="true" borderId="2531" fillId="0" fontId="1" numFmtId="1000" quotePrefix="false">
      <alignment horizontal="center" vertical="top"/>
    </xf>
    <xf applyAlignment="true" applyBorder="true" applyFill="false" applyFont="true" applyNumberFormat="true" borderId="2532" fillId="0" fontId="13" numFmtId="1000" quotePrefix="false">
      <alignment horizontal="center" vertical="top"/>
    </xf>
    <xf applyAlignment="true" applyBorder="true" applyFill="false" applyFont="true" applyNumberFormat="true" borderId="2533" fillId="0" fontId="13" numFmtId="1000" quotePrefix="false">
      <alignment horizontal="center" vertical="top"/>
    </xf>
    <xf applyAlignment="true" applyBorder="true" applyFill="false" applyFont="false" applyNumberFormat="true" borderId="2534" fillId="0" fontId="1" numFmtId="1000" quotePrefix="false">
      <alignment horizontal="center" vertical="top"/>
    </xf>
    <xf applyAlignment="true" applyBorder="true" applyFill="false" applyFont="false" applyNumberFormat="true" borderId="2535" fillId="0" fontId="1" numFmtId="1000" quotePrefix="false">
      <alignment horizontal="center" vertical="top"/>
    </xf>
    <xf applyAlignment="true" applyBorder="true" applyFill="false" applyFont="false" applyNumberFormat="true" borderId="2536" fillId="0" fontId="1" numFmtId="1000" quotePrefix="false">
      <alignment horizontal="center" vertical="top"/>
    </xf>
    <xf applyAlignment="true" applyBorder="true" applyFill="false" applyFont="false" applyNumberFormat="true" borderId="2537" fillId="0" fontId="1" numFmtId="1000" quotePrefix="false">
      <alignment horizontal="center" vertical="top"/>
    </xf>
    <xf applyAlignment="true" applyBorder="true" applyFill="false" applyFont="false" applyNumberFormat="true" borderId="2538" fillId="0" fontId="1" numFmtId="1000" quotePrefix="false">
      <alignment horizontal="center" vertical="top"/>
    </xf>
    <xf applyAlignment="true" applyBorder="true" applyFill="false" applyFont="false" applyNumberFormat="true" borderId="2539" fillId="0" fontId="1" numFmtId="1000" quotePrefix="false">
      <alignment horizontal="center" vertical="top"/>
    </xf>
    <xf applyAlignment="true" applyBorder="true" applyFill="false" applyFont="true" applyNumberFormat="true" borderId="2540" fillId="0" fontId="13" numFmtId="1000" quotePrefix="false">
      <alignment horizontal="center" vertical="top"/>
    </xf>
    <xf applyAlignment="true" applyBorder="true" applyFill="false" applyFont="true" applyNumberFormat="true" borderId="2541" fillId="0" fontId="13" numFmtId="1000" quotePrefix="false">
      <alignment horizontal="center" vertical="top"/>
    </xf>
    <xf applyAlignment="true" applyBorder="true" applyFill="false" applyFont="false" applyNumberFormat="true" borderId="2542" fillId="0" fontId="1" numFmtId="1000" quotePrefix="false">
      <alignment horizontal="center" vertical="top"/>
    </xf>
    <xf applyAlignment="true" applyBorder="true" applyFill="false" applyFont="false" applyNumberFormat="true" borderId="2543" fillId="0" fontId="1" numFmtId="1000" quotePrefix="false">
      <alignment horizontal="center" vertical="top"/>
    </xf>
    <xf applyAlignment="true" applyBorder="true" applyFill="false" applyFont="false" applyNumberFormat="true" borderId="2544" fillId="0" fontId="1" numFmtId="1000" quotePrefix="false">
      <alignment horizontal="center" vertical="top"/>
    </xf>
    <xf applyAlignment="true" applyBorder="true" applyFill="false" applyFont="false" applyNumberFormat="true" borderId="2545" fillId="0" fontId="1" numFmtId="1000" quotePrefix="false">
      <alignment horizontal="center" vertical="top"/>
    </xf>
    <xf applyAlignment="true" applyBorder="true" applyFill="false" applyFont="false" applyNumberFormat="true" borderId="2546" fillId="0" fontId="1" numFmtId="1000" quotePrefix="false">
      <alignment horizontal="center" vertical="top"/>
    </xf>
    <xf applyAlignment="true" applyBorder="true" applyFill="false" applyFont="false" applyNumberFormat="true" borderId="2547" fillId="0" fontId="1" numFmtId="1000" quotePrefix="false">
      <alignment horizontal="center" vertical="top"/>
    </xf>
    <xf applyAlignment="true" applyBorder="true" applyFill="false" applyFont="true" applyNumberFormat="true" borderId="2548" fillId="0" fontId="13" numFmtId="1000" quotePrefix="false">
      <alignment horizontal="center" vertical="top"/>
    </xf>
    <xf applyAlignment="true" applyBorder="true" applyFill="false" applyFont="true" applyNumberFormat="true" borderId="2549" fillId="0" fontId="13" numFmtId="1000" quotePrefix="false">
      <alignment horizontal="center" vertical="top"/>
    </xf>
    <xf applyAlignment="true" applyBorder="true" applyFill="false" applyFont="false" applyNumberFormat="true" borderId="2550" fillId="0" fontId="1" numFmtId="1000" quotePrefix="false">
      <alignment horizontal="center" vertical="top"/>
    </xf>
    <xf applyAlignment="true" applyBorder="true" applyFill="false" applyFont="false" applyNumberFormat="true" borderId="2551" fillId="0" fontId="1" numFmtId="1000" quotePrefix="false">
      <alignment horizontal="center" vertical="top"/>
    </xf>
    <xf applyAlignment="true" applyBorder="true" applyFill="false" applyFont="false" applyNumberFormat="true" borderId="2552" fillId="0" fontId="1" numFmtId="1000" quotePrefix="false">
      <alignment horizontal="center" vertical="top"/>
    </xf>
    <xf applyAlignment="true" applyBorder="true" applyFill="false" applyFont="false" applyNumberFormat="true" borderId="2553" fillId="0" fontId="1" numFmtId="1000" quotePrefix="false">
      <alignment horizontal="center" vertical="top"/>
    </xf>
    <xf applyAlignment="true" applyBorder="true" applyFill="false" applyFont="false" applyNumberFormat="true" borderId="2554" fillId="0" fontId="1" numFmtId="1000" quotePrefix="false">
      <alignment horizontal="center" vertical="top"/>
    </xf>
    <xf applyAlignment="true" applyBorder="true" applyFill="false" applyFont="false" applyNumberFormat="true" borderId="2555" fillId="0" fontId="1" numFmtId="1000" quotePrefix="false">
      <alignment horizontal="center" vertical="top"/>
    </xf>
    <xf applyAlignment="true" applyBorder="true" applyFill="false" applyFont="true" applyNumberFormat="true" borderId="2556" fillId="0" fontId="13" numFmtId="1000" quotePrefix="false">
      <alignment horizontal="center" vertical="top"/>
    </xf>
    <xf applyAlignment="true" applyBorder="true" applyFill="false" applyFont="true" applyNumberFormat="true" borderId="2557" fillId="0" fontId="13" numFmtId="1000" quotePrefix="false">
      <alignment horizontal="center" vertical="top"/>
    </xf>
    <xf applyAlignment="true" applyBorder="true" applyFill="false" applyFont="false" applyNumberFormat="true" borderId="2558" fillId="0" fontId="1" numFmtId="1000" quotePrefix="false">
      <alignment horizontal="center" vertical="top"/>
    </xf>
    <xf applyAlignment="true" applyBorder="true" applyFill="false" applyFont="false" applyNumberFormat="true" borderId="2559" fillId="0" fontId="1" numFmtId="1000" quotePrefix="false">
      <alignment horizontal="center" vertical="top"/>
    </xf>
    <xf applyAlignment="true" applyBorder="true" applyFill="false" applyFont="false" applyNumberFormat="true" borderId="2560" fillId="0" fontId="1" numFmtId="1000" quotePrefix="false">
      <alignment horizontal="center" vertical="top"/>
    </xf>
    <xf applyAlignment="true" applyBorder="true" applyFill="false" applyFont="false" applyNumberFormat="true" borderId="2561" fillId="0" fontId="1" numFmtId="1000" quotePrefix="false">
      <alignment horizontal="center" vertical="top"/>
    </xf>
    <xf applyAlignment="true" applyBorder="true" applyFill="false" applyFont="false" applyNumberFormat="true" borderId="2562" fillId="0" fontId="1" numFmtId="1000" quotePrefix="false">
      <alignment horizontal="center" vertical="top"/>
    </xf>
    <xf applyAlignment="true" applyBorder="true" applyFill="false" applyFont="false" applyNumberFormat="true" borderId="2563" fillId="0" fontId="1" numFmtId="1000" quotePrefix="false">
      <alignment horizontal="center" vertical="top"/>
    </xf>
    <xf applyAlignment="true" applyBorder="true" applyFill="false" applyFont="true" applyNumberFormat="true" borderId="2564" fillId="0" fontId="13" numFmtId="1000" quotePrefix="false">
      <alignment horizontal="center" vertical="top"/>
    </xf>
    <xf applyAlignment="true" applyBorder="true" applyFill="false" applyFont="true" applyNumberFormat="true" borderId="2565" fillId="0" fontId="13" numFmtId="1000" quotePrefix="false">
      <alignment horizontal="center" vertical="top"/>
    </xf>
    <xf applyAlignment="true" applyBorder="true" applyFill="false" applyFont="true" applyNumberFormat="true" borderId="2566" fillId="0" fontId="13" numFmtId="1000" quotePrefix="false">
      <alignment horizontal="center" vertical="top"/>
    </xf>
    <xf applyAlignment="true" applyBorder="true" applyFill="false" applyFont="true" applyNumberFormat="true" borderId="2567" fillId="0" fontId="13" numFmtId="1000" quotePrefix="false">
      <alignment horizontal="center" vertical="top"/>
    </xf>
    <xf applyAlignment="true" applyBorder="true" applyFill="false" applyFont="false" applyNumberFormat="true" borderId="2568" fillId="0" fontId="1" numFmtId="1000" quotePrefix="false">
      <alignment horizontal="center" vertical="top"/>
    </xf>
    <xf applyAlignment="true" applyBorder="true" applyFill="false" applyFont="false" applyNumberFormat="true" borderId="2569" fillId="0" fontId="1" numFmtId="1000" quotePrefix="false">
      <alignment horizontal="center" vertical="top"/>
    </xf>
    <xf applyAlignment="true" applyBorder="true" applyFill="false" applyFont="false" applyNumberFormat="true" borderId="2570" fillId="0" fontId="1" numFmtId="1000" quotePrefix="false">
      <alignment horizontal="center" vertical="top"/>
    </xf>
    <xf applyAlignment="true" applyBorder="true" applyFill="false" applyFont="false" applyNumberFormat="true" borderId="2571" fillId="0" fontId="1" numFmtId="1000" quotePrefix="false">
      <alignment horizontal="center" vertical="top"/>
    </xf>
    <xf applyAlignment="true" applyBorder="true" applyFill="false" applyFont="false" applyNumberFormat="true" borderId="2572" fillId="0" fontId="1" numFmtId="1000" quotePrefix="false">
      <alignment horizontal="center" vertical="top"/>
    </xf>
    <xf applyAlignment="true" applyBorder="true" applyFill="false" applyFont="false" applyNumberFormat="true" borderId="2573" fillId="0" fontId="1" numFmtId="1000" quotePrefix="false">
      <alignment horizontal="center" vertical="top"/>
    </xf>
    <xf applyAlignment="true" applyBorder="true" applyFill="false" applyFont="false" applyNumberFormat="true" borderId="2574" fillId="0" fontId="1" numFmtId="1000" quotePrefix="false">
      <alignment horizontal="center" vertical="top"/>
    </xf>
    <xf applyAlignment="true" applyBorder="true" applyFill="false" applyFont="false" applyNumberFormat="true" borderId="2575" fillId="0" fontId="1" numFmtId="1000" quotePrefix="false">
      <alignment horizontal="center" vertical="top"/>
    </xf>
    <xf applyAlignment="true" applyBorder="true" applyFill="false" applyFont="false" applyNumberFormat="true" borderId="2576" fillId="0" fontId="1" numFmtId="1000" quotePrefix="false">
      <alignment horizontal="center" vertical="top"/>
    </xf>
    <xf applyAlignment="true" applyBorder="true" applyFill="false" applyFont="false" applyNumberFormat="true" borderId="2577" fillId="0" fontId="1" numFmtId="1000" quotePrefix="false">
      <alignment horizontal="center" vertical="top"/>
    </xf>
    <xf applyAlignment="true" applyBorder="true" applyFill="false" applyFont="true" applyNumberFormat="true" borderId="2578" fillId="0" fontId="2" numFmtId="1000" quotePrefix="false">
      <alignment horizontal="center" vertical="top"/>
    </xf>
    <xf applyAlignment="true" applyBorder="true" applyFill="false" applyFont="false" applyNumberFormat="true" borderId="2579" fillId="0" fontId="1" numFmtId="1000" quotePrefix="false">
      <alignment horizontal="left" vertical="top"/>
    </xf>
    <xf applyAlignment="true" applyBorder="true" applyFill="false" applyFont="false" applyNumberFormat="true" borderId="2580" fillId="0" fontId="1" numFmtId="1000" quotePrefix="false">
      <alignment horizontal="left" vertical="top"/>
    </xf>
    <xf applyAlignment="true" applyBorder="true" applyFill="false" applyFont="false" applyNumberFormat="true" borderId="2581" fillId="0" fontId="1" numFmtId="1000" quotePrefix="false">
      <alignment horizontal="left" vertical="top"/>
    </xf>
    <xf applyAlignment="true" applyBorder="true" applyFill="false" applyFont="false" applyNumberFormat="true" borderId="2582" fillId="0" fontId="1" numFmtId="1000" quotePrefix="false">
      <alignment horizontal="left" vertical="top"/>
    </xf>
    <xf applyAlignment="true" applyBorder="true" applyFill="false" applyFont="false" applyNumberFormat="true" borderId="2583" fillId="0" fontId="1" numFmtId="1000" quotePrefix="false">
      <alignment horizontal="left" vertical="top"/>
    </xf>
    <xf applyAlignment="true" applyBorder="true" applyFill="false" applyFont="false" applyNumberFormat="true" borderId="2584" fillId="0" fontId="1" numFmtId="1000" quotePrefix="false">
      <alignment horizontal="left" vertical="top"/>
    </xf>
    <xf applyAlignment="true" applyBorder="true" applyFill="false" applyFont="false" applyNumberFormat="true" borderId="2585" fillId="0" fontId="1" numFmtId="1000" quotePrefix="false">
      <alignment horizontal="left" vertical="top"/>
    </xf>
    <xf applyAlignment="true" applyBorder="true" applyFill="false" applyFont="false" applyNumberFormat="true" borderId="2586" fillId="0" fontId="1" numFmtId="1000" quotePrefix="false">
      <alignment horizontal="left" vertical="top"/>
    </xf>
    <xf applyAlignment="true" applyBorder="true" applyFill="false" applyFont="false" applyNumberFormat="true" borderId="2587" fillId="0" fontId="1" numFmtId="1000" quotePrefix="false">
      <alignment horizontal="left" vertical="top"/>
    </xf>
    <xf applyAlignment="true" applyBorder="true" applyFill="false" applyFont="false" applyNumberFormat="true" borderId="2588" fillId="0" fontId="1" numFmtId="1000" quotePrefix="false">
      <alignment horizontal="left" vertical="top"/>
    </xf>
    <xf applyAlignment="true" applyBorder="true" applyFill="false" applyFont="false" applyNumberFormat="true" borderId="2589" fillId="0" fontId="1" numFmtId="1000" quotePrefix="false">
      <alignment horizontal="left" vertical="top"/>
    </xf>
    <xf applyAlignment="true" applyBorder="true" applyFill="false" applyFont="false" applyNumberFormat="true" borderId="2590" fillId="0" fontId="1" numFmtId="1000" quotePrefix="false">
      <alignment horizontal="left" vertical="top"/>
    </xf>
    <xf applyAlignment="true" applyBorder="true" applyFill="false" applyFont="false" applyNumberFormat="true" borderId="2591" fillId="0" fontId="1" numFmtId="1000" quotePrefix="false">
      <alignment horizontal="left" vertical="top"/>
    </xf>
    <xf applyAlignment="true" applyBorder="true" applyFill="false" applyFont="false" applyNumberFormat="true" borderId="2592" fillId="0" fontId="1" numFmtId="1000" quotePrefix="false">
      <alignment horizontal="left" vertical="top"/>
    </xf>
    <xf applyAlignment="true" applyBorder="true" applyFill="false" applyFont="false" applyNumberFormat="true" borderId="2593" fillId="0" fontId="1" numFmtId="1000" quotePrefix="false">
      <alignment horizontal="left" vertical="top"/>
    </xf>
    <xf applyAlignment="true" applyBorder="true" applyFill="false" applyFont="false" applyNumberFormat="true" borderId="2594" fillId="0" fontId="1" numFmtId="1000" quotePrefix="false">
      <alignment horizontal="left" vertical="top"/>
    </xf>
    <xf applyAlignment="true" applyBorder="true" applyFill="false" applyFont="false" applyNumberFormat="true" borderId="2595" fillId="0" fontId="1" numFmtId="1000" quotePrefix="false">
      <alignment horizontal="left" vertical="top"/>
    </xf>
    <xf applyAlignment="true" applyBorder="true" applyFill="false" applyFont="false" applyNumberFormat="true" borderId="2596" fillId="0" fontId="1" numFmtId="1000" quotePrefix="false">
      <alignment horizontal="left" vertical="top"/>
    </xf>
    <xf applyAlignment="true" applyBorder="true" applyFill="false" applyFont="false" applyNumberFormat="true" borderId="2597" fillId="0" fontId="1" numFmtId="1000" quotePrefix="false">
      <alignment horizontal="left" vertical="top"/>
    </xf>
    <xf applyAlignment="true" applyBorder="true" applyFill="false" applyFont="true" applyNumberFormat="true" borderId="2598" fillId="0" fontId="2" numFmtId="1000" quotePrefix="false">
      <alignment horizontal="center"/>
    </xf>
    <xf applyAlignment="true" applyBorder="true" applyFill="false" applyFont="true" applyNumberFormat="true" borderId="2599" fillId="0" fontId="2" numFmtId="1000" quotePrefix="false">
      <alignment horizontal="center"/>
    </xf>
    <xf applyAlignment="true" applyBorder="true" applyFill="false" applyFont="true" applyNumberFormat="true" borderId="2600" fillId="0" fontId="2" numFmtId="1000" quotePrefix="false">
      <alignment horizontal="center"/>
    </xf>
    <xf applyAlignment="true" applyBorder="true" applyFill="false" applyFont="false" applyNumberFormat="true" borderId="2601" fillId="0" fontId="1" numFmtId="1000" quotePrefix="false">
      <alignment horizontal="center" vertical="top"/>
    </xf>
    <xf applyAlignment="true" applyBorder="true" applyFill="false" applyFont="false" applyNumberFormat="true" borderId="2602" fillId="0" fontId="1" numFmtId="1000" quotePrefix="false">
      <alignment horizontal="center" vertical="top"/>
    </xf>
    <xf applyAlignment="true" applyBorder="true" applyFill="false" applyFont="false" applyNumberFormat="true" borderId="2603" fillId="0" fontId="1" numFmtId="1000" quotePrefix="false">
      <alignment horizontal="center" vertical="top"/>
    </xf>
    <xf applyAlignment="true" applyBorder="true" applyFill="false" applyFont="false" applyNumberFormat="true" borderId="2604" fillId="0" fontId="1" numFmtId="1000" quotePrefix="false">
      <alignment horizontal="center" vertical="top"/>
    </xf>
    <xf applyAlignment="true" applyBorder="true" applyFill="false" applyFont="false" applyNumberFormat="true" borderId="2605" fillId="0" fontId="1" numFmtId="1000" quotePrefix="false">
      <alignment horizontal="center" vertical="top"/>
    </xf>
    <xf applyAlignment="true" applyBorder="true" applyFill="false" applyFont="false" applyNumberFormat="true" borderId="2606" fillId="0" fontId="1" numFmtId="1000" quotePrefix="false">
      <alignment horizontal="center" vertical="top"/>
    </xf>
    <xf applyAlignment="true" applyBorder="true" applyFill="false" applyFont="false" applyNumberFormat="true" borderId="2607" fillId="0" fontId="1" numFmtId="1000" quotePrefix="false">
      <alignment horizontal="center" vertical="top"/>
    </xf>
    <xf applyAlignment="true" applyBorder="true" applyFill="false" applyFont="false" applyNumberFormat="true" borderId="2608" fillId="0" fontId="1" numFmtId="1000" quotePrefix="false">
      <alignment horizontal="center" vertical="top"/>
    </xf>
    <xf applyAlignment="true" applyBorder="true" applyFill="false" applyFont="false" applyNumberFormat="true" borderId="2609" fillId="0" fontId="1" numFmtId="1000" quotePrefix="false">
      <alignment horizontal="center" vertical="top"/>
    </xf>
    <xf applyAlignment="true" applyBorder="true" applyFill="false" applyFont="false" applyNumberFormat="true" borderId="2610" fillId="0" fontId="1" numFmtId="1000" quotePrefix="false">
      <alignment horizontal="center" vertical="top"/>
    </xf>
    <xf applyAlignment="true" applyBorder="true" applyFill="false" applyFont="false" applyNumberFormat="true" borderId="2611" fillId="0" fontId="1" numFmtId="1000" quotePrefix="false">
      <alignment horizontal="center" vertical="top"/>
    </xf>
    <xf applyAlignment="true" applyBorder="true" applyFill="false" applyFont="false" applyNumberFormat="true" borderId="2612" fillId="0" fontId="1" numFmtId="1000" quotePrefix="false">
      <alignment horizontal="center" vertical="top"/>
    </xf>
    <xf applyAlignment="true" applyBorder="true" applyFill="false" applyFont="false" applyNumberFormat="true" borderId="2613" fillId="0" fontId="1" numFmtId="1000" quotePrefix="false">
      <alignment horizontal="center" vertical="top"/>
    </xf>
    <xf applyAlignment="true" applyBorder="true" applyFill="false" applyFont="false" applyNumberFormat="true" borderId="2614" fillId="0" fontId="1" numFmtId="1000" quotePrefix="false">
      <alignment horizontal="center" vertical="top"/>
    </xf>
    <xf applyAlignment="true" applyBorder="true" applyFill="false" applyFont="false" applyNumberFormat="true" borderId="2615" fillId="0" fontId="1" numFmtId="1000" quotePrefix="false">
      <alignment horizontal="center" vertical="top"/>
    </xf>
    <xf applyAlignment="true" applyBorder="true" applyFill="false" applyFont="false" applyNumberFormat="true" borderId="2616" fillId="0" fontId="1" numFmtId="1000" quotePrefix="false">
      <alignment horizontal="center" vertical="top"/>
    </xf>
    <xf applyAlignment="true" applyBorder="true" applyFill="false" applyFont="false" applyNumberFormat="true" borderId="2617" fillId="0" fontId="1" numFmtId="1000" quotePrefix="false">
      <alignment horizontal="center" vertical="top"/>
    </xf>
    <xf applyAlignment="true" applyBorder="true" applyFill="false" applyFont="false" applyNumberFormat="true" borderId="2618" fillId="0" fontId="1" numFmtId="1000" quotePrefix="false">
      <alignment horizontal="center" vertical="top"/>
    </xf>
    <xf applyAlignment="true" applyBorder="true" applyFill="false" applyFont="false" applyNumberFormat="true" borderId="2619" fillId="0" fontId="1" numFmtId="1000" quotePrefix="false">
      <alignment horizontal="center" vertical="top"/>
    </xf>
    <xf applyAlignment="true" applyBorder="true" applyFill="false" applyFont="false" applyNumberFormat="true" borderId="2620" fillId="0" fontId="1" numFmtId="1000" quotePrefix="false">
      <alignment horizontal="center" vertical="top"/>
    </xf>
    <xf applyAlignment="true" applyBorder="true" applyFill="false" applyFont="false" applyNumberFormat="true" borderId="2621" fillId="0" fontId="1" numFmtId="1000" quotePrefix="false">
      <alignment horizontal="center" vertical="top"/>
    </xf>
    <xf applyAlignment="true" applyBorder="true" applyFill="false" applyFont="false" applyNumberFormat="true" borderId="2622" fillId="0" fontId="1" numFmtId="1000" quotePrefix="false">
      <alignment horizontal="center" vertical="top"/>
    </xf>
    <xf applyAlignment="true" applyBorder="true" applyFill="false" applyFont="false" applyNumberFormat="true" borderId="2623" fillId="0" fontId="1" numFmtId="1000" quotePrefix="false">
      <alignment horizontal="center" vertical="top"/>
    </xf>
    <xf applyAlignment="true" applyBorder="true" applyFill="true" applyFont="false" applyNumberFormat="true" borderId="2624" fillId="10" fontId="1" numFmtId="1000" quotePrefix="false">
      <alignment horizontal="center" vertical="top" wrapText="true"/>
    </xf>
    <xf applyAlignment="true" applyBorder="true" applyFill="false" applyFont="false" applyNumberFormat="true" borderId="2625" fillId="0" fontId="1" numFmtId="1000" quotePrefix="false">
      <alignment horizontal="center" vertical="top"/>
    </xf>
    <xf applyAlignment="true" applyBorder="true" applyFill="false" applyFont="false" applyNumberFormat="true" borderId="2626" fillId="0" fontId="1" numFmtId="1000" quotePrefix="false">
      <alignment horizontal="center" vertical="top"/>
    </xf>
    <xf applyAlignment="true" applyBorder="true" applyFill="false" applyFont="false" applyNumberFormat="true" borderId="2627" fillId="0" fontId="1" numFmtId="1000" quotePrefix="false">
      <alignment horizontal="center" vertical="top"/>
    </xf>
    <xf applyAlignment="true" applyBorder="true" applyFill="false" applyFont="false" applyNumberFormat="true" borderId="2628" fillId="0" fontId="1" numFmtId="1000" quotePrefix="false">
      <alignment horizontal="center" vertical="top"/>
    </xf>
    <xf applyAlignment="true" applyBorder="true" applyFill="false" applyFont="false" applyNumberFormat="true" borderId="2629" fillId="0" fontId="1" numFmtId="1000" quotePrefix="false">
      <alignment horizontal="center" vertical="top"/>
    </xf>
    <xf applyAlignment="true" applyBorder="true" applyFill="false" applyFont="false" applyNumberFormat="true" borderId="2630" fillId="0" fontId="1" numFmtId="1000" quotePrefix="false">
      <alignment horizontal="center" vertical="top"/>
    </xf>
    <xf applyAlignment="true" applyBorder="true" applyFill="true" applyFont="true" applyNumberFormat="true" borderId="2631" fillId="10" fontId="2" numFmtId="1000" quotePrefix="false">
      <alignment horizontal="center" vertical="top" wrapText="true"/>
    </xf>
    <xf applyAlignment="true" applyBorder="true" applyFill="true" applyFont="false" applyNumberFormat="true" borderId="2632" fillId="3" fontId="1" numFmtId="1000" quotePrefix="false">
      <alignment horizontal="center" vertical="top" wrapText="true"/>
    </xf>
    <xf applyAlignment="true" applyBorder="true" applyFill="false" applyFont="false" applyNumberFormat="true" borderId="2633" fillId="0" fontId="1" numFmtId="1000" quotePrefix="false">
      <alignment horizontal="center" vertical="top"/>
    </xf>
    <xf applyAlignment="true" applyBorder="true" applyFill="false" applyFont="false" applyNumberFormat="true" borderId="2634" fillId="0" fontId="1" numFmtId="1000" quotePrefix="false">
      <alignment horizontal="center" vertical="top"/>
    </xf>
    <xf applyAlignment="true" applyBorder="true" applyFill="true" applyFont="true" applyNumberFormat="true" borderId="2635" fillId="10" fontId="2" numFmtId="1000" quotePrefix="false">
      <alignment horizontal="center" vertical="top" wrapText="true"/>
    </xf>
    <xf applyAlignment="true" applyBorder="true" applyFill="false" applyFont="false" applyNumberFormat="true" borderId="2636" fillId="0" fontId="1" numFmtId="1000" quotePrefix="false">
      <alignment horizontal="center" vertical="top"/>
    </xf>
    <xf applyAlignment="true" applyBorder="true" applyFill="false" applyFont="false" applyNumberFormat="true" borderId="2637" fillId="0" fontId="1" numFmtId="1000" quotePrefix="false">
      <alignment horizontal="center" vertical="top"/>
    </xf>
    <xf applyAlignment="true" applyBorder="true" applyFill="false" applyFont="true" applyNumberFormat="true" borderId="2638" fillId="0" fontId="2" numFmtId="1000" quotePrefix="false">
      <alignment horizontal="center" vertical="top"/>
    </xf>
    <xf applyAlignment="true" applyBorder="true" applyFill="false" applyFont="false" applyNumberFormat="true" borderId="2639" fillId="0" fontId="1" numFmtId="1000" quotePrefix="false">
      <alignment horizontal="left" vertical="top"/>
    </xf>
    <xf applyAlignment="true" applyBorder="true" applyFill="false" applyFont="false" applyNumberFormat="true" borderId="2640" fillId="0" fontId="1" numFmtId="1000" quotePrefix="false">
      <alignment horizontal="left" vertical="top"/>
    </xf>
    <xf applyAlignment="true" applyBorder="true" applyFill="false" applyFont="false" applyNumberFormat="true" borderId="2641" fillId="0" fontId="1" numFmtId="1000" quotePrefix="false">
      <alignment horizontal="left" vertical="top"/>
    </xf>
    <xf applyAlignment="true" applyBorder="true" applyFill="false" applyFont="false" applyNumberFormat="true" borderId="2642" fillId="0" fontId="1" numFmtId="1000" quotePrefix="false">
      <alignment horizontal="left" vertical="top"/>
    </xf>
    <xf applyAlignment="true" applyBorder="true" applyFill="false" applyFont="false" applyNumberFormat="true" borderId="2643" fillId="0" fontId="1" numFmtId="1000" quotePrefix="false">
      <alignment horizontal="left" vertical="top"/>
    </xf>
    <xf applyAlignment="true" applyBorder="true" applyFill="false" applyFont="false" applyNumberFormat="true" borderId="2644" fillId="0" fontId="1" numFmtId="1000" quotePrefix="false">
      <alignment horizontal="left" vertical="top"/>
    </xf>
    <xf applyAlignment="true" applyBorder="true" applyFill="false" applyFont="false" applyNumberFormat="true" borderId="2645" fillId="0" fontId="1" numFmtId="1000" quotePrefix="false">
      <alignment horizontal="left" vertical="top"/>
    </xf>
    <xf applyAlignment="true" applyBorder="true" applyFill="false" applyFont="false" applyNumberFormat="true" borderId="2646" fillId="0" fontId="1" numFmtId="1000" quotePrefix="false">
      <alignment horizontal="left" vertical="top"/>
    </xf>
    <xf applyAlignment="true" applyBorder="true" applyFill="false" applyFont="false" applyNumberFormat="true" borderId="2647" fillId="0" fontId="1" numFmtId="1000" quotePrefix="false">
      <alignment horizontal="left" vertical="top"/>
    </xf>
    <xf applyAlignment="true" applyBorder="true" applyFill="false" applyFont="false" applyNumberFormat="true" borderId="2648" fillId="0" fontId="1" numFmtId="1000" quotePrefix="false">
      <alignment horizontal="left" vertical="top"/>
    </xf>
    <xf applyAlignment="true" applyBorder="true" applyFill="false" applyFont="false" applyNumberFormat="true" borderId="2649" fillId="0" fontId="1" numFmtId="1000" quotePrefix="false">
      <alignment horizontal="left" vertical="top"/>
    </xf>
    <xf applyAlignment="true" applyBorder="true" applyFill="false" applyFont="false" applyNumberFormat="true" borderId="2650" fillId="0" fontId="1" numFmtId="1000" quotePrefix="false">
      <alignment horizontal="left" vertical="top"/>
    </xf>
    <xf applyAlignment="true" applyBorder="true" applyFill="false" applyFont="false" applyNumberFormat="true" borderId="2651" fillId="0" fontId="1" numFmtId="1000" quotePrefix="false">
      <alignment horizontal="left" vertical="top"/>
    </xf>
    <xf applyAlignment="true" applyBorder="true" applyFill="false" applyFont="false" applyNumberFormat="true" borderId="2652" fillId="0" fontId="1" numFmtId="1000" quotePrefix="false">
      <alignment horizontal="left" vertical="top"/>
    </xf>
    <xf applyAlignment="true" applyBorder="true" applyFill="false" applyFont="false" applyNumberFormat="true" borderId="2653" fillId="0" fontId="1" numFmtId="1000" quotePrefix="false">
      <alignment horizontal="left" vertical="top"/>
    </xf>
    <xf applyAlignment="true" applyBorder="true" applyFill="false" applyFont="false" applyNumberFormat="true" borderId="2654" fillId="0" fontId="1" numFmtId="1000" quotePrefix="false">
      <alignment horizontal="left" vertical="top"/>
    </xf>
    <xf applyAlignment="true" applyBorder="true" applyFill="false" applyFont="false" applyNumberFormat="true" borderId="2655" fillId="0" fontId="1" numFmtId="1000" quotePrefix="false">
      <alignment horizontal="left" vertical="top"/>
    </xf>
    <xf applyAlignment="true" applyBorder="true" applyFill="false" applyFont="false" applyNumberFormat="true" borderId="2656" fillId="0" fontId="1" numFmtId="1000" quotePrefix="false">
      <alignment horizontal="left" vertical="top"/>
    </xf>
    <xf applyAlignment="true" applyBorder="true" applyFill="false" applyFont="false" applyNumberFormat="true" borderId="2657" fillId="0" fontId="1" numFmtId="1000" quotePrefix="false">
      <alignment horizontal="left" vertical="top"/>
    </xf>
    <xf applyAlignment="true" applyBorder="true" applyFill="false" applyFont="true" applyNumberFormat="true" borderId="2658" fillId="0" fontId="2" numFmtId="1000" quotePrefix="false">
      <alignment horizontal="center"/>
    </xf>
    <xf applyAlignment="true" applyBorder="true" applyFill="false" applyFont="true" applyNumberFormat="true" borderId="2659" fillId="0" fontId="2" numFmtId="1000" quotePrefix="false">
      <alignment horizontal="center"/>
    </xf>
    <xf applyAlignment="true" applyBorder="true" applyFill="false" applyFont="true" applyNumberFormat="true" borderId="2660" fillId="0" fontId="2" numFmtId="1000" quotePrefix="false">
      <alignment horizontal="center"/>
    </xf>
    <xf applyAlignment="true" applyBorder="true" applyFill="false" applyFont="false" applyNumberFormat="true" borderId="2661" fillId="0" fontId="1" numFmtId="1000" quotePrefix="false">
      <alignment horizontal="center" vertical="top"/>
    </xf>
    <xf applyAlignment="true" applyBorder="true" applyFill="false" applyFont="false" applyNumberFormat="true" borderId="2662" fillId="0" fontId="1" numFmtId="1000" quotePrefix="false">
      <alignment horizontal="center" vertical="top"/>
    </xf>
    <xf applyAlignment="true" applyBorder="true" applyFill="false" applyFont="false" applyNumberFormat="true" borderId="2663" fillId="0" fontId="1" numFmtId="1000" quotePrefix="false">
      <alignment horizontal="center" vertical="top"/>
    </xf>
    <xf applyAlignment="true" applyBorder="true" applyFill="false" applyFont="false" applyNumberFormat="true" borderId="2664" fillId="0" fontId="1" numFmtId="1000" quotePrefix="false">
      <alignment horizontal="center" vertical="top"/>
    </xf>
    <xf applyAlignment="true" applyBorder="true" applyFill="false" applyFont="false" applyNumberFormat="true" borderId="2665" fillId="0" fontId="1" numFmtId="1000" quotePrefix="false">
      <alignment horizontal="center" vertical="top"/>
    </xf>
    <xf applyAlignment="true" applyBorder="true" applyFill="false" applyFont="false" applyNumberFormat="true" borderId="2666" fillId="0" fontId="1" numFmtId="1000" quotePrefix="false">
      <alignment horizontal="center" vertical="top"/>
    </xf>
    <xf applyAlignment="true" applyBorder="true" applyFill="false" applyFont="false" applyNumberFormat="true" borderId="2667" fillId="0" fontId="1" numFmtId="1000" quotePrefix="false">
      <alignment horizontal="center" vertical="top"/>
    </xf>
    <xf applyAlignment="true" applyBorder="true" applyFill="false" applyFont="false" applyNumberFormat="true" borderId="2668" fillId="0" fontId="1" numFmtId="1000" quotePrefix="false">
      <alignment horizontal="center" vertical="top"/>
    </xf>
    <xf applyAlignment="true" applyBorder="true" applyFill="false" applyFont="false" applyNumberFormat="true" borderId="2669" fillId="0" fontId="1" numFmtId="1000" quotePrefix="false">
      <alignment horizontal="center" vertical="top"/>
    </xf>
    <xf applyAlignment="true" applyBorder="true" applyFill="false" applyFont="false" applyNumberFormat="true" borderId="2670" fillId="0" fontId="1" numFmtId="1000" quotePrefix="false">
      <alignment horizontal="center" vertical="top"/>
    </xf>
    <xf applyAlignment="true" applyBorder="true" applyFill="false" applyFont="false" applyNumberFormat="true" borderId="2671" fillId="0" fontId="1" numFmtId="1000" quotePrefix="false">
      <alignment horizontal="center" vertical="top"/>
    </xf>
    <xf applyAlignment="true" applyBorder="true" applyFill="false" applyFont="false" applyNumberFormat="true" borderId="2672" fillId="0" fontId="1" numFmtId="1000" quotePrefix="false">
      <alignment horizontal="center" vertical="top"/>
    </xf>
    <xf applyAlignment="true" applyBorder="true" applyFill="false" applyFont="false" applyNumberFormat="true" borderId="2673" fillId="0" fontId="1" numFmtId="1000" quotePrefix="false">
      <alignment horizontal="center" vertical="top"/>
    </xf>
    <xf applyAlignment="true" applyBorder="true" applyFill="false" applyFont="false" applyNumberFormat="true" borderId="2674" fillId="0" fontId="1" numFmtId="1000" quotePrefix="false">
      <alignment horizontal="center" vertical="top"/>
    </xf>
    <xf applyAlignment="true" applyBorder="true" applyFill="false" applyFont="false" applyNumberFormat="true" borderId="2675" fillId="0" fontId="1" numFmtId="1000" quotePrefix="false">
      <alignment horizontal="center" vertical="top"/>
    </xf>
    <xf applyAlignment="true" applyBorder="true" applyFill="false" applyFont="false" applyNumberFormat="true" borderId="2676" fillId="0" fontId="1" numFmtId="1000" quotePrefix="false">
      <alignment horizontal="center" vertical="top"/>
    </xf>
    <xf applyAlignment="true" applyBorder="true" applyFill="false" applyFont="false" applyNumberFormat="true" borderId="2677" fillId="0" fontId="1" numFmtId="1000" quotePrefix="false">
      <alignment horizontal="center" vertical="top"/>
    </xf>
    <xf applyAlignment="true" applyBorder="true" applyFill="false" applyFont="false" applyNumberFormat="true" borderId="2678" fillId="0" fontId="1" numFmtId="1000" quotePrefix="false">
      <alignment horizontal="center" vertical="top"/>
    </xf>
    <xf applyAlignment="true" applyBorder="true" applyFill="false" applyFont="false" applyNumberFormat="true" borderId="2679" fillId="0" fontId="1" numFmtId="1000" quotePrefix="false">
      <alignment horizontal="center" vertical="top"/>
    </xf>
    <xf applyAlignment="true" applyBorder="true" applyFill="false" applyFont="false" applyNumberFormat="true" borderId="2680" fillId="0" fontId="1" numFmtId="1000" quotePrefix="false">
      <alignment horizontal="center" vertical="top"/>
    </xf>
    <xf applyAlignment="true" applyBorder="true" applyFill="false" applyFont="false" applyNumberFormat="true" borderId="2681" fillId="0" fontId="1" numFmtId="1000" quotePrefix="false">
      <alignment horizontal="center" vertical="top"/>
    </xf>
    <xf applyAlignment="true" applyBorder="true" applyFill="false" applyFont="false" applyNumberFormat="true" borderId="2682" fillId="0" fontId="1" numFmtId="1000" quotePrefix="false">
      <alignment horizontal="center" vertical="top"/>
    </xf>
    <xf applyAlignment="true" applyBorder="false" applyFill="false" applyFont="true" applyNumberFormat="true" borderId="0" fillId="0" fontId="2" numFmtId="1000" quotePrefix="false">
      <alignment vertical="top"/>
    </xf>
    <xf applyAlignment="true" applyBorder="true" applyFill="false" applyFont="false" applyNumberFormat="true" borderId="2683" fillId="0" fontId="1" numFmtId="1000" quotePrefix="false">
      <alignment horizontal="center" vertical="top"/>
    </xf>
    <xf applyAlignment="true" applyBorder="true" applyFill="false" applyFont="false" applyNumberFormat="true" borderId="2684" fillId="0" fontId="1" numFmtId="1000" quotePrefix="false">
      <alignment horizontal="center" vertical="top"/>
    </xf>
    <xf applyAlignment="true" applyBorder="true" applyFill="false" applyFont="false" applyNumberFormat="true" borderId="2685" fillId="0" fontId="1" numFmtId="1000" quotePrefix="false">
      <alignment horizontal="center" vertical="top"/>
    </xf>
    <xf applyAlignment="true" applyBorder="true" applyFill="false" applyFont="false" applyNumberFormat="true" borderId="2686" fillId="0" fontId="1" numFmtId="1000" quotePrefix="false">
      <alignment horizontal="center" vertical="top"/>
    </xf>
    <xf applyAlignment="true" applyBorder="true" applyFill="false" applyFont="false" applyNumberFormat="true" borderId="2687" fillId="0" fontId="1" numFmtId="1000" quotePrefix="false">
      <alignment horizontal="center" vertical="top"/>
    </xf>
    <xf applyAlignment="true" applyBorder="true" applyFill="false" applyFont="false" applyNumberFormat="true" borderId="2688" fillId="0" fontId="1" numFmtId="1000" quotePrefix="false">
      <alignment horizontal="center" vertical="top"/>
    </xf>
    <xf applyAlignment="true" applyBorder="true" applyFill="false" applyFont="false" applyNumberFormat="true" borderId="2689" fillId="0" fontId="1" numFmtId="1000" quotePrefix="false">
      <alignment horizontal="center" vertical="top"/>
    </xf>
    <xf applyAlignment="true" applyBorder="true" applyFill="false" applyFont="false" applyNumberFormat="true" borderId="2690" fillId="0" fontId="1" numFmtId="1000" quotePrefix="false">
      <alignment horizontal="center" vertical="top"/>
    </xf>
    <xf applyAlignment="true" applyBorder="true" applyFill="false" applyFont="false" applyNumberFormat="true" borderId="2691" fillId="0" fontId="1" numFmtId="1000" quotePrefix="false">
      <alignment horizontal="center" vertical="top"/>
    </xf>
    <xf applyAlignment="true" applyBorder="true" applyFill="false" applyFont="false" applyNumberFormat="true" borderId="2692" fillId="0" fontId="1" numFmtId="1000" quotePrefix="false">
      <alignment horizontal="center" vertical="top"/>
    </xf>
    <xf applyAlignment="true" applyBorder="true" applyFill="false" applyFont="false" applyNumberFormat="true" borderId="2693" fillId="0" fontId="1" numFmtId="1000" quotePrefix="false">
      <alignment horizontal="center" vertical="top"/>
    </xf>
    <xf applyAlignment="true" applyBorder="true" applyFill="true" applyFont="false" applyNumberFormat="true" borderId="20" fillId="19" fontId="1" numFmtId="1000" quotePrefix="false">
      <alignment horizontal="center" vertical="top"/>
    </xf>
    <xf applyAlignment="true" applyBorder="true" applyFill="false" applyFont="false" applyNumberFormat="true" borderId="2694" fillId="0" fontId="1" numFmtId="1000" quotePrefix="false">
      <alignment horizontal="center" vertical="top"/>
    </xf>
    <xf applyAlignment="true" applyBorder="true" applyFill="false" applyFont="false" applyNumberFormat="true" borderId="2695" fillId="0" fontId="1" numFmtId="1000" quotePrefix="false">
      <alignment horizontal="center" vertical="top"/>
    </xf>
    <xf applyAlignment="true" applyBorder="true" applyFill="false" applyFont="false" applyNumberFormat="true" borderId="2696" fillId="0" fontId="1" numFmtId="1000" quotePrefix="false">
      <alignment horizontal="center" vertical="top"/>
    </xf>
    <xf applyAlignment="true" applyBorder="true" applyFill="false" applyFont="false" applyNumberFormat="true" borderId="2697" fillId="0" fontId="1" numFmtId="1000" quotePrefix="false">
      <alignment horizontal="center" vertical="top"/>
    </xf>
    <xf applyAlignment="true" applyBorder="true" applyFill="false" applyFont="false" applyNumberFormat="true" borderId="2698" fillId="0" fontId="1" numFmtId="1000" quotePrefix="false">
      <alignment horizontal="center" vertical="top"/>
    </xf>
    <xf applyAlignment="true" applyBorder="true" applyFill="false" applyFont="false" applyNumberFormat="true" borderId="2699" fillId="0" fontId="1" numFmtId="1000" quotePrefix="false">
      <alignment horizontal="center" vertical="top"/>
    </xf>
    <xf applyAlignment="true" applyBorder="true" applyFill="false" applyFont="false" applyNumberFormat="true" borderId="2700" fillId="0" fontId="1" numFmtId="1000" quotePrefix="false">
      <alignment horizontal="center" vertical="top"/>
    </xf>
    <xf applyAlignment="true" applyBorder="true" applyFill="false" applyFont="false" applyNumberFormat="true" borderId="2701" fillId="0" fontId="1" numFmtId="1000" quotePrefix="false">
      <alignment horizontal="center" vertical="top"/>
    </xf>
    <xf applyAlignment="true" applyBorder="true" applyFill="false" applyFont="false" applyNumberFormat="true" borderId="2702" fillId="0" fontId="1" numFmtId="1000" quotePrefix="false">
      <alignment horizontal="center" vertical="top"/>
    </xf>
    <xf applyAlignment="true" applyBorder="true" applyFill="false" applyFont="false" applyNumberFormat="true" borderId="2703" fillId="0" fontId="1" numFmtId="1000" quotePrefix="false">
      <alignment horizontal="center" vertical="top"/>
    </xf>
    <xf applyAlignment="true" applyBorder="true" applyFill="false" applyFont="false" applyNumberFormat="true" borderId="2704" fillId="0" fontId="1" numFmtId="1000" quotePrefix="false">
      <alignment horizontal="center" vertical="top"/>
    </xf>
    <xf applyAlignment="true" applyBorder="true" applyFill="false" applyFont="false" applyNumberFormat="true" borderId="2705" fillId="0" fontId="1" numFmtId="1000" quotePrefix="false">
      <alignment horizontal="center" vertical="top"/>
    </xf>
    <xf applyAlignment="true" applyBorder="true" applyFill="false" applyFont="false" applyNumberFormat="true" borderId="2706" fillId="0" fontId="1" numFmtId="1000" quotePrefix="false">
      <alignment horizontal="center" vertical="top"/>
    </xf>
    <xf applyAlignment="true" applyBorder="true" applyFill="false" applyFont="false" applyNumberFormat="true" borderId="2707" fillId="0" fontId="1" numFmtId="1000" quotePrefix="false">
      <alignment horizontal="center" vertical="top"/>
    </xf>
    <xf applyAlignment="true" applyBorder="true" applyFill="false" applyFont="false" applyNumberFormat="true" borderId="2708" fillId="0" fontId="1" numFmtId="1000" quotePrefix="false">
      <alignment horizontal="center" vertical="top"/>
    </xf>
    <xf applyAlignment="true" applyBorder="true" applyFill="false" applyFont="false" applyNumberFormat="true" borderId="2709" fillId="0" fontId="1" numFmtId="1000" quotePrefix="false">
      <alignment horizontal="center" vertical="top"/>
    </xf>
    <xf applyAlignment="true" applyBorder="true" applyFill="false" applyFont="false" applyNumberFormat="true" borderId="2710" fillId="0" fontId="1" numFmtId="1000" quotePrefix="false">
      <alignment horizontal="center" vertical="top"/>
    </xf>
    <xf applyAlignment="true" applyBorder="true" applyFill="false" applyFont="false" applyNumberFormat="true" borderId="2711" fillId="0" fontId="1" numFmtId="1000" quotePrefix="false">
      <alignment horizontal="center" vertical="top"/>
    </xf>
    <xf applyAlignment="true" applyBorder="true" applyFill="false" applyFont="false" applyNumberFormat="true" borderId="2712" fillId="0" fontId="1" numFmtId="1000" quotePrefix="false">
      <alignment horizontal="center" vertical="top"/>
    </xf>
    <xf applyAlignment="true" applyBorder="true" applyFill="false" applyFont="false" applyNumberFormat="true" borderId="2713" fillId="0" fontId="1" numFmtId="1000" quotePrefix="false">
      <alignment horizontal="center" vertical="top"/>
    </xf>
    <xf applyAlignment="true" applyBorder="true" applyFill="false" applyFont="false" applyNumberFormat="true" borderId="2714" fillId="0" fontId="1" numFmtId="1000" quotePrefix="false">
      <alignment horizontal="center" vertical="top"/>
    </xf>
    <xf applyAlignment="true" applyBorder="true" applyFill="false" applyFont="false" applyNumberFormat="true" borderId="2715" fillId="0" fontId="1" numFmtId="1000" quotePrefix="false">
      <alignment horizontal="center" vertical="top"/>
    </xf>
    <xf applyAlignment="true" applyBorder="true" applyFill="false" applyFont="false" applyNumberFormat="true" borderId="2716" fillId="0" fontId="1" numFmtId="1000" quotePrefix="false">
      <alignment horizontal="center" vertical="top"/>
    </xf>
    <xf applyAlignment="true" applyBorder="true" applyFill="false" applyFont="false" applyNumberFormat="true" borderId="2717" fillId="0" fontId="1" numFmtId="1000" quotePrefix="false">
      <alignment horizontal="center" vertical="top"/>
    </xf>
    <xf applyAlignment="true" applyBorder="true" applyFill="true" applyFont="false" applyNumberFormat="true" borderId="20" fillId="10" fontId="1" numFmtId="1005" quotePrefix="false">
      <alignment horizontal="center" vertical="top"/>
    </xf>
    <xf applyAlignment="true" applyBorder="true" applyFill="false" applyFont="false" applyNumberFormat="true" borderId="2718" fillId="0" fontId="1" numFmtId="1000" quotePrefix="false">
      <alignment horizontal="center" vertical="top"/>
    </xf>
    <xf applyAlignment="true" applyBorder="true" applyFill="false" applyFont="false" applyNumberFormat="true" borderId="2719" fillId="0" fontId="1" numFmtId="1000" quotePrefix="false">
      <alignment horizontal="center" vertical="top"/>
    </xf>
    <xf applyAlignment="true" applyBorder="true" applyFill="false" applyFont="false" applyNumberFormat="true" borderId="2720" fillId="0" fontId="1" numFmtId="1000" quotePrefix="false">
      <alignment horizontal="center" vertical="top"/>
    </xf>
    <xf applyAlignment="true" applyBorder="true" applyFill="false" applyFont="false" applyNumberFormat="true" borderId="2721" fillId="0" fontId="1" numFmtId="1000" quotePrefix="false">
      <alignment horizontal="center" vertical="top"/>
    </xf>
    <xf applyAlignment="true" applyBorder="true" applyFill="false" applyFont="false" applyNumberFormat="true" borderId="2722" fillId="0" fontId="1" numFmtId="1000" quotePrefix="false">
      <alignment horizontal="center" vertical="top"/>
    </xf>
    <xf applyAlignment="true" applyBorder="true" applyFill="false" applyFont="false" applyNumberFormat="true" borderId="2723" fillId="0" fontId="1" numFmtId="1000" quotePrefix="false">
      <alignment horizontal="center" vertical="top"/>
    </xf>
    <xf applyAlignment="true" applyBorder="true" applyFill="false" applyFont="false" applyNumberFormat="true" borderId="2724" fillId="0" fontId="1" numFmtId="1000" quotePrefix="false">
      <alignment horizontal="center" vertical="top"/>
    </xf>
    <xf applyAlignment="true" applyBorder="true" applyFill="false" applyFont="false" applyNumberFormat="true" borderId="2725" fillId="0" fontId="1" numFmtId="1000" quotePrefix="false">
      <alignment horizontal="center" vertical="top"/>
    </xf>
    <xf applyAlignment="true" applyBorder="true" applyFill="false" applyFont="false" applyNumberFormat="true" borderId="2726" fillId="0" fontId="1" numFmtId="1000" quotePrefix="false">
      <alignment horizontal="center" vertical="top"/>
    </xf>
    <xf applyAlignment="true" applyBorder="true" applyFill="false" applyFont="false" applyNumberFormat="true" borderId="2727" fillId="0" fontId="1" numFmtId="1000" quotePrefix="false">
      <alignment horizontal="center" vertical="top"/>
    </xf>
    <xf applyAlignment="true" applyBorder="true" applyFill="false" applyFont="false" applyNumberFormat="true" borderId="2728" fillId="0" fontId="1" numFmtId="1000" quotePrefix="false">
      <alignment horizontal="center" vertical="top"/>
    </xf>
    <xf applyAlignment="true" applyBorder="true" applyFill="false" applyFont="false" applyNumberFormat="true" borderId="2729" fillId="0" fontId="1" numFmtId="1000" quotePrefix="false">
      <alignment horizontal="center" vertical="top"/>
    </xf>
    <xf applyAlignment="true" applyBorder="true" applyFill="false" applyFont="false" applyNumberFormat="true" borderId="2730" fillId="0" fontId="1" numFmtId="1000" quotePrefix="false">
      <alignment horizontal="center" vertical="top"/>
    </xf>
    <xf applyAlignment="true" applyBorder="true" applyFill="false" applyFont="false" applyNumberFormat="true" borderId="2731" fillId="0" fontId="1" numFmtId="1000" quotePrefix="false">
      <alignment horizontal="center" vertical="top"/>
    </xf>
    <xf applyAlignment="true" applyBorder="true" applyFill="false" applyFont="false" applyNumberFormat="true" borderId="2732" fillId="0" fontId="1" numFmtId="1000" quotePrefix="false">
      <alignment horizontal="center" vertical="top"/>
    </xf>
    <xf applyAlignment="true" applyBorder="true" applyFill="false" applyFont="false" applyNumberFormat="true" borderId="2733" fillId="0" fontId="1" numFmtId="1000" quotePrefix="false">
      <alignment horizontal="center" vertical="top"/>
    </xf>
    <xf applyAlignment="true" applyBorder="true" applyFill="false" applyFont="false" applyNumberFormat="true" borderId="2734" fillId="0" fontId="1" numFmtId="1000" quotePrefix="false">
      <alignment horizontal="center" vertical="top"/>
    </xf>
    <xf applyAlignment="true" applyBorder="true" applyFill="false" applyFont="false" applyNumberFormat="true" borderId="2735" fillId="0" fontId="1" numFmtId="1000" quotePrefix="false">
      <alignment horizontal="center" vertical="top"/>
    </xf>
    <xf applyAlignment="true" applyBorder="true" applyFill="false" applyFont="true" applyNumberFormat="true" borderId="2736" fillId="0" fontId="2" numFmtId="1000" quotePrefix="false">
      <alignment horizontal="center" vertical="top"/>
    </xf>
    <xf applyAlignment="true" applyBorder="true" applyFill="false" applyFont="false" applyNumberFormat="true" borderId="2737" fillId="0" fontId="1" numFmtId="1000" quotePrefix="false">
      <alignment horizontal="left" vertical="top"/>
    </xf>
    <xf applyAlignment="true" applyBorder="true" applyFill="false" applyFont="false" applyNumberFormat="true" borderId="2738" fillId="0" fontId="1" numFmtId="1000" quotePrefix="false">
      <alignment horizontal="left" vertical="top"/>
    </xf>
    <xf applyAlignment="true" applyBorder="true" applyFill="false" applyFont="false" applyNumberFormat="true" borderId="2739" fillId="0" fontId="1" numFmtId="1000" quotePrefix="false">
      <alignment horizontal="left" vertical="top"/>
    </xf>
    <xf applyAlignment="true" applyBorder="true" applyFill="false" applyFont="false" applyNumberFormat="true" borderId="2740" fillId="0" fontId="1" numFmtId="1000" quotePrefix="false">
      <alignment horizontal="left" vertical="top"/>
    </xf>
    <xf applyAlignment="true" applyBorder="true" applyFill="false" applyFont="false" applyNumberFormat="true" borderId="2741" fillId="0" fontId="1" numFmtId="1000" quotePrefix="false">
      <alignment horizontal="left" vertical="top"/>
    </xf>
    <xf applyAlignment="true" applyBorder="true" applyFill="false" applyFont="false" applyNumberFormat="true" borderId="2742" fillId="0" fontId="1" numFmtId="1000" quotePrefix="false">
      <alignment horizontal="left" vertical="top"/>
    </xf>
    <xf applyAlignment="true" applyBorder="true" applyFill="false" applyFont="false" applyNumberFormat="true" borderId="2743" fillId="0" fontId="1" numFmtId="1000" quotePrefix="false">
      <alignment horizontal="left" vertical="top"/>
    </xf>
    <xf applyAlignment="true" applyBorder="true" applyFill="false" applyFont="false" applyNumberFormat="true" borderId="2744" fillId="0" fontId="1" numFmtId="1000" quotePrefix="false">
      <alignment horizontal="left" vertical="top"/>
    </xf>
    <xf applyAlignment="true" applyBorder="true" applyFill="false" applyFont="false" applyNumberFormat="true" borderId="2745" fillId="0" fontId="1" numFmtId="1000" quotePrefix="false">
      <alignment horizontal="left" vertical="top"/>
    </xf>
    <xf applyAlignment="true" applyBorder="true" applyFill="false" applyFont="false" applyNumberFormat="true" borderId="2746" fillId="0" fontId="1" numFmtId="1000" quotePrefix="false">
      <alignment horizontal="left" vertical="top"/>
    </xf>
    <xf applyAlignment="true" applyBorder="true" applyFill="false" applyFont="false" applyNumberFormat="true" borderId="2747" fillId="0" fontId="1" numFmtId="1000" quotePrefix="false">
      <alignment horizontal="left" vertical="top"/>
    </xf>
    <xf applyAlignment="true" applyBorder="true" applyFill="false" applyFont="false" applyNumberFormat="true" borderId="2748" fillId="0" fontId="1" numFmtId="1000" quotePrefix="false">
      <alignment horizontal="left" vertical="top"/>
    </xf>
    <xf applyAlignment="true" applyBorder="true" applyFill="false" applyFont="false" applyNumberFormat="true" borderId="2749" fillId="0" fontId="1" numFmtId="1000" quotePrefix="false">
      <alignment horizontal="left" vertical="top"/>
    </xf>
    <xf applyAlignment="true" applyBorder="true" applyFill="false" applyFont="false" applyNumberFormat="true" borderId="2750" fillId="0" fontId="1" numFmtId="1000" quotePrefix="false">
      <alignment horizontal="left" vertical="top"/>
    </xf>
    <xf applyAlignment="true" applyBorder="true" applyFill="false" applyFont="false" applyNumberFormat="true" borderId="2751" fillId="0" fontId="1" numFmtId="1000" quotePrefix="false">
      <alignment horizontal="left" vertical="top"/>
    </xf>
    <xf applyAlignment="true" applyBorder="true" applyFill="false" applyFont="false" applyNumberFormat="true" borderId="2752" fillId="0" fontId="1" numFmtId="1000" quotePrefix="false">
      <alignment horizontal="left" vertical="top"/>
    </xf>
    <xf applyAlignment="true" applyBorder="true" applyFill="false" applyFont="false" applyNumberFormat="true" borderId="2753" fillId="0" fontId="1" numFmtId="1000" quotePrefix="false">
      <alignment horizontal="left" vertical="top"/>
    </xf>
    <xf applyAlignment="true" applyBorder="true" applyFill="false" applyFont="false" applyNumberFormat="true" borderId="2754" fillId="0" fontId="1" numFmtId="1000" quotePrefix="false">
      <alignment horizontal="left" vertical="top"/>
    </xf>
    <xf applyAlignment="true" applyBorder="true" applyFill="false" applyFont="false" applyNumberFormat="true" borderId="2755" fillId="0" fontId="1" numFmtId="1000" quotePrefix="false">
      <alignment horizontal="left" vertical="top"/>
    </xf>
    <xf applyAlignment="true" applyBorder="true" applyFill="false" applyFont="true" applyNumberFormat="true" borderId="2756" fillId="0" fontId="2" numFmtId="1000" quotePrefix="false">
      <alignment horizontal="center"/>
    </xf>
    <xf applyAlignment="true" applyBorder="true" applyFill="false" applyFont="true" applyNumberFormat="true" borderId="2757" fillId="0" fontId="2" numFmtId="1000" quotePrefix="false">
      <alignment horizontal="center"/>
    </xf>
    <xf applyAlignment="true" applyBorder="true" applyFill="false" applyFont="true" applyNumberFormat="true" borderId="2758" fillId="0" fontId="2" numFmtId="1000" quotePrefix="false">
      <alignment horizontal="center"/>
    </xf>
    <xf applyAlignment="true" applyBorder="true" applyFill="false" applyFont="false" applyNumberFormat="true" borderId="2759" fillId="0" fontId="1" numFmtId="1000" quotePrefix="false">
      <alignment horizontal="center" vertical="top"/>
    </xf>
    <xf applyAlignment="true" applyBorder="true" applyFill="false" applyFont="false" applyNumberFormat="true" borderId="2760" fillId="0" fontId="1" numFmtId="1000" quotePrefix="false">
      <alignment horizontal="center" vertical="top"/>
    </xf>
    <xf applyAlignment="true" applyBorder="true" applyFill="false" applyFont="false" applyNumberFormat="true" borderId="2761" fillId="0" fontId="1" numFmtId="1000" quotePrefix="false">
      <alignment horizontal="center" vertical="top"/>
    </xf>
    <xf applyAlignment="true" applyBorder="true" applyFill="false" applyFont="false" applyNumberFormat="true" borderId="2762" fillId="0" fontId="1" numFmtId="1000" quotePrefix="false">
      <alignment horizontal="center" vertical="top"/>
    </xf>
    <xf applyAlignment="true" applyBorder="true" applyFill="false" applyFont="false" applyNumberFormat="true" borderId="2763" fillId="0" fontId="1" numFmtId="1000" quotePrefix="false">
      <alignment horizontal="center" vertical="top"/>
    </xf>
    <xf applyAlignment="true" applyBorder="true" applyFill="false" applyFont="false" applyNumberFormat="true" borderId="2764" fillId="0" fontId="1" numFmtId="1000" quotePrefix="false">
      <alignment horizontal="center" vertical="top"/>
    </xf>
    <xf applyAlignment="true" applyBorder="true" applyFill="false" applyFont="false" applyNumberFormat="true" borderId="2765" fillId="0" fontId="1" numFmtId="1000" quotePrefix="false">
      <alignment horizontal="center" vertical="top"/>
    </xf>
    <xf applyAlignment="true" applyBorder="true" applyFill="false" applyFont="false" applyNumberFormat="true" borderId="2766" fillId="0" fontId="1" numFmtId="1000" quotePrefix="false">
      <alignment horizontal="center" vertical="top"/>
    </xf>
    <xf applyAlignment="true" applyBorder="true" applyFill="false" applyFont="false" applyNumberFormat="true" borderId="2767" fillId="0" fontId="1" numFmtId="1000" quotePrefix="false">
      <alignment horizontal="center" vertical="top"/>
    </xf>
    <xf applyAlignment="true" applyBorder="true" applyFill="false" applyFont="false" applyNumberFormat="true" borderId="2768" fillId="0" fontId="1" numFmtId="1000" quotePrefix="false">
      <alignment horizontal="center" vertical="top"/>
    </xf>
    <xf applyAlignment="true" applyBorder="true" applyFill="false" applyFont="false" applyNumberFormat="true" borderId="2769" fillId="0" fontId="1" numFmtId="1000" quotePrefix="false">
      <alignment horizontal="center" vertical="top"/>
    </xf>
    <xf applyAlignment="true" applyBorder="true" applyFill="false" applyFont="false" applyNumberFormat="true" borderId="2770" fillId="0" fontId="1" numFmtId="1000" quotePrefix="false">
      <alignment horizontal="center" vertical="top"/>
    </xf>
    <xf applyAlignment="true" applyBorder="true" applyFill="false" applyFont="false" applyNumberFormat="true" borderId="2771" fillId="0" fontId="1" numFmtId="1000" quotePrefix="false">
      <alignment horizontal="center" vertical="top"/>
    </xf>
    <xf applyAlignment="true" applyBorder="true" applyFill="false" applyFont="false" applyNumberFormat="true" borderId="2772" fillId="0" fontId="1" numFmtId="1000" quotePrefix="false">
      <alignment horizontal="center" vertical="top"/>
    </xf>
    <xf applyAlignment="true" applyBorder="true" applyFill="false" applyFont="false" applyNumberFormat="true" borderId="2773" fillId="0" fontId="1" numFmtId="1000" quotePrefix="false">
      <alignment horizontal="center" vertical="top"/>
    </xf>
    <xf applyAlignment="true" applyBorder="true" applyFill="false" applyFont="false" applyNumberFormat="true" borderId="2774" fillId="0" fontId="1" numFmtId="1000" quotePrefix="false">
      <alignment horizontal="center" vertical="top"/>
    </xf>
    <xf applyAlignment="true" applyBorder="true" applyFill="false" applyFont="false" applyNumberFormat="true" borderId="2775" fillId="0" fontId="1" numFmtId="1000" quotePrefix="false">
      <alignment horizontal="center" vertical="top"/>
    </xf>
    <xf applyAlignment="true" applyBorder="true" applyFill="false" applyFont="false" applyNumberFormat="true" borderId="2776" fillId="0" fontId="1" numFmtId="1000" quotePrefix="false">
      <alignment horizontal="center" vertical="top"/>
    </xf>
    <xf applyAlignment="true" applyBorder="true" applyFill="false" applyFont="false" applyNumberFormat="true" borderId="2777" fillId="0" fontId="1" numFmtId="1000" quotePrefix="false">
      <alignment horizontal="center" vertical="top"/>
    </xf>
    <xf applyAlignment="true" applyBorder="true" applyFill="false" applyFont="false" applyNumberFormat="true" borderId="2778" fillId="0" fontId="1" numFmtId="1000" quotePrefix="false">
      <alignment horizontal="center" vertical="top"/>
    </xf>
    <xf applyAlignment="true" applyBorder="true" applyFill="false" applyFont="false" applyNumberFormat="true" borderId="2779" fillId="0" fontId="1" numFmtId="1000" quotePrefix="false">
      <alignment horizontal="center" vertical="top"/>
    </xf>
    <xf applyAlignment="true" applyBorder="true" applyFill="false" applyFont="false" applyNumberFormat="true" borderId="2780" fillId="0" fontId="1" numFmtId="1000" quotePrefix="false">
      <alignment horizontal="center" vertical="top"/>
    </xf>
    <xf applyAlignment="true" applyBorder="true" applyFill="false" applyFont="false" applyNumberFormat="true" borderId="2781" fillId="0" fontId="1" numFmtId="1000" quotePrefix="false">
      <alignment horizontal="center" vertical="top"/>
    </xf>
    <xf applyAlignment="true" applyBorder="true" applyFill="false" applyFont="false" applyNumberFormat="true" borderId="209" fillId="0" fontId="1" numFmtId="1000" quotePrefix="false">
      <alignment vertical="top"/>
    </xf>
    <xf applyAlignment="true" applyBorder="true" applyFill="false" applyFont="false" applyNumberFormat="true" borderId="2782" fillId="0" fontId="1" numFmtId="1000" quotePrefix="false">
      <alignment horizontal="center" vertical="top"/>
    </xf>
    <xf applyAlignment="true" applyBorder="true" applyFill="false" applyFont="false" applyNumberFormat="true" borderId="2783" fillId="0" fontId="1" numFmtId="1000" quotePrefix="false">
      <alignment horizontal="center" vertical="top"/>
    </xf>
    <xf applyAlignment="true" applyBorder="true" applyFill="false" applyFont="false" applyNumberFormat="true" borderId="2784" fillId="0" fontId="1" numFmtId="1000" quotePrefix="false">
      <alignment horizontal="center" vertical="top"/>
    </xf>
    <xf applyAlignment="true" applyBorder="true" applyFill="false" applyFont="false" applyNumberFormat="true" borderId="2785" fillId="0" fontId="1" numFmtId="1000" quotePrefix="false">
      <alignment horizontal="center" vertical="top"/>
    </xf>
    <xf applyAlignment="true" applyBorder="true" applyFill="false" applyFont="false" applyNumberFormat="true" borderId="2786" fillId="0" fontId="1" numFmtId="1000" quotePrefix="false">
      <alignment horizontal="center" vertical="top"/>
    </xf>
    <xf applyAlignment="true" applyBorder="true" applyFill="false" applyFont="false" applyNumberFormat="true" borderId="2787" fillId="0" fontId="1" numFmtId="1000" quotePrefix="false">
      <alignment horizontal="center" vertical="top"/>
    </xf>
    <xf applyAlignment="true" applyBorder="true" applyFill="true" applyFont="false" applyNumberFormat="true" borderId="50" fillId="10" fontId="1" numFmtId="1000" quotePrefix="false">
      <alignment horizontal="left" vertical="top"/>
    </xf>
    <xf applyAlignment="true" applyBorder="true" applyFill="false" applyFont="false" applyNumberFormat="true" borderId="2788" fillId="0" fontId="1" numFmtId="1000" quotePrefix="false">
      <alignment horizontal="center" vertical="top"/>
    </xf>
    <xf applyAlignment="true" applyBorder="true" applyFill="false" applyFont="false" applyNumberFormat="true" borderId="2789" fillId="0" fontId="1" numFmtId="1000" quotePrefix="false">
      <alignment horizontal="center" vertical="top"/>
    </xf>
    <xf applyAlignment="true" applyBorder="true" applyFill="false" applyFont="false" applyNumberFormat="true" borderId="2790" fillId="0" fontId="1" numFmtId="1000" quotePrefix="false">
      <alignment horizontal="center" vertical="top"/>
    </xf>
    <xf applyAlignment="true" applyBorder="true" applyFill="false" applyFont="false" applyNumberFormat="true" borderId="2791" fillId="0" fontId="1" numFmtId="1000" quotePrefix="false">
      <alignment horizontal="center" vertical="top"/>
    </xf>
    <xf applyAlignment="true" applyBorder="true" applyFill="false" applyFont="false" applyNumberFormat="true" borderId="2792" fillId="0" fontId="1" numFmtId="1000" quotePrefix="false">
      <alignment horizontal="center" vertical="top"/>
    </xf>
    <xf applyAlignment="true" applyBorder="true" applyFill="false" applyFont="false" applyNumberFormat="true" borderId="2793" fillId="0" fontId="1" numFmtId="1000" quotePrefix="false">
      <alignment horizontal="center" vertical="top"/>
    </xf>
    <xf applyAlignment="true" applyBorder="true" applyFill="false" applyFont="false" applyNumberFormat="true" borderId="50" fillId="0" fontId="1" numFmtId="1000" quotePrefix="false">
      <alignment vertical="top"/>
    </xf>
    <xf applyAlignment="true" applyBorder="true" applyFill="false" applyFont="false" applyNumberFormat="true" borderId="2794" fillId="0" fontId="1" numFmtId="1000" quotePrefix="false">
      <alignment horizontal="center" vertical="top"/>
    </xf>
    <xf applyAlignment="true" applyBorder="true" applyFill="false" applyFont="false" applyNumberFormat="true" borderId="2795" fillId="0" fontId="1" numFmtId="1000" quotePrefix="false">
      <alignment horizontal="center" vertical="top"/>
    </xf>
    <xf applyAlignment="true" applyBorder="true" applyFill="false" applyFont="false" applyNumberFormat="true" borderId="2796" fillId="0" fontId="1" numFmtId="1000" quotePrefix="false">
      <alignment horizontal="center" vertical="top"/>
    </xf>
    <xf applyAlignment="true" applyBorder="true" applyFill="false" applyFont="false" applyNumberFormat="true" borderId="2797" fillId="0" fontId="1" numFmtId="1000" quotePrefix="false">
      <alignment horizontal="center" vertical="top"/>
    </xf>
    <xf applyAlignment="true" applyBorder="true" applyFill="false" applyFont="false" applyNumberFormat="true" borderId="2798" fillId="0" fontId="1" numFmtId="1000" quotePrefix="false">
      <alignment horizontal="center" vertical="top"/>
    </xf>
    <xf applyAlignment="true" applyBorder="true" applyFill="false" applyFont="false" applyNumberFormat="true" borderId="2799" fillId="0" fontId="1" numFmtId="1000" quotePrefix="false">
      <alignment horizontal="center" vertical="top"/>
    </xf>
    <xf applyAlignment="true" applyBorder="true" applyFill="false" applyFont="false" applyNumberFormat="true" borderId="2800" fillId="0" fontId="1" numFmtId="1000" quotePrefix="false">
      <alignment horizontal="center" vertical="top"/>
    </xf>
    <xf applyAlignment="true" applyBorder="true" applyFill="false" applyFont="false" applyNumberFormat="true" borderId="2801" fillId="0" fontId="1" numFmtId="1000" quotePrefix="false">
      <alignment horizontal="center" vertical="top"/>
    </xf>
    <xf applyAlignment="true" applyBorder="true" applyFill="false" applyFont="false" applyNumberFormat="true" borderId="2802" fillId="0" fontId="1" numFmtId="1000" quotePrefix="false">
      <alignment horizontal="center" vertical="top"/>
    </xf>
    <xf applyAlignment="true" applyBorder="true" applyFill="false" applyFont="false" applyNumberFormat="true" borderId="2803" fillId="0" fontId="1" numFmtId="1000" quotePrefix="false">
      <alignment horizontal="center" vertical="top"/>
    </xf>
    <xf applyAlignment="true" applyBorder="true" applyFill="false" applyFont="false" applyNumberFormat="true" borderId="2804" fillId="0" fontId="1" numFmtId="1000" quotePrefix="false">
      <alignment horizontal="center" vertical="top"/>
    </xf>
    <xf applyAlignment="true" applyBorder="true" applyFill="false" applyFont="false" applyNumberFormat="true" borderId="2805" fillId="0" fontId="1" numFmtId="1000" quotePrefix="false">
      <alignment horizontal="center" vertical="top"/>
    </xf>
    <xf applyAlignment="true" applyBorder="true" applyFill="false" applyFont="false" applyNumberFormat="true" borderId="2806" fillId="0" fontId="1" numFmtId="1000" quotePrefix="false">
      <alignment horizontal="center" vertical="top"/>
    </xf>
    <xf applyAlignment="true" applyBorder="true" applyFill="false" applyFont="false" applyNumberFormat="true" borderId="2807" fillId="0" fontId="1" numFmtId="1000" quotePrefix="false">
      <alignment horizontal="center" vertical="top"/>
    </xf>
    <xf applyAlignment="true" applyBorder="true" applyFill="false" applyFont="false" applyNumberFormat="true" borderId="2808" fillId="0" fontId="1" numFmtId="1000" quotePrefix="false">
      <alignment horizontal="center" vertical="top"/>
    </xf>
    <xf applyAlignment="true" applyBorder="true" applyFill="false" applyFont="false" applyNumberFormat="true" borderId="2809" fillId="0" fontId="1" numFmtId="1000" quotePrefix="false">
      <alignment horizontal="center" vertical="top"/>
    </xf>
    <xf applyAlignment="true" applyBorder="true" applyFill="false" applyFont="false" applyNumberFormat="true" borderId="2810" fillId="0" fontId="1" numFmtId="1000" quotePrefix="false">
      <alignment horizontal="center" vertical="top"/>
    </xf>
    <xf applyAlignment="true" applyBorder="true" applyFill="false" applyFont="false" applyNumberFormat="true" borderId="2811" fillId="0" fontId="1" numFmtId="1000" quotePrefix="false">
      <alignment horizontal="center" vertical="top"/>
    </xf>
    <xf applyAlignment="true" applyBorder="true" applyFill="true" applyFont="false" applyNumberFormat="true" borderId="50" fillId="10" fontId="1" numFmtId="1000" quotePrefix="false">
      <alignment vertical="top"/>
    </xf>
    <xf applyAlignment="true" applyBorder="true" applyFill="false" applyFont="false" applyNumberFormat="true" borderId="2812" fillId="0" fontId="1" numFmtId="1000" quotePrefix="false">
      <alignment horizontal="center" vertical="top"/>
    </xf>
    <xf applyAlignment="true" applyBorder="true" applyFill="false" applyFont="false" applyNumberFormat="true" borderId="2813" fillId="0" fontId="1" numFmtId="1000" quotePrefix="false">
      <alignment horizontal="center" vertical="top"/>
    </xf>
    <xf applyAlignment="true" applyBorder="true" applyFill="false" applyFont="false" applyNumberFormat="true" borderId="2814" fillId="0" fontId="1" numFmtId="1000" quotePrefix="false">
      <alignment horizontal="center" vertical="top"/>
    </xf>
    <xf applyAlignment="true" applyBorder="true" applyFill="false" applyFont="false" applyNumberFormat="true" borderId="2815" fillId="0" fontId="1" numFmtId="1000" quotePrefix="false">
      <alignment horizontal="center" vertical="top"/>
    </xf>
    <xf applyAlignment="true" applyBorder="true" applyFill="false" applyFont="false" applyNumberFormat="true" borderId="2816" fillId="0" fontId="1" numFmtId="1000" quotePrefix="false">
      <alignment horizontal="center" vertical="top"/>
    </xf>
    <xf applyAlignment="true" applyBorder="true" applyFill="false" applyFont="false" applyNumberFormat="true" borderId="2817" fillId="0" fontId="1" numFmtId="1000" quotePrefix="false">
      <alignment horizontal="center" vertical="top"/>
    </xf>
    <xf applyAlignment="true" applyBorder="true" applyFill="false" applyFont="false" applyNumberFormat="true" borderId="2818" fillId="0" fontId="1" numFmtId="1000" quotePrefix="false">
      <alignment horizontal="center" vertical="top"/>
    </xf>
    <xf applyAlignment="true" applyBorder="true" applyFill="false" applyFont="false" applyNumberFormat="true" borderId="2819" fillId="0" fontId="1" numFmtId="1000" quotePrefix="false">
      <alignment horizontal="center" vertical="top"/>
    </xf>
    <xf applyAlignment="true" applyBorder="true" applyFill="false" applyFont="false" applyNumberFormat="true" borderId="2820" fillId="0" fontId="1" numFmtId="1000" quotePrefix="false">
      <alignment horizontal="center" vertical="top"/>
    </xf>
    <xf applyAlignment="true" applyBorder="true" applyFill="false" applyFont="false" applyNumberFormat="true" borderId="2821" fillId="0" fontId="1" numFmtId="1000" quotePrefix="false">
      <alignment horizontal="center" vertical="top"/>
    </xf>
    <xf applyAlignment="true" applyBorder="true" applyFill="false" applyFont="false" applyNumberFormat="true" borderId="2822" fillId="0" fontId="1" numFmtId="1000" quotePrefix="false">
      <alignment horizontal="center" vertical="top"/>
    </xf>
    <xf applyAlignment="true" applyBorder="true" applyFill="false" applyFont="false" applyNumberFormat="true" borderId="2823" fillId="0" fontId="1" numFmtId="1000" quotePrefix="false">
      <alignment horizontal="center" vertical="top"/>
    </xf>
    <xf applyAlignment="true" applyBorder="true" applyFill="true" applyFont="false" applyNumberFormat="true" borderId="782" fillId="10" fontId="1" numFmtId="1000" quotePrefix="false">
      <alignment vertical="top"/>
    </xf>
    <xf applyAlignment="true" applyBorder="true" applyFill="false" applyFont="false" applyNumberFormat="true" borderId="2824" fillId="0" fontId="1" numFmtId="1000" quotePrefix="false">
      <alignment horizontal="center" vertical="top"/>
    </xf>
    <xf applyAlignment="true" applyBorder="true" applyFill="false" applyFont="false" applyNumberFormat="true" borderId="2825" fillId="0" fontId="1" numFmtId="1000" quotePrefix="false">
      <alignment horizontal="center" vertical="top"/>
    </xf>
    <xf applyAlignment="true" applyBorder="true" applyFill="false" applyFont="false" applyNumberFormat="true" borderId="2826" fillId="0" fontId="1" numFmtId="1000" quotePrefix="false">
      <alignment horizontal="center" vertical="top"/>
    </xf>
    <xf applyAlignment="true" applyBorder="true" applyFill="false" applyFont="false" applyNumberFormat="true" borderId="2827" fillId="0" fontId="1" numFmtId="1000" quotePrefix="false">
      <alignment horizontal="center" vertical="top"/>
    </xf>
    <xf applyAlignment="true" applyBorder="true" applyFill="false" applyFont="false" applyNumberFormat="true" borderId="2828" fillId="0" fontId="1" numFmtId="1000" quotePrefix="false">
      <alignment horizontal="center" vertical="top"/>
    </xf>
    <xf applyAlignment="true" applyBorder="true" applyFill="false" applyFont="false" applyNumberFormat="true" borderId="2829" fillId="0" fontId="1" numFmtId="1000" quotePrefix="false">
      <alignment horizontal="center" vertical="top"/>
    </xf>
    <xf applyAlignment="true" applyBorder="true" applyFill="false" applyFont="false" applyNumberFormat="true" borderId="2830" fillId="0" fontId="1" numFmtId="1000" quotePrefix="false">
      <alignment horizontal="center" vertical="top"/>
    </xf>
    <xf applyAlignment="true" applyBorder="true" applyFill="false" applyFont="false" applyNumberFormat="true" borderId="2831" fillId="0" fontId="1" numFmtId="1000" quotePrefix="false">
      <alignment horizontal="center" vertical="top"/>
    </xf>
    <xf applyAlignment="true" applyBorder="true" applyFill="false" applyFont="false" applyNumberFormat="true" borderId="2832" fillId="0" fontId="1" numFmtId="1000" quotePrefix="false">
      <alignment horizontal="center" vertical="top"/>
    </xf>
    <xf applyAlignment="true" applyBorder="true" applyFill="false" applyFont="false" applyNumberFormat="true" borderId="2833" fillId="0" fontId="1" numFmtId="1000" quotePrefix="false">
      <alignment horizontal="center" vertical="top"/>
    </xf>
    <xf applyAlignment="true" applyBorder="true" applyFill="false" applyFont="true" applyNumberFormat="true" borderId="2834" fillId="0" fontId="2" numFmtId="1000" quotePrefix="false">
      <alignment horizontal="center" vertical="top"/>
    </xf>
    <xf applyAlignment="true" applyBorder="true" applyFill="false" applyFont="false" applyNumberFormat="true" borderId="2835" fillId="0" fontId="1" numFmtId="1000" quotePrefix="false">
      <alignment horizontal="left" vertical="top"/>
    </xf>
    <xf applyAlignment="true" applyBorder="true" applyFill="false" applyFont="false" applyNumberFormat="true" borderId="2836" fillId="0" fontId="1" numFmtId="1000" quotePrefix="false">
      <alignment horizontal="left" vertical="top"/>
    </xf>
    <xf applyAlignment="true" applyBorder="true" applyFill="false" applyFont="false" applyNumberFormat="true" borderId="2837" fillId="0" fontId="1" numFmtId="1000" quotePrefix="false">
      <alignment horizontal="left" vertical="top"/>
    </xf>
    <xf applyAlignment="true" applyBorder="true" applyFill="false" applyFont="false" applyNumberFormat="true" borderId="2838" fillId="0" fontId="1" numFmtId="1000" quotePrefix="false">
      <alignment horizontal="left" vertical="top"/>
    </xf>
    <xf applyAlignment="true" applyBorder="true" applyFill="false" applyFont="false" applyNumberFormat="true" borderId="2839" fillId="0" fontId="1" numFmtId="1000" quotePrefix="false">
      <alignment horizontal="left" vertical="top"/>
    </xf>
    <xf applyAlignment="true" applyBorder="true" applyFill="false" applyFont="false" applyNumberFormat="true" borderId="2840" fillId="0" fontId="1" numFmtId="1000" quotePrefix="false">
      <alignment horizontal="left" vertical="top"/>
    </xf>
    <xf applyAlignment="true" applyBorder="true" applyFill="false" applyFont="false" applyNumberFormat="true" borderId="2841" fillId="0" fontId="1" numFmtId="1000" quotePrefix="false">
      <alignment horizontal="left" vertical="top"/>
    </xf>
    <xf applyAlignment="true" applyBorder="true" applyFill="false" applyFont="false" applyNumberFormat="true" borderId="2842" fillId="0" fontId="1" numFmtId="1000" quotePrefix="false">
      <alignment horizontal="left" vertical="top"/>
    </xf>
    <xf applyAlignment="true" applyBorder="true" applyFill="false" applyFont="false" applyNumberFormat="true" borderId="2843" fillId="0" fontId="1" numFmtId="1000" quotePrefix="false">
      <alignment horizontal="left" vertical="top"/>
    </xf>
    <xf applyAlignment="true" applyBorder="true" applyFill="false" applyFont="false" applyNumberFormat="true" borderId="2844" fillId="0" fontId="1" numFmtId="1000" quotePrefix="false">
      <alignment horizontal="left" vertical="top"/>
    </xf>
    <xf applyAlignment="true" applyBorder="true" applyFill="false" applyFont="false" applyNumberFormat="true" borderId="2845" fillId="0" fontId="1" numFmtId="1000" quotePrefix="false">
      <alignment horizontal="left" vertical="top"/>
    </xf>
    <xf applyAlignment="true" applyBorder="true" applyFill="false" applyFont="false" applyNumberFormat="true" borderId="2846" fillId="0" fontId="1" numFmtId="1000" quotePrefix="false">
      <alignment horizontal="left" vertical="top"/>
    </xf>
    <xf applyAlignment="true" applyBorder="true" applyFill="false" applyFont="false" applyNumberFormat="true" borderId="2847" fillId="0" fontId="1" numFmtId="1000" quotePrefix="false">
      <alignment horizontal="left" vertical="top"/>
    </xf>
    <xf applyAlignment="true" applyBorder="true" applyFill="false" applyFont="false" applyNumberFormat="true" borderId="2848" fillId="0" fontId="1" numFmtId="1000" quotePrefix="false">
      <alignment horizontal="left" vertical="top"/>
    </xf>
    <xf applyAlignment="true" applyBorder="true" applyFill="false" applyFont="false" applyNumberFormat="true" borderId="2849" fillId="0" fontId="1" numFmtId="1000" quotePrefix="false">
      <alignment horizontal="left" vertical="top"/>
    </xf>
    <xf applyAlignment="true" applyBorder="true" applyFill="false" applyFont="false" applyNumberFormat="true" borderId="2850" fillId="0" fontId="1" numFmtId="1000" quotePrefix="false">
      <alignment horizontal="left" vertical="top"/>
    </xf>
    <xf applyAlignment="true" applyBorder="true" applyFill="false" applyFont="false" applyNumberFormat="true" borderId="2851" fillId="0" fontId="1" numFmtId="1000" quotePrefix="false">
      <alignment horizontal="left" vertical="top"/>
    </xf>
    <xf applyAlignment="true" applyBorder="true" applyFill="false" applyFont="false" applyNumberFormat="true" borderId="2852" fillId="0" fontId="1" numFmtId="1000" quotePrefix="false">
      <alignment horizontal="left" vertical="top"/>
    </xf>
    <xf applyAlignment="true" applyBorder="true" applyFill="false" applyFont="false" applyNumberFormat="true" borderId="2853" fillId="0" fontId="1" numFmtId="1000" quotePrefix="false">
      <alignment horizontal="left" vertical="top"/>
    </xf>
    <xf applyAlignment="true" applyBorder="true" applyFill="false" applyFont="true" applyNumberFormat="true" borderId="2854" fillId="0" fontId="2" numFmtId="1000" quotePrefix="false">
      <alignment horizontal="center"/>
    </xf>
    <xf applyAlignment="true" applyBorder="true" applyFill="false" applyFont="true" applyNumberFormat="true" borderId="2855" fillId="0" fontId="2" numFmtId="1000" quotePrefix="false">
      <alignment horizontal="center"/>
    </xf>
    <xf applyAlignment="true" applyBorder="true" applyFill="false" applyFont="true" applyNumberFormat="true" borderId="2856" fillId="0" fontId="2" numFmtId="1000" quotePrefix="false">
      <alignment horizontal="center"/>
    </xf>
    <xf applyAlignment="true" applyBorder="true" applyFill="false" applyFont="false" applyNumberFormat="true" borderId="2857" fillId="0" fontId="1" numFmtId="1000" quotePrefix="false">
      <alignment horizontal="center" vertical="top"/>
    </xf>
    <xf applyAlignment="true" applyBorder="true" applyFill="false" applyFont="false" applyNumberFormat="true" borderId="2858" fillId="0" fontId="1" numFmtId="1000" quotePrefix="false">
      <alignment horizontal="center" vertical="top"/>
    </xf>
    <xf applyAlignment="true" applyBorder="true" applyFill="false" applyFont="false" applyNumberFormat="true" borderId="2859" fillId="0" fontId="1" numFmtId="1000" quotePrefix="false">
      <alignment horizontal="center" vertical="top"/>
    </xf>
    <xf applyAlignment="true" applyBorder="true" applyFill="false" applyFont="false" applyNumberFormat="true" borderId="2860" fillId="0" fontId="1" numFmtId="1000" quotePrefix="false">
      <alignment horizontal="center" vertical="top"/>
    </xf>
    <xf applyAlignment="true" applyBorder="true" applyFill="false" applyFont="false" applyNumberFormat="true" borderId="2861" fillId="0" fontId="1" numFmtId="1000" quotePrefix="false">
      <alignment horizontal="center" vertical="top"/>
    </xf>
    <xf applyAlignment="true" applyBorder="true" applyFill="false" applyFont="false" applyNumberFormat="true" borderId="2862" fillId="0" fontId="1" numFmtId="1000" quotePrefix="false">
      <alignment horizontal="center" vertical="top"/>
    </xf>
    <xf applyAlignment="true" applyBorder="true" applyFill="false" applyFont="false" applyNumberFormat="true" borderId="2863" fillId="0" fontId="1" numFmtId="1000" quotePrefix="false">
      <alignment horizontal="center" vertical="top"/>
    </xf>
    <xf applyAlignment="true" applyBorder="true" applyFill="false" applyFont="false" applyNumberFormat="true" borderId="2864" fillId="0" fontId="1" numFmtId="1000" quotePrefix="false">
      <alignment horizontal="center" vertical="top"/>
    </xf>
    <xf applyAlignment="true" applyBorder="true" applyFill="false" applyFont="false" applyNumberFormat="true" borderId="2865" fillId="0" fontId="1" numFmtId="1000" quotePrefix="false">
      <alignment horizontal="center" vertical="top"/>
    </xf>
    <xf applyAlignment="true" applyBorder="true" applyFill="false" applyFont="false" applyNumberFormat="true" borderId="2866" fillId="0" fontId="1" numFmtId="1000" quotePrefix="false">
      <alignment horizontal="center" vertical="top"/>
    </xf>
    <xf applyAlignment="true" applyBorder="true" applyFill="false" applyFont="false" applyNumberFormat="true" borderId="2867" fillId="0" fontId="1" numFmtId="1000" quotePrefix="false">
      <alignment horizontal="center" vertical="top"/>
    </xf>
    <xf applyAlignment="true" applyBorder="true" applyFill="false" applyFont="false" applyNumberFormat="true" borderId="2868" fillId="0" fontId="1" numFmtId="1000" quotePrefix="false">
      <alignment horizontal="center" vertical="top"/>
    </xf>
    <xf applyAlignment="true" applyBorder="true" applyFill="false" applyFont="false" applyNumberFormat="true" borderId="2869" fillId="0" fontId="1" numFmtId="1000" quotePrefix="false">
      <alignment horizontal="center" vertical="top"/>
    </xf>
    <xf applyAlignment="true" applyBorder="true" applyFill="false" applyFont="false" applyNumberFormat="true" borderId="2870" fillId="0" fontId="1" numFmtId="1000" quotePrefix="false">
      <alignment horizontal="center" vertical="top"/>
    </xf>
    <xf applyAlignment="true" applyBorder="true" applyFill="false" applyFont="false" applyNumberFormat="true" borderId="2871" fillId="0" fontId="1" numFmtId="1000" quotePrefix="false">
      <alignment horizontal="center" vertical="top"/>
    </xf>
    <xf applyAlignment="true" applyBorder="true" applyFill="false" applyFont="false" applyNumberFormat="true" borderId="2872" fillId="0" fontId="1" numFmtId="1000" quotePrefix="false">
      <alignment horizontal="center" vertical="top"/>
    </xf>
    <xf applyAlignment="true" applyBorder="true" applyFill="false" applyFont="false" applyNumberFormat="true" borderId="2873" fillId="0" fontId="1" numFmtId="1000" quotePrefix="false">
      <alignment horizontal="center" vertical="top"/>
    </xf>
    <xf applyAlignment="true" applyBorder="true" applyFill="true" applyFont="true" applyNumberFormat="true" borderId="2874" fillId="4" fontId="2" numFmtId="1000" quotePrefix="false">
      <alignment horizontal="center" vertical="top" wrapText="true"/>
    </xf>
    <xf applyAlignment="true" applyBorder="true" applyFill="false" applyFont="false" applyNumberFormat="true" borderId="2875" fillId="0" fontId="1" numFmtId="1000" quotePrefix="false">
      <alignment horizontal="center" vertical="top"/>
    </xf>
    <xf applyAlignment="true" applyBorder="true" applyFill="false" applyFont="false" applyNumberFormat="true" borderId="2876" fillId="0" fontId="1" numFmtId="1000" quotePrefix="false">
      <alignment horizontal="center" vertical="top"/>
    </xf>
    <xf applyAlignment="true" applyBorder="true" applyFill="true" applyFont="false" applyNumberFormat="true" borderId="2877" fillId="2" fontId="1" numFmtId="1000" quotePrefix="false">
      <alignment horizontal="center" vertical="top" wrapText="true"/>
    </xf>
    <xf applyAlignment="true" applyBorder="true" applyFill="true" applyFont="true" applyNumberFormat="true" borderId="2878" fillId="4" fontId="2" numFmtId="1000" quotePrefix="false">
      <alignment horizontal="center" vertical="top" wrapText="true"/>
    </xf>
    <xf applyAlignment="true" applyBorder="true" applyFill="false" applyFont="false" applyNumberFormat="true" borderId="2879" fillId="0" fontId="1" numFmtId="1000" quotePrefix="false">
      <alignment horizontal="center" vertical="top"/>
    </xf>
    <xf applyAlignment="true" applyBorder="true" applyFill="false" applyFont="false" applyNumberFormat="true" borderId="2880" fillId="0" fontId="1" numFmtId="1000" quotePrefix="false">
      <alignment horizontal="center" vertical="top"/>
    </xf>
    <xf applyAlignment="true" applyBorder="true" applyFill="true" applyFont="false" applyNumberFormat="true" borderId="2881" fillId="2" fontId="1" numFmtId="1000" quotePrefix="false">
      <alignment horizontal="center" vertical="top" wrapText="true"/>
    </xf>
    <xf applyAlignment="true" applyBorder="true" applyFill="true" applyFont="true" applyNumberFormat="true" borderId="2882" fillId="4" fontId="2" numFmtId="1000" quotePrefix="false">
      <alignment horizontal="center" vertical="top" wrapText="true"/>
    </xf>
    <xf applyAlignment="true" applyBorder="true" applyFill="false" applyFont="false" applyNumberFormat="true" borderId="2883" fillId="0" fontId="1" numFmtId="1000" quotePrefix="false">
      <alignment horizontal="center" vertical="top"/>
    </xf>
    <xf applyAlignment="true" applyBorder="true" applyFill="false" applyFont="false" applyNumberFormat="true" borderId="2884" fillId="0" fontId="1" numFmtId="1000" quotePrefix="false">
      <alignment horizontal="center" vertical="top"/>
    </xf>
    <xf applyAlignment="true" applyBorder="true" applyFill="true" applyFont="false" applyNumberFormat="true" borderId="2885" fillId="2" fontId="1" numFmtId="1000" quotePrefix="false">
      <alignment horizontal="center" vertical="top" wrapText="true"/>
    </xf>
    <xf applyAlignment="true" applyBorder="true" applyFill="true" applyFont="true" applyNumberFormat="true" borderId="2886" fillId="4" fontId="2" numFmtId="1000" quotePrefix="false">
      <alignment horizontal="center" vertical="top" wrapText="true"/>
    </xf>
    <xf applyAlignment="true" applyBorder="true" applyFill="false" applyFont="false" applyNumberFormat="true" borderId="2887" fillId="0" fontId="1" numFmtId="1000" quotePrefix="false">
      <alignment horizontal="center" vertical="top"/>
    </xf>
    <xf applyAlignment="true" applyBorder="true" applyFill="false" applyFont="false" applyNumberFormat="true" borderId="2888" fillId="0" fontId="1" numFmtId="1000" quotePrefix="false">
      <alignment horizontal="center" vertical="top"/>
    </xf>
    <xf applyAlignment="true" applyBorder="true" applyFill="true" applyFont="false" applyNumberFormat="true" borderId="2889" fillId="2" fontId="1" numFmtId="1000" quotePrefix="false">
      <alignment horizontal="center" vertical="top" wrapText="true"/>
    </xf>
    <xf applyAlignment="true" applyBorder="true" applyFill="true" applyFont="true" applyNumberFormat="true" borderId="2890" fillId="4" fontId="2" numFmtId="1000" quotePrefix="false">
      <alignment horizontal="center" vertical="top" wrapText="true"/>
    </xf>
    <xf applyAlignment="true" applyBorder="true" applyFill="false" applyFont="false" applyNumberFormat="true" borderId="2891" fillId="0" fontId="1" numFmtId="1000" quotePrefix="false">
      <alignment horizontal="center" vertical="top"/>
    </xf>
    <xf applyAlignment="true" applyBorder="true" applyFill="false" applyFont="false" applyNumberFormat="true" borderId="2892" fillId="0" fontId="1" numFmtId="1000" quotePrefix="false">
      <alignment horizontal="center" vertical="top"/>
    </xf>
    <xf applyAlignment="true" applyBorder="true" applyFill="true" applyFont="false" applyNumberFormat="true" borderId="2893" fillId="2" fontId="1" numFmtId="1000" quotePrefix="false">
      <alignment horizontal="center" vertical="top" wrapText="true"/>
    </xf>
    <xf applyAlignment="true" applyBorder="true" applyFill="true" applyFont="true" applyNumberFormat="true" borderId="2894" fillId="4" fontId="2" numFmtId="1000" quotePrefix="false">
      <alignment horizontal="center" vertical="top" wrapText="true"/>
    </xf>
    <xf applyAlignment="true" applyBorder="true" applyFill="false" applyFont="false" applyNumberFormat="true" borderId="2895" fillId="0" fontId="1" numFmtId="1000" quotePrefix="false">
      <alignment horizontal="center" vertical="top"/>
    </xf>
    <xf applyAlignment="true" applyBorder="true" applyFill="false" applyFont="false" applyNumberFormat="true" borderId="2896" fillId="0" fontId="1" numFmtId="1000" quotePrefix="false">
      <alignment horizontal="center" vertical="top"/>
    </xf>
    <xf applyAlignment="true" applyBorder="true" applyFill="true" applyFont="false" applyNumberFormat="true" borderId="2897" fillId="2" fontId="1" numFmtId="1000" quotePrefix="false">
      <alignment horizontal="center" vertical="top" wrapText="true"/>
    </xf>
    <xf applyAlignment="true" applyBorder="true" applyFill="true" applyFont="true" applyNumberFormat="true" borderId="2898" fillId="4" fontId="2" numFmtId="1000" quotePrefix="false">
      <alignment horizontal="center" vertical="top" wrapText="true"/>
    </xf>
    <xf applyAlignment="true" applyBorder="true" applyFill="false" applyFont="false" applyNumberFormat="true" borderId="2899" fillId="0" fontId="1" numFmtId="1000" quotePrefix="false">
      <alignment horizontal="center" vertical="top"/>
    </xf>
    <xf applyAlignment="true" applyBorder="true" applyFill="false" applyFont="false" applyNumberFormat="true" borderId="2900" fillId="0" fontId="1" numFmtId="1000" quotePrefix="false">
      <alignment horizontal="center" vertical="top"/>
    </xf>
    <xf applyAlignment="true" applyBorder="true" applyFill="true" applyFont="false" applyNumberFormat="true" borderId="2901" fillId="2" fontId="1" numFmtId="1000" quotePrefix="false">
      <alignment horizontal="center" vertical="top" wrapText="true"/>
    </xf>
    <xf applyAlignment="true" applyBorder="true" applyFill="true" applyFont="true" applyNumberFormat="true" borderId="2902" fillId="4" fontId="2" numFmtId="1000" quotePrefix="false">
      <alignment horizontal="center" vertical="top" wrapText="true"/>
    </xf>
    <xf applyAlignment="true" applyBorder="true" applyFill="false" applyFont="false" applyNumberFormat="true" borderId="2903" fillId="0" fontId="1" numFmtId="1000" quotePrefix="false">
      <alignment horizontal="center" vertical="top"/>
    </xf>
    <xf applyAlignment="true" applyBorder="true" applyFill="false" applyFont="false" applyNumberFormat="true" borderId="2904" fillId="0" fontId="1" numFmtId="1000" quotePrefix="false">
      <alignment horizontal="center" vertical="top"/>
    </xf>
    <xf applyAlignment="true" applyBorder="true" applyFill="false" applyFont="true" applyNumberFormat="true" borderId="2905" fillId="0" fontId="2" numFmtId="1000" quotePrefix="false">
      <alignment horizontal="center" vertical="top"/>
    </xf>
    <xf applyAlignment="true" applyBorder="true" applyFill="false" applyFont="false" applyNumberFormat="true" borderId="2906" fillId="0" fontId="1" numFmtId="1000" quotePrefix="false">
      <alignment horizontal="left" vertical="top"/>
    </xf>
    <xf applyAlignment="true" applyBorder="true" applyFill="false" applyFont="false" applyNumberFormat="true" borderId="2907" fillId="0" fontId="1" numFmtId="1000" quotePrefix="false">
      <alignment horizontal="left" vertical="top"/>
    </xf>
    <xf applyAlignment="true" applyBorder="true" applyFill="false" applyFont="false" applyNumberFormat="true" borderId="2908" fillId="0" fontId="1" numFmtId="1000" quotePrefix="false">
      <alignment horizontal="left" vertical="top"/>
    </xf>
    <xf applyAlignment="true" applyBorder="true" applyFill="false" applyFont="false" applyNumberFormat="true" borderId="2909" fillId="0" fontId="1" numFmtId="1000" quotePrefix="false">
      <alignment horizontal="left" vertical="top"/>
    </xf>
    <xf applyAlignment="true" applyBorder="true" applyFill="false" applyFont="false" applyNumberFormat="true" borderId="2910" fillId="0" fontId="1" numFmtId="1000" quotePrefix="false">
      <alignment horizontal="left" vertical="top"/>
    </xf>
    <xf applyAlignment="true" applyBorder="true" applyFill="false" applyFont="false" applyNumberFormat="true" borderId="2911" fillId="0" fontId="1" numFmtId="1000" quotePrefix="false">
      <alignment horizontal="left" vertical="top"/>
    </xf>
    <xf applyAlignment="true" applyBorder="true" applyFill="false" applyFont="false" applyNumberFormat="true" borderId="2912" fillId="0" fontId="1" numFmtId="1000" quotePrefix="false">
      <alignment horizontal="left" vertical="top"/>
    </xf>
    <xf applyAlignment="true" applyBorder="true" applyFill="false" applyFont="false" applyNumberFormat="true" borderId="2913" fillId="0" fontId="1" numFmtId="1000" quotePrefix="false">
      <alignment horizontal="left" vertical="top"/>
    </xf>
    <xf applyAlignment="true" applyBorder="true" applyFill="false" applyFont="false" applyNumberFormat="true" borderId="2914" fillId="0" fontId="1" numFmtId="1000" quotePrefix="false">
      <alignment horizontal="left" vertical="top"/>
    </xf>
    <xf applyAlignment="true" applyBorder="true" applyFill="false" applyFont="false" applyNumberFormat="true" borderId="2915" fillId="0" fontId="1" numFmtId="1000" quotePrefix="false">
      <alignment horizontal="left" vertical="top"/>
    </xf>
    <xf applyAlignment="true" applyBorder="true" applyFill="false" applyFont="false" applyNumberFormat="true" borderId="2916" fillId="0" fontId="1" numFmtId="1000" quotePrefix="false">
      <alignment horizontal="left" vertical="top"/>
    </xf>
    <xf applyAlignment="true" applyBorder="true" applyFill="false" applyFont="false" applyNumberFormat="true" borderId="2917" fillId="0" fontId="1" numFmtId="1000" quotePrefix="false">
      <alignment horizontal="left" vertical="top"/>
    </xf>
    <xf applyAlignment="true" applyBorder="true" applyFill="false" applyFont="false" applyNumberFormat="true" borderId="2918" fillId="0" fontId="1" numFmtId="1000" quotePrefix="false">
      <alignment horizontal="left" vertical="top"/>
    </xf>
    <xf applyAlignment="true" applyBorder="true" applyFill="false" applyFont="false" applyNumberFormat="true" borderId="2919" fillId="0" fontId="1" numFmtId="1000" quotePrefix="false">
      <alignment horizontal="left" vertical="top"/>
    </xf>
    <xf applyAlignment="true" applyBorder="true" applyFill="false" applyFont="false" applyNumberFormat="true" borderId="2920" fillId="0" fontId="1" numFmtId="1000" quotePrefix="false">
      <alignment horizontal="left" vertical="top"/>
    </xf>
    <xf applyAlignment="true" applyBorder="true" applyFill="false" applyFont="false" applyNumberFormat="true" borderId="2921" fillId="0" fontId="1" numFmtId="1000" quotePrefix="false">
      <alignment horizontal="left" vertical="top"/>
    </xf>
    <xf applyAlignment="true" applyBorder="true" applyFill="false" applyFont="false" applyNumberFormat="true" borderId="2922" fillId="0" fontId="1" numFmtId="1000" quotePrefix="false">
      <alignment horizontal="left" vertical="top"/>
    </xf>
    <xf applyAlignment="true" applyBorder="true" applyFill="false" applyFont="false" applyNumberFormat="true" borderId="2923" fillId="0" fontId="1" numFmtId="1000" quotePrefix="false">
      <alignment horizontal="left" vertical="top"/>
    </xf>
    <xf applyAlignment="true" applyBorder="true" applyFill="false" applyFont="false" applyNumberFormat="true" borderId="2924" fillId="0" fontId="1" numFmtId="1000" quotePrefix="false">
      <alignment horizontal="left" vertical="top"/>
    </xf>
    <xf applyAlignment="true" applyBorder="true" applyFill="false" applyFont="true" applyNumberFormat="true" borderId="2925" fillId="0" fontId="2" numFmtId="1000" quotePrefix="false">
      <alignment horizontal="center"/>
    </xf>
    <xf applyAlignment="true" applyBorder="true" applyFill="false" applyFont="true" applyNumberFormat="true" borderId="2926" fillId="0" fontId="2" numFmtId="1000" quotePrefix="false">
      <alignment horizontal="center"/>
    </xf>
    <xf applyAlignment="true" applyBorder="true" applyFill="false" applyFont="true" applyNumberFormat="true" borderId="2927" fillId="0" fontId="2" numFmtId="1000" quotePrefix="false">
      <alignment horizontal="center"/>
    </xf>
    <xf applyAlignment="true" applyBorder="true" applyFill="false" applyFont="false" applyNumberFormat="true" borderId="2928" fillId="0" fontId="1" numFmtId="1000" quotePrefix="false">
      <alignment horizontal="center" vertical="top"/>
    </xf>
    <xf applyAlignment="true" applyBorder="true" applyFill="false" applyFont="false" applyNumberFormat="true" borderId="2929" fillId="0" fontId="1" numFmtId="1000" quotePrefix="false">
      <alignment horizontal="center" vertical="top"/>
    </xf>
    <xf applyAlignment="true" applyBorder="true" applyFill="false" applyFont="false" applyNumberFormat="true" borderId="2930" fillId="0" fontId="1" numFmtId="1000" quotePrefix="false">
      <alignment horizontal="center" vertical="top"/>
    </xf>
    <xf applyAlignment="true" applyBorder="true" applyFill="false" applyFont="false" applyNumberFormat="true" borderId="2931" fillId="0" fontId="1" numFmtId="1000" quotePrefix="false">
      <alignment horizontal="center" vertical="top"/>
    </xf>
    <xf applyAlignment="true" applyBorder="true" applyFill="false" applyFont="false" applyNumberFormat="true" borderId="2932" fillId="0" fontId="1" numFmtId="1000" quotePrefix="false">
      <alignment horizontal="center" vertical="top"/>
    </xf>
    <xf applyAlignment="true" applyBorder="true" applyFill="false" applyFont="false" applyNumberFormat="true" borderId="2933" fillId="0" fontId="1" numFmtId="1000" quotePrefix="false">
      <alignment horizontal="center" vertical="top"/>
    </xf>
    <xf applyAlignment="true" applyBorder="true" applyFill="false" applyFont="false" applyNumberFormat="true" borderId="2934" fillId="0" fontId="1" numFmtId="1000" quotePrefix="false">
      <alignment horizontal="center" vertical="top"/>
    </xf>
    <xf applyAlignment="true" applyBorder="true" applyFill="false" applyFont="false" applyNumberFormat="true" borderId="2935" fillId="0" fontId="1" numFmtId="1000" quotePrefix="false">
      <alignment horizontal="center" vertical="top"/>
    </xf>
    <xf applyAlignment="true" applyBorder="true" applyFill="false" applyFont="false" applyNumberFormat="true" borderId="2936" fillId="0" fontId="1" numFmtId="1000" quotePrefix="false">
      <alignment horizontal="center" vertical="top"/>
    </xf>
    <xf applyAlignment="true" applyBorder="true" applyFill="false" applyFont="false" applyNumberFormat="true" borderId="2937" fillId="0" fontId="1" numFmtId="1000" quotePrefix="false">
      <alignment horizontal="center" vertical="top"/>
    </xf>
    <xf applyAlignment="true" applyBorder="true" applyFill="false" applyFont="false" applyNumberFormat="true" borderId="2938" fillId="0" fontId="1" numFmtId="1000" quotePrefix="false">
      <alignment horizontal="center" vertical="top"/>
    </xf>
    <xf applyAlignment="true" applyBorder="true" applyFill="false" applyFont="false" applyNumberFormat="true" borderId="2939" fillId="0" fontId="1" numFmtId="1000" quotePrefix="false">
      <alignment horizontal="center" vertical="top"/>
    </xf>
    <xf applyAlignment="true" applyBorder="true" applyFill="false" applyFont="false" applyNumberFormat="true" borderId="2940" fillId="0" fontId="1" numFmtId="1000" quotePrefix="false">
      <alignment horizontal="center" vertical="top"/>
    </xf>
    <xf applyAlignment="true" applyBorder="true" applyFill="false" applyFont="false" applyNumberFormat="true" borderId="2941" fillId="0" fontId="1" numFmtId="1000" quotePrefix="false">
      <alignment horizontal="center" vertical="top"/>
    </xf>
    <xf applyAlignment="true" applyBorder="true" applyFill="false" applyFont="false" applyNumberFormat="true" borderId="2942" fillId="0" fontId="1" numFmtId="1000" quotePrefix="false">
      <alignment horizontal="center" vertical="top"/>
    </xf>
    <xf applyAlignment="true" applyBorder="true" applyFill="false" applyFont="false" applyNumberFormat="true" borderId="2943" fillId="0" fontId="1" numFmtId="1000" quotePrefix="false">
      <alignment horizontal="center" vertical="top"/>
    </xf>
    <xf applyAlignment="true" applyBorder="true" applyFill="false" applyFont="false" applyNumberFormat="true" borderId="2944" fillId="0" fontId="1" numFmtId="1000" quotePrefix="false">
      <alignment horizontal="center" vertical="top"/>
    </xf>
    <xf applyAlignment="true" applyBorder="true" applyFill="false" applyFont="false" applyNumberFormat="true" borderId="2945" fillId="0" fontId="1" numFmtId="1000" quotePrefix="false">
      <alignment horizontal="center" vertical="top"/>
    </xf>
    <xf applyAlignment="true" applyBorder="true" applyFill="false" applyFont="false" applyNumberFormat="true" borderId="2946" fillId="0" fontId="1" numFmtId="1000" quotePrefix="false">
      <alignment horizontal="center" vertical="top"/>
    </xf>
    <xf applyAlignment="true" applyBorder="true" applyFill="false" applyFont="false" applyNumberFormat="true" borderId="2947" fillId="0" fontId="1" numFmtId="1000" quotePrefix="false">
      <alignment horizontal="center" vertical="top"/>
    </xf>
    <xf applyAlignment="true" applyBorder="true" applyFill="false" applyFont="false" applyNumberFormat="true" borderId="2948" fillId="0" fontId="1" numFmtId="1000" quotePrefix="false">
      <alignment horizontal="center" vertical="top"/>
    </xf>
    <xf applyAlignment="true" applyBorder="true" applyFill="false" applyFont="false" applyNumberFormat="true" borderId="2949" fillId="0" fontId="1" numFmtId="1000" quotePrefix="false">
      <alignment horizontal="center" vertical="top"/>
    </xf>
    <xf applyAlignment="true" applyBorder="true" applyFill="false" applyFont="false" applyNumberFormat="true" borderId="2950" fillId="0" fontId="1" numFmtId="1000" quotePrefix="false">
      <alignment horizontal="center" vertical="top"/>
    </xf>
    <xf applyAlignment="true" applyBorder="true" applyFill="false" applyFont="false" applyNumberFormat="true" borderId="2951" fillId="0" fontId="1" numFmtId="1000" quotePrefix="false">
      <alignment horizontal="center" vertical="top"/>
    </xf>
    <xf applyAlignment="true" applyBorder="true" applyFill="false" applyFont="false" applyNumberFormat="true" borderId="2952" fillId="0" fontId="1" numFmtId="1000" quotePrefix="false">
      <alignment horizontal="center" vertical="top"/>
    </xf>
    <xf applyAlignment="true" applyBorder="true" applyFill="false" applyFont="false" applyNumberFormat="true" borderId="2953" fillId="0" fontId="1" numFmtId="1000" quotePrefix="false">
      <alignment horizontal="center" vertical="top"/>
    </xf>
    <xf applyAlignment="true" applyBorder="true" applyFill="false" applyFont="false" applyNumberFormat="true" borderId="2954" fillId="0" fontId="1" numFmtId="1000" quotePrefix="false">
      <alignment horizontal="center" vertical="top"/>
    </xf>
    <xf applyAlignment="true" applyBorder="true" applyFill="false" applyFont="false" applyNumberFormat="true" borderId="2955" fillId="0" fontId="1" numFmtId="1000" quotePrefix="false">
      <alignment horizontal="center" vertical="top"/>
    </xf>
    <xf applyAlignment="true" applyBorder="true" applyFill="false" applyFont="false" applyNumberFormat="true" borderId="2956" fillId="0" fontId="1" numFmtId="1000" quotePrefix="false">
      <alignment horizontal="center" vertical="top"/>
    </xf>
    <xf applyAlignment="true" applyBorder="true" applyFill="false" applyFont="false" applyNumberFormat="true" borderId="2957" fillId="0" fontId="1" numFmtId="1000" quotePrefix="false">
      <alignment horizontal="center" vertical="top"/>
    </xf>
    <xf applyAlignment="true" applyBorder="true" applyFill="false" applyFont="false" applyNumberFormat="true" borderId="2958" fillId="0" fontId="1" numFmtId="1000" quotePrefix="false">
      <alignment horizontal="center" vertical="top"/>
    </xf>
    <xf applyAlignment="true" applyBorder="true" applyFill="false" applyFont="false" applyNumberFormat="true" borderId="2959" fillId="0" fontId="1" numFmtId="1000" quotePrefix="false">
      <alignment horizontal="center" vertical="top"/>
    </xf>
    <xf applyAlignment="true" applyBorder="true" applyFill="false" applyFont="false" applyNumberFormat="true" borderId="2960" fillId="0" fontId="1" numFmtId="1000" quotePrefix="false">
      <alignment horizontal="center" vertical="top"/>
    </xf>
    <xf applyAlignment="true" applyBorder="true" applyFill="false" applyFont="false" applyNumberFormat="true" borderId="2961" fillId="0" fontId="1" numFmtId="1000" quotePrefix="false">
      <alignment horizontal="center" vertical="top"/>
    </xf>
    <xf applyAlignment="true" applyBorder="true" applyFill="false" applyFont="false" applyNumberFormat="true" borderId="2962" fillId="0" fontId="1" numFmtId="1000" quotePrefix="false">
      <alignment horizontal="center" vertical="top"/>
    </xf>
    <xf applyAlignment="true" applyBorder="true" applyFill="false" applyFont="false" applyNumberFormat="true" borderId="2963" fillId="0" fontId="1" numFmtId="1000" quotePrefix="false">
      <alignment horizontal="center" vertical="top"/>
    </xf>
    <xf applyAlignment="true" applyBorder="true" applyFill="false" applyFont="false" applyNumberFormat="true" borderId="2964" fillId="0" fontId="1" numFmtId="1000" quotePrefix="false">
      <alignment horizontal="center" vertical="top"/>
    </xf>
    <xf applyAlignment="true" applyBorder="true" applyFill="false" applyFont="false" applyNumberFormat="true" borderId="2965" fillId="0" fontId="1" numFmtId="1000" quotePrefix="false">
      <alignment horizontal="center" vertical="top"/>
    </xf>
    <xf applyAlignment="true" applyBorder="true" applyFill="false" applyFont="false" applyNumberFormat="true" borderId="2966" fillId="0" fontId="1" numFmtId="1000" quotePrefix="false">
      <alignment horizontal="center" vertical="top"/>
    </xf>
    <xf applyAlignment="true" applyBorder="true" applyFill="false" applyFont="false" applyNumberFormat="true" borderId="2967" fillId="0" fontId="1" numFmtId="1000" quotePrefix="false">
      <alignment horizontal="center" vertical="top"/>
    </xf>
    <xf applyAlignment="true" applyBorder="true" applyFill="false" applyFont="false" applyNumberFormat="true" borderId="2968" fillId="0" fontId="1" numFmtId="1000" quotePrefix="false">
      <alignment horizontal="center" vertical="top"/>
    </xf>
    <xf applyAlignment="true" applyBorder="true" applyFill="false" applyFont="false" applyNumberFormat="true" borderId="2969" fillId="0" fontId="1" numFmtId="1000" quotePrefix="false">
      <alignment horizontal="center" vertical="top"/>
    </xf>
    <xf applyAlignment="true" applyBorder="true" applyFill="false" applyFont="false" applyNumberFormat="true" borderId="2970" fillId="0" fontId="1" numFmtId="1000" quotePrefix="false">
      <alignment horizontal="center" vertical="top"/>
    </xf>
    <xf applyAlignment="true" applyBorder="true" applyFill="false" applyFont="false" applyNumberFormat="true" borderId="2971" fillId="0" fontId="1" numFmtId="1000" quotePrefix="false">
      <alignment horizontal="center" vertical="top"/>
    </xf>
    <xf applyAlignment="true" applyBorder="true" applyFill="false" applyFont="false" applyNumberFormat="true" borderId="2972" fillId="0" fontId="1" numFmtId="1000" quotePrefix="false">
      <alignment horizontal="center" vertical="top"/>
    </xf>
    <xf applyAlignment="true" applyBorder="true" applyFill="false" applyFont="false" applyNumberFormat="true" borderId="2973" fillId="0" fontId="1" numFmtId="1000" quotePrefix="false">
      <alignment horizontal="center" vertical="top"/>
    </xf>
    <xf applyAlignment="true" applyBorder="true" applyFill="false" applyFont="false" applyNumberFormat="true" borderId="2974" fillId="0" fontId="1" numFmtId="1000" quotePrefix="false">
      <alignment horizontal="center" vertical="top"/>
    </xf>
    <xf applyAlignment="true" applyBorder="true" applyFill="false" applyFont="false" applyNumberFormat="true" borderId="2975" fillId="0" fontId="1" numFmtId="1000" quotePrefix="false">
      <alignment horizontal="center" vertical="top"/>
    </xf>
    <xf applyAlignment="true" applyBorder="true" applyFill="false" applyFont="false" applyNumberFormat="true" borderId="2976" fillId="0" fontId="1" numFmtId="1000" quotePrefix="false">
      <alignment horizontal="center" vertical="top"/>
    </xf>
    <xf applyAlignment="true" applyBorder="true" applyFill="false" applyFont="false" applyNumberFormat="true" borderId="2977" fillId="0" fontId="1" numFmtId="1000" quotePrefix="false">
      <alignment horizontal="center" vertical="top"/>
    </xf>
    <xf applyAlignment="true" applyBorder="true" applyFill="false" applyFont="false" applyNumberFormat="true" borderId="2978" fillId="0" fontId="1" numFmtId="1000" quotePrefix="false">
      <alignment horizontal="center" vertical="top"/>
    </xf>
    <xf applyAlignment="true" applyBorder="true" applyFill="false" applyFont="false" applyNumberFormat="true" borderId="2979" fillId="0" fontId="1" numFmtId="1000" quotePrefix="false">
      <alignment horizontal="center" vertical="top"/>
    </xf>
    <xf applyAlignment="true" applyBorder="true" applyFill="false" applyFont="false" applyNumberFormat="true" borderId="2980" fillId="0" fontId="1" numFmtId="1000" quotePrefix="false">
      <alignment horizontal="center" vertical="top"/>
    </xf>
    <xf applyAlignment="true" applyBorder="true" applyFill="false" applyFont="false" applyNumberFormat="true" borderId="2981" fillId="0" fontId="1" numFmtId="1000" quotePrefix="false">
      <alignment horizontal="center" vertical="top"/>
    </xf>
    <xf applyAlignment="true" applyBorder="true" applyFill="false" applyFont="false" applyNumberFormat="true" borderId="2982" fillId="0" fontId="1" numFmtId="1000" quotePrefix="false">
      <alignment horizontal="center" vertical="top"/>
    </xf>
    <xf applyAlignment="true" applyBorder="true" applyFill="false" applyFont="false" applyNumberFormat="true" borderId="2983" fillId="0" fontId="1" numFmtId="1000" quotePrefix="false">
      <alignment horizontal="center" vertical="top"/>
    </xf>
    <xf applyAlignment="true" applyBorder="true" applyFill="false" applyFont="false" applyNumberFormat="true" borderId="2984" fillId="0" fontId="1" numFmtId="1000" quotePrefix="false">
      <alignment horizontal="center" vertical="top"/>
    </xf>
    <xf applyAlignment="true" applyBorder="true" applyFill="false" applyFont="false" applyNumberFormat="true" borderId="2985" fillId="0" fontId="1" numFmtId="1000" quotePrefix="false">
      <alignment horizontal="center" vertical="top"/>
    </xf>
    <xf applyAlignment="true" applyBorder="true" applyFill="false" applyFont="false" applyNumberFormat="true" borderId="2986" fillId="0" fontId="1" numFmtId="1000" quotePrefix="false">
      <alignment horizontal="center" vertical="top"/>
    </xf>
    <xf applyAlignment="true" applyBorder="true" applyFill="false" applyFont="false" applyNumberFormat="true" borderId="2987" fillId="0" fontId="1" numFmtId="1000" quotePrefix="false">
      <alignment horizontal="center" vertical="top"/>
    </xf>
    <xf applyAlignment="true" applyBorder="true" applyFill="false" applyFont="false" applyNumberFormat="true" borderId="2988" fillId="0" fontId="1" numFmtId="1000" quotePrefix="false">
      <alignment horizontal="center" vertical="top"/>
    </xf>
    <xf applyAlignment="true" applyBorder="true" applyFill="false" applyFont="false" applyNumberFormat="true" borderId="2989" fillId="0" fontId="1" numFmtId="1000" quotePrefix="false">
      <alignment horizontal="center" vertical="top"/>
    </xf>
    <xf applyAlignment="true" applyBorder="true" applyFill="false" applyFont="false" applyNumberFormat="true" borderId="2990" fillId="0" fontId="1" numFmtId="1000" quotePrefix="false">
      <alignment horizontal="center" vertical="top"/>
    </xf>
    <xf applyAlignment="true" applyBorder="true" applyFill="true" applyFont="false" applyNumberFormat="true" borderId="85" fillId="20" fontId="1" numFmtId="1000" quotePrefix="false">
      <alignment horizontal="left" vertical="top"/>
    </xf>
    <xf applyAlignment="true" applyBorder="true" applyFill="false" applyFont="false" applyNumberFormat="true" borderId="2991" fillId="0" fontId="1" numFmtId="1000" quotePrefix="false">
      <alignment horizontal="center" vertical="top"/>
    </xf>
    <xf applyAlignment="true" applyBorder="true" applyFill="false" applyFont="false" applyNumberFormat="true" borderId="2992" fillId="0" fontId="1" numFmtId="1000" quotePrefix="false">
      <alignment horizontal="center" vertical="top"/>
    </xf>
    <xf applyAlignment="true" applyBorder="true" applyFill="false" applyFont="false" applyNumberFormat="true" borderId="2993" fillId="0" fontId="1" numFmtId="1000" quotePrefix="false">
      <alignment horizontal="center" vertical="top"/>
    </xf>
    <xf applyAlignment="true" applyBorder="true" applyFill="false" applyFont="false" applyNumberFormat="true" borderId="2994" fillId="0" fontId="1" numFmtId="1000" quotePrefix="false">
      <alignment horizontal="center" vertical="top"/>
    </xf>
    <xf applyAlignment="true" applyBorder="true" applyFill="false" applyFont="false" applyNumberFormat="true" borderId="2995" fillId="0" fontId="1" numFmtId="1000" quotePrefix="false">
      <alignment horizontal="center" vertical="top"/>
    </xf>
    <xf applyAlignment="true" applyBorder="true" applyFill="false" applyFont="false" applyNumberFormat="true" borderId="2996" fillId="0" fontId="1" numFmtId="1000" quotePrefix="false">
      <alignment horizontal="center" vertical="top"/>
    </xf>
    <xf applyAlignment="true" applyBorder="true" applyFill="false" applyFont="false" applyNumberFormat="true" borderId="2997" fillId="0" fontId="1" numFmtId="1000" quotePrefix="false">
      <alignment horizontal="center" vertical="top"/>
    </xf>
    <xf applyAlignment="true" applyBorder="true" applyFill="false" applyFont="false" applyNumberFormat="true" borderId="2998" fillId="0" fontId="1" numFmtId="1000" quotePrefix="false">
      <alignment horizontal="center" vertical="top"/>
    </xf>
    <xf applyAlignment="true" applyBorder="true" applyFill="false" applyFont="false" applyNumberFormat="true" borderId="2999" fillId="0" fontId="1" numFmtId="1000" quotePrefix="false">
      <alignment horizontal="center" vertical="top"/>
    </xf>
    <xf applyAlignment="true" applyBorder="true" applyFill="false" applyFont="false" applyNumberFormat="true" borderId="3000" fillId="0" fontId="1" numFmtId="1000" quotePrefix="false">
      <alignment horizontal="center" vertical="top"/>
    </xf>
    <xf applyAlignment="true" applyBorder="true" applyFill="false" applyFont="false" applyNumberFormat="true" borderId="3001" fillId="0" fontId="1" numFmtId="1000" quotePrefix="false">
      <alignment horizontal="center" vertical="top"/>
    </xf>
    <xf applyAlignment="true" applyBorder="true" applyFill="false" applyFont="false" applyNumberFormat="true" borderId="3002" fillId="0" fontId="1" numFmtId="1000" quotePrefix="false">
      <alignment horizontal="center" vertical="top"/>
    </xf>
    <xf applyAlignment="true" applyBorder="true" applyFill="false" applyFont="true" applyNumberFormat="true" borderId="3003" fillId="0" fontId="2" numFmtId="1000" quotePrefix="false">
      <alignment horizontal="center" vertical="top"/>
    </xf>
    <xf applyAlignment="true" applyBorder="true" applyFill="false" applyFont="false" applyNumberFormat="true" borderId="3004" fillId="0" fontId="1" numFmtId="1000" quotePrefix="false">
      <alignment horizontal="left" vertical="top"/>
    </xf>
    <xf applyAlignment="true" applyBorder="true" applyFill="false" applyFont="false" applyNumberFormat="true" borderId="3005" fillId="0" fontId="1" numFmtId="1000" quotePrefix="false">
      <alignment horizontal="left" vertical="top"/>
    </xf>
    <xf applyAlignment="true" applyBorder="true" applyFill="false" applyFont="false" applyNumberFormat="true" borderId="3006" fillId="0" fontId="1" numFmtId="1000" quotePrefix="false">
      <alignment horizontal="left" vertical="top"/>
    </xf>
    <xf applyAlignment="true" applyBorder="true" applyFill="false" applyFont="false" applyNumberFormat="true" borderId="3007" fillId="0" fontId="1" numFmtId="1000" quotePrefix="false">
      <alignment horizontal="left" vertical="top"/>
    </xf>
    <xf applyAlignment="true" applyBorder="true" applyFill="false" applyFont="false" applyNumberFormat="true" borderId="3008" fillId="0" fontId="1" numFmtId="1000" quotePrefix="false">
      <alignment horizontal="left" vertical="top"/>
    </xf>
    <xf applyAlignment="true" applyBorder="true" applyFill="false" applyFont="false" applyNumberFormat="true" borderId="3009" fillId="0" fontId="1" numFmtId="1000" quotePrefix="false">
      <alignment horizontal="left" vertical="top"/>
    </xf>
    <xf applyAlignment="true" applyBorder="true" applyFill="false" applyFont="false" applyNumberFormat="true" borderId="3010" fillId="0" fontId="1" numFmtId="1000" quotePrefix="false">
      <alignment horizontal="left" vertical="top"/>
    </xf>
    <xf applyAlignment="true" applyBorder="true" applyFill="false" applyFont="false" applyNumberFormat="true" borderId="3011" fillId="0" fontId="1" numFmtId="1000" quotePrefix="false">
      <alignment horizontal="left" vertical="top"/>
    </xf>
    <xf applyAlignment="true" applyBorder="true" applyFill="false" applyFont="false" applyNumberFormat="true" borderId="3012" fillId="0" fontId="1" numFmtId="1000" quotePrefix="false">
      <alignment horizontal="left" vertical="top"/>
    </xf>
    <xf applyAlignment="true" applyBorder="true" applyFill="false" applyFont="false" applyNumberFormat="true" borderId="3013" fillId="0" fontId="1" numFmtId="1000" quotePrefix="false">
      <alignment horizontal="left" vertical="top"/>
    </xf>
    <xf applyAlignment="true" applyBorder="true" applyFill="false" applyFont="false" applyNumberFormat="true" borderId="3014" fillId="0" fontId="1" numFmtId="1000" quotePrefix="false">
      <alignment horizontal="left" vertical="top"/>
    </xf>
    <xf applyAlignment="true" applyBorder="true" applyFill="false" applyFont="false" applyNumberFormat="true" borderId="3015" fillId="0" fontId="1" numFmtId="1000" quotePrefix="false">
      <alignment horizontal="left" vertical="top"/>
    </xf>
    <xf applyAlignment="true" applyBorder="true" applyFill="false" applyFont="false" applyNumberFormat="true" borderId="3016" fillId="0" fontId="1" numFmtId="1000" quotePrefix="false">
      <alignment horizontal="left" vertical="top"/>
    </xf>
    <xf applyAlignment="true" applyBorder="true" applyFill="false" applyFont="false" applyNumberFormat="true" borderId="3017" fillId="0" fontId="1" numFmtId="1000" quotePrefix="false">
      <alignment horizontal="left" vertical="top"/>
    </xf>
    <xf applyAlignment="true" applyBorder="true" applyFill="false" applyFont="false" applyNumberFormat="true" borderId="3018" fillId="0" fontId="1" numFmtId="1000" quotePrefix="false">
      <alignment horizontal="left" vertical="top"/>
    </xf>
    <xf applyAlignment="true" applyBorder="true" applyFill="false" applyFont="false" applyNumberFormat="true" borderId="3019" fillId="0" fontId="1" numFmtId="1000" quotePrefix="false">
      <alignment horizontal="left" vertical="top"/>
    </xf>
    <xf applyAlignment="true" applyBorder="true" applyFill="false" applyFont="false" applyNumberFormat="true" borderId="3020" fillId="0" fontId="1" numFmtId="1000" quotePrefix="false">
      <alignment horizontal="left" vertical="top"/>
    </xf>
    <xf applyAlignment="true" applyBorder="true" applyFill="false" applyFont="false" applyNumberFormat="true" borderId="3021" fillId="0" fontId="1" numFmtId="1000" quotePrefix="false">
      <alignment horizontal="left" vertical="top"/>
    </xf>
    <xf applyAlignment="true" applyBorder="true" applyFill="false" applyFont="false" applyNumberFormat="true" borderId="3022" fillId="0" fontId="1" numFmtId="1000" quotePrefix="false">
      <alignment horizontal="left" vertical="top"/>
    </xf>
    <xf applyAlignment="true" applyBorder="true" applyFill="false" applyFont="true" applyNumberFormat="true" borderId="3023" fillId="0" fontId="2" numFmtId="1000" quotePrefix="false">
      <alignment horizontal="center"/>
    </xf>
    <xf applyAlignment="true" applyBorder="true" applyFill="false" applyFont="true" applyNumberFormat="true" borderId="3024" fillId="0" fontId="2" numFmtId="1000" quotePrefix="false">
      <alignment horizontal="center"/>
    </xf>
    <xf applyAlignment="true" applyBorder="true" applyFill="false" applyFont="true" applyNumberFormat="true" borderId="3025" fillId="0" fontId="2" numFmtId="1000" quotePrefix="false">
      <alignment horizontal="center"/>
    </xf>
    <xf applyAlignment="true" applyBorder="true" applyFill="false" applyFont="false" applyNumberFormat="true" borderId="3026" fillId="0" fontId="1" numFmtId="1000" quotePrefix="false">
      <alignment horizontal="center" vertical="top"/>
    </xf>
    <xf applyAlignment="true" applyBorder="true" applyFill="false" applyFont="false" applyNumberFormat="true" borderId="3027" fillId="0" fontId="1" numFmtId="1000" quotePrefix="false">
      <alignment horizontal="center" vertical="top"/>
    </xf>
    <xf applyAlignment="true" applyBorder="true" applyFill="false" applyFont="false" applyNumberFormat="true" borderId="3028" fillId="0" fontId="1" numFmtId="1000" quotePrefix="false">
      <alignment horizontal="center" vertical="top"/>
    </xf>
    <xf applyAlignment="true" applyBorder="true" applyFill="false" applyFont="false" applyNumberFormat="true" borderId="3029" fillId="0" fontId="1" numFmtId="1000" quotePrefix="false">
      <alignment horizontal="center" vertical="top"/>
    </xf>
    <xf applyAlignment="true" applyBorder="true" applyFill="false" applyFont="false" applyNumberFormat="true" borderId="3030" fillId="0" fontId="1" numFmtId="1000" quotePrefix="false">
      <alignment horizontal="center" vertical="top"/>
    </xf>
    <xf applyAlignment="true" applyBorder="true" applyFill="false" applyFont="false" applyNumberFormat="true" borderId="3031" fillId="0" fontId="1" numFmtId="1000" quotePrefix="false">
      <alignment horizontal="center" vertical="top"/>
    </xf>
    <xf applyAlignment="true" applyBorder="true" applyFill="false" applyFont="false" applyNumberFormat="true" borderId="3032" fillId="0" fontId="1" numFmtId="1000" quotePrefix="false">
      <alignment horizontal="center" vertical="top"/>
    </xf>
    <xf applyAlignment="true" applyBorder="true" applyFill="false" applyFont="false" applyNumberFormat="true" borderId="3033" fillId="0" fontId="1" numFmtId="1000" quotePrefix="false">
      <alignment horizontal="center" vertical="top"/>
    </xf>
    <xf applyAlignment="true" applyBorder="true" applyFill="false" applyFont="false" applyNumberFormat="true" borderId="3034" fillId="0" fontId="1" numFmtId="1000" quotePrefix="false">
      <alignment horizontal="center" vertical="top"/>
    </xf>
    <xf applyAlignment="true" applyBorder="true" applyFill="false" applyFont="false" applyNumberFormat="true" borderId="3035" fillId="0" fontId="1" numFmtId="1000" quotePrefix="false">
      <alignment horizontal="center" vertical="top"/>
    </xf>
    <xf applyAlignment="true" applyBorder="true" applyFill="false" applyFont="false" applyNumberFormat="true" borderId="3036" fillId="0" fontId="1" numFmtId="1000" quotePrefix="false">
      <alignment horizontal="center" vertical="top"/>
    </xf>
    <xf applyAlignment="true" applyBorder="true" applyFill="false" applyFont="false" applyNumberFormat="true" borderId="3037" fillId="0" fontId="1" numFmtId="1000" quotePrefix="false">
      <alignment horizontal="center" vertical="top"/>
    </xf>
    <xf applyAlignment="true" applyBorder="true" applyFill="false" applyFont="false" applyNumberFormat="true" borderId="3038" fillId="0" fontId="1" numFmtId="1000" quotePrefix="false">
      <alignment horizontal="center" vertical="top"/>
    </xf>
    <xf applyAlignment="true" applyBorder="true" applyFill="false" applyFont="false" applyNumberFormat="true" borderId="3039" fillId="0" fontId="1" numFmtId="1000" quotePrefix="false">
      <alignment horizontal="center" vertical="top"/>
    </xf>
    <xf applyAlignment="true" applyBorder="true" applyFill="false" applyFont="false" applyNumberFormat="true" borderId="3040" fillId="0" fontId="1" numFmtId="1000" quotePrefix="false">
      <alignment horizontal="center" vertical="top"/>
    </xf>
    <xf applyAlignment="true" applyBorder="true" applyFill="false" applyFont="false" applyNumberFormat="true" borderId="3041" fillId="0" fontId="1" numFmtId="1000" quotePrefix="false">
      <alignment horizontal="center" vertical="top"/>
    </xf>
    <xf applyAlignment="true" applyBorder="true" applyFill="false" applyFont="false" applyNumberFormat="true" borderId="3042" fillId="0" fontId="1" numFmtId="1000" quotePrefix="false">
      <alignment horizontal="center" vertical="top"/>
    </xf>
    <xf applyAlignment="true" applyBorder="true" applyFill="false" applyFont="false" applyNumberFormat="true" borderId="3043" fillId="0" fontId="1" numFmtId="1000" quotePrefix="false">
      <alignment horizontal="center" vertical="top"/>
    </xf>
    <xf applyAlignment="true" applyBorder="true" applyFill="false" applyFont="false" applyNumberFormat="true" borderId="3044" fillId="0" fontId="1" numFmtId="1000" quotePrefix="false">
      <alignment horizontal="center" vertical="top"/>
    </xf>
    <xf applyAlignment="true" applyBorder="true" applyFill="false" applyFont="false" applyNumberFormat="true" borderId="3045" fillId="0" fontId="1" numFmtId="1000" quotePrefix="false">
      <alignment horizontal="center" vertical="top"/>
    </xf>
    <xf applyAlignment="true" applyBorder="true" applyFill="false" applyFont="false" applyNumberFormat="true" borderId="3046" fillId="0" fontId="1" numFmtId="1000" quotePrefix="false">
      <alignment horizontal="center" vertical="top"/>
    </xf>
    <xf applyAlignment="true" applyBorder="true" applyFill="false" applyFont="false" applyNumberFormat="true" borderId="3047" fillId="0" fontId="1" numFmtId="1000" quotePrefix="false">
      <alignment horizontal="center" vertical="top"/>
    </xf>
    <xf applyAlignment="true" applyBorder="true" applyFill="false" applyFont="false" applyNumberFormat="true" borderId="3048" fillId="0" fontId="1" numFmtId="1000" quotePrefix="false">
      <alignment horizontal="center" vertical="top"/>
    </xf>
    <xf applyAlignment="true" applyBorder="true" applyFill="false" applyFont="false" applyNumberFormat="true" borderId="3049" fillId="0" fontId="1" numFmtId="1000" quotePrefix="false">
      <alignment horizontal="center" vertical="top"/>
    </xf>
    <xf applyAlignment="true" applyBorder="true" applyFill="false" applyFont="false" applyNumberFormat="true" borderId="3050" fillId="0" fontId="1" numFmtId="1000" quotePrefix="false">
      <alignment horizontal="center" vertical="top"/>
    </xf>
    <xf applyAlignment="true" applyBorder="true" applyFill="false" applyFont="false" applyNumberFormat="true" borderId="3051" fillId="0" fontId="1" numFmtId="1000" quotePrefix="false">
      <alignment horizontal="center" vertical="top"/>
    </xf>
    <xf applyAlignment="true" applyBorder="true" applyFill="false" applyFont="false" applyNumberFormat="true" borderId="3052" fillId="0" fontId="1" numFmtId="1000" quotePrefix="false">
      <alignment horizontal="center" vertical="top"/>
    </xf>
    <xf applyAlignment="true" applyBorder="true" applyFill="false" applyFont="false" applyNumberFormat="true" borderId="3053" fillId="0" fontId="1" numFmtId="1000" quotePrefix="false">
      <alignment horizontal="center" vertical="top"/>
    </xf>
    <xf applyAlignment="true" applyBorder="true" applyFill="false" applyFont="false" applyNumberFormat="true" borderId="3054" fillId="0" fontId="1" numFmtId="1000" quotePrefix="false">
      <alignment horizontal="center" vertical="top"/>
    </xf>
    <xf applyAlignment="true" applyBorder="true" applyFill="false" applyFont="false" applyNumberFormat="true" borderId="3055" fillId="0" fontId="1" numFmtId="1000" quotePrefix="false">
      <alignment horizontal="center" vertical="top"/>
    </xf>
    <xf applyAlignment="true" applyBorder="true" applyFill="false" applyFont="false" applyNumberFormat="true" borderId="3056" fillId="0" fontId="1" numFmtId="1000" quotePrefix="false">
      <alignment horizontal="center" vertical="top"/>
    </xf>
    <xf applyAlignment="true" applyBorder="true" applyFill="false" applyFont="false" applyNumberFormat="true" borderId="3057" fillId="0" fontId="1" numFmtId="1000" quotePrefix="false">
      <alignment horizontal="center" vertical="top"/>
    </xf>
    <xf applyAlignment="true" applyBorder="true" applyFill="false" applyFont="false" applyNumberFormat="true" borderId="3058" fillId="0" fontId="1" numFmtId="1000" quotePrefix="false">
      <alignment horizontal="center" vertical="top"/>
    </xf>
    <xf applyAlignment="true" applyBorder="true" applyFill="false" applyFont="false" applyNumberFormat="true" borderId="3059" fillId="0" fontId="1" numFmtId="1000" quotePrefix="false">
      <alignment horizontal="center" vertical="top"/>
    </xf>
    <xf applyAlignment="true" applyBorder="true" applyFill="false" applyFont="false" applyNumberFormat="true" borderId="3060" fillId="0" fontId="1" numFmtId="1000" quotePrefix="false">
      <alignment horizontal="center" vertical="top"/>
    </xf>
    <xf applyAlignment="true" applyBorder="true" applyFill="false" applyFont="false" applyNumberFormat="true" borderId="3061" fillId="0" fontId="1" numFmtId="1000" quotePrefix="false">
      <alignment horizontal="center" vertical="top"/>
    </xf>
    <xf applyAlignment="true" applyBorder="true" applyFill="false" applyFont="false" applyNumberFormat="true" borderId="3062" fillId="0" fontId="1" numFmtId="1000" quotePrefix="false">
      <alignment horizontal="center" vertical="top"/>
    </xf>
    <xf applyAlignment="true" applyBorder="true" applyFill="false" applyFont="false" applyNumberFormat="true" borderId="3063" fillId="0" fontId="1" numFmtId="1000" quotePrefix="false">
      <alignment horizontal="center" vertical="top"/>
    </xf>
    <xf applyAlignment="true" applyBorder="true" applyFill="false" applyFont="false" applyNumberFormat="true" borderId="3064" fillId="0" fontId="1" numFmtId="1000" quotePrefix="false">
      <alignment horizontal="center" vertical="top"/>
    </xf>
    <xf applyAlignment="true" applyBorder="true" applyFill="false" applyFont="false" applyNumberFormat="true" borderId="3065" fillId="0" fontId="1" numFmtId="1000" quotePrefix="false">
      <alignment horizontal="center" vertical="top"/>
    </xf>
    <xf applyAlignment="true" applyBorder="true" applyFill="false" applyFont="false" applyNumberFormat="true" borderId="3066" fillId="0" fontId="1" numFmtId="1000" quotePrefix="false">
      <alignment horizontal="center" vertical="top"/>
    </xf>
    <xf applyAlignment="true" applyBorder="true" applyFill="false" applyFont="false" applyNumberFormat="true" borderId="3067" fillId="0" fontId="1" numFmtId="1000" quotePrefix="false">
      <alignment horizontal="center" vertical="top"/>
    </xf>
    <xf applyAlignment="true" applyBorder="true" applyFill="false" applyFont="false" applyNumberFormat="true" borderId="3068" fillId="0" fontId="1" numFmtId="1000" quotePrefix="false">
      <alignment horizontal="center" vertical="top"/>
    </xf>
    <xf applyAlignment="true" applyBorder="true" applyFill="false" applyFont="false" applyNumberFormat="true" borderId="3069" fillId="0" fontId="1" numFmtId="1000" quotePrefix="false">
      <alignment horizontal="center" vertical="top"/>
    </xf>
    <xf applyAlignment="true" applyBorder="true" applyFill="false" applyFont="false" applyNumberFormat="true" borderId="3070" fillId="0" fontId="1" numFmtId="1000" quotePrefix="false">
      <alignment horizontal="center" vertical="top"/>
    </xf>
    <xf applyAlignment="true" applyBorder="true" applyFill="false" applyFont="false" applyNumberFormat="true" borderId="3071" fillId="0" fontId="1" numFmtId="1000" quotePrefix="false">
      <alignment horizontal="center" vertical="top"/>
    </xf>
    <xf applyAlignment="true" applyBorder="true" applyFill="false" applyFont="false" applyNumberFormat="true" borderId="3072" fillId="0" fontId="1" numFmtId="1000" quotePrefix="false">
      <alignment horizontal="center" vertical="top"/>
    </xf>
    <xf applyAlignment="true" applyBorder="true" applyFill="false" applyFont="false" applyNumberFormat="true" borderId="3073" fillId="0" fontId="1" numFmtId="1000" quotePrefix="false">
      <alignment horizontal="center" vertical="top"/>
    </xf>
    <xf applyAlignment="true" applyBorder="true" applyFill="false" applyFont="false" applyNumberFormat="true" borderId="3074" fillId="0" fontId="1" numFmtId="1000" quotePrefix="false">
      <alignment horizontal="center" vertical="top"/>
    </xf>
    <xf applyAlignment="true" applyBorder="true" applyFill="false" applyFont="false" applyNumberFormat="true" borderId="3075" fillId="0" fontId="1" numFmtId="1000" quotePrefix="false">
      <alignment horizontal="center" vertical="top"/>
    </xf>
    <xf applyAlignment="true" applyBorder="true" applyFill="false" applyFont="false" applyNumberFormat="true" borderId="3076" fillId="0" fontId="1" numFmtId="1000" quotePrefix="false">
      <alignment horizontal="center" vertical="top"/>
    </xf>
    <xf applyAlignment="true" applyBorder="true" applyFill="false" applyFont="false" applyNumberFormat="true" borderId="3077" fillId="0" fontId="1" numFmtId="1000" quotePrefix="false">
      <alignment horizontal="center" vertical="top"/>
    </xf>
    <xf applyAlignment="true" applyBorder="true" applyFill="false" applyFont="false" applyNumberFormat="true" borderId="3078" fillId="0" fontId="1" numFmtId="1000" quotePrefix="false">
      <alignment horizontal="center" vertical="top"/>
    </xf>
    <xf applyAlignment="true" applyBorder="true" applyFill="false" applyFont="false" applyNumberFormat="true" borderId="3079" fillId="0" fontId="1" numFmtId="1000" quotePrefix="false">
      <alignment horizontal="center" vertical="top"/>
    </xf>
    <xf applyAlignment="true" applyBorder="true" applyFill="false" applyFont="true" applyNumberFormat="true" borderId="3080" fillId="0" fontId="2" numFmtId="1000" quotePrefix="false">
      <alignment horizontal="center" vertical="top"/>
    </xf>
    <xf applyAlignment="true" applyBorder="true" applyFill="false" applyFont="false" applyNumberFormat="true" borderId="3081" fillId="0" fontId="1" numFmtId="1000" quotePrefix="false">
      <alignment horizontal="left" vertical="top"/>
    </xf>
    <xf applyAlignment="true" applyBorder="true" applyFill="false" applyFont="false" applyNumberFormat="true" borderId="3082" fillId="0" fontId="1" numFmtId="1000" quotePrefix="false">
      <alignment horizontal="left" vertical="top"/>
    </xf>
    <xf applyAlignment="true" applyBorder="true" applyFill="false" applyFont="false" applyNumberFormat="true" borderId="3083" fillId="0" fontId="1" numFmtId="1000" quotePrefix="false">
      <alignment horizontal="left" vertical="top"/>
    </xf>
    <xf applyAlignment="true" applyBorder="true" applyFill="false" applyFont="false" applyNumberFormat="true" borderId="3084" fillId="0" fontId="1" numFmtId="1000" quotePrefix="false">
      <alignment horizontal="left" vertical="top"/>
    </xf>
    <xf applyAlignment="true" applyBorder="true" applyFill="false" applyFont="false" applyNumberFormat="true" borderId="3085" fillId="0" fontId="1" numFmtId="1000" quotePrefix="false">
      <alignment horizontal="left" vertical="top"/>
    </xf>
    <xf applyAlignment="true" applyBorder="true" applyFill="false" applyFont="false" applyNumberFormat="true" borderId="3086" fillId="0" fontId="1" numFmtId="1000" quotePrefix="false">
      <alignment horizontal="left" vertical="top"/>
    </xf>
    <xf applyAlignment="true" applyBorder="true" applyFill="false" applyFont="false" applyNumberFormat="true" borderId="3087" fillId="0" fontId="1" numFmtId="1000" quotePrefix="false">
      <alignment horizontal="left" vertical="top"/>
    </xf>
    <xf applyAlignment="true" applyBorder="true" applyFill="false" applyFont="false" applyNumberFormat="true" borderId="3088" fillId="0" fontId="1" numFmtId="1000" quotePrefix="false">
      <alignment horizontal="left" vertical="top"/>
    </xf>
    <xf applyAlignment="true" applyBorder="true" applyFill="false" applyFont="false" applyNumberFormat="true" borderId="3089" fillId="0" fontId="1" numFmtId="1000" quotePrefix="false">
      <alignment horizontal="left" vertical="top"/>
    </xf>
    <xf applyAlignment="true" applyBorder="true" applyFill="false" applyFont="false" applyNumberFormat="true" borderId="3090" fillId="0" fontId="1" numFmtId="1000" quotePrefix="false">
      <alignment horizontal="left" vertical="top"/>
    </xf>
    <xf applyAlignment="true" applyBorder="true" applyFill="false" applyFont="false" applyNumberFormat="true" borderId="3091" fillId="0" fontId="1" numFmtId="1000" quotePrefix="false">
      <alignment horizontal="left" vertical="top"/>
    </xf>
    <xf applyAlignment="true" applyBorder="true" applyFill="false" applyFont="false" applyNumberFormat="true" borderId="3092" fillId="0" fontId="1" numFmtId="1000" quotePrefix="false">
      <alignment horizontal="left" vertical="top"/>
    </xf>
    <xf applyAlignment="true" applyBorder="true" applyFill="false" applyFont="false" applyNumberFormat="true" borderId="3093" fillId="0" fontId="1" numFmtId="1000" quotePrefix="false">
      <alignment horizontal="left" vertical="top"/>
    </xf>
    <xf applyAlignment="true" applyBorder="true" applyFill="false" applyFont="false" applyNumberFormat="true" borderId="3094" fillId="0" fontId="1" numFmtId="1000" quotePrefix="false">
      <alignment horizontal="left" vertical="top"/>
    </xf>
    <xf applyAlignment="true" applyBorder="true" applyFill="false" applyFont="false" applyNumberFormat="true" borderId="3095" fillId="0" fontId="1" numFmtId="1000" quotePrefix="false">
      <alignment horizontal="left" vertical="top"/>
    </xf>
    <xf applyAlignment="true" applyBorder="true" applyFill="false" applyFont="false" applyNumberFormat="true" borderId="3096" fillId="0" fontId="1" numFmtId="1000" quotePrefix="false">
      <alignment horizontal="left" vertical="top"/>
    </xf>
    <xf applyAlignment="true" applyBorder="true" applyFill="false" applyFont="false" applyNumberFormat="true" borderId="3097" fillId="0" fontId="1" numFmtId="1000" quotePrefix="false">
      <alignment horizontal="left" vertical="top"/>
    </xf>
    <xf applyAlignment="true" applyBorder="true" applyFill="false" applyFont="false" applyNumberFormat="true" borderId="3098" fillId="0" fontId="1" numFmtId="1000" quotePrefix="false">
      <alignment horizontal="left" vertical="top"/>
    </xf>
    <xf applyAlignment="true" applyBorder="true" applyFill="false" applyFont="false" applyNumberFormat="true" borderId="3099" fillId="0" fontId="1" numFmtId="1000" quotePrefix="false">
      <alignment horizontal="left" vertical="top"/>
    </xf>
    <xf applyAlignment="true" applyBorder="true" applyFill="false" applyFont="true" applyNumberFormat="true" borderId="3100" fillId="0" fontId="2" numFmtId="1000" quotePrefix="false">
      <alignment horizontal="center"/>
    </xf>
    <xf applyAlignment="true" applyBorder="true" applyFill="false" applyFont="true" applyNumberFormat="true" borderId="3101" fillId="0" fontId="2" numFmtId="1000" quotePrefix="false">
      <alignment horizontal="center"/>
    </xf>
    <xf applyAlignment="true" applyBorder="true" applyFill="false" applyFont="true" applyNumberFormat="true" borderId="3102" fillId="0" fontId="2" numFmtId="1000" quotePrefix="false">
      <alignment horizontal="center"/>
    </xf>
    <xf applyAlignment="true" applyBorder="true" applyFill="false" applyFont="false" applyNumberFormat="true" borderId="3103" fillId="0" fontId="1" numFmtId="1000" quotePrefix="false">
      <alignment horizontal="center" vertical="top"/>
    </xf>
    <xf applyAlignment="true" applyBorder="true" applyFill="false" applyFont="false" applyNumberFormat="true" borderId="3104" fillId="0" fontId="1" numFmtId="1000" quotePrefix="false">
      <alignment horizontal="center" vertical="top"/>
    </xf>
    <xf applyAlignment="true" applyBorder="true" applyFill="false" applyFont="false" applyNumberFormat="true" borderId="3105" fillId="0" fontId="1" numFmtId="1000" quotePrefix="false">
      <alignment horizontal="center" vertical="top"/>
    </xf>
    <xf applyAlignment="true" applyBorder="true" applyFill="false" applyFont="false" applyNumberFormat="true" borderId="3106" fillId="0" fontId="1" numFmtId="1000" quotePrefix="false">
      <alignment horizontal="center" vertical="top"/>
    </xf>
    <xf applyAlignment="true" applyBorder="true" applyFill="false" applyFont="false" applyNumberFormat="true" borderId="3107" fillId="0" fontId="1" numFmtId="1000" quotePrefix="false">
      <alignment horizontal="center" vertical="top"/>
    </xf>
    <xf applyAlignment="true" applyBorder="true" applyFill="false" applyFont="false" applyNumberFormat="true" borderId="3108" fillId="0" fontId="1" numFmtId="1000" quotePrefix="false">
      <alignment horizontal="center" vertical="top"/>
    </xf>
    <xf applyAlignment="true" applyBorder="true" applyFill="false" applyFont="false" applyNumberFormat="true" borderId="3109" fillId="0" fontId="1" numFmtId="1000" quotePrefix="false">
      <alignment horizontal="center" vertical="top"/>
    </xf>
    <xf applyAlignment="true" applyBorder="true" applyFill="false" applyFont="false" applyNumberFormat="true" borderId="3110" fillId="0" fontId="1" numFmtId="1000" quotePrefix="false">
      <alignment horizontal="center" vertical="top"/>
    </xf>
    <xf applyAlignment="true" applyBorder="true" applyFill="false" applyFont="false" applyNumberFormat="true" borderId="3111" fillId="0" fontId="1" numFmtId="1000" quotePrefix="false">
      <alignment horizontal="center" vertical="top"/>
    </xf>
    <xf applyAlignment="true" applyBorder="true" applyFill="false" applyFont="false" applyNumberFormat="true" borderId="3112" fillId="0" fontId="1" numFmtId="1000" quotePrefix="false">
      <alignment horizontal="center" vertical="top"/>
    </xf>
    <xf applyAlignment="true" applyBorder="true" applyFill="false" applyFont="false" applyNumberFormat="true" borderId="3113" fillId="0" fontId="1" numFmtId="1000" quotePrefix="false">
      <alignment horizontal="center" vertical="top"/>
    </xf>
    <xf applyAlignment="true" applyBorder="true" applyFill="false" applyFont="false" applyNumberFormat="true" borderId="3114" fillId="0" fontId="1" numFmtId="1000" quotePrefix="false">
      <alignment horizontal="center" vertical="top"/>
    </xf>
    <xf applyAlignment="true" applyBorder="true" applyFill="false" applyFont="false" applyNumberFormat="true" borderId="3115" fillId="0" fontId="1" numFmtId="1000" quotePrefix="false">
      <alignment horizontal="center" vertical="top"/>
    </xf>
    <xf applyAlignment="true" applyBorder="true" applyFill="false" applyFont="false" applyNumberFormat="true" borderId="3116" fillId="0" fontId="1" numFmtId="1000" quotePrefix="false">
      <alignment horizontal="center" vertical="top"/>
    </xf>
    <xf applyAlignment="true" applyBorder="true" applyFill="false" applyFont="false" applyNumberFormat="true" borderId="3117" fillId="0" fontId="1" numFmtId="1000" quotePrefix="false">
      <alignment horizontal="center" vertical="top"/>
    </xf>
    <xf applyAlignment="true" applyBorder="true" applyFill="false" applyFont="false" applyNumberFormat="true" borderId="3118" fillId="0" fontId="1" numFmtId="1000" quotePrefix="false">
      <alignment horizontal="center" vertical="top"/>
    </xf>
    <xf applyAlignment="true" applyBorder="true" applyFill="false" applyFont="false" applyNumberFormat="true" borderId="3119" fillId="0" fontId="1" numFmtId="1000" quotePrefix="false">
      <alignment horizontal="center" vertical="top"/>
    </xf>
    <xf applyAlignment="true" applyBorder="true" applyFill="false" applyFont="false" applyNumberFormat="true" borderId="3120" fillId="0" fontId="1" numFmtId="1000" quotePrefix="false">
      <alignment horizontal="center" vertical="top"/>
    </xf>
    <xf applyAlignment="true" applyBorder="true" applyFill="false" applyFont="false" applyNumberFormat="true" borderId="3121" fillId="0" fontId="1" numFmtId="1000" quotePrefix="false">
      <alignment horizontal="center" vertical="top"/>
    </xf>
    <xf applyAlignment="true" applyBorder="true" applyFill="false" applyFont="false" applyNumberFormat="true" borderId="3122" fillId="0" fontId="1" numFmtId="1000" quotePrefix="false">
      <alignment horizontal="center" vertical="top"/>
    </xf>
    <xf applyAlignment="true" applyBorder="true" applyFill="false" applyFont="false" applyNumberFormat="true" borderId="3123" fillId="0" fontId="1" numFmtId="1000" quotePrefix="false">
      <alignment horizontal="center" vertical="top"/>
    </xf>
    <xf applyAlignment="true" applyBorder="true" applyFill="false" applyFont="false" applyNumberFormat="true" borderId="3124" fillId="0" fontId="1" numFmtId="1000" quotePrefix="false">
      <alignment horizontal="center" vertical="top"/>
    </xf>
    <xf applyAlignment="true" applyBorder="true" applyFill="false" applyFont="false" applyNumberFormat="true" borderId="3125" fillId="0" fontId="1" numFmtId="1000" quotePrefix="false">
      <alignment horizontal="center" vertical="top"/>
    </xf>
    <xf applyAlignment="true" applyBorder="true" applyFill="false" applyFont="false" applyNumberFormat="true" borderId="3126" fillId="0" fontId="1" numFmtId="1000" quotePrefix="false">
      <alignment horizontal="center" vertical="top"/>
    </xf>
    <xf applyAlignment="true" applyBorder="true" applyFill="false" applyFont="false" applyNumberFormat="true" borderId="3127" fillId="0" fontId="1" numFmtId="1000" quotePrefix="false">
      <alignment horizontal="center" vertical="top"/>
    </xf>
    <xf applyAlignment="true" applyBorder="true" applyFill="false" applyFont="false" applyNumberFormat="true" borderId="3128" fillId="0" fontId="1" numFmtId="1000" quotePrefix="false">
      <alignment horizontal="center" vertical="top"/>
    </xf>
    <xf applyAlignment="true" applyBorder="true" applyFill="false" applyFont="false" applyNumberFormat="true" borderId="3129" fillId="0" fontId="1" numFmtId="1000" quotePrefix="false">
      <alignment horizontal="center" vertical="top"/>
    </xf>
    <xf applyAlignment="true" applyBorder="true" applyFill="false" applyFont="false" applyNumberFormat="true" borderId="3130" fillId="0" fontId="1" numFmtId="1000" quotePrefix="false">
      <alignment horizontal="center" vertical="top"/>
    </xf>
    <xf applyAlignment="true" applyBorder="true" applyFill="false" applyFont="false" applyNumberFormat="true" borderId="3131" fillId="0" fontId="1" numFmtId="1000" quotePrefix="false">
      <alignment horizontal="center" vertical="top"/>
    </xf>
    <xf applyAlignment="true" applyBorder="true" applyFill="false" applyFont="false" applyNumberFormat="true" borderId="3132" fillId="0" fontId="1" numFmtId="1000" quotePrefix="false">
      <alignment horizontal="center" vertical="top"/>
    </xf>
    <xf applyAlignment="true" applyBorder="true" applyFill="true" applyFont="false" applyNumberFormat="true" borderId="3133" fillId="3" fontId="1" numFmtId="1000" quotePrefix="false">
      <alignment horizontal="center" vertical="top" wrapText="true"/>
    </xf>
    <xf applyAlignment="true" applyBorder="true" applyFill="false" applyFont="false" applyNumberFormat="true" borderId="3134" fillId="0" fontId="1" numFmtId="1000" quotePrefix="false">
      <alignment horizontal="center" vertical="top"/>
    </xf>
    <xf applyAlignment="true" applyBorder="true" applyFill="false" applyFont="false" applyNumberFormat="true" borderId="3135" fillId="0" fontId="1" numFmtId="1000" quotePrefix="false">
      <alignment horizontal="center" vertical="top"/>
    </xf>
    <xf applyAlignment="true" applyBorder="true" applyFill="false" applyFont="false" applyNumberFormat="true" borderId="3136" fillId="0" fontId="1" numFmtId="1000" quotePrefix="false">
      <alignment horizontal="center" vertical="top"/>
    </xf>
    <xf applyAlignment="true" applyBorder="true" applyFill="false" applyFont="false" applyNumberFormat="true" borderId="3137" fillId="0" fontId="1" numFmtId="1000" quotePrefix="false">
      <alignment horizontal="center" vertical="top"/>
    </xf>
    <xf applyAlignment="true" applyBorder="true" applyFill="true" applyFont="false" applyNumberFormat="true" borderId="3138" fillId="3" fontId="1" numFmtId="1000" quotePrefix="false">
      <alignment horizontal="center" vertical="top" wrapText="true"/>
    </xf>
    <xf applyAlignment="true" applyBorder="true" applyFill="false" applyFont="false" applyNumberFormat="true" borderId="3139" fillId="0" fontId="1" numFmtId="1000" quotePrefix="false">
      <alignment horizontal="center" vertical="top"/>
    </xf>
    <xf applyAlignment="true" applyBorder="true" applyFill="false" applyFont="false" applyNumberFormat="true" borderId="3140" fillId="0" fontId="1" numFmtId="1000" quotePrefix="false">
      <alignment horizontal="center" vertical="top"/>
    </xf>
    <xf applyAlignment="true" applyBorder="true" applyFill="false" applyFont="false" applyNumberFormat="true" borderId="3141" fillId="0" fontId="1" numFmtId="1000" quotePrefix="false">
      <alignment horizontal="center" vertical="top"/>
    </xf>
    <xf applyAlignment="true" applyBorder="true" applyFill="false" applyFont="false" applyNumberFormat="true" borderId="3142" fillId="0" fontId="1" numFmtId="1000" quotePrefix="false">
      <alignment horizontal="center" vertical="top"/>
    </xf>
    <xf applyAlignment="true" applyBorder="true" applyFill="false" applyFont="false" applyNumberFormat="true" borderId="3143" fillId="0" fontId="1" numFmtId="1000" quotePrefix="false">
      <alignment horizontal="center" vertical="top"/>
    </xf>
    <xf applyAlignment="true" applyBorder="true" applyFill="false" applyFont="false" applyNumberFormat="true" borderId="3144" fillId="0" fontId="1" numFmtId="1000" quotePrefix="false">
      <alignment horizontal="center" vertical="top"/>
    </xf>
    <xf applyAlignment="true" applyBorder="true" applyFill="false" applyFont="false" applyNumberFormat="true" borderId="3145" fillId="0" fontId="1" numFmtId="1000" quotePrefix="false">
      <alignment horizontal="center" vertical="top"/>
    </xf>
    <xf applyAlignment="true" applyBorder="true" applyFill="false" applyFont="false" applyNumberFormat="true" borderId="3146" fillId="0" fontId="1" numFmtId="1000" quotePrefix="false">
      <alignment horizontal="center" vertical="top"/>
    </xf>
    <xf applyAlignment="true" applyBorder="true" applyFill="false" applyFont="false" applyNumberFormat="true" borderId="3147" fillId="0" fontId="1" numFmtId="1000" quotePrefix="false">
      <alignment horizontal="center" vertical="top"/>
    </xf>
    <xf applyAlignment="true" applyBorder="true" applyFill="false" applyFont="false" applyNumberFormat="true" borderId="3148" fillId="0" fontId="1" numFmtId="1000" quotePrefix="false">
      <alignment horizontal="center" vertical="top"/>
    </xf>
    <xf applyAlignment="true" applyBorder="true" applyFill="false" applyFont="false" applyNumberFormat="true" borderId="3149" fillId="0" fontId="1" numFmtId="1000" quotePrefix="false">
      <alignment horizontal="center" vertical="top"/>
    </xf>
    <xf applyAlignment="true" applyBorder="true" applyFill="false" applyFont="false" applyNumberFormat="true" borderId="3150" fillId="0" fontId="1" numFmtId="1000" quotePrefix="false">
      <alignment horizontal="center" vertical="top"/>
    </xf>
    <xf applyAlignment="true" applyBorder="true" applyFill="false" applyFont="false" applyNumberFormat="true" borderId="3151" fillId="0" fontId="1" numFmtId="1000" quotePrefix="false">
      <alignment horizontal="center" vertical="top"/>
    </xf>
    <xf applyAlignment="true" applyBorder="true" applyFill="false" applyFont="false" applyNumberFormat="true" borderId="3152" fillId="0" fontId="1" numFmtId="1000" quotePrefix="false">
      <alignment horizontal="center" vertical="top"/>
    </xf>
    <xf applyAlignment="true" applyBorder="true" applyFill="false" applyFont="false" applyNumberFormat="true" borderId="3153" fillId="0" fontId="1" numFmtId="1000" quotePrefix="false">
      <alignment horizontal="center" vertical="top"/>
    </xf>
    <xf applyAlignment="true" applyBorder="true" applyFill="false" applyFont="false" applyNumberFormat="true" borderId="3154" fillId="0" fontId="1" numFmtId="1000" quotePrefix="false">
      <alignment horizontal="center" vertical="top"/>
    </xf>
    <xf applyAlignment="true" applyBorder="true" applyFill="false" applyFont="false" applyNumberFormat="true" borderId="3155" fillId="0" fontId="1" numFmtId="1000" quotePrefix="false">
      <alignment horizontal="center" vertical="top"/>
    </xf>
    <xf applyAlignment="true" applyBorder="true" applyFill="false" applyFont="false" applyNumberFormat="true" borderId="3156" fillId="0" fontId="1" numFmtId="1000" quotePrefix="false">
      <alignment horizontal="center" vertical="top"/>
    </xf>
    <xf applyAlignment="true" applyBorder="true" applyFill="true" applyFont="false" applyNumberFormat="true" borderId="3157" fillId="4" fontId="1" numFmtId="1000" quotePrefix="false">
      <alignment horizontal="center" vertical="top" wrapText="true"/>
    </xf>
    <xf applyAlignment="true" applyBorder="true" applyFill="false" applyFont="false" applyNumberFormat="true" borderId="3158" fillId="0" fontId="1" numFmtId="1000" quotePrefix="false">
      <alignment horizontal="center" vertical="top"/>
    </xf>
    <xf applyAlignment="true" applyBorder="true" applyFill="false" applyFont="false" applyNumberFormat="true" borderId="3159" fillId="0" fontId="1" numFmtId="1000" quotePrefix="false">
      <alignment horizontal="center" vertical="top"/>
    </xf>
    <xf applyAlignment="true" applyBorder="true" applyFill="false" applyFont="true" applyNumberFormat="true" borderId="3160" fillId="0" fontId="2" numFmtId="1000" quotePrefix="false">
      <alignment horizontal="center" vertical="top"/>
    </xf>
    <xf applyAlignment="true" applyBorder="true" applyFill="false" applyFont="false" applyNumberFormat="true" borderId="3161" fillId="0" fontId="1" numFmtId="1000" quotePrefix="false">
      <alignment horizontal="left" vertical="top"/>
    </xf>
    <xf applyAlignment="true" applyBorder="true" applyFill="false" applyFont="false" applyNumberFormat="true" borderId="3162" fillId="0" fontId="1" numFmtId="1000" quotePrefix="false">
      <alignment horizontal="left" vertical="top"/>
    </xf>
    <xf applyAlignment="true" applyBorder="true" applyFill="false" applyFont="false" applyNumberFormat="true" borderId="3163" fillId="0" fontId="1" numFmtId="1000" quotePrefix="false">
      <alignment horizontal="left" vertical="top"/>
    </xf>
    <xf applyAlignment="true" applyBorder="true" applyFill="false" applyFont="false" applyNumberFormat="true" borderId="3164" fillId="0" fontId="1" numFmtId="1000" quotePrefix="false">
      <alignment horizontal="left" vertical="top"/>
    </xf>
    <xf applyAlignment="true" applyBorder="true" applyFill="false" applyFont="false" applyNumberFormat="true" borderId="3165" fillId="0" fontId="1" numFmtId="1000" quotePrefix="false">
      <alignment horizontal="left" vertical="top"/>
    </xf>
    <xf applyAlignment="true" applyBorder="true" applyFill="false" applyFont="false" applyNumberFormat="true" borderId="3166" fillId="0" fontId="1" numFmtId="1000" quotePrefix="false">
      <alignment horizontal="left" vertical="top"/>
    </xf>
    <xf applyAlignment="true" applyBorder="true" applyFill="false" applyFont="false" applyNumberFormat="true" borderId="3167" fillId="0" fontId="1" numFmtId="1000" quotePrefix="false">
      <alignment horizontal="left" vertical="top"/>
    </xf>
    <xf applyAlignment="true" applyBorder="true" applyFill="false" applyFont="false" applyNumberFormat="true" borderId="3168" fillId="0" fontId="1" numFmtId="1000" quotePrefix="false">
      <alignment horizontal="left" vertical="top"/>
    </xf>
    <xf applyAlignment="true" applyBorder="true" applyFill="false" applyFont="false" applyNumberFormat="true" borderId="3169" fillId="0" fontId="1" numFmtId="1000" quotePrefix="false">
      <alignment horizontal="left" vertical="top"/>
    </xf>
    <xf applyAlignment="true" applyBorder="true" applyFill="false" applyFont="false" applyNumberFormat="true" borderId="3170" fillId="0" fontId="1" numFmtId="1000" quotePrefix="false">
      <alignment horizontal="left" vertical="top"/>
    </xf>
    <xf applyAlignment="true" applyBorder="true" applyFill="false" applyFont="false" applyNumberFormat="true" borderId="3171" fillId="0" fontId="1" numFmtId="1000" quotePrefix="false">
      <alignment horizontal="left" vertical="top"/>
    </xf>
    <xf applyAlignment="true" applyBorder="true" applyFill="false" applyFont="false" applyNumberFormat="true" borderId="3172" fillId="0" fontId="1" numFmtId="1000" quotePrefix="false">
      <alignment horizontal="left" vertical="top"/>
    </xf>
    <xf applyAlignment="true" applyBorder="true" applyFill="false" applyFont="false" applyNumberFormat="true" borderId="3173" fillId="0" fontId="1" numFmtId="1000" quotePrefix="false">
      <alignment horizontal="left" vertical="top"/>
    </xf>
    <xf applyAlignment="true" applyBorder="true" applyFill="false" applyFont="false" applyNumberFormat="true" borderId="3174" fillId="0" fontId="1" numFmtId="1000" quotePrefix="false">
      <alignment horizontal="left" vertical="top"/>
    </xf>
    <xf applyAlignment="true" applyBorder="true" applyFill="false" applyFont="false" applyNumberFormat="true" borderId="3175" fillId="0" fontId="1" numFmtId="1000" quotePrefix="false">
      <alignment horizontal="left" vertical="top"/>
    </xf>
    <xf applyAlignment="true" applyBorder="true" applyFill="false" applyFont="false" applyNumberFormat="true" borderId="3176" fillId="0" fontId="1" numFmtId="1000" quotePrefix="false">
      <alignment horizontal="left" vertical="top"/>
    </xf>
    <xf applyAlignment="true" applyBorder="true" applyFill="false" applyFont="false" applyNumberFormat="true" borderId="3177" fillId="0" fontId="1" numFmtId="1000" quotePrefix="false">
      <alignment horizontal="left" vertical="top"/>
    </xf>
    <xf applyAlignment="true" applyBorder="true" applyFill="false" applyFont="false" applyNumberFormat="true" borderId="3178" fillId="0" fontId="1" numFmtId="1000" quotePrefix="false">
      <alignment horizontal="left" vertical="top"/>
    </xf>
    <xf applyAlignment="true" applyBorder="true" applyFill="false" applyFont="false" applyNumberFormat="true" borderId="3179" fillId="0" fontId="1" numFmtId="1000" quotePrefix="false">
      <alignment horizontal="left" vertical="top"/>
    </xf>
    <xf applyAlignment="true" applyBorder="true" applyFill="false" applyFont="true" applyNumberFormat="true" borderId="3180" fillId="0" fontId="2" numFmtId="1000" quotePrefix="false">
      <alignment horizontal="center"/>
    </xf>
    <xf applyAlignment="true" applyBorder="true" applyFill="false" applyFont="true" applyNumberFormat="true" borderId="3181" fillId="0" fontId="2" numFmtId="1000" quotePrefix="false">
      <alignment horizontal="center"/>
    </xf>
    <xf applyAlignment="true" applyBorder="true" applyFill="false" applyFont="true" applyNumberFormat="true" borderId="3182" fillId="0" fontId="2" numFmtId="1000" quotePrefix="false">
      <alignment horizontal="center"/>
    </xf>
    <xf applyAlignment="true" applyBorder="true" applyFill="false" applyFont="false" applyNumberFormat="true" borderId="3183" fillId="0" fontId="1" numFmtId="1000" quotePrefix="false">
      <alignment horizontal="center" vertical="top"/>
    </xf>
    <xf applyAlignment="true" applyBorder="true" applyFill="false" applyFont="false" applyNumberFormat="true" borderId="3184" fillId="0" fontId="1" numFmtId="1000" quotePrefix="false">
      <alignment horizontal="center" vertical="top"/>
    </xf>
    <xf applyAlignment="true" applyBorder="true" applyFill="false" applyFont="false" applyNumberFormat="true" borderId="3185" fillId="0" fontId="1" numFmtId="1000" quotePrefix="false">
      <alignment horizontal="center" vertical="top"/>
    </xf>
    <xf applyAlignment="true" applyBorder="true" applyFill="false" applyFont="false" applyNumberFormat="true" borderId="3186" fillId="0" fontId="1" numFmtId="1000" quotePrefix="false">
      <alignment horizontal="center" vertical="top"/>
    </xf>
    <xf applyAlignment="true" applyBorder="true" applyFill="false" applyFont="false" applyNumberFormat="true" borderId="3187" fillId="0" fontId="1" numFmtId="1000" quotePrefix="false">
      <alignment horizontal="center" vertical="top"/>
    </xf>
    <xf applyAlignment="true" applyBorder="true" applyFill="false" applyFont="false" applyNumberFormat="true" borderId="3188" fillId="0" fontId="1" numFmtId="1000" quotePrefix="false">
      <alignment horizontal="center" vertical="top"/>
    </xf>
    <xf applyAlignment="true" applyBorder="true" applyFill="false" applyFont="false" applyNumberFormat="true" borderId="3189" fillId="0" fontId="1" numFmtId="1000" quotePrefix="false">
      <alignment horizontal="center" vertical="top"/>
    </xf>
    <xf applyAlignment="true" applyBorder="true" applyFill="false" applyFont="false" applyNumberFormat="true" borderId="3190" fillId="0" fontId="1" numFmtId="1000" quotePrefix="false">
      <alignment horizontal="center" vertical="top"/>
    </xf>
    <xf applyAlignment="true" applyBorder="true" applyFill="false" applyFont="false" applyNumberFormat="true" borderId="3191" fillId="0" fontId="1" numFmtId="1000" quotePrefix="false">
      <alignment horizontal="center" vertical="top"/>
    </xf>
    <xf applyAlignment="true" applyBorder="true" applyFill="false" applyFont="false" applyNumberFormat="true" borderId="3192" fillId="0" fontId="1" numFmtId="1000" quotePrefix="false">
      <alignment horizontal="center" vertical="top"/>
    </xf>
    <xf applyAlignment="true" applyBorder="true" applyFill="false" applyFont="false" applyNumberFormat="true" borderId="3193" fillId="0" fontId="1" numFmtId="1000" quotePrefix="false">
      <alignment horizontal="center" vertical="top"/>
    </xf>
    <xf applyAlignment="true" applyBorder="true" applyFill="false" applyFont="false" applyNumberFormat="true" borderId="3194" fillId="0" fontId="1" numFmtId="1000" quotePrefix="false">
      <alignment horizontal="center" vertical="top"/>
    </xf>
    <xf applyAlignment="true" applyBorder="true" applyFill="false" applyFont="false" applyNumberFormat="true" borderId="3195" fillId="0" fontId="1" numFmtId="1000" quotePrefix="false">
      <alignment horizontal="center" vertical="top"/>
    </xf>
    <xf applyAlignment="true" applyBorder="true" applyFill="false" applyFont="false" applyNumberFormat="true" borderId="3196" fillId="0" fontId="1" numFmtId="1000" quotePrefix="false">
      <alignment horizontal="center" vertical="top"/>
    </xf>
    <xf applyAlignment="true" applyBorder="true" applyFill="false" applyFont="false" applyNumberFormat="true" borderId="3197" fillId="0" fontId="1" numFmtId="1000" quotePrefix="false">
      <alignment horizontal="center" vertical="top"/>
    </xf>
    <xf applyAlignment="true" applyBorder="true" applyFill="false" applyFont="false" applyNumberFormat="true" borderId="3198" fillId="0" fontId="1" numFmtId="1000" quotePrefix="false">
      <alignment horizontal="center" vertical="top"/>
    </xf>
    <xf applyAlignment="true" applyBorder="true" applyFill="false" applyFont="false" applyNumberFormat="true" borderId="3199" fillId="0" fontId="1" numFmtId="1000" quotePrefix="false">
      <alignment horizontal="center" vertical="top"/>
    </xf>
    <xf applyAlignment="true" applyBorder="true" applyFill="false" applyFont="false" applyNumberFormat="true" borderId="3200" fillId="0" fontId="1" numFmtId="1000" quotePrefix="false">
      <alignment horizontal="center" vertical="top"/>
    </xf>
    <xf applyAlignment="true" applyBorder="true" applyFill="false" applyFont="false" applyNumberFormat="true" borderId="3201" fillId="0" fontId="1" numFmtId="1000" quotePrefix="false">
      <alignment horizontal="center" vertical="top"/>
    </xf>
    <xf applyAlignment="true" applyBorder="true" applyFill="false" applyFont="false" applyNumberFormat="true" borderId="3202" fillId="0" fontId="1" numFmtId="1000" quotePrefix="false">
      <alignment horizontal="center" vertical="top"/>
    </xf>
    <xf applyAlignment="true" applyBorder="true" applyFill="false" applyFont="false" applyNumberFormat="true" borderId="3203" fillId="0" fontId="1" numFmtId="1000" quotePrefix="false">
      <alignment horizontal="center" vertical="top"/>
    </xf>
    <xf applyAlignment="true" applyBorder="true" applyFill="false" applyFont="false" applyNumberFormat="true" borderId="3204" fillId="0" fontId="1" numFmtId="1000" quotePrefix="false">
      <alignment horizontal="center" vertical="top"/>
    </xf>
    <xf applyAlignment="true" applyBorder="true" applyFill="false" applyFont="false" applyNumberFormat="true" borderId="3205" fillId="0" fontId="1" numFmtId="1000" quotePrefix="false">
      <alignment horizontal="center" vertical="top"/>
    </xf>
    <xf applyAlignment="true" applyBorder="true" applyFill="false" applyFont="false" applyNumberFormat="true" borderId="3206" fillId="0" fontId="1" numFmtId="1000" quotePrefix="false">
      <alignment horizontal="center" vertical="top"/>
    </xf>
    <xf applyAlignment="true" applyBorder="true" applyFill="false" applyFont="false" applyNumberFormat="true" borderId="3207" fillId="0" fontId="1" numFmtId="1000" quotePrefix="false">
      <alignment horizontal="center" vertical="top"/>
    </xf>
    <xf applyAlignment="true" applyBorder="true" applyFill="false" applyFont="false" applyNumberFormat="true" borderId="3208" fillId="0" fontId="1" numFmtId="1000" quotePrefix="false">
      <alignment horizontal="center" vertical="top"/>
    </xf>
    <xf applyAlignment="true" applyBorder="true" applyFill="false" applyFont="false" applyNumberFormat="true" borderId="3209" fillId="0" fontId="1" numFmtId="1000" quotePrefix="false">
      <alignment horizontal="center" vertical="top"/>
    </xf>
    <xf applyAlignment="true" applyBorder="true" applyFill="false" applyFont="false" applyNumberFormat="true" borderId="3210" fillId="0" fontId="1" numFmtId="1000" quotePrefix="false">
      <alignment horizontal="center" vertical="top"/>
    </xf>
    <xf applyAlignment="true" applyBorder="true" applyFill="false" applyFont="false" applyNumberFormat="true" borderId="3211" fillId="0" fontId="1" numFmtId="1000" quotePrefix="false">
      <alignment horizontal="center" vertical="top"/>
    </xf>
    <xf applyAlignment="true" applyBorder="true" applyFill="false" applyFont="false" applyNumberFormat="true" borderId="3212" fillId="0" fontId="1" numFmtId="1000" quotePrefix="false">
      <alignment horizontal="center" vertical="top"/>
    </xf>
    <xf applyAlignment="true" applyBorder="true" applyFill="false" applyFont="false" applyNumberFormat="true" borderId="3213" fillId="0" fontId="1" numFmtId="1000" quotePrefix="false">
      <alignment horizontal="center" vertical="top"/>
    </xf>
    <xf applyAlignment="true" applyBorder="true" applyFill="false" applyFont="false" applyNumberFormat="true" borderId="3214" fillId="0" fontId="1" numFmtId="1000" quotePrefix="false">
      <alignment horizontal="center" vertical="top"/>
    </xf>
    <xf applyAlignment="true" applyBorder="true" applyFill="false" applyFont="false" applyNumberFormat="true" borderId="3215" fillId="0" fontId="1" numFmtId="1000" quotePrefix="false">
      <alignment horizontal="center" vertical="top"/>
    </xf>
    <xf applyAlignment="true" applyBorder="true" applyFill="false" applyFont="false" applyNumberFormat="true" borderId="3216" fillId="0" fontId="1" numFmtId="1000" quotePrefix="false">
      <alignment horizontal="center" vertical="top"/>
    </xf>
    <xf applyAlignment="true" applyBorder="true" applyFill="false" applyFont="false" applyNumberFormat="true" borderId="3217" fillId="0" fontId="1" numFmtId="1000" quotePrefix="false">
      <alignment horizontal="center" vertical="top"/>
    </xf>
    <xf applyAlignment="true" applyBorder="true" applyFill="false" applyFont="false" applyNumberFormat="true" borderId="3218" fillId="0" fontId="1" numFmtId="1000" quotePrefix="false">
      <alignment horizontal="center" vertical="top"/>
    </xf>
    <xf applyAlignment="true" applyBorder="true" applyFill="false" applyFont="false" applyNumberFormat="true" borderId="3219" fillId="0" fontId="1" numFmtId="1000" quotePrefix="false">
      <alignment horizontal="center" vertical="top"/>
    </xf>
    <xf applyAlignment="true" applyBorder="true" applyFill="false" applyFont="false" applyNumberFormat="true" borderId="3220" fillId="0" fontId="1" numFmtId="1000" quotePrefix="false">
      <alignment horizontal="center" vertical="top"/>
    </xf>
    <xf applyAlignment="true" applyBorder="true" applyFill="false" applyFont="false" applyNumberFormat="true" borderId="3221" fillId="0" fontId="1" numFmtId="1000" quotePrefix="false">
      <alignment horizontal="center" vertical="top"/>
    </xf>
    <xf applyAlignment="true" applyBorder="true" applyFill="false" applyFont="false" applyNumberFormat="true" borderId="3222" fillId="0" fontId="1" numFmtId="1000" quotePrefix="false">
      <alignment horizontal="center" vertical="top"/>
    </xf>
    <xf applyAlignment="true" applyBorder="true" applyFill="false" applyFont="false" applyNumberFormat="true" borderId="3223" fillId="0" fontId="1" numFmtId="1000" quotePrefix="false">
      <alignment horizontal="center" vertical="top"/>
    </xf>
    <xf applyAlignment="true" applyBorder="true" applyFill="false" applyFont="false" applyNumberFormat="true" borderId="3224" fillId="0" fontId="1" numFmtId="1000" quotePrefix="false">
      <alignment horizontal="center" vertical="top"/>
    </xf>
    <xf applyAlignment="true" applyBorder="true" applyFill="false" applyFont="false" applyNumberFormat="true" borderId="3225" fillId="0" fontId="1" numFmtId="1000" quotePrefix="false">
      <alignment horizontal="center" vertical="top"/>
    </xf>
    <xf applyAlignment="true" applyBorder="true" applyFill="false" applyFont="false" applyNumberFormat="true" borderId="3226" fillId="0" fontId="1" numFmtId="1000" quotePrefix="false">
      <alignment horizontal="center" vertical="top"/>
    </xf>
    <xf applyAlignment="true" applyBorder="true" applyFill="false" applyFont="false" applyNumberFormat="true" borderId="3227" fillId="0" fontId="1" numFmtId="1000" quotePrefix="false">
      <alignment horizontal="center" vertical="top"/>
    </xf>
    <xf applyAlignment="true" applyBorder="true" applyFill="false" applyFont="false" applyNumberFormat="true" borderId="3228" fillId="0" fontId="1" numFmtId="1000" quotePrefix="false">
      <alignment horizontal="center" vertical="top"/>
    </xf>
    <xf applyAlignment="true" applyBorder="true" applyFill="false" applyFont="false" applyNumberFormat="true" borderId="3229" fillId="0" fontId="1" numFmtId="1000" quotePrefix="false">
      <alignment horizontal="center" vertical="top"/>
    </xf>
    <xf applyAlignment="true" applyBorder="true" applyFill="false" applyFont="false" applyNumberFormat="true" borderId="3230" fillId="0" fontId="1" numFmtId="1000" quotePrefix="false">
      <alignment horizontal="center" vertical="top"/>
    </xf>
    <xf applyAlignment="true" applyBorder="true" applyFill="false" applyFont="false" applyNumberFormat="true" borderId="3231" fillId="0" fontId="1" numFmtId="1000" quotePrefix="false">
      <alignment horizontal="center" vertical="top"/>
    </xf>
    <xf applyAlignment="true" applyBorder="true" applyFill="false" applyFont="false" applyNumberFormat="true" borderId="3232" fillId="0" fontId="1" numFmtId="1000" quotePrefix="false">
      <alignment horizontal="center" vertical="top"/>
    </xf>
    <xf applyAlignment="true" applyBorder="true" applyFill="false" applyFont="false" applyNumberFormat="true" borderId="3233" fillId="0" fontId="1" numFmtId="1000" quotePrefix="false">
      <alignment horizontal="center" vertical="top"/>
    </xf>
    <xf applyAlignment="true" applyBorder="true" applyFill="false" applyFont="false" applyNumberFormat="true" borderId="3234" fillId="0" fontId="1" numFmtId="1000" quotePrefix="false">
      <alignment horizontal="center" vertical="top"/>
    </xf>
    <xf applyAlignment="true" applyBorder="true" applyFill="false" applyFont="false" applyNumberFormat="true" borderId="3235" fillId="0" fontId="1" numFmtId="1000" quotePrefix="false">
      <alignment horizontal="center" vertical="top"/>
    </xf>
    <xf applyAlignment="true" applyBorder="true" applyFill="false" applyFont="false" applyNumberFormat="true" borderId="3236" fillId="0" fontId="1" numFmtId="1000" quotePrefix="false">
      <alignment horizontal="center" vertical="top"/>
    </xf>
    <xf applyAlignment="true" applyBorder="true" applyFill="false" applyFont="false" applyNumberFormat="true" borderId="3237" fillId="0" fontId="1" numFmtId="1000" quotePrefix="false">
      <alignment horizontal="center" vertical="top"/>
    </xf>
    <xf applyAlignment="true" applyBorder="true" applyFill="false" applyFont="false" applyNumberFormat="true" borderId="3238" fillId="0" fontId="1" numFmtId="1000" quotePrefix="false">
      <alignment horizontal="center" vertical="top"/>
    </xf>
    <xf applyAlignment="true" applyBorder="true" applyFill="false" applyFont="false" applyNumberFormat="true" borderId="3239" fillId="0" fontId="1" numFmtId="1000" quotePrefix="false">
      <alignment horizontal="center" vertical="top"/>
    </xf>
    <xf applyAlignment="true" applyBorder="true" applyFill="false" applyFont="false" applyNumberFormat="true" borderId="3240" fillId="0" fontId="1" numFmtId="1000" quotePrefix="false">
      <alignment horizontal="center" vertical="top"/>
    </xf>
    <xf applyAlignment="true" applyBorder="true" applyFill="false" applyFont="false" applyNumberFormat="true" borderId="3241" fillId="0" fontId="1" numFmtId="1000" quotePrefix="false">
      <alignment horizontal="center" vertical="top"/>
    </xf>
    <xf applyAlignment="true" applyBorder="true" applyFill="false" applyFont="false" applyNumberFormat="true" borderId="3242" fillId="0" fontId="1" numFmtId="1000" quotePrefix="false">
      <alignment horizontal="center" vertical="top"/>
    </xf>
    <xf applyAlignment="true" applyBorder="true" applyFill="false" applyFont="false" applyNumberFormat="true" borderId="3243" fillId="0" fontId="1" numFmtId="1000" quotePrefix="false">
      <alignment horizontal="center" vertical="top"/>
    </xf>
    <xf applyAlignment="true" applyBorder="true" applyFill="false" applyFont="false" applyNumberFormat="true" borderId="3244" fillId="0" fontId="1" numFmtId="1000" quotePrefix="false">
      <alignment horizontal="center" vertical="top"/>
    </xf>
    <xf applyAlignment="true" applyBorder="true" applyFill="false" applyFont="false" applyNumberFormat="true" borderId="3245" fillId="0" fontId="1" numFmtId="1000" quotePrefix="false">
      <alignment horizontal="center" vertical="top"/>
    </xf>
    <xf applyAlignment="true" applyBorder="true" applyFill="false" applyFont="false" applyNumberFormat="true" borderId="3246" fillId="0" fontId="1" numFmtId="1000" quotePrefix="false">
      <alignment horizontal="center" vertical="top"/>
    </xf>
    <xf applyAlignment="true" applyBorder="true" applyFill="false" applyFont="false" applyNumberFormat="true" borderId="3247" fillId="0" fontId="1" numFmtId="1000" quotePrefix="false">
      <alignment horizontal="center" vertical="top"/>
    </xf>
    <xf applyAlignment="true" applyBorder="true" applyFill="false" applyFont="false" applyNumberFormat="true" borderId="3248" fillId="0" fontId="1" numFmtId="1000" quotePrefix="false">
      <alignment horizontal="center" vertical="top"/>
    </xf>
    <xf applyAlignment="true" applyBorder="true" applyFill="false" applyFont="false" applyNumberFormat="true" borderId="3249" fillId="0" fontId="1" numFmtId="1000" quotePrefix="false">
      <alignment horizontal="center" vertical="top"/>
    </xf>
    <xf applyAlignment="true" applyBorder="true" applyFill="false" applyFont="false" applyNumberFormat="true" borderId="3250" fillId="0" fontId="1" numFmtId="1000" quotePrefix="false">
      <alignment horizontal="center" vertical="top"/>
    </xf>
    <xf applyAlignment="true" applyBorder="true" applyFill="false" applyFont="false" applyNumberFormat="true" borderId="3251" fillId="0" fontId="1" numFmtId="1000" quotePrefix="false">
      <alignment horizontal="center" vertical="top"/>
    </xf>
    <xf applyAlignment="true" applyBorder="true" applyFill="false" applyFont="false" applyNumberFormat="true" borderId="3252" fillId="0" fontId="1" numFmtId="1000" quotePrefix="false">
      <alignment horizontal="center" vertical="top"/>
    </xf>
    <xf applyAlignment="true" applyBorder="true" applyFill="false" applyFont="false" applyNumberFormat="true" borderId="3253" fillId="0" fontId="1" numFmtId="1000" quotePrefix="false">
      <alignment horizontal="center" vertical="top"/>
    </xf>
    <xf applyAlignment="true" applyBorder="true" applyFill="false" applyFont="false" applyNumberFormat="true" borderId="3254" fillId="0" fontId="1" numFmtId="1000" quotePrefix="false">
      <alignment horizontal="center" vertical="top"/>
    </xf>
    <xf applyAlignment="true" applyBorder="true" applyFill="false" applyFont="false" applyNumberFormat="true" borderId="3255" fillId="0" fontId="1" numFmtId="1000" quotePrefix="false">
      <alignment horizontal="center" vertical="top"/>
    </xf>
    <xf applyAlignment="true" applyBorder="true" applyFill="false" applyFont="false" applyNumberFormat="true" borderId="3256" fillId="0" fontId="1" numFmtId="1000" quotePrefix="false">
      <alignment horizontal="center" vertical="top"/>
    </xf>
    <xf applyAlignment="true" applyBorder="true" applyFill="false" applyFont="false" applyNumberFormat="true" borderId="3257" fillId="0" fontId="1" numFmtId="1000" quotePrefix="false">
      <alignment horizontal="center" vertical="top"/>
    </xf>
    <xf applyAlignment="true" applyBorder="true" applyFill="false" applyFont="true" applyNumberFormat="true" borderId="3258" fillId="0" fontId="2" numFmtId="1000" quotePrefix="false">
      <alignment horizontal="center" vertical="top"/>
    </xf>
    <xf applyAlignment="true" applyBorder="true" applyFill="false" applyFont="false" applyNumberFormat="true" borderId="3259" fillId="0" fontId="1" numFmtId="1000" quotePrefix="false">
      <alignment horizontal="left" vertical="top"/>
    </xf>
    <xf applyAlignment="true" applyBorder="true" applyFill="false" applyFont="false" applyNumberFormat="true" borderId="3260" fillId="0" fontId="1" numFmtId="1000" quotePrefix="false">
      <alignment horizontal="left" vertical="top"/>
    </xf>
    <xf applyAlignment="true" applyBorder="true" applyFill="false" applyFont="false" applyNumberFormat="true" borderId="3261" fillId="0" fontId="1" numFmtId="1000" quotePrefix="false">
      <alignment horizontal="left" vertical="top"/>
    </xf>
    <xf applyAlignment="true" applyBorder="true" applyFill="false" applyFont="false" applyNumberFormat="true" borderId="3262" fillId="0" fontId="1" numFmtId="1000" quotePrefix="false">
      <alignment horizontal="left" vertical="top"/>
    </xf>
    <xf applyAlignment="true" applyBorder="true" applyFill="false" applyFont="false" applyNumberFormat="true" borderId="3263" fillId="0" fontId="1" numFmtId="1000" quotePrefix="false">
      <alignment horizontal="left" vertical="top"/>
    </xf>
    <xf applyAlignment="true" applyBorder="true" applyFill="false" applyFont="false" applyNumberFormat="true" borderId="3264" fillId="0" fontId="1" numFmtId="1000" quotePrefix="false">
      <alignment horizontal="left" vertical="top"/>
    </xf>
    <xf applyAlignment="true" applyBorder="true" applyFill="false" applyFont="false" applyNumberFormat="true" borderId="3265" fillId="0" fontId="1" numFmtId="1000" quotePrefix="false">
      <alignment horizontal="left" vertical="top"/>
    </xf>
    <xf applyAlignment="true" applyBorder="true" applyFill="false" applyFont="false" applyNumberFormat="true" borderId="3266" fillId="0" fontId="1" numFmtId="1000" quotePrefix="false">
      <alignment horizontal="left" vertical="top"/>
    </xf>
    <xf applyAlignment="true" applyBorder="true" applyFill="false" applyFont="false" applyNumberFormat="true" borderId="3267" fillId="0" fontId="1" numFmtId="1000" quotePrefix="false">
      <alignment horizontal="left" vertical="top"/>
    </xf>
    <xf applyAlignment="true" applyBorder="true" applyFill="false" applyFont="false" applyNumberFormat="true" borderId="3268" fillId="0" fontId="1" numFmtId="1000" quotePrefix="false">
      <alignment horizontal="left" vertical="top"/>
    </xf>
    <xf applyAlignment="true" applyBorder="true" applyFill="false" applyFont="false" applyNumberFormat="true" borderId="3269" fillId="0" fontId="1" numFmtId="1000" quotePrefix="false">
      <alignment horizontal="left" vertical="top"/>
    </xf>
    <xf applyAlignment="true" applyBorder="true" applyFill="false" applyFont="false" applyNumberFormat="true" borderId="3270" fillId="0" fontId="1" numFmtId="1000" quotePrefix="false">
      <alignment horizontal="left" vertical="top"/>
    </xf>
    <xf applyAlignment="true" applyBorder="true" applyFill="false" applyFont="false" applyNumberFormat="true" borderId="3271" fillId="0" fontId="1" numFmtId="1000" quotePrefix="false">
      <alignment horizontal="left" vertical="top"/>
    </xf>
    <xf applyAlignment="true" applyBorder="true" applyFill="false" applyFont="false" applyNumberFormat="true" borderId="3272" fillId="0" fontId="1" numFmtId="1000" quotePrefix="false">
      <alignment horizontal="left" vertical="top"/>
    </xf>
    <xf applyAlignment="true" applyBorder="true" applyFill="false" applyFont="false" applyNumberFormat="true" borderId="3273" fillId="0" fontId="1" numFmtId="1000" quotePrefix="false">
      <alignment horizontal="left" vertical="top"/>
    </xf>
    <xf applyAlignment="true" applyBorder="true" applyFill="false" applyFont="false" applyNumberFormat="true" borderId="3274" fillId="0" fontId="1" numFmtId="1000" quotePrefix="false">
      <alignment horizontal="left" vertical="top"/>
    </xf>
    <xf applyAlignment="true" applyBorder="true" applyFill="false" applyFont="false" applyNumberFormat="true" borderId="3275" fillId="0" fontId="1" numFmtId="1000" quotePrefix="false">
      <alignment horizontal="left" vertical="top"/>
    </xf>
    <xf applyAlignment="true" applyBorder="true" applyFill="false" applyFont="false" applyNumberFormat="true" borderId="3276" fillId="0" fontId="1" numFmtId="1000" quotePrefix="false">
      <alignment horizontal="left" vertical="top"/>
    </xf>
    <xf applyAlignment="true" applyBorder="true" applyFill="false" applyFont="false" applyNumberFormat="true" borderId="3277" fillId="0" fontId="1" numFmtId="1000" quotePrefix="false">
      <alignment horizontal="left" vertical="top"/>
    </xf>
    <xf applyAlignment="true" applyBorder="true" applyFill="false" applyFont="true" applyNumberFormat="true" borderId="3278" fillId="0" fontId="2" numFmtId="1000" quotePrefix="false">
      <alignment horizontal="center"/>
    </xf>
    <xf applyAlignment="true" applyBorder="true" applyFill="false" applyFont="true" applyNumberFormat="true" borderId="3279" fillId="0" fontId="2" numFmtId="1000" quotePrefix="false">
      <alignment horizontal="center"/>
    </xf>
    <xf applyAlignment="true" applyBorder="true" applyFill="false" applyFont="true" applyNumberFormat="true" borderId="3280" fillId="0" fontId="2" numFmtId="1000" quotePrefix="false">
      <alignment horizontal="center"/>
    </xf>
    <xf applyAlignment="true" applyBorder="true" applyFill="false" applyFont="false" applyNumberFormat="true" borderId="3281" fillId="0" fontId="1" numFmtId="1000" quotePrefix="false">
      <alignment horizontal="center" vertical="top"/>
    </xf>
    <xf applyAlignment="true" applyBorder="true" applyFill="false" applyFont="false" applyNumberFormat="true" borderId="3282" fillId="0" fontId="1" numFmtId="1000" quotePrefix="false">
      <alignment horizontal="center" vertical="top"/>
    </xf>
    <xf applyAlignment="true" applyBorder="true" applyFill="false" applyFont="false" applyNumberFormat="true" borderId="3283" fillId="0" fontId="1" numFmtId="1000" quotePrefix="false">
      <alignment horizontal="center" vertical="top"/>
    </xf>
    <xf applyAlignment="true" applyBorder="true" applyFill="false" applyFont="false" applyNumberFormat="true" borderId="3284" fillId="0" fontId="1" numFmtId="1000" quotePrefix="false">
      <alignment horizontal="center" vertical="top"/>
    </xf>
    <xf applyAlignment="true" applyBorder="true" applyFill="false" applyFont="false" applyNumberFormat="true" borderId="3285" fillId="0" fontId="1" numFmtId="1000" quotePrefix="false">
      <alignment horizontal="center" vertical="top"/>
    </xf>
    <xf applyAlignment="true" applyBorder="true" applyFill="false" applyFont="false" applyNumberFormat="true" borderId="3286" fillId="0" fontId="1" numFmtId="1000" quotePrefix="false">
      <alignment horizontal="center" vertical="top"/>
    </xf>
    <xf applyAlignment="true" applyBorder="true" applyFill="false" applyFont="false" applyNumberFormat="true" borderId="3287" fillId="0" fontId="1" numFmtId="1000" quotePrefix="false">
      <alignment horizontal="center" vertical="top"/>
    </xf>
    <xf applyAlignment="true" applyBorder="true" applyFill="false" applyFont="false" applyNumberFormat="true" borderId="3288" fillId="0" fontId="1" numFmtId="1000" quotePrefix="false">
      <alignment horizontal="center" vertical="top"/>
    </xf>
    <xf applyAlignment="true" applyBorder="true" applyFill="false" applyFont="false" applyNumberFormat="true" borderId="3289" fillId="0" fontId="1" numFmtId="1000" quotePrefix="false">
      <alignment horizontal="center" vertical="top"/>
    </xf>
    <xf applyAlignment="true" applyBorder="true" applyFill="false" applyFont="false" applyNumberFormat="true" borderId="3290" fillId="0" fontId="1" numFmtId="1000" quotePrefix="false">
      <alignment horizontal="center" vertical="top"/>
    </xf>
    <xf applyAlignment="true" applyBorder="true" applyFill="false" applyFont="false" applyNumberFormat="true" borderId="3291" fillId="0" fontId="1" numFmtId="1000" quotePrefix="false">
      <alignment horizontal="center" vertical="top"/>
    </xf>
    <xf applyAlignment="true" applyBorder="true" applyFill="false" applyFont="false" applyNumberFormat="true" borderId="3292" fillId="0" fontId="1" numFmtId="1000" quotePrefix="false">
      <alignment horizontal="center" vertical="top"/>
    </xf>
    <xf applyAlignment="true" applyBorder="true" applyFill="false" applyFont="false" applyNumberFormat="true" borderId="3293" fillId="0" fontId="1" numFmtId="1000" quotePrefix="false">
      <alignment horizontal="center" vertical="top"/>
    </xf>
    <xf applyAlignment="true" applyBorder="true" applyFill="false" applyFont="false" applyNumberFormat="true" borderId="3294" fillId="0" fontId="1" numFmtId="1000" quotePrefix="false">
      <alignment horizontal="center" vertical="top"/>
    </xf>
    <xf applyAlignment="true" applyBorder="true" applyFill="false" applyFont="false" applyNumberFormat="true" borderId="3295" fillId="0" fontId="1" numFmtId="1000" quotePrefix="false">
      <alignment horizontal="center" vertical="top"/>
    </xf>
    <xf applyAlignment="true" applyBorder="true" applyFill="false" applyFont="false" applyNumberFormat="true" borderId="3296" fillId="0" fontId="1" numFmtId="1000" quotePrefix="false">
      <alignment horizontal="center" vertical="top"/>
    </xf>
    <xf applyAlignment="true" applyBorder="true" applyFill="false" applyFont="false" applyNumberFormat="true" borderId="3297" fillId="0" fontId="1" numFmtId="1000" quotePrefix="false">
      <alignment horizontal="center" vertical="top"/>
    </xf>
    <xf applyAlignment="true" applyBorder="true" applyFill="false" applyFont="false" applyNumberFormat="true" borderId="3298" fillId="0" fontId="1" numFmtId="1000" quotePrefix="false">
      <alignment horizontal="center" vertical="top"/>
    </xf>
    <xf applyAlignment="true" applyBorder="true" applyFill="false" applyFont="false" applyNumberFormat="true" borderId="3299" fillId="0" fontId="1" numFmtId="1000" quotePrefix="false">
      <alignment horizontal="center" vertical="top"/>
    </xf>
    <xf applyAlignment="true" applyBorder="true" applyFill="false" applyFont="false" applyNumberFormat="true" borderId="3300" fillId="0" fontId="1" numFmtId="1000" quotePrefix="false">
      <alignment horizontal="center" vertical="top"/>
    </xf>
    <xf applyAlignment="true" applyBorder="true" applyFill="false" applyFont="false" applyNumberFormat="true" borderId="3301" fillId="0" fontId="1" numFmtId="1000" quotePrefix="false">
      <alignment horizontal="center" vertical="top"/>
    </xf>
    <xf applyAlignment="true" applyBorder="true" applyFill="true" applyFont="false" applyNumberFormat="true" borderId="3302" fillId="3" fontId="1" numFmtId="1000" quotePrefix="false">
      <alignment horizontal="center" vertical="top" wrapText="true"/>
    </xf>
    <xf applyAlignment="true" applyBorder="true" applyFill="false" applyFont="false" applyNumberFormat="true" borderId="3303" fillId="0" fontId="1" numFmtId="1000" quotePrefix="false">
      <alignment horizontal="center" vertical="top"/>
    </xf>
    <xf applyAlignment="true" applyBorder="true" applyFill="false" applyFont="false" applyNumberFormat="true" borderId="3304" fillId="0" fontId="1" numFmtId="1000" quotePrefix="false">
      <alignment horizontal="center" vertical="top"/>
    </xf>
    <xf applyAlignment="true" applyBorder="true" applyFill="true" applyFont="false" applyNumberFormat="true" borderId="50" fillId="3" fontId="1" numFmtId="1000" quotePrefix="false">
      <alignment vertical="top"/>
    </xf>
    <xf applyAlignment="true" applyBorder="true" applyFill="false" applyFont="false" applyNumberFormat="true" borderId="3305" fillId="0" fontId="1" numFmtId="1000" quotePrefix="false">
      <alignment horizontal="center" vertical="top"/>
    </xf>
    <xf applyAlignment="true" applyBorder="true" applyFill="false" applyFont="false" applyNumberFormat="true" borderId="3306" fillId="0" fontId="1" numFmtId="1000" quotePrefix="false">
      <alignment horizontal="center" vertical="top"/>
    </xf>
    <xf applyAlignment="true" applyBorder="true" applyFill="false" applyFont="false" applyNumberFormat="true" borderId="3307" fillId="0" fontId="1" numFmtId="1000" quotePrefix="false">
      <alignment horizontal="center" vertical="top"/>
    </xf>
    <xf applyAlignment="true" applyBorder="true" applyFill="false" applyFont="false" applyNumberFormat="true" borderId="3308" fillId="0" fontId="1" numFmtId="1000" quotePrefix="false">
      <alignment horizontal="center" vertical="top"/>
    </xf>
    <xf applyAlignment="true" applyBorder="true" applyFill="true" applyFont="false" applyNumberFormat="true" borderId="3309" fillId="3" fontId="1" numFmtId="1000" quotePrefix="false">
      <alignment horizontal="center" vertical="top" wrapText="true"/>
    </xf>
    <xf applyAlignment="true" applyBorder="true" applyFill="true" applyFont="false" applyNumberFormat="true" borderId="3310" fillId="3" fontId="1" numFmtId="1000" quotePrefix="false">
      <alignment horizontal="center" vertical="top" wrapText="true"/>
    </xf>
    <xf applyAlignment="true" applyBorder="true" applyFill="false" applyFont="false" applyNumberFormat="true" borderId="3311" fillId="0" fontId="1" numFmtId="1000" quotePrefix="false">
      <alignment horizontal="center" vertical="top"/>
    </xf>
    <xf applyAlignment="true" applyBorder="true" applyFill="false" applyFont="false" applyNumberFormat="true" borderId="3312" fillId="0" fontId="1" numFmtId="1000" quotePrefix="false">
      <alignment horizontal="center" vertical="top"/>
    </xf>
    <xf applyAlignment="true" applyBorder="true" applyFill="true" applyFont="false" applyNumberFormat="true" borderId="3313" fillId="3" fontId="1" numFmtId="1000" quotePrefix="false">
      <alignment horizontal="center" vertical="top" wrapText="true"/>
    </xf>
    <xf applyAlignment="true" applyBorder="true" applyFill="false" applyFont="false" applyNumberFormat="true" borderId="3314" fillId="0" fontId="1" numFmtId="1000" quotePrefix="false">
      <alignment horizontal="center" vertical="top"/>
    </xf>
    <xf applyAlignment="true" applyBorder="true" applyFill="false" applyFont="false" applyNumberFormat="true" borderId="3315" fillId="0" fontId="1" numFmtId="1000" quotePrefix="false">
      <alignment horizontal="center" vertical="top"/>
    </xf>
    <xf applyAlignment="true" applyBorder="true" applyFill="false" applyFont="false" applyNumberFormat="true" borderId="3316" fillId="0" fontId="1" numFmtId="1000" quotePrefix="false">
      <alignment horizontal="center" vertical="top"/>
    </xf>
    <xf applyAlignment="true" applyBorder="true" applyFill="false" applyFont="false" applyNumberFormat="true" borderId="3317" fillId="0" fontId="1" numFmtId="1000" quotePrefix="false">
      <alignment horizontal="center" vertical="top"/>
    </xf>
    <xf applyAlignment="true" applyBorder="true" applyFill="false" applyFont="true" applyNumberFormat="true" borderId="3318" fillId="0" fontId="2" numFmtId="1000" quotePrefix="false">
      <alignment horizontal="center" vertical="top"/>
    </xf>
    <xf applyAlignment="true" applyBorder="true" applyFill="false" applyFont="false" applyNumberFormat="true" borderId="3319" fillId="0" fontId="1" numFmtId="1000" quotePrefix="false">
      <alignment horizontal="left" vertical="top"/>
    </xf>
    <xf applyAlignment="true" applyBorder="true" applyFill="false" applyFont="false" applyNumberFormat="true" borderId="3320" fillId="0" fontId="1" numFmtId="1000" quotePrefix="false">
      <alignment horizontal="left" vertical="top"/>
    </xf>
    <xf applyAlignment="true" applyBorder="true" applyFill="false" applyFont="false" applyNumberFormat="true" borderId="3321" fillId="0" fontId="1" numFmtId="1000" quotePrefix="false">
      <alignment horizontal="left" vertical="top"/>
    </xf>
    <xf applyAlignment="true" applyBorder="true" applyFill="false" applyFont="false" applyNumberFormat="true" borderId="3322" fillId="0" fontId="1" numFmtId="1000" quotePrefix="false">
      <alignment horizontal="left" vertical="top"/>
    </xf>
    <xf applyAlignment="true" applyBorder="true" applyFill="false" applyFont="false" applyNumberFormat="true" borderId="3323" fillId="0" fontId="1" numFmtId="1000" quotePrefix="false">
      <alignment horizontal="left" vertical="top"/>
    </xf>
    <xf applyAlignment="true" applyBorder="true" applyFill="false" applyFont="false" applyNumberFormat="true" borderId="3324" fillId="0" fontId="1" numFmtId="1000" quotePrefix="false">
      <alignment horizontal="left" vertical="top"/>
    </xf>
    <xf applyAlignment="true" applyBorder="true" applyFill="false" applyFont="false" applyNumberFormat="true" borderId="3325" fillId="0" fontId="1" numFmtId="1000" quotePrefix="false">
      <alignment horizontal="left" vertical="top"/>
    </xf>
    <xf applyAlignment="true" applyBorder="true" applyFill="false" applyFont="false" applyNumberFormat="true" borderId="3326" fillId="0" fontId="1" numFmtId="1000" quotePrefix="false">
      <alignment horizontal="left" vertical="top"/>
    </xf>
    <xf applyAlignment="true" applyBorder="true" applyFill="false" applyFont="false" applyNumberFormat="true" borderId="3327" fillId="0" fontId="1" numFmtId="1000" quotePrefix="false">
      <alignment horizontal="left" vertical="top"/>
    </xf>
    <xf applyAlignment="true" applyBorder="true" applyFill="false" applyFont="false" applyNumberFormat="true" borderId="3328" fillId="0" fontId="1" numFmtId="1000" quotePrefix="false">
      <alignment horizontal="left" vertical="top"/>
    </xf>
    <xf applyAlignment="true" applyBorder="true" applyFill="false" applyFont="false" applyNumberFormat="true" borderId="3329" fillId="0" fontId="1" numFmtId="1000" quotePrefix="false">
      <alignment horizontal="left" vertical="top"/>
    </xf>
    <xf applyAlignment="true" applyBorder="true" applyFill="false" applyFont="false" applyNumberFormat="true" borderId="3330" fillId="0" fontId="1" numFmtId="1000" quotePrefix="false">
      <alignment horizontal="left" vertical="top"/>
    </xf>
    <xf applyAlignment="true" applyBorder="true" applyFill="false" applyFont="false" applyNumberFormat="true" borderId="3331" fillId="0" fontId="1" numFmtId="1000" quotePrefix="false">
      <alignment horizontal="left" vertical="top"/>
    </xf>
    <xf applyAlignment="true" applyBorder="true" applyFill="false" applyFont="false" applyNumberFormat="true" borderId="3332" fillId="0" fontId="1" numFmtId="1000" quotePrefix="false">
      <alignment horizontal="left" vertical="top"/>
    </xf>
    <xf applyAlignment="true" applyBorder="true" applyFill="false" applyFont="false" applyNumberFormat="true" borderId="3333" fillId="0" fontId="1" numFmtId="1000" quotePrefix="false">
      <alignment horizontal="left" vertical="top"/>
    </xf>
    <xf applyAlignment="true" applyBorder="true" applyFill="false" applyFont="false" applyNumberFormat="true" borderId="3334" fillId="0" fontId="1" numFmtId="1000" quotePrefix="false">
      <alignment horizontal="left" vertical="top"/>
    </xf>
    <xf applyAlignment="true" applyBorder="true" applyFill="false" applyFont="false" applyNumberFormat="true" borderId="3335" fillId="0" fontId="1" numFmtId="1000" quotePrefix="false">
      <alignment horizontal="left" vertical="top"/>
    </xf>
    <xf applyAlignment="true" applyBorder="true" applyFill="false" applyFont="false" applyNumberFormat="true" borderId="3336" fillId="0" fontId="1" numFmtId="1000" quotePrefix="false">
      <alignment horizontal="left" vertical="top"/>
    </xf>
    <xf applyAlignment="true" applyBorder="true" applyFill="false" applyFont="false" applyNumberFormat="true" borderId="3337" fillId="0" fontId="1" numFmtId="1000" quotePrefix="false">
      <alignment horizontal="left" vertical="top"/>
    </xf>
    <xf applyAlignment="true" applyBorder="true" applyFill="false" applyFont="true" applyNumberFormat="true" borderId="3338" fillId="0" fontId="2" numFmtId="1000" quotePrefix="false">
      <alignment horizontal="center"/>
    </xf>
    <xf applyAlignment="true" applyBorder="true" applyFill="false" applyFont="true" applyNumberFormat="true" borderId="3339" fillId="0" fontId="2" numFmtId="1000" quotePrefix="false">
      <alignment horizontal="center"/>
    </xf>
    <xf applyAlignment="true" applyBorder="true" applyFill="false" applyFont="true" applyNumberFormat="true" borderId="3340" fillId="0" fontId="2" numFmtId="1000" quotePrefix="false">
      <alignment horizontal="center"/>
    </xf>
    <xf applyAlignment="true" applyBorder="true" applyFill="false" applyFont="false" applyNumberFormat="true" borderId="3341" fillId="0" fontId="1" numFmtId="1000" quotePrefix="false">
      <alignment horizontal="center" vertical="top"/>
    </xf>
    <xf applyAlignment="true" applyBorder="true" applyFill="false" applyFont="false" applyNumberFormat="true" borderId="3342" fillId="0" fontId="1" numFmtId="1000" quotePrefix="false">
      <alignment horizontal="center" vertical="top"/>
    </xf>
    <xf applyAlignment="true" applyBorder="true" applyFill="false" applyFont="false" applyNumberFormat="true" borderId="3343" fillId="0" fontId="1" numFmtId="1000" quotePrefix="false">
      <alignment horizontal="center" vertical="top"/>
    </xf>
    <xf applyAlignment="true" applyBorder="true" applyFill="false" applyFont="false" applyNumberFormat="true" borderId="3344" fillId="0" fontId="1" numFmtId="1000" quotePrefix="false">
      <alignment horizontal="center" vertical="top"/>
    </xf>
    <xf applyAlignment="true" applyBorder="true" applyFill="false" applyFont="false" applyNumberFormat="true" borderId="3345" fillId="0" fontId="1" numFmtId="1000" quotePrefix="false">
      <alignment horizontal="center" vertical="top"/>
    </xf>
    <xf applyAlignment="true" applyBorder="true" applyFill="false" applyFont="false" applyNumberFormat="true" borderId="3346" fillId="0" fontId="1" numFmtId="1000" quotePrefix="false">
      <alignment horizontal="center" vertical="top"/>
    </xf>
    <xf applyAlignment="true" applyBorder="true" applyFill="false" applyFont="false" applyNumberFormat="true" borderId="3347" fillId="0" fontId="1" numFmtId="1000" quotePrefix="false">
      <alignment horizontal="center" vertical="top"/>
    </xf>
    <xf applyAlignment="true" applyBorder="true" applyFill="false" applyFont="false" applyNumberFormat="true" borderId="3348" fillId="0" fontId="1" numFmtId="1000" quotePrefix="false">
      <alignment horizontal="center" vertical="top"/>
    </xf>
    <xf applyAlignment="true" applyBorder="true" applyFill="false" applyFont="false" applyNumberFormat="true" borderId="3349" fillId="0" fontId="1" numFmtId="1000" quotePrefix="false">
      <alignment horizontal="center" vertical="top"/>
    </xf>
    <xf applyAlignment="true" applyBorder="true" applyFill="false" applyFont="false" applyNumberFormat="true" borderId="3350" fillId="0" fontId="1" numFmtId="1000" quotePrefix="false">
      <alignment horizontal="center" vertical="top"/>
    </xf>
    <xf applyAlignment="true" applyBorder="true" applyFill="false" applyFont="false" applyNumberFormat="true" borderId="3351" fillId="0" fontId="1" numFmtId="1000" quotePrefix="false">
      <alignment horizontal="center" vertical="top"/>
    </xf>
    <xf applyAlignment="true" applyBorder="true" applyFill="false" applyFont="false" applyNumberFormat="true" borderId="3352" fillId="0" fontId="1" numFmtId="1000" quotePrefix="false">
      <alignment horizontal="center" vertical="top"/>
    </xf>
    <xf applyAlignment="true" applyBorder="true" applyFill="false" applyFont="false" applyNumberFormat="true" borderId="3353" fillId="0" fontId="1" numFmtId="1000" quotePrefix="false">
      <alignment horizontal="center" vertical="top"/>
    </xf>
    <xf applyAlignment="true" applyBorder="true" applyFill="false" applyFont="false" applyNumberFormat="true" borderId="3354" fillId="0" fontId="1" numFmtId="1000" quotePrefix="false">
      <alignment horizontal="center" vertical="top"/>
    </xf>
    <xf applyAlignment="true" applyBorder="true" applyFill="false" applyFont="false" applyNumberFormat="true" borderId="3355" fillId="0" fontId="1" numFmtId="1000" quotePrefix="false">
      <alignment horizontal="center" vertical="top"/>
    </xf>
    <xf applyAlignment="true" applyBorder="true" applyFill="false" applyFont="false" applyNumberFormat="true" borderId="3356" fillId="0" fontId="1" numFmtId="1000" quotePrefix="false">
      <alignment horizontal="center" vertical="top"/>
    </xf>
    <xf applyAlignment="true" applyBorder="true" applyFill="false" applyFont="false" applyNumberFormat="true" borderId="3357" fillId="0" fontId="1" numFmtId="1000" quotePrefix="false">
      <alignment horizontal="center" vertical="top"/>
    </xf>
    <xf applyAlignment="true" applyBorder="true" applyFill="false" applyFont="false" applyNumberFormat="true" borderId="3358" fillId="0" fontId="1" numFmtId="1000" quotePrefix="false">
      <alignment horizontal="center" vertical="top"/>
    </xf>
    <xf applyAlignment="true" applyBorder="true" applyFill="false" applyFont="false" applyNumberFormat="true" borderId="3359" fillId="0" fontId="1" numFmtId="1000" quotePrefix="false">
      <alignment horizontal="center" vertical="top"/>
    </xf>
    <xf applyAlignment="true" applyBorder="true" applyFill="false" applyFont="false" applyNumberFormat="true" borderId="3360" fillId="0" fontId="1" numFmtId="1000" quotePrefix="false">
      <alignment horizontal="center" vertical="top"/>
    </xf>
    <xf applyAlignment="true" applyBorder="true" applyFill="false" applyFont="false" applyNumberFormat="true" borderId="3361" fillId="0" fontId="1" numFmtId="1000" quotePrefix="false">
      <alignment horizontal="center" vertical="top"/>
    </xf>
    <xf applyAlignment="true" applyBorder="true" applyFill="false" applyFont="false" applyNumberFormat="true" borderId="3362" fillId="0" fontId="1" numFmtId="1000" quotePrefix="false">
      <alignment horizontal="center" vertical="top"/>
    </xf>
    <xf applyAlignment="true" applyBorder="true" applyFill="false" applyFont="false" applyNumberFormat="true" borderId="3363" fillId="0" fontId="1" numFmtId="1000" quotePrefix="false">
      <alignment horizontal="center" vertical="top"/>
    </xf>
    <xf applyAlignment="true" applyBorder="true" applyFill="false" applyFont="false" applyNumberFormat="true" borderId="3364" fillId="0" fontId="1" numFmtId="1000" quotePrefix="false">
      <alignment horizontal="center" vertical="top"/>
    </xf>
    <xf applyAlignment="true" applyBorder="true" applyFill="false" applyFont="false" applyNumberFormat="true" borderId="3365" fillId="0" fontId="1" numFmtId="1000" quotePrefix="false">
      <alignment horizontal="center" vertical="top"/>
    </xf>
    <xf applyAlignment="true" applyBorder="true" applyFill="false" applyFont="false" applyNumberFormat="true" borderId="3366" fillId="0" fontId="1" numFmtId="1000" quotePrefix="false">
      <alignment horizontal="center" vertical="top"/>
    </xf>
    <xf applyAlignment="true" applyBorder="true" applyFill="false" applyFont="false" applyNumberFormat="true" borderId="3367" fillId="0" fontId="1" numFmtId="1000" quotePrefix="false">
      <alignment horizontal="center" vertical="top"/>
    </xf>
    <xf applyAlignment="true" applyBorder="true" applyFill="false" applyFont="false" applyNumberFormat="true" borderId="3368" fillId="0" fontId="1" numFmtId="1000" quotePrefix="false">
      <alignment horizontal="center" vertical="top"/>
    </xf>
    <xf applyAlignment="true" applyBorder="true" applyFill="false" applyFont="false" applyNumberFormat="true" borderId="3369" fillId="0" fontId="1" numFmtId="1000" quotePrefix="false">
      <alignment horizontal="center" vertical="top"/>
    </xf>
    <xf applyAlignment="true" applyBorder="true" applyFill="false" applyFont="false" applyNumberFormat="true" borderId="3370" fillId="0" fontId="1" numFmtId="1000" quotePrefix="false">
      <alignment horizontal="center" vertical="top"/>
    </xf>
    <xf applyAlignment="true" applyBorder="true" applyFill="false" applyFont="false" applyNumberFormat="true" borderId="3371" fillId="0" fontId="1" numFmtId="1000" quotePrefix="false">
      <alignment horizontal="center" vertical="top"/>
    </xf>
    <xf applyAlignment="true" applyBorder="true" applyFill="false" applyFont="false" applyNumberFormat="true" borderId="3372" fillId="0" fontId="1" numFmtId="1000" quotePrefix="false">
      <alignment horizontal="center" vertical="top"/>
    </xf>
    <xf applyAlignment="true" applyBorder="true" applyFill="false" applyFont="false" applyNumberFormat="true" borderId="3373" fillId="0" fontId="1" numFmtId="1000" quotePrefix="false">
      <alignment horizontal="center" vertical="top"/>
    </xf>
    <xf applyAlignment="true" applyBorder="true" applyFill="true" applyFont="false" applyNumberFormat="true" borderId="3374" fillId="3" fontId="1" numFmtId="1000" quotePrefix="false">
      <alignment horizontal="center" vertical="top" wrapText="true"/>
    </xf>
    <xf applyAlignment="true" applyBorder="true" applyFill="false" applyFont="false" applyNumberFormat="true" borderId="3375" fillId="0" fontId="1" numFmtId="1000" quotePrefix="false">
      <alignment horizontal="center" vertical="top"/>
    </xf>
    <xf applyAlignment="true" applyBorder="true" applyFill="false" applyFont="false" applyNumberFormat="true" borderId="3376" fillId="0" fontId="1" numFmtId="1000" quotePrefix="false">
      <alignment horizontal="center" vertical="top"/>
    </xf>
    <xf applyAlignment="true" applyBorder="true" applyFill="false" applyFont="false" applyNumberFormat="true" borderId="3377" fillId="0" fontId="1" numFmtId="1000" quotePrefix="false">
      <alignment horizontal="center" vertical="top"/>
    </xf>
    <xf applyAlignment="true" applyBorder="true" applyFill="false" applyFont="false" applyNumberFormat="true" borderId="3378" fillId="0" fontId="1" numFmtId="1000" quotePrefix="false">
      <alignment horizontal="center" vertical="top"/>
    </xf>
    <xf applyAlignment="true" applyBorder="true" applyFill="false" applyFont="false" applyNumberFormat="true" borderId="3379" fillId="0" fontId="1" numFmtId="1000" quotePrefix="false">
      <alignment horizontal="center" vertical="top"/>
    </xf>
    <xf applyAlignment="true" applyBorder="true" applyFill="false" applyFont="false" applyNumberFormat="true" borderId="3380" fillId="0" fontId="1" numFmtId="1000" quotePrefix="false">
      <alignment horizontal="center" vertical="top"/>
    </xf>
    <xf applyAlignment="true" applyBorder="true" applyFill="true" applyFont="false" applyNumberFormat="true" borderId="3381" fillId="3" fontId="1" numFmtId="1000" quotePrefix="false">
      <alignment horizontal="center" vertical="top" wrapText="true"/>
    </xf>
    <xf applyAlignment="true" applyBorder="true" applyFill="false" applyFont="false" applyNumberFormat="true" borderId="3382" fillId="0" fontId="1" numFmtId="1000" quotePrefix="false">
      <alignment horizontal="center" vertical="top"/>
    </xf>
    <xf applyAlignment="true" applyBorder="true" applyFill="false" applyFont="false" applyNumberFormat="true" borderId="3383" fillId="0" fontId="1" numFmtId="1000" quotePrefix="false">
      <alignment horizontal="center" vertical="top"/>
    </xf>
    <xf applyAlignment="true" applyBorder="true" applyFill="false" applyFont="false" applyNumberFormat="true" borderId="3384" fillId="0" fontId="1" numFmtId="1000" quotePrefix="false">
      <alignment horizontal="center" vertical="top"/>
    </xf>
    <xf applyAlignment="true" applyBorder="true" applyFill="false" applyFont="false" applyNumberFormat="true" borderId="3385" fillId="0" fontId="1" numFmtId="1000" quotePrefix="false">
      <alignment horizontal="center" vertical="top"/>
    </xf>
    <xf applyAlignment="true" applyBorder="true" applyFill="false" applyFont="false" applyNumberFormat="true" borderId="3386" fillId="0" fontId="1" numFmtId="1000" quotePrefix="false">
      <alignment horizontal="center" vertical="top"/>
    </xf>
    <xf applyAlignment="true" applyBorder="true" applyFill="false" applyFont="false" applyNumberFormat="true" borderId="3387" fillId="0" fontId="1" numFmtId="1000" quotePrefix="false">
      <alignment horizontal="center" vertical="top"/>
    </xf>
    <xf applyAlignment="true" applyBorder="true" applyFill="true" applyFont="false" applyNumberFormat="true" borderId="3388" fillId="3" fontId="1" numFmtId="1000" quotePrefix="false">
      <alignment horizontal="center" vertical="top" wrapText="true"/>
    </xf>
    <xf applyAlignment="true" applyBorder="true" applyFill="false" applyFont="false" applyNumberFormat="true" borderId="3389" fillId="0" fontId="1" numFmtId="1000" quotePrefix="false">
      <alignment horizontal="center" vertical="top"/>
    </xf>
    <xf applyAlignment="true" applyBorder="true" applyFill="false" applyFont="false" applyNumberFormat="true" borderId="3390" fillId="0" fontId="1" numFmtId="1000" quotePrefix="false">
      <alignment horizontal="center" vertical="top"/>
    </xf>
    <xf applyAlignment="true" applyBorder="true" applyFill="false" applyFont="false" applyNumberFormat="true" borderId="3391" fillId="0" fontId="1" numFmtId="1000" quotePrefix="false">
      <alignment horizontal="center" vertical="top"/>
    </xf>
    <xf applyAlignment="true" applyBorder="true" applyFill="false" applyFont="false" applyNumberFormat="true" borderId="3392" fillId="0" fontId="1" numFmtId="1000" quotePrefix="false">
      <alignment horizontal="center" vertical="top"/>
    </xf>
    <xf applyAlignment="true" applyBorder="true" applyFill="false" applyFont="false" applyNumberFormat="true" borderId="3393" fillId="0" fontId="1" numFmtId="1000" quotePrefix="false">
      <alignment horizontal="center" vertical="top"/>
    </xf>
    <xf applyAlignment="true" applyBorder="true" applyFill="false" applyFont="false" applyNumberFormat="true" borderId="3394" fillId="0" fontId="1" numFmtId="1000" quotePrefix="false">
      <alignment horizontal="center" vertical="top"/>
    </xf>
    <xf applyAlignment="true" applyBorder="true" applyFill="false" applyFont="false" applyNumberFormat="true" borderId="3395" fillId="0" fontId="1" numFmtId="1000" quotePrefix="false">
      <alignment horizontal="center" vertical="top"/>
    </xf>
    <xf applyAlignment="true" applyBorder="true" applyFill="false" applyFont="false" applyNumberFormat="true" borderId="3396" fillId="0" fontId="1" numFmtId="1000" quotePrefix="false">
      <alignment horizontal="center" vertical="top"/>
    </xf>
    <xf applyAlignment="true" applyBorder="true" applyFill="false" applyFont="false" applyNumberFormat="true" borderId="3397" fillId="0" fontId="1" numFmtId="1000" quotePrefix="false">
      <alignment horizontal="center" vertical="top"/>
    </xf>
    <xf applyAlignment="true" applyBorder="true" applyFill="false" applyFont="false" applyNumberFormat="true" borderId="3398" fillId="0" fontId="1" numFmtId="1000" quotePrefix="false">
      <alignment horizontal="center" vertical="top"/>
    </xf>
    <xf applyAlignment="true" applyBorder="true" applyFill="false" applyFont="false" applyNumberFormat="true" borderId="3399" fillId="0" fontId="1" numFmtId="1000" quotePrefix="false">
      <alignment horizontal="center" vertical="top"/>
    </xf>
    <xf applyAlignment="true" applyBorder="true" applyFill="false" applyFont="false" applyNumberFormat="true" borderId="3400" fillId="0" fontId="1" numFmtId="1000" quotePrefix="false">
      <alignment horizontal="center" vertical="top"/>
    </xf>
    <xf applyAlignment="true" applyBorder="true" applyFill="false" applyFont="false" applyNumberFormat="true" borderId="3401" fillId="0" fontId="1" numFmtId="1000" quotePrefix="false">
      <alignment horizontal="center" vertical="top"/>
    </xf>
    <xf applyAlignment="true" applyBorder="true" applyFill="false" applyFont="false" applyNumberFormat="true" borderId="3402" fillId="0" fontId="1" numFmtId="1000" quotePrefix="false">
      <alignment horizontal="center" vertical="top"/>
    </xf>
    <xf applyAlignment="true" applyBorder="true" applyFill="false" applyFont="false" applyNumberFormat="true" borderId="3403" fillId="0" fontId="1" numFmtId="1000" quotePrefix="false">
      <alignment horizontal="center" vertical="top"/>
    </xf>
    <xf applyAlignment="true" applyBorder="true" applyFill="false" applyFont="false" applyNumberFormat="true" borderId="3404" fillId="0" fontId="1" numFmtId="1000" quotePrefix="false">
      <alignment horizontal="center" vertical="top"/>
    </xf>
    <xf applyAlignment="true" applyBorder="true" applyFill="false" applyFont="false" applyNumberFormat="true" borderId="3405" fillId="0" fontId="1" numFmtId="1000" quotePrefix="false">
      <alignment horizontal="center" vertical="top"/>
    </xf>
    <xf applyAlignment="true" applyBorder="true" applyFill="false" applyFont="false" applyNumberFormat="true" borderId="3406" fillId="0" fontId="1" numFmtId="1000" quotePrefix="false">
      <alignment horizontal="center" vertical="top"/>
    </xf>
    <xf applyAlignment="true" applyBorder="true" applyFill="false" applyFont="false" applyNumberFormat="true" borderId="3407" fillId="0" fontId="1" numFmtId="1000" quotePrefix="false">
      <alignment horizontal="center" vertical="top"/>
    </xf>
    <xf applyAlignment="true" applyBorder="true" applyFill="false" applyFont="false" applyNumberFormat="true" borderId="3408" fillId="0" fontId="1" numFmtId="1000" quotePrefix="false">
      <alignment horizontal="center" vertical="top"/>
    </xf>
    <xf applyAlignment="true" applyBorder="true" applyFill="false" applyFont="false" applyNumberFormat="true" borderId="3409" fillId="0" fontId="1" numFmtId="1000" quotePrefix="false">
      <alignment horizontal="center" vertical="top"/>
    </xf>
    <xf applyAlignment="true" applyBorder="true" applyFill="false" applyFont="false" applyNumberFormat="true" borderId="3410" fillId="0" fontId="1" numFmtId="1000" quotePrefix="false">
      <alignment horizontal="center" vertical="top"/>
    </xf>
    <xf applyAlignment="true" applyBorder="true" applyFill="false" applyFont="false" applyNumberFormat="true" borderId="3411" fillId="0" fontId="1" numFmtId="1000" quotePrefix="false">
      <alignment horizontal="center" vertical="top"/>
    </xf>
    <xf applyAlignment="true" applyBorder="true" applyFill="false" applyFont="false" applyNumberFormat="true" borderId="3412" fillId="0" fontId="1" numFmtId="1000" quotePrefix="false">
      <alignment horizontal="center" vertical="top"/>
    </xf>
    <xf applyAlignment="true" applyBorder="true" applyFill="false" applyFont="false" applyNumberFormat="true" borderId="3413" fillId="0" fontId="1" numFmtId="1000" quotePrefix="false">
      <alignment horizontal="center" vertical="top"/>
    </xf>
    <xf applyAlignment="true" applyBorder="true" applyFill="false" applyFont="false" applyNumberFormat="true" borderId="3414" fillId="0" fontId="1" numFmtId="1000" quotePrefix="false">
      <alignment horizontal="center" vertical="top"/>
    </xf>
    <xf applyAlignment="true" applyBorder="true" applyFill="false" applyFont="false" applyNumberFormat="true" borderId="3415" fillId="0" fontId="1" numFmtId="1000" quotePrefix="false">
      <alignment horizontal="center" vertical="top"/>
    </xf>
    <xf applyAlignment="true" applyBorder="true" applyFill="false" applyFont="false" applyNumberFormat="true" borderId="3416" fillId="0" fontId="1" numFmtId="1000" quotePrefix="false">
      <alignment horizontal="center" vertical="top"/>
    </xf>
    <xf applyAlignment="true" applyBorder="true" applyFill="false" applyFont="false" applyNumberFormat="true" borderId="3417" fillId="0" fontId="1" numFmtId="1000" quotePrefix="false">
      <alignment horizontal="center" vertical="top"/>
    </xf>
    <xf applyAlignment="true" applyBorder="true" applyFill="false" applyFont="false" applyNumberFormat="true" borderId="3418" fillId="0" fontId="1" numFmtId="1000" quotePrefix="false">
      <alignment horizontal="center" vertical="top"/>
    </xf>
    <xf applyAlignment="true" applyBorder="true" applyFill="false" applyFont="true" applyNumberFormat="true" borderId="3419" fillId="0" fontId="2" numFmtId="1000" quotePrefix="false">
      <alignment horizontal="center" vertical="top"/>
    </xf>
    <xf applyAlignment="true" applyBorder="true" applyFill="false" applyFont="false" applyNumberFormat="true" borderId="3420" fillId="0" fontId="1" numFmtId="1000" quotePrefix="false">
      <alignment horizontal="left" vertical="top"/>
    </xf>
    <xf applyAlignment="true" applyBorder="true" applyFill="false" applyFont="false" applyNumberFormat="true" borderId="3421" fillId="0" fontId="1" numFmtId="1000" quotePrefix="false">
      <alignment horizontal="left" vertical="top"/>
    </xf>
    <xf applyAlignment="true" applyBorder="true" applyFill="false" applyFont="false" applyNumberFormat="true" borderId="3422" fillId="0" fontId="1" numFmtId="1000" quotePrefix="false">
      <alignment horizontal="left" vertical="top"/>
    </xf>
    <xf applyAlignment="true" applyBorder="true" applyFill="false" applyFont="false" applyNumberFormat="true" borderId="3423" fillId="0" fontId="1" numFmtId="1000" quotePrefix="false">
      <alignment horizontal="left" vertical="top"/>
    </xf>
    <xf applyAlignment="true" applyBorder="true" applyFill="false" applyFont="false" applyNumberFormat="true" borderId="3424" fillId="0" fontId="1" numFmtId="1000" quotePrefix="false">
      <alignment horizontal="left" vertical="top"/>
    </xf>
    <xf applyAlignment="true" applyBorder="true" applyFill="false" applyFont="false" applyNumberFormat="true" borderId="3425" fillId="0" fontId="1" numFmtId="1000" quotePrefix="false">
      <alignment horizontal="left" vertical="top"/>
    </xf>
    <xf applyAlignment="true" applyBorder="true" applyFill="false" applyFont="false" applyNumberFormat="true" borderId="3426" fillId="0" fontId="1" numFmtId="1000" quotePrefix="false">
      <alignment horizontal="left" vertical="top"/>
    </xf>
    <xf applyAlignment="true" applyBorder="true" applyFill="false" applyFont="false" applyNumberFormat="true" borderId="3427" fillId="0" fontId="1" numFmtId="1000" quotePrefix="false">
      <alignment horizontal="left" vertical="top"/>
    </xf>
    <xf applyAlignment="true" applyBorder="true" applyFill="false" applyFont="false" applyNumberFormat="true" borderId="3428" fillId="0" fontId="1" numFmtId="1000" quotePrefix="false">
      <alignment horizontal="left" vertical="top"/>
    </xf>
    <xf applyAlignment="true" applyBorder="true" applyFill="false" applyFont="false" applyNumberFormat="true" borderId="3429" fillId="0" fontId="1" numFmtId="1000" quotePrefix="false">
      <alignment horizontal="left" vertical="top"/>
    </xf>
    <xf applyAlignment="true" applyBorder="true" applyFill="false" applyFont="false" applyNumberFormat="true" borderId="3430" fillId="0" fontId="1" numFmtId="1000" quotePrefix="false">
      <alignment horizontal="left" vertical="top"/>
    </xf>
    <xf applyAlignment="true" applyBorder="true" applyFill="false" applyFont="false" applyNumberFormat="true" borderId="3431" fillId="0" fontId="1" numFmtId="1000" quotePrefix="false">
      <alignment horizontal="left" vertical="top"/>
    </xf>
    <xf applyAlignment="true" applyBorder="true" applyFill="false" applyFont="false" applyNumberFormat="true" borderId="3432" fillId="0" fontId="1" numFmtId="1000" quotePrefix="false">
      <alignment horizontal="left" vertical="top"/>
    </xf>
    <xf applyAlignment="true" applyBorder="true" applyFill="false" applyFont="false" applyNumberFormat="true" borderId="3433" fillId="0" fontId="1" numFmtId="1000" quotePrefix="false">
      <alignment horizontal="left" vertical="top"/>
    </xf>
    <xf applyAlignment="true" applyBorder="true" applyFill="false" applyFont="false" applyNumberFormat="true" borderId="3434" fillId="0" fontId="1" numFmtId="1000" quotePrefix="false">
      <alignment horizontal="left" vertical="top"/>
    </xf>
    <xf applyAlignment="true" applyBorder="true" applyFill="false" applyFont="false" applyNumberFormat="true" borderId="3435" fillId="0" fontId="1" numFmtId="1000" quotePrefix="false">
      <alignment horizontal="left" vertical="top"/>
    </xf>
    <xf applyAlignment="true" applyBorder="true" applyFill="false" applyFont="false" applyNumberFormat="true" borderId="3436" fillId="0" fontId="1" numFmtId="1000" quotePrefix="false">
      <alignment horizontal="left" vertical="top"/>
    </xf>
    <xf applyAlignment="true" applyBorder="true" applyFill="false" applyFont="false" applyNumberFormat="true" borderId="3437" fillId="0" fontId="1" numFmtId="1000" quotePrefix="false">
      <alignment horizontal="left" vertical="top"/>
    </xf>
    <xf applyAlignment="true" applyBorder="true" applyFill="false" applyFont="false" applyNumberFormat="true" borderId="3438" fillId="0" fontId="1" numFmtId="1000" quotePrefix="false">
      <alignment horizontal="left" vertical="top"/>
    </xf>
    <xf applyAlignment="true" applyBorder="true" applyFill="false" applyFont="true" applyNumberFormat="true" borderId="3439" fillId="0" fontId="2" numFmtId="1000" quotePrefix="false">
      <alignment horizontal="center"/>
    </xf>
    <xf applyAlignment="true" applyBorder="true" applyFill="false" applyFont="true" applyNumberFormat="true" borderId="3440" fillId="0" fontId="2" numFmtId="1000" quotePrefix="false">
      <alignment horizontal="center"/>
    </xf>
    <xf applyAlignment="true" applyBorder="true" applyFill="false" applyFont="true" applyNumberFormat="true" borderId="3441" fillId="0" fontId="2" numFmtId="1000" quotePrefix="false">
      <alignment horizontal="center"/>
    </xf>
    <xf applyAlignment="true" applyBorder="true" applyFill="false" applyFont="false" applyNumberFormat="true" borderId="3442" fillId="0" fontId="1" numFmtId="1000" quotePrefix="false">
      <alignment horizontal="center" vertical="top"/>
    </xf>
    <xf applyAlignment="true" applyBorder="true" applyFill="false" applyFont="false" applyNumberFormat="true" borderId="3443" fillId="0" fontId="1" numFmtId="1000" quotePrefix="false">
      <alignment horizontal="center" vertical="top"/>
    </xf>
    <xf applyAlignment="true" applyBorder="true" applyFill="false" applyFont="false" applyNumberFormat="true" borderId="3444" fillId="0" fontId="1" numFmtId="1000" quotePrefix="false">
      <alignment horizontal="center" vertical="top"/>
    </xf>
    <xf applyAlignment="true" applyBorder="true" applyFill="false" applyFont="false" applyNumberFormat="true" borderId="3445" fillId="0" fontId="1" numFmtId="1000" quotePrefix="false">
      <alignment horizontal="center" vertical="top"/>
    </xf>
    <xf applyAlignment="true" applyBorder="true" applyFill="false" applyFont="false" applyNumberFormat="true" borderId="3446" fillId="0" fontId="1" numFmtId="1000" quotePrefix="false">
      <alignment horizontal="center" vertical="top"/>
    </xf>
    <xf applyAlignment="true" applyBorder="true" applyFill="false" applyFont="false" applyNumberFormat="true" borderId="3447" fillId="0" fontId="1" numFmtId="1000" quotePrefix="false">
      <alignment horizontal="center" vertical="top"/>
    </xf>
    <xf applyAlignment="true" applyBorder="true" applyFill="false" applyFont="false" applyNumberFormat="true" borderId="3448" fillId="0" fontId="1" numFmtId="1000" quotePrefix="false">
      <alignment horizontal="center" vertical="top"/>
    </xf>
    <xf applyAlignment="true" applyBorder="true" applyFill="false" applyFont="false" applyNumberFormat="true" borderId="3449" fillId="0" fontId="1" numFmtId="1000" quotePrefix="false">
      <alignment horizontal="center" vertical="top"/>
    </xf>
    <xf applyAlignment="true" applyBorder="true" applyFill="false" applyFont="false" applyNumberFormat="true" borderId="3450" fillId="0" fontId="1" numFmtId="1000" quotePrefix="false">
      <alignment horizontal="center" vertical="top"/>
    </xf>
    <xf applyAlignment="true" applyBorder="true" applyFill="false" applyFont="false" applyNumberFormat="true" borderId="3451" fillId="0" fontId="1" numFmtId="1000" quotePrefix="false">
      <alignment horizontal="center" vertical="top"/>
    </xf>
    <xf applyAlignment="true" applyBorder="true" applyFill="false" applyFont="false" applyNumberFormat="true" borderId="3452" fillId="0" fontId="1" numFmtId="1000" quotePrefix="false">
      <alignment horizontal="center" vertical="top"/>
    </xf>
    <xf applyAlignment="true" applyBorder="true" applyFill="false" applyFont="false" applyNumberFormat="true" borderId="3453" fillId="0" fontId="1" numFmtId="1000" quotePrefix="false">
      <alignment horizontal="center" vertical="top"/>
    </xf>
    <xf applyAlignment="true" applyBorder="true" applyFill="false" applyFont="false" applyNumberFormat="true" borderId="3454" fillId="0" fontId="1" numFmtId="1000" quotePrefix="false">
      <alignment horizontal="center" vertical="top"/>
    </xf>
    <xf applyAlignment="true" applyBorder="true" applyFill="false" applyFont="false" applyNumberFormat="true" borderId="3455" fillId="0" fontId="1" numFmtId="1000" quotePrefix="false">
      <alignment horizontal="center" vertical="top"/>
    </xf>
    <xf applyAlignment="true" applyBorder="true" applyFill="false" applyFont="false" applyNumberFormat="true" borderId="3456" fillId="0" fontId="1" numFmtId="1000" quotePrefix="false">
      <alignment horizontal="center" vertical="top"/>
    </xf>
    <xf applyAlignment="true" applyBorder="true" applyFill="false" applyFont="false" applyNumberFormat="true" borderId="3457" fillId="0" fontId="1" numFmtId="1000" quotePrefix="false">
      <alignment horizontal="center" vertical="top"/>
    </xf>
    <xf applyAlignment="true" applyBorder="true" applyFill="false" applyFont="false" applyNumberFormat="true" borderId="3458" fillId="0" fontId="1" numFmtId="1000" quotePrefix="false">
      <alignment horizontal="center" vertical="top"/>
    </xf>
    <xf applyAlignment="true" applyBorder="true" applyFill="false" applyFont="false" applyNumberFormat="true" borderId="3459" fillId="0" fontId="1" numFmtId="1000" quotePrefix="false">
      <alignment horizontal="center" vertical="top"/>
    </xf>
    <xf applyAlignment="true" applyBorder="true" applyFill="false" applyFont="false" applyNumberFormat="true" borderId="3460" fillId="0" fontId="1" numFmtId="1000" quotePrefix="false">
      <alignment horizontal="center" vertical="top"/>
    </xf>
    <xf applyAlignment="true" applyBorder="true" applyFill="false" applyFont="false" applyNumberFormat="true" borderId="3461" fillId="0" fontId="1" numFmtId="1000" quotePrefix="false">
      <alignment horizontal="center" vertical="top"/>
    </xf>
    <xf applyAlignment="true" applyBorder="true" applyFill="false" applyFont="false" applyNumberFormat="true" borderId="3462" fillId="0" fontId="1" numFmtId="1000" quotePrefix="false">
      <alignment horizontal="center" vertical="top"/>
    </xf>
    <xf applyAlignment="true" applyBorder="true" applyFill="false" applyFont="false" applyNumberFormat="true" borderId="3463" fillId="0" fontId="1" numFmtId="1000" quotePrefix="false">
      <alignment horizontal="center" vertical="top"/>
    </xf>
    <xf applyAlignment="true" applyBorder="true" applyFill="false" applyFont="false" applyNumberFormat="true" borderId="3464" fillId="0" fontId="1" numFmtId="1000" quotePrefix="false">
      <alignment horizontal="center" vertical="top"/>
    </xf>
    <xf applyAlignment="true" applyBorder="true" applyFill="false" applyFont="false" applyNumberFormat="true" borderId="3465" fillId="0" fontId="1" numFmtId="1000" quotePrefix="false">
      <alignment horizontal="center" vertical="top"/>
    </xf>
    <xf applyAlignment="true" applyBorder="true" applyFill="false" applyFont="false" applyNumberFormat="true" borderId="3466" fillId="0" fontId="1" numFmtId="1000" quotePrefix="false">
      <alignment horizontal="center" vertical="top"/>
    </xf>
    <xf applyAlignment="true" applyBorder="true" applyFill="false" applyFont="false" applyNumberFormat="true" borderId="3467" fillId="0" fontId="1" numFmtId="1000" quotePrefix="false">
      <alignment horizontal="center" vertical="top"/>
    </xf>
    <xf applyAlignment="true" applyBorder="true" applyFill="false" applyFont="false" applyNumberFormat="true" borderId="3468" fillId="0" fontId="1" numFmtId="1000" quotePrefix="false">
      <alignment horizontal="center" vertical="top"/>
    </xf>
    <xf applyAlignment="true" applyBorder="true" applyFill="false" applyFont="false" applyNumberFormat="true" borderId="3469" fillId="0" fontId="1" numFmtId="1000" quotePrefix="false">
      <alignment horizontal="center" vertical="top"/>
    </xf>
    <xf applyAlignment="true" applyBorder="true" applyFill="false" applyFont="false" applyNumberFormat="true" borderId="3470" fillId="0" fontId="1" numFmtId="1000" quotePrefix="false">
      <alignment horizontal="center" vertical="top"/>
    </xf>
    <xf applyAlignment="true" applyBorder="true" applyFill="false" applyFont="false" applyNumberFormat="true" borderId="3471" fillId="0" fontId="1" numFmtId="1000" quotePrefix="false">
      <alignment horizontal="center" vertical="top"/>
    </xf>
    <xf applyAlignment="true" applyBorder="true" applyFill="false" applyFont="false" applyNumberFormat="true" borderId="3472" fillId="0" fontId="1" numFmtId="1000" quotePrefix="false">
      <alignment horizontal="center" vertical="top"/>
    </xf>
    <xf applyAlignment="true" applyBorder="true" applyFill="false" applyFont="false" applyNumberFormat="true" borderId="3473" fillId="0" fontId="1" numFmtId="1000" quotePrefix="false">
      <alignment horizontal="center" vertical="top"/>
    </xf>
    <xf applyAlignment="true" applyBorder="true" applyFill="false" applyFont="false" applyNumberFormat="true" borderId="3474" fillId="0" fontId="1" numFmtId="1000" quotePrefix="false">
      <alignment horizontal="center" vertical="top"/>
    </xf>
    <xf applyAlignment="true" applyBorder="true" applyFill="false" applyFont="false" applyNumberFormat="true" borderId="3475" fillId="0" fontId="1" numFmtId="1000" quotePrefix="false">
      <alignment horizontal="center" vertical="top"/>
    </xf>
    <xf applyAlignment="true" applyBorder="true" applyFill="false" applyFont="false" applyNumberFormat="true" borderId="3476" fillId="0" fontId="1" numFmtId="1000" quotePrefix="false">
      <alignment horizontal="center" vertical="top"/>
    </xf>
    <xf applyAlignment="true" applyBorder="true" applyFill="true" applyFont="false" applyNumberFormat="true" borderId="3477" fillId="4" fontId="1" numFmtId="1000" quotePrefix="false">
      <alignment horizontal="center" vertical="top" wrapText="true"/>
    </xf>
    <xf applyAlignment="true" applyBorder="true" applyFill="false" applyFont="false" applyNumberFormat="true" borderId="3478" fillId="0" fontId="1" numFmtId="1000" quotePrefix="false">
      <alignment horizontal="center" vertical="top"/>
    </xf>
    <xf applyAlignment="true" applyBorder="true" applyFill="false" applyFont="false" applyNumberFormat="true" borderId="3479" fillId="0" fontId="1" numFmtId="1000" quotePrefix="false">
      <alignment horizontal="center" vertical="top"/>
    </xf>
    <xf applyAlignment="true" applyBorder="true" applyFill="false" applyFont="false" applyNumberFormat="true" borderId="3480" fillId="0" fontId="1" numFmtId="1000" quotePrefix="false">
      <alignment horizontal="center" vertical="top"/>
    </xf>
    <xf applyAlignment="true" applyBorder="true" applyFill="false" applyFont="false" applyNumberFormat="true" borderId="3481" fillId="0" fontId="1" numFmtId="1000" quotePrefix="false">
      <alignment horizontal="center" vertical="top"/>
    </xf>
    <xf applyAlignment="true" applyBorder="true" applyFill="false" applyFont="false" applyNumberFormat="true" borderId="3482" fillId="0" fontId="1" numFmtId="1000" quotePrefix="false">
      <alignment horizontal="center" vertical="top"/>
    </xf>
    <xf applyAlignment="true" applyBorder="true" applyFill="false" applyFont="false" applyNumberFormat="true" borderId="3483" fillId="0" fontId="1" numFmtId="1000" quotePrefix="false">
      <alignment horizontal="center" vertical="top"/>
    </xf>
    <xf applyAlignment="true" applyBorder="true" applyFill="true" applyFont="false" applyNumberFormat="true" borderId="3484" fillId="4" fontId="1" numFmtId="1000" quotePrefix="false">
      <alignment horizontal="center" vertical="top" wrapText="true"/>
    </xf>
    <xf applyAlignment="true" applyBorder="true" applyFill="false" applyFont="false" applyNumberFormat="true" borderId="3485" fillId="0" fontId="1" numFmtId="1000" quotePrefix="false">
      <alignment horizontal="center" vertical="top"/>
    </xf>
    <xf applyAlignment="true" applyBorder="true" applyFill="false" applyFont="false" applyNumberFormat="true" borderId="3486" fillId="0" fontId="1" numFmtId="1000" quotePrefix="false">
      <alignment horizontal="center" vertical="top"/>
    </xf>
    <xf applyAlignment="true" applyBorder="true" applyFill="false" applyFont="false" applyNumberFormat="true" borderId="3487" fillId="0" fontId="1" numFmtId="1000" quotePrefix="false">
      <alignment horizontal="center" vertical="top"/>
    </xf>
    <xf applyAlignment="true" applyBorder="true" applyFill="false" applyFont="false" applyNumberFormat="true" borderId="3488" fillId="0" fontId="1" numFmtId="1000" quotePrefix="false">
      <alignment horizontal="center" vertical="top"/>
    </xf>
    <xf applyAlignment="true" applyBorder="true" applyFill="false" applyFont="false" applyNumberFormat="true" borderId="3489" fillId="0" fontId="1" numFmtId="1000" quotePrefix="false">
      <alignment horizontal="center" vertical="top"/>
    </xf>
    <xf applyAlignment="true" applyBorder="true" applyFill="false" applyFont="false" applyNumberFormat="true" borderId="3490" fillId="0" fontId="1" numFmtId="1000" quotePrefix="false">
      <alignment horizontal="center" vertical="top"/>
    </xf>
    <xf applyAlignment="true" applyBorder="true" applyFill="false" applyFont="false" applyNumberFormat="true" borderId="3491" fillId="0" fontId="1" numFmtId="1000" quotePrefix="false">
      <alignment horizontal="center" vertical="top"/>
    </xf>
    <xf applyAlignment="true" applyBorder="true" applyFill="false" applyFont="false" applyNumberFormat="true" borderId="3492" fillId="0" fontId="1" numFmtId="1000" quotePrefix="false">
      <alignment horizontal="center" vertical="top"/>
    </xf>
    <xf applyAlignment="true" applyBorder="true" applyFill="false" applyFont="false" applyNumberFormat="true" borderId="3493" fillId="0" fontId="1" numFmtId="1000" quotePrefix="false">
      <alignment horizontal="center" vertical="top"/>
    </xf>
    <xf applyAlignment="true" applyBorder="true" applyFill="false" applyFont="false" applyNumberFormat="true" borderId="3494" fillId="0" fontId="1" numFmtId="1000" quotePrefix="false">
      <alignment horizontal="center" vertical="top"/>
    </xf>
    <xf applyAlignment="true" applyBorder="true" applyFill="false" applyFont="false" applyNumberFormat="true" borderId="3495" fillId="0" fontId="1" numFmtId="1000" quotePrefix="false">
      <alignment horizontal="center" vertical="top"/>
    </xf>
    <xf applyAlignment="true" applyBorder="true" applyFill="false" applyFont="false" applyNumberFormat="true" borderId="3496" fillId="0" fontId="1" numFmtId="1000" quotePrefix="false">
      <alignment horizontal="center" vertical="top"/>
    </xf>
    <xf applyAlignment="true" applyBorder="true" applyFill="false" applyFont="false" applyNumberFormat="true" borderId="3497" fillId="0" fontId="1" numFmtId="1000" quotePrefix="false">
      <alignment horizontal="center" vertical="top"/>
    </xf>
    <xf applyAlignment="true" applyBorder="true" applyFill="false" applyFont="false" applyNumberFormat="true" borderId="3498" fillId="0" fontId="1" numFmtId="1000" quotePrefix="false">
      <alignment horizontal="center" vertical="top"/>
    </xf>
    <xf applyAlignment="true" applyBorder="true" applyFill="false" applyFont="false" applyNumberFormat="true" borderId="3499" fillId="0" fontId="1" numFmtId="1000" quotePrefix="false">
      <alignment horizontal="center" vertical="top"/>
    </xf>
    <xf applyAlignment="true" applyBorder="true" applyFill="false" applyFont="false" applyNumberFormat="true" borderId="3500" fillId="0" fontId="1" numFmtId="1000" quotePrefix="false">
      <alignment horizontal="center" vertical="top"/>
    </xf>
    <xf applyAlignment="true" applyBorder="true" applyFill="false" applyFont="false" applyNumberFormat="true" borderId="3501" fillId="0" fontId="1" numFmtId="1000" quotePrefix="false">
      <alignment horizontal="center" vertical="top"/>
    </xf>
    <xf applyAlignment="true" applyBorder="true" applyFill="false" applyFont="false" applyNumberFormat="true" borderId="3502" fillId="0" fontId="1" numFmtId="1000" quotePrefix="false">
      <alignment horizontal="center" vertical="top"/>
    </xf>
    <xf applyAlignment="true" applyBorder="true" applyFill="false" applyFont="false" applyNumberFormat="true" borderId="3503" fillId="0" fontId="1" numFmtId="1000" quotePrefix="false">
      <alignment horizontal="center" vertical="top"/>
    </xf>
    <xf applyAlignment="true" applyBorder="true" applyFill="false" applyFont="false" applyNumberFormat="true" borderId="3504" fillId="0" fontId="1" numFmtId="1000" quotePrefix="false">
      <alignment horizontal="center" vertical="top"/>
    </xf>
    <xf applyAlignment="true" applyBorder="true" applyFill="false" applyFont="false" applyNumberFormat="true" borderId="3505" fillId="0" fontId="1" numFmtId="1000" quotePrefix="false">
      <alignment horizontal="center" vertical="top"/>
    </xf>
    <xf applyAlignment="true" applyBorder="true" applyFill="false" applyFont="false" applyNumberFormat="true" borderId="3506" fillId="0" fontId="1" numFmtId="1000" quotePrefix="false">
      <alignment horizontal="center" vertical="top"/>
    </xf>
    <xf applyAlignment="true" applyBorder="true" applyFill="false" applyFont="false" applyNumberFormat="true" borderId="3507" fillId="0" fontId="1" numFmtId="1000" quotePrefix="false">
      <alignment horizontal="center" vertical="top"/>
    </xf>
    <xf applyAlignment="true" applyBorder="true" applyFill="false" applyFont="false" applyNumberFormat="true" borderId="3508" fillId="0" fontId="1" numFmtId="1000" quotePrefix="false">
      <alignment horizontal="center" vertical="top"/>
    </xf>
    <xf applyAlignment="true" applyBorder="true" applyFill="false" applyFont="false" applyNumberFormat="true" borderId="3509" fillId="0" fontId="1" numFmtId="1000" quotePrefix="false">
      <alignment horizontal="center" vertical="top"/>
    </xf>
    <xf applyAlignment="true" applyBorder="true" applyFill="false" applyFont="false" applyNumberFormat="true" borderId="3510" fillId="0" fontId="1" numFmtId="1000" quotePrefix="false">
      <alignment horizontal="center" vertical="top"/>
    </xf>
    <xf applyAlignment="true" applyBorder="true" applyFill="false" applyFont="false" applyNumberFormat="true" borderId="3511" fillId="0" fontId="1" numFmtId="1000" quotePrefix="false">
      <alignment horizontal="center" vertical="top"/>
    </xf>
    <xf applyAlignment="true" applyBorder="true" applyFill="false" applyFont="false" applyNumberFormat="true" borderId="3512" fillId="0" fontId="1" numFmtId="1000" quotePrefix="false">
      <alignment horizontal="center" vertical="top"/>
    </xf>
    <xf applyAlignment="true" applyBorder="true" applyFill="false" applyFont="false" applyNumberFormat="true" borderId="3513" fillId="0" fontId="1" numFmtId="1000" quotePrefix="false">
      <alignment horizontal="center" vertical="top"/>
    </xf>
    <xf applyAlignment="true" applyBorder="true" applyFill="false" applyFont="false" applyNumberFormat="true" borderId="3514" fillId="0" fontId="1" numFmtId="1000" quotePrefix="false">
      <alignment horizontal="center" vertical="top"/>
    </xf>
    <xf applyAlignment="true" applyBorder="true" applyFill="false" applyFont="false" applyNumberFormat="true" borderId="3515" fillId="0" fontId="1" numFmtId="1000" quotePrefix="false">
      <alignment horizontal="center" vertical="top"/>
    </xf>
    <xf applyAlignment="true" applyBorder="true" applyFill="false" applyFont="false" applyNumberFormat="true" borderId="3516" fillId="0" fontId="1" numFmtId="1000" quotePrefix="false">
      <alignment horizontal="center" vertical="top"/>
    </xf>
    <xf applyAlignment="true" applyBorder="true" applyFill="false" applyFont="false" applyNumberFormat="true" borderId="3517" fillId="0" fontId="1" numFmtId="1000" quotePrefix="false">
      <alignment horizontal="center" vertical="top"/>
    </xf>
    <xf applyAlignment="true" applyBorder="true" applyFill="false" applyFont="false" applyNumberFormat="true" borderId="3518" fillId="0" fontId="1" numFmtId="1000" quotePrefix="false">
      <alignment horizontal="center" vertical="top"/>
    </xf>
    <xf applyAlignment="true" applyBorder="true" applyFill="false" applyFont="true" applyNumberFormat="true" borderId="3519" fillId="0" fontId="2" numFmtId="1000" quotePrefix="false">
      <alignment horizontal="center" vertical="top"/>
    </xf>
    <xf applyAlignment="true" applyBorder="true" applyFill="false" applyFont="false" applyNumberFormat="true" borderId="3520" fillId="0" fontId="1" numFmtId="1000" quotePrefix="false">
      <alignment horizontal="left" vertical="top"/>
    </xf>
    <xf applyAlignment="true" applyBorder="true" applyFill="false" applyFont="false" applyNumberFormat="true" borderId="3521" fillId="0" fontId="1" numFmtId="1000" quotePrefix="false">
      <alignment horizontal="left" vertical="top"/>
    </xf>
    <xf applyAlignment="true" applyBorder="true" applyFill="false" applyFont="false" applyNumberFormat="true" borderId="3522" fillId="0" fontId="1" numFmtId="1000" quotePrefix="false">
      <alignment horizontal="left" vertical="top"/>
    </xf>
    <xf applyAlignment="true" applyBorder="true" applyFill="false" applyFont="false" applyNumberFormat="true" borderId="3523" fillId="0" fontId="1" numFmtId="1000" quotePrefix="false">
      <alignment horizontal="left" vertical="top"/>
    </xf>
    <xf applyAlignment="true" applyBorder="true" applyFill="false" applyFont="false" applyNumberFormat="true" borderId="3524" fillId="0" fontId="1" numFmtId="1000" quotePrefix="false">
      <alignment horizontal="left" vertical="top"/>
    </xf>
    <xf applyAlignment="true" applyBorder="true" applyFill="false" applyFont="false" applyNumberFormat="true" borderId="3525" fillId="0" fontId="1" numFmtId="1000" quotePrefix="false">
      <alignment horizontal="left" vertical="top"/>
    </xf>
    <xf applyAlignment="true" applyBorder="true" applyFill="false" applyFont="false" applyNumberFormat="true" borderId="3526" fillId="0" fontId="1" numFmtId="1000" quotePrefix="false">
      <alignment horizontal="left" vertical="top"/>
    </xf>
    <xf applyAlignment="true" applyBorder="true" applyFill="false" applyFont="false" applyNumberFormat="true" borderId="3527" fillId="0" fontId="1" numFmtId="1000" quotePrefix="false">
      <alignment horizontal="left" vertical="top"/>
    </xf>
    <xf applyAlignment="true" applyBorder="true" applyFill="false" applyFont="false" applyNumberFormat="true" borderId="3528" fillId="0" fontId="1" numFmtId="1000" quotePrefix="false">
      <alignment horizontal="left" vertical="top"/>
    </xf>
    <xf applyAlignment="true" applyBorder="true" applyFill="false" applyFont="false" applyNumberFormat="true" borderId="3529" fillId="0" fontId="1" numFmtId="1000" quotePrefix="false">
      <alignment horizontal="left" vertical="top"/>
    </xf>
    <xf applyAlignment="true" applyBorder="true" applyFill="false" applyFont="false" applyNumberFormat="true" borderId="3530" fillId="0" fontId="1" numFmtId="1000" quotePrefix="false">
      <alignment horizontal="left" vertical="top"/>
    </xf>
    <xf applyAlignment="true" applyBorder="true" applyFill="false" applyFont="false" applyNumberFormat="true" borderId="3531" fillId="0" fontId="1" numFmtId="1000" quotePrefix="false">
      <alignment horizontal="left" vertical="top"/>
    </xf>
    <xf applyAlignment="true" applyBorder="true" applyFill="false" applyFont="false" applyNumberFormat="true" borderId="3532" fillId="0" fontId="1" numFmtId="1000" quotePrefix="false">
      <alignment horizontal="left" vertical="top"/>
    </xf>
    <xf applyAlignment="true" applyBorder="true" applyFill="false" applyFont="false" applyNumberFormat="true" borderId="3533" fillId="0" fontId="1" numFmtId="1000" quotePrefix="false">
      <alignment horizontal="left" vertical="top"/>
    </xf>
    <xf applyAlignment="true" applyBorder="true" applyFill="false" applyFont="false" applyNumberFormat="true" borderId="3534" fillId="0" fontId="1" numFmtId="1000" quotePrefix="false">
      <alignment horizontal="left" vertical="top"/>
    </xf>
    <xf applyAlignment="true" applyBorder="true" applyFill="false" applyFont="false" applyNumberFormat="true" borderId="3535" fillId="0" fontId="1" numFmtId="1000" quotePrefix="false">
      <alignment horizontal="left" vertical="top"/>
    </xf>
    <xf applyAlignment="true" applyBorder="true" applyFill="false" applyFont="false" applyNumberFormat="true" borderId="3536" fillId="0" fontId="1" numFmtId="1000" quotePrefix="false">
      <alignment horizontal="left" vertical="top"/>
    </xf>
    <xf applyAlignment="true" applyBorder="true" applyFill="false" applyFont="false" applyNumberFormat="true" borderId="3537" fillId="0" fontId="1" numFmtId="1000" quotePrefix="false">
      <alignment horizontal="left" vertical="top"/>
    </xf>
    <xf applyAlignment="true" applyBorder="true" applyFill="false" applyFont="false" applyNumberFormat="true" borderId="3538" fillId="0" fontId="1" numFmtId="1000" quotePrefix="false">
      <alignment horizontal="left" vertical="top"/>
    </xf>
    <xf applyAlignment="true" applyBorder="true" applyFill="false" applyFont="true" applyNumberFormat="true" borderId="3539" fillId="0" fontId="2" numFmtId="1000" quotePrefix="false">
      <alignment horizontal="center"/>
    </xf>
    <xf applyAlignment="true" applyBorder="true" applyFill="false" applyFont="true" applyNumberFormat="true" borderId="3540" fillId="0" fontId="2" numFmtId="1000" quotePrefix="false">
      <alignment horizontal="center"/>
    </xf>
    <xf applyAlignment="true" applyBorder="true" applyFill="false" applyFont="true" applyNumberFormat="true" borderId="3541" fillId="0" fontId="2" numFmtId="1000" quotePrefix="false">
      <alignment horizontal="center"/>
    </xf>
    <xf applyAlignment="true" applyBorder="true" applyFill="false" applyFont="false" applyNumberFormat="true" borderId="3542" fillId="0" fontId="1" numFmtId="1000" quotePrefix="false">
      <alignment horizontal="center" vertical="top"/>
    </xf>
    <xf applyAlignment="true" applyBorder="true" applyFill="false" applyFont="false" applyNumberFormat="true" borderId="3543" fillId="0" fontId="1" numFmtId="1000" quotePrefix="false">
      <alignment horizontal="center" vertical="top"/>
    </xf>
    <xf applyAlignment="true" applyBorder="true" applyFill="false" applyFont="false" applyNumberFormat="true" borderId="3544" fillId="0" fontId="1" numFmtId="1000" quotePrefix="false">
      <alignment horizontal="center" vertical="top"/>
    </xf>
    <xf applyAlignment="true" applyBorder="true" applyFill="false" applyFont="false" applyNumberFormat="true" borderId="3545" fillId="0" fontId="1" numFmtId="1000" quotePrefix="false">
      <alignment horizontal="center" vertical="top"/>
    </xf>
    <xf applyAlignment="true" applyBorder="true" applyFill="false" applyFont="false" applyNumberFormat="true" borderId="3546" fillId="0" fontId="1" numFmtId="1000" quotePrefix="false">
      <alignment horizontal="center" vertical="top"/>
    </xf>
    <xf applyAlignment="true" applyBorder="true" applyFill="false" applyFont="false" applyNumberFormat="true" borderId="3547" fillId="0" fontId="1" numFmtId="1000" quotePrefix="false">
      <alignment horizontal="center" vertical="top"/>
    </xf>
    <xf applyAlignment="true" applyBorder="true" applyFill="false" applyFont="false" applyNumberFormat="true" borderId="3548" fillId="0" fontId="1" numFmtId="1000" quotePrefix="false">
      <alignment horizontal="center" vertical="top"/>
    </xf>
    <xf applyAlignment="true" applyBorder="true" applyFill="false" applyFont="false" applyNumberFormat="true" borderId="3549" fillId="0" fontId="1" numFmtId="1000" quotePrefix="false">
      <alignment horizontal="center" vertical="top"/>
    </xf>
    <xf applyAlignment="true" applyBorder="true" applyFill="false" applyFont="false" applyNumberFormat="true" borderId="3550" fillId="0" fontId="1" numFmtId="1000" quotePrefix="false">
      <alignment horizontal="center" vertical="top"/>
    </xf>
    <xf applyAlignment="true" applyBorder="true" applyFill="false" applyFont="false" applyNumberFormat="true" borderId="3551" fillId="0" fontId="1" numFmtId="1000" quotePrefix="false">
      <alignment horizontal="center" vertical="top"/>
    </xf>
    <xf applyAlignment="true" applyBorder="true" applyFill="false" applyFont="false" applyNumberFormat="true" borderId="3552" fillId="0" fontId="1" numFmtId="1000" quotePrefix="false">
      <alignment horizontal="center" vertical="top"/>
    </xf>
    <xf applyAlignment="true" applyBorder="true" applyFill="false" applyFont="false" applyNumberFormat="true" borderId="3553" fillId="0" fontId="1" numFmtId="1000" quotePrefix="false">
      <alignment horizontal="center" vertical="top"/>
    </xf>
    <xf applyAlignment="true" applyBorder="true" applyFill="false" applyFont="false" applyNumberFormat="true" borderId="3554" fillId="0" fontId="1" numFmtId="1000" quotePrefix="false">
      <alignment horizontal="center" vertical="top"/>
    </xf>
    <xf applyAlignment="true" applyBorder="true" applyFill="false" applyFont="false" applyNumberFormat="true" borderId="3555" fillId="0" fontId="1" numFmtId="1000" quotePrefix="false">
      <alignment horizontal="center" vertical="top"/>
    </xf>
    <xf applyAlignment="true" applyBorder="true" applyFill="false" applyFont="false" applyNumberFormat="true" borderId="3556" fillId="0" fontId="1" numFmtId="1000" quotePrefix="false">
      <alignment horizontal="center" vertical="top"/>
    </xf>
    <xf applyAlignment="true" applyBorder="true" applyFill="false" applyFont="false" applyNumberFormat="true" borderId="3557" fillId="0" fontId="1" numFmtId="1000" quotePrefix="false">
      <alignment horizontal="center" vertical="top"/>
    </xf>
    <xf applyAlignment="true" applyBorder="true" applyFill="false" applyFont="false" applyNumberFormat="true" borderId="3558" fillId="0" fontId="1" numFmtId="1000" quotePrefix="false">
      <alignment horizontal="center" vertical="top"/>
    </xf>
    <xf applyAlignment="true" applyBorder="true" applyFill="false" applyFont="false" applyNumberFormat="true" borderId="3559" fillId="0" fontId="1" numFmtId="1000" quotePrefix="false">
      <alignment horizontal="center" vertical="top"/>
    </xf>
    <xf applyAlignment="true" applyBorder="true" applyFill="false" applyFont="false" applyNumberFormat="true" borderId="3560" fillId="0" fontId="1" numFmtId="1000" quotePrefix="false">
      <alignment horizontal="center" vertical="top"/>
    </xf>
    <xf applyAlignment="true" applyBorder="true" applyFill="true" applyFont="false" applyNumberFormat="true" borderId="3561" fillId="3" fontId="1" numFmtId="1000" quotePrefix="false">
      <alignment horizontal="center" vertical="top" wrapText="true"/>
    </xf>
    <xf applyAlignment="true" applyBorder="true" applyFill="false" applyFont="false" applyNumberFormat="true" borderId="3562" fillId="0" fontId="1" numFmtId="1000" quotePrefix="false">
      <alignment horizontal="center" vertical="top"/>
    </xf>
    <xf applyAlignment="true" applyBorder="true" applyFill="false" applyFont="false" applyNumberFormat="true" borderId="3563" fillId="0" fontId="1" numFmtId="1000" quotePrefix="false">
      <alignment horizontal="center" vertical="top"/>
    </xf>
    <xf applyAlignment="true" applyBorder="true" applyFill="true" applyFont="false" applyNumberFormat="true" borderId="3564" fillId="3" fontId="1" numFmtId="1000" quotePrefix="false">
      <alignment horizontal="center" vertical="top" wrapText="true"/>
    </xf>
    <xf applyAlignment="true" applyBorder="true" applyFill="false" applyFont="false" applyNumberFormat="true" borderId="3565" fillId="0" fontId="1" numFmtId="1000" quotePrefix="false">
      <alignment horizontal="center" vertical="top"/>
    </xf>
    <xf applyAlignment="true" applyBorder="true" applyFill="false" applyFont="false" applyNumberFormat="true" borderId="3566" fillId="0" fontId="1" numFmtId="1000" quotePrefix="false">
      <alignment horizontal="center" vertical="top"/>
    </xf>
    <xf applyAlignment="true" applyBorder="true" applyFill="true" applyFont="false" applyNumberFormat="true" borderId="3567" fillId="3" fontId="1" numFmtId="1000" quotePrefix="false">
      <alignment horizontal="center" vertical="top" wrapText="true"/>
    </xf>
    <xf applyAlignment="true" applyBorder="true" applyFill="true" applyFont="false" applyNumberFormat="true" borderId="3568" fillId="3" fontId="1" numFmtId="1000" quotePrefix="false">
      <alignment horizontal="center" vertical="top" wrapText="true"/>
    </xf>
    <xf applyAlignment="true" applyBorder="true" applyFill="false" applyFont="false" applyNumberFormat="true" borderId="3569" fillId="0" fontId="1" numFmtId="1000" quotePrefix="false">
      <alignment horizontal="center" vertical="top"/>
    </xf>
    <xf applyAlignment="true" applyBorder="true" applyFill="false" applyFont="false" applyNumberFormat="true" borderId="3570" fillId="0" fontId="1" numFmtId="1000" quotePrefix="false">
      <alignment horizontal="center" vertical="top"/>
    </xf>
    <xf applyAlignment="true" applyBorder="true" applyFill="false" applyFont="false" applyNumberFormat="true" borderId="3571" fillId="0" fontId="1" numFmtId="1000" quotePrefix="false">
      <alignment horizontal="center" vertical="top"/>
    </xf>
    <xf applyAlignment="true" applyBorder="true" applyFill="false" applyFont="false" applyNumberFormat="true" borderId="3572" fillId="0" fontId="1" numFmtId="1000" quotePrefix="false">
      <alignment horizontal="center" vertical="top"/>
    </xf>
    <xf applyAlignment="true" applyBorder="true" applyFill="false" applyFont="false" applyNumberFormat="true" borderId="3573" fillId="0" fontId="1" numFmtId="1000" quotePrefix="false">
      <alignment horizontal="center" vertical="top"/>
    </xf>
    <xf applyAlignment="true" applyBorder="true" applyFill="false" applyFont="false" applyNumberFormat="true" borderId="3574" fillId="0" fontId="1" numFmtId="1000" quotePrefix="false">
      <alignment horizontal="center" vertical="top"/>
    </xf>
    <xf applyAlignment="true" applyBorder="true" applyFill="false" applyFont="false" applyNumberFormat="true" borderId="3575" fillId="0" fontId="1" numFmtId="1000" quotePrefix="false">
      <alignment horizontal="center" vertical="top"/>
    </xf>
    <xf applyAlignment="true" applyBorder="true" applyFill="false" applyFont="false" applyNumberFormat="true" borderId="3576" fillId="0" fontId="1" numFmtId="1000" quotePrefix="false">
      <alignment horizontal="center" vertical="top"/>
    </xf>
    <xf applyAlignment="true" applyBorder="true" applyFill="true" applyFont="false" applyNumberFormat="true" borderId="3577" fillId="3" fontId="1" numFmtId="1000" quotePrefix="false">
      <alignment horizontal="center" vertical="top" wrapText="true"/>
    </xf>
    <xf applyAlignment="true" applyBorder="true" applyFill="false" applyFont="false" applyNumberFormat="true" borderId="3578" fillId="0" fontId="1" numFmtId="1000" quotePrefix="false">
      <alignment horizontal="center" vertical="top"/>
    </xf>
    <xf applyAlignment="true" applyBorder="true" applyFill="false" applyFont="false" applyNumberFormat="true" borderId="3579" fillId="0" fontId="1" numFmtId="1000" quotePrefix="false">
      <alignment horizontal="center" vertical="top"/>
    </xf>
    <xf applyAlignment="true" applyBorder="true" applyFill="false" applyFont="true" applyNumberFormat="true" borderId="3580" fillId="0" fontId="2" numFmtId="1000" quotePrefix="false">
      <alignment horizontal="center" vertical="top"/>
    </xf>
    <xf applyAlignment="true" applyBorder="true" applyFill="false" applyFont="false" applyNumberFormat="true" borderId="3581" fillId="0" fontId="1" numFmtId="1000" quotePrefix="false">
      <alignment horizontal="left" vertical="top"/>
    </xf>
    <xf applyAlignment="true" applyBorder="true" applyFill="false" applyFont="false" applyNumberFormat="true" borderId="3582" fillId="0" fontId="1" numFmtId="1000" quotePrefix="false">
      <alignment horizontal="left" vertical="top"/>
    </xf>
    <xf applyAlignment="true" applyBorder="true" applyFill="false" applyFont="false" applyNumberFormat="true" borderId="3583" fillId="0" fontId="1" numFmtId="1000" quotePrefix="false">
      <alignment horizontal="left" vertical="top"/>
    </xf>
    <xf applyAlignment="true" applyBorder="true" applyFill="false" applyFont="false" applyNumberFormat="true" borderId="3584" fillId="0" fontId="1" numFmtId="1000" quotePrefix="false">
      <alignment horizontal="left" vertical="top"/>
    </xf>
    <xf applyAlignment="true" applyBorder="true" applyFill="false" applyFont="false" applyNumberFormat="true" borderId="3585" fillId="0" fontId="1" numFmtId="1000" quotePrefix="false">
      <alignment horizontal="left" vertical="top"/>
    </xf>
    <xf applyAlignment="true" applyBorder="true" applyFill="false" applyFont="false" applyNumberFormat="true" borderId="3586" fillId="0" fontId="1" numFmtId="1000" quotePrefix="false">
      <alignment horizontal="left" vertical="top"/>
    </xf>
    <xf applyAlignment="true" applyBorder="true" applyFill="false" applyFont="false" applyNumberFormat="true" borderId="3587" fillId="0" fontId="1" numFmtId="1000" quotePrefix="false">
      <alignment horizontal="left" vertical="top"/>
    </xf>
    <xf applyAlignment="true" applyBorder="true" applyFill="false" applyFont="false" applyNumberFormat="true" borderId="3588" fillId="0" fontId="1" numFmtId="1000" quotePrefix="false">
      <alignment horizontal="left" vertical="top"/>
    </xf>
    <xf applyAlignment="true" applyBorder="true" applyFill="false" applyFont="false" applyNumberFormat="true" borderId="3589" fillId="0" fontId="1" numFmtId="1000" quotePrefix="false">
      <alignment horizontal="left" vertical="top"/>
    </xf>
    <xf applyAlignment="true" applyBorder="true" applyFill="false" applyFont="false" applyNumberFormat="true" borderId="3590" fillId="0" fontId="1" numFmtId="1000" quotePrefix="false">
      <alignment horizontal="left" vertical="top"/>
    </xf>
    <xf applyAlignment="true" applyBorder="true" applyFill="false" applyFont="false" applyNumberFormat="true" borderId="3591" fillId="0" fontId="1" numFmtId="1000" quotePrefix="false">
      <alignment horizontal="left" vertical="top"/>
    </xf>
    <xf applyAlignment="true" applyBorder="true" applyFill="false" applyFont="false" applyNumberFormat="true" borderId="3592" fillId="0" fontId="1" numFmtId="1000" quotePrefix="false">
      <alignment horizontal="left" vertical="top"/>
    </xf>
    <xf applyAlignment="true" applyBorder="true" applyFill="false" applyFont="false" applyNumberFormat="true" borderId="3593" fillId="0" fontId="1" numFmtId="1000" quotePrefix="false">
      <alignment horizontal="left" vertical="top"/>
    </xf>
    <xf applyAlignment="true" applyBorder="true" applyFill="false" applyFont="false" applyNumberFormat="true" borderId="3594" fillId="0" fontId="1" numFmtId="1000" quotePrefix="false">
      <alignment horizontal="left" vertical="top"/>
    </xf>
    <xf applyAlignment="true" applyBorder="true" applyFill="false" applyFont="false" applyNumberFormat="true" borderId="3595" fillId="0" fontId="1" numFmtId="1000" quotePrefix="false">
      <alignment horizontal="left" vertical="top"/>
    </xf>
    <xf applyAlignment="true" applyBorder="true" applyFill="false" applyFont="false" applyNumberFormat="true" borderId="3596" fillId="0" fontId="1" numFmtId="1000" quotePrefix="false">
      <alignment horizontal="left" vertical="top"/>
    </xf>
    <xf applyAlignment="true" applyBorder="true" applyFill="false" applyFont="false" applyNumberFormat="true" borderId="3597" fillId="0" fontId="1" numFmtId="1000" quotePrefix="false">
      <alignment horizontal="left" vertical="top"/>
    </xf>
    <xf applyAlignment="true" applyBorder="true" applyFill="false" applyFont="false" applyNumberFormat="true" borderId="3598" fillId="0" fontId="1" numFmtId="1000" quotePrefix="false">
      <alignment horizontal="left" vertical="top"/>
    </xf>
    <xf applyAlignment="true" applyBorder="true" applyFill="false" applyFont="false" applyNumberFormat="true" borderId="3599" fillId="0" fontId="1" numFmtId="1000" quotePrefix="false">
      <alignment horizontal="left" vertical="top"/>
    </xf>
    <xf applyAlignment="true" applyBorder="true" applyFill="false" applyFont="true" applyNumberFormat="true" borderId="3600" fillId="0" fontId="2" numFmtId="1000" quotePrefix="false">
      <alignment horizontal="center"/>
    </xf>
    <xf applyAlignment="true" applyBorder="true" applyFill="false" applyFont="true" applyNumberFormat="true" borderId="3601" fillId="0" fontId="2" numFmtId="1000" quotePrefix="false">
      <alignment horizontal="center"/>
    </xf>
    <xf applyAlignment="true" applyBorder="true" applyFill="false" applyFont="true" applyNumberFormat="true" borderId="3602" fillId="0" fontId="2" numFmtId="1000" quotePrefix="false">
      <alignment horizontal="center"/>
    </xf>
    <xf applyAlignment="true" applyBorder="true" applyFill="false" applyFont="false" applyNumberFormat="true" borderId="3603" fillId="0" fontId="1" numFmtId="1000" quotePrefix="false">
      <alignment horizontal="center" vertical="top"/>
    </xf>
    <xf applyAlignment="true" applyBorder="true" applyFill="false" applyFont="false" applyNumberFormat="true" borderId="3604" fillId="0" fontId="1" numFmtId="1000" quotePrefix="false">
      <alignment horizontal="center" vertical="top"/>
    </xf>
    <xf applyAlignment="true" applyBorder="true" applyFill="false" applyFont="false" applyNumberFormat="true" borderId="3605" fillId="0" fontId="1" numFmtId="1000" quotePrefix="false">
      <alignment horizontal="center" vertical="top"/>
    </xf>
    <xf applyAlignment="true" applyBorder="true" applyFill="false" applyFont="false" applyNumberFormat="true" borderId="3606" fillId="0" fontId="1" numFmtId="1000" quotePrefix="false">
      <alignment horizontal="center" vertical="top"/>
    </xf>
    <xf applyAlignment="true" applyBorder="true" applyFill="false" applyFont="false" applyNumberFormat="true" borderId="3607" fillId="0" fontId="1" numFmtId="1000" quotePrefix="false">
      <alignment horizontal="center" vertical="top"/>
    </xf>
    <xf applyAlignment="true" applyBorder="true" applyFill="false" applyFont="false" applyNumberFormat="true" borderId="3608" fillId="0" fontId="1" numFmtId="1000" quotePrefix="false">
      <alignment horizontal="center" vertical="top"/>
    </xf>
    <xf applyAlignment="true" applyBorder="true" applyFill="false" applyFont="false" applyNumberFormat="true" borderId="3609" fillId="0" fontId="1" numFmtId="1000" quotePrefix="false">
      <alignment horizontal="center" vertical="top"/>
    </xf>
    <xf applyAlignment="true" applyBorder="true" applyFill="false" applyFont="false" applyNumberFormat="true" borderId="3610" fillId="0" fontId="1" numFmtId="1000" quotePrefix="false">
      <alignment horizontal="center" vertical="top"/>
    </xf>
    <xf applyAlignment="true" applyBorder="true" applyFill="false" applyFont="false" applyNumberFormat="true" borderId="3611" fillId="0" fontId="1" numFmtId="1000" quotePrefix="false">
      <alignment horizontal="center" vertical="top"/>
    </xf>
    <xf applyAlignment="true" applyBorder="true" applyFill="false" applyFont="false" applyNumberFormat="true" borderId="3612" fillId="0" fontId="1" numFmtId="1000" quotePrefix="false">
      <alignment horizontal="center" vertical="top"/>
    </xf>
    <xf applyAlignment="true" applyBorder="true" applyFill="false" applyFont="false" applyNumberFormat="true" borderId="3613" fillId="0" fontId="1" numFmtId="1000" quotePrefix="false">
      <alignment horizontal="center" vertical="top"/>
    </xf>
    <xf applyAlignment="true" applyBorder="true" applyFill="false" applyFont="false" applyNumberFormat="true" borderId="3614" fillId="0" fontId="1" numFmtId="1000" quotePrefix="false">
      <alignment horizontal="center" vertical="top"/>
    </xf>
    <xf applyAlignment="true" applyBorder="true" applyFill="false" applyFont="false" applyNumberFormat="true" borderId="3615" fillId="0" fontId="1" numFmtId="1000" quotePrefix="false">
      <alignment horizontal="center" vertical="top"/>
    </xf>
    <xf applyAlignment="true" applyBorder="true" applyFill="false" applyFont="false" applyNumberFormat="true" borderId="3616" fillId="0" fontId="1" numFmtId="1000" quotePrefix="false">
      <alignment horizontal="center" vertical="top"/>
    </xf>
    <xf applyAlignment="true" applyBorder="true" applyFill="false" applyFont="false" applyNumberFormat="true" borderId="3617" fillId="0" fontId="1" numFmtId="1000" quotePrefix="false">
      <alignment horizontal="center" vertical="top"/>
    </xf>
    <xf applyAlignment="true" applyBorder="true" applyFill="false" applyFont="false" applyNumberFormat="true" borderId="3618" fillId="0" fontId="1" numFmtId="1000" quotePrefix="false">
      <alignment horizontal="center" vertical="top"/>
    </xf>
    <xf applyAlignment="true" applyBorder="true" applyFill="false" applyFont="false" applyNumberFormat="true" borderId="3619" fillId="0" fontId="1" numFmtId="1000" quotePrefix="false">
      <alignment horizontal="center" vertical="top"/>
    </xf>
    <xf applyAlignment="true" applyBorder="true" applyFill="false" applyFont="false" applyNumberFormat="true" borderId="3620" fillId="0" fontId="1" numFmtId="1000" quotePrefix="false">
      <alignment horizontal="center" vertical="top"/>
    </xf>
    <xf applyAlignment="true" applyBorder="true" applyFill="false" applyFont="false" applyNumberFormat="true" borderId="3621" fillId="0" fontId="1" numFmtId="1000" quotePrefix="false">
      <alignment horizontal="center" vertical="top"/>
    </xf>
    <xf applyAlignment="true" applyBorder="true" applyFill="false" applyFont="false" applyNumberFormat="true" borderId="3622" fillId="0" fontId="1" numFmtId="1000" quotePrefix="false">
      <alignment horizontal="center" vertical="top"/>
    </xf>
    <xf applyAlignment="true" applyBorder="true" applyFill="false" applyFont="false" applyNumberFormat="true" borderId="3623" fillId="0" fontId="1" numFmtId="1000" quotePrefix="false">
      <alignment horizontal="center" vertical="top"/>
    </xf>
    <xf applyAlignment="true" applyBorder="true" applyFill="false" applyFont="false" applyNumberFormat="true" borderId="3624" fillId="0" fontId="1" numFmtId="1000" quotePrefix="false">
      <alignment horizontal="center" vertical="top"/>
    </xf>
    <xf applyAlignment="true" applyBorder="true" applyFill="false" applyFont="false" applyNumberFormat="true" borderId="3625" fillId="0" fontId="1" numFmtId="1000" quotePrefix="false">
      <alignment horizontal="center" vertical="top"/>
    </xf>
    <xf applyAlignment="true" applyBorder="true" applyFill="false" applyFont="false" applyNumberFormat="true" borderId="3626" fillId="0" fontId="1" numFmtId="1000" quotePrefix="false">
      <alignment horizontal="center" vertical="top"/>
    </xf>
    <xf applyAlignment="true" applyBorder="true" applyFill="false" applyFont="false" applyNumberFormat="true" borderId="3627" fillId="0" fontId="1" numFmtId="1000" quotePrefix="false">
      <alignment horizontal="center" vertical="top"/>
    </xf>
    <xf applyAlignment="true" applyBorder="true" applyFill="false" applyFont="false" applyNumberFormat="true" borderId="3628" fillId="0" fontId="1" numFmtId="1000" quotePrefix="false">
      <alignment horizontal="center" vertical="top"/>
    </xf>
    <xf applyAlignment="true" applyBorder="true" applyFill="false" applyFont="false" applyNumberFormat="true" borderId="3629" fillId="0" fontId="1" numFmtId="1000" quotePrefix="false">
      <alignment horizontal="center" vertical="top"/>
    </xf>
    <xf applyAlignment="true" applyBorder="true" applyFill="false" applyFont="false" applyNumberFormat="true" borderId="3630" fillId="0" fontId="1" numFmtId="1000" quotePrefix="false">
      <alignment horizontal="center" vertical="top"/>
    </xf>
    <xf applyAlignment="true" applyBorder="true" applyFill="false" applyFont="false" applyNumberFormat="true" borderId="3631" fillId="0" fontId="1" numFmtId="1000" quotePrefix="false">
      <alignment horizontal="center" vertical="top"/>
    </xf>
    <xf applyAlignment="true" applyBorder="true" applyFill="false" applyFont="false" applyNumberFormat="true" borderId="3632" fillId="0" fontId="1" numFmtId="1000" quotePrefix="false">
      <alignment horizontal="center" vertical="top"/>
    </xf>
    <xf applyAlignment="true" applyBorder="true" applyFill="false" applyFont="false" applyNumberFormat="true" borderId="3633" fillId="0" fontId="1" numFmtId="1000" quotePrefix="false">
      <alignment horizontal="center" vertical="top"/>
    </xf>
    <xf applyAlignment="true" applyBorder="true" applyFill="false" applyFont="false" applyNumberFormat="true" borderId="3634" fillId="0" fontId="1" numFmtId="1000" quotePrefix="false">
      <alignment horizontal="center" vertical="top"/>
    </xf>
    <xf applyAlignment="true" applyBorder="true" applyFill="false" applyFont="false" applyNumberFormat="true" borderId="3635" fillId="0" fontId="1" numFmtId="1000" quotePrefix="false">
      <alignment horizontal="center" vertical="top"/>
    </xf>
    <xf applyAlignment="true" applyBorder="true" applyFill="false" applyFont="false" applyNumberFormat="true" borderId="3636" fillId="0" fontId="1" numFmtId="1000" quotePrefix="false">
      <alignment horizontal="center" vertical="top"/>
    </xf>
    <xf applyAlignment="true" applyBorder="true" applyFill="false" applyFont="false" applyNumberFormat="true" borderId="3637" fillId="0" fontId="1" numFmtId="1000" quotePrefix="false">
      <alignment horizontal="center" vertical="top"/>
    </xf>
    <xf applyAlignment="true" applyBorder="true" applyFill="false" applyFont="false" applyNumberFormat="true" borderId="3638" fillId="0" fontId="1" numFmtId="1000" quotePrefix="false">
      <alignment horizontal="center" vertical="top"/>
    </xf>
    <xf applyAlignment="true" applyBorder="true" applyFill="false" applyFont="false" applyNumberFormat="true" borderId="3639" fillId="0" fontId="1" numFmtId="1000" quotePrefix="false">
      <alignment horizontal="center" vertical="top"/>
    </xf>
    <xf applyAlignment="true" applyBorder="true" applyFill="false" applyFont="false" applyNumberFormat="true" borderId="3640" fillId="0" fontId="1" numFmtId="1000" quotePrefix="false">
      <alignment horizontal="center" vertical="top"/>
    </xf>
    <xf applyAlignment="true" applyBorder="true" applyFill="false" applyFont="false" applyNumberFormat="true" borderId="3641" fillId="0" fontId="1" numFmtId="1000" quotePrefix="false">
      <alignment horizontal="center" vertical="top"/>
    </xf>
    <xf applyAlignment="true" applyBorder="true" applyFill="false" applyFont="false" applyNumberFormat="true" borderId="3642" fillId="0" fontId="1" numFmtId="1000" quotePrefix="false">
      <alignment horizontal="center" vertical="top"/>
    </xf>
    <xf applyAlignment="true" applyBorder="true" applyFill="false" applyFont="false" applyNumberFormat="true" borderId="3643" fillId="0" fontId="1" numFmtId="1000" quotePrefix="false">
      <alignment horizontal="center" vertical="top"/>
    </xf>
    <xf applyAlignment="true" applyBorder="true" applyFill="false" applyFont="false" applyNumberFormat="true" borderId="3644" fillId="0" fontId="1" numFmtId="1000" quotePrefix="false">
      <alignment horizontal="center" vertical="top"/>
    </xf>
    <xf applyAlignment="true" applyBorder="true" applyFill="false" applyFont="false" applyNumberFormat="true" borderId="3645" fillId="0" fontId="1" numFmtId="1000" quotePrefix="false">
      <alignment horizontal="center" vertical="top"/>
    </xf>
    <xf applyAlignment="true" applyBorder="true" applyFill="false" applyFont="false" applyNumberFormat="true" borderId="3646" fillId="0" fontId="1" numFmtId="1000" quotePrefix="false">
      <alignment horizontal="center" vertical="top"/>
    </xf>
    <xf applyAlignment="true" applyBorder="true" applyFill="false" applyFont="false" applyNumberFormat="true" borderId="3647" fillId="0" fontId="1" numFmtId="1000" quotePrefix="false">
      <alignment horizontal="center" vertical="top"/>
    </xf>
    <xf applyAlignment="true" applyBorder="true" applyFill="false" applyFont="false" applyNumberFormat="true" borderId="3648" fillId="0" fontId="1" numFmtId="1000" quotePrefix="false">
      <alignment horizontal="center" vertical="top"/>
    </xf>
    <xf applyAlignment="true" applyBorder="true" applyFill="false" applyFont="false" applyNumberFormat="true" borderId="3649" fillId="0" fontId="1" numFmtId="1000" quotePrefix="false">
      <alignment horizontal="center" vertical="top"/>
    </xf>
    <xf applyAlignment="true" applyBorder="true" applyFill="false" applyFont="false" applyNumberFormat="true" borderId="3650" fillId="0" fontId="1" numFmtId="1000" quotePrefix="false">
      <alignment horizontal="center" vertical="top"/>
    </xf>
    <xf applyAlignment="true" applyBorder="true" applyFill="false" applyFont="false" applyNumberFormat="true" borderId="3651" fillId="0" fontId="1" numFmtId="1000" quotePrefix="false">
      <alignment horizontal="center" vertical="top"/>
    </xf>
    <xf applyAlignment="true" applyBorder="true" applyFill="false" applyFont="false" applyNumberFormat="true" borderId="3652" fillId="0" fontId="1" numFmtId="1000" quotePrefix="false">
      <alignment horizontal="center" vertical="top"/>
    </xf>
    <xf applyAlignment="true" applyBorder="true" applyFill="false" applyFont="false" applyNumberFormat="true" borderId="3653" fillId="0" fontId="1" numFmtId="1000" quotePrefix="false">
      <alignment horizontal="center" vertical="top"/>
    </xf>
    <xf applyAlignment="true" applyBorder="true" applyFill="false" applyFont="false" applyNumberFormat="true" borderId="3654" fillId="0" fontId="1" numFmtId="1000" quotePrefix="false">
      <alignment horizontal="center" vertical="top"/>
    </xf>
    <xf applyAlignment="true" applyBorder="true" applyFill="false" applyFont="false" applyNumberFormat="true" borderId="3655" fillId="0" fontId="1" numFmtId="1000" quotePrefix="false">
      <alignment horizontal="center" vertical="top"/>
    </xf>
    <xf applyAlignment="true" applyBorder="true" applyFill="false" applyFont="false" applyNumberFormat="true" borderId="3656" fillId="0" fontId="1" numFmtId="1000" quotePrefix="false">
      <alignment horizontal="center" vertical="top"/>
    </xf>
    <xf applyAlignment="true" applyBorder="true" applyFill="false" applyFont="false" applyNumberFormat="true" borderId="3657" fillId="0" fontId="1" numFmtId="1000" quotePrefix="false">
      <alignment horizontal="center" vertical="top"/>
    </xf>
    <xf applyAlignment="true" applyBorder="true" applyFill="false" applyFont="false" applyNumberFormat="true" borderId="3658" fillId="0" fontId="1" numFmtId="1000" quotePrefix="false">
      <alignment horizontal="center" vertical="top"/>
    </xf>
    <xf applyAlignment="true" applyBorder="true" applyFill="false" applyFont="false" applyNumberFormat="true" borderId="3659" fillId="0" fontId="1" numFmtId="1000" quotePrefix="false">
      <alignment horizontal="center" vertical="top"/>
    </xf>
    <xf applyAlignment="true" applyBorder="true" applyFill="false" applyFont="false" applyNumberFormat="true" borderId="3660" fillId="0" fontId="1" numFmtId="1000" quotePrefix="false">
      <alignment horizontal="center" vertical="top"/>
    </xf>
    <xf applyAlignment="true" applyBorder="true" applyFill="false" applyFont="false" applyNumberFormat="true" borderId="3661" fillId="0" fontId="1" numFmtId="1000" quotePrefix="false">
      <alignment horizontal="center" vertical="top"/>
    </xf>
    <xf applyAlignment="true" applyBorder="true" applyFill="false" applyFont="false" applyNumberFormat="true" borderId="3662" fillId="0" fontId="1" numFmtId="1000" quotePrefix="false">
      <alignment horizontal="center" vertical="top"/>
    </xf>
    <xf applyAlignment="true" applyBorder="true" applyFill="false" applyFont="false" applyNumberFormat="true" borderId="3663" fillId="0" fontId="1" numFmtId="1000" quotePrefix="false">
      <alignment horizontal="center" vertical="top"/>
    </xf>
    <xf applyAlignment="true" applyBorder="true" applyFill="false" applyFont="false" applyNumberFormat="true" borderId="3664" fillId="0" fontId="1" numFmtId="1000" quotePrefix="false">
      <alignment horizontal="center" vertical="top"/>
    </xf>
    <xf applyAlignment="true" applyBorder="true" applyFill="false" applyFont="false" applyNumberFormat="true" borderId="3665" fillId="0" fontId="1" numFmtId="1000" quotePrefix="false">
      <alignment horizontal="center" vertical="top"/>
    </xf>
    <xf applyAlignment="true" applyBorder="true" applyFill="false" applyFont="false" applyNumberFormat="true" borderId="3666" fillId="0" fontId="1" numFmtId="1000" quotePrefix="false">
      <alignment horizontal="center" vertical="top"/>
    </xf>
    <xf applyAlignment="true" applyBorder="true" applyFill="false" applyFont="false" applyNumberFormat="true" borderId="3667" fillId="0" fontId="1" numFmtId="1000" quotePrefix="false">
      <alignment horizontal="center" vertical="top"/>
    </xf>
    <xf applyAlignment="true" applyBorder="true" applyFill="false" applyFont="false" applyNumberFormat="true" borderId="3668" fillId="0" fontId="1" numFmtId="1000" quotePrefix="false">
      <alignment horizontal="center" vertical="top"/>
    </xf>
    <xf applyAlignment="true" applyBorder="true" applyFill="false" applyFont="false" applyNumberFormat="true" borderId="3669" fillId="0" fontId="1" numFmtId="1000" quotePrefix="false">
      <alignment horizontal="center" vertical="top"/>
    </xf>
    <xf applyAlignment="true" applyBorder="true" applyFill="false" applyFont="false" applyNumberFormat="true" borderId="3670" fillId="0" fontId="1" numFmtId="1000" quotePrefix="false">
      <alignment horizontal="center" vertical="top"/>
    </xf>
    <xf applyAlignment="true" applyBorder="true" applyFill="false" applyFont="false" applyNumberFormat="true" borderId="3671" fillId="0" fontId="1" numFmtId="1000" quotePrefix="false">
      <alignment horizontal="center" vertical="top"/>
    </xf>
    <xf applyAlignment="true" applyBorder="true" applyFill="false" applyFont="false" applyNumberFormat="true" borderId="3672" fillId="0" fontId="1" numFmtId="1000" quotePrefix="false">
      <alignment horizontal="center" vertical="top"/>
    </xf>
    <xf applyAlignment="true" applyBorder="true" applyFill="false" applyFont="false" applyNumberFormat="true" borderId="3673" fillId="0" fontId="1" numFmtId="1000" quotePrefix="false">
      <alignment horizontal="center" vertical="top"/>
    </xf>
    <xf applyAlignment="true" applyBorder="true" applyFill="false" applyFont="false" applyNumberFormat="true" borderId="3674" fillId="0" fontId="1" numFmtId="1000" quotePrefix="false">
      <alignment horizontal="center" vertical="top"/>
    </xf>
    <xf applyAlignment="true" applyBorder="true" applyFill="false" applyFont="false" applyNumberFormat="true" borderId="3675" fillId="0" fontId="1" numFmtId="1000" quotePrefix="false">
      <alignment horizontal="center" vertical="top"/>
    </xf>
    <xf applyAlignment="true" applyBorder="true" applyFill="false" applyFont="false" applyNumberFormat="true" borderId="3676" fillId="0" fontId="1" numFmtId="1000" quotePrefix="false">
      <alignment horizontal="center" vertical="top"/>
    </xf>
    <xf applyAlignment="true" applyBorder="true" applyFill="false" applyFont="false" applyNumberFormat="true" borderId="3677" fillId="0" fontId="1" numFmtId="1000" quotePrefix="false">
      <alignment horizontal="center" vertical="top"/>
    </xf>
    <xf applyAlignment="true" applyBorder="true" applyFill="false" applyFont="true" applyNumberFormat="true" borderId="3678" fillId="0" fontId="2" numFmtId="1000" quotePrefix="false">
      <alignment horizontal="center" vertical="top"/>
    </xf>
    <xf applyAlignment="true" applyBorder="true" applyFill="false" applyFont="false" applyNumberFormat="true" borderId="3679" fillId="0" fontId="1" numFmtId="1000" quotePrefix="false">
      <alignment horizontal="left" vertical="top"/>
    </xf>
    <xf applyAlignment="true" applyBorder="true" applyFill="false" applyFont="false" applyNumberFormat="true" borderId="3680" fillId="0" fontId="1" numFmtId="1000" quotePrefix="false">
      <alignment horizontal="left" vertical="top"/>
    </xf>
    <xf applyAlignment="true" applyBorder="true" applyFill="false" applyFont="false" applyNumberFormat="true" borderId="3681" fillId="0" fontId="1" numFmtId="1000" quotePrefix="false">
      <alignment horizontal="left" vertical="top"/>
    </xf>
    <xf applyAlignment="true" applyBorder="true" applyFill="false" applyFont="false" applyNumberFormat="true" borderId="3682" fillId="0" fontId="1" numFmtId="1000" quotePrefix="false">
      <alignment horizontal="left" vertical="top"/>
    </xf>
    <xf applyAlignment="true" applyBorder="true" applyFill="false" applyFont="false" applyNumberFormat="true" borderId="3683" fillId="0" fontId="1" numFmtId="1000" quotePrefix="false">
      <alignment horizontal="left" vertical="top"/>
    </xf>
    <xf applyAlignment="true" applyBorder="true" applyFill="false" applyFont="false" applyNumberFormat="true" borderId="3684" fillId="0" fontId="1" numFmtId="1000" quotePrefix="false">
      <alignment horizontal="left" vertical="top"/>
    </xf>
    <xf applyAlignment="true" applyBorder="true" applyFill="false" applyFont="false" applyNumberFormat="true" borderId="3685" fillId="0" fontId="1" numFmtId="1000" quotePrefix="false">
      <alignment horizontal="left" vertical="top"/>
    </xf>
    <xf applyAlignment="true" applyBorder="true" applyFill="false" applyFont="false" applyNumberFormat="true" borderId="3686" fillId="0" fontId="1" numFmtId="1000" quotePrefix="false">
      <alignment horizontal="left" vertical="top"/>
    </xf>
    <xf applyAlignment="true" applyBorder="true" applyFill="false" applyFont="false" applyNumberFormat="true" borderId="3687" fillId="0" fontId="1" numFmtId="1000" quotePrefix="false">
      <alignment horizontal="left" vertical="top"/>
    </xf>
    <xf applyAlignment="true" applyBorder="true" applyFill="false" applyFont="false" applyNumberFormat="true" borderId="3688" fillId="0" fontId="1" numFmtId="1000" quotePrefix="false">
      <alignment horizontal="left" vertical="top"/>
    </xf>
    <xf applyAlignment="true" applyBorder="true" applyFill="false" applyFont="false" applyNumberFormat="true" borderId="3689" fillId="0" fontId="1" numFmtId="1000" quotePrefix="false">
      <alignment horizontal="left" vertical="top"/>
    </xf>
    <xf applyAlignment="true" applyBorder="true" applyFill="false" applyFont="false" applyNumberFormat="true" borderId="3690" fillId="0" fontId="1" numFmtId="1000" quotePrefix="false">
      <alignment horizontal="left" vertical="top"/>
    </xf>
    <xf applyAlignment="true" applyBorder="true" applyFill="false" applyFont="false" applyNumberFormat="true" borderId="3691" fillId="0" fontId="1" numFmtId="1000" quotePrefix="false">
      <alignment horizontal="left" vertical="top"/>
    </xf>
    <xf applyAlignment="true" applyBorder="true" applyFill="false" applyFont="false" applyNumberFormat="true" borderId="3692" fillId="0" fontId="1" numFmtId="1000" quotePrefix="false">
      <alignment horizontal="left" vertical="top"/>
    </xf>
    <xf applyAlignment="true" applyBorder="true" applyFill="false" applyFont="false" applyNumberFormat="true" borderId="3693" fillId="0" fontId="1" numFmtId="1000" quotePrefix="false">
      <alignment horizontal="left" vertical="top"/>
    </xf>
    <xf applyAlignment="true" applyBorder="true" applyFill="false" applyFont="false" applyNumberFormat="true" borderId="3694" fillId="0" fontId="1" numFmtId="1000" quotePrefix="false">
      <alignment horizontal="left" vertical="top"/>
    </xf>
    <xf applyAlignment="true" applyBorder="true" applyFill="false" applyFont="false" applyNumberFormat="true" borderId="3695" fillId="0" fontId="1" numFmtId="1000" quotePrefix="false">
      <alignment horizontal="left" vertical="top"/>
    </xf>
    <xf applyAlignment="true" applyBorder="true" applyFill="false" applyFont="false" applyNumberFormat="true" borderId="3696" fillId="0" fontId="1" numFmtId="1000" quotePrefix="false">
      <alignment horizontal="left" vertical="top"/>
    </xf>
    <xf applyAlignment="true" applyBorder="true" applyFill="false" applyFont="false" applyNumberFormat="true" borderId="3697" fillId="0" fontId="1" numFmtId="1000" quotePrefix="false">
      <alignment horizontal="left" vertical="top"/>
    </xf>
    <xf applyAlignment="true" applyBorder="true" applyFill="false" applyFont="true" applyNumberFormat="true" borderId="3698" fillId="0" fontId="2" numFmtId="1000" quotePrefix="false">
      <alignment horizontal="center"/>
    </xf>
    <xf applyAlignment="true" applyBorder="true" applyFill="false" applyFont="true" applyNumberFormat="true" borderId="3699" fillId="0" fontId="2" numFmtId="1000" quotePrefix="false">
      <alignment horizontal="center"/>
    </xf>
    <xf applyAlignment="true" applyBorder="true" applyFill="false" applyFont="true" applyNumberFormat="true" borderId="3700" fillId="0" fontId="2" numFmtId="1000" quotePrefix="false">
      <alignment horizontal="center"/>
    </xf>
    <xf applyAlignment="true" applyBorder="true" applyFill="false" applyFont="false" applyNumberFormat="true" borderId="3701" fillId="0" fontId="1" numFmtId="1000" quotePrefix="false">
      <alignment horizontal="center" vertical="top"/>
    </xf>
    <xf applyAlignment="true" applyBorder="true" applyFill="false" applyFont="false" applyNumberFormat="true" borderId="3702" fillId="0" fontId="1" numFmtId="1000" quotePrefix="false">
      <alignment horizontal="center" vertical="top"/>
    </xf>
    <xf applyAlignment="true" applyBorder="true" applyFill="false" applyFont="false" applyNumberFormat="true" borderId="3703" fillId="0" fontId="1" numFmtId="1000" quotePrefix="false">
      <alignment horizontal="center" vertical="top"/>
    </xf>
    <xf applyAlignment="true" applyBorder="true" applyFill="false" applyFont="false" applyNumberFormat="true" borderId="3704" fillId="0" fontId="1" numFmtId="1000" quotePrefix="false">
      <alignment horizontal="center" vertical="top"/>
    </xf>
    <xf applyAlignment="true" applyBorder="true" applyFill="false" applyFont="false" applyNumberFormat="true" borderId="3705" fillId="0" fontId="1" numFmtId="1000" quotePrefix="false">
      <alignment horizontal="center" vertical="top"/>
    </xf>
    <xf applyAlignment="true" applyBorder="true" applyFill="false" applyFont="false" applyNumberFormat="true" borderId="3706" fillId="0" fontId="1" numFmtId="1000" quotePrefix="false">
      <alignment horizontal="center" vertical="top"/>
    </xf>
    <xf applyAlignment="true" applyBorder="true" applyFill="false" applyFont="false" applyNumberFormat="true" borderId="3707" fillId="0" fontId="1" numFmtId="1000" quotePrefix="false">
      <alignment horizontal="center" vertical="top"/>
    </xf>
    <xf applyAlignment="true" applyBorder="true" applyFill="false" applyFont="false" applyNumberFormat="true" borderId="3708" fillId="0" fontId="1" numFmtId="1000" quotePrefix="false">
      <alignment horizontal="center" vertical="top"/>
    </xf>
    <xf applyAlignment="true" applyBorder="true" applyFill="false" applyFont="false" applyNumberFormat="true" borderId="3709" fillId="0" fontId="1" numFmtId="1000" quotePrefix="false">
      <alignment horizontal="center" vertical="top"/>
    </xf>
    <xf applyAlignment="true" applyBorder="true" applyFill="false" applyFont="false" applyNumberFormat="true" borderId="3710" fillId="0" fontId="1" numFmtId="1000" quotePrefix="false">
      <alignment horizontal="center" vertical="top"/>
    </xf>
    <xf applyAlignment="true" applyBorder="true" applyFill="false" applyFont="false" applyNumberFormat="true" borderId="3711" fillId="0" fontId="1" numFmtId="1000" quotePrefix="false">
      <alignment horizontal="center" vertical="top"/>
    </xf>
    <xf applyAlignment="true" applyBorder="true" applyFill="false" applyFont="false" applyNumberFormat="true" borderId="3712" fillId="0" fontId="1" numFmtId="1000" quotePrefix="false">
      <alignment horizontal="center" vertical="top"/>
    </xf>
    <xf applyAlignment="true" applyBorder="true" applyFill="false" applyFont="false" applyNumberFormat="true" borderId="3713" fillId="0" fontId="1" numFmtId="1000" quotePrefix="false">
      <alignment horizontal="center" vertical="top"/>
    </xf>
    <xf applyAlignment="true" applyBorder="true" applyFill="false" applyFont="false" applyNumberFormat="true" borderId="3714" fillId="0" fontId="1" numFmtId="1000" quotePrefix="false">
      <alignment horizontal="center" vertical="top"/>
    </xf>
    <xf applyAlignment="true" applyBorder="true" applyFill="false" applyFont="false" applyNumberFormat="true" borderId="3715" fillId="0" fontId="1" numFmtId="1000" quotePrefix="false">
      <alignment horizontal="center" vertical="top"/>
    </xf>
    <xf applyAlignment="true" applyBorder="true" applyFill="false" applyFont="false" applyNumberFormat="true" borderId="3716" fillId="0" fontId="1" numFmtId="1000" quotePrefix="false">
      <alignment horizontal="center" vertical="top"/>
    </xf>
    <xf applyAlignment="true" applyBorder="true" applyFill="false" applyFont="false" applyNumberFormat="true" borderId="3717" fillId="0" fontId="1" numFmtId="1000" quotePrefix="false">
      <alignment horizontal="center" vertical="top"/>
    </xf>
    <xf applyAlignment="true" applyBorder="true" applyFill="false" applyFont="false" applyNumberFormat="true" borderId="3718" fillId="0" fontId="1" numFmtId="1000" quotePrefix="false">
      <alignment horizontal="center" vertical="top"/>
    </xf>
    <xf applyAlignment="true" applyBorder="true" applyFill="false" applyFont="false" applyNumberFormat="true" borderId="3719" fillId="0" fontId="1" numFmtId="1000" quotePrefix="false">
      <alignment horizontal="center" vertical="top"/>
    </xf>
    <xf applyAlignment="true" applyBorder="true" applyFill="false" applyFont="false" applyNumberFormat="true" borderId="3720" fillId="0" fontId="1" numFmtId="1000" quotePrefix="false">
      <alignment horizontal="center" vertical="top"/>
    </xf>
    <xf applyAlignment="true" applyBorder="true" applyFill="false" applyFont="false" applyNumberFormat="true" borderId="3721" fillId="0" fontId="1" numFmtId="1000" quotePrefix="false">
      <alignment horizontal="center" vertical="top"/>
    </xf>
    <xf applyAlignment="true" applyBorder="true" applyFill="false" applyFont="false" applyNumberFormat="true" borderId="3722" fillId="0" fontId="1" numFmtId="1000" quotePrefix="false">
      <alignment horizontal="center" vertical="top"/>
    </xf>
    <xf applyAlignment="true" applyBorder="true" applyFill="false" applyFont="false" applyNumberFormat="true" borderId="3723" fillId="0" fontId="1" numFmtId="1000" quotePrefix="false">
      <alignment horizontal="center" vertical="top"/>
    </xf>
    <xf applyAlignment="true" applyBorder="true" applyFill="false" applyFont="false" applyNumberFormat="true" borderId="3724" fillId="0" fontId="1" numFmtId="1000" quotePrefix="false">
      <alignment horizontal="center" vertical="top"/>
    </xf>
    <xf applyAlignment="true" applyBorder="true" applyFill="false" applyFont="false" applyNumberFormat="true" borderId="3725" fillId="0" fontId="1" numFmtId="1000" quotePrefix="false">
      <alignment horizontal="center" vertical="top"/>
    </xf>
    <xf applyAlignment="true" applyBorder="true" applyFill="false" applyFont="false" applyNumberFormat="true" borderId="3726" fillId="0" fontId="1" numFmtId="1000" quotePrefix="false">
      <alignment horizontal="center" vertical="top"/>
    </xf>
    <xf applyAlignment="true" applyBorder="true" applyFill="false" applyFont="false" applyNumberFormat="true" borderId="3727" fillId="0" fontId="1" numFmtId="1000" quotePrefix="false">
      <alignment horizontal="center" vertical="top"/>
    </xf>
    <xf applyAlignment="true" applyBorder="true" applyFill="false" applyFont="false" applyNumberFormat="true" borderId="3728" fillId="0" fontId="1" numFmtId="1000" quotePrefix="false">
      <alignment horizontal="center" vertical="top"/>
    </xf>
    <xf applyAlignment="true" applyBorder="true" applyFill="true" applyFont="false" applyNumberFormat="true" borderId="3729" fillId="3" fontId="1" numFmtId="1000" quotePrefix="false">
      <alignment horizontal="center" vertical="top" wrapText="true"/>
    </xf>
    <xf applyAlignment="true" applyBorder="true" applyFill="false" applyFont="false" applyNumberFormat="true" borderId="3730" fillId="0" fontId="1" numFmtId="1000" quotePrefix="false">
      <alignment horizontal="center" vertical="top"/>
    </xf>
    <xf applyAlignment="true" applyBorder="true" applyFill="false" applyFont="false" applyNumberFormat="true" borderId="3731" fillId="0" fontId="1" numFmtId="1000" quotePrefix="false">
      <alignment horizontal="center" vertical="top"/>
    </xf>
    <xf applyAlignment="true" applyBorder="true" applyFill="false" applyFont="false" applyNumberFormat="true" borderId="3732" fillId="0" fontId="1" numFmtId="1000" quotePrefix="false">
      <alignment horizontal="center" vertical="top"/>
    </xf>
    <xf applyAlignment="true" applyBorder="true" applyFill="false" applyFont="false" applyNumberFormat="true" borderId="3733" fillId="0" fontId="1" numFmtId="1000" quotePrefix="false">
      <alignment horizontal="center" vertical="top"/>
    </xf>
    <xf applyAlignment="true" applyBorder="true" applyFill="true" applyFont="false" applyNumberFormat="true" borderId="3734" fillId="3" fontId="1" numFmtId="1000" quotePrefix="false">
      <alignment horizontal="center" vertical="top" wrapText="true"/>
    </xf>
    <xf applyAlignment="true" applyBorder="true" applyFill="false" applyFont="false" applyNumberFormat="true" borderId="3735" fillId="0" fontId="1" numFmtId="1000" quotePrefix="false">
      <alignment horizontal="center" vertical="top"/>
    </xf>
    <xf applyAlignment="true" applyBorder="true" applyFill="false" applyFont="false" applyNumberFormat="true" borderId="3736" fillId="0" fontId="1" numFmtId="1000" quotePrefix="false">
      <alignment horizontal="center" vertical="top"/>
    </xf>
    <xf applyAlignment="true" applyBorder="true" applyFill="false" applyFont="false" applyNumberFormat="true" borderId="3737" fillId="0" fontId="1" numFmtId="1000" quotePrefix="false">
      <alignment horizontal="center" vertical="top"/>
    </xf>
    <xf applyAlignment="true" applyBorder="true" applyFill="false" applyFont="false" applyNumberFormat="true" borderId="3738" fillId="0" fontId="1" numFmtId="1000" quotePrefix="false">
      <alignment horizontal="center" vertical="top"/>
    </xf>
    <xf applyAlignment="true" applyBorder="true" applyFill="true" applyFont="false" applyNumberFormat="true" borderId="3739" fillId="3" fontId="1" numFmtId="1000" quotePrefix="false">
      <alignment horizontal="center" vertical="top" wrapText="true"/>
    </xf>
    <xf applyAlignment="true" applyBorder="true" applyFill="false" applyFont="false" applyNumberFormat="true" borderId="3740" fillId="0" fontId="1" numFmtId="1000" quotePrefix="false">
      <alignment horizontal="center" vertical="top"/>
    </xf>
    <xf applyAlignment="true" applyBorder="true" applyFill="false" applyFont="false" applyNumberFormat="true" borderId="3741" fillId="0" fontId="1" numFmtId="1000" quotePrefix="false">
      <alignment horizontal="center" vertical="top"/>
    </xf>
    <xf applyAlignment="true" applyBorder="true" applyFill="false" applyFont="false" applyNumberFormat="true" borderId="3742" fillId="0" fontId="1" numFmtId="1000" quotePrefix="false">
      <alignment horizontal="center" vertical="top"/>
    </xf>
    <xf applyAlignment="true" applyBorder="true" applyFill="false" applyFont="false" applyNumberFormat="true" borderId="3743" fillId="0" fontId="1" numFmtId="1000" quotePrefix="false">
      <alignment horizontal="center" vertical="top"/>
    </xf>
    <xf applyAlignment="true" applyBorder="true" applyFill="true" applyFont="false" applyNumberFormat="true" borderId="3744" fillId="3" fontId="1" numFmtId="1000" quotePrefix="false">
      <alignment horizontal="center" vertical="top" wrapText="true"/>
    </xf>
    <xf applyAlignment="true" applyBorder="true" applyFill="false" applyFont="false" applyNumberFormat="true" borderId="3745" fillId="0" fontId="1" numFmtId="1000" quotePrefix="false">
      <alignment horizontal="center" vertical="top"/>
    </xf>
    <xf applyAlignment="true" applyBorder="true" applyFill="false" applyFont="false" applyNumberFormat="true" borderId="3746" fillId="0" fontId="1" numFmtId="1000" quotePrefix="false">
      <alignment horizontal="center" vertical="top"/>
    </xf>
    <xf applyAlignment="true" applyBorder="true" applyFill="false" applyFont="false" applyNumberFormat="true" borderId="3747" fillId="0" fontId="1" numFmtId="1000" quotePrefix="false">
      <alignment horizontal="center" vertical="top"/>
    </xf>
    <xf applyAlignment="true" applyBorder="true" applyFill="false" applyFont="false" applyNumberFormat="true" borderId="3748" fillId="0" fontId="1" numFmtId="1000" quotePrefix="false">
      <alignment horizontal="center" vertical="top"/>
    </xf>
    <xf applyAlignment="true" applyBorder="true" applyFill="true" applyFont="false" applyNumberFormat="true" borderId="3749" fillId="3" fontId="1" numFmtId="1000" quotePrefix="false">
      <alignment horizontal="center" vertical="top" wrapText="true"/>
    </xf>
    <xf applyAlignment="true" applyBorder="true" applyFill="false" applyFont="false" applyNumberFormat="true" borderId="3750" fillId="0" fontId="1" numFmtId="1000" quotePrefix="false">
      <alignment horizontal="center" vertical="top"/>
    </xf>
    <xf applyAlignment="true" applyBorder="true" applyFill="false" applyFont="false" applyNumberFormat="true" borderId="3751" fillId="0" fontId="1" numFmtId="1000" quotePrefix="false">
      <alignment horizontal="center" vertical="top"/>
    </xf>
    <xf applyAlignment="true" applyBorder="true" applyFill="false" applyFont="false" applyNumberFormat="true" borderId="3752" fillId="0" fontId="1" numFmtId="1000" quotePrefix="false">
      <alignment horizontal="center" vertical="top"/>
    </xf>
    <xf applyAlignment="true" applyBorder="true" applyFill="false" applyFont="false" applyNumberFormat="true" borderId="3753" fillId="0" fontId="1" numFmtId="1000" quotePrefix="false">
      <alignment horizontal="center" vertical="top"/>
    </xf>
    <xf applyAlignment="true" applyBorder="true" applyFill="true" applyFont="false" applyNumberFormat="true" borderId="3754" fillId="3" fontId="1" numFmtId="1000" quotePrefix="false">
      <alignment horizontal="center" vertical="top" wrapText="true"/>
    </xf>
    <xf applyAlignment="true" applyBorder="true" applyFill="false" applyFont="false" applyNumberFormat="true" borderId="3755" fillId="0" fontId="1" numFmtId="1000" quotePrefix="false">
      <alignment horizontal="center" vertical="top"/>
    </xf>
    <xf applyAlignment="true" applyBorder="true" applyFill="false" applyFont="false" applyNumberFormat="true" borderId="3756" fillId="0" fontId="1" numFmtId="1000" quotePrefix="false">
      <alignment horizontal="center" vertical="top"/>
    </xf>
    <xf applyAlignment="true" applyBorder="true" applyFill="false" applyFont="false" applyNumberFormat="true" borderId="3757" fillId="0" fontId="1" numFmtId="1000" quotePrefix="false">
      <alignment horizontal="center" vertical="top"/>
    </xf>
    <xf applyAlignment="true" applyBorder="true" applyFill="false" applyFont="false" applyNumberFormat="true" borderId="3758" fillId="0" fontId="1" numFmtId="1000" quotePrefix="false">
      <alignment horizontal="center" vertical="top"/>
    </xf>
    <xf applyAlignment="true" applyBorder="true" applyFill="false" applyFont="false" applyNumberFormat="true" borderId="3759" fillId="0" fontId="1" numFmtId="1000" quotePrefix="false">
      <alignment horizontal="center" vertical="top"/>
    </xf>
    <xf applyAlignment="true" applyBorder="true" applyFill="false" applyFont="false" applyNumberFormat="true" borderId="3760" fillId="0" fontId="1" numFmtId="1000" quotePrefix="false">
      <alignment horizontal="center" vertical="top"/>
    </xf>
    <xf applyAlignment="true" applyBorder="true" applyFill="false" applyFont="true" applyNumberFormat="true" borderId="3761" fillId="0" fontId="2" numFmtId="1000" quotePrefix="false">
      <alignment horizontal="center" vertical="top"/>
    </xf>
    <xf applyAlignment="true" applyBorder="true" applyFill="false" applyFont="false" applyNumberFormat="true" borderId="3762" fillId="0" fontId="1" numFmtId="1000" quotePrefix="false">
      <alignment horizontal="left" vertical="top"/>
    </xf>
    <xf applyAlignment="true" applyBorder="true" applyFill="false" applyFont="false" applyNumberFormat="true" borderId="3763" fillId="0" fontId="1" numFmtId="1000" quotePrefix="false">
      <alignment horizontal="left" vertical="top"/>
    </xf>
    <xf applyAlignment="true" applyBorder="true" applyFill="false" applyFont="false" applyNumberFormat="true" borderId="3764" fillId="0" fontId="1" numFmtId="1000" quotePrefix="false">
      <alignment horizontal="left" vertical="top"/>
    </xf>
    <xf applyAlignment="true" applyBorder="true" applyFill="false" applyFont="false" applyNumberFormat="true" borderId="3765" fillId="0" fontId="1" numFmtId="1000" quotePrefix="false">
      <alignment horizontal="left" vertical="top"/>
    </xf>
    <xf applyAlignment="true" applyBorder="true" applyFill="false" applyFont="false" applyNumberFormat="true" borderId="3766" fillId="0" fontId="1" numFmtId="1000" quotePrefix="false">
      <alignment horizontal="left" vertical="top"/>
    </xf>
    <xf applyAlignment="true" applyBorder="true" applyFill="false" applyFont="false" applyNumberFormat="true" borderId="3767" fillId="0" fontId="1" numFmtId="1000" quotePrefix="false">
      <alignment horizontal="left" vertical="top"/>
    </xf>
    <xf applyAlignment="true" applyBorder="true" applyFill="false" applyFont="false" applyNumberFormat="true" borderId="3768" fillId="0" fontId="1" numFmtId="1000" quotePrefix="false">
      <alignment horizontal="left" vertical="top"/>
    </xf>
    <xf applyAlignment="true" applyBorder="true" applyFill="false" applyFont="false" applyNumberFormat="true" borderId="3769" fillId="0" fontId="1" numFmtId="1000" quotePrefix="false">
      <alignment horizontal="left" vertical="top"/>
    </xf>
    <xf applyAlignment="true" applyBorder="true" applyFill="false" applyFont="false" applyNumberFormat="true" borderId="3770" fillId="0" fontId="1" numFmtId="1000" quotePrefix="false">
      <alignment horizontal="left" vertical="top"/>
    </xf>
    <xf applyAlignment="true" applyBorder="true" applyFill="false" applyFont="false" applyNumberFormat="true" borderId="3771" fillId="0" fontId="1" numFmtId="1000" quotePrefix="false">
      <alignment horizontal="left" vertical="top"/>
    </xf>
    <xf applyAlignment="true" applyBorder="true" applyFill="false" applyFont="false" applyNumberFormat="true" borderId="3772" fillId="0" fontId="1" numFmtId="1000" quotePrefix="false">
      <alignment horizontal="left" vertical="top"/>
    </xf>
    <xf applyAlignment="true" applyBorder="true" applyFill="false" applyFont="false" applyNumberFormat="true" borderId="3773" fillId="0" fontId="1" numFmtId="1000" quotePrefix="false">
      <alignment horizontal="left" vertical="top"/>
    </xf>
    <xf applyAlignment="true" applyBorder="true" applyFill="false" applyFont="false" applyNumberFormat="true" borderId="3774" fillId="0" fontId="1" numFmtId="1000" quotePrefix="false">
      <alignment horizontal="left" vertical="top"/>
    </xf>
    <xf applyAlignment="true" applyBorder="true" applyFill="false" applyFont="false" applyNumberFormat="true" borderId="3775" fillId="0" fontId="1" numFmtId="1000" quotePrefix="false">
      <alignment horizontal="left" vertical="top"/>
    </xf>
    <xf applyAlignment="true" applyBorder="true" applyFill="false" applyFont="false" applyNumberFormat="true" borderId="3776" fillId="0" fontId="1" numFmtId="1000" quotePrefix="false">
      <alignment horizontal="left" vertical="top"/>
    </xf>
    <xf applyAlignment="true" applyBorder="true" applyFill="false" applyFont="false" applyNumberFormat="true" borderId="3777" fillId="0" fontId="1" numFmtId="1000" quotePrefix="false">
      <alignment horizontal="left" vertical="top"/>
    </xf>
    <xf applyAlignment="true" applyBorder="true" applyFill="false" applyFont="false" applyNumberFormat="true" borderId="3778" fillId="0" fontId="1" numFmtId="1000" quotePrefix="false">
      <alignment horizontal="left" vertical="top"/>
    </xf>
    <xf applyAlignment="true" applyBorder="true" applyFill="false" applyFont="false" applyNumberFormat="true" borderId="3779" fillId="0" fontId="1" numFmtId="1000" quotePrefix="false">
      <alignment horizontal="left" vertical="top"/>
    </xf>
    <xf applyAlignment="true" applyBorder="true" applyFill="false" applyFont="false" applyNumberFormat="true" borderId="3780" fillId="0" fontId="1" numFmtId="1000" quotePrefix="false">
      <alignment horizontal="left" vertical="top"/>
    </xf>
    <xf applyAlignment="true" applyBorder="true" applyFill="false" applyFont="true" applyNumberFormat="true" borderId="3781" fillId="0" fontId="2" numFmtId="1000" quotePrefix="false">
      <alignment horizontal="center"/>
    </xf>
    <xf applyAlignment="true" applyBorder="true" applyFill="false" applyFont="true" applyNumberFormat="true" borderId="3782" fillId="0" fontId="2" numFmtId="1000" quotePrefix="false">
      <alignment horizontal="center"/>
    </xf>
    <xf applyAlignment="true" applyBorder="true" applyFill="false" applyFont="true" applyNumberFormat="true" borderId="3783" fillId="0" fontId="2" numFmtId="1000" quotePrefix="false">
      <alignment horizontal="center"/>
    </xf>
    <xf applyAlignment="true" applyBorder="true" applyFill="false" applyFont="false" applyNumberFormat="true" borderId="3784" fillId="0" fontId="1" numFmtId="1000" quotePrefix="false">
      <alignment horizontal="center" vertical="top"/>
    </xf>
    <xf applyAlignment="true" applyBorder="true" applyFill="false" applyFont="false" applyNumberFormat="true" borderId="3785" fillId="0" fontId="1" numFmtId="1000" quotePrefix="false">
      <alignment horizontal="center" vertical="top"/>
    </xf>
    <xf applyAlignment="true" applyBorder="true" applyFill="false" applyFont="false" applyNumberFormat="true" borderId="3786" fillId="0" fontId="1" numFmtId="1000" quotePrefix="false">
      <alignment horizontal="center" vertical="top"/>
    </xf>
    <xf applyAlignment="true" applyBorder="true" applyFill="false" applyFont="false" applyNumberFormat="true" borderId="3787" fillId="0" fontId="1" numFmtId="1000" quotePrefix="false">
      <alignment horizontal="center" vertical="top"/>
    </xf>
    <xf applyAlignment="true" applyBorder="true" applyFill="false" applyFont="false" applyNumberFormat="true" borderId="3788" fillId="0" fontId="1" numFmtId="1000" quotePrefix="false">
      <alignment horizontal="center" vertical="top"/>
    </xf>
    <xf applyAlignment="true" applyBorder="true" applyFill="false" applyFont="false" applyNumberFormat="true" borderId="3789" fillId="0" fontId="1" numFmtId="1000" quotePrefix="false">
      <alignment horizontal="center" vertical="top"/>
    </xf>
    <xf applyAlignment="true" applyBorder="true" applyFill="false" applyFont="false" applyNumberFormat="true" borderId="3790" fillId="0" fontId="1" numFmtId="1000" quotePrefix="false">
      <alignment horizontal="center" vertical="top"/>
    </xf>
    <xf applyAlignment="true" applyBorder="true" applyFill="false" applyFont="false" applyNumberFormat="true" borderId="3791" fillId="0" fontId="1" numFmtId="1000" quotePrefix="false">
      <alignment horizontal="center" vertical="top"/>
    </xf>
    <xf applyAlignment="true" applyBorder="true" applyFill="false" applyFont="false" applyNumberFormat="true" borderId="3792" fillId="0" fontId="1" numFmtId="1000" quotePrefix="false">
      <alignment horizontal="center" vertical="top"/>
    </xf>
    <xf applyAlignment="true" applyBorder="true" applyFill="false" applyFont="false" applyNumberFormat="true" borderId="3793" fillId="0" fontId="1" numFmtId="1000" quotePrefix="false">
      <alignment horizontal="center" vertical="top"/>
    </xf>
    <xf applyAlignment="true" applyBorder="true" applyFill="false" applyFont="false" applyNumberFormat="true" borderId="3794" fillId="0" fontId="1" numFmtId="1000" quotePrefix="false">
      <alignment horizontal="center" vertical="top"/>
    </xf>
    <xf applyAlignment="true" applyBorder="true" applyFill="false" applyFont="false" applyNumberFormat="true" borderId="3795" fillId="0" fontId="1" numFmtId="1000" quotePrefix="false">
      <alignment horizontal="center" vertical="top"/>
    </xf>
    <xf applyAlignment="true" applyBorder="true" applyFill="false" applyFont="false" applyNumberFormat="true" borderId="3796" fillId="0" fontId="1" numFmtId="1000" quotePrefix="false">
      <alignment horizontal="center" vertical="top"/>
    </xf>
    <xf applyAlignment="true" applyBorder="true" applyFill="false" applyFont="false" applyNumberFormat="true" borderId="3797" fillId="0" fontId="1" numFmtId="1000" quotePrefix="false">
      <alignment horizontal="center" vertical="top"/>
    </xf>
    <xf applyAlignment="true" applyBorder="true" applyFill="false" applyFont="false" applyNumberFormat="true" borderId="3798" fillId="0" fontId="1" numFmtId="1000" quotePrefix="false">
      <alignment horizontal="center" vertical="top"/>
    </xf>
    <xf applyAlignment="true" applyBorder="true" applyFill="false" applyFont="false" applyNumberFormat="true" borderId="3799" fillId="0" fontId="1" numFmtId="1000" quotePrefix="false">
      <alignment horizontal="center" vertical="top"/>
    </xf>
    <xf applyAlignment="true" applyBorder="true" applyFill="false" applyFont="false" applyNumberFormat="true" borderId="3800" fillId="0" fontId="1" numFmtId="1000" quotePrefix="false">
      <alignment horizontal="center" vertical="top"/>
    </xf>
    <xf applyAlignment="true" applyBorder="true" applyFill="false" applyFont="false" applyNumberFormat="true" borderId="3801" fillId="0" fontId="1" numFmtId="1000" quotePrefix="false">
      <alignment horizontal="center" vertical="top"/>
    </xf>
    <xf applyAlignment="true" applyBorder="true" applyFill="false" applyFont="false" applyNumberFormat="true" borderId="3802" fillId="0" fontId="1" numFmtId="1000" quotePrefix="false">
      <alignment horizontal="center" vertical="top"/>
    </xf>
    <xf applyAlignment="true" applyBorder="true" applyFill="false" applyFont="false" applyNumberFormat="true" borderId="3803" fillId="0" fontId="1" numFmtId="1000" quotePrefix="false">
      <alignment horizontal="center" vertical="top"/>
    </xf>
    <xf applyAlignment="true" applyBorder="true" applyFill="false" applyFont="false" applyNumberFormat="true" borderId="3804" fillId="0" fontId="1" numFmtId="1000" quotePrefix="false">
      <alignment horizontal="center" vertical="top"/>
    </xf>
    <xf applyAlignment="true" applyBorder="true" applyFill="false" applyFont="false" applyNumberFormat="true" borderId="3805" fillId="0" fontId="1" numFmtId="1000" quotePrefix="false">
      <alignment horizontal="center" vertical="top"/>
    </xf>
    <xf applyAlignment="true" applyBorder="true" applyFill="false" applyFont="false" applyNumberFormat="true" borderId="3806" fillId="0" fontId="1" numFmtId="1000" quotePrefix="false">
      <alignment horizontal="center" vertical="top"/>
    </xf>
    <xf applyAlignment="true" applyBorder="true" applyFill="false" applyFont="false" applyNumberFormat="true" borderId="3807" fillId="0" fontId="1" numFmtId="1000" quotePrefix="false">
      <alignment horizontal="center" vertical="top"/>
    </xf>
    <xf applyAlignment="true" applyBorder="true" applyFill="false" applyFont="false" applyNumberFormat="true" borderId="3808" fillId="0" fontId="1" numFmtId="1000" quotePrefix="false">
      <alignment horizontal="center" vertical="top"/>
    </xf>
    <xf applyAlignment="true" applyBorder="true" applyFill="false" applyFont="false" applyNumberFormat="true" borderId="3809" fillId="0" fontId="1" numFmtId="1000" quotePrefix="false">
      <alignment horizontal="center" vertical="top"/>
    </xf>
    <xf applyAlignment="true" applyBorder="true" applyFill="false" applyFont="false" applyNumberFormat="true" borderId="3810" fillId="0" fontId="1" numFmtId="1000" quotePrefix="false">
      <alignment horizontal="center" vertical="top"/>
    </xf>
    <xf applyAlignment="true" applyBorder="true" applyFill="false" applyFont="false" applyNumberFormat="true" borderId="3811" fillId="0" fontId="1" numFmtId="1000" quotePrefix="false">
      <alignment horizontal="center" vertical="top"/>
    </xf>
    <xf applyAlignment="true" applyBorder="true" applyFill="false" applyFont="false" applyNumberFormat="true" borderId="3812" fillId="0" fontId="1" numFmtId="1000" quotePrefix="false">
      <alignment horizontal="center" vertical="top"/>
    </xf>
    <xf applyAlignment="true" applyBorder="true" applyFill="false" applyFont="false" applyNumberFormat="true" borderId="3813" fillId="0" fontId="1" numFmtId="1000" quotePrefix="false">
      <alignment horizontal="center" vertical="top"/>
    </xf>
    <xf applyAlignment="true" applyBorder="true" applyFill="true" applyFont="false" applyNumberFormat="true" borderId="3814" fillId="3" fontId="1" numFmtId="1000" quotePrefix="false">
      <alignment horizontal="center" vertical="top" wrapText="true"/>
    </xf>
    <xf applyAlignment="true" applyBorder="true" applyFill="false" applyFont="false" applyNumberFormat="true" borderId="3815" fillId="0" fontId="1" numFmtId="1000" quotePrefix="false">
      <alignment horizontal="center" vertical="top"/>
    </xf>
    <xf applyAlignment="true" applyBorder="true" applyFill="false" applyFont="false" applyNumberFormat="true" borderId="3816" fillId="0" fontId="1" numFmtId="1000" quotePrefix="false">
      <alignment horizontal="center" vertical="top"/>
    </xf>
    <xf applyAlignment="true" applyBorder="true" applyFill="false" applyFont="false" applyNumberFormat="true" borderId="3817" fillId="0" fontId="1" numFmtId="1000" quotePrefix="false">
      <alignment horizontal="center" vertical="top"/>
    </xf>
    <xf applyAlignment="true" applyBorder="true" applyFill="false" applyFont="false" applyNumberFormat="true" borderId="3818" fillId="0" fontId="1" numFmtId="1000" quotePrefix="false">
      <alignment horizontal="center" vertical="top"/>
    </xf>
    <xf applyAlignment="true" applyBorder="true" applyFill="false" applyFont="false" applyNumberFormat="true" borderId="3819" fillId="0" fontId="1" numFmtId="1000" quotePrefix="false">
      <alignment horizontal="center" vertical="top"/>
    </xf>
    <xf applyAlignment="true" applyBorder="true" applyFill="false" applyFont="false" applyNumberFormat="true" borderId="3820" fillId="0" fontId="1" numFmtId="1000" quotePrefix="false">
      <alignment horizontal="center" vertical="top"/>
    </xf>
    <xf applyAlignment="true" applyBorder="true" applyFill="false" applyFont="false" applyNumberFormat="true" borderId="3821" fillId="0" fontId="1" numFmtId="1000" quotePrefix="false">
      <alignment horizontal="center" vertical="top"/>
    </xf>
    <xf applyAlignment="true" applyBorder="true" applyFill="false" applyFont="false" applyNumberFormat="true" borderId="3822" fillId="0" fontId="1" numFmtId="1000" quotePrefix="false">
      <alignment horizontal="center" vertical="top"/>
    </xf>
    <xf applyAlignment="true" applyBorder="true" applyFill="false" applyFont="false" applyNumberFormat="true" borderId="3823" fillId="0" fontId="1" numFmtId="1000" quotePrefix="false">
      <alignment horizontal="center" vertical="top"/>
    </xf>
    <xf applyAlignment="true" applyBorder="true" applyFill="false" applyFont="false" applyNumberFormat="true" borderId="3824" fillId="0" fontId="1" numFmtId="1000" quotePrefix="false">
      <alignment horizontal="center" vertical="top"/>
    </xf>
    <xf applyAlignment="true" applyBorder="true" applyFill="false" applyFont="false" applyNumberFormat="true" borderId="3825" fillId="0" fontId="1" numFmtId="1000" quotePrefix="false">
      <alignment horizontal="center" vertical="top"/>
    </xf>
    <xf applyAlignment="true" applyBorder="true" applyFill="false" applyFont="false" applyNumberFormat="true" borderId="3826" fillId="0" fontId="1" numFmtId="1000" quotePrefix="false">
      <alignment horizontal="center" vertical="top"/>
    </xf>
    <xf applyAlignment="true" applyBorder="true" applyFill="false" applyFont="false" applyNumberFormat="true" borderId="3827" fillId="0" fontId="1" numFmtId="1000" quotePrefix="false">
      <alignment horizontal="center" vertical="top"/>
    </xf>
    <xf applyAlignment="true" applyBorder="true" applyFill="false" applyFont="false" applyNumberFormat="true" borderId="3828" fillId="0" fontId="1" numFmtId="1000" quotePrefix="false">
      <alignment horizontal="center" vertical="top"/>
    </xf>
    <xf applyAlignment="true" applyBorder="true" applyFill="false" applyFont="false" applyNumberFormat="true" borderId="3829" fillId="0" fontId="1" numFmtId="1000" quotePrefix="false">
      <alignment horizontal="center" vertical="top"/>
    </xf>
    <xf applyAlignment="true" applyBorder="true" applyFill="false" applyFont="false" applyNumberFormat="true" borderId="3830" fillId="0" fontId="1" numFmtId="1000" quotePrefix="false">
      <alignment horizontal="center" vertical="top"/>
    </xf>
    <xf applyAlignment="true" applyBorder="true" applyFill="false" applyFont="false" applyNumberFormat="true" borderId="3831" fillId="0" fontId="1" numFmtId="1000" quotePrefix="false">
      <alignment horizontal="center" vertical="top"/>
    </xf>
    <xf applyAlignment="true" applyBorder="true" applyFill="false" applyFont="false" applyNumberFormat="true" borderId="3832" fillId="0" fontId="1" numFmtId="1000" quotePrefix="false">
      <alignment horizontal="center" vertical="top"/>
    </xf>
    <xf applyAlignment="true" applyBorder="true" applyFill="false" applyFont="false" applyNumberFormat="true" borderId="3833" fillId="0" fontId="1" numFmtId="1000" quotePrefix="false">
      <alignment horizontal="center" vertical="top"/>
    </xf>
    <xf applyAlignment="true" applyBorder="true" applyFill="false" applyFont="false" applyNumberFormat="true" borderId="3834" fillId="0" fontId="1" numFmtId="1000" quotePrefix="false">
      <alignment horizontal="center" vertical="top"/>
    </xf>
    <xf applyAlignment="true" applyBorder="true" applyFill="false" applyFont="false" applyNumberFormat="true" borderId="3835" fillId="0" fontId="1" numFmtId="1000" quotePrefix="false">
      <alignment horizontal="center" vertical="top"/>
    </xf>
    <xf applyAlignment="true" applyBorder="true" applyFill="false" applyFont="false" applyNumberFormat="true" borderId="3836" fillId="0" fontId="1" numFmtId="1000" quotePrefix="false">
      <alignment horizontal="center" vertical="top"/>
    </xf>
    <xf applyAlignment="true" applyBorder="true" applyFill="true" applyFont="false" applyNumberFormat="true" borderId="3837" fillId="2" fontId="1" numFmtId="1000" quotePrefix="false">
      <alignment horizontal="center" vertical="top" wrapText="true"/>
    </xf>
    <xf applyAlignment="true" applyBorder="true" applyFill="false" applyFont="false" applyNumberFormat="true" borderId="3838" fillId="0" fontId="1" numFmtId="1000" quotePrefix="false">
      <alignment horizontal="center" vertical="top"/>
    </xf>
    <xf applyAlignment="true" applyBorder="true" applyFill="false" applyFont="false" applyNumberFormat="true" borderId="3839" fillId="0" fontId="1" numFmtId="1000" quotePrefix="false">
      <alignment horizontal="center" vertical="top"/>
    </xf>
    <xf applyAlignment="true" applyBorder="true" applyFill="false" applyFont="true" applyNumberFormat="true" borderId="3840" fillId="0" fontId="2" numFmtId="1000" quotePrefix="false">
      <alignment horizontal="center" vertical="top"/>
    </xf>
    <xf applyAlignment="true" applyBorder="true" applyFill="false" applyFont="false" applyNumberFormat="true" borderId="3841" fillId="0" fontId="1" numFmtId="1000" quotePrefix="false">
      <alignment horizontal="left" vertical="top"/>
    </xf>
    <xf applyAlignment="true" applyBorder="true" applyFill="false" applyFont="false" applyNumberFormat="true" borderId="3842" fillId="0" fontId="1" numFmtId="1000" quotePrefix="false">
      <alignment horizontal="left" vertical="top"/>
    </xf>
    <xf applyAlignment="true" applyBorder="true" applyFill="false" applyFont="false" applyNumberFormat="true" borderId="3843" fillId="0" fontId="1" numFmtId="1000" quotePrefix="false">
      <alignment horizontal="left" vertical="top"/>
    </xf>
    <xf applyAlignment="true" applyBorder="true" applyFill="false" applyFont="false" applyNumberFormat="true" borderId="3844" fillId="0" fontId="1" numFmtId="1000" quotePrefix="false">
      <alignment horizontal="left" vertical="top"/>
    </xf>
    <xf applyAlignment="true" applyBorder="true" applyFill="false" applyFont="false" applyNumberFormat="true" borderId="3845" fillId="0" fontId="1" numFmtId="1000" quotePrefix="false">
      <alignment horizontal="left" vertical="top"/>
    </xf>
    <xf applyAlignment="true" applyBorder="true" applyFill="false" applyFont="false" applyNumberFormat="true" borderId="3846" fillId="0" fontId="1" numFmtId="1000" quotePrefix="false">
      <alignment horizontal="left" vertical="top"/>
    </xf>
    <xf applyAlignment="true" applyBorder="true" applyFill="false" applyFont="false" applyNumberFormat="true" borderId="3847" fillId="0" fontId="1" numFmtId="1000" quotePrefix="false">
      <alignment horizontal="left" vertical="top"/>
    </xf>
    <xf applyAlignment="true" applyBorder="true" applyFill="false" applyFont="false" applyNumberFormat="true" borderId="3848" fillId="0" fontId="1" numFmtId="1000" quotePrefix="false">
      <alignment horizontal="left" vertical="top"/>
    </xf>
    <xf applyAlignment="true" applyBorder="true" applyFill="false" applyFont="false" applyNumberFormat="true" borderId="3849" fillId="0" fontId="1" numFmtId="1000" quotePrefix="false">
      <alignment horizontal="left" vertical="top"/>
    </xf>
    <xf applyAlignment="true" applyBorder="true" applyFill="false" applyFont="false" applyNumberFormat="true" borderId="3850" fillId="0" fontId="1" numFmtId="1000" quotePrefix="false">
      <alignment horizontal="left" vertical="top"/>
    </xf>
    <xf applyAlignment="true" applyBorder="true" applyFill="false" applyFont="false" applyNumberFormat="true" borderId="3851" fillId="0" fontId="1" numFmtId="1000" quotePrefix="false">
      <alignment horizontal="left" vertical="top"/>
    </xf>
    <xf applyAlignment="true" applyBorder="true" applyFill="false" applyFont="false" applyNumberFormat="true" borderId="3852" fillId="0" fontId="1" numFmtId="1000" quotePrefix="false">
      <alignment horizontal="left" vertical="top"/>
    </xf>
    <xf applyAlignment="true" applyBorder="true" applyFill="false" applyFont="false" applyNumberFormat="true" borderId="3853" fillId="0" fontId="1" numFmtId="1000" quotePrefix="false">
      <alignment horizontal="left" vertical="top"/>
    </xf>
    <xf applyAlignment="true" applyBorder="true" applyFill="false" applyFont="false" applyNumberFormat="true" borderId="3854" fillId="0" fontId="1" numFmtId="1000" quotePrefix="false">
      <alignment horizontal="left" vertical="top"/>
    </xf>
    <xf applyAlignment="true" applyBorder="true" applyFill="false" applyFont="false" applyNumberFormat="true" borderId="3855" fillId="0" fontId="1" numFmtId="1000" quotePrefix="false">
      <alignment horizontal="left" vertical="top"/>
    </xf>
    <xf applyAlignment="true" applyBorder="true" applyFill="false" applyFont="false" applyNumberFormat="true" borderId="3856" fillId="0" fontId="1" numFmtId="1000" quotePrefix="false">
      <alignment horizontal="left" vertical="top"/>
    </xf>
    <xf applyAlignment="true" applyBorder="true" applyFill="false" applyFont="false" applyNumberFormat="true" borderId="3857" fillId="0" fontId="1" numFmtId="1000" quotePrefix="false">
      <alignment horizontal="left" vertical="top"/>
    </xf>
    <xf applyAlignment="true" applyBorder="true" applyFill="false" applyFont="false" applyNumberFormat="true" borderId="3858" fillId="0" fontId="1" numFmtId="1000" quotePrefix="false">
      <alignment horizontal="left" vertical="top"/>
    </xf>
    <xf applyAlignment="true" applyBorder="true" applyFill="false" applyFont="false" applyNumberFormat="true" borderId="3859" fillId="0" fontId="1" numFmtId="1000" quotePrefix="false">
      <alignment horizontal="left" vertical="top"/>
    </xf>
    <xf applyAlignment="true" applyBorder="true" applyFill="false" applyFont="true" applyNumberFormat="true" borderId="3860" fillId="0" fontId="2" numFmtId="1000" quotePrefix="false">
      <alignment horizontal="center"/>
    </xf>
    <xf applyAlignment="true" applyBorder="true" applyFill="false" applyFont="true" applyNumberFormat="true" borderId="3861" fillId="0" fontId="2" numFmtId="1000" quotePrefix="false">
      <alignment horizontal="center"/>
    </xf>
    <xf applyAlignment="true" applyBorder="true" applyFill="false" applyFont="true" applyNumberFormat="true" borderId="3862" fillId="0" fontId="2" numFmtId="1000" quotePrefix="false">
      <alignment horizontal="center"/>
    </xf>
    <xf applyAlignment="true" applyBorder="true" applyFill="false" applyFont="false" applyNumberFormat="true" borderId="3863" fillId="0" fontId="1" numFmtId="1000" quotePrefix="false">
      <alignment horizontal="center" vertical="top"/>
    </xf>
    <xf applyAlignment="true" applyBorder="true" applyFill="false" applyFont="false" applyNumberFormat="true" borderId="3864" fillId="0" fontId="1" numFmtId="1000" quotePrefix="false">
      <alignment horizontal="center" vertical="top"/>
    </xf>
    <xf applyAlignment="true" applyBorder="true" applyFill="false" applyFont="false" applyNumberFormat="true" borderId="3865" fillId="0" fontId="1" numFmtId="1000" quotePrefix="false">
      <alignment horizontal="center" vertical="top"/>
    </xf>
    <xf applyAlignment="true" applyBorder="true" applyFill="false" applyFont="false" applyNumberFormat="true" borderId="3866" fillId="0" fontId="1" numFmtId="1000" quotePrefix="false">
      <alignment horizontal="center" vertical="top"/>
    </xf>
    <xf applyAlignment="true" applyBorder="true" applyFill="false" applyFont="false" applyNumberFormat="true" borderId="3867" fillId="0" fontId="1" numFmtId="1000" quotePrefix="false">
      <alignment horizontal="center" vertical="top"/>
    </xf>
    <xf applyAlignment="true" applyBorder="true" applyFill="false" applyFont="false" applyNumberFormat="true" borderId="3868" fillId="0" fontId="1" numFmtId="1000" quotePrefix="false">
      <alignment horizontal="center" vertical="top"/>
    </xf>
    <xf applyAlignment="true" applyBorder="true" applyFill="false" applyFont="false" applyNumberFormat="true" borderId="3869" fillId="0" fontId="1" numFmtId="1000" quotePrefix="false">
      <alignment horizontal="center" vertical="top"/>
    </xf>
    <xf applyAlignment="true" applyBorder="true" applyFill="false" applyFont="false" applyNumberFormat="true" borderId="3870" fillId="0" fontId="1" numFmtId="1000" quotePrefix="false">
      <alignment horizontal="center" vertical="top"/>
    </xf>
    <xf applyAlignment="true" applyBorder="true" applyFill="false" applyFont="false" applyNumberFormat="true" borderId="3871" fillId="0" fontId="1" numFmtId="1000" quotePrefix="false">
      <alignment horizontal="center" vertical="top"/>
    </xf>
    <xf applyAlignment="true" applyBorder="true" applyFill="false" applyFont="false" applyNumberFormat="true" borderId="3872" fillId="0" fontId="1" numFmtId="1000" quotePrefix="false">
      <alignment horizontal="center" vertical="top"/>
    </xf>
    <xf applyAlignment="true" applyBorder="true" applyFill="false" applyFont="false" applyNumberFormat="true" borderId="3873" fillId="0" fontId="1" numFmtId="1000" quotePrefix="false">
      <alignment horizontal="center" vertical="top"/>
    </xf>
    <xf applyAlignment="true" applyBorder="true" applyFill="false" applyFont="false" applyNumberFormat="true" borderId="3874" fillId="0" fontId="1" numFmtId="1000" quotePrefix="false">
      <alignment horizontal="center" vertical="top"/>
    </xf>
    <xf applyAlignment="true" applyBorder="true" applyFill="false" applyFont="false" applyNumberFormat="true" borderId="3875" fillId="0" fontId="1" numFmtId="1000" quotePrefix="false">
      <alignment horizontal="center" vertical="top"/>
    </xf>
    <xf applyAlignment="true" applyBorder="true" applyFill="false" applyFont="false" applyNumberFormat="true" borderId="3876" fillId="0" fontId="1" numFmtId="1000" quotePrefix="false">
      <alignment horizontal="center" vertical="top"/>
    </xf>
    <xf applyAlignment="true" applyBorder="true" applyFill="false" applyFont="false" applyNumberFormat="true" borderId="3877" fillId="0" fontId="1" numFmtId="1000" quotePrefix="false">
      <alignment horizontal="center" vertical="top"/>
    </xf>
    <xf applyAlignment="true" applyBorder="true" applyFill="false" applyFont="false" applyNumberFormat="true" borderId="3878" fillId="0" fontId="1" numFmtId="1000" quotePrefix="false">
      <alignment horizontal="center" vertical="top"/>
    </xf>
    <xf applyAlignment="true" applyBorder="true" applyFill="false" applyFont="false" applyNumberFormat="true" borderId="3879" fillId="0" fontId="1" numFmtId="1000" quotePrefix="false">
      <alignment horizontal="center" vertical="top"/>
    </xf>
    <xf applyAlignment="true" applyBorder="true" applyFill="false" applyFont="false" applyNumberFormat="true" borderId="3880" fillId="0" fontId="1" numFmtId="1000" quotePrefix="false">
      <alignment horizontal="center" vertical="top"/>
    </xf>
    <xf applyAlignment="true" applyBorder="true" applyFill="false" applyFont="false" applyNumberFormat="true" borderId="3881" fillId="0" fontId="1" numFmtId="1000" quotePrefix="false">
      <alignment horizontal="center" vertical="top"/>
    </xf>
    <xf applyAlignment="true" applyBorder="true" applyFill="false" applyFont="false" applyNumberFormat="true" borderId="3882" fillId="0" fontId="1" numFmtId="1000" quotePrefix="false">
      <alignment horizontal="center" vertical="top"/>
    </xf>
    <xf applyAlignment="true" applyBorder="true" applyFill="false" applyFont="false" applyNumberFormat="true" borderId="3883" fillId="0" fontId="1" numFmtId="1000" quotePrefix="false">
      <alignment horizontal="center" vertical="top"/>
    </xf>
    <xf applyAlignment="true" applyBorder="true" applyFill="false" applyFont="false" applyNumberFormat="true" borderId="3884" fillId="0" fontId="1" numFmtId="1000" quotePrefix="false">
      <alignment horizontal="center" vertical="top"/>
    </xf>
    <xf applyAlignment="true" applyBorder="true" applyFill="false" applyFont="false" applyNumberFormat="true" borderId="3885" fillId="0" fontId="1" numFmtId="1000" quotePrefix="false">
      <alignment horizontal="center" vertical="top"/>
    </xf>
    <xf applyAlignment="true" applyBorder="true" applyFill="false" applyFont="false" applyNumberFormat="true" borderId="3886" fillId="0" fontId="1" numFmtId="1000" quotePrefix="false">
      <alignment horizontal="center" vertical="top"/>
    </xf>
    <xf applyAlignment="true" applyBorder="true" applyFill="false" applyFont="false" applyNumberFormat="true" borderId="3887" fillId="0" fontId="1" numFmtId="1000" quotePrefix="false">
      <alignment horizontal="center" vertical="top"/>
    </xf>
    <xf applyAlignment="true" applyBorder="true" applyFill="false" applyFont="false" applyNumberFormat="true" borderId="3888" fillId="0" fontId="1" numFmtId="1000" quotePrefix="false">
      <alignment horizontal="center" vertical="top"/>
    </xf>
    <xf applyAlignment="true" applyBorder="true" applyFill="false" applyFont="false" applyNumberFormat="true" borderId="3889" fillId="0" fontId="1" numFmtId="1000" quotePrefix="false">
      <alignment horizontal="center" vertical="top"/>
    </xf>
    <xf applyAlignment="true" applyBorder="true" applyFill="false" applyFont="false" applyNumberFormat="true" borderId="3890" fillId="0" fontId="1" numFmtId="1000" quotePrefix="false">
      <alignment horizontal="center" vertical="top"/>
    </xf>
    <xf applyAlignment="true" applyBorder="true" applyFill="false" applyFont="false" applyNumberFormat="true" borderId="3891" fillId="0" fontId="1" numFmtId="1000" quotePrefix="false">
      <alignment horizontal="center" vertical="top"/>
    </xf>
    <xf applyAlignment="true" applyBorder="true" applyFill="false" applyFont="false" applyNumberFormat="true" borderId="3892" fillId="0" fontId="1" numFmtId="1000" quotePrefix="false">
      <alignment horizontal="center" vertical="top"/>
    </xf>
    <xf applyAlignment="true" applyBorder="true" applyFill="false" applyFont="false" applyNumberFormat="true" borderId="3893" fillId="0" fontId="1" numFmtId="1000" quotePrefix="false">
      <alignment horizontal="center" vertical="top"/>
    </xf>
    <xf applyAlignment="true" applyBorder="true" applyFill="false" applyFont="false" applyNumberFormat="true" borderId="3894" fillId="0" fontId="1" numFmtId="1000" quotePrefix="false">
      <alignment horizontal="center" vertical="top"/>
    </xf>
    <xf applyAlignment="true" applyBorder="true" applyFill="false" applyFont="false" applyNumberFormat="true" borderId="3895" fillId="0" fontId="1" numFmtId="1000" quotePrefix="false">
      <alignment horizontal="center" vertical="top"/>
    </xf>
    <xf applyAlignment="true" applyBorder="true" applyFill="false" applyFont="false" applyNumberFormat="true" borderId="3896" fillId="0" fontId="1" numFmtId="1000" quotePrefix="false">
      <alignment horizontal="center" vertical="top"/>
    </xf>
    <xf applyAlignment="true" applyBorder="true" applyFill="false" applyFont="false" applyNumberFormat="true" borderId="3897" fillId="0" fontId="1" numFmtId="1000" quotePrefix="false">
      <alignment horizontal="center" vertical="top"/>
    </xf>
    <xf applyAlignment="true" applyBorder="true" applyFill="false" applyFont="false" applyNumberFormat="true" borderId="3898" fillId="0" fontId="1" numFmtId="1000" quotePrefix="false">
      <alignment horizontal="center" vertical="top"/>
    </xf>
    <xf applyAlignment="true" applyBorder="true" applyFill="false" applyFont="false" applyNumberFormat="true" borderId="3899" fillId="0" fontId="1" numFmtId="1000" quotePrefix="false">
      <alignment horizontal="center" vertical="top"/>
    </xf>
    <xf applyAlignment="true" applyBorder="true" applyFill="false" applyFont="false" applyNumberFormat="true" borderId="3900" fillId="0" fontId="1" numFmtId="1000" quotePrefix="false">
      <alignment horizontal="center" vertical="top"/>
    </xf>
    <xf applyAlignment="true" applyBorder="true" applyFill="false" applyFont="false" applyNumberFormat="true" borderId="3901" fillId="0" fontId="1" numFmtId="1000" quotePrefix="false">
      <alignment horizontal="center" vertical="top"/>
    </xf>
    <xf applyAlignment="true" applyBorder="true" applyFill="true" applyFont="false" applyNumberFormat="true" borderId="3902" fillId="10" fontId="1" numFmtId="1000" quotePrefix="false">
      <alignment horizontal="center" vertical="top" wrapText="true"/>
    </xf>
    <xf applyAlignment="true" applyBorder="true" applyFill="false" applyFont="false" applyNumberFormat="true" borderId="3903" fillId="0" fontId="1" numFmtId="1000" quotePrefix="false">
      <alignment horizontal="center" vertical="top"/>
    </xf>
    <xf applyAlignment="true" applyBorder="true" applyFill="false" applyFont="false" applyNumberFormat="true" borderId="3904" fillId="0" fontId="1" numFmtId="1000" quotePrefix="false">
      <alignment horizontal="center" vertical="top"/>
    </xf>
    <xf applyAlignment="true" applyBorder="true" applyFill="false" applyFont="false" applyNumberFormat="true" borderId="3905" fillId="0" fontId="1" numFmtId="1000" quotePrefix="false">
      <alignment horizontal="center" vertical="top"/>
    </xf>
    <xf applyAlignment="true" applyBorder="true" applyFill="false" applyFont="false" applyNumberFormat="true" borderId="3906" fillId="0" fontId="1" numFmtId="1000" quotePrefix="false">
      <alignment horizontal="center" vertical="top"/>
    </xf>
    <xf applyAlignment="true" applyBorder="true" applyFill="false" applyFont="false" applyNumberFormat="true" borderId="3907" fillId="0" fontId="1" numFmtId="1000" quotePrefix="false">
      <alignment horizontal="center" vertical="top"/>
    </xf>
    <xf applyAlignment="true" applyBorder="true" applyFill="false" applyFont="false" applyNumberFormat="true" borderId="3908" fillId="0" fontId="1" numFmtId="1000" quotePrefix="false">
      <alignment horizontal="center" vertical="top"/>
    </xf>
    <xf applyAlignment="true" applyBorder="true" applyFill="true" applyFont="false" applyNumberFormat="true" borderId="3909" fillId="10" fontId="1" numFmtId="1000" quotePrefix="false">
      <alignment horizontal="center" vertical="top" wrapText="true"/>
    </xf>
    <xf applyAlignment="true" applyBorder="true" applyFill="false" applyFont="false" applyNumberFormat="true" borderId="3910" fillId="0" fontId="1" numFmtId="1000" quotePrefix="false">
      <alignment horizontal="center" vertical="top"/>
    </xf>
    <xf applyAlignment="true" applyBorder="true" applyFill="false" applyFont="false" applyNumberFormat="true" borderId="3911" fillId="0" fontId="1" numFmtId="1000" quotePrefix="false">
      <alignment horizontal="center" vertical="top"/>
    </xf>
    <xf applyAlignment="true" applyBorder="true" applyFill="false" applyFont="false" applyNumberFormat="true" borderId="3912" fillId="0" fontId="1" numFmtId="1000" quotePrefix="false">
      <alignment horizontal="center" vertical="top"/>
    </xf>
    <xf applyAlignment="true" applyBorder="true" applyFill="false" applyFont="false" applyNumberFormat="true" borderId="3913" fillId="0" fontId="1" numFmtId="1000" quotePrefix="false">
      <alignment horizontal="center" vertical="top"/>
    </xf>
    <xf applyAlignment="true" applyBorder="true" applyFill="false" applyFont="false" applyNumberFormat="true" borderId="3914" fillId="0" fontId="1" numFmtId="1000" quotePrefix="false">
      <alignment horizontal="center" vertical="top"/>
    </xf>
    <xf applyAlignment="true" applyBorder="true" applyFill="false" applyFont="false" applyNumberFormat="true" borderId="3915" fillId="0" fontId="1" numFmtId="1000" quotePrefix="false">
      <alignment horizontal="center" vertical="top"/>
    </xf>
    <xf applyAlignment="true" applyBorder="true" applyFill="false" applyFont="false" applyNumberFormat="true" borderId="3916" fillId="0" fontId="1" numFmtId="1000" quotePrefix="false">
      <alignment horizontal="center" vertical="top"/>
    </xf>
    <xf applyAlignment="true" applyBorder="true" applyFill="false" applyFont="false" applyNumberFormat="true" borderId="3917" fillId="0" fontId="1" numFmtId="1000" quotePrefix="false">
      <alignment horizontal="center" vertical="top"/>
    </xf>
    <xf applyAlignment="true" applyBorder="true" applyFill="false" applyFont="false" applyNumberFormat="true" borderId="3918" fillId="0" fontId="1" numFmtId="1000" quotePrefix="false">
      <alignment horizontal="center" vertical="top"/>
    </xf>
    <xf applyAlignment="true" applyBorder="true" applyFill="false" applyFont="false" applyNumberFormat="true" borderId="3919" fillId="0" fontId="1" numFmtId="1000" quotePrefix="false">
      <alignment horizontal="center" vertical="top"/>
    </xf>
    <xf applyAlignment="true" applyBorder="true" applyFill="false" applyFont="false" applyNumberFormat="true" borderId="3920" fillId="0" fontId="1" numFmtId="1000" quotePrefix="false">
      <alignment horizontal="center" vertical="top"/>
    </xf>
    <xf applyAlignment="true" applyBorder="true" applyFill="false" applyFont="false" applyNumberFormat="true" borderId="3921" fillId="0" fontId="1" numFmtId="1000" quotePrefix="false">
      <alignment horizontal="center" vertical="top"/>
    </xf>
    <xf applyAlignment="true" applyBorder="true" applyFill="true" applyFont="false" applyNumberFormat="true" borderId="3922" fillId="3" fontId="1" numFmtId="1000" quotePrefix="false">
      <alignment horizontal="center" vertical="top" wrapText="true"/>
    </xf>
    <xf applyAlignment="true" applyBorder="true" applyFill="false" applyFont="false" applyNumberFormat="true" borderId="3923" fillId="0" fontId="1" numFmtId="1000" quotePrefix="false">
      <alignment horizontal="center" vertical="top"/>
    </xf>
    <xf applyAlignment="true" applyBorder="true" applyFill="false" applyFont="false" applyNumberFormat="true" borderId="3924" fillId="0" fontId="1" numFmtId="1000" quotePrefix="false">
      <alignment horizontal="center" vertical="top"/>
    </xf>
    <xf applyAlignment="true" applyBorder="true" applyFill="false" applyFont="false" applyNumberFormat="true" borderId="3925" fillId="0" fontId="1" numFmtId="1000" quotePrefix="false">
      <alignment horizontal="center" vertical="top"/>
    </xf>
    <xf applyAlignment="true" applyBorder="true" applyFill="false" applyFont="false" applyNumberFormat="true" borderId="3926" fillId="0" fontId="1" numFmtId="1000" quotePrefix="false">
      <alignment horizontal="center" vertical="top"/>
    </xf>
    <xf applyAlignment="true" applyBorder="true" applyFill="false" applyFont="false" applyNumberFormat="true" borderId="3927" fillId="0" fontId="1" numFmtId="1000" quotePrefix="false">
      <alignment horizontal="center" vertical="top"/>
    </xf>
    <xf applyAlignment="true" applyBorder="true" applyFill="false" applyFont="false" applyNumberFormat="true" borderId="3928" fillId="0" fontId="1" numFmtId="1000" quotePrefix="false">
      <alignment horizontal="center" vertical="top"/>
    </xf>
    <xf applyAlignment="true" applyBorder="true" applyFill="true" applyFont="false" applyNumberFormat="true" borderId="3929" fillId="3" fontId="1" numFmtId="1000" quotePrefix="false">
      <alignment horizontal="center" vertical="top" wrapText="true"/>
    </xf>
    <xf applyAlignment="true" applyBorder="true" applyFill="false" applyFont="false" applyNumberFormat="true" borderId="3930" fillId="0" fontId="1" numFmtId="1000" quotePrefix="false">
      <alignment horizontal="center" vertical="top"/>
    </xf>
    <xf applyAlignment="true" applyBorder="true" applyFill="false" applyFont="false" applyNumberFormat="true" borderId="3931" fillId="0" fontId="1" numFmtId="1000" quotePrefix="false">
      <alignment horizontal="center" vertical="top"/>
    </xf>
    <xf applyAlignment="true" applyBorder="true" applyFill="false" applyFont="false" applyNumberFormat="true" borderId="3932" fillId="0" fontId="1" numFmtId="1000" quotePrefix="false">
      <alignment horizontal="center" vertical="top"/>
    </xf>
    <xf applyAlignment="true" applyBorder="true" applyFill="false" applyFont="false" applyNumberFormat="true" borderId="3933" fillId="0" fontId="1" numFmtId="1000" quotePrefix="false">
      <alignment horizontal="center" vertical="top"/>
    </xf>
    <xf applyAlignment="true" applyBorder="true" applyFill="false" applyFont="false" applyNumberFormat="true" borderId="3934" fillId="0" fontId="1" numFmtId="1000" quotePrefix="false">
      <alignment horizontal="center" vertical="top"/>
    </xf>
    <xf applyAlignment="true" applyBorder="true" applyFill="false" applyFont="false" applyNumberFormat="true" borderId="3935" fillId="0" fontId="1" numFmtId="1000" quotePrefix="false">
      <alignment horizontal="center" vertical="top"/>
    </xf>
    <xf applyAlignment="true" applyBorder="true" applyFill="false" applyFont="false" applyNumberFormat="true" borderId="3936" fillId="0" fontId="1" numFmtId="1000" quotePrefix="false">
      <alignment horizontal="center" vertical="top"/>
    </xf>
    <xf applyAlignment="true" applyBorder="true" applyFill="false" applyFont="false" applyNumberFormat="true" borderId="3937" fillId="0" fontId="1" numFmtId="1000" quotePrefix="false">
      <alignment horizontal="center" vertical="top"/>
    </xf>
    <xf applyAlignment="true" applyBorder="true" applyFill="false" applyFont="false" applyNumberFormat="true" borderId="3938" fillId="0" fontId="1" numFmtId="1000" quotePrefix="false">
      <alignment horizontal="center" vertical="top"/>
    </xf>
    <xf applyAlignment="true" applyBorder="true" applyFill="false" applyFont="false" applyNumberFormat="true" borderId="3939" fillId="0" fontId="1" numFmtId="1000" quotePrefix="false">
      <alignment horizontal="center" vertical="top"/>
    </xf>
    <xf applyAlignment="true" applyBorder="true" applyFill="true" applyFont="false" applyNumberFormat="true" borderId="3940" fillId="3" fontId="1" numFmtId="1000" quotePrefix="false">
      <alignment horizontal="center" vertical="top" wrapText="true"/>
    </xf>
    <xf applyAlignment="true" applyBorder="true" applyFill="false" applyFont="false" applyNumberFormat="true" borderId="3941" fillId="0" fontId="1" numFmtId="1000" quotePrefix="false">
      <alignment horizontal="center" vertical="top"/>
    </xf>
    <xf applyAlignment="true" applyBorder="true" applyFill="false" applyFont="false" applyNumberFormat="true" borderId="3942" fillId="0" fontId="1" numFmtId="1000" quotePrefix="false">
      <alignment horizontal="center" vertical="top"/>
    </xf>
    <xf applyAlignment="true" applyBorder="true" applyFill="false" applyFont="true" applyNumberFormat="true" borderId="3943" fillId="0" fontId="2" numFmtId="1000" quotePrefix="false">
      <alignment horizontal="center" vertical="top"/>
    </xf>
    <xf applyAlignment="true" applyBorder="true" applyFill="false" applyFont="false" applyNumberFormat="true" borderId="3944" fillId="0" fontId="1" numFmtId="1000" quotePrefix="false">
      <alignment horizontal="left" vertical="top"/>
    </xf>
    <xf applyAlignment="true" applyBorder="true" applyFill="false" applyFont="false" applyNumberFormat="true" borderId="3945" fillId="0" fontId="1" numFmtId="1000" quotePrefix="false">
      <alignment horizontal="left" vertical="top"/>
    </xf>
    <xf applyAlignment="true" applyBorder="true" applyFill="false" applyFont="false" applyNumberFormat="true" borderId="3946" fillId="0" fontId="1" numFmtId="1000" quotePrefix="false">
      <alignment horizontal="left" vertical="top"/>
    </xf>
    <xf applyAlignment="true" applyBorder="true" applyFill="false" applyFont="false" applyNumberFormat="true" borderId="3947" fillId="0" fontId="1" numFmtId="1000" quotePrefix="false">
      <alignment horizontal="left" vertical="top"/>
    </xf>
    <xf applyAlignment="true" applyBorder="true" applyFill="false" applyFont="false" applyNumberFormat="true" borderId="3948" fillId="0" fontId="1" numFmtId="1000" quotePrefix="false">
      <alignment horizontal="left" vertical="top"/>
    </xf>
    <xf applyAlignment="true" applyBorder="true" applyFill="false" applyFont="false" applyNumberFormat="true" borderId="3949" fillId="0" fontId="1" numFmtId="1000" quotePrefix="false">
      <alignment horizontal="left" vertical="top"/>
    </xf>
    <xf applyAlignment="true" applyBorder="true" applyFill="false" applyFont="false" applyNumberFormat="true" borderId="3950" fillId="0" fontId="1" numFmtId="1000" quotePrefix="false">
      <alignment horizontal="left" vertical="top"/>
    </xf>
    <xf applyAlignment="true" applyBorder="true" applyFill="false" applyFont="false" applyNumberFormat="true" borderId="3951" fillId="0" fontId="1" numFmtId="1000" quotePrefix="false">
      <alignment horizontal="left" vertical="top"/>
    </xf>
    <xf applyAlignment="true" applyBorder="true" applyFill="false" applyFont="false" applyNumberFormat="true" borderId="3952" fillId="0" fontId="1" numFmtId="1000" quotePrefix="false">
      <alignment horizontal="left" vertical="top"/>
    </xf>
    <xf applyAlignment="true" applyBorder="true" applyFill="false" applyFont="false" applyNumberFormat="true" borderId="3953" fillId="0" fontId="1" numFmtId="1000" quotePrefix="false">
      <alignment horizontal="left" vertical="top"/>
    </xf>
    <xf applyAlignment="true" applyBorder="true" applyFill="false" applyFont="false" applyNumberFormat="true" borderId="3954" fillId="0" fontId="1" numFmtId="1000" quotePrefix="false">
      <alignment horizontal="left" vertical="top"/>
    </xf>
    <xf applyAlignment="true" applyBorder="true" applyFill="false" applyFont="false" applyNumberFormat="true" borderId="3955" fillId="0" fontId="1" numFmtId="1000" quotePrefix="false">
      <alignment horizontal="left" vertical="top"/>
    </xf>
    <xf applyAlignment="true" applyBorder="true" applyFill="false" applyFont="false" applyNumberFormat="true" borderId="3956" fillId="0" fontId="1" numFmtId="1000" quotePrefix="false">
      <alignment horizontal="left" vertical="top"/>
    </xf>
    <xf applyAlignment="true" applyBorder="true" applyFill="false" applyFont="false" applyNumberFormat="true" borderId="3957" fillId="0" fontId="1" numFmtId="1000" quotePrefix="false">
      <alignment horizontal="left" vertical="top"/>
    </xf>
    <xf applyAlignment="true" applyBorder="true" applyFill="false" applyFont="false" applyNumberFormat="true" borderId="3958" fillId="0" fontId="1" numFmtId="1000" quotePrefix="false">
      <alignment horizontal="left" vertical="top"/>
    </xf>
    <xf applyAlignment="true" applyBorder="true" applyFill="false" applyFont="false" applyNumberFormat="true" borderId="3959" fillId="0" fontId="1" numFmtId="1000" quotePrefix="false">
      <alignment horizontal="left" vertical="top"/>
    </xf>
    <xf applyAlignment="true" applyBorder="true" applyFill="false" applyFont="false" applyNumberFormat="true" borderId="3960" fillId="0" fontId="1" numFmtId="1000" quotePrefix="false">
      <alignment horizontal="left" vertical="top"/>
    </xf>
    <xf applyAlignment="true" applyBorder="true" applyFill="false" applyFont="false" applyNumberFormat="true" borderId="3961" fillId="0" fontId="1" numFmtId="1000" quotePrefix="false">
      <alignment horizontal="left" vertical="top"/>
    </xf>
    <xf applyAlignment="true" applyBorder="true" applyFill="false" applyFont="false" applyNumberFormat="true" borderId="3962" fillId="0" fontId="1" numFmtId="1000" quotePrefix="false">
      <alignment horizontal="left" vertical="top"/>
    </xf>
    <xf applyAlignment="true" applyBorder="true" applyFill="false" applyFont="true" applyNumberFormat="true" borderId="3963" fillId="0" fontId="2" numFmtId="1000" quotePrefix="false">
      <alignment horizontal="center"/>
    </xf>
    <xf applyAlignment="true" applyBorder="true" applyFill="false" applyFont="true" applyNumberFormat="true" borderId="3964" fillId="0" fontId="2" numFmtId="1000" quotePrefix="false">
      <alignment horizontal="center"/>
    </xf>
    <xf applyAlignment="true" applyBorder="true" applyFill="false" applyFont="true" applyNumberFormat="true" borderId="3965" fillId="0" fontId="2" numFmtId="1000" quotePrefix="false">
      <alignment horizontal="center"/>
    </xf>
    <xf applyAlignment="true" applyBorder="true" applyFill="false" applyFont="false" applyNumberFormat="true" borderId="3966" fillId="0" fontId="1" numFmtId="1000" quotePrefix="false">
      <alignment horizontal="center" vertical="top"/>
    </xf>
    <xf applyAlignment="true" applyBorder="true" applyFill="false" applyFont="false" applyNumberFormat="true" borderId="3967" fillId="0" fontId="1" numFmtId="1000" quotePrefix="false">
      <alignment horizontal="center" vertical="top"/>
    </xf>
    <xf applyAlignment="true" applyBorder="true" applyFill="false" applyFont="false" applyNumberFormat="true" borderId="3968" fillId="0" fontId="1" numFmtId="1000" quotePrefix="false">
      <alignment horizontal="center" vertical="top"/>
    </xf>
    <xf applyAlignment="true" applyBorder="true" applyFill="false" applyFont="false" applyNumberFormat="true" borderId="3969" fillId="0" fontId="1" numFmtId="1000" quotePrefix="false">
      <alignment horizontal="center" vertical="top"/>
    </xf>
    <xf applyAlignment="true" applyBorder="true" applyFill="false" applyFont="false" applyNumberFormat="true" borderId="3970" fillId="0" fontId="1" numFmtId="1000" quotePrefix="false">
      <alignment horizontal="center" vertical="top"/>
    </xf>
    <xf applyAlignment="true" applyBorder="true" applyFill="false" applyFont="false" applyNumberFormat="true" borderId="3971" fillId="0" fontId="1" numFmtId="1000" quotePrefix="false">
      <alignment horizontal="center" vertical="top"/>
    </xf>
    <xf applyAlignment="true" applyBorder="true" applyFill="false" applyFont="false" applyNumberFormat="true" borderId="3972" fillId="0" fontId="1" numFmtId="1000" quotePrefix="false">
      <alignment horizontal="center" vertical="top"/>
    </xf>
    <xf applyAlignment="true" applyBorder="true" applyFill="false" applyFont="false" applyNumberFormat="true" borderId="3973" fillId="0" fontId="1" numFmtId="1000" quotePrefix="false">
      <alignment horizontal="center" vertical="top"/>
    </xf>
    <xf applyAlignment="true" applyBorder="true" applyFill="false" applyFont="false" applyNumberFormat="true" borderId="3974" fillId="0" fontId="1" numFmtId="1000" quotePrefix="false">
      <alignment horizontal="center" vertical="top"/>
    </xf>
    <xf applyAlignment="true" applyBorder="true" applyFill="false" applyFont="false" applyNumberFormat="true" borderId="3975" fillId="0" fontId="1" numFmtId="1000" quotePrefix="false">
      <alignment horizontal="center" vertical="top"/>
    </xf>
    <xf applyAlignment="true" applyBorder="true" applyFill="false" applyFont="false" applyNumberFormat="true" borderId="3976" fillId="0" fontId="1" numFmtId="1000" quotePrefix="false">
      <alignment horizontal="center" vertical="top"/>
    </xf>
    <xf applyAlignment="true" applyBorder="true" applyFill="false" applyFont="false" applyNumberFormat="true" borderId="3977" fillId="0" fontId="1" numFmtId="1000" quotePrefix="false">
      <alignment horizontal="center" vertical="top"/>
    </xf>
    <xf applyAlignment="true" applyBorder="true" applyFill="false" applyFont="false" applyNumberFormat="true" borderId="3978" fillId="0" fontId="1" numFmtId="1000" quotePrefix="false">
      <alignment horizontal="center" vertical="top"/>
    </xf>
    <xf applyAlignment="true" applyBorder="true" applyFill="false" applyFont="false" applyNumberFormat="true" borderId="3979" fillId="0" fontId="1" numFmtId="1000" quotePrefix="false">
      <alignment horizontal="center" vertical="top"/>
    </xf>
    <xf applyAlignment="true" applyBorder="true" applyFill="false" applyFont="false" applyNumberFormat="true" borderId="3980" fillId="0" fontId="1" numFmtId="1000" quotePrefix="false">
      <alignment horizontal="center" vertical="top"/>
    </xf>
    <xf applyAlignment="true" applyBorder="true" applyFill="false" applyFont="false" applyNumberFormat="true" borderId="3981" fillId="0" fontId="1" numFmtId="1000" quotePrefix="false">
      <alignment horizontal="center" vertical="top"/>
    </xf>
    <xf applyAlignment="true" applyBorder="true" applyFill="false" applyFont="false" applyNumberFormat="true" borderId="3982" fillId="0" fontId="1" numFmtId="1000" quotePrefix="false">
      <alignment horizontal="center" vertical="top"/>
    </xf>
    <xf applyAlignment="true" applyBorder="true" applyFill="false" applyFont="false" applyNumberFormat="true" borderId="3983" fillId="0" fontId="1" numFmtId="1000" quotePrefix="false">
      <alignment horizontal="center" vertical="top"/>
    </xf>
    <xf applyAlignment="true" applyBorder="true" applyFill="false" applyFont="false" applyNumberFormat="true" borderId="3984" fillId="0" fontId="1" numFmtId="1000" quotePrefix="false">
      <alignment horizontal="center" vertical="top"/>
    </xf>
    <xf applyAlignment="true" applyBorder="true" applyFill="false" applyFont="false" applyNumberFormat="true" borderId="3985" fillId="0" fontId="1" numFmtId="1000" quotePrefix="false">
      <alignment horizontal="center" vertical="top"/>
    </xf>
    <xf applyAlignment="true" applyBorder="true" applyFill="false" applyFont="false" applyNumberFormat="true" borderId="3986" fillId="0" fontId="1" numFmtId="1000" quotePrefix="false">
      <alignment horizontal="center" vertical="top"/>
    </xf>
    <xf applyAlignment="true" applyBorder="true" applyFill="true" applyFont="false" applyNumberFormat="true" borderId="3987" fillId="10" fontId="1" numFmtId="1000" quotePrefix="false">
      <alignment horizontal="center" vertical="top" wrapText="true"/>
    </xf>
    <xf applyAlignment="true" applyBorder="true" applyFill="false" applyFont="false" applyNumberFormat="true" borderId="3988" fillId="0" fontId="1" numFmtId="1000" quotePrefix="false">
      <alignment horizontal="center" vertical="top"/>
    </xf>
    <xf applyAlignment="true" applyBorder="true" applyFill="false" applyFont="false" applyNumberFormat="true" borderId="3989" fillId="0" fontId="1" numFmtId="1000" quotePrefix="false">
      <alignment horizontal="center" vertical="top"/>
    </xf>
    <xf applyAlignment="true" applyBorder="true" applyFill="true" applyFont="false" applyNumberFormat="true" borderId="3990" fillId="10" fontId="1" numFmtId="1000" quotePrefix="false">
      <alignment horizontal="center" vertical="top" wrapText="true"/>
    </xf>
    <xf applyAlignment="true" applyBorder="true" applyFill="false" applyFont="false" applyNumberFormat="true" borderId="3991" fillId="0" fontId="1" numFmtId="1000" quotePrefix="false">
      <alignment horizontal="center" vertical="top"/>
    </xf>
    <xf applyAlignment="true" applyBorder="true" applyFill="false" applyFont="false" applyNumberFormat="true" borderId="3992" fillId="0" fontId="1" numFmtId="1000" quotePrefix="false">
      <alignment horizontal="center" vertical="top"/>
    </xf>
    <xf applyAlignment="true" applyBorder="true" applyFill="false" applyFont="false" applyNumberFormat="true" borderId="3993" fillId="0" fontId="1" numFmtId="1000" quotePrefix="false">
      <alignment horizontal="center" vertical="top"/>
    </xf>
    <xf applyAlignment="true" applyBorder="true" applyFill="false" applyFont="false" applyNumberFormat="true" borderId="3994" fillId="0" fontId="1" numFmtId="1000" quotePrefix="false">
      <alignment horizontal="center" vertical="top"/>
    </xf>
    <xf applyAlignment="true" applyBorder="true" applyFill="false" applyFont="false" applyNumberFormat="true" borderId="3995" fillId="0" fontId="1" numFmtId="1000" quotePrefix="false">
      <alignment horizontal="center" vertical="top"/>
    </xf>
    <xf applyAlignment="true" applyBorder="true" applyFill="false" applyFont="false" applyNumberFormat="true" borderId="3996" fillId="0" fontId="1" numFmtId="1000" quotePrefix="false">
      <alignment horizontal="center" vertical="top"/>
    </xf>
    <xf applyAlignment="true" applyBorder="true" applyFill="false" applyFont="false" applyNumberFormat="true" borderId="3997" fillId="0" fontId="1" numFmtId="1000" quotePrefix="false">
      <alignment horizontal="center" vertical="top"/>
    </xf>
    <xf applyAlignment="true" applyBorder="true" applyFill="false" applyFont="false" applyNumberFormat="true" borderId="3998" fillId="0" fontId="1" numFmtId="1000" quotePrefix="false">
      <alignment horizontal="center" vertical="top"/>
    </xf>
    <xf applyAlignment="true" applyBorder="true" applyFill="false" applyFont="false" applyNumberFormat="true" borderId="3999" fillId="0" fontId="1" numFmtId="1000" quotePrefix="false">
      <alignment horizontal="center" vertical="top"/>
    </xf>
    <xf applyAlignment="true" applyBorder="true" applyFill="false" applyFont="false" applyNumberFormat="true" borderId="4000" fillId="0" fontId="1" numFmtId="1000" quotePrefix="false">
      <alignment horizontal="center" vertical="top"/>
    </xf>
    <xf applyAlignment="true" applyBorder="true" applyFill="false" applyFont="true" applyNumberFormat="true" borderId="4001" fillId="0" fontId="2" numFmtId="1000" quotePrefix="false">
      <alignment horizontal="center" vertical="top"/>
    </xf>
    <xf applyAlignment="true" applyBorder="true" applyFill="false" applyFont="false" applyNumberFormat="true" borderId="4002" fillId="0" fontId="1" numFmtId="1000" quotePrefix="false">
      <alignment horizontal="left" vertical="top"/>
    </xf>
    <xf applyAlignment="true" applyBorder="true" applyFill="false" applyFont="false" applyNumberFormat="true" borderId="4003" fillId="0" fontId="1" numFmtId="1000" quotePrefix="false">
      <alignment horizontal="left" vertical="top"/>
    </xf>
    <xf applyAlignment="true" applyBorder="true" applyFill="false" applyFont="false" applyNumberFormat="true" borderId="4004" fillId="0" fontId="1" numFmtId="1000" quotePrefix="false">
      <alignment horizontal="left" vertical="top"/>
    </xf>
    <xf applyAlignment="true" applyBorder="true" applyFill="false" applyFont="false" applyNumberFormat="true" borderId="4005" fillId="0" fontId="1" numFmtId="1000" quotePrefix="false">
      <alignment horizontal="left" vertical="top"/>
    </xf>
    <xf applyAlignment="true" applyBorder="true" applyFill="false" applyFont="false" applyNumberFormat="true" borderId="4006" fillId="0" fontId="1" numFmtId="1000" quotePrefix="false">
      <alignment horizontal="left" vertical="top"/>
    </xf>
    <xf applyAlignment="true" applyBorder="true" applyFill="false" applyFont="false" applyNumberFormat="true" borderId="4007" fillId="0" fontId="1" numFmtId="1000" quotePrefix="false">
      <alignment horizontal="left" vertical="top"/>
    </xf>
    <xf applyAlignment="true" applyBorder="true" applyFill="false" applyFont="false" applyNumberFormat="true" borderId="4008" fillId="0" fontId="1" numFmtId="1000" quotePrefix="false">
      <alignment horizontal="left" vertical="top"/>
    </xf>
    <xf applyAlignment="true" applyBorder="true" applyFill="false" applyFont="false" applyNumberFormat="true" borderId="4009" fillId="0" fontId="1" numFmtId="1000" quotePrefix="false">
      <alignment horizontal="left" vertical="top"/>
    </xf>
    <xf applyAlignment="true" applyBorder="true" applyFill="false" applyFont="false" applyNumberFormat="true" borderId="4010" fillId="0" fontId="1" numFmtId="1000" quotePrefix="false">
      <alignment horizontal="left" vertical="top"/>
    </xf>
    <xf applyAlignment="true" applyBorder="true" applyFill="false" applyFont="false" applyNumberFormat="true" borderId="4011" fillId="0" fontId="1" numFmtId="1000" quotePrefix="false">
      <alignment horizontal="left" vertical="top"/>
    </xf>
    <xf applyAlignment="true" applyBorder="true" applyFill="false" applyFont="false" applyNumberFormat="true" borderId="4012" fillId="0" fontId="1" numFmtId="1000" quotePrefix="false">
      <alignment horizontal="left" vertical="top"/>
    </xf>
    <xf applyAlignment="true" applyBorder="true" applyFill="false" applyFont="false" applyNumberFormat="true" borderId="4013" fillId="0" fontId="1" numFmtId="1000" quotePrefix="false">
      <alignment horizontal="left" vertical="top"/>
    </xf>
    <xf applyAlignment="true" applyBorder="true" applyFill="false" applyFont="false" applyNumberFormat="true" borderId="4014" fillId="0" fontId="1" numFmtId="1000" quotePrefix="false">
      <alignment horizontal="left" vertical="top"/>
    </xf>
    <xf applyAlignment="true" applyBorder="true" applyFill="false" applyFont="false" applyNumberFormat="true" borderId="4015" fillId="0" fontId="1" numFmtId="1000" quotePrefix="false">
      <alignment horizontal="left" vertical="top"/>
    </xf>
    <xf applyAlignment="true" applyBorder="true" applyFill="false" applyFont="false" applyNumberFormat="true" borderId="4016" fillId="0" fontId="1" numFmtId="1000" quotePrefix="false">
      <alignment horizontal="left" vertical="top"/>
    </xf>
    <xf applyAlignment="true" applyBorder="true" applyFill="false" applyFont="false" applyNumberFormat="true" borderId="4017" fillId="0" fontId="1" numFmtId="1000" quotePrefix="false">
      <alignment horizontal="left" vertical="top"/>
    </xf>
    <xf applyAlignment="true" applyBorder="true" applyFill="false" applyFont="false" applyNumberFormat="true" borderId="4018" fillId="0" fontId="1" numFmtId="1000" quotePrefix="false">
      <alignment horizontal="left" vertical="top"/>
    </xf>
    <xf applyAlignment="true" applyBorder="true" applyFill="false" applyFont="false" applyNumberFormat="true" borderId="4019" fillId="0" fontId="1" numFmtId="1000" quotePrefix="false">
      <alignment horizontal="left" vertical="top"/>
    </xf>
    <xf applyAlignment="true" applyBorder="true" applyFill="false" applyFont="false" applyNumberFormat="true" borderId="4020" fillId="0" fontId="1" numFmtId="1000" quotePrefix="false">
      <alignment horizontal="left" vertical="top"/>
    </xf>
    <xf applyAlignment="true" applyBorder="true" applyFill="false" applyFont="true" applyNumberFormat="true" borderId="4021" fillId="0" fontId="2" numFmtId="1000" quotePrefix="false">
      <alignment horizontal="center"/>
    </xf>
    <xf applyAlignment="true" applyBorder="true" applyFill="false" applyFont="true" applyNumberFormat="true" borderId="4022" fillId="0" fontId="2" numFmtId="1000" quotePrefix="false">
      <alignment horizontal="center"/>
    </xf>
    <xf applyAlignment="true" applyBorder="true" applyFill="false" applyFont="true" applyNumberFormat="true" borderId="4023" fillId="0" fontId="2" numFmtId="1000" quotePrefix="false">
      <alignment horizontal="center"/>
    </xf>
    <xf applyAlignment="true" applyBorder="true" applyFill="false" applyFont="false" applyNumberFormat="true" borderId="4024" fillId="0" fontId="1" numFmtId="1000" quotePrefix="false">
      <alignment horizontal="center" vertical="top"/>
    </xf>
    <xf applyAlignment="true" applyBorder="true" applyFill="false" applyFont="false" applyNumberFormat="true" borderId="4025" fillId="0" fontId="1" numFmtId="1000" quotePrefix="false">
      <alignment horizontal="center" vertical="top"/>
    </xf>
    <xf applyAlignment="true" applyBorder="true" applyFill="false" applyFont="false" applyNumberFormat="true" borderId="4026" fillId="0" fontId="1" numFmtId="1000" quotePrefix="false">
      <alignment horizontal="center" vertical="top"/>
    </xf>
    <xf applyAlignment="true" applyBorder="true" applyFill="false" applyFont="false" applyNumberFormat="true" borderId="4027" fillId="0" fontId="1" numFmtId="1000" quotePrefix="false">
      <alignment horizontal="center" vertical="top"/>
    </xf>
    <xf applyAlignment="true" applyBorder="true" applyFill="false" applyFont="false" applyNumberFormat="true" borderId="4028" fillId="0" fontId="1" numFmtId="1000" quotePrefix="false">
      <alignment horizontal="center" vertical="top"/>
    </xf>
    <xf applyAlignment="true" applyBorder="true" applyFill="false" applyFont="false" applyNumberFormat="true" borderId="4029" fillId="0" fontId="1" numFmtId="1000" quotePrefix="false">
      <alignment horizontal="center" vertical="top"/>
    </xf>
    <xf applyAlignment="true" applyBorder="true" applyFill="false" applyFont="false" applyNumberFormat="true" borderId="4030" fillId="0" fontId="1" numFmtId="1000" quotePrefix="false">
      <alignment horizontal="center" vertical="top"/>
    </xf>
    <xf applyAlignment="true" applyBorder="true" applyFill="false" applyFont="false" applyNumberFormat="true" borderId="4031" fillId="0" fontId="1" numFmtId="1000" quotePrefix="false">
      <alignment horizontal="center" vertical="top"/>
    </xf>
    <xf applyAlignment="true" applyBorder="true" applyFill="false" applyFont="false" applyNumberFormat="true" borderId="4032" fillId="0" fontId="1" numFmtId="1000" quotePrefix="false">
      <alignment horizontal="center" vertical="top"/>
    </xf>
    <xf applyAlignment="true" applyBorder="true" applyFill="false" applyFont="false" applyNumberFormat="true" borderId="4033" fillId="0" fontId="1" numFmtId="1000" quotePrefix="false">
      <alignment horizontal="center" vertical="top"/>
    </xf>
    <xf applyAlignment="true" applyBorder="true" applyFill="false" applyFont="false" applyNumberFormat="true" borderId="4034" fillId="0" fontId="1" numFmtId="1000" quotePrefix="false">
      <alignment horizontal="center" vertical="top"/>
    </xf>
    <xf applyAlignment="true" applyBorder="true" applyFill="false" applyFont="false" applyNumberFormat="true" borderId="4035" fillId="0" fontId="1" numFmtId="1000" quotePrefix="false">
      <alignment horizontal="center" vertical="top"/>
    </xf>
    <xf applyAlignment="true" applyBorder="true" applyFill="false" applyFont="false" applyNumberFormat="true" borderId="4036" fillId="0" fontId="1" numFmtId="1000" quotePrefix="false">
      <alignment horizontal="center" vertical="top"/>
    </xf>
    <xf applyAlignment="true" applyBorder="true" applyFill="false" applyFont="false" applyNumberFormat="true" borderId="4037" fillId="0" fontId="1" numFmtId="1000" quotePrefix="false">
      <alignment horizontal="center" vertical="top"/>
    </xf>
    <xf applyAlignment="true" applyBorder="true" applyFill="false" applyFont="false" applyNumberFormat="true" borderId="4038" fillId="0" fontId="1" numFmtId="1000" quotePrefix="false">
      <alignment horizontal="center" vertical="top"/>
    </xf>
    <xf applyAlignment="true" applyBorder="true" applyFill="false" applyFont="false" applyNumberFormat="true" borderId="4039" fillId="0" fontId="1" numFmtId="1000" quotePrefix="false">
      <alignment horizontal="center" vertical="top"/>
    </xf>
    <xf applyAlignment="true" applyBorder="true" applyFill="false" applyFont="false" applyNumberFormat="true" borderId="4040" fillId="0" fontId="1" numFmtId="1000" quotePrefix="false">
      <alignment horizontal="center" vertical="top"/>
    </xf>
    <xf applyAlignment="true" applyBorder="true" applyFill="false" applyFont="false" applyNumberFormat="true" borderId="4041" fillId="0" fontId="1" numFmtId="1000" quotePrefix="false">
      <alignment horizontal="center" vertical="top"/>
    </xf>
    <xf applyAlignment="true" applyBorder="true" applyFill="false" applyFont="false" applyNumberFormat="true" borderId="4042" fillId="0" fontId="1" numFmtId="1000" quotePrefix="false">
      <alignment horizontal="center" vertical="top"/>
    </xf>
    <xf applyAlignment="true" applyBorder="true" applyFill="false" applyFont="false" applyNumberFormat="true" borderId="4043" fillId="0" fontId="1" numFmtId="1000" quotePrefix="false">
      <alignment horizontal="center" vertical="top"/>
    </xf>
    <xf applyAlignment="true" applyBorder="true" applyFill="false" applyFont="false" applyNumberFormat="true" borderId="4044" fillId="0" fontId="1" numFmtId="1000" quotePrefix="false">
      <alignment horizontal="center" vertical="top"/>
    </xf>
    <xf applyAlignment="true" applyBorder="true" applyFill="false" applyFont="false" applyNumberFormat="true" borderId="4045" fillId="0" fontId="1" numFmtId="1000" quotePrefix="false">
      <alignment horizontal="center" vertical="top"/>
    </xf>
    <xf applyAlignment="true" applyBorder="true" applyFill="false" applyFont="false" applyNumberFormat="true" borderId="4046" fillId="0" fontId="1" numFmtId="1000" quotePrefix="false">
      <alignment horizontal="center" vertical="top"/>
    </xf>
    <xf applyAlignment="true" applyBorder="true" applyFill="false" applyFont="false" applyNumberFormat="true" borderId="4047" fillId="0" fontId="1" numFmtId="1000" quotePrefix="false">
      <alignment horizontal="center" vertical="top"/>
    </xf>
    <xf applyAlignment="true" applyBorder="true" applyFill="false" applyFont="false" applyNumberFormat="true" borderId="4048" fillId="0" fontId="1" numFmtId="1000" quotePrefix="false">
      <alignment horizontal="center" vertical="top"/>
    </xf>
    <xf applyAlignment="true" applyBorder="true" applyFill="false" applyFont="false" applyNumberFormat="true" borderId="4049" fillId="0" fontId="1" numFmtId="1000" quotePrefix="false">
      <alignment horizontal="center" vertical="top"/>
    </xf>
    <xf applyAlignment="true" applyBorder="true" applyFill="false" applyFont="false" applyNumberFormat="true" borderId="4050" fillId="0" fontId="1" numFmtId="1000" quotePrefix="false">
      <alignment horizontal="center" vertical="top"/>
    </xf>
    <xf applyAlignment="true" applyBorder="true" applyFill="false" applyFont="false" applyNumberFormat="true" borderId="4051" fillId="0" fontId="1" numFmtId="1000" quotePrefix="false">
      <alignment horizontal="center" vertical="top"/>
    </xf>
    <xf applyAlignment="true" applyBorder="true" applyFill="false" applyFont="false" applyNumberFormat="true" borderId="4052" fillId="0" fontId="1" numFmtId="1000" quotePrefix="false">
      <alignment horizontal="center" vertical="top"/>
    </xf>
    <xf applyAlignment="true" applyBorder="true" applyFill="false" applyFont="false" applyNumberFormat="true" borderId="4053" fillId="0" fontId="1" numFmtId="1000" quotePrefix="false">
      <alignment horizontal="center" vertical="top"/>
    </xf>
    <xf applyAlignment="true" applyBorder="true" applyFill="false" applyFont="false" applyNumberFormat="true" borderId="4054" fillId="0" fontId="1" numFmtId="1000" quotePrefix="false">
      <alignment horizontal="center" vertical="top"/>
    </xf>
    <xf applyAlignment="true" applyBorder="true" applyFill="false" applyFont="false" applyNumberFormat="true" borderId="4055" fillId="0" fontId="1" numFmtId="1000" quotePrefix="false">
      <alignment horizontal="center" vertical="top"/>
    </xf>
    <xf applyAlignment="true" applyBorder="true" applyFill="false" applyFont="false" applyNumberFormat="true" borderId="4056" fillId="0" fontId="1" numFmtId="1000" quotePrefix="false">
      <alignment horizontal="center" vertical="top"/>
    </xf>
    <xf applyAlignment="true" applyBorder="true" applyFill="false" applyFont="false" applyNumberFormat="true" borderId="4057" fillId="0" fontId="1" numFmtId="1000" quotePrefix="false">
      <alignment horizontal="center" vertical="top"/>
    </xf>
    <xf applyAlignment="true" applyBorder="true" applyFill="false" applyFont="false" applyNumberFormat="true" borderId="4058" fillId="0" fontId="1" numFmtId="1000" quotePrefix="false">
      <alignment horizontal="center" vertical="top"/>
    </xf>
    <xf applyAlignment="true" applyBorder="true" applyFill="false" applyFont="false" applyNumberFormat="true" borderId="4059" fillId="0" fontId="1" numFmtId="1000" quotePrefix="false">
      <alignment horizontal="center" vertical="top"/>
    </xf>
    <xf applyAlignment="true" applyBorder="true" applyFill="false" applyFont="false" applyNumberFormat="true" borderId="4060" fillId="0" fontId="1" numFmtId="1000" quotePrefix="false">
      <alignment horizontal="center" vertical="top"/>
    </xf>
    <xf applyAlignment="true" applyBorder="true" applyFill="false" applyFont="false" applyNumberFormat="true" borderId="4061" fillId="0" fontId="1" numFmtId="1000" quotePrefix="false">
      <alignment horizontal="center" vertical="top"/>
    </xf>
    <xf applyAlignment="true" applyBorder="true" applyFill="false" applyFont="false" applyNumberFormat="true" borderId="4062" fillId="0" fontId="1" numFmtId="1000" quotePrefix="false">
      <alignment horizontal="center" vertical="top"/>
    </xf>
    <xf applyAlignment="true" applyBorder="true" applyFill="false" applyFont="false" applyNumberFormat="true" borderId="4063" fillId="0" fontId="1" numFmtId="1000" quotePrefix="false">
      <alignment horizontal="center" vertical="top"/>
    </xf>
    <xf applyAlignment="true" applyBorder="true" applyFill="false" applyFont="false" applyNumberFormat="true" borderId="4064" fillId="0" fontId="1" numFmtId="1000" quotePrefix="false">
      <alignment horizontal="center" vertical="top"/>
    </xf>
    <xf applyAlignment="true" applyBorder="true" applyFill="false" applyFont="false" applyNumberFormat="true" borderId="4065" fillId="0" fontId="1" numFmtId="1000" quotePrefix="false">
      <alignment horizontal="center" vertical="top"/>
    </xf>
    <xf applyAlignment="true" applyBorder="true" applyFill="false" applyFont="false" applyNumberFormat="true" borderId="4066" fillId="0" fontId="1" numFmtId="1000" quotePrefix="false">
      <alignment horizontal="center" vertical="top"/>
    </xf>
    <xf applyAlignment="true" applyBorder="true" applyFill="false" applyFont="false" applyNumberFormat="true" borderId="4067" fillId="0" fontId="1" numFmtId="1000" quotePrefix="false">
      <alignment horizontal="center" vertical="top"/>
    </xf>
    <xf applyAlignment="true" applyBorder="true" applyFill="false" applyFont="false" applyNumberFormat="true" borderId="4068" fillId="0" fontId="1" numFmtId="1000" quotePrefix="false">
      <alignment horizontal="center" vertical="top"/>
    </xf>
    <xf applyAlignment="true" applyBorder="true" applyFill="true" applyFont="false" applyNumberFormat="true" borderId="4069" fillId="3" fontId="1" numFmtId="1000" quotePrefix="false">
      <alignment horizontal="center" vertical="top" wrapText="true"/>
    </xf>
    <xf applyAlignment="true" applyBorder="true" applyFill="false" applyFont="false" applyNumberFormat="true" borderId="4070" fillId="0" fontId="1" numFmtId="1000" quotePrefix="false">
      <alignment horizontal="center" vertical="top"/>
    </xf>
    <xf applyAlignment="true" applyBorder="true" applyFill="false" applyFont="false" applyNumberFormat="true" borderId="4071" fillId="0" fontId="1" numFmtId="1000" quotePrefix="false">
      <alignment horizontal="center" vertical="top"/>
    </xf>
    <xf applyAlignment="true" applyBorder="true" applyFill="false" applyFont="false" applyNumberFormat="true" borderId="4072" fillId="0" fontId="1" numFmtId="1000" quotePrefix="false">
      <alignment horizontal="center" vertical="top"/>
    </xf>
    <xf applyAlignment="true" applyBorder="true" applyFill="false" applyFont="false" applyNumberFormat="true" borderId="4073" fillId="0" fontId="1" numFmtId="1000" quotePrefix="false">
      <alignment horizontal="center" vertical="top"/>
    </xf>
    <xf applyAlignment="true" applyBorder="true" applyFill="false" applyFont="false" applyNumberFormat="true" borderId="4074" fillId="0" fontId="1" numFmtId="1000" quotePrefix="false">
      <alignment horizontal="center" vertical="top"/>
    </xf>
    <xf applyAlignment="true" applyBorder="true" applyFill="false" applyFont="false" applyNumberFormat="true" borderId="4075" fillId="0" fontId="1" numFmtId="1000" quotePrefix="false">
      <alignment horizontal="center" vertical="top"/>
    </xf>
    <xf applyAlignment="true" applyBorder="true" applyFill="false" applyFont="false" applyNumberFormat="true" borderId="4076" fillId="0" fontId="1" numFmtId="1000" quotePrefix="false">
      <alignment horizontal="center" vertical="top"/>
    </xf>
    <xf applyAlignment="true" applyBorder="true" applyFill="false" applyFont="false" applyNumberFormat="true" borderId="4077" fillId="0" fontId="1" numFmtId="1000" quotePrefix="false">
      <alignment horizontal="center" vertical="top"/>
    </xf>
    <xf applyAlignment="true" applyBorder="true" applyFill="false" applyFont="false" applyNumberFormat="true" borderId="4078" fillId="0" fontId="1" numFmtId="1000" quotePrefix="false">
      <alignment horizontal="center" vertical="top"/>
    </xf>
    <xf applyAlignment="true" applyBorder="true" applyFill="false" applyFont="false" applyNumberFormat="true" borderId="4079" fillId="0" fontId="1" numFmtId="1000" quotePrefix="false">
      <alignment horizontal="center" vertical="top"/>
    </xf>
    <xf applyAlignment="true" applyBorder="true" applyFill="false" applyFont="false" applyNumberFormat="true" borderId="4080" fillId="0" fontId="1" numFmtId="1000" quotePrefix="false">
      <alignment horizontal="center" vertical="top"/>
    </xf>
    <xf applyAlignment="true" applyBorder="true" applyFill="false" applyFont="false" applyNumberFormat="true" borderId="4081" fillId="0" fontId="1" numFmtId="1000" quotePrefix="false">
      <alignment horizontal="center" vertical="top"/>
    </xf>
    <xf applyAlignment="true" applyBorder="true" applyFill="false" applyFont="false" applyNumberFormat="true" borderId="4082" fillId="0" fontId="1" numFmtId="1000" quotePrefix="false">
      <alignment horizontal="center" vertical="top"/>
    </xf>
    <xf applyAlignment="true" applyBorder="true" applyFill="false" applyFont="false" applyNumberFormat="true" borderId="4083" fillId="0" fontId="1" numFmtId="1000" quotePrefix="false">
      <alignment horizontal="center" vertical="top"/>
    </xf>
    <xf applyAlignment="true" applyBorder="true" applyFill="false" applyFont="false" applyNumberFormat="true" borderId="4084" fillId="0" fontId="1" numFmtId="1000" quotePrefix="false">
      <alignment horizontal="center" vertical="top"/>
    </xf>
    <xf applyAlignment="true" applyBorder="true" applyFill="false" applyFont="false" applyNumberFormat="true" borderId="4085" fillId="0" fontId="1" numFmtId="1000" quotePrefix="false">
      <alignment horizontal="center" vertical="top"/>
    </xf>
    <xf applyAlignment="true" applyBorder="true" applyFill="false" applyFont="false" applyNumberFormat="true" borderId="4086" fillId="0" fontId="1" numFmtId="1000" quotePrefix="false">
      <alignment horizontal="center" vertical="top"/>
    </xf>
    <xf applyAlignment="true" applyBorder="true" applyFill="false" applyFont="false" applyNumberFormat="true" borderId="4087" fillId="0" fontId="1" numFmtId="1000" quotePrefix="false">
      <alignment horizontal="center" vertical="top"/>
    </xf>
    <xf applyAlignment="true" applyBorder="true" applyFill="false" applyFont="false" applyNumberFormat="true" borderId="4088" fillId="0" fontId="1" numFmtId="1000" quotePrefix="false">
      <alignment horizontal="center" vertical="top"/>
    </xf>
    <xf applyAlignment="true" applyBorder="true" applyFill="false" applyFont="false" applyNumberFormat="true" borderId="4089" fillId="0" fontId="1" numFmtId="1000" quotePrefix="false">
      <alignment horizontal="center" vertical="top"/>
    </xf>
    <xf applyAlignment="true" applyBorder="true" applyFill="false" applyFont="false" applyNumberFormat="true" borderId="4090" fillId="0" fontId="1" numFmtId="1000" quotePrefix="false">
      <alignment horizontal="center" vertical="top"/>
    </xf>
    <xf applyAlignment="true" applyBorder="true" applyFill="false" applyFont="false" applyNumberFormat="true" borderId="4091" fillId="0" fontId="1" numFmtId="1000" quotePrefix="false">
      <alignment horizontal="center" vertical="top"/>
    </xf>
    <xf applyAlignment="true" applyBorder="true" applyFill="false" applyFont="false" applyNumberFormat="true" borderId="4092" fillId="0" fontId="1" numFmtId="1000" quotePrefix="false">
      <alignment horizontal="center" vertical="top"/>
    </xf>
    <xf applyAlignment="true" applyBorder="true" applyFill="false" applyFont="false" applyNumberFormat="true" borderId="4093" fillId="0" fontId="1" numFmtId="1000" quotePrefix="false">
      <alignment horizontal="center" vertical="top"/>
    </xf>
    <xf applyAlignment="true" applyBorder="true" applyFill="false" applyFont="false" applyNumberFormat="true" borderId="4094" fillId="0" fontId="1" numFmtId="1000" quotePrefix="false">
      <alignment horizontal="center" vertical="top"/>
    </xf>
    <xf applyAlignment="true" applyBorder="true" applyFill="false" applyFont="false" applyNumberFormat="true" borderId="4095" fillId="0" fontId="1" numFmtId="1000" quotePrefix="false">
      <alignment horizontal="center" vertical="top"/>
    </xf>
    <xf applyAlignment="true" applyBorder="true" applyFill="false" applyFont="false" applyNumberFormat="true" borderId="4096" fillId="0" fontId="1" numFmtId="1000" quotePrefix="false">
      <alignment horizontal="center" vertical="top"/>
    </xf>
    <xf applyAlignment="true" applyBorder="true" applyFill="false" applyFont="false" applyNumberFormat="true" borderId="4097" fillId="0" fontId="1" numFmtId="1000" quotePrefix="false">
      <alignment horizontal="center" vertical="top"/>
    </xf>
    <xf applyAlignment="true" applyBorder="true" applyFill="false" applyFont="false" applyNumberFormat="true" borderId="4098" fillId="0" fontId="1" numFmtId="1000" quotePrefix="false">
      <alignment horizontal="center" vertical="top"/>
    </xf>
    <xf applyAlignment="true" applyBorder="true" applyFill="false" applyFont="false" applyNumberFormat="true" borderId="4099" fillId="0" fontId="1" numFmtId="1000" quotePrefix="false">
      <alignment horizontal="center" vertical="top"/>
    </xf>
    <xf applyAlignment="true" applyBorder="true" applyFill="false" applyFont="true" applyNumberFormat="true" borderId="4100" fillId="0" fontId="2" numFmtId="1000" quotePrefix="false">
      <alignment horizontal="center" vertical="top"/>
    </xf>
    <xf applyAlignment="true" applyBorder="true" applyFill="false" applyFont="false" applyNumberFormat="true" borderId="4101" fillId="0" fontId="1" numFmtId="1000" quotePrefix="false">
      <alignment horizontal="left" vertical="top"/>
    </xf>
    <xf applyAlignment="true" applyBorder="true" applyFill="false" applyFont="false" applyNumberFormat="true" borderId="4102" fillId="0" fontId="1" numFmtId="1000" quotePrefix="false">
      <alignment horizontal="left" vertical="top"/>
    </xf>
    <xf applyAlignment="true" applyBorder="true" applyFill="false" applyFont="false" applyNumberFormat="true" borderId="4103" fillId="0" fontId="1" numFmtId="1000" quotePrefix="false">
      <alignment horizontal="left" vertical="top"/>
    </xf>
    <xf applyAlignment="true" applyBorder="true" applyFill="false" applyFont="false" applyNumberFormat="true" borderId="4104" fillId="0" fontId="1" numFmtId="1000" quotePrefix="false">
      <alignment horizontal="left" vertical="top"/>
    </xf>
    <xf applyAlignment="true" applyBorder="true" applyFill="false" applyFont="false" applyNumberFormat="true" borderId="4105" fillId="0" fontId="1" numFmtId="1000" quotePrefix="false">
      <alignment horizontal="left" vertical="top"/>
    </xf>
    <xf applyAlignment="true" applyBorder="true" applyFill="false" applyFont="false" applyNumberFormat="true" borderId="4106" fillId="0" fontId="1" numFmtId="1000" quotePrefix="false">
      <alignment horizontal="left" vertical="top"/>
    </xf>
    <xf applyAlignment="true" applyBorder="true" applyFill="false" applyFont="false" applyNumberFormat="true" borderId="4107" fillId="0" fontId="1" numFmtId="1000" quotePrefix="false">
      <alignment horizontal="left" vertical="top"/>
    </xf>
    <xf applyAlignment="true" applyBorder="true" applyFill="false" applyFont="false" applyNumberFormat="true" borderId="4108" fillId="0" fontId="1" numFmtId="1000" quotePrefix="false">
      <alignment horizontal="left" vertical="top"/>
    </xf>
    <xf applyAlignment="true" applyBorder="true" applyFill="false" applyFont="false" applyNumberFormat="true" borderId="4109" fillId="0" fontId="1" numFmtId="1000" quotePrefix="false">
      <alignment horizontal="left" vertical="top"/>
    </xf>
    <xf applyAlignment="true" applyBorder="true" applyFill="false" applyFont="false" applyNumberFormat="true" borderId="4110" fillId="0" fontId="1" numFmtId="1000" quotePrefix="false">
      <alignment horizontal="left" vertical="top"/>
    </xf>
    <xf applyAlignment="true" applyBorder="true" applyFill="false" applyFont="false" applyNumberFormat="true" borderId="4111" fillId="0" fontId="1" numFmtId="1000" quotePrefix="false">
      <alignment horizontal="left" vertical="top"/>
    </xf>
    <xf applyAlignment="true" applyBorder="true" applyFill="false" applyFont="false" applyNumberFormat="true" borderId="4112" fillId="0" fontId="1" numFmtId="1000" quotePrefix="false">
      <alignment horizontal="left" vertical="top"/>
    </xf>
    <xf applyAlignment="true" applyBorder="true" applyFill="false" applyFont="false" applyNumberFormat="true" borderId="4113" fillId="0" fontId="1" numFmtId="1000" quotePrefix="false">
      <alignment horizontal="left" vertical="top"/>
    </xf>
    <xf applyAlignment="true" applyBorder="true" applyFill="false" applyFont="false" applyNumberFormat="true" borderId="4114" fillId="0" fontId="1" numFmtId="1000" quotePrefix="false">
      <alignment horizontal="left" vertical="top"/>
    </xf>
    <xf applyAlignment="true" applyBorder="true" applyFill="false" applyFont="false" applyNumberFormat="true" borderId="4115" fillId="0" fontId="1" numFmtId="1000" quotePrefix="false">
      <alignment horizontal="left" vertical="top"/>
    </xf>
    <xf applyAlignment="true" applyBorder="true" applyFill="false" applyFont="false" applyNumberFormat="true" borderId="4116" fillId="0" fontId="1" numFmtId="1000" quotePrefix="false">
      <alignment horizontal="left" vertical="top"/>
    </xf>
    <xf applyAlignment="true" applyBorder="true" applyFill="false" applyFont="false" applyNumberFormat="true" borderId="4117" fillId="0" fontId="1" numFmtId="1000" quotePrefix="false">
      <alignment horizontal="left" vertical="top"/>
    </xf>
    <xf applyAlignment="true" applyBorder="true" applyFill="false" applyFont="false" applyNumberFormat="true" borderId="4118" fillId="0" fontId="1" numFmtId="1000" quotePrefix="false">
      <alignment horizontal="left" vertical="top"/>
    </xf>
    <xf applyAlignment="true" applyBorder="true" applyFill="false" applyFont="false" applyNumberFormat="true" borderId="4119" fillId="0" fontId="1" numFmtId="1000" quotePrefix="false">
      <alignment horizontal="left" vertical="top"/>
    </xf>
    <xf applyAlignment="true" applyBorder="true" applyFill="false" applyFont="true" applyNumberFormat="true" borderId="4120" fillId="0" fontId="2" numFmtId="1000" quotePrefix="false">
      <alignment horizontal="center"/>
    </xf>
    <xf applyAlignment="true" applyBorder="true" applyFill="false" applyFont="true" applyNumberFormat="true" borderId="4121" fillId="0" fontId="2" numFmtId="1000" quotePrefix="false">
      <alignment horizontal="center"/>
    </xf>
    <xf applyAlignment="true" applyBorder="true" applyFill="false" applyFont="true" applyNumberFormat="true" borderId="4122" fillId="0" fontId="2" numFmtId="1000" quotePrefix="false">
      <alignment horizontal="center"/>
    </xf>
    <xf applyAlignment="true" applyBorder="true" applyFill="false" applyFont="false" applyNumberFormat="true" borderId="4123" fillId="0" fontId="1" numFmtId="1000" quotePrefix="false">
      <alignment horizontal="center" vertical="top"/>
    </xf>
    <xf applyAlignment="true" applyBorder="true" applyFill="false" applyFont="false" applyNumberFormat="true" borderId="4124" fillId="0" fontId="1" numFmtId="1000" quotePrefix="false">
      <alignment horizontal="center" vertical="top"/>
    </xf>
    <xf applyAlignment="true" applyBorder="true" applyFill="false" applyFont="false" applyNumberFormat="true" borderId="4125" fillId="0" fontId="1" numFmtId="1000" quotePrefix="false">
      <alignment horizontal="center" vertical="top"/>
    </xf>
    <xf applyAlignment="true" applyBorder="true" applyFill="false" applyFont="false" applyNumberFormat="true" borderId="4126" fillId="0" fontId="1" numFmtId="1000" quotePrefix="false">
      <alignment horizontal="center" vertical="top"/>
    </xf>
    <xf applyAlignment="true" applyBorder="true" applyFill="false" applyFont="false" applyNumberFormat="true" borderId="4127" fillId="0" fontId="1" numFmtId="1000" quotePrefix="false">
      <alignment horizontal="center" vertical="top"/>
    </xf>
    <xf applyAlignment="true" applyBorder="true" applyFill="false" applyFont="false" applyNumberFormat="true" borderId="4128" fillId="0" fontId="1" numFmtId="1000" quotePrefix="false">
      <alignment horizontal="center" vertical="top"/>
    </xf>
    <xf applyAlignment="true" applyBorder="true" applyFill="false" applyFont="false" applyNumberFormat="true" borderId="4129" fillId="0" fontId="1" numFmtId="1000" quotePrefix="false">
      <alignment horizontal="center" vertical="top"/>
    </xf>
    <xf applyAlignment="true" applyBorder="true" applyFill="false" applyFont="false" applyNumberFormat="true" borderId="4130" fillId="0" fontId="1" numFmtId="1000" quotePrefix="false">
      <alignment horizontal="center" vertical="top"/>
    </xf>
    <xf applyAlignment="true" applyBorder="true" applyFill="false" applyFont="false" applyNumberFormat="true" borderId="4131" fillId="0" fontId="1" numFmtId="1000" quotePrefix="false">
      <alignment horizontal="center" vertical="top"/>
    </xf>
    <xf applyAlignment="true" applyBorder="true" applyFill="false" applyFont="false" applyNumberFormat="true" borderId="4132" fillId="0" fontId="1" numFmtId="1000" quotePrefix="false">
      <alignment horizontal="center" vertical="top"/>
    </xf>
    <xf applyAlignment="true" applyBorder="true" applyFill="false" applyFont="false" applyNumberFormat="true" borderId="4133" fillId="0" fontId="1" numFmtId="1000" quotePrefix="false">
      <alignment horizontal="center" vertical="top"/>
    </xf>
    <xf applyAlignment="true" applyBorder="true" applyFill="false" applyFont="false" applyNumberFormat="true" borderId="4134" fillId="0" fontId="1" numFmtId="1000" quotePrefix="false">
      <alignment horizontal="center" vertical="top"/>
    </xf>
    <xf applyAlignment="true" applyBorder="true" applyFill="false" applyFont="false" applyNumberFormat="true" borderId="4135" fillId="0" fontId="1" numFmtId="1000" quotePrefix="false">
      <alignment horizontal="center" vertical="top"/>
    </xf>
    <xf applyAlignment="true" applyBorder="true" applyFill="false" applyFont="false" applyNumberFormat="true" borderId="4136" fillId="0" fontId="1" numFmtId="1000" quotePrefix="false">
      <alignment horizontal="center" vertical="top"/>
    </xf>
    <xf applyAlignment="true" applyBorder="true" applyFill="false" applyFont="false" applyNumberFormat="true" borderId="4137" fillId="0" fontId="1" numFmtId="1000" quotePrefix="false">
      <alignment horizontal="center" vertical="top"/>
    </xf>
    <xf applyAlignment="true" applyBorder="true" applyFill="false" applyFont="false" applyNumberFormat="true" borderId="4138" fillId="0" fontId="1" numFmtId="1000" quotePrefix="false">
      <alignment horizontal="center" vertical="top"/>
    </xf>
    <xf applyAlignment="true" applyBorder="true" applyFill="false" applyFont="false" applyNumberFormat="true" borderId="4139" fillId="0" fontId="1" numFmtId="1000" quotePrefix="false">
      <alignment horizontal="center" vertical="top"/>
    </xf>
    <xf applyAlignment="true" applyBorder="true" applyFill="false" applyFont="false" applyNumberFormat="true" borderId="4140" fillId="0" fontId="1" numFmtId="1000" quotePrefix="false">
      <alignment horizontal="center" vertical="top"/>
    </xf>
    <xf applyAlignment="true" applyBorder="true" applyFill="false" applyFont="false" applyNumberFormat="true" borderId="4141" fillId="0" fontId="1" numFmtId="1000" quotePrefix="false">
      <alignment horizontal="center" vertical="top"/>
    </xf>
    <xf applyAlignment="true" applyBorder="true" applyFill="false" applyFont="false" applyNumberFormat="true" borderId="4142" fillId="0" fontId="1" numFmtId="1000" quotePrefix="false">
      <alignment horizontal="center" vertical="top"/>
    </xf>
    <xf applyAlignment="true" applyBorder="true" applyFill="false" applyFont="false" applyNumberFormat="true" borderId="4143" fillId="0" fontId="1" numFmtId="1000" quotePrefix="false">
      <alignment horizontal="center" vertical="top"/>
    </xf>
    <xf applyAlignment="true" applyBorder="true" applyFill="false" applyFont="false" applyNumberFormat="true" borderId="4144" fillId="0" fontId="1" numFmtId="1000" quotePrefix="false">
      <alignment horizontal="center" vertical="top"/>
    </xf>
    <xf applyAlignment="true" applyBorder="true" applyFill="false" applyFont="false" applyNumberFormat="true" borderId="4145" fillId="0" fontId="1" numFmtId="1000" quotePrefix="false">
      <alignment horizontal="center" vertical="top"/>
    </xf>
    <xf applyAlignment="true" applyBorder="true" applyFill="false" applyFont="false" applyNumberFormat="true" borderId="4146" fillId="0" fontId="1" numFmtId="1000" quotePrefix="false">
      <alignment horizontal="center" vertical="top"/>
    </xf>
    <xf applyAlignment="true" applyBorder="true" applyFill="false" applyFont="false" applyNumberFormat="true" borderId="4147" fillId="0" fontId="1" numFmtId="1000" quotePrefix="false">
      <alignment horizontal="center" vertical="top"/>
    </xf>
    <xf applyAlignment="true" applyBorder="true" applyFill="false" applyFont="false" applyNumberFormat="true" borderId="4148" fillId="0" fontId="1" numFmtId="1000" quotePrefix="false">
      <alignment horizontal="center" vertical="top"/>
    </xf>
    <xf applyAlignment="true" applyBorder="true" applyFill="false" applyFont="false" applyNumberFormat="true" borderId="4149" fillId="0" fontId="1" numFmtId="1000" quotePrefix="false">
      <alignment horizontal="center" vertical="top"/>
    </xf>
    <xf applyAlignment="true" applyBorder="true" applyFill="false" applyFont="false" applyNumberFormat="true" borderId="4150" fillId="0" fontId="1" numFmtId="1000" quotePrefix="false">
      <alignment horizontal="center" vertical="top"/>
    </xf>
    <xf applyAlignment="true" applyBorder="true" applyFill="false" applyFont="false" applyNumberFormat="true" borderId="4151" fillId="0" fontId="1" numFmtId="1000" quotePrefix="false">
      <alignment horizontal="center" vertical="top"/>
    </xf>
    <xf applyAlignment="true" applyBorder="true" applyFill="false" applyFont="false" applyNumberFormat="true" borderId="4152" fillId="0" fontId="1" numFmtId="1000" quotePrefix="false">
      <alignment horizontal="center" vertical="top"/>
    </xf>
    <xf applyAlignment="true" applyBorder="true" applyFill="false" applyFont="false" applyNumberFormat="true" borderId="4153" fillId="0" fontId="1" numFmtId="1000" quotePrefix="false">
      <alignment horizontal="center" vertical="top"/>
    </xf>
    <xf applyAlignment="true" applyBorder="true" applyFill="false" applyFont="false" applyNumberFormat="true" borderId="4154" fillId="0" fontId="1" numFmtId="1000" quotePrefix="false">
      <alignment horizontal="center" vertical="top"/>
    </xf>
    <xf applyAlignment="true" applyBorder="true" applyFill="false" applyFont="false" applyNumberFormat="true" borderId="4155" fillId="0" fontId="1" numFmtId="1000" quotePrefix="false">
      <alignment horizontal="center" vertical="top"/>
    </xf>
    <xf applyAlignment="true" applyBorder="true" applyFill="false" applyFont="false" applyNumberFormat="true" borderId="4156" fillId="0" fontId="1" numFmtId="1000" quotePrefix="false">
      <alignment horizontal="center" vertical="top"/>
    </xf>
    <xf applyAlignment="true" applyBorder="true" applyFill="false" applyFont="false" applyNumberFormat="true" borderId="4157" fillId="0" fontId="1" numFmtId="1000" quotePrefix="false">
      <alignment horizontal="center" vertical="top"/>
    </xf>
    <xf applyAlignment="true" applyBorder="true" applyFill="false" applyFont="false" applyNumberFormat="true" borderId="4158" fillId="0" fontId="1" numFmtId="1000" quotePrefix="false">
      <alignment horizontal="center" vertical="top"/>
    </xf>
    <xf applyAlignment="true" applyBorder="true" applyFill="false" applyFont="false" applyNumberFormat="true" borderId="4159" fillId="0" fontId="1" numFmtId="1000" quotePrefix="false">
      <alignment horizontal="center" vertical="top"/>
    </xf>
    <xf applyAlignment="true" applyBorder="true" applyFill="false" applyFont="false" applyNumberFormat="true" borderId="4160" fillId="0" fontId="1" numFmtId="1000" quotePrefix="false">
      <alignment horizontal="center" vertical="top"/>
    </xf>
    <xf applyAlignment="true" applyBorder="true" applyFill="false" applyFont="false" applyNumberFormat="true" borderId="4161" fillId="0" fontId="1" numFmtId="1000" quotePrefix="false">
      <alignment horizontal="center" vertical="top"/>
    </xf>
    <xf applyAlignment="true" applyBorder="true" applyFill="false" applyFont="false" applyNumberFormat="true" borderId="4162" fillId="0" fontId="1" numFmtId="1000" quotePrefix="false">
      <alignment horizontal="center" vertical="top"/>
    </xf>
    <xf applyAlignment="true" applyBorder="true" applyFill="false" applyFont="false" applyNumberFormat="true" borderId="4163" fillId="0" fontId="1" numFmtId="1000" quotePrefix="false">
      <alignment horizontal="center" vertical="top"/>
    </xf>
    <xf applyAlignment="true" applyBorder="true" applyFill="true" applyFont="false" applyNumberFormat="true" borderId="4164" fillId="3" fontId="1" numFmtId="1000" quotePrefix="false">
      <alignment horizontal="center" vertical="top" wrapText="true"/>
    </xf>
    <xf applyAlignment="true" applyBorder="true" applyFill="false" applyFont="false" applyNumberFormat="true" borderId="4165" fillId="0" fontId="1" numFmtId="1000" quotePrefix="false">
      <alignment horizontal="center" vertical="top"/>
    </xf>
    <xf applyAlignment="true" applyBorder="true" applyFill="false" applyFont="false" applyNumberFormat="true" borderId="4166" fillId="0" fontId="1" numFmtId="1000" quotePrefix="false">
      <alignment horizontal="center" vertical="top"/>
    </xf>
    <xf applyAlignment="true" applyBorder="true" applyFill="false" applyFont="false" applyNumberFormat="true" borderId="4167" fillId="0" fontId="1" numFmtId="1000" quotePrefix="false">
      <alignment horizontal="center" vertical="top"/>
    </xf>
    <xf applyAlignment="true" applyBorder="true" applyFill="false" applyFont="false" applyNumberFormat="true" borderId="4168" fillId="0" fontId="1" numFmtId="1000" quotePrefix="false">
      <alignment horizontal="center" vertical="top"/>
    </xf>
    <xf applyAlignment="true" applyBorder="true" applyFill="false" applyFont="false" applyNumberFormat="true" borderId="4169" fillId="0" fontId="1" numFmtId="1000" quotePrefix="false">
      <alignment horizontal="center" vertical="top"/>
    </xf>
    <xf applyAlignment="true" applyBorder="true" applyFill="false" applyFont="false" applyNumberFormat="true" borderId="4170" fillId="0" fontId="1" numFmtId="1000" quotePrefix="false">
      <alignment horizontal="center" vertical="top"/>
    </xf>
    <xf applyAlignment="true" applyBorder="true" applyFill="false" applyFont="false" applyNumberFormat="true" borderId="4171" fillId="0" fontId="1" numFmtId="1000" quotePrefix="false">
      <alignment horizontal="center" vertical="top"/>
    </xf>
    <xf applyAlignment="true" applyBorder="true" applyFill="false" applyFont="false" applyNumberFormat="true" borderId="4172" fillId="0" fontId="1" numFmtId="1000" quotePrefix="false">
      <alignment horizontal="center" vertical="top"/>
    </xf>
    <xf applyAlignment="true" applyBorder="true" applyFill="false" applyFont="false" applyNumberFormat="true" borderId="4173" fillId="0" fontId="1" numFmtId="1000" quotePrefix="false">
      <alignment horizontal="center" vertical="top"/>
    </xf>
    <xf applyAlignment="true" applyBorder="true" applyFill="false" applyFont="false" applyNumberFormat="true" borderId="4174" fillId="0" fontId="1" numFmtId="1000" quotePrefix="false">
      <alignment horizontal="center" vertical="top"/>
    </xf>
    <xf applyAlignment="true" applyBorder="true" applyFill="false" applyFont="false" applyNumberFormat="true" borderId="4175" fillId="0" fontId="1" numFmtId="1000" quotePrefix="false">
      <alignment horizontal="center" vertical="top"/>
    </xf>
    <xf applyAlignment="true" applyBorder="true" applyFill="false" applyFont="false" applyNumberFormat="true" borderId="4176" fillId="0" fontId="1" numFmtId="1000" quotePrefix="false">
      <alignment horizontal="center" vertical="top"/>
    </xf>
    <xf applyAlignment="true" applyBorder="true" applyFill="false" applyFont="false" applyNumberFormat="true" borderId="4177" fillId="0" fontId="1" numFmtId="1000" quotePrefix="false">
      <alignment horizontal="center" vertical="top"/>
    </xf>
    <xf applyAlignment="true" applyBorder="true" applyFill="false" applyFont="false" applyNumberFormat="true" borderId="4178" fillId="0" fontId="1" numFmtId="1000" quotePrefix="false">
      <alignment horizontal="center" vertical="top"/>
    </xf>
    <xf applyAlignment="true" applyBorder="true" applyFill="false" applyFont="false" applyNumberFormat="true" borderId="4179" fillId="0" fontId="1" numFmtId="1000" quotePrefix="false">
      <alignment horizontal="center" vertical="top"/>
    </xf>
    <xf applyAlignment="true" applyBorder="true" applyFill="false" applyFont="false" applyNumberFormat="true" borderId="4180" fillId="0" fontId="1" numFmtId="1000" quotePrefix="false">
      <alignment horizontal="center" vertical="top"/>
    </xf>
    <xf applyAlignment="true" applyBorder="true" applyFill="false" applyFont="false" applyNumberFormat="true" borderId="4181" fillId="0" fontId="1" numFmtId="1000" quotePrefix="false">
      <alignment horizontal="center" vertical="top"/>
    </xf>
    <xf applyAlignment="true" applyBorder="true" applyFill="false" applyFont="false" applyNumberFormat="true" borderId="4182" fillId="0" fontId="1" numFmtId="1000" quotePrefix="false">
      <alignment horizontal="center" vertical="top"/>
    </xf>
    <xf applyAlignment="true" applyBorder="true" applyFill="false" applyFont="false" applyNumberFormat="true" borderId="4183" fillId="0" fontId="1" numFmtId="1000" quotePrefix="false">
      <alignment horizontal="center" vertical="top"/>
    </xf>
    <xf applyAlignment="true" applyBorder="true" applyFill="false" applyFont="false" applyNumberFormat="true" borderId="4184" fillId="0" fontId="1" numFmtId="1000" quotePrefix="false">
      <alignment horizontal="center" vertical="top"/>
    </xf>
    <xf applyAlignment="true" applyBorder="true" applyFill="false" applyFont="false" applyNumberFormat="true" borderId="4185" fillId="0" fontId="1" numFmtId="1000" quotePrefix="false">
      <alignment horizontal="center" vertical="top"/>
    </xf>
    <xf applyAlignment="true" applyBorder="true" applyFill="false" applyFont="false" applyNumberFormat="true" borderId="4186" fillId="0" fontId="1" numFmtId="1000" quotePrefix="false">
      <alignment horizontal="center" vertical="top"/>
    </xf>
    <xf applyAlignment="true" applyBorder="true" applyFill="false" applyFont="false" applyNumberFormat="true" borderId="4187" fillId="0" fontId="1" numFmtId="1000" quotePrefix="false">
      <alignment horizontal="center" vertical="top"/>
    </xf>
    <xf applyAlignment="true" applyBorder="true" applyFill="false" applyFont="false" applyNumberFormat="true" borderId="4188" fillId="0" fontId="1" numFmtId="1000" quotePrefix="false">
      <alignment horizontal="center" vertical="top"/>
    </xf>
    <xf applyAlignment="true" applyBorder="true" applyFill="true" applyFont="false" applyNumberFormat="true" borderId="4189" fillId="4" fontId="1" numFmtId="1000" quotePrefix="false">
      <alignment horizontal="center" vertical="top" wrapText="true"/>
    </xf>
    <xf applyAlignment="true" applyBorder="true" applyFill="false" applyFont="false" applyNumberFormat="true" borderId="4190" fillId="0" fontId="1" numFmtId="1000" quotePrefix="false">
      <alignment horizontal="center" vertical="top"/>
    </xf>
    <xf applyAlignment="true" applyBorder="true" applyFill="false" applyFont="false" applyNumberFormat="true" borderId="4191" fillId="0" fontId="1" numFmtId="1000" quotePrefix="false">
      <alignment horizontal="center" vertical="top"/>
    </xf>
    <xf applyAlignment="true" applyBorder="true" applyFill="false" applyFont="false" applyNumberFormat="true" borderId="4192" fillId="0" fontId="1" numFmtId="1000" quotePrefix="false">
      <alignment horizontal="center" vertical="top"/>
    </xf>
    <xf applyAlignment="true" applyBorder="true" applyFill="false" applyFont="false" applyNumberFormat="true" borderId="4193" fillId="0" fontId="1" numFmtId="1000" quotePrefix="false">
      <alignment horizontal="center" vertical="top"/>
    </xf>
    <xf applyAlignment="true" applyBorder="true" applyFill="false" applyFont="false" applyNumberFormat="true" borderId="4194" fillId="0" fontId="1" numFmtId="1000" quotePrefix="false">
      <alignment horizontal="center" vertical="top"/>
    </xf>
    <xf applyAlignment="true" applyBorder="true" applyFill="false" applyFont="false" applyNumberFormat="true" borderId="4195" fillId="0" fontId="1" numFmtId="1000" quotePrefix="false">
      <alignment horizontal="center" vertical="top"/>
    </xf>
    <xf applyAlignment="true" applyBorder="true" applyFill="false" applyFont="false" applyNumberFormat="true" borderId="4196" fillId="0" fontId="1" numFmtId="1000" quotePrefix="false">
      <alignment horizontal="center" vertical="top"/>
    </xf>
    <xf applyAlignment="true" applyBorder="true" applyFill="false" applyFont="false" applyNumberFormat="true" borderId="4197" fillId="0" fontId="1" numFmtId="1000" quotePrefix="false">
      <alignment horizontal="center" vertical="top"/>
    </xf>
    <xf applyAlignment="true" applyBorder="true" applyFill="false" applyFont="false" applyNumberFormat="true" borderId="4198" fillId="0" fontId="1" numFmtId="1000" quotePrefix="false">
      <alignment horizontal="center" vertical="top"/>
    </xf>
    <xf applyAlignment="true" applyBorder="true" applyFill="false" applyFont="false" applyNumberFormat="true" borderId="4199" fillId="0" fontId="1" numFmtId="1000" quotePrefix="false">
      <alignment horizontal="center" vertical="top"/>
    </xf>
    <xf applyAlignment="true" applyBorder="true" applyFill="false" applyFont="true" applyNumberFormat="true" borderId="4200" fillId="0" fontId="2" numFmtId="1000" quotePrefix="false">
      <alignment horizontal="center" vertical="top"/>
    </xf>
    <xf applyAlignment="true" applyBorder="true" applyFill="false" applyFont="false" applyNumberFormat="true" borderId="4201" fillId="0" fontId="1" numFmtId="1000" quotePrefix="false">
      <alignment horizontal="left" vertical="top"/>
    </xf>
    <xf applyAlignment="true" applyBorder="true" applyFill="false" applyFont="false" applyNumberFormat="true" borderId="4202" fillId="0" fontId="1" numFmtId="1000" quotePrefix="false">
      <alignment horizontal="left" vertical="top"/>
    </xf>
    <xf applyAlignment="true" applyBorder="true" applyFill="false" applyFont="false" applyNumberFormat="true" borderId="4203" fillId="0" fontId="1" numFmtId="1000" quotePrefix="false">
      <alignment horizontal="left" vertical="top"/>
    </xf>
    <xf applyAlignment="true" applyBorder="true" applyFill="false" applyFont="false" applyNumberFormat="true" borderId="4204" fillId="0" fontId="1" numFmtId="1000" quotePrefix="false">
      <alignment horizontal="left" vertical="top"/>
    </xf>
    <xf applyAlignment="true" applyBorder="true" applyFill="false" applyFont="false" applyNumberFormat="true" borderId="4205" fillId="0" fontId="1" numFmtId="1000" quotePrefix="false">
      <alignment horizontal="left" vertical="top"/>
    </xf>
    <xf applyAlignment="true" applyBorder="true" applyFill="false" applyFont="false" applyNumberFormat="true" borderId="4206" fillId="0" fontId="1" numFmtId="1000" quotePrefix="false">
      <alignment horizontal="left" vertical="top"/>
    </xf>
    <xf applyAlignment="true" applyBorder="true" applyFill="false" applyFont="false" applyNumberFormat="true" borderId="4207" fillId="0" fontId="1" numFmtId="1000" quotePrefix="false">
      <alignment horizontal="left" vertical="top"/>
    </xf>
    <xf applyAlignment="true" applyBorder="true" applyFill="false" applyFont="false" applyNumberFormat="true" borderId="4208" fillId="0" fontId="1" numFmtId="1000" quotePrefix="false">
      <alignment horizontal="left" vertical="top"/>
    </xf>
    <xf applyAlignment="true" applyBorder="true" applyFill="false" applyFont="false" applyNumberFormat="true" borderId="4209" fillId="0" fontId="1" numFmtId="1000" quotePrefix="false">
      <alignment horizontal="left" vertical="top"/>
    </xf>
    <xf applyAlignment="true" applyBorder="true" applyFill="false" applyFont="false" applyNumberFormat="true" borderId="4210" fillId="0" fontId="1" numFmtId="1000" quotePrefix="false">
      <alignment horizontal="left" vertical="top"/>
    </xf>
    <xf applyAlignment="true" applyBorder="true" applyFill="false" applyFont="false" applyNumberFormat="true" borderId="4211" fillId="0" fontId="1" numFmtId="1000" quotePrefix="false">
      <alignment horizontal="left" vertical="top"/>
    </xf>
    <xf applyAlignment="true" applyBorder="true" applyFill="false" applyFont="false" applyNumberFormat="true" borderId="4212" fillId="0" fontId="1" numFmtId="1000" quotePrefix="false">
      <alignment horizontal="left" vertical="top"/>
    </xf>
    <xf applyAlignment="true" applyBorder="true" applyFill="false" applyFont="false" applyNumberFormat="true" borderId="4213" fillId="0" fontId="1" numFmtId="1000" quotePrefix="false">
      <alignment horizontal="left" vertical="top"/>
    </xf>
    <xf applyAlignment="true" applyBorder="true" applyFill="false" applyFont="false" applyNumberFormat="true" borderId="4214" fillId="0" fontId="1" numFmtId="1000" quotePrefix="false">
      <alignment horizontal="left" vertical="top"/>
    </xf>
    <xf applyAlignment="true" applyBorder="true" applyFill="false" applyFont="false" applyNumberFormat="true" borderId="4215" fillId="0" fontId="1" numFmtId="1000" quotePrefix="false">
      <alignment horizontal="left" vertical="top"/>
    </xf>
    <xf applyAlignment="true" applyBorder="true" applyFill="false" applyFont="false" applyNumberFormat="true" borderId="4216" fillId="0" fontId="1" numFmtId="1000" quotePrefix="false">
      <alignment horizontal="left" vertical="top"/>
    </xf>
    <xf applyAlignment="true" applyBorder="true" applyFill="false" applyFont="false" applyNumberFormat="true" borderId="4217" fillId="0" fontId="1" numFmtId="1000" quotePrefix="false">
      <alignment horizontal="left" vertical="top"/>
    </xf>
    <xf applyAlignment="true" applyBorder="true" applyFill="false" applyFont="false" applyNumberFormat="true" borderId="4218" fillId="0" fontId="1" numFmtId="1000" quotePrefix="false">
      <alignment horizontal="left" vertical="top"/>
    </xf>
    <xf applyAlignment="true" applyBorder="true" applyFill="false" applyFont="false" applyNumberFormat="true" borderId="4219" fillId="0" fontId="1" numFmtId="1000" quotePrefix="false">
      <alignment horizontal="left" vertical="top"/>
    </xf>
    <xf applyAlignment="true" applyBorder="true" applyFill="false" applyFont="true" applyNumberFormat="true" borderId="4220" fillId="0" fontId="2" numFmtId="1000" quotePrefix="false">
      <alignment horizontal="center"/>
    </xf>
    <xf applyAlignment="true" applyBorder="true" applyFill="false" applyFont="true" applyNumberFormat="true" borderId="4221" fillId="0" fontId="2" numFmtId="1000" quotePrefix="false">
      <alignment horizontal="center"/>
    </xf>
    <xf applyAlignment="true" applyBorder="true" applyFill="false" applyFont="true" applyNumberFormat="true" borderId="4222" fillId="0" fontId="2" numFmtId="1000" quotePrefix="false">
      <alignment horizontal="center"/>
    </xf>
    <xf applyAlignment="true" applyBorder="true" applyFill="false" applyFont="false" applyNumberFormat="true" borderId="4223" fillId="0" fontId="1" numFmtId="1000" quotePrefix="false">
      <alignment horizontal="center" vertical="top"/>
    </xf>
    <xf applyAlignment="true" applyBorder="true" applyFill="false" applyFont="false" applyNumberFormat="true" borderId="4224" fillId="0" fontId="1" numFmtId="1000" quotePrefix="false">
      <alignment horizontal="center" vertical="top"/>
    </xf>
    <xf applyAlignment="true" applyBorder="true" applyFill="false" applyFont="false" applyNumberFormat="true" borderId="4225" fillId="0" fontId="1" numFmtId="1000" quotePrefix="false">
      <alignment horizontal="center" vertical="top"/>
    </xf>
    <xf applyAlignment="true" applyBorder="true" applyFill="false" applyFont="false" applyNumberFormat="true" borderId="4226" fillId="0" fontId="1" numFmtId="1000" quotePrefix="false">
      <alignment horizontal="center" vertical="top"/>
    </xf>
    <xf applyAlignment="true" applyBorder="true" applyFill="false" applyFont="false" applyNumberFormat="true" borderId="4227" fillId="0" fontId="1" numFmtId="1000" quotePrefix="false">
      <alignment horizontal="center" vertical="top"/>
    </xf>
    <xf applyAlignment="true" applyBorder="true" applyFill="false" applyFont="false" applyNumberFormat="true" borderId="4228" fillId="0" fontId="1" numFmtId="1000" quotePrefix="false">
      <alignment horizontal="center" vertical="top"/>
    </xf>
    <xf applyAlignment="true" applyBorder="true" applyFill="false" applyFont="false" applyNumberFormat="true" borderId="4229" fillId="0" fontId="1" numFmtId="1000" quotePrefix="false">
      <alignment horizontal="center" vertical="top"/>
    </xf>
    <xf applyAlignment="true" applyBorder="true" applyFill="false" applyFont="false" applyNumberFormat="true" borderId="4230" fillId="0" fontId="1" numFmtId="1000" quotePrefix="false">
      <alignment horizontal="center" vertical="top"/>
    </xf>
    <xf applyAlignment="true" applyBorder="true" applyFill="false" applyFont="false" applyNumberFormat="true" borderId="4231" fillId="0" fontId="1" numFmtId="1000" quotePrefix="false">
      <alignment horizontal="center" vertical="top"/>
    </xf>
    <xf applyAlignment="true" applyBorder="true" applyFill="false" applyFont="false" applyNumberFormat="true" borderId="4232" fillId="0" fontId="1" numFmtId="1000" quotePrefix="false">
      <alignment horizontal="center" vertical="top"/>
    </xf>
    <xf applyAlignment="true" applyBorder="true" applyFill="false" applyFont="false" applyNumberFormat="true" borderId="4233" fillId="0" fontId="1" numFmtId="1000" quotePrefix="false">
      <alignment horizontal="center" vertical="top"/>
    </xf>
    <xf applyAlignment="true" applyBorder="true" applyFill="false" applyFont="false" applyNumberFormat="true" borderId="4234" fillId="0" fontId="1" numFmtId="1000" quotePrefix="false">
      <alignment horizontal="center" vertical="top"/>
    </xf>
    <xf applyAlignment="true" applyBorder="true" applyFill="false" applyFont="false" applyNumberFormat="true" borderId="4235" fillId="0" fontId="1" numFmtId="1000" quotePrefix="false">
      <alignment horizontal="center" vertical="top"/>
    </xf>
    <xf applyAlignment="true" applyBorder="true" applyFill="false" applyFont="false" applyNumberFormat="true" borderId="4236" fillId="0" fontId="1" numFmtId="1000" quotePrefix="false">
      <alignment horizontal="center" vertical="top"/>
    </xf>
    <xf applyAlignment="true" applyBorder="true" applyFill="false" applyFont="false" applyNumberFormat="true" borderId="4237" fillId="0" fontId="1" numFmtId="1000" quotePrefix="false">
      <alignment horizontal="center" vertical="top"/>
    </xf>
    <xf applyAlignment="true" applyBorder="true" applyFill="false" applyFont="false" applyNumberFormat="true" borderId="4238" fillId="0" fontId="1" numFmtId="1000" quotePrefix="false">
      <alignment horizontal="center" vertical="top"/>
    </xf>
    <xf applyAlignment="true" applyBorder="true" applyFill="false" applyFont="false" applyNumberFormat="true" borderId="4239" fillId="0" fontId="1" numFmtId="1000" quotePrefix="false">
      <alignment horizontal="center" vertical="top"/>
    </xf>
    <xf applyAlignment="true" applyBorder="true" applyFill="false" applyFont="false" applyNumberFormat="true" borderId="4240" fillId="0" fontId="1" numFmtId="1000" quotePrefix="false">
      <alignment horizontal="center" vertical="top"/>
    </xf>
    <xf applyAlignment="true" applyBorder="true" applyFill="false" applyFont="false" applyNumberFormat="true" borderId="4241" fillId="0" fontId="1" numFmtId="1000" quotePrefix="false">
      <alignment horizontal="center" vertical="top"/>
    </xf>
    <xf applyAlignment="true" applyBorder="true" applyFill="false" applyFont="false" applyNumberFormat="true" borderId="4242" fillId="0" fontId="1" numFmtId="1000" quotePrefix="false">
      <alignment horizontal="center" vertical="top"/>
    </xf>
    <xf applyAlignment="true" applyBorder="true" applyFill="false" applyFont="false" applyNumberFormat="true" borderId="4243" fillId="0" fontId="1" numFmtId="1000" quotePrefix="false">
      <alignment horizontal="center" vertical="top"/>
    </xf>
    <xf applyAlignment="true" applyBorder="true" applyFill="true" applyFont="true" applyNumberFormat="true" borderId="76" fillId="4" fontId="2" numFmtId="1000" quotePrefix="false">
      <alignment vertical="top"/>
    </xf>
    <xf applyAlignment="true" applyBorder="true" applyFill="false" applyFont="false" applyNumberFormat="true" borderId="4244" fillId="0" fontId="1" numFmtId="1000" quotePrefix="false">
      <alignment horizontal="center" vertical="top"/>
    </xf>
    <xf applyAlignment="true" applyBorder="true" applyFill="false" applyFont="false" applyNumberFormat="true" borderId="4245" fillId="0" fontId="1" numFmtId="1000" quotePrefix="false">
      <alignment horizontal="center" vertical="top"/>
    </xf>
    <xf applyAlignment="true" applyBorder="true" applyFill="false" applyFont="false" applyNumberFormat="true" borderId="4246" fillId="0" fontId="1" numFmtId="1000" quotePrefix="false">
      <alignment horizontal="center" vertical="top"/>
    </xf>
    <xf applyAlignment="true" applyBorder="true" applyFill="false" applyFont="false" applyNumberFormat="true" borderId="4247" fillId="0" fontId="1" numFmtId="1000" quotePrefix="false">
      <alignment horizontal="center" vertical="top"/>
    </xf>
    <xf applyAlignment="true" applyBorder="true" applyFill="false" applyFont="false" applyNumberFormat="true" borderId="4248" fillId="0" fontId="1" numFmtId="1000" quotePrefix="false">
      <alignment horizontal="center" vertical="top"/>
    </xf>
    <xf applyAlignment="true" applyBorder="true" applyFill="false" applyFont="false" applyNumberFormat="true" borderId="4249" fillId="0" fontId="1" numFmtId="1000" quotePrefix="false">
      <alignment horizontal="center" vertical="top"/>
    </xf>
    <xf applyAlignment="true" applyBorder="true" applyFill="false" applyFont="false" applyNumberFormat="true" borderId="4250" fillId="0" fontId="1" numFmtId="1000" quotePrefix="false">
      <alignment horizontal="center" vertical="top"/>
    </xf>
    <xf applyAlignment="true" applyBorder="true" applyFill="false" applyFont="false" applyNumberFormat="true" borderId="4251" fillId="0" fontId="1" numFmtId="1000" quotePrefix="false">
      <alignment horizontal="center" vertical="top"/>
    </xf>
    <xf applyAlignment="true" applyBorder="true" applyFill="false" applyFont="false" applyNumberFormat="true" borderId="4252" fillId="0" fontId="1" numFmtId="1000" quotePrefix="false">
      <alignment horizontal="center" vertical="top"/>
    </xf>
    <xf applyAlignment="true" applyBorder="true" applyFill="false" applyFont="false" applyNumberFormat="true" borderId="4253" fillId="0" fontId="1" numFmtId="1000" quotePrefix="false">
      <alignment horizontal="center" vertical="top"/>
    </xf>
    <xf applyAlignment="true" applyBorder="true" applyFill="false" applyFont="false" applyNumberFormat="true" borderId="4254" fillId="0" fontId="1" numFmtId="1000" quotePrefix="false">
      <alignment horizontal="center" vertical="top"/>
    </xf>
    <xf applyAlignment="true" applyBorder="true" applyFill="false" applyFont="false" applyNumberFormat="true" borderId="4255" fillId="0" fontId="1" numFmtId="1000" quotePrefix="false">
      <alignment horizontal="center" vertical="top"/>
    </xf>
    <xf applyAlignment="true" applyBorder="true" applyFill="false" applyFont="true" applyNumberFormat="true" borderId="4256" fillId="0" fontId="2" numFmtId="1000" quotePrefix="false">
      <alignment horizontal="center" vertical="top"/>
    </xf>
    <xf applyAlignment="true" applyBorder="true" applyFill="false" applyFont="false" applyNumberFormat="true" borderId="4257" fillId="0" fontId="1" numFmtId="1000" quotePrefix="false">
      <alignment horizontal="left" vertical="top"/>
    </xf>
    <xf applyAlignment="true" applyBorder="true" applyFill="false" applyFont="false" applyNumberFormat="true" borderId="4258" fillId="0" fontId="1" numFmtId="1000" quotePrefix="false">
      <alignment horizontal="left" vertical="top"/>
    </xf>
    <xf applyAlignment="true" applyBorder="true" applyFill="false" applyFont="false" applyNumberFormat="true" borderId="4259" fillId="0" fontId="1" numFmtId="1000" quotePrefix="false">
      <alignment horizontal="left" vertical="top"/>
    </xf>
    <xf applyAlignment="true" applyBorder="true" applyFill="false" applyFont="false" applyNumberFormat="true" borderId="4260" fillId="0" fontId="1" numFmtId="1000" quotePrefix="false">
      <alignment horizontal="left" vertical="top"/>
    </xf>
    <xf applyAlignment="true" applyBorder="true" applyFill="false" applyFont="false" applyNumberFormat="true" borderId="4261" fillId="0" fontId="1" numFmtId="1000" quotePrefix="false">
      <alignment horizontal="left" vertical="top"/>
    </xf>
    <xf applyAlignment="true" applyBorder="true" applyFill="false" applyFont="false" applyNumberFormat="true" borderId="4262" fillId="0" fontId="1" numFmtId="1000" quotePrefix="false">
      <alignment horizontal="left" vertical="top"/>
    </xf>
    <xf applyAlignment="true" applyBorder="true" applyFill="false" applyFont="false" applyNumberFormat="true" borderId="4263" fillId="0" fontId="1" numFmtId="1000" quotePrefix="false">
      <alignment horizontal="left" vertical="top"/>
    </xf>
    <xf applyAlignment="true" applyBorder="true" applyFill="false" applyFont="false" applyNumberFormat="true" borderId="4264" fillId="0" fontId="1" numFmtId="1000" quotePrefix="false">
      <alignment horizontal="left" vertical="top"/>
    </xf>
    <xf applyAlignment="true" applyBorder="true" applyFill="false" applyFont="false" applyNumberFormat="true" borderId="4265" fillId="0" fontId="1" numFmtId="1000" quotePrefix="false">
      <alignment horizontal="left" vertical="top"/>
    </xf>
    <xf applyAlignment="true" applyBorder="true" applyFill="false" applyFont="false" applyNumberFormat="true" borderId="4266" fillId="0" fontId="1" numFmtId="1000" quotePrefix="false">
      <alignment horizontal="left" vertical="top"/>
    </xf>
    <xf applyAlignment="true" applyBorder="true" applyFill="false" applyFont="false" applyNumberFormat="true" borderId="4267" fillId="0" fontId="1" numFmtId="1000" quotePrefix="false">
      <alignment horizontal="left" vertical="top"/>
    </xf>
    <xf applyAlignment="true" applyBorder="true" applyFill="false" applyFont="false" applyNumberFormat="true" borderId="4268" fillId="0" fontId="1" numFmtId="1000" quotePrefix="false">
      <alignment horizontal="left" vertical="top"/>
    </xf>
    <xf applyAlignment="true" applyBorder="true" applyFill="false" applyFont="false" applyNumberFormat="true" borderId="4269" fillId="0" fontId="1" numFmtId="1000" quotePrefix="false">
      <alignment horizontal="left" vertical="top"/>
    </xf>
    <xf applyAlignment="true" applyBorder="true" applyFill="false" applyFont="false" applyNumberFormat="true" borderId="4270" fillId="0" fontId="1" numFmtId="1000" quotePrefix="false">
      <alignment horizontal="left" vertical="top"/>
    </xf>
    <xf applyAlignment="true" applyBorder="true" applyFill="false" applyFont="false" applyNumberFormat="true" borderId="4271" fillId="0" fontId="1" numFmtId="1000" quotePrefix="false">
      <alignment horizontal="left" vertical="top"/>
    </xf>
    <xf applyAlignment="true" applyBorder="true" applyFill="false" applyFont="false" applyNumberFormat="true" borderId="4272" fillId="0" fontId="1" numFmtId="1000" quotePrefix="false">
      <alignment horizontal="left" vertical="top"/>
    </xf>
    <xf applyAlignment="true" applyBorder="true" applyFill="false" applyFont="false" applyNumberFormat="true" borderId="4273" fillId="0" fontId="1" numFmtId="1000" quotePrefix="false">
      <alignment horizontal="left" vertical="top"/>
    </xf>
    <xf applyAlignment="true" applyBorder="true" applyFill="false" applyFont="false" applyNumberFormat="true" borderId="4274" fillId="0" fontId="1" numFmtId="1000" quotePrefix="false">
      <alignment horizontal="left" vertical="top"/>
    </xf>
    <xf applyAlignment="true" applyBorder="true" applyFill="false" applyFont="false" applyNumberFormat="true" borderId="4275" fillId="0" fontId="1" numFmtId="1000" quotePrefix="false">
      <alignment horizontal="left" vertical="top"/>
    </xf>
    <xf applyAlignment="true" applyBorder="true" applyFill="false" applyFont="true" applyNumberFormat="true" borderId="4276" fillId="0" fontId="2" numFmtId="1000" quotePrefix="false">
      <alignment horizontal="center"/>
    </xf>
    <xf applyAlignment="true" applyBorder="true" applyFill="false" applyFont="true" applyNumberFormat="true" borderId="4277" fillId="0" fontId="2" numFmtId="1000" quotePrefix="false">
      <alignment horizontal="center"/>
    </xf>
    <xf applyAlignment="true" applyBorder="true" applyFill="false" applyFont="true" applyNumberFormat="true" borderId="4278" fillId="0" fontId="2" numFmtId="1000" quotePrefix="false">
      <alignment horizontal="center"/>
    </xf>
    <xf applyAlignment="true" applyBorder="true" applyFill="false" applyFont="false" applyNumberFormat="true" borderId="4279" fillId="0" fontId="1" numFmtId="1000" quotePrefix="false">
      <alignment horizontal="center" vertical="top"/>
    </xf>
    <xf applyAlignment="true" applyBorder="true" applyFill="false" applyFont="false" applyNumberFormat="true" borderId="4280" fillId="0" fontId="1" numFmtId="1000" quotePrefix="false">
      <alignment horizontal="center" vertical="top"/>
    </xf>
    <xf applyAlignment="true" applyBorder="true" applyFill="false" applyFont="false" applyNumberFormat="true" borderId="4281" fillId="0" fontId="1" numFmtId="1000" quotePrefix="false">
      <alignment horizontal="center" vertical="top"/>
    </xf>
    <xf applyAlignment="true" applyBorder="true" applyFill="false" applyFont="false" applyNumberFormat="true" borderId="4282" fillId="0" fontId="1" numFmtId="1000" quotePrefix="false">
      <alignment horizontal="center" vertical="top"/>
    </xf>
    <xf applyAlignment="true" applyBorder="true" applyFill="false" applyFont="false" applyNumberFormat="true" borderId="4283" fillId="0" fontId="1" numFmtId="1000" quotePrefix="false">
      <alignment horizontal="center" vertical="top"/>
    </xf>
    <xf applyAlignment="true" applyBorder="true" applyFill="false" applyFont="false" applyNumberFormat="true" borderId="4284" fillId="0" fontId="1" numFmtId="1000" quotePrefix="false">
      <alignment horizontal="center" vertical="top"/>
    </xf>
    <xf applyAlignment="true" applyBorder="true" applyFill="false" applyFont="false" applyNumberFormat="true" borderId="4285" fillId="0" fontId="1" numFmtId="1000" quotePrefix="false">
      <alignment horizontal="center" vertical="top"/>
    </xf>
    <xf applyAlignment="true" applyBorder="true" applyFill="false" applyFont="false" applyNumberFormat="true" borderId="4286" fillId="0" fontId="1" numFmtId="1000" quotePrefix="false">
      <alignment horizontal="center" vertical="top"/>
    </xf>
    <xf applyAlignment="true" applyBorder="true" applyFill="false" applyFont="false" applyNumberFormat="true" borderId="4287" fillId="0" fontId="1" numFmtId="1000" quotePrefix="false">
      <alignment horizontal="center" vertical="top"/>
    </xf>
    <xf applyAlignment="true" applyBorder="true" applyFill="false" applyFont="false" applyNumberFormat="true" borderId="4288" fillId="0" fontId="1" numFmtId="1000" quotePrefix="false">
      <alignment horizontal="center" vertical="top"/>
    </xf>
    <xf applyAlignment="true" applyBorder="true" applyFill="false" applyFont="false" applyNumberFormat="true" borderId="4289" fillId="0" fontId="1" numFmtId="1000" quotePrefix="false">
      <alignment horizontal="center" vertical="top"/>
    </xf>
    <xf applyAlignment="true" applyBorder="true" applyFill="false" applyFont="false" applyNumberFormat="true" borderId="4290" fillId="0" fontId="1" numFmtId="1000" quotePrefix="false">
      <alignment horizontal="center" vertical="top"/>
    </xf>
    <xf applyAlignment="true" applyBorder="true" applyFill="false" applyFont="false" applyNumberFormat="true" borderId="4291" fillId="0" fontId="1" numFmtId="1000" quotePrefix="false">
      <alignment horizontal="center" vertical="top"/>
    </xf>
    <xf applyAlignment="true" applyBorder="true" applyFill="false" applyFont="false" applyNumberFormat="true" borderId="4292" fillId="0" fontId="1" numFmtId="1000" quotePrefix="false">
      <alignment horizontal="center" vertical="top"/>
    </xf>
    <xf applyAlignment="true" applyBorder="true" applyFill="false" applyFont="false" applyNumberFormat="true" borderId="4293" fillId="0" fontId="1" numFmtId="1000" quotePrefix="false">
      <alignment horizontal="center" vertical="top"/>
    </xf>
    <xf applyAlignment="true" applyBorder="true" applyFill="false" applyFont="false" applyNumberFormat="true" borderId="4294" fillId="0" fontId="1" numFmtId="1000" quotePrefix="false">
      <alignment horizontal="center" vertical="top"/>
    </xf>
    <xf applyAlignment="true" applyBorder="true" applyFill="false" applyFont="false" applyNumberFormat="true" borderId="4295" fillId="0" fontId="1" numFmtId="1000" quotePrefix="false">
      <alignment horizontal="center" vertical="top"/>
    </xf>
    <xf applyAlignment="true" applyBorder="true" applyFill="false" applyFont="false" applyNumberFormat="true" borderId="4296" fillId="0" fontId="1" numFmtId="1000" quotePrefix="false">
      <alignment horizontal="center" vertical="top"/>
    </xf>
    <xf applyAlignment="true" applyBorder="true" applyFill="false" applyFont="false" applyNumberFormat="true" borderId="4297" fillId="0" fontId="1" numFmtId="1000" quotePrefix="false">
      <alignment horizontal="center" vertical="top"/>
    </xf>
    <xf applyAlignment="true" applyBorder="true" applyFill="false" applyFont="false" applyNumberFormat="true" borderId="4298" fillId="0" fontId="1" numFmtId="1000" quotePrefix="false">
      <alignment horizontal="center" vertical="top"/>
    </xf>
    <xf applyAlignment="true" applyBorder="true" applyFill="false" applyFont="false" applyNumberFormat="true" borderId="4299" fillId="0" fontId="1" numFmtId="1000" quotePrefix="false">
      <alignment horizontal="center" vertical="top"/>
    </xf>
    <xf applyAlignment="true" applyBorder="true" applyFill="false" applyFont="false" applyNumberFormat="true" borderId="4300" fillId="0" fontId="1" numFmtId="1000" quotePrefix="false">
      <alignment horizontal="center" vertical="top"/>
    </xf>
    <xf applyAlignment="true" applyBorder="true" applyFill="false" applyFont="false" applyNumberFormat="true" borderId="4301" fillId="0" fontId="1" numFmtId="1000" quotePrefix="false">
      <alignment horizontal="center" vertical="top"/>
    </xf>
    <xf applyAlignment="true" applyBorder="true" applyFill="false" applyFont="false" applyNumberFormat="true" borderId="4302" fillId="0" fontId="1" numFmtId="1000" quotePrefix="false">
      <alignment horizontal="center" vertical="top"/>
    </xf>
    <xf applyAlignment="true" applyBorder="true" applyFill="false" applyFont="false" applyNumberFormat="true" borderId="4303" fillId="0" fontId="1" numFmtId="1000" quotePrefix="false">
      <alignment horizontal="center" vertical="top"/>
    </xf>
    <xf applyAlignment="true" applyBorder="true" applyFill="false" applyFont="false" applyNumberFormat="true" borderId="4304" fillId="0" fontId="1" numFmtId="1000" quotePrefix="false">
      <alignment horizontal="center" vertical="top"/>
    </xf>
    <xf applyAlignment="true" applyBorder="true" applyFill="false" applyFont="false" applyNumberFormat="true" borderId="4305" fillId="0" fontId="1" numFmtId="1000" quotePrefix="false">
      <alignment horizontal="center" vertical="top"/>
    </xf>
    <xf applyAlignment="true" applyBorder="true" applyFill="false" applyFont="false" applyNumberFormat="true" borderId="4306" fillId="0" fontId="1" numFmtId="1000" quotePrefix="false">
      <alignment horizontal="center" vertical="top"/>
    </xf>
    <xf applyAlignment="true" applyBorder="true" applyFill="false" applyFont="false" applyNumberFormat="true" borderId="4307" fillId="0" fontId="1" numFmtId="1000" quotePrefix="false">
      <alignment horizontal="center" vertical="top"/>
    </xf>
    <xf applyAlignment="true" applyBorder="true" applyFill="false" applyFont="false" applyNumberFormat="true" borderId="4308" fillId="0" fontId="1" numFmtId="1000" quotePrefix="false">
      <alignment horizontal="center" vertical="top"/>
    </xf>
    <xf applyAlignment="true" applyBorder="true" applyFill="false" applyFont="false" applyNumberFormat="true" borderId="4309" fillId="0" fontId="1" numFmtId="1000" quotePrefix="false">
      <alignment horizontal="center" vertical="top"/>
    </xf>
    <xf applyAlignment="true" applyBorder="true" applyFill="false" applyFont="false" applyNumberFormat="true" borderId="4310" fillId="0" fontId="1" numFmtId="1000" quotePrefix="false">
      <alignment horizontal="center" vertical="top"/>
    </xf>
    <xf applyAlignment="true" applyBorder="true" applyFill="false" applyFont="false" applyNumberFormat="true" borderId="4311" fillId="0" fontId="1" numFmtId="1000" quotePrefix="false">
      <alignment horizontal="center" vertical="top"/>
    </xf>
    <xf applyAlignment="true" applyBorder="true" applyFill="false" applyFont="false" applyNumberFormat="true" borderId="4312" fillId="0" fontId="1" numFmtId="1000" quotePrefix="false">
      <alignment horizontal="center" vertical="top"/>
    </xf>
    <xf applyAlignment="true" applyBorder="true" applyFill="false" applyFont="false" applyNumberFormat="true" borderId="4313" fillId="0" fontId="1" numFmtId="1000" quotePrefix="false">
      <alignment horizontal="center" vertical="top"/>
    </xf>
    <xf applyAlignment="true" applyBorder="true" applyFill="false" applyFont="false" applyNumberFormat="true" borderId="4314" fillId="0" fontId="1" numFmtId="1000" quotePrefix="false">
      <alignment horizontal="center" vertical="top"/>
    </xf>
    <xf applyAlignment="true" applyBorder="true" applyFill="false" applyFont="false" applyNumberFormat="true" borderId="4315" fillId="0" fontId="1" numFmtId="1000" quotePrefix="false">
      <alignment horizontal="center" vertical="top"/>
    </xf>
    <xf applyAlignment="true" applyBorder="true" applyFill="false" applyFont="false" applyNumberFormat="true" borderId="4316" fillId="0" fontId="1" numFmtId="1000" quotePrefix="false">
      <alignment horizontal="center" vertical="top"/>
    </xf>
    <xf applyAlignment="true" applyBorder="true" applyFill="false" applyFont="false" applyNumberFormat="true" borderId="4317" fillId="0" fontId="1" numFmtId="1000" quotePrefix="false">
      <alignment horizontal="center" vertical="top"/>
    </xf>
    <xf applyAlignment="true" applyBorder="true" applyFill="false" applyFont="false" applyNumberFormat="true" borderId="4318" fillId="0" fontId="1" numFmtId="1000" quotePrefix="false">
      <alignment horizontal="center" vertical="top"/>
    </xf>
    <xf applyAlignment="true" applyBorder="true" applyFill="false" applyFont="false" applyNumberFormat="true" borderId="4319" fillId="0" fontId="1" numFmtId="1000" quotePrefix="false">
      <alignment horizontal="center" vertical="top"/>
    </xf>
    <xf applyAlignment="true" applyBorder="true" applyFill="false" applyFont="false" applyNumberFormat="true" borderId="4320" fillId="0" fontId="1" numFmtId="1000" quotePrefix="false">
      <alignment horizontal="center" vertical="top"/>
    </xf>
    <xf applyAlignment="true" applyBorder="true" applyFill="false" applyFont="false" applyNumberFormat="true" borderId="4321" fillId="0" fontId="1" numFmtId="1000" quotePrefix="false">
      <alignment horizontal="center" vertical="top"/>
    </xf>
    <xf applyAlignment="true" applyBorder="true" applyFill="false" applyFont="false" applyNumberFormat="true" borderId="4322" fillId="0" fontId="1" numFmtId="1000" quotePrefix="false">
      <alignment horizontal="center" vertical="top"/>
    </xf>
    <xf applyAlignment="true" applyBorder="true" applyFill="false" applyFont="false" applyNumberFormat="true" borderId="4323" fillId="0" fontId="1" numFmtId="1000" quotePrefix="false">
      <alignment horizontal="center" vertical="top"/>
    </xf>
    <xf applyAlignment="true" applyBorder="true" applyFill="false" applyFont="false" applyNumberFormat="true" borderId="4324" fillId="0" fontId="1" numFmtId="1000" quotePrefix="false">
      <alignment horizontal="center" vertical="top"/>
    </xf>
    <xf applyAlignment="true" applyBorder="true" applyFill="false" applyFont="false" applyNumberFormat="true" borderId="4325" fillId="0" fontId="1" numFmtId="1000" quotePrefix="false">
      <alignment horizontal="center" vertical="top"/>
    </xf>
    <xf applyAlignment="true" applyBorder="true" applyFill="false" applyFont="false" applyNumberFormat="true" borderId="4326" fillId="0" fontId="1" numFmtId="1000" quotePrefix="false">
      <alignment horizontal="center" vertical="top"/>
    </xf>
    <xf applyAlignment="true" applyBorder="true" applyFill="false" applyFont="false" applyNumberFormat="true" borderId="4327" fillId="0" fontId="1" numFmtId="1000" quotePrefix="false">
      <alignment horizontal="center" vertical="top"/>
    </xf>
    <xf applyAlignment="true" applyBorder="true" applyFill="false" applyFont="false" applyNumberFormat="true" borderId="4328" fillId="0" fontId="1" numFmtId="1000" quotePrefix="false">
      <alignment horizontal="center" vertical="top"/>
    </xf>
    <xf applyAlignment="true" applyBorder="true" applyFill="false" applyFont="false" applyNumberFormat="true" borderId="4329" fillId="0" fontId="1" numFmtId="1000" quotePrefix="false">
      <alignment horizontal="center" vertical="top"/>
    </xf>
    <xf applyAlignment="true" applyBorder="true" applyFill="false" applyFont="false" applyNumberFormat="true" borderId="4330" fillId="0" fontId="1" numFmtId="1000" quotePrefix="false">
      <alignment horizontal="center" vertical="top"/>
    </xf>
    <xf applyAlignment="true" applyBorder="true" applyFill="false" applyFont="false" applyNumberFormat="true" borderId="4331" fillId="0" fontId="1" numFmtId="1000" quotePrefix="false">
      <alignment horizontal="center" vertical="top"/>
    </xf>
    <xf applyAlignment="true" applyBorder="true" applyFill="false" applyFont="false" applyNumberFormat="true" borderId="4332" fillId="0" fontId="1" numFmtId="1000" quotePrefix="false">
      <alignment horizontal="center" vertical="top"/>
    </xf>
    <xf applyAlignment="true" applyBorder="true" applyFill="false" applyFont="false" applyNumberFormat="true" borderId="4333" fillId="0" fontId="1" numFmtId="1000" quotePrefix="false">
      <alignment horizontal="center" vertical="top"/>
    </xf>
    <xf applyAlignment="true" applyBorder="true" applyFill="false" applyFont="false" applyNumberFormat="true" borderId="4334" fillId="0" fontId="1" numFmtId="1000" quotePrefix="false">
      <alignment horizontal="center" vertical="top"/>
    </xf>
    <xf applyAlignment="true" applyBorder="true" applyFill="false" applyFont="false" applyNumberFormat="true" borderId="4335" fillId="0" fontId="1" numFmtId="1000" quotePrefix="false">
      <alignment horizontal="center" vertical="top"/>
    </xf>
    <xf applyAlignment="true" applyBorder="true" applyFill="false" applyFont="false" applyNumberFormat="true" borderId="4336" fillId="0" fontId="1" numFmtId="1000" quotePrefix="false">
      <alignment horizontal="center" vertical="top"/>
    </xf>
    <xf applyAlignment="true" applyBorder="true" applyFill="false" applyFont="false" applyNumberFormat="true" borderId="4337" fillId="0" fontId="1" numFmtId="1000" quotePrefix="false">
      <alignment horizontal="center" vertical="top"/>
    </xf>
    <xf applyAlignment="true" applyBorder="true" applyFill="false" applyFont="false" applyNumberFormat="true" borderId="4338" fillId="0" fontId="1" numFmtId="1000" quotePrefix="false">
      <alignment horizontal="center" vertical="top"/>
    </xf>
    <xf applyAlignment="true" applyBorder="true" applyFill="false" applyFont="false" applyNumberFormat="true" borderId="4339" fillId="0" fontId="1" numFmtId="1000" quotePrefix="false">
      <alignment horizontal="center" vertical="top"/>
    </xf>
    <xf applyAlignment="true" applyBorder="true" applyFill="false" applyFont="false" applyNumberFormat="true" borderId="4340" fillId="0" fontId="1" numFmtId="1000" quotePrefix="false">
      <alignment horizontal="center" vertical="top"/>
    </xf>
    <xf applyAlignment="true" applyBorder="true" applyFill="false" applyFont="false" applyNumberFormat="true" borderId="4341" fillId="0" fontId="1" numFmtId="1000" quotePrefix="false">
      <alignment horizontal="center" vertical="top"/>
    </xf>
    <xf applyAlignment="true" applyBorder="true" applyFill="false" applyFont="false" applyNumberFormat="true" borderId="4342" fillId="0" fontId="1" numFmtId="1000" quotePrefix="false">
      <alignment horizontal="center" vertical="top"/>
    </xf>
    <xf applyAlignment="true" applyBorder="true" applyFill="false" applyFont="false" applyNumberFormat="true" borderId="4343" fillId="0" fontId="1" numFmtId="1000" quotePrefix="false">
      <alignment horizontal="center" vertical="top"/>
    </xf>
    <xf applyAlignment="true" applyBorder="true" applyFill="false" applyFont="false" applyNumberFormat="true" borderId="4344" fillId="0" fontId="1" numFmtId="1000" quotePrefix="false">
      <alignment horizontal="center" vertical="top"/>
    </xf>
    <xf applyAlignment="true" applyBorder="true" applyFill="false" applyFont="false" applyNumberFormat="true" borderId="4345" fillId="0" fontId="1" numFmtId="1000" quotePrefix="false">
      <alignment horizontal="center" vertical="top"/>
    </xf>
    <xf applyAlignment="true" applyBorder="true" applyFill="false" applyFont="false" applyNumberFormat="true" borderId="4346" fillId="0" fontId="1" numFmtId="1000" quotePrefix="false">
      <alignment horizontal="center" vertical="top"/>
    </xf>
    <xf applyAlignment="true" applyBorder="true" applyFill="false" applyFont="false" applyNumberFormat="true" borderId="4347" fillId="0" fontId="1" numFmtId="1000" quotePrefix="false">
      <alignment horizontal="center" vertical="top"/>
    </xf>
    <xf applyAlignment="true" applyBorder="true" applyFill="false" applyFont="false" applyNumberFormat="true" borderId="4348" fillId="0" fontId="1" numFmtId="1000" quotePrefix="false">
      <alignment horizontal="center" vertical="top"/>
    </xf>
    <xf applyAlignment="true" applyBorder="true" applyFill="false" applyFont="false" applyNumberFormat="true" borderId="4349" fillId="0" fontId="1" numFmtId="1000" quotePrefix="false">
      <alignment horizontal="center" vertical="top"/>
    </xf>
    <xf applyAlignment="true" applyBorder="true" applyFill="false" applyFont="false" applyNumberFormat="true" borderId="4350" fillId="0" fontId="1" numFmtId="1000" quotePrefix="false">
      <alignment horizontal="center" vertical="top"/>
    </xf>
    <xf applyAlignment="true" applyBorder="true" applyFill="false" applyFont="false" applyNumberFormat="true" borderId="4351" fillId="0" fontId="1" numFmtId="1000" quotePrefix="false">
      <alignment horizontal="center" vertical="top"/>
    </xf>
    <xf applyAlignment="true" applyBorder="true" applyFill="false" applyFont="false" applyNumberFormat="true" borderId="4352" fillId="0" fontId="1" numFmtId="1000" quotePrefix="false">
      <alignment horizontal="center" vertical="top"/>
    </xf>
    <xf applyAlignment="true" applyBorder="true" applyFill="false" applyFont="false" applyNumberFormat="true" borderId="4353" fillId="0" fontId="1" numFmtId="1000" quotePrefix="false">
      <alignment horizontal="center" vertical="top"/>
    </xf>
    <xf applyAlignment="true" applyBorder="true" applyFill="false" applyFont="true" applyNumberFormat="true" borderId="4354" fillId="0" fontId="2" numFmtId="1000" quotePrefix="false">
      <alignment horizontal="center" vertical="top"/>
    </xf>
    <xf applyAlignment="true" applyBorder="true" applyFill="false" applyFont="false" applyNumberFormat="true" borderId="4355" fillId="0" fontId="1" numFmtId="1000" quotePrefix="false">
      <alignment horizontal="left" vertical="top"/>
    </xf>
    <xf applyAlignment="true" applyBorder="true" applyFill="false" applyFont="false" applyNumberFormat="true" borderId="4356" fillId="0" fontId="1" numFmtId="1000" quotePrefix="false">
      <alignment horizontal="left" vertical="top"/>
    </xf>
    <xf applyAlignment="true" applyBorder="true" applyFill="false" applyFont="false" applyNumberFormat="true" borderId="4357" fillId="0" fontId="1" numFmtId="1000" quotePrefix="false">
      <alignment horizontal="left" vertical="top"/>
    </xf>
    <xf applyAlignment="true" applyBorder="true" applyFill="false" applyFont="false" applyNumberFormat="true" borderId="4358" fillId="0" fontId="1" numFmtId="1000" quotePrefix="false">
      <alignment horizontal="left" vertical="top"/>
    </xf>
    <xf applyAlignment="true" applyBorder="true" applyFill="false" applyFont="false" applyNumberFormat="true" borderId="4359" fillId="0" fontId="1" numFmtId="1000" quotePrefix="false">
      <alignment horizontal="left" vertical="top"/>
    </xf>
    <xf applyAlignment="true" applyBorder="true" applyFill="false" applyFont="false" applyNumberFormat="true" borderId="4360" fillId="0" fontId="1" numFmtId="1000" quotePrefix="false">
      <alignment horizontal="left" vertical="top"/>
    </xf>
    <xf applyAlignment="true" applyBorder="true" applyFill="false" applyFont="false" applyNumberFormat="true" borderId="4361" fillId="0" fontId="1" numFmtId="1000" quotePrefix="false">
      <alignment horizontal="left" vertical="top"/>
    </xf>
    <xf applyAlignment="true" applyBorder="true" applyFill="false" applyFont="false" applyNumberFormat="true" borderId="4362" fillId="0" fontId="1" numFmtId="1000" quotePrefix="false">
      <alignment horizontal="left" vertical="top"/>
    </xf>
    <xf applyAlignment="true" applyBorder="true" applyFill="false" applyFont="false" applyNumberFormat="true" borderId="4363" fillId="0" fontId="1" numFmtId="1000" quotePrefix="false">
      <alignment horizontal="left" vertical="top"/>
    </xf>
    <xf applyAlignment="true" applyBorder="true" applyFill="false" applyFont="false" applyNumberFormat="true" borderId="4364" fillId="0" fontId="1" numFmtId="1000" quotePrefix="false">
      <alignment horizontal="left" vertical="top"/>
    </xf>
    <xf applyAlignment="true" applyBorder="true" applyFill="false" applyFont="false" applyNumberFormat="true" borderId="4365" fillId="0" fontId="1" numFmtId="1000" quotePrefix="false">
      <alignment horizontal="left" vertical="top"/>
    </xf>
    <xf applyAlignment="true" applyBorder="true" applyFill="false" applyFont="false" applyNumberFormat="true" borderId="4366" fillId="0" fontId="1" numFmtId="1000" quotePrefix="false">
      <alignment horizontal="left" vertical="top"/>
    </xf>
    <xf applyAlignment="true" applyBorder="true" applyFill="false" applyFont="false" applyNumberFormat="true" borderId="4367" fillId="0" fontId="1" numFmtId="1000" quotePrefix="false">
      <alignment horizontal="left" vertical="top"/>
    </xf>
    <xf applyAlignment="true" applyBorder="true" applyFill="false" applyFont="false" applyNumberFormat="true" borderId="4368" fillId="0" fontId="1" numFmtId="1000" quotePrefix="false">
      <alignment horizontal="left" vertical="top"/>
    </xf>
    <xf applyAlignment="true" applyBorder="true" applyFill="false" applyFont="false" applyNumberFormat="true" borderId="4369" fillId="0" fontId="1" numFmtId="1000" quotePrefix="false">
      <alignment horizontal="left" vertical="top"/>
    </xf>
    <xf applyAlignment="true" applyBorder="true" applyFill="false" applyFont="false" applyNumberFormat="true" borderId="4370" fillId="0" fontId="1" numFmtId="1000" quotePrefix="false">
      <alignment horizontal="left" vertical="top"/>
    </xf>
    <xf applyAlignment="true" applyBorder="true" applyFill="false" applyFont="false" applyNumberFormat="true" borderId="4371" fillId="0" fontId="1" numFmtId="1000" quotePrefix="false">
      <alignment horizontal="left" vertical="top"/>
    </xf>
    <xf applyAlignment="true" applyBorder="true" applyFill="false" applyFont="false" applyNumberFormat="true" borderId="4372" fillId="0" fontId="1" numFmtId="1000" quotePrefix="false">
      <alignment horizontal="left" vertical="top"/>
    </xf>
    <xf applyAlignment="true" applyBorder="true" applyFill="false" applyFont="false" applyNumberFormat="true" borderId="4373" fillId="0" fontId="1" numFmtId="1000" quotePrefix="false">
      <alignment horizontal="left" vertical="top"/>
    </xf>
    <xf applyAlignment="true" applyBorder="true" applyFill="false" applyFont="true" applyNumberFormat="true" borderId="4374" fillId="0" fontId="13" numFmtId="1000" quotePrefix="false">
      <alignment horizontal="center" textRotation="90" vertical="top"/>
    </xf>
    <xf applyAlignment="true" applyBorder="true" applyFill="false" applyFont="true" applyNumberFormat="true" borderId="4375" fillId="0" fontId="2" numFmtId="1000" quotePrefix="false">
      <alignment horizontal="center"/>
    </xf>
    <xf applyAlignment="true" applyBorder="true" applyFill="false" applyFont="true" applyNumberFormat="true" borderId="4376" fillId="0" fontId="2" numFmtId="1000" quotePrefix="false">
      <alignment horizontal="center"/>
    </xf>
    <xf applyAlignment="true" applyBorder="true" applyFill="false" applyFont="true" applyNumberFormat="true" borderId="4377" fillId="0" fontId="2" numFmtId="1000" quotePrefix="false">
      <alignment horizontal="center"/>
    </xf>
    <xf applyAlignment="true" applyBorder="true" applyFill="false" applyFont="false" applyNumberFormat="true" borderId="4378" fillId="0" fontId="1" numFmtId="1000" quotePrefix="false">
      <alignment horizontal="center" vertical="top"/>
    </xf>
    <xf applyAlignment="true" applyBorder="true" applyFill="false" applyFont="false" applyNumberFormat="true" borderId="4379" fillId="0" fontId="1" numFmtId="1000" quotePrefix="false">
      <alignment horizontal="center" vertical="top"/>
    </xf>
    <xf applyAlignment="true" applyBorder="true" applyFill="false" applyFont="false" applyNumberFormat="true" borderId="4380" fillId="0" fontId="1" numFmtId="1000" quotePrefix="false">
      <alignment horizontal="center" vertical="top"/>
    </xf>
    <xf applyAlignment="true" applyBorder="true" applyFill="false" applyFont="false" applyNumberFormat="true" borderId="4381" fillId="0" fontId="1" numFmtId="1000" quotePrefix="false">
      <alignment horizontal="center" vertical="top"/>
    </xf>
    <xf applyAlignment="true" applyBorder="true" applyFill="false" applyFont="false" applyNumberFormat="true" borderId="4382" fillId="0" fontId="1" numFmtId="1000" quotePrefix="false">
      <alignment horizontal="center" vertical="top"/>
    </xf>
    <xf applyAlignment="true" applyBorder="true" applyFill="false" applyFont="false" applyNumberFormat="true" borderId="4383" fillId="0" fontId="1" numFmtId="1000" quotePrefix="false">
      <alignment horizontal="center" vertical="top"/>
    </xf>
    <xf applyAlignment="true" applyBorder="true" applyFill="false" applyFont="false" applyNumberFormat="true" borderId="4384" fillId="0" fontId="1" numFmtId="1000" quotePrefix="false">
      <alignment horizontal="center" vertical="top"/>
    </xf>
    <xf applyAlignment="true" applyBorder="true" applyFill="false" applyFont="false" applyNumberFormat="true" borderId="4385" fillId="0" fontId="1" numFmtId="1000" quotePrefix="false">
      <alignment horizontal="center" vertical="top"/>
    </xf>
    <xf applyAlignment="true" applyBorder="true" applyFill="false" applyFont="false" applyNumberFormat="true" borderId="4386" fillId="0" fontId="1" numFmtId="1000" quotePrefix="false">
      <alignment horizontal="center" vertical="top"/>
    </xf>
    <xf applyAlignment="true" applyBorder="true" applyFill="false" applyFont="false" applyNumberFormat="true" borderId="4387" fillId="0" fontId="1" numFmtId="1000" quotePrefix="false">
      <alignment horizontal="center" vertical="top"/>
    </xf>
    <xf applyAlignment="true" applyBorder="true" applyFill="false" applyFont="false" applyNumberFormat="true" borderId="4388" fillId="0" fontId="1" numFmtId="1000" quotePrefix="false">
      <alignment horizontal="center" vertical="top"/>
    </xf>
    <xf applyAlignment="true" applyBorder="true" applyFill="false" applyFont="false" applyNumberFormat="true" borderId="4389" fillId="0" fontId="1" numFmtId="1000" quotePrefix="false">
      <alignment horizontal="center" vertical="top"/>
    </xf>
    <xf applyAlignment="true" applyBorder="true" applyFill="false" applyFont="false" applyNumberFormat="true" borderId="4390" fillId="0" fontId="1" numFmtId="1000" quotePrefix="false">
      <alignment horizontal="center" vertical="top"/>
    </xf>
    <xf applyAlignment="true" applyBorder="true" applyFill="false" applyFont="false" applyNumberFormat="true" borderId="4391" fillId="0" fontId="1" numFmtId="1000" quotePrefix="false">
      <alignment horizontal="center" vertical="top"/>
    </xf>
    <xf applyAlignment="true" applyBorder="true" applyFill="false" applyFont="false" applyNumberFormat="true" borderId="4392" fillId="0" fontId="1" numFmtId="1000" quotePrefix="false">
      <alignment horizontal="center" vertical="top"/>
    </xf>
    <xf applyAlignment="true" applyBorder="true" applyFill="false" applyFont="false" applyNumberFormat="true" borderId="4393" fillId="0" fontId="1" numFmtId="1000" quotePrefix="false">
      <alignment horizontal="center" vertical="top"/>
    </xf>
    <xf applyAlignment="true" applyBorder="true" applyFill="false" applyFont="true" applyNumberFormat="true" borderId="4394" fillId="0" fontId="13" numFmtId="1000" quotePrefix="false">
      <alignment horizontal="center" textRotation="90" vertical="top"/>
    </xf>
    <xf applyAlignment="true" applyBorder="true" applyFill="false" applyFont="false" applyNumberFormat="true" borderId="4395" fillId="0" fontId="1" numFmtId="1000" quotePrefix="false">
      <alignment horizontal="center" vertical="top"/>
    </xf>
    <xf applyAlignment="true" applyBorder="true" applyFill="false" applyFont="false" applyNumberFormat="true" borderId="4396" fillId="0" fontId="1" numFmtId="1000" quotePrefix="false">
      <alignment horizontal="center" vertical="top"/>
    </xf>
    <xf applyAlignment="true" applyBorder="true" applyFill="false" applyFont="false" applyNumberFormat="true" borderId="4397" fillId="0" fontId="1" numFmtId="1000" quotePrefix="false">
      <alignment horizontal="center" vertical="top"/>
    </xf>
    <xf applyAlignment="true" applyBorder="true" applyFill="false" applyFont="false" applyNumberFormat="true" borderId="4398" fillId="0" fontId="1" numFmtId="1000" quotePrefix="false">
      <alignment horizontal="center" vertical="top"/>
    </xf>
    <xf applyAlignment="true" applyBorder="true" applyFill="false" applyFont="true" applyNumberFormat="true" borderId="4399" fillId="0" fontId="13" numFmtId="1000" quotePrefix="false">
      <alignment horizontal="center" textRotation="90" vertical="top"/>
    </xf>
    <xf applyAlignment="true" applyBorder="true" applyFill="false" applyFont="false" applyNumberFormat="true" borderId="4400" fillId="0" fontId="1" numFmtId="1000" quotePrefix="false">
      <alignment horizontal="center" vertical="top"/>
    </xf>
    <xf applyAlignment="true" applyBorder="true" applyFill="false" applyFont="false" applyNumberFormat="true" borderId="4401" fillId="0" fontId="1" numFmtId="1000" quotePrefix="false">
      <alignment horizontal="center" vertical="top"/>
    </xf>
    <xf applyAlignment="true" applyBorder="true" applyFill="false" applyFont="false" applyNumberFormat="true" borderId="4402" fillId="0" fontId="1" numFmtId="1000" quotePrefix="false">
      <alignment horizontal="center" vertical="top"/>
    </xf>
    <xf applyAlignment="true" applyBorder="true" applyFill="false" applyFont="false" applyNumberFormat="true" borderId="4403" fillId="0" fontId="1" numFmtId="1000" quotePrefix="false">
      <alignment horizontal="center" vertical="top"/>
    </xf>
    <xf applyAlignment="true" applyBorder="true" applyFill="false" applyFont="true" applyNumberFormat="true" borderId="4404" fillId="0" fontId="13" numFmtId="1000" quotePrefix="false">
      <alignment horizontal="center" textRotation="90" vertical="top"/>
    </xf>
    <xf applyAlignment="true" applyBorder="true" applyFill="false" applyFont="false" applyNumberFormat="true" borderId="4405" fillId="0" fontId="1" numFmtId="1000" quotePrefix="false">
      <alignment horizontal="center" vertical="top"/>
    </xf>
    <xf applyAlignment="true" applyBorder="true" applyFill="false" applyFont="false" applyNumberFormat="true" borderId="4406" fillId="0" fontId="1" numFmtId="1000" quotePrefix="false">
      <alignment horizontal="center" vertical="top"/>
    </xf>
    <xf applyAlignment="true" applyBorder="true" applyFill="false" applyFont="false" applyNumberFormat="true" borderId="4407" fillId="0" fontId="1" numFmtId="1000" quotePrefix="false">
      <alignment horizontal="center" vertical="top"/>
    </xf>
    <xf applyAlignment="true" applyBorder="true" applyFill="false" applyFont="false" applyNumberFormat="true" borderId="4408" fillId="0" fontId="1" numFmtId="1000" quotePrefix="false">
      <alignment horizontal="center" vertical="top"/>
    </xf>
    <xf applyAlignment="true" applyBorder="true" applyFill="false" applyFont="true" applyNumberFormat="true" borderId="4409" fillId="0" fontId="13" numFmtId="1000" quotePrefix="false">
      <alignment horizontal="center" textRotation="90" vertical="top"/>
    </xf>
    <xf applyAlignment="true" applyBorder="true" applyFill="false" applyFont="false" applyNumberFormat="true" borderId="4410" fillId="0" fontId="1" numFmtId="1000" quotePrefix="false">
      <alignment horizontal="center" vertical="top"/>
    </xf>
    <xf applyAlignment="true" applyBorder="true" applyFill="false" applyFont="false" applyNumberFormat="true" borderId="4411" fillId="0" fontId="1" numFmtId="1000" quotePrefix="false">
      <alignment horizontal="center" vertical="top"/>
    </xf>
    <xf applyAlignment="true" applyBorder="true" applyFill="false" applyFont="false" applyNumberFormat="true" borderId="4412" fillId="0" fontId="1" numFmtId="1000" quotePrefix="false">
      <alignment horizontal="center" vertical="top"/>
    </xf>
    <xf applyAlignment="true" applyBorder="true" applyFill="false" applyFont="false" applyNumberFormat="true" borderId="4413" fillId="0" fontId="1" numFmtId="1000" quotePrefix="false">
      <alignment horizontal="center" vertical="top"/>
    </xf>
    <xf applyAlignment="true" applyBorder="true" applyFill="false" applyFont="true" applyNumberFormat="true" borderId="4414" fillId="0" fontId="13" numFmtId="1000" quotePrefix="false">
      <alignment horizontal="center" textRotation="90" vertical="top"/>
    </xf>
    <xf applyAlignment="true" applyBorder="true" applyFill="false" applyFont="false" applyNumberFormat="true" borderId="4415" fillId="0" fontId="1" numFmtId="1000" quotePrefix="false">
      <alignment horizontal="center" vertical="top"/>
    </xf>
    <xf applyAlignment="true" applyBorder="true" applyFill="false" applyFont="false" applyNumberFormat="true" borderId="4416" fillId="0" fontId="1" numFmtId="1000" quotePrefix="false">
      <alignment horizontal="center" vertical="top"/>
    </xf>
    <xf applyAlignment="true" applyBorder="true" applyFill="false" applyFont="false" applyNumberFormat="true" borderId="4417" fillId="0" fontId="1" numFmtId="1000" quotePrefix="false">
      <alignment horizontal="center" vertical="top"/>
    </xf>
    <xf applyAlignment="true" applyBorder="true" applyFill="false" applyFont="false" applyNumberFormat="true" borderId="4418" fillId="0" fontId="1" numFmtId="1000" quotePrefix="false">
      <alignment horizontal="center" vertical="top"/>
    </xf>
    <xf applyAlignment="true" applyBorder="true" applyFill="false" applyFont="true" applyNumberFormat="true" borderId="4419" fillId="0" fontId="13" numFmtId="1000" quotePrefix="false">
      <alignment horizontal="center" textRotation="90" vertical="top"/>
    </xf>
    <xf applyAlignment="true" applyBorder="true" applyFill="false" applyFont="false" applyNumberFormat="true" borderId="4420" fillId="0" fontId="1" numFmtId="1000" quotePrefix="false">
      <alignment horizontal="center" vertical="top"/>
    </xf>
    <xf applyAlignment="true" applyBorder="true" applyFill="false" applyFont="false" applyNumberFormat="true" borderId="4421" fillId="0" fontId="1" numFmtId="1000" quotePrefix="false">
      <alignment horizontal="center" vertical="top"/>
    </xf>
    <xf applyAlignment="true" applyBorder="true" applyFill="false" applyFont="false" applyNumberFormat="true" borderId="4422" fillId="0" fontId="1" numFmtId="1000" quotePrefix="false">
      <alignment horizontal="center" vertical="top"/>
    </xf>
    <xf applyAlignment="true" applyBorder="true" applyFill="false" applyFont="false" applyNumberFormat="true" borderId="4423" fillId="0" fontId="1" numFmtId="1000" quotePrefix="false">
      <alignment horizontal="center" vertical="top"/>
    </xf>
    <xf applyAlignment="true" applyBorder="true" applyFill="false" applyFont="true" applyNumberFormat="true" borderId="4424" fillId="0" fontId="13" numFmtId="1000" quotePrefix="false">
      <alignment horizontal="center" textRotation="90" vertical="top"/>
    </xf>
    <xf applyAlignment="true" applyBorder="true" applyFill="false" applyFont="false" applyNumberFormat="true" borderId="4425" fillId="0" fontId="1" numFmtId="1000" quotePrefix="false">
      <alignment horizontal="center" vertical="top"/>
    </xf>
    <xf applyAlignment="true" applyBorder="true" applyFill="false" applyFont="false" applyNumberFormat="true" borderId="4426" fillId="0" fontId="1" numFmtId="1000" quotePrefix="false">
      <alignment horizontal="center" vertical="top"/>
    </xf>
    <xf applyAlignment="true" applyBorder="true" applyFill="false" applyFont="false" applyNumberFormat="true" borderId="4427" fillId="0" fontId="1" numFmtId="1000" quotePrefix="false">
      <alignment horizontal="center" vertical="top"/>
    </xf>
    <xf applyAlignment="true" applyBorder="true" applyFill="false" applyFont="false" applyNumberFormat="true" borderId="4428" fillId="0" fontId="1" numFmtId="1000" quotePrefix="false">
      <alignment horizontal="center" vertical="top"/>
    </xf>
    <xf applyAlignment="true" applyBorder="true" applyFill="false" applyFont="true" applyNumberFormat="true" borderId="4429" fillId="0" fontId="13" numFmtId="1000" quotePrefix="false">
      <alignment horizontal="center" textRotation="90" vertical="top"/>
    </xf>
    <xf applyAlignment="true" applyBorder="true" applyFill="false" applyFont="false" applyNumberFormat="true" borderId="4430" fillId="0" fontId="1" numFmtId="1000" quotePrefix="false">
      <alignment horizontal="center" vertical="top"/>
    </xf>
    <xf applyAlignment="true" applyBorder="true" applyFill="false" applyFont="false" applyNumberFormat="true" borderId="4431" fillId="0" fontId="1" numFmtId="1000" quotePrefix="false">
      <alignment horizontal="center" vertical="top"/>
    </xf>
    <xf applyAlignment="true" applyBorder="true" applyFill="false" applyFont="false" applyNumberFormat="true" borderId="4432" fillId="0" fontId="1" numFmtId="1000" quotePrefix="false">
      <alignment horizontal="center" vertical="top"/>
    </xf>
    <xf applyAlignment="true" applyBorder="true" applyFill="false" applyFont="false" applyNumberFormat="true" borderId="4433" fillId="0" fontId="1" numFmtId="1000" quotePrefix="false">
      <alignment horizontal="center" vertical="top"/>
    </xf>
    <xf applyAlignment="true" applyBorder="true" applyFill="false" applyFont="true" applyNumberFormat="true" borderId="4434" fillId="0" fontId="13" numFmtId="1000" quotePrefix="false">
      <alignment horizontal="center" textRotation="90" vertical="top"/>
    </xf>
    <xf applyAlignment="true" applyBorder="true" applyFill="false" applyFont="false" applyNumberFormat="true" borderId="4435" fillId="0" fontId="1" numFmtId="1000" quotePrefix="false">
      <alignment horizontal="center" vertical="top"/>
    </xf>
    <xf applyAlignment="true" applyBorder="true" applyFill="false" applyFont="false" applyNumberFormat="true" borderId="4436" fillId="0" fontId="1" numFmtId="1000" quotePrefix="false">
      <alignment horizontal="center" vertical="top"/>
    </xf>
    <xf applyAlignment="true" applyBorder="true" applyFill="false" applyFont="false" applyNumberFormat="true" borderId="4437" fillId="0" fontId="1" numFmtId="1000" quotePrefix="false">
      <alignment horizontal="center" vertical="top"/>
    </xf>
    <xf applyAlignment="true" applyBorder="true" applyFill="false" applyFont="false" applyNumberFormat="true" borderId="4438" fillId="0" fontId="1" numFmtId="1000" quotePrefix="false">
      <alignment horizontal="center" vertical="top"/>
    </xf>
    <xf applyAlignment="true" applyBorder="true" applyFill="false" applyFont="false" applyNumberFormat="true" borderId="4439" fillId="0" fontId="1" numFmtId="1000" quotePrefix="false">
      <alignment horizontal="center" vertical="top"/>
    </xf>
    <xf applyAlignment="true" applyBorder="true" applyFill="false" applyFont="false" applyNumberFormat="true" borderId="4440" fillId="0" fontId="1" numFmtId="1000" quotePrefix="false">
      <alignment horizontal="center" vertical="top"/>
    </xf>
    <xf applyAlignment="true" applyBorder="true" applyFill="false" applyFont="true" applyNumberFormat="true" borderId="4441" fillId="0" fontId="13" numFmtId="1000" quotePrefix="false">
      <alignment horizontal="center" textRotation="90" vertical="top"/>
    </xf>
    <xf applyAlignment="true" applyBorder="true" applyFill="false" applyFont="true" applyNumberFormat="true" borderId="4442" fillId="0" fontId="2" numFmtId="1000" quotePrefix="false">
      <alignment horizontal="center" vertical="top"/>
    </xf>
    <xf applyAlignment="true" applyBorder="true" applyFill="false" applyFont="false" applyNumberFormat="true" borderId="4443" fillId="0" fontId="1" numFmtId="1000" quotePrefix="false">
      <alignment horizontal="left" vertical="top"/>
    </xf>
    <xf applyAlignment="true" applyBorder="true" applyFill="false" applyFont="false" applyNumberFormat="true" borderId="4444" fillId="0" fontId="1" numFmtId="1000" quotePrefix="false">
      <alignment horizontal="left" vertical="top"/>
    </xf>
    <xf applyAlignment="true" applyBorder="true" applyFill="false" applyFont="false" applyNumberFormat="true" borderId="4445" fillId="0" fontId="1" numFmtId="1000" quotePrefix="false">
      <alignment horizontal="left" vertical="top"/>
    </xf>
    <xf applyAlignment="true" applyBorder="true" applyFill="false" applyFont="false" applyNumberFormat="true" borderId="4446" fillId="0" fontId="1" numFmtId="1000" quotePrefix="false">
      <alignment horizontal="left" vertical="top"/>
    </xf>
    <xf applyAlignment="true" applyBorder="true" applyFill="false" applyFont="false" applyNumberFormat="true" borderId="4447" fillId="0" fontId="1" numFmtId="1000" quotePrefix="false">
      <alignment horizontal="left" vertical="top"/>
    </xf>
    <xf applyAlignment="true" applyBorder="true" applyFill="false" applyFont="false" applyNumberFormat="true" borderId="4448" fillId="0" fontId="1" numFmtId="1000" quotePrefix="false">
      <alignment horizontal="left" vertical="top"/>
    </xf>
    <xf applyAlignment="true" applyBorder="true" applyFill="false" applyFont="false" applyNumberFormat="true" borderId="4449" fillId="0" fontId="1" numFmtId="1000" quotePrefix="false">
      <alignment horizontal="left" vertical="top"/>
    </xf>
    <xf applyAlignment="true" applyBorder="true" applyFill="false" applyFont="false" applyNumberFormat="true" borderId="4450" fillId="0" fontId="1" numFmtId="1000" quotePrefix="false">
      <alignment horizontal="left" vertical="top"/>
    </xf>
    <xf applyAlignment="true" applyBorder="true" applyFill="false" applyFont="false" applyNumberFormat="true" borderId="4451" fillId="0" fontId="1" numFmtId="1000" quotePrefix="false">
      <alignment horizontal="left" vertical="top"/>
    </xf>
    <xf applyAlignment="true" applyBorder="true" applyFill="false" applyFont="false" applyNumberFormat="true" borderId="4452" fillId="0" fontId="1" numFmtId="1000" quotePrefix="false">
      <alignment horizontal="left" vertical="top"/>
    </xf>
    <xf applyAlignment="true" applyBorder="true" applyFill="false" applyFont="false" applyNumberFormat="true" borderId="4453" fillId="0" fontId="1" numFmtId="1000" quotePrefix="false">
      <alignment horizontal="left" vertical="top"/>
    </xf>
    <xf applyAlignment="true" applyBorder="true" applyFill="false" applyFont="false" applyNumberFormat="true" borderId="4454" fillId="0" fontId="1" numFmtId="1000" quotePrefix="false">
      <alignment horizontal="left" vertical="top"/>
    </xf>
    <xf applyAlignment="true" applyBorder="true" applyFill="false" applyFont="false" applyNumberFormat="true" borderId="4455" fillId="0" fontId="1" numFmtId="1000" quotePrefix="false">
      <alignment horizontal="left" vertical="top"/>
    </xf>
    <xf applyAlignment="true" applyBorder="true" applyFill="false" applyFont="false" applyNumberFormat="true" borderId="4456" fillId="0" fontId="1" numFmtId="1000" quotePrefix="false">
      <alignment horizontal="left" vertical="top"/>
    </xf>
    <xf applyAlignment="true" applyBorder="true" applyFill="false" applyFont="false" applyNumberFormat="true" borderId="4457" fillId="0" fontId="1" numFmtId="1000" quotePrefix="false">
      <alignment horizontal="left" vertical="top"/>
    </xf>
    <xf applyAlignment="true" applyBorder="true" applyFill="false" applyFont="false" applyNumberFormat="true" borderId="4458" fillId="0" fontId="1" numFmtId="1000" quotePrefix="false">
      <alignment horizontal="left" vertical="top"/>
    </xf>
    <xf applyAlignment="true" applyBorder="true" applyFill="false" applyFont="false" applyNumberFormat="true" borderId="4459" fillId="0" fontId="1" numFmtId="1000" quotePrefix="false">
      <alignment horizontal="left" vertical="top"/>
    </xf>
    <xf applyAlignment="true" applyBorder="true" applyFill="false" applyFont="false" applyNumberFormat="true" borderId="4460" fillId="0" fontId="1" numFmtId="1000" quotePrefix="false">
      <alignment horizontal="left" vertical="top"/>
    </xf>
    <xf applyAlignment="true" applyBorder="true" applyFill="false" applyFont="false" applyNumberFormat="true" borderId="4461" fillId="0" fontId="1" numFmtId="1000" quotePrefix="false">
      <alignment horizontal="left" vertical="top"/>
    </xf>
    <xf applyAlignment="true" applyBorder="true" applyFill="false" applyFont="true" applyNumberFormat="true" borderId="4462" fillId="0" fontId="13" numFmtId="1000" quotePrefix="false">
      <alignment horizontal="center" textRotation="90" vertical="top"/>
    </xf>
    <xf applyAlignment="true" applyBorder="true" applyFill="false" applyFont="true" applyNumberFormat="true" borderId="4463" fillId="0" fontId="2" numFmtId="1000" quotePrefix="false">
      <alignment horizontal="center"/>
    </xf>
    <xf applyAlignment="true" applyBorder="true" applyFill="false" applyFont="true" applyNumberFormat="true" borderId="4464" fillId="0" fontId="2" numFmtId="1000" quotePrefix="false">
      <alignment horizontal="center"/>
    </xf>
    <xf applyAlignment="true" applyBorder="true" applyFill="false" applyFont="true" applyNumberFormat="true" borderId="4465" fillId="0" fontId="2" numFmtId="1000" quotePrefix="false">
      <alignment horizontal="center"/>
    </xf>
    <xf applyAlignment="true" applyBorder="true" applyFill="false" applyFont="false" applyNumberFormat="true" borderId="4466" fillId="0" fontId="1" numFmtId="1000" quotePrefix="false">
      <alignment horizontal="center" vertical="top"/>
    </xf>
    <xf applyAlignment="true" applyBorder="true" applyFill="false" applyFont="false" applyNumberFormat="true" borderId="4467" fillId="0" fontId="1" numFmtId="1000" quotePrefix="false">
      <alignment horizontal="center" vertical="top"/>
    </xf>
    <xf applyAlignment="true" applyBorder="true" applyFill="false" applyFont="false" applyNumberFormat="true" borderId="4468" fillId="0" fontId="1" numFmtId="1000" quotePrefix="false">
      <alignment horizontal="center" vertical="top"/>
    </xf>
    <xf applyAlignment="true" applyBorder="true" applyFill="false" applyFont="false" applyNumberFormat="true" borderId="4469" fillId="0" fontId="1" numFmtId="1000" quotePrefix="false">
      <alignment horizontal="center" vertical="top"/>
    </xf>
    <xf applyAlignment="true" applyBorder="true" applyFill="false" applyFont="false" applyNumberFormat="true" borderId="4470" fillId="0" fontId="1" numFmtId="1000" quotePrefix="false">
      <alignment horizontal="center" vertical="top"/>
    </xf>
    <xf applyAlignment="true" applyBorder="true" applyFill="false" applyFont="false" applyNumberFormat="true" borderId="4471" fillId="0" fontId="1" numFmtId="1000" quotePrefix="false">
      <alignment horizontal="center" vertical="top"/>
    </xf>
    <xf applyAlignment="true" applyBorder="true" applyFill="false" applyFont="false" applyNumberFormat="true" borderId="4472" fillId="0" fontId="1" numFmtId="1000" quotePrefix="false">
      <alignment horizontal="center" vertical="top"/>
    </xf>
    <xf applyAlignment="true" applyBorder="true" applyFill="false" applyFont="false" applyNumberFormat="true" borderId="4473" fillId="0" fontId="1" numFmtId="1000" quotePrefix="false">
      <alignment horizontal="center" vertical="top"/>
    </xf>
    <xf applyAlignment="true" applyBorder="true" applyFill="false" applyFont="false" applyNumberFormat="true" borderId="4474" fillId="0" fontId="1" numFmtId="1000" quotePrefix="false">
      <alignment horizontal="center" vertical="top"/>
    </xf>
    <xf applyAlignment="true" applyBorder="true" applyFill="false" applyFont="false" applyNumberFormat="true" borderId="4475" fillId="0" fontId="1" numFmtId="1000" quotePrefix="false">
      <alignment horizontal="center" vertical="top"/>
    </xf>
    <xf applyAlignment="true" applyBorder="true" applyFill="false" applyFont="false" applyNumberFormat="true" borderId="4476" fillId="0" fontId="1" numFmtId="1000" quotePrefix="false">
      <alignment horizontal="center" vertical="top"/>
    </xf>
    <xf applyAlignment="true" applyBorder="true" applyFill="false" applyFont="false" applyNumberFormat="true" borderId="4477" fillId="0" fontId="1" numFmtId="1000" quotePrefix="false">
      <alignment horizontal="center" vertical="top"/>
    </xf>
    <xf applyAlignment="true" applyBorder="true" applyFill="false" applyFont="false" applyNumberFormat="true" borderId="4478" fillId="0" fontId="1" numFmtId="1000" quotePrefix="false">
      <alignment horizontal="center" vertical="top"/>
    </xf>
    <xf applyAlignment="true" applyBorder="true" applyFill="false" applyFont="false" applyNumberFormat="true" borderId="4479" fillId="0" fontId="1" numFmtId="1000" quotePrefix="false">
      <alignment horizontal="center" vertical="top"/>
    </xf>
    <xf applyAlignment="true" applyBorder="true" applyFill="false" applyFont="false" applyNumberFormat="true" borderId="4480" fillId="0" fontId="1" numFmtId="1000" quotePrefix="false">
      <alignment horizontal="center" vertical="top"/>
    </xf>
    <xf applyAlignment="true" applyBorder="true" applyFill="false" applyFont="false" applyNumberFormat="true" borderId="4481" fillId="0" fontId="1" numFmtId="1000" quotePrefix="false">
      <alignment horizontal="center" vertical="top"/>
    </xf>
    <xf applyAlignment="true" applyBorder="true" applyFill="false" applyFont="true" applyNumberFormat="true" borderId="4482" fillId="0" fontId="13" numFmtId="1000" quotePrefix="false">
      <alignment horizontal="center" textRotation="90" vertical="top"/>
    </xf>
    <xf applyAlignment="true" applyBorder="true" applyFill="false" applyFont="false" applyNumberFormat="true" borderId="4483" fillId="0" fontId="1" numFmtId="1000" quotePrefix="false">
      <alignment horizontal="center" vertical="top"/>
    </xf>
    <xf applyAlignment="true" applyBorder="true" applyFill="false" applyFont="false" applyNumberFormat="true" borderId="4484" fillId="0" fontId="1" numFmtId="1000" quotePrefix="false">
      <alignment horizontal="center" vertical="top"/>
    </xf>
    <xf applyAlignment="true" applyBorder="true" applyFill="false" applyFont="false" applyNumberFormat="true" borderId="4485" fillId="0" fontId="1" numFmtId="1000" quotePrefix="false">
      <alignment horizontal="center" vertical="top"/>
    </xf>
    <xf applyAlignment="true" applyBorder="true" applyFill="false" applyFont="false" applyNumberFormat="true" borderId="4486" fillId="0" fontId="1" numFmtId="1000" quotePrefix="false">
      <alignment horizontal="center" vertical="top"/>
    </xf>
    <xf applyAlignment="true" applyBorder="true" applyFill="false" applyFont="true" applyNumberFormat="true" borderId="4487" fillId="0" fontId="13" numFmtId="1000" quotePrefix="false">
      <alignment horizontal="center" textRotation="90" vertical="top"/>
    </xf>
    <xf applyAlignment="true" applyBorder="true" applyFill="false" applyFont="false" applyNumberFormat="true" borderId="4488" fillId="0" fontId="1" numFmtId="1000" quotePrefix="false">
      <alignment horizontal="center" vertical="top"/>
    </xf>
    <xf applyAlignment="true" applyBorder="true" applyFill="false" applyFont="false" applyNumberFormat="true" borderId="4489" fillId="0" fontId="1" numFmtId="1000" quotePrefix="false">
      <alignment horizontal="center" vertical="top"/>
    </xf>
    <xf applyAlignment="true" applyBorder="true" applyFill="false" applyFont="false" applyNumberFormat="true" borderId="4490" fillId="0" fontId="1" numFmtId="1000" quotePrefix="false">
      <alignment horizontal="center" vertical="top"/>
    </xf>
    <xf applyAlignment="true" applyBorder="true" applyFill="false" applyFont="false" applyNumberFormat="true" borderId="4491" fillId="0" fontId="1" numFmtId="1000" quotePrefix="false">
      <alignment horizontal="center" vertical="top"/>
    </xf>
    <xf applyAlignment="true" applyBorder="true" applyFill="false" applyFont="true" applyNumberFormat="true" borderId="4492" fillId="0" fontId="13" numFmtId="1000" quotePrefix="false">
      <alignment horizontal="center" textRotation="90" vertical="top"/>
    </xf>
    <xf applyAlignment="true" applyBorder="true" applyFill="false" applyFont="false" applyNumberFormat="true" borderId="4493" fillId="0" fontId="1" numFmtId="1000" quotePrefix="false">
      <alignment horizontal="center" vertical="top"/>
    </xf>
    <xf applyAlignment="true" applyBorder="true" applyFill="false" applyFont="false" applyNumberFormat="true" borderId="4494" fillId="0" fontId="1" numFmtId="1000" quotePrefix="false">
      <alignment horizontal="center" vertical="top"/>
    </xf>
    <xf applyAlignment="true" applyBorder="true" applyFill="false" applyFont="false" applyNumberFormat="true" borderId="4495" fillId="0" fontId="1" numFmtId="1000" quotePrefix="false">
      <alignment horizontal="center" vertical="top"/>
    </xf>
    <xf applyAlignment="true" applyBorder="true" applyFill="false" applyFont="false" applyNumberFormat="true" borderId="4496" fillId="0" fontId="1" numFmtId="1000" quotePrefix="false">
      <alignment horizontal="center" vertical="top"/>
    </xf>
    <xf applyAlignment="true" applyBorder="true" applyFill="false" applyFont="true" applyNumberFormat="true" borderId="4497" fillId="0" fontId="13" numFmtId="1000" quotePrefix="false">
      <alignment horizontal="center" textRotation="90" vertical="top"/>
    </xf>
    <xf applyAlignment="true" applyBorder="true" applyFill="false" applyFont="false" applyNumberFormat="true" borderId="4498" fillId="0" fontId="1" numFmtId="1000" quotePrefix="false">
      <alignment horizontal="center" vertical="top"/>
    </xf>
    <xf applyAlignment="true" applyBorder="true" applyFill="false" applyFont="false" applyNumberFormat="true" borderId="4499" fillId="0" fontId="1" numFmtId="1000" quotePrefix="false">
      <alignment horizontal="center" vertical="top"/>
    </xf>
    <xf applyAlignment="true" applyBorder="true" applyFill="false" applyFont="false" applyNumberFormat="true" borderId="4500" fillId="0" fontId="1" numFmtId="1000" quotePrefix="false">
      <alignment horizontal="center" vertical="top"/>
    </xf>
    <xf applyAlignment="true" applyBorder="true" applyFill="false" applyFont="false" applyNumberFormat="true" borderId="4501" fillId="0" fontId="1" numFmtId="1000" quotePrefix="false">
      <alignment horizontal="center" vertical="top"/>
    </xf>
    <xf applyAlignment="true" applyBorder="true" applyFill="false" applyFont="true" applyNumberFormat="true" borderId="4502" fillId="0" fontId="13" numFmtId="1000" quotePrefix="false">
      <alignment horizontal="center" textRotation="90" vertical="top"/>
    </xf>
    <xf applyAlignment="true" applyBorder="true" applyFill="false" applyFont="false" applyNumberFormat="true" borderId="4503" fillId="0" fontId="1" numFmtId="1000" quotePrefix="false">
      <alignment horizontal="center" vertical="top"/>
    </xf>
    <xf applyAlignment="true" applyBorder="true" applyFill="false" applyFont="false" applyNumberFormat="true" borderId="4504" fillId="0" fontId="1" numFmtId="1000" quotePrefix="false">
      <alignment horizontal="center" vertical="top"/>
    </xf>
    <xf applyAlignment="true" applyBorder="true" applyFill="false" applyFont="false" applyNumberFormat="true" borderId="4505" fillId="0" fontId="1" numFmtId="1000" quotePrefix="false">
      <alignment horizontal="center" vertical="top"/>
    </xf>
    <xf applyAlignment="true" applyBorder="true" applyFill="false" applyFont="false" applyNumberFormat="true" borderId="4506" fillId="0" fontId="1" numFmtId="1000" quotePrefix="false">
      <alignment horizontal="center" vertical="top"/>
    </xf>
    <xf applyAlignment="true" applyBorder="true" applyFill="false" applyFont="true" applyNumberFormat="true" borderId="4507" fillId="0" fontId="13" numFmtId="1000" quotePrefix="false">
      <alignment horizontal="center" textRotation="90" vertical="top"/>
    </xf>
    <xf applyAlignment="true" applyBorder="true" applyFill="false" applyFont="false" applyNumberFormat="true" borderId="4508" fillId="0" fontId="1" numFmtId="1000" quotePrefix="false">
      <alignment horizontal="center" vertical="top"/>
    </xf>
    <xf applyAlignment="true" applyBorder="true" applyFill="false" applyFont="false" applyNumberFormat="true" borderId="4509" fillId="0" fontId="1" numFmtId="1000" quotePrefix="false">
      <alignment horizontal="center" vertical="top"/>
    </xf>
    <xf applyAlignment="true" applyBorder="true" applyFill="false" applyFont="false" applyNumberFormat="true" borderId="4510" fillId="0" fontId="1" numFmtId="1000" quotePrefix="false">
      <alignment horizontal="center" vertical="top"/>
    </xf>
    <xf applyAlignment="true" applyBorder="true" applyFill="false" applyFont="false" applyNumberFormat="true" borderId="4511" fillId="0" fontId="1" numFmtId="1000" quotePrefix="false">
      <alignment horizontal="center" vertical="top"/>
    </xf>
    <xf applyAlignment="true" applyBorder="true" applyFill="false" applyFont="true" applyNumberFormat="true" borderId="4512" fillId="0" fontId="13" numFmtId="1000" quotePrefix="false">
      <alignment horizontal="center" textRotation="90" vertical="top"/>
    </xf>
    <xf applyAlignment="true" applyBorder="true" applyFill="false" applyFont="false" applyNumberFormat="true" borderId="4513" fillId="0" fontId="1" numFmtId="1000" quotePrefix="false">
      <alignment horizontal="center" vertical="top"/>
    </xf>
    <xf applyAlignment="true" applyBorder="true" applyFill="false" applyFont="false" applyNumberFormat="true" borderId="4514" fillId="0" fontId="1" numFmtId="1000" quotePrefix="false">
      <alignment horizontal="center" vertical="top"/>
    </xf>
    <xf applyAlignment="true" applyBorder="true" applyFill="false" applyFont="false" applyNumberFormat="true" borderId="4515" fillId="0" fontId="1" numFmtId="1000" quotePrefix="false">
      <alignment horizontal="center" vertical="top"/>
    </xf>
    <xf applyAlignment="true" applyBorder="true" applyFill="false" applyFont="false" applyNumberFormat="true" borderId="4516" fillId="0" fontId="1" numFmtId="1000" quotePrefix="false">
      <alignment horizontal="center" vertical="top"/>
    </xf>
    <xf applyAlignment="true" applyBorder="true" applyFill="false" applyFont="true" applyNumberFormat="true" borderId="4517" fillId="0" fontId="13" numFmtId="1000" quotePrefix="false">
      <alignment horizontal="center" textRotation="90" vertical="top"/>
    </xf>
    <xf applyAlignment="true" applyBorder="true" applyFill="false" applyFont="false" applyNumberFormat="true" borderId="4518" fillId="0" fontId="1" numFmtId="1000" quotePrefix="false">
      <alignment horizontal="center" vertical="top"/>
    </xf>
    <xf applyAlignment="true" applyBorder="true" applyFill="false" applyFont="false" applyNumberFormat="true" borderId="4519" fillId="0" fontId="1" numFmtId="1000" quotePrefix="false">
      <alignment horizontal="center" vertical="top"/>
    </xf>
    <xf applyAlignment="true" applyBorder="true" applyFill="false" applyFont="false" applyNumberFormat="true" borderId="4520" fillId="0" fontId="1" numFmtId="1000" quotePrefix="false">
      <alignment horizontal="center" vertical="top"/>
    </xf>
    <xf applyAlignment="true" applyBorder="true" applyFill="false" applyFont="false" applyNumberFormat="true" borderId="4521" fillId="0" fontId="1" numFmtId="1000" quotePrefix="false">
      <alignment horizontal="center" vertical="top"/>
    </xf>
    <xf applyAlignment="true" applyBorder="true" applyFill="false" applyFont="true" applyNumberFormat="true" borderId="4522" fillId="0" fontId="13" numFmtId="1000" quotePrefix="false">
      <alignment horizontal="center" textRotation="90" vertical="top"/>
    </xf>
    <xf applyAlignment="true" applyBorder="true" applyFill="false" applyFont="false" applyNumberFormat="true" borderId="4523" fillId="0" fontId="1" numFmtId="1000" quotePrefix="false">
      <alignment horizontal="center" vertical="top"/>
    </xf>
    <xf applyAlignment="true" applyBorder="true" applyFill="false" applyFont="false" applyNumberFormat="true" borderId="4524" fillId="0" fontId="1" numFmtId="1000" quotePrefix="false">
      <alignment horizontal="center" vertical="top"/>
    </xf>
    <xf applyAlignment="true" applyBorder="true" applyFill="false" applyFont="false" applyNumberFormat="true" borderId="4525" fillId="0" fontId="1" numFmtId="1000" quotePrefix="false">
      <alignment horizontal="center" vertical="top"/>
    </xf>
    <xf applyAlignment="true" applyBorder="true" applyFill="false" applyFont="false" applyNumberFormat="true" borderId="4526" fillId="0" fontId="1" numFmtId="1000" quotePrefix="false">
      <alignment horizontal="center" vertical="top"/>
    </xf>
    <xf applyAlignment="true" applyBorder="true" applyFill="false" applyFont="false" applyNumberFormat="true" borderId="4527" fillId="0" fontId="1" numFmtId="1000" quotePrefix="false">
      <alignment horizontal="center" vertical="top"/>
    </xf>
    <xf applyAlignment="true" applyBorder="true" applyFill="false" applyFont="false" applyNumberFormat="true" borderId="4528" fillId="0" fontId="1" numFmtId="1000" quotePrefix="false">
      <alignment horizontal="center" vertical="top"/>
    </xf>
    <xf applyAlignment="true" applyBorder="true" applyFill="false" applyFont="true" applyNumberFormat="true" borderId="4529" fillId="0" fontId="13" numFmtId="1000" quotePrefix="false">
      <alignment horizontal="center" textRotation="90" vertical="top"/>
    </xf>
    <xf applyAlignment="true" applyBorder="true" applyFill="false" applyFont="true" applyNumberFormat="true" borderId="4530" fillId="0" fontId="2" numFmtId="1000" quotePrefix="false">
      <alignment horizontal="center" vertical="top"/>
    </xf>
    <xf applyAlignment="true" applyBorder="true" applyFill="false" applyFont="false" applyNumberFormat="true" borderId="4531" fillId="0" fontId="1" numFmtId="1000" quotePrefix="false">
      <alignment horizontal="left" vertical="top"/>
    </xf>
    <xf applyAlignment="true" applyBorder="true" applyFill="false" applyFont="false" applyNumberFormat="true" borderId="4532" fillId="0" fontId="1" numFmtId="1000" quotePrefix="false">
      <alignment horizontal="left" vertical="top"/>
    </xf>
    <xf applyAlignment="true" applyBorder="true" applyFill="false" applyFont="false" applyNumberFormat="true" borderId="4533" fillId="0" fontId="1" numFmtId="1000" quotePrefix="false">
      <alignment horizontal="left" vertical="top"/>
    </xf>
    <xf applyAlignment="true" applyBorder="true" applyFill="false" applyFont="false" applyNumberFormat="true" borderId="4534" fillId="0" fontId="1" numFmtId="1000" quotePrefix="false">
      <alignment horizontal="left" vertical="top"/>
    </xf>
    <xf applyAlignment="true" applyBorder="true" applyFill="false" applyFont="false" applyNumberFormat="true" borderId="4535" fillId="0" fontId="1" numFmtId="1000" quotePrefix="false">
      <alignment horizontal="left" vertical="top"/>
    </xf>
    <xf applyAlignment="true" applyBorder="true" applyFill="false" applyFont="false" applyNumberFormat="true" borderId="4536" fillId="0" fontId="1" numFmtId="1000" quotePrefix="false">
      <alignment horizontal="left" vertical="top"/>
    </xf>
    <xf applyAlignment="true" applyBorder="true" applyFill="false" applyFont="false" applyNumberFormat="true" borderId="4537" fillId="0" fontId="1" numFmtId="1000" quotePrefix="false">
      <alignment horizontal="left" vertical="top"/>
    </xf>
    <xf applyAlignment="true" applyBorder="true" applyFill="false" applyFont="false" applyNumberFormat="true" borderId="4538" fillId="0" fontId="1" numFmtId="1000" quotePrefix="false">
      <alignment horizontal="left" vertical="top"/>
    </xf>
    <xf applyAlignment="true" applyBorder="true" applyFill="false" applyFont="false" applyNumberFormat="true" borderId="4539" fillId="0" fontId="1" numFmtId="1000" quotePrefix="false">
      <alignment horizontal="left" vertical="top"/>
    </xf>
    <xf applyAlignment="true" applyBorder="true" applyFill="false" applyFont="false" applyNumberFormat="true" borderId="4540" fillId="0" fontId="1" numFmtId="1000" quotePrefix="false">
      <alignment horizontal="left" vertical="top"/>
    </xf>
    <xf applyAlignment="true" applyBorder="true" applyFill="false" applyFont="false" applyNumberFormat="true" borderId="4541" fillId="0" fontId="1" numFmtId="1000" quotePrefix="false">
      <alignment horizontal="left" vertical="top"/>
    </xf>
    <xf applyAlignment="true" applyBorder="true" applyFill="false" applyFont="false" applyNumberFormat="true" borderId="4542" fillId="0" fontId="1" numFmtId="1000" quotePrefix="false">
      <alignment horizontal="left" vertical="top"/>
    </xf>
    <xf applyAlignment="true" applyBorder="true" applyFill="false" applyFont="false" applyNumberFormat="true" borderId="4543" fillId="0" fontId="1" numFmtId="1000" quotePrefix="false">
      <alignment horizontal="left" vertical="top"/>
    </xf>
    <xf applyAlignment="true" applyBorder="true" applyFill="false" applyFont="false" applyNumberFormat="true" borderId="4544" fillId="0" fontId="1" numFmtId="1000" quotePrefix="false">
      <alignment horizontal="left" vertical="top"/>
    </xf>
    <xf applyAlignment="true" applyBorder="true" applyFill="false" applyFont="false" applyNumberFormat="true" borderId="4545" fillId="0" fontId="1" numFmtId="1000" quotePrefix="false">
      <alignment horizontal="left" vertical="top"/>
    </xf>
    <xf applyAlignment="true" applyBorder="true" applyFill="false" applyFont="false" applyNumberFormat="true" borderId="4546" fillId="0" fontId="1" numFmtId="1000" quotePrefix="false">
      <alignment horizontal="left" vertical="top"/>
    </xf>
    <xf applyAlignment="true" applyBorder="true" applyFill="false" applyFont="false" applyNumberFormat="true" borderId="4547" fillId="0" fontId="1" numFmtId="1000" quotePrefix="false">
      <alignment horizontal="left" vertical="top"/>
    </xf>
    <xf applyAlignment="true" applyBorder="true" applyFill="false" applyFont="false" applyNumberFormat="true" borderId="4548" fillId="0" fontId="1" numFmtId="1000" quotePrefix="false">
      <alignment horizontal="left" vertical="top"/>
    </xf>
    <xf applyAlignment="true" applyBorder="true" applyFill="false" applyFont="false" applyNumberFormat="true" borderId="4549" fillId="0" fontId="1" numFmtId="1000" quotePrefix="false">
      <alignment horizontal="left" vertical="top"/>
    </xf>
    <xf applyAlignment="true" applyBorder="true" applyFill="false" applyFont="true" applyNumberFormat="true" borderId="4550" fillId="0" fontId="13" numFmtId="1000" quotePrefix="false">
      <alignment horizontal="center" textRotation="90" vertical="top"/>
    </xf>
    <xf applyAlignment="true" applyBorder="true" applyFill="false" applyFont="true" applyNumberFormat="true" borderId="4551" fillId="0" fontId="2" numFmtId="1000" quotePrefix="false">
      <alignment horizontal="center"/>
    </xf>
    <xf applyAlignment="true" applyBorder="true" applyFill="false" applyFont="true" applyNumberFormat="true" borderId="4552" fillId="0" fontId="2" numFmtId="1000" quotePrefix="false">
      <alignment horizontal="center"/>
    </xf>
    <xf applyAlignment="true" applyBorder="true" applyFill="false" applyFont="true" applyNumberFormat="true" borderId="4553" fillId="0" fontId="2" numFmtId="1000" quotePrefix="false">
      <alignment horizontal="center"/>
    </xf>
    <xf applyAlignment="true" applyBorder="true" applyFill="false" applyFont="false" applyNumberFormat="true" borderId="4554" fillId="0" fontId="1" numFmtId="1000" quotePrefix="false">
      <alignment horizontal="center" vertical="top"/>
    </xf>
    <xf applyAlignment="true" applyBorder="true" applyFill="false" applyFont="false" applyNumberFormat="true" borderId="4555" fillId="0" fontId="1" numFmtId="1000" quotePrefix="false">
      <alignment horizontal="center" vertical="top"/>
    </xf>
    <xf applyAlignment="true" applyBorder="true" applyFill="false" applyFont="false" applyNumberFormat="true" borderId="4556" fillId="0" fontId="1" numFmtId="1000" quotePrefix="false">
      <alignment horizontal="center" vertical="top"/>
    </xf>
    <xf applyAlignment="true" applyBorder="true" applyFill="false" applyFont="false" applyNumberFormat="true" borderId="4557" fillId="0" fontId="1" numFmtId="1000" quotePrefix="false">
      <alignment horizontal="center" vertical="top"/>
    </xf>
    <xf applyAlignment="true" applyBorder="true" applyFill="false" applyFont="false" applyNumberFormat="true" borderId="4558" fillId="0" fontId="1" numFmtId="1000" quotePrefix="false">
      <alignment horizontal="center" vertical="top"/>
    </xf>
    <xf applyAlignment="true" applyBorder="true" applyFill="false" applyFont="false" applyNumberFormat="true" borderId="4559" fillId="0" fontId="1" numFmtId="1000" quotePrefix="false">
      <alignment horizontal="center" vertical="top"/>
    </xf>
    <xf applyAlignment="true" applyBorder="true" applyFill="false" applyFont="false" applyNumberFormat="true" borderId="4560" fillId="0" fontId="1" numFmtId="1000" quotePrefix="false">
      <alignment horizontal="center" vertical="top"/>
    </xf>
    <xf applyAlignment="true" applyBorder="true" applyFill="false" applyFont="false" applyNumberFormat="true" borderId="4561" fillId="0" fontId="1" numFmtId="1000" quotePrefix="false">
      <alignment horizontal="center" vertical="top"/>
    </xf>
    <xf applyAlignment="true" applyBorder="true" applyFill="false" applyFont="false" applyNumberFormat="true" borderId="4562" fillId="0" fontId="1" numFmtId="1000" quotePrefix="false">
      <alignment horizontal="center" vertical="top"/>
    </xf>
    <xf applyAlignment="true" applyBorder="true" applyFill="false" applyFont="false" applyNumberFormat="true" borderId="4563" fillId="0" fontId="1" numFmtId="1000" quotePrefix="false">
      <alignment horizontal="center" vertical="top"/>
    </xf>
    <xf applyAlignment="true" applyBorder="true" applyFill="false" applyFont="false" applyNumberFormat="true" borderId="4564" fillId="0" fontId="1" numFmtId="1000" quotePrefix="false">
      <alignment horizontal="center" vertical="top"/>
    </xf>
    <xf applyAlignment="true" applyBorder="true" applyFill="false" applyFont="false" applyNumberFormat="true" borderId="4565" fillId="0" fontId="1" numFmtId="1000" quotePrefix="false">
      <alignment horizontal="center" vertical="top"/>
    </xf>
    <xf applyAlignment="true" applyBorder="true" applyFill="false" applyFont="false" applyNumberFormat="true" borderId="4566" fillId="0" fontId="1" numFmtId="1000" quotePrefix="false">
      <alignment horizontal="center" vertical="top"/>
    </xf>
    <xf applyAlignment="true" applyBorder="true" applyFill="false" applyFont="false" applyNumberFormat="true" borderId="4567" fillId="0" fontId="1" numFmtId="1000" quotePrefix="false">
      <alignment horizontal="center" vertical="top"/>
    </xf>
    <xf applyAlignment="true" applyBorder="true" applyFill="false" applyFont="false" applyNumberFormat="true" borderId="4568" fillId="0" fontId="1" numFmtId="1000" quotePrefix="false">
      <alignment horizontal="center" vertical="top"/>
    </xf>
    <xf applyAlignment="true" applyBorder="true" applyFill="false" applyFont="false" applyNumberFormat="true" borderId="4569" fillId="0" fontId="1" numFmtId="1000" quotePrefix="false">
      <alignment horizontal="center" vertical="top"/>
    </xf>
    <xf applyAlignment="true" applyBorder="true" applyFill="false" applyFont="true" applyNumberFormat="true" borderId="4570" fillId="0" fontId="13" numFmtId="1000" quotePrefix="false">
      <alignment horizontal="center" textRotation="90" vertical="top"/>
    </xf>
    <xf applyAlignment="true" applyBorder="true" applyFill="false" applyFont="false" applyNumberFormat="true" borderId="4571" fillId="0" fontId="1" numFmtId="1000" quotePrefix="false">
      <alignment horizontal="center" vertical="top"/>
    </xf>
    <xf applyAlignment="true" applyBorder="true" applyFill="false" applyFont="false" applyNumberFormat="true" borderId="4572" fillId="0" fontId="1" numFmtId="1000" quotePrefix="false">
      <alignment horizontal="center" vertical="top"/>
    </xf>
    <xf applyAlignment="true" applyBorder="true" applyFill="false" applyFont="false" applyNumberFormat="true" borderId="4573" fillId="0" fontId="1" numFmtId="1000" quotePrefix="false">
      <alignment horizontal="center" vertical="top"/>
    </xf>
    <xf applyAlignment="true" applyBorder="true" applyFill="false" applyFont="false" applyNumberFormat="true" borderId="4574" fillId="0" fontId="1" numFmtId="1000" quotePrefix="false">
      <alignment horizontal="center" vertical="top"/>
    </xf>
    <xf applyAlignment="true" applyBorder="true" applyFill="false" applyFont="false" applyNumberFormat="true" borderId="4575" fillId="0" fontId="1" numFmtId="1000" quotePrefix="false">
      <alignment horizontal="center" vertical="top"/>
    </xf>
    <xf applyAlignment="true" applyBorder="true" applyFill="false" applyFont="false" applyNumberFormat="true" borderId="4576" fillId="0" fontId="1" numFmtId="1000" quotePrefix="false">
      <alignment horizontal="center" vertical="top"/>
    </xf>
    <xf applyAlignment="true" applyBorder="true" applyFill="false" applyFont="false" applyNumberFormat="true" borderId="4577" fillId="0" fontId="1" numFmtId="1000" quotePrefix="false">
      <alignment horizontal="center" vertical="top"/>
    </xf>
    <xf applyAlignment="true" applyBorder="true" applyFill="false" applyFont="true" applyNumberFormat="true" borderId="4578" fillId="0" fontId="13" numFmtId="1000" quotePrefix="false">
      <alignment horizontal="center" textRotation="90" vertical="top"/>
    </xf>
    <xf applyAlignment="true" applyBorder="true" applyFill="false" applyFont="false" applyNumberFormat="true" borderId="4579" fillId="0" fontId="1" numFmtId="1000" quotePrefix="false">
      <alignment horizontal="center" vertical="top"/>
    </xf>
    <xf applyAlignment="true" applyBorder="true" applyFill="false" applyFont="false" applyNumberFormat="true" borderId="4580" fillId="0" fontId="1" numFmtId="1000" quotePrefix="false">
      <alignment horizontal="center" vertical="top"/>
    </xf>
    <xf applyAlignment="true" applyBorder="true" applyFill="false" applyFont="false" applyNumberFormat="true" borderId="4581" fillId="0" fontId="1" numFmtId="1000" quotePrefix="false">
      <alignment horizontal="center" vertical="top"/>
    </xf>
    <xf applyAlignment="true" applyBorder="true" applyFill="false" applyFont="false" applyNumberFormat="true" borderId="4582" fillId="0" fontId="1" numFmtId="1000" quotePrefix="false">
      <alignment horizontal="center" vertical="top"/>
    </xf>
    <xf applyAlignment="true" applyBorder="true" applyFill="false" applyFont="false" applyNumberFormat="true" borderId="4583" fillId="0" fontId="1" numFmtId="1000" quotePrefix="false">
      <alignment horizontal="center" vertical="top"/>
    </xf>
    <xf applyAlignment="true" applyBorder="true" applyFill="false" applyFont="false" applyNumberFormat="true" borderId="4584" fillId="0" fontId="1" numFmtId="1000" quotePrefix="false">
      <alignment horizontal="center" vertical="top"/>
    </xf>
    <xf applyAlignment="true" applyBorder="true" applyFill="false" applyFont="true" applyNumberFormat="true" borderId="4585" fillId="0" fontId="13" numFmtId="1000" quotePrefix="false">
      <alignment horizontal="center" textRotation="90" vertical="top"/>
    </xf>
    <xf applyAlignment="true" applyBorder="true" applyFill="false" applyFont="false" applyNumberFormat="true" borderId="4586" fillId="0" fontId="1" numFmtId="1000" quotePrefix="false">
      <alignment horizontal="center" vertical="top"/>
    </xf>
    <xf applyAlignment="true" applyBorder="true" applyFill="false" applyFont="false" applyNumberFormat="true" borderId="4587" fillId="0" fontId="1" numFmtId="1000" quotePrefix="false">
      <alignment horizontal="center" vertical="top"/>
    </xf>
    <xf applyAlignment="true" applyBorder="true" applyFill="false" applyFont="false" applyNumberFormat="true" borderId="4588" fillId="0" fontId="1" numFmtId="1000" quotePrefix="false">
      <alignment horizontal="center" vertical="top"/>
    </xf>
    <xf applyAlignment="true" applyBorder="true" applyFill="false" applyFont="false" applyNumberFormat="true" borderId="4589" fillId="0" fontId="1" numFmtId="1000" quotePrefix="false">
      <alignment horizontal="center" vertical="top"/>
    </xf>
    <xf applyAlignment="true" applyBorder="true" applyFill="false" applyFont="false" applyNumberFormat="true" borderId="4590" fillId="0" fontId="1" numFmtId="1000" quotePrefix="false">
      <alignment horizontal="center" vertical="top"/>
    </xf>
    <xf applyAlignment="true" applyBorder="true" applyFill="false" applyFont="false" applyNumberFormat="true" borderId="4591" fillId="0" fontId="1" numFmtId="1000" quotePrefix="false">
      <alignment horizontal="center" vertical="top"/>
    </xf>
    <xf applyAlignment="true" applyBorder="true" applyFill="false" applyFont="true" applyNumberFormat="true" borderId="4592" fillId="0" fontId="13" numFmtId="1000" quotePrefix="false">
      <alignment horizontal="center" textRotation="90" vertical="top"/>
    </xf>
    <xf applyAlignment="true" applyBorder="true" applyFill="false" applyFont="false" applyNumberFormat="true" borderId="4593" fillId="0" fontId="1" numFmtId="1000" quotePrefix="false">
      <alignment horizontal="center" vertical="top"/>
    </xf>
    <xf applyAlignment="true" applyBorder="true" applyFill="false" applyFont="false" applyNumberFormat="true" borderId="4594" fillId="0" fontId="1" numFmtId="1000" quotePrefix="false">
      <alignment horizontal="center" vertical="top"/>
    </xf>
    <xf applyAlignment="true" applyBorder="true" applyFill="false" applyFont="false" applyNumberFormat="true" borderId="4595" fillId="0" fontId="1" numFmtId="1000" quotePrefix="false">
      <alignment horizontal="center" vertical="top"/>
    </xf>
    <xf applyAlignment="true" applyBorder="true" applyFill="false" applyFont="false" applyNumberFormat="true" borderId="4596" fillId="0" fontId="1" numFmtId="1000" quotePrefix="false">
      <alignment horizontal="center" vertical="top"/>
    </xf>
    <xf applyAlignment="true" applyBorder="true" applyFill="false" applyFont="false" applyNumberFormat="true" borderId="4597" fillId="0" fontId="1" numFmtId="1000" quotePrefix="false">
      <alignment horizontal="center" vertical="top"/>
    </xf>
    <xf applyAlignment="true" applyBorder="true" applyFill="false" applyFont="false" applyNumberFormat="true" borderId="4598" fillId="0" fontId="1" numFmtId="1000" quotePrefix="false">
      <alignment horizontal="center" vertical="top"/>
    </xf>
    <xf applyAlignment="true" applyBorder="true" applyFill="false" applyFont="true" applyNumberFormat="true" borderId="4599" fillId="0" fontId="13" numFmtId="1000" quotePrefix="false">
      <alignment horizontal="center" textRotation="90" vertical="top"/>
    </xf>
    <xf applyAlignment="true" applyBorder="true" applyFill="false" applyFont="false" applyNumberFormat="true" borderId="4600" fillId="0" fontId="1" numFmtId="1000" quotePrefix="false">
      <alignment horizontal="center" vertical="top"/>
    </xf>
    <xf applyAlignment="true" applyBorder="true" applyFill="false" applyFont="false" applyNumberFormat="true" borderId="4601" fillId="0" fontId="1" numFmtId="1000" quotePrefix="false">
      <alignment horizontal="center" vertical="top"/>
    </xf>
    <xf applyAlignment="true" applyBorder="true" applyFill="false" applyFont="false" applyNumberFormat="true" borderId="4602" fillId="0" fontId="1" numFmtId="1000" quotePrefix="false">
      <alignment horizontal="center" vertical="top"/>
    </xf>
    <xf applyAlignment="true" applyBorder="true" applyFill="false" applyFont="false" applyNumberFormat="true" borderId="4603" fillId="0" fontId="1" numFmtId="1000" quotePrefix="false">
      <alignment horizontal="center" vertical="top"/>
    </xf>
    <xf applyAlignment="true" applyBorder="true" applyFill="false" applyFont="false" applyNumberFormat="true" borderId="4604" fillId="0" fontId="1" numFmtId="1000" quotePrefix="false">
      <alignment horizontal="center" vertical="top"/>
    </xf>
    <xf applyAlignment="true" applyBorder="true" applyFill="false" applyFont="false" applyNumberFormat="true" borderId="4605" fillId="0" fontId="1" numFmtId="1000" quotePrefix="false">
      <alignment horizontal="center" vertical="top"/>
    </xf>
    <xf applyAlignment="true" applyBorder="true" applyFill="false" applyFont="true" applyNumberFormat="true" borderId="4606" fillId="0" fontId="13" numFmtId="1000" quotePrefix="false">
      <alignment horizontal="center" textRotation="90" vertical="top"/>
    </xf>
    <xf applyAlignment="true" applyBorder="true" applyFill="false" applyFont="false" applyNumberFormat="true" borderId="4607" fillId="0" fontId="1" numFmtId="1000" quotePrefix="false">
      <alignment horizontal="center" vertical="top"/>
    </xf>
    <xf applyAlignment="true" applyBorder="true" applyFill="false" applyFont="false" applyNumberFormat="true" borderId="4608" fillId="0" fontId="1" numFmtId="1000" quotePrefix="false">
      <alignment horizontal="center" vertical="top"/>
    </xf>
    <xf applyAlignment="true" applyBorder="true" applyFill="false" applyFont="false" applyNumberFormat="true" borderId="4609" fillId="0" fontId="1" numFmtId="1000" quotePrefix="false">
      <alignment horizontal="center" vertical="top"/>
    </xf>
    <xf applyAlignment="true" applyBorder="true" applyFill="false" applyFont="false" applyNumberFormat="true" borderId="4610" fillId="0" fontId="1" numFmtId="1000" quotePrefix="false">
      <alignment horizontal="center" vertical="top"/>
    </xf>
    <xf applyAlignment="true" applyBorder="true" applyFill="false" applyFont="false" applyNumberFormat="true" borderId="4611" fillId="0" fontId="1" numFmtId="1000" quotePrefix="false">
      <alignment horizontal="center" vertical="top"/>
    </xf>
    <xf applyAlignment="true" applyBorder="true" applyFill="false" applyFont="false" applyNumberFormat="true" borderId="4612" fillId="0" fontId="1" numFmtId="1000" quotePrefix="false">
      <alignment horizontal="center" vertical="top"/>
    </xf>
    <xf applyAlignment="true" applyBorder="true" applyFill="false" applyFont="true" applyNumberFormat="true" borderId="4613" fillId="0" fontId="13" numFmtId="1000" quotePrefix="false">
      <alignment horizontal="center" textRotation="90" vertical="top"/>
    </xf>
    <xf applyAlignment="true" applyBorder="true" applyFill="false" applyFont="false" applyNumberFormat="true" borderId="4614" fillId="0" fontId="1" numFmtId="1000" quotePrefix="false">
      <alignment horizontal="center" vertical="top"/>
    </xf>
    <xf applyAlignment="true" applyBorder="true" applyFill="false" applyFont="false" applyNumberFormat="true" borderId="4615" fillId="0" fontId="1" numFmtId="1000" quotePrefix="false">
      <alignment horizontal="center" vertical="top"/>
    </xf>
    <xf applyAlignment="true" applyBorder="true" applyFill="false" applyFont="false" applyNumberFormat="true" borderId="4616" fillId="0" fontId="1" numFmtId="1000" quotePrefix="false">
      <alignment horizontal="center" vertical="top"/>
    </xf>
    <xf applyAlignment="true" applyBorder="true" applyFill="false" applyFont="false" applyNumberFormat="true" borderId="4617" fillId="0" fontId="1" numFmtId="1000" quotePrefix="false">
      <alignment horizontal="center" vertical="top"/>
    </xf>
    <xf applyAlignment="true" applyBorder="true" applyFill="false" applyFont="false" applyNumberFormat="true" borderId="4618" fillId="0" fontId="1" numFmtId="1000" quotePrefix="false">
      <alignment horizontal="center" vertical="top"/>
    </xf>
    <xf applyAlignment="true" applyBorder="true" applyFill="false" applyFont="false" applyNumberFormat="true" borderId="4619" fillId="0" fontId="1" numFmtId="1000" quotePrefix="false">
      <alignment horizontal="center" vertical="top"/>
    </xf>
    <xf applyAlignment="true" applyBorder="true" applyFill="false" applyFont="true" applyNumberFormat="true" borderId="4620" fillId="0" fontId="13" numFmtId="1000" quotePrefix="false">
      <alignment horizontal="center" textRotation="90" vertical="top"/>
    </xf>
    <xf applyAlignment="true" applyBorder="true" applyFill="false" applyFont="false" applyNumberFormat="true" borderId="4621" fillId="0" fontId="1" numFmtId="1000" quotePrefix="false">
      <alignment horizontal="center" vertical="top"/>
    </xf>
    <xf applyAlignment="true" applyBorder="true" applyFill="false" applyFont="false" applyNumberFormat="true" borderId="4622" fillId="0" fontId="1" numFmtId="1000" quotePrefix="false">
      <alignment horizontal="center" vertical="top"/>
    </xf>
    <xf applyAlignment="true" applyBorder="true" applyFill="false" applyFont="false" applyNumberFormat="true" borderId="4623" fillId="0" fontId="1" numFmtId="1000" quotePrefix="false">
      <alignment horizontal="center" vertical="top"/>
    </xf>
    <xf applyAlignment="true" applyBorder="true" applyFill="false" applyFont="false" applyNumberFormat="true" borderId="4624" fillId="0" fontId="1" numFmtId="1000" quotePrefix="false">
      <alignment horizontal="center" vertical="top"/>
    </xf>
    <xf applyAlignment="true" applyBorder="true" applyFill="false" applyFont="false" applyNumberFormat="true" borderId="4625" fillId="0" fontId="1" numFmtId="1000" quotePrefix="false">
      <alignment horizontal="center" vertical="top"/>
    </xf>
    <xf applyAlignment="true" applyBorder="true" applyFill="false" applyFont="false" applyNumberFormat="true" borderId="4626" fillId="0" fontId="1" numFmtId="1000" quotePrefix="false">
      <alignment horizontal="center" vertical="top"/>
    </xf>
    <xf applyAlignment="true" applyBorder="true" applyFill="false" applyFont="true" applyNumberFormat="true" borderId="4627" fillId="0" fontId="13" numFmtId="1000" quotePrefix="false">
      <alignment horizontal="center" textRotation="90" vertical="top"/>
    </xf>
    <xf applyAlignment="true" applyBorder="true" applyFill="false" applyFont="false" applyNumberFormat="true" borderId="4628" fillId="0" fontId="1" numFmtId="1000" quotePrefix="false">
      <alignment horizontal="center" vertical="top"/>
    </xf>
    <xf applyAlignment="true" applyBorder="true" applyFill="false" applyFont="false" applyNumberFormat="true" borderId="4629" fillId="0" fontId="1" numFmtId="1000" quotePrefix="false">
      <alignment horizontal="center" vertical="top"/>
    </xf>
    <xf applyAlignment="true" applyBorder="true" applyFill="false" applyFont="false" applyNumberFormat="true" borderId="4630" fillId="0" fontId="1" numFmtId="1000" quotePrefix="false">
      <alignment horizontal="center" vertical="top"/>
    </xf>
    <xf applyAlignment="true" applyBorder="true" applyFill="false" applyFont="false" applyNumberFormat="true" borderId="4631" fillId="0" fontId="1" numFmtId="1000" quotePrefix="false">
      <alignment horizontal="center" vertical="top"/>
    </xf>
    <xf applyAlignment="true" applyBorder="true" applyFill="false" applyFont="false" applyNumberFormat="true" borderId="4632" fillId="0" fontId="1" numFmtId="1000" quotePrefix="false">
      <alignment horizontal="center" vertical="top"/>
    </xf>
    <xf applyAlignment="true" applyBorder="true" applyFill="false" applyFont="false" applyNumberFormat="true" borderId="4633" fillId="0" fontId="1" numFmtId="1000" quotePrefix="false">
      <alignment horizontal="center" vertical="top"/>
    </xf>
    <xf applyAlignment="true" applyBorder="true" applyFill="false" applyFont="false" applyNumberFormat="true" borderId="4634" fillId="0" fontId="1" numFmtId="1000" quotePrefix="false">
      <alignment horizontal="center" vertical="top"/>
    </xf>
    <xf applyAlignment="true" applyBorder="true" applyFill="false" applyFont="false" applyNumberFormat="true" borderId="4635" fillId="0" fontId="1" numFmtId="1000" quotePrefix="false">
      <alignment horizontal="center" vertical="top"/>
    </xf>
    <xf applyAlignment="true" applyBorder="true" applyFill="false" applyFont="false" applyNumberFormat="true" borderId="4636" fillId="0" fontId="1" numFmtId="1000" quotePrefix="false">
      <alignment horizontal="center" vertical="top"/>
    </xf>
    <xf applyAlignment="true" applyBorder="true" applyFill="false" applyFont="false" applyNumberFormat="true" borderId="4637" fillId="0" fontId="1" numFmtId="1000" quotePrefix="false">
      <alignment horizontal="center" vertical="top"/>
    </xf>
    <xf applyAlignment="true" applyBorder="true" applyFill="false" applyFont="true" applyNumberFormat="true" borderId="4638" fillId="0" fontId="13" numFmtId="1000" quotePrefix="false">
      <alignment horizontal="center" textRotation="90" vertical="top"/>
    </xf>
    <xf applyAlignment="true" applyBorder="true" applyFill="false" applyFont="true" applyNumberFormat="true" borderId="4639" fillId="0" fontId="2" numFmtId="1000" quotePrefix="false">
      <alignment horizontal="center" vertical="top"/>
    </xf>
    <xf applyAlignment="true" applyBorder="true" applyFill="false" applyFont="false" applyNumberFormat="true" borderId="4640" fillId="0" fontId="1" numFmtId="1000" quotePrefix="false">
      <alignment horizontal="left" vertical="top"/>
    </xf>
    <xf applyAlignment="true" applyBorder="true" applyFill="false" applyFont="false" applyNumberFormat="true" borderId="4641" fillId="0" fontId="1" numFmtId="1000" quotePrefix="false">
      <alignment horizontal="left" vertical="top"/>
    </xf>
    <xf applyAlignment="true" applyBorder="true" applyFill="false" applyFont="false" applyNumberFormat="true" borderId="4642" fillId="0" fontId="1" numFmtId="1000" quotePrefix="false">
      <alignment horizontal="left" vertical="top"/>
    </xf>
    <xf applyAlignment="true" applyBorder="true" applyFill="false" applyFont="false" applyNumberFormat="true" borderId="4643" fillId="0" fontId="1" numFmtId="1000" quotePrefix="false">
      <alignment horizontal="left" vertical="top"/>
    </xf>
    <xf applyAlignment="true" applyBorder="true" applyFill="false" applyFont="false" applyNumberFormat="true" borderId="4644" fillId="0" fontId="1" numFmtId="1000" quotePrefix="false">
      <alignment horizontal="left" vertical="top"/>
    </xf>
    <xf applyAlignment="true" applyBorder="true" applyFill="false" applyFont="false" applyNumberFormat="true" borderId="4645" fillId="0" fontId="1" numFmtId="1000" quotePrefix="false">
      <alignment horizontal="left" vertical="top"/>
    </xf>
    <xf applyAlignment="true" applyBorder="true" applyFill="false" applyFont="false" applyNumberFormat="true" borderId="4646" fillId="0" fontId="1" numFmtId="1000" quotePrefix="false">
      <alignment horizontal="left" vertical="top"/>
    </xf>
    <xf applyAlignment="true" applyBorder="true" applyFill="false" applyFont="false" applyNumberFormat="true" borderId="4647" fillId="0" fontId="1" numFmtId="1000" quotePrefix="false">
      <alignment horizontal="left" vertical="top"/>
    </xf>
    <xf applyAlignment="true" applyBorder="true" applyFill="false" applyFont="false" applyNumberFormat="true" borderId="4648" fillId="0" fontId="1" numFmtId="1000" quotePrefix="false">
      <alignment horizontal="left" vertical="top"/>
    </xf>
    <xf applyAlignment="true" applyBorder="true" applyFill="false" applyFont="false" applyNumberFormat="true" borderId="4649" fillId="0" fontId="1" numFmtId="1000" quotePrefix="false">
      <alignment horizontal="left" vertical="top"/>
    </xf>
    <xf applyAlignment="true" applyBorder="true" applyFill="false" applyFont="false" applyNumberFormat="true" borderId="4650" fillId="0" fontId="1" numFmtId="1000" quotePrefix="false">
      <alignment horizontal="left" vertical="top"/>
    </xf>
    <xf applyAlignment="true" applyBorder="true" applyFill="false" applyFont="false" applyNumberFormat="true" borderId="4651" fillId="0" fontId="1" numFmtId="1000" quotePrefix="false">
      <alignment horizontal="left" vertical="top"/>
    </xf>
    <xf applyAlignment="true" applyBorder="true" applyFill="false" applyFont="false" applyNumberFormat="true" borderId="4652" fillId="0" fontId="1" numFmtId="1000" quotePrefix="false">
      <alignment horizontal="left" vertical="top"/>
    </xf>
    <xf applyAlignment="true" applyBorder="true" applyFill="false" applyFont="false" applyNumberFormat="true" borderId="4653" fillId="0" fontId="1" numFmtId="1000" quotePrefix="false">
      <alignment horizontal="left" vertical="top"/>
    </xf>
    <xf applyAlignment="true" applyBorder="true" applyFill="false" applyFont="false" applyNumberFormat="true" borderId="4654" fillId="0" fontId="1" numFmtId="1000" quotePrefix="false">
      <alignment horizontal="left" vertical="top"/>
    </xf>
    <xf applyAlignment="true" applyBorder="true" applyFill="false" applyFont="false" applyNumberFormat="true" borderId="4655" fillId="0" fontId="1" numFmtId="1000" quotePrefix="false">
      <alignment horizontal="left" vertical="top"/>
    </xf>
    <xf applyAlignment="true" applyBorder="true" applyFill="false" applyFont="false" applyNumberFormat="true" borderId="4656" fillId="0" fontId="1" numFmtId="1000" quotePrefix="false">
      <alignment horizontal="left" vertical="top"/>
    </xf>
    <xf applyAlignment="true" applyBorder="true" applyFill="false" applyFont="false" applyNumberFormat="true" borderId="4657" fillId="0" fontId="1" numFmtId="1000" quotePrefix="false">
      <alignment horizontal="left" vertical="top"/>
    </xf>
    <xf applyAlignment="true" applyBorder="true" applyFill="false" applyFont="false" applyNumberFormat="true" borderId="4658" fillId="0" fontId="1" numFmtId="1000" quotePrefix="false">
      <alignment horizontal="left" vertical="top"/>
    </xf>
    <xf applyAlignment="true" applyBorder="true" applyFill="false" applyFont="true" applyNumberFormat="true" borderId="4659" fillId="0" fontId="13" numFmtId="1000" quotePrefix="false">
      <alignment horizontal="center" textRotation="90" vertical="top"/>
    </xf>
    <xf applyAlignment="true" applyBorder="true" applyFill="false" applyFont="true" applyNumberFormat="true" borderId="4660" fillId="0" fontId="2" numFmtId="1000" quotePrefix="false">
      <alignment horizontal="center"/>
    </xf>
    <xf applyAlignment="true" applyBorder="true" applyFill="false" applyFont="true" applyNumberFormat="true" borderId="4661" fillId="0" fontId="2" numFmtId="1000" quotePrefix="false">
      <alignment horizontal="center"/>
    </xf>
    <xf applyAlignment="true" applyBorder="true" applyFill="false" applyFont="true" applyNumberFormat="true" borderId="4662" fillId="0" fontId="2" numFmtId="1000" quotePrefix="false">
      <alignment horizontal="center"/>
    </xf>
    <xf applyAlignment="true" applyBorder="true" applyFill="false" applyFont="false" applyNumberFormat="true" borderId="4663" fillId="0" fontId="1" numFmtId="1000" quotePrefix="false">
      <alignment horizontal="center" vertical="top"/>
    </xf>
    <xf applyAlignment="true" applyBorder="true" applyFill="false" applyFont="false" applyNumberFormat="true" borderId="4664" fillId="0" fontId="1" numFmtId="1000" quotePrefix="false">
      <alignment horizontal="center" vertical="top"/>
    </xf>
    <xf applyAlignment="true" applyBorder="true" applyFill="false" applyFont="false" applyNumberFormat="true" borderId="4665" fillId="0" fontId="1" numFmtId="1000" quotePrefix="false">
      <alignment horizontal="center" vertical="top"/>
    </xf>
    <xf applyAlignment="true" applyBorder="true" applyFill="false" applyFont="false" applyNumberFormat="true" borderId="4666" fillId="0" fontId="1" numFmtId="1000" quotePrefix="false">
      <alignment horizontal="center" vertical="top"/>
    </xf>
    <xf applyAlignment="true" applyBorder="true" applyFill="false" applyFont="false" applyNumberFormat="true" borderId="4667" fillId="0" fontId="1" numFmtId="1000" quotePrefix="false">
      <alignment horizontal="center" vertical="top"/>
    </xf>
    <xf applyAlignment="true" applyBorder="true" applyFill="false" applyFont="false" applyNumberFormat="true" borderId="4668" fillId="0" fontId="1" numFmtId="1000" quotePrefix="false">
      <alignment horizontal="center" vertical="top"/>
    </xf>
    <xf applyAlignment="true" applyBorder="true" applyFill="false" applyFont="false" applyNumberFormat="true" borderId="4669" fillId="0" fontId="1" numFmtId="1000" quotePrefix="false">
      <alignment horizontal="center" vertical="top"/>
    </xf>
    <xf applyAlignment="true" applyBorder="true" applyFill="false" applyFont="false" applyNumberFormat="true" borderId="4670" fillId="0" fontId="1" numFmtId="1000" quotePrefix="false">
      <alignment horizontal="center" vertical="top"/>
    </xf>
    <xf applyAlignment="true" applyBorder="true" applyFill="false" applyFont="false" applyNumberFormat="true" borderId="4671" fillId="0" fontId="1" numFmtId="1000" quotePrefix="false">
      <alignment horizontal="center" vertical="top"/>
    </xf>
    <xf applyAlignment="true" applyBorder="true" applyFill="false" applyFont="false" applyNumberFormat="true" borderId="4672" fillId="0" fontId="1" numFmtId="1000" quotePrefix="false">
      <alignment horizontal="center" vertical="top"/>
    </xf>
    <xf applyAlignment="true" applyBorder="true" applyFill="false" applyFont="false" applyNumberFormat="true" borderId="4673" fillId="0" fontId="1" numFmtId="1000" quotePrefix="false">
      <alignment horizontal="center" vertical="top"/>
    </xf>
    <xf applyAlignment="true" applyBorder="true" applyFill="false" applyFont="false" applyNumberFormat="true" borderId="4674" fillId="0" fontId="1" numFmtId="1000" quotePrefix="false">
      <alignment horizontal="center" vertical="top"/>
    </xf>
    <xf applyAlignment="true" applyBorder="true" applyFill="false" applyFont="false" applyNumberFormat="true" borderId="4675" fillId="0" fontId="1" numFmtId="1000" quotePrefix="false">
      <alignment horizontal="center" vertical="top"/>
    </xf>
    <xf applyAlignment="true" applyBorder="true" applyFill="false" applyFont="false" applyNumberFormat="true" borderId="4676" fillId="0" fontId="1" numFmtId="1000" quotePrefix="false">
      <alignment horizontal="center" vertical="top"/>
    </xf>
    <xf applyAlignment="true" applyBorder="true" applyFill="false" applyFont="false" applyNumberFormat="true" borderId="4677" fillId="0" fontId="1" numFmtId="1000" quotePrefix="false">
      <alignment horizontal="center" vertical="top"/>
    </xf>
    <xf applyAlignment="true" applyBorder="true" applyFill="false" applyFont="false" applyNumberFormat="true" borderId="4678" fillId="0" fontId="1" numFmtId="1000" quotePrefix="false">
      <alignment horizontal="center" vertical="top"/>
    </xf>
    <xf applyAlignment="true" applyBorder="true" applyFill="false" applyFont="true" applyNumberFormat="true" borderId="4679" fillId="0" fontId="13" numFmtId="1000" quotePrefix="false">
      <alignment horizontal="center" textRotation="90" vertical="top"/>
    </xf>
    <xf applyAlignment="true" applyBorder="true" applyFill="false" applyFont="false" applyNumberFormat="true" borderId="4680" fillId="0" fontId="1" numFmtId="1000" quotePrefix="false">
      <alignment horizontal="center" vertical="top"/>
    </xf>
    <xf applyAlignment="true" applyBorder="true" applyFill="false" applyFont="true" applyNumberFormat="true" borderId="4681" fillId="0" fontId="13" numFmtId="1000" quotePrefix="false">
      <alignment horizontal="center" textRotation="90" vertical="top"/>
    </xf>
    <xf applyAlignment="true" applyBorder="true" applyFill="false" applyFont="false" applyNumberFormat="true" borderId="4682" fillId="0" fontId="1" numFmtId="1000" quotePrefix="false">
      <alignment horizontal="center" vertical="top"/>
    </xf>
    <xf applyAlignment="true" applyBorder="true" applyFill="false" applyFont="false" applyNumberFormat="true" borderId="4683" fillId="0" fontId="1" numFmtId="1000" quotePrefix="false">
      <alignment horizontal="center" vertical="top"/>
    </xf>
    <xf applyAlignment="true" applyBorder="true" applyFill="false" applyFont="true" applyNumberFormat="true" borderId="4684" fillId="0" fontId="13" numFmtId="1000" quotePrefix="false">
      <alignment horizontal="center" textRotation="90" vertical="top"/>
    </xf>
    <xf applyAlignment="true" applyBorder="true" applyFill="false" applyFont="false" applyNumberFormat="true" borderId="4685" fillId="0" fontId="1" numFmtId="1000" quotePrefix="false">
      <alignment horizontal="center" vertical="top"/>
    </xf>
    <xf applyAlignment="true" applyBorder="true" applyFill="false" applyFont="false" applyNumberFormat="true" borderId="4686" fillId="0" fontId="1" numFmtId="1000" quotePrefix="false">
      <alignment horizontal="center" vertical="top"/>
    </xf>
    <xf applyAlignment="true" applyBorder="true" applyFill="false" applyFont="true" applyNumberFormat="true" borderId="4687" fillId="0" fontId="13" numFmtId="1000" quotePrefix="false">
      <alignment horizontal="center" textRotation="90" vertical="top"/>
    </xf>
    <xf applyAlignment="true" applyBorder="true" applyFill="true" applyFont="true" applyNumberFormat="true" borderId="765" fillId="4" fontId="2" numFmtId="1000" quotePrefix="false">
      <alignment vertical="top"/>
    </xf>
    <xf applyAlignment="true" applyBorder="true" applyFill="false" applyFont="false" applyNumberFormat="true" borderId="4688" fillId="0" fontId="1" numFmtId="1000" quotePrefix="false">
      <alignment horizontal="center" vertical="top"/>
    </xf>
    <xf applyAlignment="true" applyBorder="true" applyFill="false" applyFont="false" applyNumberFormat="true" borderId="4689" fillId="0" fontId="1" numFmtId="1000" quotePrefix="false">
      <alignment horizontal="center" vertical="top"/>
    </xf>
    <xf applyAlignment="true" applyBorder="true" applyFill="false" applyFont="true" applyNumberFormat="true" borderId="4690" fillId="0" fontId="13" numFmtId="1000" quotePrefix="false">
      <alignment horizontal="center" textRotation="90" vertical="top"/>
    </xf>
    <xf applyAlignment="true" applyBorder="true" applyFill="false" applyFont="false" applyNumberFormat="true" borderId="4691" fillId="0" fontId="1" numFmtId="1000" quotePrefix="false">
      <alignment horizontal="center" vertical="top"/>
    </xf>
    <xf applyAlignment="true" applyBorder="true" applyFill="false" applyFont="false" applyNumberFormat="true" borderId="4692" fillId="0" fontId="1" numFmtId="1000" quotePrefix="false">
      <alignment horizontal="center" vertical="top"/>
    </xf>
    <xf applyAlignment="true" applyBorder="true" applyFill="false" applyFont="true" applyNumberFormat="true" borderId="4693" fillId="0" fontId="13" numFmtId="1000" quotePrefix="false">
      <alignment horizontal="center" textRotation="90" vertical="top"/>
    </xf>
    <xf applyAlignment="true" applyBorder="true" applyFill="false" applyFont="false" applyNumberFormat="true" borderId="4694" fillId="0" fontId="1" numFmtId="1000" quotePrefix="false">
      <alignment horizontal="center" vertical="top"/>
    </xf>
    <xf applyAlignment="true" applyBorder="true" applyFill="false" applyFont="false" applyNumberFormat="true" borderId="4695" fillId="0" fontId="1" numFmtId="1000" quotePrefix="false">
      <alignment horizontal="center" vertical="top"/>
    </xf>
    <xf applyAlignment="true" applyBorder="true" applyFill="false" applyFont="true" applyNumberFormat="true" borderId="4696" fillId="0" fontId="13" numFmtId="1000" quotePrefix="false">
      <alignment horizontal="center" textRotation="90" vertical="top"/>
    </xf>
    <xf applyAlignment="true" applyBorder="true" applyFill="false" applyFont="false" applyNumberFormat="true" borderId="4697" fillId="0" fontId="1" numFmtId="1000" quotePrefix="false">
      <alignment horizontal="center" vertical="top"/>
    </xf>
    <xf applyAlignment="true" applyBorder="true" applyFill="false" applyFont="false" applyNumberFormat="true" borderId="4698" fillId="0" fontId="1" numFmtId="1000" quotePrefix="false">
      <alignment horizontal="center" vertical="top"/>
    </xf>
    <xf applyAlignment="true" applyBorder="true" applyFill="false" applyFont="true" applyNumberFormat="true" borderId="4699" fillId="0" fontId="13" numFmtId="1000" quotePrefix="false">
      <alignment horizontal="center" textRotation="90" vertical="top"/>
    </xf>
    <xf applyAlignment="true" applyBorder="true" applyFill="false" applyFont="false" applyNumberFormat="true" borderId="4700" fillId="0" fontId="1" numFmtId="1000" quotePrefix="false">
      <alignment horizontal="center" vertical="top"/>
    </xf>
    <xf applyAlignment="true" applyBorder="true" applyFill="false" applyFont="false" applyNumberFormat="true" borderId="4701" fillId="0" fontId="1" numFmtId="1000" quotePrefix="false">
      <alignment horizontal="center" vertical="top"/>
    </xf>
    <xf applyAlignment="true" applyBorder="true" applyFill="false" applyFont="true" applyNumberFormat="true" borderId="4702" fillId="0" fontId="13" numFmtId="1000" quotePrefix="false">
      <alignment horizontal="center" textRotation="90" vertical="top"/>
    </xf>
    <xf applyAlignment="true" applyBorder="true" applyFill="false" applyFont="false" applyNumberFormat="true" borderId="4703" fillId="0" fontId="1" numFmtId="1000" quotePrefix="false">
      <alignment horizontal="center" vertical="top"/>
    </xf>
    <xf applyAlignment="true" applyBorder="true" applyFill="false" applyFont="false" applyNumberFormat="true" borderId="4704" fillId="0" fontId="1" numFmtId="1000" quotePrefix="false">
      <alignment horizontal="center" vertical="top"/>
    </xf>
    <xf applyAlignment="true" applyBorder="true" applyFill="false" applyFont="true" applyNumberFormat="true" borderId="4705" fillId="0" fontId="13" numFmtId="1000" quotePrefix="false">
      <alignment horizontal="center" textRotation="90" vertical="top"/>
    </xf>
    <xf applyAlignment="true" applyBorder="true" applyFill="false" applyFont="true" applyNumberFormat="true" borderId="4706" fillId="0" fontId="2" numFmtId="1000" quotePrefix="false">
      <alignment horizontal="center" vertical="top"/>
    </xf>
    <xf applyAlignment="true" applyBorder="true" applyFill="false" applyFont="false" applyNumberFormat="true" borderId="4707" fillId="0" fontId="1" numFmtId="1000" quotePrefix="false">
      <alignment horizontal="left" vertical="top"/>
    </xf>
    <xf applyAlignment="true" applyBorder="true" applyFill="false" applyFont="false" applyNumberFormat="true" borderId="4708" fillId="0" fontId="1" numFmtId="1000" quotePrefix="false">
      <alignment horizontal="left" vertical="top"/>
    </xf>
    <xf applyAlignment="true" applyBorder="true" applyFill="false" applyFont="false" applyNumberFormat="true" borderId="4709" fillId="0" fontId="1" numFmtId="1000" quotePrefix="false">
      <alignment horizontal="left" vertical="top"/>
    </xf>
    <xf applyAlignment="true" applyBorder="true" applyFill="false" applyFont="false" applyNumberFormat="true" borderId="4710" fillId="0" fontId="1" numFmtId="1000" quotePrefix="false">
      <alignment horizontal="left" vertical="top"/>
    </xf>
    <xf applyAlignment="true" applyBorder="true" applyFill="false" applyFont="false" applyNumberFormat="true" borderId="4711" fillId="0" fontId="1" numFmtId="1000" quotePrefix="false">
      <alignment horizontal="left" vertical="top"/>
    </xf>
    <xf applyAlignment="true" applyBorder="true" applyFill="false" applyFont="false" applyNumberFormat="true" borderId="4712" fillId="0" fontId="1" numFmtId="1000" quotePrefix="false">
      <alignment horizontal="left" vertical="top"/>
    </xf>
    <xf applyAlignment="true" applyBorder="true" applyFill="false" applyFont="false" applyNumberFormat="true" borderId="4713" fillId="0" fontId="1" numFmtId="1000" quotePrefix="false">
      <alignment horizontal="left" vertical="top"/>
    </xf>
    <xf applyAlignment="true" applyBorder="true" applyFill="false" applyFont="false" applyNumberFormat="true" borderId="4714" fillId="0" fontId="1" numFmtId="1000" quotePrefix="false">
      <alignment horizontal="left" vertical="top"/>
    </xf>
    <xf applyAlignment="true" applyBorder="true" applyFill="false" applyFont="false" applyNumberFormat="true" borderId="4715" fillId="0" fontId="1" numFmtId="1000" quotePrefix="false">
      <alignment horizontal="left" vertical="top"/>
    </xf>
    <xf applyAlignment="true" applyBorder="true" applyFill="false" applyFont="false" applyNumberFormat="true" borderId="4716" fillId="0" fontId="1" numFmtId="1000" quotePrefix="false">
      <alignment horizontal="left" vertical="top"/>
    </xf>
    <xf applyAlignment="true" applyBorder="true" applyFill="false" applyFont="false" applyNumberFormat="true" borderId="4717" fillId="0" fontId="1" numFmtId="1000" quotePrefix="false">
      <alignment horizontal="left" vertical="top"/>
    </xf>
    <xf applyAlignment="true" applyBorder="true" applyFill="false" applyFont="false" applyNumberFormat="true" borderId="4718" fillId="0" fontId="1" numFmtId="1000" quotePrefix="false">
      <alignment horizontal="left" vertical="top"/>
    </xf>
    <xf applyAlignment="true" applyBorder="true" applyFill="false" applyFont="false" applyNumberFormat="true" borderId="4719" fillId="0" fontId="1" numFmtId="1000" quotePrefix="false">
      <alignment horizontal="left" vertical="top"/>
    </xf>
    <xf applyAlignment="true" applyBorder="true" applyFill="false" applyFont="false" applyNumberFormat="true" borderId="4720" fillId="0" fontId="1" numFmtId="1000" quotePrefix="false">
      <alignment horizontal="left" vertical="top"/>
    </xf>
    <xf applyAlignment="true" applyBorder="true" applyFill="false" applyFont="false" applyNumberFormat="true" borderId="4721" fillId="0" fontId="1" numFmtId="1000" quotePrefix="false">
      <alignment horizontal="left" vertical="top"/>
    </xf>
    <xf applyAlignment="true" applyBorder="true" applyFill="false" applyFont="false" applyNumberFormat="true" borderId="4722" fillId="0" fontId="1" numFmtId="1000" quotePrefix="false">
      <alignment horizontal="left" vertical="top"/>
    </xf>
    <xf applyAlignment="true" applyBorder="true" applyFill="false" applyFont="false" applyNumberFormat="true" borderId="4723" fillId="0" fontId="1" numFmtId="1000" quotePrefix="false">
      <alignment horizontal="left" vertical="top"/>
    </xf>
    <xf applyAlignment="true" applyBorder="true" applyFill="false" applyFont="false" applyNumberFormat="true" borderId="4724" fillId="0" fontId="1" numFmtId="1000" quotePrefix="false">
      <alignment horizontal="left" vertical="top"/>
    </xf>
    <xf applyAlignment="true" applyBorder="true" applyFill="false" applyFont="false" applyNumberFormat="true" borderId="4725" fillId="0" fontId="1" numFmtId="1000" quotePrefix="false">
      <alignment horizontal="left" vertical="top"/>
    </xf>
    <xf applyAlignment="true" applyBorder="true" applyFill="false" applyFont="true" applyNumberFormat="true" borderId="4726" fillId="0" fontId="13" numFmtId="1000" quotePrefix="false">
      <alignment horizontal="center" textRotation="90" vertical="top"/>
    </xf>
    <xf applyAlignment="true" applyBorder="true" applyFill="false" applyFont="true" applyNumberFormat="true" borderId="4727" fillId="0" fontId="2" numFmtId="1000" quotePrefix="false">
      <alignment horizontal="center"/>
    </xf>
    <xf applyAlignment="true" applyBorder="true" applyFill="false" applyFont="true" applyNumberFormat="true" borderId="4728" fillId="0" fontId="2" numFmtId="1000" quotePrefix="false">
      <alignment horizontal="center"/>
    </xf>
    <xf applyAlignment="true" applyBorder="true" applyFill="false" applyFont="true" applyNumberFormat="true" borderId="4729" fillId="0" fontId="2" numFmtId="1000" quotePrefix="false">
      <alignment horizontal="center"/>
    </xf>
    <xf applyAlignment="true" applyBorder="true" applyFill="false" applyFont="false" applyNumberFormat="true" borderId="4730" fillId="0" fontId="1" numFmtId="1000" quotePrefix="false">
      <alignment horizontal="center" vertical="top"/>
    </xf>
    <xf applyAlignment="true" applyBorder="true" applyFill="false" applyFont="false" applyNumberFormat="true" borderId="4731" fillId="0" fontId="1" numFmtId="1000" quotePrefix="false">
      <alignment horizontal="center" vertical="top"/>
    </xf>
    <xf applyAlignment="true" applyBorder="true" applyFill="false" applyFont="false" applyNumberFormat="true" borderId="4732" fillId="0" fontId="1" numFmtId="1000" quotePrefix="false">
      <alignment horizontal="center" vertical="top"/>
    </xf>
    <xf applyAlignment="true" applyBorder="true" applyFill="false" applyFont="false" applyNumberFormat="true" borderId="4733" fillId="0" fontId="1" numFmtId="1000" quotePrefix="false">
      <alignment horizontal="center" vertical="top"/>
    </xf>
    <xf applyAlignment="true" applyBorder="true" applyFill="false" applyFont="false" applyNumberFormat="true" borderId="4734" fillId="0" fontId="1" numFmtId="1000" quotePrefix="false">
      <alignment horizontal="center" vertical="top"/>
    </xf>
    <xf applyAlignment="true" applyBorder="true" applyFill="false" applyFont="false" applyNumberFormat="true" borderId="4735" fillId="0" fontId="1" numFmtId="1000" quotePrefix="false">
      <alignment horizontal="center" vertical="top"/>
    </xf>
    <xf applyAlignment="true" applyBorder="true" applyFill="false" applyFont="false" applyNumberFormat="true" borderId="4736" fillId="0" fontId="1" numFmtId="1000" quotePrefix="false">
      <alignment horizontal="center" vertical="top"/>
    </xf>
    <xf applyAlignment="true" applyBorder="true" applyFill="false" applyFont="false" applyNumberFormat="true" borderId="4737" fillId="0" fontId="1" numFmtId="1000" quotePrefix="false">
      <alignment horizontal="center" vertical="top"/>
    </xf>
    <xf applyAlignment="true" applyBorder="true" applyFill="false" applyFont="false" applyNumberFormat="true" borderId="4738" fillId="0" fontId="1" numFmtId="1000" quotePrefix="false">
      <alignment horizontal="center" vertical="top"/>
    </xf>
    <xf applyAlignment="true" applyBorder="true" applyFill="false" applyFont="false" applyNumberFormat="true" borderId="4739" fillId="0" fontId="1" numFmtId="1000" quotePrefix="false">
      <alignment horizontal="center" vertical="top"/>
    </xf>
    <xf applyAlignment="true" applyBorder="true" applyFill="false" applyFont="false" applyNumberFormat="true" borderId="4740" fillId="0" fontId="1" numFmtId="1000" quotePrefix="false">
      <alignment horizontal="center" vertical="top"/>
    </xf>
    <xf applyAlignment="true" applyBorder="true" applyFill="false" applyFont="false" applyNumberFormat="true" borderId="4741" fillId="0" fontId="1" numFmtId="1000" quotePrefix="false">
      <alignment horizontal="center" vertical="top"/>
    </xf>
    <xf applyAlignment="true" applyBorder="true" applyFill="false" applyFont="false" applyNumberFormat="true" borderId="4742" fillId="0" fontId="1" numFmtId="1000" quotePrefix="false">
      <alignment horizontal="center" vertical="top"/>
    </xf>
    <xf applyAlignment="true" applyBorder="true" applyFill="false" applyFont="false" applyNumberFormat="true" borderId="4743" fillId="0" fontId="1" numFmtId="1000" quotePrefix="false">
      <alignment horizontal="center" vertical="top"/>
    </xf>
    <xf applyAlignment="true" applyBorder="true" applyFill="false" applyFont="false" applyNumberFormat="true" borderId="4744" fillId="0" fontId="1" numFmtId="1000" quotePrefix="false">
      <alignment horizontal="center" vertical="top"/>
    </xf>
    <xf applyAlignment="true" applyBorder="true" applyFill="false" applyFont="false" applyNumberFormat="true" borderId="4745" fillId="0" fontId="1" numFmtId="1000" quotePrefix="false">
      <alignment horizontal="center" vertical="top"/>
    </xf>
    <xf applyAlignment="true" applyBorder="true" applyFill="false" applyFont="true" applyNumberFormat="true" borderId="4746" fillId="0" fontId="13" numFmtId="1000" quotePrefix="false">
      <alignment horizontal="center" textRotation="90" vertical="top"/>
    </xf>
    <xf applyAlignment="true" applyBorder="true" applyFill="false" applyFont="false" applyNumberFormat="true" borderId="4747" fillId="0" fontId="1" numFmtId="1000" quotePrefix="false">
      <alignment horizontal="center" vertical="top"/>
    </xf>
    <xf applyAlignment="true" applyBorder="true" applyFill="false" applyFont="false" applyNumberFormat="true" borderId="4748" fillId="0" fontId="1" numFmtId="1000" quotePrefix="false">
      <alignment horizontal="center" vertical="top"/>
    </xf>
    <xf applyAlignment="true" applyBorder="true" applyFill="false" applyFont="false" applyNumberFormat="true" borderId="4749" fillId="0" fontId="1" numFmtId="1000" quotePrefix="false">
      <alignment horizontal="center" vertical="top"/>
    </xf>
    <xf applyAlignment="true" applyBorder="true" applyFill="false" applyFont="false" applyNumberFormat="true" borderId="4750" fillId="0" fontId="1" numFmtId="1000" quotePrefix="false">
      <alignment horizontal="center" vertical="top"/>
    </xf>
    <xf applyAlignment="true" applyBorder="true" applyFill="false" applyFont="false" applyNumberFormat="true" borderId="4751" fillId="0" fontId="1" numFmtId="1000" quotePrefix="false">
      <alignment horizontal="center" vertical="top"/>
    </xf>
    <xf applyAlignment="true" applyBorder="true" applyFill="false" applyFont="false" applyNumberFormat="true" borderId="4752" fillId="0" fontId="1" numFmtId="1000" quotePrefix="false">
      <alignment horizontal="center" vertical="top"/>
    </xf>
    <xf applyAlignment="true" applyBorder="true" applyFill="false" applyFont="false" applyNumberFormat="true" borderId="4753" fillId="0" fontId="1" numFmtId="1000" quotePrefix="false">
      <alignment horizontal="center" vertical="top"/>
    </xf>
    <xf applyAlignment="true" applyBorder="true" applyFill="false" applyFont="true" applyNumberFormat="true" borderId="4754" fillId="0" fontId="13" numFmtId="1000" quotePrefix="false">
      <alignment horizontal="center" textRotation="90" vertical="top"/>
    </xf>
    <xf applyAlignment="true" applyBorder="true" applyFill="false" applyFont="false" applyNumberFormat="true" borderId="4755" fillId="0" fontId="1" numFmtId="1000" quotePrefix="false">
      <alignment horizontal="center" vertical="top"/>
    </xf>
    <xf applyAlignment="true" applyBorder="true" applyFill="false" applyFont="false" applyNumberFormat="true" borderId="4756" fillId="0" fontId="1" numFmtId="1000" quotePrefix="false">
      <alignment horizontal="center" vertical="top"/>
    </xf>
    <xf applyAlignment="true" applyBorder="true" applyFill="false" applyFont="false" applyNumberFormat="true" borderId="4757" fillId="0" fontId="1" numFmtId="1000" quotePrefix="false">
      <alignment horizontal="center" vertical="top"/>
    </xf>
    <xf applyAlignment="true" applyBorder="true" applyFill="false" applyFont="false" applyNumberFormat="true" borderId="4758" fillId="0" fontId="1" numFmtId="1000" quotePrefix="false">
      <alignment horizontal="center" vertical="top"/>
    </xf>
    <xf applyAlignment="true" applyBorder="true" applyFill="false" applyFont="false" applyNumberFormat="true" borderId="4759" fillId="0" fontId="1" numFmtId="1000" quotePrefix="false">
      <alignment horizontal="center" vertical="top"/>
    </xf>
    <xf applyAlignment="true" applyBorder="true" applyFill="false" applyFont="false" applyNumberFormat="true" borderId="4760" fillId="0" fontId="1" numFmtId="1000" quotePrefix="false">
      <alignment horizontal="center" vertical="top"/>
    </xf>
    <xf applyAlignment="true" applyBorder="true" applyFill="false" applyFont="true" applyNumberFormat="true" borderId="4761" fillId="0" fontId="13" numFmtId="1000" quotePrefix="false">
      <alignment horizontal="center" textRotation="90" vertical="top"/>
    </xf>
    <xf applyAlignment="true" applyBorder="true" applyFill="false" applyFont="false" applyNumberFormat="true" borderId="4762" fillId="0" fontId="1" numFmtId="1000" quotePrefix="false">
      <alignment horizontal="center" vertical="top"/>
    </xf>
    <xf applyAlignment="true" applyBorder="true" applyFill="false" applyFont="false" applyNumberFormat="true" borderId="4763" fillId="0" fontId="1" numFmtId="1000" quotePrefix="false">
      <alignment horizontal="center" vertical="top"/>
    </xf>
    <xf applyAlignment="true" applyBorder="true" applyFill="false" applyFont="false" applyNumberFormat="true" borderId="4764" fillId="0" fontId="1" numFmtId="1000" quotePrefix="false">
      <alignment horizontal="center" vertical="top"/>
    </xf>
    <xf applyAlignment="true" applyBorder="true" applyFill="false" applyFont="false" applyNumberFormat="true" borderId="4765" fillId="0" fontId="1" numFmtId="1000" quotePrefix="false">
      <alignment horizontal="center" vertical="top"/>
    </xf>
    <xf applyAlignment="true" applyBorder="true" applyFill="true" applyFont="true" applyNumberFormat="true" borderId="4766" fillId="4" fontId="2" numFmtId="1000" quotePrefix="false">
      <alignment horizontal="left" vertical="top" wrapText="true"/>
    </xf>
    <xf applyAlignment="true" applyBorder="true" applyFill="false" applyFont="false" applyNumberFormat="true" borderId="4767" fillId="0" fontId="1" numFmtId="1000" quotePrefix="false">
      <alignment horizontal="center" vertical="top"/>
    </xf>
    <xf applyAlignment="true" applyBorder="true" applyFill="false" applyFont="false" applyNumberFormat="true" borderId="4768" fillId="0" fontId="1" numFmtId="1000" quotePrefix="false">
      <alignment horizontal="center" vertical="top"/>
    </xf>
    <xf applyAlignment="true" applyBorder="true" applyFill="false" applyFont="true" applyNumberFormat="true" borderId="4769" fillId="0" fontId="13" numFmtId="1000" quotePrefix="false">
      <alignment horizontal="center" textRotation="90" vertical="top"/>
    </xf>
    <xf applyAlignment="true" applyBorder="true" applyFill="false" applyFont="false" applyNumberFormat="true" borderId="4770" fillId="0" fontId="1" numFmtId="1000" quotePrefix="false">
      <alignment horizontal="center" vertical="top"/>
    </xf>
    <xf applyAlignment="true" applyBorder="true" applyFill="false" applyFont="false" applyNumberFormat="true" borderId="4771" fillId="0" fontId="1" numFmtId="1000" quotePrefix="false">
      <alignment horizontal="center" vertical="top"/>
    </xf>
    <xf applyAlignment="true" applyBorder="true" applyFill="false" applyFont="false" applyNumberFormat="true" borderId="4772" fillId="0" fontId="1" numFmtId="1000" quotePrefix="false">
      <alignment horizontal="center" vertical="top"/>
    </xf>
    <xf applyAlignment="true" applyBorder="true" applyFill="false" applyFont="false" applyNumberFormat="true" borderId="4773" fillId="0" fontId="1" numFmtId="1000" quotePrefix="false">
      <alignment horizontal="center" vertical="top"/>
    </xf>
    <xf applyAlignment="true" applyBorder="true" applyFill="true" applyFont="true" applyNumberFormat="true" borderId="4774" fillId="4" fontId="2" numFmtId="1000" quotePrefix="false">
      <alignment horizontal="left" vertical="top" wrapText="true"/>
    </xf>
    <xf applyAlignment="true" applyBorder="true" applyFill="false" applyFont="false" applyNumberFormat="true" borderId="4775" fillId="0" fontId="1" numFmtId="1000" quotePrefix="false">
      <alignment horizontal="center" vertical="top"/>
    </xf>
    <xf applyAlignment="true" applyBorder="true" applyFill="false" applyFont="false" applyNumberFormat="true" borderId="4776" fillId="0" fontId="1" numFmtId="1000" quotePrefix="false">
      <alignment horizontal="center" vertical="top"/>
    </xf>
    <xf applyAlignment="true" applyBorder="true" applyFill="false" applyFont="true" applyNumberFormat="true" borderId="4777" fillId="0" fontId="13" numFmtId="1000" quotePrefix="false">
      <alignment horizontal="center" textRotation="90" vertical="top"/>
    </xf>
    <xf applyAlignment="true" applyBorder="true" applyFill="false" applyFont="false" applyNumberFormat="true" borderId="4778" fillId="0" fontId="1" numFmtId="1000" quotePrefix="false">
      <alignment horizontal="center" vertical="top"/>
    </xf>
    <xf applyAlignment="true" applyBorder="true" applyFill="false" applyFont="false" applyNumberFormat="true" borderId="4779" fillId="0" fontId="1" numFmtId="1000" quotePrefix="false">
      <alignment horizontal="center" vertical="top"/>
    </xf>
    <xf applyAlignment="true" applyBorder="true" applyFill="false" applyFont="false" applyNumberFormat="true" borderId="4780" fillId="0" fontId="1" numFmtId="1000" quotePrefix="false">
      <alignment horizontal="center" vertical="top"/>
    </xf>
    <xf applyAlignment="true" applyBorder="true" applyFill="false" applyFont="false" applyNumberFormat="true" borderId="4781" fillId="0" fontId="1" numFmtId="1000" quotePrefix="false">
      <alignment horizontal="center" vertical="top"/>
    </xf>
    <xf applyAlignment="true" applyBorder="true" applyFill="false" applyFont="false" applyNumberFormat="true" borderId="4782" fillId="0" fontId="1" numFmtId="1000" quotePrefix="false">
      <alignment horizontal="center" vertical="top"/>
    </xf>
    <xf applyAlignment="true" applyBorder="true" applyFill="false" applyFont="false" applyNumberFormat="true" borderId="4783" fillId="0" fontId="1" numFmtId="1000" quotePrefix="false">
      <alignment horizontal="center" vertical="top"/>
    </xf>
    <xf applyAlignment="true" applyBorder="true" applyFill="false" applyFont="true" applyNumberFormat="true" borderId="4784" fillId="0" fontId="13" numFmtId="1000" quotePrefix="false">
      <alignment horizontal="center" textRotation="90" vertical="top"/>
    </xf>
    <xf applyAlignment="true" applyBorder="true" applyFill="false" applyFont="false" applyNumberFormat="true" borderId="4785" fillId="0" fontId="1" numFmtId="1000" quotePrefix="false">
      <alignment horizontal="center" vertical="top"/>
    </xf>
    <xf applyAlignment="true" applyBorder="true" applyFill="false" applyFont="false" applyNumberFormat="true" borderId="4786" fillId="0" fontId="1" numFmtId="1000" quotePrefix="false">
      <alignment horizontal="center" vertical="top"/>
    </xf>
    <xf applyAlignment="true" applyBorder="true" applyFill="false" applyFont="false" applyNumberFormat="true" borderId="4787" fillId="0" fontId="1" numFmtId="1000" quotePrefix="false">
      <alignment horizontal="center" vertical="top"/>
    </xf>
    <xf applyAlignment="true" applyBorder="true" applyFill="false" applyFont="false" applyNumberFormat="true" borderId="4788" fillId="0" fontId="1" numFmtId="1000" quotePrefix="false">
      <alignment horizontal="center" vertical="top"/>
    </xf>
    <xf applyAlignment="true" applyBorder="true" applyFill="false" applyFont="false" applyNumberFormat="true" borderId="4789" fillId="0" fontId="1" numFmtId="1000" quotePrefix="false">
      <alignment horizontal="center" vertical="top"/>
    </xf>
    <xf applyAlignment="true" applyBorder="true" applyFill="false" applyFont="false" applyNumberFormat="true" borderId="4790" fillId="0" fontId="1" numFmtId="1000" quotePrefix="false">
      <alignment horizontal="center" vertical="top"/>
    </xf>
    <xf applyAlignment="true" applyBorder="true" applyFill="false" applyFont="true" applyNumberFormat="true" borderId="4791" fillId="0" fontId="13" numFmtId="1000" quotePrefix="false">
      <alignment horizontal="center" textRotation="90" vertical="top"/>
    </xf>
    <xf applyAlignment="true" applyBorder="true" applyFill="false" applyFont="false" applyNumberFormat="true" borderId="4792" fillId="0" fontId="1" numFmtId="1000" quotePrefix="false">
      <alignment horizontal="center" vertical="top"/>
    </xf>
    <xf applyAlignment="true" applyBorder="true" applyFill="false" applyFont="false" applyNumberFormat="true" borderId="4793" fillId="0" fontId="1" numFmtId="1000" quotePrefix="false">
      <alignment horizontal="center" vertical="top"/>
    </xf>
    <xf applyAlignment="true" applyBorder="true" applyFill="false" applyFont="false" applyNumberFormat="true" borderId="4794" fillId="0" fontId="1" numFmtId="1000" quotePrefix="false">
      <alignment horizontal="center" vertical="top"/>
    </xf>
    <xf applyAlignment="true" applyBorder="true" applyFill="false" applyFont="false" applyNumberFormat="true" borderId="4795" fillId="0" fontId="1" numFmtId="1000" quotePrefix="false">
      <alignment horizontal="center" vertical="top"/>
    </xf>
    <xf applyAlignment="true" applyBorder="true" applyFill="false" applyFont="false" applyNumberFormat="true" borderId="4796" fillId="0" fontId="1" numFmtId="1000" quotePrefix="false">
      <alignment horizontal="center" vertical="top"/>
    </xf>
    <xf applyAlignment="true" applyBorder="true" applyFill="false" applyFont="false" applyNumberFormat="true" borderId="4797" fillId="0" fontId="1" numFmtId="1000" quotePrefix="false">
      <alignment horizontal="center" vertical="top"/>
    </xf>
    <xf applyAlignment="true" applyBorder="true" applyFill="false" applyFont="true" applyNumberFormat="true" borderId="4798" fillId="0" fontId="13" numFmtId="1000" quotePrefix="false">
      <alignment horizontal="center" textRotation="90" vertical="top"/>
    </xf>
    <xf applyAlignment="true" applyBorder="true" applyFill="false" applyFont="false" applyNumberFormat="true" borderId="4799" fillId="0" fontId="1" numFmtId="1000" quotePrefix="false">
      <alignment horizontal="center" vertical="top"/>
    </xf>
    <xf applyAlignment="true" applyBorder="true" applyFill="false" applyFont="false" applyNumberFormat="true" borderId="4800" fillId="0" fontId="1" numFmtId="1000" quotePrefix="false">
      <alignment horizontal="center" vertical="top"/>
    </xf>
    <xf applyAlignment="true" applyBorder="true" applyFill="false" applyFont="false" applyNumberFormat="true" borderId="4801" fillId="0" fontId="1" numFmtId="1000" quotePrefix="false">
      <alignment horizontal="center" vertical="top"/>
    </xf>
    <xf applyAlignment="true" applyBorder="true" applyFill="false" applyFont="false" applyNumberFormat="true" borderId="4802" fillId="0" fontId="1" numFmtId="1000" quotePrefix="false">
      <alignment horizontal="center" vertical="top"/>
    </xf>
    <xf applyAlignment="true" applyBorder="true" applyFill="false" applyFont="false" applyNumberFormat="true" borderId="4803" fillId="0" fontId="1" numFmtId="1000" quotePrefix="false">
      <alignment horizontal="center" vertical="top"/>
    </xf>
    <xf applyAlignment="true" applyBorder="true" applyFill="false" applyFont="false" applyNumberFormat="true" borderId="4804" fillId="0" fontId="1" numFmtId="1000" quotePrefix="false">
      <alignment horizontal="center" vertical="top"/>
    </xf>
    <xf applyAlignment="true" applyBorder="true" applyFill="false" applyFont="true" applyNumberFormat="true" borderId="4805" fillId="0" fontId="13" numFmtId="1000" quotePrefix="false">
      <alignment horizontal="center" textRotation="90" vertical="top"/>
    </xf>
    <xf applyAlignment="true" applyBorder="true" applyFill="false" applyFont="false" applyNumberFormat="true" borderId="4806" fillId="0" fontId="1" numFmtId="1000" quotePrefix="false">
      <alignment horizontal="center" vertical="top"/>
    </xf>
    <xf applyAlignment="true" applyBorder="true" applyFill="false" applyFont="false" applyNumberFormat="true" borderId="4807" fillId="0" fontId="1" numFmtId="1000" quotePrefix="false">
      <alignment horizontal="center" vertical="top"/>
    </xf>
    <xf applyAlignment="true" applyBorder="true" applyFill="false" applyFont="false" applyNumberFormat="true" borderId="4808" fillId="0" fontId="1" numFmtId="1000" quotePrefix="false">
      <alignment horizontal="center" vertical="top"/>
    </xf>
    <xf applyAlignment="true" applyBorder="true" applyFill="false" applyFont="false" applyNumberFormat="true" borderId="4809" fillId="0" fontId="1" numFmtId="1000" quotePrefix="false">
      <alignment horizontal="center" vertical="top"/>
    </xf>
    <xf applyAlignment="true" applyBorder="true" applyFill="false" applyFont="false" applyNumberFormat="true" borderId="4810" fillId="0" fontId="1" numFmtId="1000" quotePrefix="false">
      <alignment horizontal="center" vertical="top"/>
    </xf>
    <xf applyAlignment="true" applyBorder="true" applyFill="false" applyFont="false" applyNumberFormat="true" borderId="4811" fillId="0" fontId="1" numFmtId="1000" quotePrefix="false">
      <alignment horizontal="center" vertical="top"/>
    </xf>
    <xf applyAlignment="true" applyBorder="true" applyFill="false" applyFont="false" applyNumberFormat="true" borderId="4812" fillId="0" fontId="1" numFmtId="1000" quotePrefix="false">
      <alignment horizontal="center" vertical="top"/>
    </xf>
    <xf applyAlignment="true" applyBorder="true" applyFill="false" applyFont="false" applyNumberFormat="true" borderId="4813" fillId="0" fontId="1" numFmtId="1000" quotePrefix="false">
      <alignment horizontal="center" vertical="top"/>
    </xf>
    <xf applyAlignment="true" applyBorder="true" applyFill="false" applyFont="false" applyNumberFormat="true" borderId="4814" fillId="0" fontId="1" numFmtId="1000" quotePrefix="false">
      <alignment horizontal="center" vertical="top"/>
    </xf>
    <xf applyAlignment="true" applyBorder="true" applyFill="false" applyFont="false" applyNumberFormat="true" borderId="4815" fillId="0" fontId="1" numFmtId="1000" quotePrefix="false">
      <alignment horizontal="center" vertical="top"/>
    </xf>
    <xf applyAlignment="true" applyBorder="true" applyFill="false" applyFont="true" applyNumberFormat="true" borderId="4816" fillId="0" fontId="13" numFmtId="1000" quotePrefix="false">
      <alignment horizontal="center" textRotation="90" vertical="top"/>
    </xf>
    <xf applyAlignment="true" applyBorder="true" applyFill="false" applyFont="true" applyNumberFormat="true" borderId="4817" fillId="0" fontId="2" numFmtId="1000" quotePrefix="false">
      <alignment horizontal="center" vertical="top"/>
    </xf>
    <xf applyAlignment="true" applyBorder="true" applyFill="false" applyFont="false" applyNumberFormat="true" borderId="4818" fillId="0" fontId="1" numFmtId="1000" quotePrefix="false">
      <alignment horizontal="left" vertical="top"/>
    </xf>
    <xf applyAlignment="true" applyBorder="true" applyFill="false" applyFont="false" applyNumberFormat="true" borderId="4819" fillId="0" fontId="1" numFmtId="1000" quotePrefix="false">
      <alignment horizontal="left" vertical="top"/>
    </xf>
    <xf applyAlignment="true" applyBorder="true" applyFill="false" applyFont="false" applyNumberFormat="true" borderId="4820" fillId="0" fontId="1" numFmtId="1000" quotePrefix="false">
      <alignment horizontal="left" vertical="top"/>
    </xf>
    <xf applyAlignment="true" applyBorder="true" applyFill="false" applyFont="false" applyNumberFormat="true" borderId="4821" fillId="0" fontId="1" numFmtId="1000" quotePrefix="false">
      <alignment horizontal="left" vertical="top"/>
    </xf>
    <xf applyAlignment="true" applyBorder="true" applyFill="false" applyFont="false" applyNumberFormat="true" borderId="4822" fillId="0" fontId="1" numFmtId="1000" quotePrefix="false">
      <alignment horizontal="left" vertical="top"/>
    </xf>
    <xf applyAlignment="true" applyBorder="true" applyFill="false" applyFont="false" applyNumberFormat="true" borderId="4823" fillId="0" fontId="1" numFmtId="1000" quotePrefix="false">
      <alignment horizontal="left" vertical="top"/>
    </xf>
    <xf applyAlignment="true" applyBorder="true" applyFill="false" applyFont="false" applyNumberFormat="true" borderId="4824" fillId="0" fontId="1" numFmtId="1000" quotePrefix="false">
      <alignment horizontal="left" vertical="top"/>
    </xf>
    <xf applyAlignment="true" applyBorder="true" applyFill="false" applyFont="false" applyNumberFormat="true" borderId="4825" fillId="0" fontId="1" numFmtId="1000" quotePrefix="false">
      <alignment horizontal="left" vertical="top"/>
    </xf>
    <xf applyAlignment="true" applyBorder="true" applyFill="false" applyFont="false" applyNumberFormat="true" borderId="4826" fillId="0" fontId="1" numFmtId="1000" quotePrefix="false">
      <alignment horizontal="left" vertical="top"/>
    </xf>
    <xf applyAlignment="true" applyBorder="true" applyFill="false" applyFont="false" applyNumberFormat="true" borderId="4827" fillId="0" fontId="1" numFmtId="1000" quotePrefix="false">
      <alignment horizontal="left" vertical="top"/>
    </xf>
    <xf applyAlignment="true" applyBorder="true" applyFill="false" applyFont="false" applyNumberFormat="true" borderId="4828" fillId="0" fontId="1" numFmtId="1000" quotePrefix="false">
      <alignment horizontal="left" vertical="top"/>
    </xf>
    <xf applyAlignment="true" applyBorder="true" applyFill="false" applyFont="false" applyNumberFormat="true" borderId="4829" fillId="0" fontId="1" numFmtId="1000" quotePrefix="false">
      <alignment horizontal="left" vertical="top"/>
    </xf>
    <xf applyAlignment="true" applyBorder="true" applyFill="false" applyFont="false" applyNumberFormat="true" borderId="4830" fillId="0" fontId="1" numFmtId="1000" quotePrefix="false">
      <alignment horizontal="left" vertical="top"/>
    </xf>
    <xf applyAlignment="true" applyBorder="true" applyFill="false" applyFont="false" applyNumberFormat="true" borderId="4831" fillId="0" fontId="1" numFmtId="1000" quotePrefix="false">
      <alignment horizontal="left" vertical="top"/>
    </xf>
    <xf applyAlignment="true" applyBorder="true" applyFill="false" applyFont="false" applyNumberFormat="true" borderId="4832" fillId="0" fontId="1" numFmtId="1000" quotePrefix="false">
      <alignment horizontal="left" vertical="top"/>
    </xf>
    <xf applyAlignment="true" applyBorder="true" applyFill="false" applyFont="false" applyNumberFormat="true" borderId="4833" fillId="0" fontId="1" numFmtId="1000" quotePrefix="false">
      <alignment horizontal="left" vertical="top"/>
    </xf>
    <xf applyAlignment="true" applyBorder="true" applyFill="false" applyFont="false" applyNumberFormat="true" borderId="4834" fillId="0" fontId="1" numFmtId="1000" quotePrefix="false">
      <alignment horizontal="left" vertical="top"/>
    </xf>
    <xf applyAlignment="true" applyBorder="true" applyFill="false" applyFont="false" applyNumberFormat="true" borderId="4835" fillId="0" fontId="1" numFmtId="1000" quotePrefix="false">
      <alignment horizontal="left" vertical="top"/>
    </xf>
    <xf applyAlignment="true" applyBorder="true" applyFill="false" applyFont="false" applyNumberFormat="true" borderId="4836" fillId="0" fontId="1" numFmtId="1000" quotePrefix="false">
      <alignment horizontal="left" vertical="top"/>
    </xf>
    <xf applyAlignment="true" applyBorder="true" applyFill="false" applyFont="true" applyNumberFormat="true" borderId="4837" fillId="0" fontId="13" numFmtId="1000" quotePrefix="false">
      <alignment horizontal="center" textRotation="90" vertical="top"/>
    </xf>
    <xf applyAlignment="true" applyBorder="true" applyFill="false" applyFont="true" applyNumberFormat="true" borderId="4838" fillId="0" fontId="2" numFmtId="1000" quotePrefix="false">
      <alignment horizontal="center"/>
    </xf>
    <xf applyAlignment="true" applyBorder="true" applyFill="false" applyFont="true" applyNumberFormat="true" borderId="4839" fillId="0" fontId="2" numFmtId="1000" quotePrefix="false">
      <alignment horizontal="center"/>
    </xf>
    <xf applyAlignment="true" applyBorder="true" applyFill="false" applyFont="true" applyNumberFormat="true" borderId="4840" fillId="0" fontId="2" numFmtId="1000" quotePrefix="false">
      <alignment horizontal="center"/>
    </xf>
    <xf applyAlignment="true" applyBorder="true" applyFill="false" applyFont="false" applyNumberFormat="true" borderId="4841" fillId="0" fontId="1" numFmtId="1000" quotePrefix="false">
      <alignment horizontal="center" vertical="top"/>
    </xf>
    <xf applyAlignment="true" applyBorder="true" applyFill="false" applyFont="false" applyNumberFormat="true" borderId="4842" fillId="0" fontId="1" numFmtId="1000" quotePrefix="false">
      <alignment horizontal="center" vertical="top"/>
    </xf>
    <xf applyAlignment="true" applyBorder="true" applyFill="false" applyFont="false" applyNumberFormat="true" borderId="4843" fillId="0" fontId="1" numFmtId="1000" quotePrefix="false">
      <alignment horizontal="center" vertical="top"/>
    </xf>
    <xf applyAlignment="true" applyBorder="true" applyFill="false" applyFont="false" applyNumberFormat="true" borderId="4844" fillId="0" fontId="1" numFmtId="1000" quotePrefix="false">
      <alignment horizontal="center" vertical="top"/>
    </xf>
    <xf applyAlignment="true" applyBorder="true" applyFill="false" applyFont="false" applyNumberFormat="true" borderId="4845" fillId="0" fontId="1" numFmtId="1000" quotePrefix="false">
      <alignment horizontal="center" vertical="top"/>
    </xf>
    <xf applyAlignment="true" applyBorder="true" applyFill="false" applyFont="false" applyNumberFormat="true" borderId="4846" fillId="0" fontId="1" numFmtId="1000" quotePrefix="false">
      <alignment horizontal="center" vertical="top"/>
    </xf>
    <xf applyAlignment="true" applyBorder="true" applyFill="false" applyFont="false" applyNumberFormat="true" borderId="4847" fillId="0" fontId="1" numFmtId="1000" quotePrefix="false">
      <alignment horizontal="center" vertical="top"/>
    </xf>
    <xf applyAlignment="true" applyBorder="true" applyFill="false" applyFont="false" applyNumberFormat="true" borderId="4848" fillId="0" fontId="1" numFmtId="1000" quotePrefix="false">
      <alignment horizontal="center" vertical="top"/>
    </xf>
    <xf applyAlignment="true" applyBorder="true" applyFill="false" applyFont="false" applyNumberFormat="true" borderId="4849" fillId="0" fontId="1" numFmtId="1000" quotePrefix="false">
      <alignment horizontal="center" vertical="top"/>
    </xf>
    <xf applyAlignment="true" applyBorder="true" applyFill="false" applyFont="false" applyNumberFormat="true" borderId="4850" fillId="0" fontId="1" numFmtId="1000" quotePrefix="false">
      <alignment horizontal="center" vertical="top"/>
    </xf>
    <xf applyAlignment="true" applyBorder="true" applyFill="false" applyFont="false" applyNumberFormat="true" borderId="4851" fillId="0" fontId="1" numFmtId="1000" quotePrefix="false">
      <alignment horizontal="center" vertical="top"/>
    </xf>
    <xf applyAlignment="true" applyBorder="true" applyFill="false" applyFont="false" applyNumberFormat="true" borderId="4852" fillId="0" fontId="1" numFmtId="1000" quotePrefix="false">
      <alignment horizontal="center" vertical="top"/>
    </xf>
    <xf applyAlignment="true" applyBorder="true" applyFill="false" applyFont="false" applyNumberFormat="true" borderId="4853" fillId="0" fontId="1" numFmtId="1000" quotePrefix="false">
      <alignment horizontal="center" vertical="top"/>
    </xf>
    <xf applyAlignment="true" applyBorder="true" applyFill="false" applyFont="false" applyNumberFormat="true" borderId="4854" fillId="0" fontId="1" numFmtId="1000" quotePrefix="false">
      <alignment horizontal="center" vertical="top"/>
    </xf>
    <xf applyAlignment="true" applyBorder="true" applyFill="false" applyFont="false" applyNumberFormat="true" borderId="4855" fillId="0" fontId="1" numFmtId="1000" quotePrefix="false">
      <alignment horizontal="center" vertical="top"/>
    </xf>
    <xf applyAlignment="true" applyBorder="true" applyFill="false" applyFont="false" applyNumberFormat="true" borderId="4856" fillId="0" fontId="1" numFmtId="1000" quotePrefix="false">
      <alignment horizontal="center" vertical="top"/>
    </xf>
    <xf applyAlignment="true" applyBorder="true" applyFill="false" applyFont="true" applyNumberFormat="true" borderId="4857" fillId="0" fontId="13" numFmtId="1000" quotePrefix="false">
      <alignment horizontal="center" textRotation="90" vertical="top"/>
    </xf>
    <xf applyAlignment="true" applyBorder="true" applyFill="false" applyFont="false" applyNumberFormat="true" borderId="4858" fillId="0" fontId="1" numFmtId="1000" quotePrefix="false">
      <alignment horizontal="center" vertical="top"/>
    </xf>
    <xf applyAlignment="true" applyBorder="true" applyFill="false" applyFont="false" applyNumberFormat="true" borderId="4859" fillId="0" fontId="1" numFmtId="1000" quotePrefix="false">
      <alignment horizontal="center" vertical="top"/>
    </xf>
    <xf applyAlignment="true" applyBorder="true" applyFill="false" applyFont="false" applyNumberFormat="true" borderId="4860" fillId="0" fontId="1" numFmtId="1000" quotePrefix="false">
      <alignment horizontal="center" vertical="top"/>
    </xf>
    <xf applyAlignment="true" applyBorder="true" applyFill="false" applyFont="false" applyNumberFormat="true" borderId="4861" fillId="0" fontId="1" numFmtId="1000" quotePrefix="false">
      <alignment horizontal="center" vertical="top"/>
    </xf>
    <xf applyAlignment="true" applyBorder="true" applyFill="false" applyFont="false" applyNumberFormat="true" borderId="4862" fillId="0" fontId="1" numFmtId="1000" quotePrefix="false">
      <alignment horizontal="center" vertical="top"/>
    </xf>
    <xf applyAlignment="true" applyBorder="true" applyFill="false" applyFont="false" applyNumberFormat="true" borderId="4863" fillId="0" fontId="1" numFmtId="1000" quotePrefix="false">
      <alignment horizontal="center" vertical="top"/>
    </xf>
    <xf applyAlignment="true" applyBorder="true" applyFill="false" applyFont="false" applyNumberFormat="true" borderId="4864" fillId="0" fontId="1" numFmtId="1000" quotePrefix="false">
      <alignment horizontal="center" vertical="top"/>
    </xf>
    <xf applyAlignment="true" applyBorder="true" applyFill="false" applyFont="true" applyNumberFormat="true" borderId="4865" fillId="0" fontId="13" numFmtId="1000" quotePrefix="false">
      <alignment horizontal="center" textRotation="90" vertical="top"/>
    </xf>
    <xf applyAlignment="true" applyBorder="true" applyFill="false" applyFont="false" applyNumberFormat="true" borderId="4866" fillId="0" fontId="1" numFmtId="1000" quotePrefix="false">
      <alignment horizontal="center" vertical="top"/>
    </xf>
    <xf applyAlignment="true" applyBorder="true" applyFill="false" applyFont="false" applyNumberFormat="true" borderId="4867" fillId="0" fontId="1" numFmtId="1000" quotePrefix="false">
      <alignment horizontal="center" vertical="top"/>
    </xf>
    <xf applyAlignment="true" applyBorder="true" applyFill="false" applyFont="false" applyNumberFormat="true" borderId="4868" fillId="0" fontId="1" numFmtId="1000" quotePrefix="false">
      <alignment horizontal="center" vertical="top"/>
    </xf>
    <xf applyAlignment="true" applyBorder="true" applyFill="false" applyFont="false" applyNumberFormat="true" borderId="4869" fillId="0" fontId="1" numFmtId="1000" quotePrefix="false">
      <alignment horizontal="center" vertical="top"/>
    </xf>
    <xf applyAlignment="true" applyBorder="true" applyFill="false" applyFont="false" applyNumberFormat="true" borderId="4870" fillId="0" fontId="1" numFmtId="1000" quotePrefix="false">
      <alignment horizontal="center" vertical="top"/>
    </xf>
    <xf applyAlignment="true" applyBorder="true" applyFill="false" applyFont="false" applyNumberFormat="true" borderId="4871" fillId="0" fontId="1" numFmtId="1000" quotePrefix="false">
      <alignment horizontal="center" vertical="top"/>
    </xf>
    <xf applyAlignment="true" applyBorder="true" applyFill="false" applyFont="true" applyNumberFormat="true" borderId="4872" fillId="0" fontId="13" numFmtId="1000" quotePrefix="false">
      <alignment horizontal="center" textRotation="90" vertical="top"/>
    </xf>
    <xf applyAlignment="true" applyBorder="true" applyFill="false" applyFont="false" applyNumberFormat="true" borderId="4873" fillId="0" fontId="1" numFmtId="1000" quotePrefix="false">
      <alignment horizontal="center" vertical="top"/>
    </xf>
    <xf applyAlignment="true" applyBorder="true" applyFill="false" applyFont="false" applyNumberFormat="true" borderId="4874" fillId="0" fontId="1" numFmtId="1000" quotePrefix="false">
      <alignment horizontal="center" vertical="top"/>
    </xf>
    <xf applyAlignment="true" applyBorder="true" applyFill="false" applyFont="false" applyNumberFormat="true" borderId="4875" fillId="0" fontId="1" numFmtId="1000" quotePrefix="false">
      <alignment horizontal="center" vertical="top"/>
    </xf>
    <xf applyAlignment="true" applyBorder="true" applyFill="false" applyFont="false" applyNumberFormat="true" borderId="4876" fillId="0" fontId="1" numFmtId="1000" quotePrefix="false">
      <alignment horizontal="center" vertical="top"/>
    </xf>
    <xf applyAlignment="true" applyBorder="true" applyFill="false" applyFont="false" applyNumberFormat="true" borderId="4877" fillId="0" fontId="1" numFmtId="1000" quotePrefix="false">
      <alignment horizontal="center" vertical="top"/>
    </xf>
    <xf applyAlignment="true" applyBorder="true" applyFill="false" applyFont="false" applyNumberFormat="true" borderId="4878" fillId="0" fontId="1" numFmtId="1000" quotePrefix="false">
      <alignment horizontal="center" vertical="top"/>
    </xf>
    <xf applyAlignment="true" applyBorder="true" applyFill="false" applyFont="true" applyNumberFormat="true" borderId="4879" fillId="0" fontId="13" numFmtId="1000" quotePrefix="false">
      <alignment horizontal="center" textRotation="90" vertical="top"/>
    </xf>
    <xf applyAlignment="true" applyBorder="true" applyFill="false" applyFont="false" applyNumberFormat="true" borderId="4880" fillId="0" fontId="1" numFmtId="1000" quotePrefix="false">
      <alignment horizontal="center" vertical="top"/>
    </xf>
    <xf applyAlignment="true" applyBorder="true" applyFill="false" applyFont="false" applyNumberFormat="true" borderId="4881" fillId="0" fontId="1" numFmtId="1000" quotePrefix="false">
      <alignment horizontal="center" vertical="top"/>
    </xf>
    <xf applyAlignment="true" applyBorder="true" applyFill="false" applyFont="false" applyNumberFormat="true" borderId="4882" fillId="0" fontId="1" numFmtId="1000" quotePrefix="false">
      <alignment horizontal="center" vertical="top"/>
    </xf>
    <xf applyAlignment="true" applyBorder="true" applyFill="false" applyFont="false" applyNumberFormat="true" borderId="4883" fillId="0" fontId="1" numFmtId="1000" quotePrefix="false">
      <alignment horizontal="center" vertical="top"/>
    </xf>
    <xf applyAlignment="true" applyBorder="true" applyFill="false" applyFont="false" applyNumberFormat="true" borderId="4884" fillId="0" fontId="1" numFmtId="1000" quotePrefix="false">
      <alignment horizontal="center" vertical="top"/>
    </xf>
    <xf applyAlignment="true" applyBorder="true" applyFill="false" applyFont="false" applyNumberFormat="true" borderId="4885" fillId="0" fontId="1" numFmtId="1000" quotePrefix="false">
      <alignment horizontal="center" vertical="top"/>
    </xf>
    <xf applyAlignment="true" applyBorder="true" applyFill="false" applyFont="true" applyNumberFormat="true" borderId="4886" fillId="0" fontId="13" numFmtId="1000" quotePrefix="false">
      <alignment horizontal="center" textRotation="90" vertical="top"/>
    </xf>
    <xf applyAlignment="true" applyBorder="true" applyFill="true" applyFont="true" applyNumberFormat="true" borderId="4887" fillId="4" fontId="2" numFmtId="1000" quotePrefix="false">
      <alignment horizontal="left" vertical="top" wrapText="true"/>
    </xf>
    <xf applyAlignment="true" applyBorder="true" applyFill="false" applyFont="false" applyNumberFormat="true" borderId="4888" fillId="0" fontId="1" numFmtId="1000" quotePrefix="false">
      <alignment horizontal="center" vertical="top"/>
    </xf>
    <xf applyAlignment="true" applyBorder="true" applyFill="false" applyFont="false" applyNumberFormat="true" borderId="4889" fillId="0" fontId="1" numFmtId="1000" quotePrefix="false">
      <alignment horizontal="center" vertical="top"/>
    </xf>
    <xf applyAlignment="true" applyBorder="true" applyFill="false" applyFont="false" applyNumberFormat="true" borderId="4890" fillId="0" fontId="1" numFmtId="1000" quotePrefix="false">
      <alignment horizontal="center" vertical="top"/>
    </xf>
    <xf applyAlignment="true" applyBorder="true" applyFill="false" applyFont="false" applyNumberFormat="true" borderId="4891" fillId="0" fontId="1" numFmtId="1000" quotePrefix="false">
      <alignment horizontal="center" vertical="top"/>
    </xf>
    <xf applyAlignment="true" applyBorder="true" applyFill="false" applyFont="false" applyNumberFormat="true" borderId="4892" fillId="0" fontId="1" numFmtId="1000" quotePrefix="false">
      <alignment horizontal="center" vertical="top"/>
    </xf>
    <xf applyAlignment="true" applyBorder="true" applyFill="false" applyFont="false" applyNumberFormat="true" borderId="4893" fillId="0" fontId="1" numFmtId="1000" quotePrefix="false">
      <alignment horizontal="center" vertical="top"/>
    </xf>
    <xf applyAlignment="true" applyBorder="true" applyFill="false" applyFont="true" applyNumberFormat="true" borderId="4894" fillId="0" fontId="13" numFmtId="1000" quotePrefix="false">
      <alignment horizontal="center" textRotation="90" vertical="top"/>
    </xf>
    <xf applyAlignment="true" applyBorder="true" applyFill="false" applyFont="false" applyNumberFormat="true" borderId="4895" fillId="0" fontId="1" numFmtId="1000" quotePrefix="false">
      <alignment horizontal="center" vertical="top"/>
    </xf>
    <xf applyAlignment="true" applyBorder="true" applyFill="false" applyFont="false" applyNumberFormat="true" borderId="4896" fillId="0" fontId="1" numFmtId="1000" quotePrefix="false">
      <alignment horizontal="center" vertical="top"/>
    </xf>
    <xf applyAlignment="true" applyBorder="true" applyFill="false" applyFont="false" applyNumberFormat="true" borderId="4897" fillId="0" fontId="1" numFmtId="1000" quotePrefix="false">
      <alignment horizontal="center" vertical="top"/>
    </xf>
    <xf applyAlignment="true" applyBorder="true" applyFill="false" applyFont="false" applyNumberFormat="true" borderId="4898" fillId="0" fontId="1" numFmtId="1000" quotePrefix="false">
      <alignment horizontal="center" vertical="top"/>
    </xf>
    <xf applyAlignment="true" applyBorder="true" applyFill="false" applyFont="false" applyNumberFormat="true" borderId="4899" fillId="0" fontId="1" numFmtId="1000" quotePrefix="false">
      <alignment horizontal="center" vertical="top"/>
    </xf>
    <xf applyAlignment="true" applyBorder="true" applyFill="false" applyFont="false" applyNumberFormat="true" borderId="4900" fillId="0" fontId="1" numFmtId="1000" quotePrefix="false">
      <alignment horizontal="center" vertical="top"/>
    </xf>
    <xf applyAlignment="true" applyBorder="true" applyFill="false" applyFont="true" applyNumberFormat="true" borderId="4901" fillId="0" fontId="13" numFmtId="1000" quotePrefix="false">
      <alignment horizontal="center" textRotation="90" vertical="top"/>
    </xf>
    <xf applyAlignment="true" applyBorder="true" applyFill="true" applyFont="true" applyNumberFormat="true" borderId="4902" fillId="4" fontId="2" numFmtId="1000" quotePrefix="false">
      <alignment horizontal="left" vertical="top" wrapText="true"/>
    </xf>
    <xf applyAlignment="true" applyBorder="true" applyFill="false" applyFont="false" applyNumberFormat="true" borderId="4903" fillId="0" fontId="1" numFmtId="1000" quotePrefix="false">
      <alignment horizontal="center" vertical="top"/>
    </xf>
    <xf applyAlignment="true" applyBorder="true" applyFill="false" applyFont="false" applyNumberFormat="true" borderId="4904" fillId="0" fontId="1" numFmtId="1000" quotePrefix="false">
      <alignment horizontal="center" vertical="top"/>
    </xf>
    <xf applyAlignment="true" applyBorder="true" applyFill="false" applyFont="false" applyNumberFormat="true" borderId="4905" fillId="0" fontId="1" numFmtId="1000" quotePrefix="false">
      <alignment horizontal="center" vertical="top"/>
    </xf>
    <xf applyAlignment="true" applyBorder="true" applyFill="false" applyFont="false" applyNumberFormat="true" borderId="4906" fillId="0" fontId="1" numFmtId="1000" quotePrefix="false">
      <alignment horizontal="center" vertical="top"/>
    </xf>
    <xf applyAlignment="true" applyBorder="true" applyFill="false" applyFont="false" applyNumberFormat="true" borderId="4907" fillId="0" fontId="1" numFmtId="1000" quotePrefix="false">
      <alignment horizontal="center" vertical="top"/>
    </xf>
    <xf applyAlignment="true" applyBorder="true" applyFill="false" applyFont="false" applyNumberFormat="true" borderId="4908" fillId="0" fontId="1" numFmtId="1000" quotePrefix="false">
      <alignment horizontal="center" vertical="top"/>
    </xf>
    <xf applyAlignment="true" applyBorder="true" applyFill="false" applyFont="true" applyNumberFormat="true" borderId="4909" fillId="0" fontId="13" numFmtId="1000" quotePrefix="false">
      <alignment horizontal="center" textRotation="90" vertical="top"/>
    </xf>
    <xf applyAlignment="true" applyBorder="true" applyFill="true" applyFont="true" applyNumberFormat="true" borderId="4910" fillId="4" fontId="2" numFmtId="1000" quotePrefix="false">
      <alignment horizontal="left" vertical="top" wrapText="true"/>
    </xf>
    <xf applyAlignment="true" applyBorder="true" applyFill="false" applyFont="false" applyNumberFormat="true" borderId="4911" fillId="0" fontId="1" numFmtId="1000" quotePrefix="false">
      <alignment horizontal="center" vertical="top"/>
    </xf>
    <xf applyAlignment="true" applyBorder="true" applyFill="false" applyFont="false" applyNumberFormat="true" borderId="4912" fillId="0" fontId="1" numFmtId="1000" quotePrefix="false">
      <alignment horizontal="center" vertical="top"/>
    </xf>
    <xf applyAlignment="true" applyBorder="true" applyFill="false" applyFont="false" applyNumberFormat="true" borderId="4913" fillId="0" fontId="1" numFmtId="1000" quotePrefix="false">
      <alignment horizontal="center" vertical="top"/>
    </xf>
    <xf applyAlignment="true" applyBorder="true" applyFill="false" applyFont="false" applyNumberFormat="true" borderId="4914" fillId="0" fontId="1" numFmtId="1000" quotePrefix="false">
      <alignment horizontal="center" vertical="top"/>
    </xf>
    <xf applyAlignment="true" applyBorder="true" applyFill="false" applyFont="false" applyNumberFormat="true" borderId="4915" fillId="0" fontId="1" numFmtId="1000" quotePrefix="false">
      <alignment horizontal="center" vertical="top"/>
    </xf>
    <xf applyAlignment="true" applyBorder="true" applyFill="false" applyFont="false" applyNumberFormat="true" borderId="4916" fillId="0" fontId="1" numFmtId="1000" quotePrefix="false">
      <alignment horizontal="center" vertical="top"/>
    </xf>
    <xf applyAlignment="true" applyBorder="true" applyFill="false" applyFont="true" applyNumberFormat="true" borderId="4917" fillId="0" fontId="13" numFmtId="1000" quotePrefix="false">
      <alignment horizontal="center" textRotation="90" vertical="top"/>
    </xf>
    <xf applyAlignment="true" applyBorder="true" applyFill="true" applyFont="true" applyNumberFormat="true" borderId="4918" fillId="4" fontId="2" numFmtId="1000" quotePrefix="false">
      <alignment horizontal="left" vertical="top" wrapText="true"/>
    </xf>
    <xf applyAlignment="true" applyBorder="true" applyFill="false" applyFont="false" applyNumberFormat="true" borderId="4919" fillId="0" fontId="1" numFmtId="1000" quotePrefix="false">
      <alignment horizontal="center" vertical="top"/>
    </xf>
    <xf applyAlignment="true" applyBorder="true" applyFill="false" applyFont="false" applyNumberFormat="true" borderId="4920" fillId="0" fontId="1" numFmtId="1000" quotePrefix="false">
      <alignment horizontal="center" vertical="top"/>
    </xf>
    <xf applyAlignment="true" applyBorder="true" applyFill="false" applyFont="false" applyNumberFormat="true" borderId="4921" fillId="0" fontId="1" numFmtId="1000" quotePrefix="false">
      <alignment horizontal="center" vertical="top"/>
    </xf>
    <xf applyAlignment="true" applyBorder="true" applyFill="false" applyFont="false" applyNumberFormat="true" borderId="4922" fillId="0" fontId="1" numFmtId="1000" quotePrefix="false">
      <alignment horizontal="center" vertical="top"/>
    </xf>
    <xf applyAlignment="true" applyBorder="true" applyFill="false" applyFont="false" applyNumberFormat="true" borderId="4923" fillId="0" fontId="1" numFmtId="1000" quotePrefix="false">
      <alignment horizontal="center" vertical="top"/>
    </xf>
    <xf applyAlignment="true" applyBorder="true" applyFill="false" applyFont="false" applyNumberFormat="true" borderId="4924" fillId="0" fontId="1" numFmtId="1000" quotePrefix="false">
      <alignment horizontal="center" vertical="top"/>
    </xf>
    <xf applyAlignment="true" applyBorder="true" applyFill="false" applyFont="false" applyNumberFormat="true" borderId="4925" fillId="0" fontId="1" numFmtId="1000" quotePrefix="false">
      <alignment horizontal="center" vertical="top"/>
    </xf>
    <xf applyAlignment="true" applyBorder="true" applyFill="false" applyFont="false" applyNumberFormat="true" borderId="4926" fillId="0" fontId="1" numFmtId="1000" quotePrefix="false">
      <alignment horizontal="center" vertical="top"/>
    </xf>
    <xf applyAlignment="true" applyBorder="true" applyFill="false" applyFont="false" applyNumberFormat="true" borderId="4927" fillId="0" fontId="1" numFmtId="1000" quotePrefix="false">
      <alignment horizontal="center" vertical="top"/>
    </xf>
    <xf applyAlignment="true" applyBorder="true" applyFill="false" applyFont="false" applyNumberFormat="true" borderId="4928" fillId="0" fontId="1" numFmtId="1000" quotePrefix="false">
      <alignment horizontal="center" vertical="top"/>
    </xf>
    <xf applyAlignment="true" applyBorder="true" applyFill="false" applyFont="true" applyNumberFormat="true" borderId="4929" fillId="0" fontId="13" numFmtId="1000" quotePrefix="false">
      <alignment horizontal="center" textRotation="90" vertical="top"/>
    </xf>
    <xf applyAlignment="true" applyBorder="true" applyFill="false" applyFont="true" applyNumberFormat="true" borderId="4930" fillId="0" fontId="2" numFmtId="1000" quotePrefix="false">
      <alignment horizontal="center" vertical="top"/>
    </xf>
    <xf applyAlignment="true" applyBorder="true" applyFill="false" applyFont="false" applyNumberFormat="true" borderId="4931" fillId="0" fontId="1" numFmtId="1000" quotePrefix="false">
      <alignment horizontal="left" vertical="top"/>
    </xf>
    <xf applyAlignment="true" applyBorder="true" applyFill="false" applyFont="false" applyNumberFormat="true" borderId="4932" fillId="0" fontId="1" numFmtId="1000" quotePrefix="false">
      <alignment horizontal="left" vertical="top"/>
    </xf>
    <xf applyAlignment="true" applyBorder="true" applyFill="false" applyFont="false" applyNumberFormat="true" borderId="4933" fillId="0" fontId="1" numFmtId="1000" quotePrefix="false">
      <alignment horizontal="left" vertical="top"/>
    </xf>
    <xf applyAlignment="true" applyBorder="true" applyFill="false" applyFont="false" applyNumberFormat="true" borderId="4934" fillId="0" fontId="1" numFmtId="1000" quotePrefix="false">
      <alignment horizontal="left" vertical="top"/>
    </xf>
    <xf applyAlignment="true" applyBorder="true" applyFill="false" applyFont="false" applyNumberFormat="true" borderId="4935" fillId="0" fontId="1" numFmtId="1000" quotePrefix="false">
      <alignment horizontal="left" vertical="top"/>
    </xf>
    <xf applyAlignment="true" applyBorder="true" applyFill="false" applyFont="false" applyNumberFormat="true" borderId="4936" fillId="0" fontId="1" numFmtId="1000" quotePrefix="false">
      <alignment horizontal="left" vertical="top"/>
    </xf>
    <xf applyAlignment="true" applyBorder="true" applyFill="false" applyFont="false" applyNumberFormat="true" borderId="4937" fillId="0" fontId="1" numFmtId="1000" quotePrefix="false">
      <alignment horizontal="left" vertical="top"/>
    </xf>
    <xf applyAlignment="true" applyBorder="true" applyFill="false" applyFont="false" applyNumberFormat="true" borderId="4938" fillId="0" fontId="1" numFmtId="1000" quotePrefix="false">
      <alignment horizontal="left" vertical="top"/>
    </xf>
    <xf applyAlignment="true" applyBorder="true" applyFill="false" applyFont="false" applyNumberFormat="true" borderId="4939" fillId="0" fontId="1" numFmtId="1000" quotePrefix="false">
      <alignment horizontal="left" vertical="top"/>
    </xf>
    <xf applyAlignment="true" applyBorder="true" applyFill="false" applyFont="false" applyNumberFormat="true" borderId="4940" fillId="0" fontId="1" numFmtId="1000" quotePrefix="false">
      <alignment horizontal="left" vertical="top"/>
    </xf>
    <xf applyAlignment="true" applyBorder="true" applyFill="false" applyFont="false" applyNumberFormat="true" borderId="4941" fillId="0" fontId="1" numFmtId="1000" quotePrefix="false">
      <alignment horizontal="left" vertical="top"/>
    </xf>
    <xf applyAlignment="true" applyBorder="true" applyFill="false" applyFont="false" applyNumberFormat="true" borderId="4942" fillId="0" fontId="1" numFmtId="1000" quotePrefix="false">
      <alignment horizontal="left" vertical="top"/>
    </xf>
    <xf applyAlignment="true" applyBorder="true" applyFill="false" applyFont="false" applyNumberFormat="true" borderId="4943" fillId="0" fontId="1" numFmtId="1000" quotePrefix="false">
      <alignment horizontal="left" vertical="top"/>
    </xf>
    <xf applyAlignment="true" applyBorder="true" applyFill="false" applyFont="false" applyNumberFormat="true" borderId="4944" fillId="0" fontId="1" numFmtId="1000" quotePrefix="false">
      <alignment horizontal="left" vertical="top"/>
    </xf>
    <xf applyAlignment="true" applyBorder="true" applyFill="false" applyFont="false" applyNumberFormat="true" borderId="4945" fillId="0" fontId="1" numFmtId="1000" quotePrefix="false">
      <alignment horizontal="left" vertical="top"/>
    </xf>
    <xf applyAlignment="true" applyBorder="true" applyFill="false" applyFont="false" applyNumberFormat="true" borderId="4946" fillId="0" fontId="1" numFmtId="1000" quotePrefix="false">
      <alignment horizontal="left" vertical="top"/>
    </xf>
    <xf applyAlignment="true" applyBorder="true" applyFill="false" applyFont="false" applyNumberFormat="true" borderId="4947" fillId="0" fontId="1" numFmtId="1000" quotePrefix="false">
      <alignment horizontal="left" vertical="top"/>
    </xf>
    <xf applyAlignment="true" applyBorder="true" applyFill="false" applyFont="false" applyNumberFormat="true" borderId="4948" fillId="0" fontId="1" numFmtId="1000" quotePrefix="false">
      <alignment horizontal="left" vertical="top"/>
    </xf>
    <xf applyAlignment="true" applyBorder="true" applyFill="false" applyFont="false" applyNumberFormat="true" borderId="4949" fillId="0" fontId="1" numFmtId="1000" quotePrefix="false">
      <alignment horizontal="left" vertical="top"/>
    </xf>
    <xf applyAlignment="true" applyBorder="true" applyFill="false" applyFont="true" applyNumberFormat="true" borderId="4950" fillId="0" fontId="13" numFmtId="1000" quotePrefix="false">
      <alignment horizontal="center" textRotation="90" vertical="top"/>
    </xf>
    <xf applyAlignment="true" applyBorder="true" applyFill="false" applyFont="true" applyNumberFormat="true" borderId="4951" fillId="0" fontId="2" numFmtId="1000" quotePrefix="false">
      <alignment horizontal="center"/>
    </xf>
    <xf applyAlignment="true" applyBorder="true" applyFill="false" applyFont="true" applyNumberFormat="true" borderId="4952" fillId="0" fontId="2" numFmtId="1000" quotePrefix="false">
      <alignment horizontal="center"/>
    </xf>
    <xf applyAlignment="true" applyBorder="true" applyFill="false" applyFont="true" applyNumberFormat="true" borderId="4953" fillId="0" fontId="2" numFmtId="1000" quotePrefix="false">
      <alignment horizontal="center"/>
    </xf>
    <xf applyAlignment="true" applyBorder="true" applyFill="false" applyFont="false" applyNumberFormat="true" borderId="4954" fillId="0" fontId="1" numFmtId="1000" quotePrefix="false">
      <alignment horizontal="center" vertical="top"/>
    </xf>
    <xf applyAlignment="true" applyBorder="true" applyFill="false" applyFont="false" applyNumberFormat="true" borderId="4955" fillId="0" fontId="1" numFmtId="1000" quotePrefix="false">
      <alignment horizontal="center" vertical="top"/>
    </xf>
    <xf applyAlignment="true" applyBorder="true" applyFill="false" applyFont="false" applyNumberFormat="true" borderId="4956" fillId="0" fontId="1" numFmtId="1000" quotePrefix="false">
      <alignment horizontal="center" vertical="top"/>
    </xf>
    <xf applyAlignment="true" applyBorder="true" applyFill="false" applyFont="false" applyNumberFormat="true" borderId="4957" fillId="0" fontId="1" numFmtId="1000" quotePrefix="false">
      <alignment horizontal="center" vertical="top"/>
    </xf>
    <xf applyAlignment="true" applyBorder="true" applyFill="false" applyFont="false" applyNumberFormat="true" borderId="4958" fillId="0" fontId="1" numFmtId="1000" quotePrefix="false">
      <alignment horizontal="center" vertical="top"/>
    </xf>
    <xf applyAlignment="true" applyBorder="true" applyFill="false" applyFont="false" applyNumberFormat="true" borderId="4959" fillId="0" fontId="1" numFmtId="1000" quotePrefix="false">
      <alignment horizontal="center" vertical="top"/>
    </xf>
    <xf applyAlignment="true" applyBorder="true" applyFill="false" applyFont="false" applyNumberFormat="true" borderId="4960" fillId="0" fontId="1" numFmtId="1000" quotePrefix="false">
      <alignment horizontal="center" vertical="top"/>
    </xf>
    <xf applyAlignment="true" applyBorder="true" applyFill="false" applyFont="false" applyNumberFormat="true" borderId="4961" fillId="0" fontId="1" numFmtId="1000" quotePrefix="false">
      <alignment horizontal="center" vertical="top"/>
    </xf>
    <xf applyAlignment="true" applyBorder="true" applyFill="false" applyFont="false" applyNumberFormat="true" borderId="4962" fillId="0" fontId="1" numFmtId="1000" quotePrefix="false">
      <alignment horizontal="center" vertical="top"/>
    </xf>
    <xf applyAlignment="true" applyBorder="true" applyFill="false" applyFont="false" applyNumberFormat="true" borderId="4963" fillId="0" fontId="1" numFmtId="1000" quotePrefix="false">
      <alignment horizontal="center" vertical="top"/>
    </xf>
    <xf applyAlignment="true" applyBorder="true" applyFill="false" applyFont="false" applyNumberFormat="true" borderId="4964" fillId="0" fontId="1" numFmtId="1000" quotePrefix="false">
      <alignment horizontal="center" vertical="top"/>
    </xf>
    <xf applyAlignment="true" applyBorder="true" applyFill="false" applyFont="false" applyNumberFormat="true" borderId="4965" fillId="0" fontId="1" numFmtId="1000" quotePrefix="false">
      <alignment horizontal="center" vertical="top"/>
    </xf>
    <xf applyAlignment="true" applyBorder="true" applyFill="false" applyFont="false" applyNumberFormat="true" borderId="4966" fillId="0" fontId="1" numFmtId="1000" quotePrefix="false">
      <alignment horizontal="center" vertical="top"/>
    </xf>
    <xf applyAlignment="true" applyBorder="true" applyFill="false" applyFont="false" applyNumberFormat="true" borderId="4967" fillId="0" fontId="1" numFmtId="1000" quotePrefix="false">
      <alignment horizontal="center" vertical="top"/>
    </xf>
    <xf applyAlignment="true" applyBorder="true" applyFill="false" applyFont="false" applyNumberFormat="true" borderId="4968" fillId="0" fontId="1" numFmtId="1000" quotePrefix="false">
      <alignment horizontal="center" vertical="top"/>
    </xf>
    <xf applyAlignment="true" applyBorder="true" applyFill="false" applyFont="false" applyNumberFormat="true" borderId="4969" fillId="0" fontId="1" numFmtId="1000" quotePrefix="false">
      <alignment horizontal="center" vertical="top"/>
    </xf>
    <xf applyAlignment="true" applyBorder="true" applyFill="false" applyFont="true" applyNumberFormat="true" borderId="4970" fillId="0" fontId="13" numFmtId="1000" quotePrefix="false">
      <alignment horizontal="center" textRotation="90" vertical="top"/>
    </xf>
    <xf applyAlignment="true" applyBorder="true" applyFill="false" applyFont="false" applyNumberFormat="true" borderId="4971" fillId="0" fontId="1" numFmtId="1000" quotePrefix="false">
      <alignment horizontal="center" vertical="top"/>
    </xf>
    <xf applyAlignment="true" applyBorder="true" applyFill="false" applyFont="true" applyNumberFormat="true" borderId="4972" fillId="0" fontId="13" numFmtId="1000" quotePrefix="false">
      <alignment horizontal="center" textRotation="90" vertical="top"/>
    </xf>
    <xf applyAlignment="true" applyBorder="true" applyFill="false" applyFont="false" applyNumberFormat="true" borderId="4973" fillId="0" fontId="1" numFmtId="1000" quotePrefix="false">
      <alignment horizontal="center" vertical="top"/>
    </xf>
    <xf applyAlignment="true" applyBorder="true" applyFill="false" applyFont="false" applyNumberFormat="true" borderId="4974" fillId="0" fontId="1" numFmtId="1000" quotePrefix="false">
      <alignment horizontal="center" vertical="top"/>
    </xf>
    <xf applyAlignment="true" applyBorder="true" applyFill="false" applyFont="true" applyNumberFormat="true" borderId="4975" fillId="0" fontId="13" numFmtId="1000" quotePrefix="false">
      <alignment horizontal="center" textRotation="90" vertical="top"/>
    </xf>
    <xf applyAlignment="true" applyBorder="true" applyFill="true" applyFont="true" applyNumberFormat="true" borderId="4976" fillId="4" fontId="2" numFmtId="1000" quotePrefix="false">
      <alignment horizontal="left" vertical="top" wrapText="true"/>
    </xf>
    <xf applyAlignment="true" applyBorder="true" applyFill="false" applyFont="false" applyNumberFormat="true" borderId="4977" fillId="0" fontId="1" numFmtId="1000" quotePrefix="false">
      <alignment horizontal="center" vertical="top"/>
    </xf>
    <xf applyAlignment="true" applyBorder="true" applyFill="false" applyFont="false" applyNumberFormat="true" borderId="4978" fillId="0" fontId="1" numFmtId="1000" quotePrefix="false">
      <alignment horizontal="center" vertical="top"/>
    </xf>
    <xf applyAlignment="true" applyBorder="true" applyFill="false" applyFont="true" applyNumberFormat="true" borderId="4979" fillId="0" fontId="13" numFmtId="1000" quotePrefix="false">
      <alignment horizontal="center" textRotation="90" vertical="top"/>
    </xf>
    <xf applyAlignment="true" applyBorder="true" applyFill="true" applyFont="true" applyNumberFormat="true" borderId="4980" fillId="4" fontId="2" numFmtId="1000" quotePrefix="false">
      <alignment horizontal="left" vertical="top" wrapText="true"/>
    </xf>
    <xf applyAlignment="true" applyBorder="true" applyFill="false" applyFont="false" applyNumberFormat="true" borderId="4981" fillId="0" fontId="1" numFmtId="1000" quotePrefix="false">
      <alignment horizontal="center" vertical="top"/>
    </xf>
    <xf applyAlignment="true" applyBorder="true" applyFill="false" applyFont="false" applyNumberFormat="true" borderId="4982" fillId="0" fontId="1" numFmtId="1000" quotePrefix="false">
      <alignment horizontal="center" vertical="top"/>
    </xf>
    <xf applyAlignment="true" applyBorder="true" applyFill="false" applyFont="true" applyNumberFormat="true" borderId="4983" fillId="0" fontId="13" numFmtId="1000" quotePrefix="false">
      <alignment horizontal="center" textRotation="90" vertical="top"/>
    </xf>
    <xf applyAlignment="true" applyBorder="true" applyFill="false" applyFont="false" applyNumberFormat="true" borderId="4984" fillId="0" fontId="1" numFmtId="1000" quotePrefix="false">
      <alignment horizontal="center" vertical="top"/>
    </xf>
    <xf applyAlignment="true" applyBorder="true" applyFill="false" applyFont="false" applyNumberFormat="true" borderId="4985" fillId="0" fontId="1" numFmtId="1000" quotePrefix="false">
      <alignment horizontal="center" vertical="top"/>
    </xf>
    <xf applyAlignment="true" applyBorder="true" applyFill="false" applyFont="true" applyNumberFormat="true" borderId="4986" fillId="0" fontId="13" numFmtId="1000" quotePrefix="false">
      <alignment horizontal="center" textRotation="90" vertical="top"/>
    </xf>
    <xf applyAlignment="true" applyBorder="true" applyFill="false" applyFont="false" applyNumberFormat="true" borderId="4987" fillId="0" fontId="1" numFmtId="1000" quotePrefix="false">
      <alignment horizontal="center" vertical="top"/>
    </xf>
    <xf applyAlignment="true" applyBorder="true" applyFill="false" applyFont="false" applyNumberFormat="true" borderId="4988" fillId="0" fontId="1" numFmtId="1000" quotePrefix="false">
      <alignment horizontal="center" vertical="top"/>
    </xf>
    <xf applyAlignment="true" applyBorder="true" applyFill="false" applyFont="true" applyNumberFormat="true" borderId="4989" fillId="0" fontId="13" numFmtId="1000" quotePrefix="false">
      <alignment horizontal="center" textRotation="90" vertical="top"/>
    </xf>
    <xf applyAlignment="true" applyBorder="true" applyFill="false" applyFont="false" applyNumberFormat="true" borderId="4990" fillId="0" fontId="1" numFmtId="1000" quotePrefix="false">
      <alignment horizontal="center" vertical="top"/>
    </xf>
    <xf applyAlignment="true" applyBorder="true" applyFill="false" applyFont="false" applyNumberFormat="true" borderId="4991" fillId="0" fontId="1" numFmtId="1000" quotePrefix="false">
      <alignment horizontal="center" vertical="top"/>
    </xf>
    <xf applyAlignment="true" applyBorder="true" applyFill="false" applyFont="true" applyNumberFormat="true" borderId="4992" fillId="0" fontId="13" numFmtId="1000" quotePrefix="false">
      <alignment horizontal="center" textRotation="90" vertical="top"/>
    </xf>
    <xf applyAlignment="true" applyBorder="true" applyFill="false" applyFont="false" applyNumberFormat="true" borderId="4993" fillId="0" fontId="1" numFmtId="1000" quotePrefix="false">
      <alignment horizontal="center" vertical="top"/>
    </xf>
    <xf applyAlignment="true" applyBorder="true" applyFill="false" applyFont="false" applyNumberFormat="true" borderId="4994" fillId="0" fontId="1" numFmtId="1000" quotePrefix="false">
      <alignment horizontal="center" vertical="top"/>
    </xf>
    <xf applyAlignment="true" applyBorder="true" applyFill="false" applyFont="true" applyNumberFormat="true" borderId="4995" fillId="0" fontId="13" numFmtId="1000" quotePrefix="false">
      <alignment horizontal="center" textRotation="90" vertical="top"/>
    </xf>
    <xf applyAlignment="true" applyBorder="true" applyFill="false" applyFont="false" applyNumberFormat="true" borderId="4996" fillId="0" fontId="1" numFmtId="1000" quotePrefix="false">
      <alignment horizontal="center" vertical="top"/>
    </xf>
    <xf applyAlignment="true" applyBorder="true" applyFill="false" applyFont="false" applyNumberFormat="true" borderId="4997" fillId="0" fontId="1" numFmtId="1000" quotePrefix="false">
      <alignment horizontal="center" vertical="top"/>
    </xf>
    <xf applyAlignment="true" applyBorder="true" applyFill="false" applyFont="true" applyNumberFormat="true" borderId="4998" fillId="0" fontId="13" numFmtId="1000" quotePrefix="false">
      <alignment horizontal="center" textRotation="90" vertical="top"/>
    </xf>
    <xf applyAlignment="true" applyBorder="true" applyFill="false" applyFont="true" applyNumberFormat="true" borderId="4999" fillId="0" fontId="2" numFmtId="1000" quotePrefix="false">
      <alignment horizontal="center" vertical="top"/>
    </xf>
    <xf applyAlignment="true" applyBorder="true" applyFill="false" applyFont="false" applyNumberFormat="true" borderId="5000" fillId="0" fontId="1" numFmtId="1000" quotePrefix="false">
      <alignment horizontal="left" vertical="top"/>
    </xf>
    <xf applyAlignment="true" applyBorder="true" applyFill="false" applyFont="false" applyNumberFormat="true" borderId="5001" fillId="0" fontId="1" numFmtId="1000" quotePrefix="false">
      <alignment horizontal="left" vertical="top"/>
    </xf>
    <xf applyAlignment="true" applyBorder="true" applyFill="false" applyFont="false" applyNumberFormat="true" borderId="5002" fillId="0" fontId="1" numFmtId="1000" quotePrefix="false">
      <alignment horizontal="left" vertical="top"/>
    </xf>
    <xf applyAlignment="true" applyBorder="true" applyFill="false" applyFont="false" applyNumberFormat="true" borderId="5003" fillId="0" fontId="1" numFmtId="1000" quotePrefix="false">
      <alignment horizontal="left" vertical="top"/>
    </xf>
    <xf applyAlignment="true" applyBorder="true" applyFill="false" applyFont="false" applyNumberFormat="true" borderId="5004" fillId="0" fontId="1" numFmtId="1000" quotePrefix="false">
      <alignment horizontal="left" vertical="top"/>
    </xf>
    <xf applyAlignment="true" applyBorder="true" applyFill="false" applyFont="false" applyNumberFormat="true" borderId="5005" fillId="0" fontId="1" numFmtId="1000" quotePrefix="false">
      <alignment horizontal="left" vertical="top"/>
    </xf>
    <xf applyAlignment="true" applyBorder="true" applyFill="false" applyFont="false" applyNumberFormat="true" borderId="5006" fillId="0" fontId="1" numFmtId="1000" quotePrefix="false">
      <alignment horizontal="left" vertical="top"/>
    </xf>
    <xf applyAlignment="true" applyBorder="true" applyFill="false" applyFont="false" applyNumberFormat="true" borderId="5007" fillId="0" fontId="1" numFmtId="1000" quotePrefix="false">
      <alignment horizontal="left" vertical="top"/>
    </xf>
    <xf applyAlignment="true" applyBorder="true" applyFill="false" applyFont="false" applyNumberFormat="true" borderId="5008" fillId="0" fontId="1" numFmtId="1000" quotePrefix="false">
      <alignment horizontal="left" vertical="top"/>
    </xf>
    <xf applyAlignment="true" applyBorder="true" applyFill="false" applyFont="false" applyNumberFormat="true" borderId="5009" fillId="0" fontId="1" numFmtId="1000" quotePrefix="false">
      <alignment horizontal="left" vertical="top"/>
    </xf>
    <xf applyAlignment="true" applyBorder="true" applyFill="false" applyFont="false" applyNumberFormat="true" borderId="5010" fillId="0" fontId="1" numFmtId="1000" quotePrefix="false">
      <alignment horizontal="left" vertical="top"/>
    </xf>
    <xf applyAlignment="true" applyBorder="true" applyFill="false" applyFont="false" applyNumberFormat="true" borderId="5011" fillId="0" fontId="1" numFmtId="1000" quotePrefix="false">
      <alignment horizontal="left" vertical="top"/>
    </xf>
    <xf applyAlignment="true" applyBorder="true" applyFill="false" applyFont="false" applyNumberFormat="true" borderId="5012" fillId="0" fontId="1" numFmtId="1000" quotePrefix="false">
      <alignment horizontal="left" vertical="top"/>
    </xf>
    <xf applyAlignment="true" applyBorder="true" applyFill="false" applyFont="false" applyNumberFormat="true" borderId="5013" fillId="0" fontId="1" numFmtId="1000" quotePrefix="false">
      <alignment horizontal="left" vertical="top"/>
    </xf>
    <xf applyAlignment="true" applyBorder="true" applyFill="false" applyFont="false" applyNumberFormat="true" borderId="5014" fillId="0" fontId="1" numFmtId="1000" quotePrefix="false">
      <alignment horizontal="left" vertical="top"/>
    </xf>
    <xf applyAlignment="true" applyBorder="true" applyFill="false" applyFont="false" applyNumberFormat="true" borderId="5015" fillId="0" fontId="1" numFmtId="1000" quotePrefix="false">
      <alignment horizontal="left" vertical="top"/>
    </xf>
    <xf applyAlignment="true" applyBorder="true" applyFill="false" applyFont="false" applyNumberFormat="true" borderId="5016" fillId="0" fontId="1" numFmtId="1000" quotePrefix="false">
      <alignment horizontal="left" vertical="top"/>
    </xf>
    <xf applyAlignment="true" applyBorder="true" applyFill="false" applyFont="false" applyNumberFormat="true" borderId="5017" fillId="0" fontId="1" numFmtId="1000" quotePrefix="false">
      <alignment horizontal="left" vertical="top"/>
    </xf>
    <xf applyAlignment="true" applyBorder="true" applyFill="false" applyFont="false" applyNumberFormat="true" borderId="5018" fillId="0" fontId="1" numFmtId="1000" quotePrefix="false">
      <alignment horizontal="left" vertical="top"/>
    </xf>
    <xf applyAlignment="true" applyBorder="true" applyFill="false" applyFont="true" applyNumberFormat="true" borderId="5019" fillId="0" fontId="13" numFmtId="1000" quotePrefix="false">
      <alignment horizontal="center" textRotation="90" vertical="top"/>
    </xf>
    <xf applyAlignment="true" applyBorder="true" applyFill="false" applyFont="true" applyNumberFormat="true" borderId="5020" fillId="0" fontId="2" numFmtId="1000" quotePrefix="false">
      <alignment horizontal="center"/>
    </xf>
    <xf applyAlignment="true" applyBorder="true" applyFill="false" applyFont="true" applyNumberFormat="true" borderId="5021" fillId="0" fontId="2" numFmtId="1000" quotePrefix="false">
      <alignment horizontal="center"/>
    </xf>
    <xf applyAlignment="true" applyBorder="true" applyFill="false" applyFont="true" applyNumberFormat="true" borderId="5022" fillId="0" fontId="2" numFmtId="1000" quotePrefix="false">
      <alignment horizontal="center"/>
    </xf>
    <xf applyAlignment="true" applyBorder="true" applyFill="false" applyFont="false" applyNumberFormat="true" borderId="5023" fillId="0" fontId="1" numFmtId="1000" quotePrefix="false">
      <alignment horizontal="center" vertical="top"/>
    </xf>
    <xf applyAlignment="true" applyBorder="true" applyFill="false" applyFont="false" applyNumberFormat="true" borderId="5024" fillId="0" fontId="1" numFmtId="1000" quotePrefix="false">
      <alignment horizontal="center" vertical="top"/>
    </xf>
    <xf applyAlignment="true" applyBorder="true" applyFill="false" applyFont="false" applyNumberFormat="true" borderId="5025" fillId="0" fontId="1" numFmtId="1000" quotePrefix="false">
      <alignment horizontal="center" vertical="top"/>
    </xf>
    <xf applyAlignment="true" applyBorder="true" applyFill="false" applyFont="false" applyNumberFormat="true" borderId="5026" fillId="0" fontId="1" numFmtId="1000" quotePrefix="false">
      <alignment horizontal="center" vertical="top"/>
    </xf>
    <xf applyAlignment="true" applyBorder="true" applyFill="false" applyFont="false" applyNumberFormat="true" borderId="5027" fillId="0" fontId="1" numFmtId="1000" quotePrefix="false">
      <alignment horizontal="center" vertical="top"/>
    </xf>
    <xf applyAlignment="true" applyBorder="true" applyFill="false" applyFont="false" applyNumberFormat="true" borderId="5028" fillId="0" fontId="1" numFmtId="1000" quotePrefix="false">
      <alignment horizontal="center" vertical="top"/>
    </xf>
    <xf applyAlignment="true" applyBorder="true" applyFill="false" applyFont="false" applyNumberFormat="true" borderId="5029" fillId="0" fontId="1" numFmtId="1000" quotePrefix="false">
      <alignment horizontal="center" vertical="top"/>
    </xf>
    <xf applyAlignment="true" applyBorder="true" applyFill="false" applyFont="false" applyNumberFormat="true" borderId="5030" fillId="0" fontId="1" numFmtId="1000" quotePrefix="false">
      <alignment horizontal="center" vertical="top"/>
    </xf>
    <xf applyAlignment="true" applyBorder="true" applyFill="false" applyFont="false" applyNumberFormat="true" borderId="5031" fillId="0" fontId="1" numFmtId="1000" quotePrefix="false">
      <alignment horizontal="center" vertical="top"/>
    </xf>
    <xf applyAlignment="true" applyBorder="true" applyFill="false" applyFont="false" applyNumberFormat="true" borderId="5032" fillId="0" fontId="1" numFmtId="1000" quotePrefix="false">
      <alignment horizontal="center" vertical="top"/>
    </xf>
    <xf applyAlignment="true" applyBorder="true" applyFill="false" applyFont="false" applyNumberFormat="true" borderId="5033" fillId="0" fontId="1" numFmtId="1000" quotePrefix="false">
      <alignment horizontal="center" vertical="top"/>
    </xf>
    <xf applyAlignment="true" applyBorder="true" applyFill="false" applyFont="false" applyNumberFormat="true" borderId="5034" fillId="0" fontId="1" numFmtId="1000" quotePrefix="false">
      <alignment horizontal="center" vertical="top"/>
    </xf>
    <xf applyAlignment="true" applyBorder="true" applyFill="false" applyFont="false" applyNumberFormat="true" borderId="5035" fillId="0" fontId="1" numFmtId="1000" quotePrefix="false">
      <alignment horizontal="center" vertical="top"/>
    </xf>
    <xf applyAlignment="true" applyBorder="true" applyFill="false" applyFont="false" applyNumberFormat="true" borderId="5036" fillId="0" fontId="1" numFmtId="1000" quotePrefix="false">
      <alignment horizontal="center" vertical="top"/>
    </xf>
    <xf applyAlignment="true" applyBorder="true" applyFill="false" applyFont="false" applyNumberFormat="true" borderId="5037" fillId="0" fontId="1" numFmtId="1000" quotePrefix="false">
      <alignment horizontal="center" vertical="top"/>
    </xf>
    <xf applyAlignment="true" applyBorder="true" applyFill="false" applyFont="false" applyNumberFormat="true" borderId="5038" fillId="0" fontId="1" numFmtId="1000" quotePrefix="false">
      <alignment horizontal="center" vertical="top"/>
    </xf>
    <xf applyAlignment="true" applyBorder="true" applyFill="false" applyFont="true" applyNumberFormat="true" borderId="5039" fillId="0" fontId="13" numFmtId="1000" quotePrefix="false">
      <alignment horizontal="center" textRotation="90" vertical="top"/>
    </xf>
    <xf applyAlignment="true" applyBorder="true" applyFill="false" applyFont="false" applyNumberFormat="true" borderId="5040" fillId="0" fontId="1" numFmtId="1000" quotePrefix="false">
      <alignment horizontal="center" vertical="top"/>
    </xf>
    <xf applyAlignment="true" applyBorder="true" applyFill="false" applyFont="false" applyNumberFormat="true" borderId="5041" fillId="0" fontId="1" numFmtId="1000" quotePrefix="false">
      <alignment horizontal="center" vertical="top"/>
    </xf>
    <xf applyAlignment="true" applyBorder="true" applyFill="false" applyFont="false" applyNumberFormat="true" borderId="5042" fillId="0" fontId="1" numFmtId="1000" quotePrefix="false">
      <alignment horizontal="center" vertical="top"/>
    </xf>
    <xf applyAlignment="true" applyBorder="true" applyFill="false" applyFont="false" applyNumberFormat="true" borderId="5043" fillId="0" fontId="1" numFmtId="1000" quotePrefix="false">
      <alignment horizontal="center" vertical="top"/>
    </xf>
    <xf applyAlignment="true" applyBorder="true" applyFill="false" applyFont="false" applyNumberFormat="true" borderId="5044" fillId="0" fontId="1" numFmtId="1000" quotePrefix="false">
      <alignment horizontal="center" vertical="top"/>
    </xf>
    <xf applyAlignment="true" applyBorder="true" applyFill="false" applyFont="false" applyNumberFormat="true" borderId="5045" fillId="0" fontId="1" numFmtId="1000" quotePrefix="false">
      <alignment horizontal="center" vertical="top"/>
    </xf>
    <xf applyAlignment="true" applyBorder="true" applyFill="false" applyFont="false" applyNumberFormat="true" borderId="5046" fillId="0" fontId="1" numFmtId="1000" quotePrefix="false">
      <alignment horizontal="center" vertical="top"/>
    </xf>
    <xf applyAlignment="true" applyBorder="true" applyFill="false" applyFont="true" applyNumberFormat="true" borderId="5047" fillId="0" fontId="13" numFmtId="1000" quotePrefix="false">
      <alignment horizontal="center" textRotation="90" vertical="top"/>
    </xf>
    <xf applyAlignment="true" applyBorder="true" applyFill="false" applyFont="false" applyNumberFormat="true" borderId="5048" fillId="0" fontId="1" numFmtId="1000" quotePrefix="false">
      <alignment horizontal="center" vertical="top"/>
    </xf>
    <xf applyAlignment="true" applyBorder="true" applyFill="false" applyFont="false" applyNumberFormat="true" borderId="5049" fillId="0" fontId="1" numFmtId="1000" quotePrefix="false">
      <alignment horizontal="center" vertical="top"/>
    </xf>
    <xf applyAlignment="true" applyBorder="true" applyFill="false" applyFont="false" applyNumberFormat="true" borderId="5050" fillId="0" fontId="1" numFmtId="1000" quotePrefix="false">
      <alignment horizontal="center" vertical="top"/>
    </xf>
    <xf applyAlignment="true" applyBorder="true" applyFill="false" applyFont="false" applyNumberFormat="true" borderId="5051" fillId="0" fontId="1" numFmtId="1000" quotePrefix="false">
      <alignment horizontal="center" vertical="top"/>
    </xf>
    <xf applyAlignment="true" applyBorder="true" applyFill="false" applyFont="false" applyNumberFormat="true" borderId="5052" fillId="0" fontId="1" numFmtId="1000" quotePrefix="false">
      <alignment horizontal="center" vertical="top"/>
    </xf>
    <xf applyAlignment="true" applyBorder="true" applyFill="false" applyFont="false" applyNumberFormat="true" borderId="5053" fillId="0" fontId="1" numFmtId="1000" quotePrefix="false">
      <alignment horizontal="center" vertical="top"/>
    </xf>
    <xf applyAlignment="true" applyBorder="true" applyFill="false" applyFont="true" applyNumberFormat="true" borderId="5054" fillId="0" fontId="13" numFmtId="1000" quotePrefix="false">
      <alignment horizontal="center" textRotation="90" vertical="top"/>
    </xf>
    <xf applyAlignment="true" applyBorder="true" applyFill="false" applyFont="false" applyNumberFormat="true" borderId="5055" fillId="0" fontId="1" numFmtId="1000" quotePrefix="false">
      <alignment horizontal="center" vertical="top"/>
    </xf>
    <xf applyAlignment="true" applyBorder="true" applyFill="false" applyFont="false" applyNumberFormat="true" borderId="5056" fillId="0" fontId="1" numFmtId="1000" quotePrefix="false">
      <alignment horizontal="center" vertical="top"/>
    </xf>
    <xf applyAlignment="true" applyBorder="true" applyFill="false" applyFont="false" applyNumberFormat="true" borderId="5057" fillId="0" fontId="1" numFmtId="1000" quotePrefix="false">
      <alignment horizontal="center" vertical="top"/>
    </xf>
    <xf applyAlignment="true" applyBorder="true" applyFill="false" applyFont="false" applyNumberFormat="true" borderId="5058" fillId="0" fontId="1" numFmtId="1000" quotePrefix="false">
      <alignment horizontal="center" vertical="top"/>
    </xf>
    <xf applyAlignment="true" applyBorder="true" applyFill="false" applyFont="false" applyNumberFormat="true" borderId="5059" fillId="0" fontId="1" numFmtId="1000" quotePrefix="false">
      <alignment horizontal="center" vertical="top"/>
    </xf>
    <xf applyAlignment="true" applyBorder="true" applyFill="false" applyFont="false" applyNumberFormat="true" borderId="5060" fillId="0" fontId="1" numFmtId="1000" quotePrefix="false">
      <alignment horizontal="center" vertical="top"/>
    </xf>
    <xf applyAlignment="true" applyBorder="true" applyFill="false" applyFont="true" applyNumberFormat="true" borderId="5061" fillId="0" fontId="13" numFmtId="1000" quotePrefix="false">
      <alignment horizontal="center" textRotation="90" vertical="top"/>
    </xf>
    <xf applyAlignment="true" applyBorder="true" applyFill="false" applyFont="false" applyNumberFormat="true" borderId="5062" fillId="0" fontId="1" numFmtId="1000" quotePrefix="false">
      <alignment horizontal="center" vertical="top"/>
    </xf>
    <xf applyAlignment="true" applyBorder="true" applyFill="false" applyFont="false" applyNumberFormat="true" borderId="5063" fillId="0" fontId="1" numFmtId="1000" quotePrefix="false">
      <alignment horizontal="center" vertical="top"/>
    </xf>
    <xf applyAlignment="true" applyBorder="true" applyFill="false" applyFont="false" applyNumberFormat="true" borderId="5064" fillId="0" fontId="1" numFmtId="1000" quotePrefix="false">
      <alignment horizontal="center" vertical="top"/>
    </xf>
    <xf applyAlignment="true" applyBorder="true" applyFill="false" applyFont="false" applyNumberFormat="true" borderId="5065" fillId="0" fontId="1" numFmtId="1000" quotePrefix="false">
      <alignment horizontal="center" vertical="top"/>
    </xf>
    <xf applyAlignment="true" applyBorder="true" applyFill="false" applyFont="false" applyNumberFormat="true" borderId="5066" fillId="0" fontId="1" numFmtId="1000" quotePrefix="false">
      <alignment horizontal="center" vertical="top"/>
    </xf>
    <xf applyAlignment="true" applyBorder="true" applyFill="false" applyFont="false" applyNumberFormat="true" borderId="5067" fillId="0" fontId="1" numFmtId="1000" quotePrefix="false">
      <alignment horizontal="center" vertical="top"/>
    </xf>
    <xf applyAlignment="true" applyBorder="true" applyFill="false" applyFont="true" applyNumberFormat="true" borderId="5068" fillId="0" fontId="13" numFmtId="1000" quotePrefix="false">
      <alignment horizontal="center" textRotation="90" vertical="top"/>
    </xf>
    <xf applyAlignment="true" applyBorder="true" applyFill="false" applyFont="false" applyNumberFormat="true" borderId="5069" fillId="0" fontId="1" numFmtId="1000" quotePrefix="false">
      <alignment horizontal="center" vertical="top"/>
    </xf>
    <xf applyAlignment="true" applyBorder="true" applyFill="false" applyFont="false" applyNumberFormat="true" borderId="5070" fillId="0" fontId="1" numFmtId="1000" quotePrefix="false">
      <alignment horizontal="center" vertical="top"/>
    </xf>
    <xf applyAlignment="true" applyBorder="true" applyFill="false" applyFont="false" applyNumberFormat="true" borderId="5071" fillId="0" fontId="1" numFmtId="1000" quotePrefix="false">
      <alignment horizontal="center" vertical="top"/>
    </xf>
    <xf applyAlignment="true" applyBorder="true" applyFill="false" applyFont="false" applyNumberFormat="true" borderId="5072" fillId="0" fontId="1" numFmtId="1000" quotePrefix="false">
      <alignment horizontal="center" vertical="top"/>
    </xf>
    <xf applyAlignment="true" applyBorder="true" applyFill="false" applyFont="false" applyNumberFormat="true" borderId="5073" fillId="0" fontId="1" numFmtId="1000" quotePrefix="false">
      <alignment horizontal="center" vertical="top"/>
    </xf>
    <xf applyAlignment="true" applyBorder="true" applyFill="false" applyFont="false" applyNumberFormat="true" borderId="5074" fillId="0" fontId="1" numFmtId="1000" quotePrefix="false">
      <alignment horizontal="center" vertical="top"/>
    </xf>
    <xf applyAlignment="true" applyBorder="true" applyFill="false" applyFont="true" applyNumberFormat="true" borderId="5075" fillId="0" fontId="13" numFmtId="1000" quotePrefix="false">
      <alignment horizontal="center" textRotation="90" vertical="top"/>
    </xf>
    <xf applyAlignment="true" applyBorder="true" applyFill="false" applyFont="false" applyNumberFormat="true" borderId="5076" fillId="0" fontId="1" numFmtId="1000" quotePrefix="false">
      <alignment horizontal="center" vertical="top"/>
    </xf>
    <xf applyAlignment="true" applyBorder="true" applyFill="false" applyFont="false" applyNumberFormat="true" borderId="5077" fillId="0" fontId="1" numFmtId="1000" quotePrefix="false">
      <alignment horizontal="center" vertical="top"/>
    </xf>
    <xf applyAlignment="true" applyBorder="true" applyFill="false" applyFont="false" applyNumberFormat="true" borderId="5078" fillId="0" fontId="1" numFmtId="1000" quotePrefix="false">
      <alignment horizontal="center" vertical="top"/>
    </xf>
    <xf applyAlignment="true" applyBorder="true" applyFill="false" applyFont="false" applyNumberFormat="true" borderId="5079" fillId="0" fontId="1" numFmtId="1000" quotePrefix="false">
      <alignment horizontal="center" vertical="top"/>
    </xf>
    <xf applyAlignment="true" applyBorder="true" applyFill="false" applyFont="false" applyNumberFormat="true" borderId="5080" fillId="0" fontId="1" numFmtId="1000" quotePrefix="false">
      <alignment horizontal="center" vertical="top"/>
    </xf>
    <xf applyAlignment="true" applyBorder="true" applyFill="false" applyFont="false" applyNumberFormat="true" borderId="5081" fillId="0" fontId="1" numFmtId="1000" quotePrefix="false">
      <alignment horizontal="center" vertical="top"/>
    </xf>
    <xf applyAlignment="true" applyBorder="true" applyFill="false" applyFont="true" applyNumberFormat="true" borderId="5082" fillId="0" fontId="13" numFmtId="1000" quotePrefix="false">
      <alignment horizontal="center" textRotation="90" vertical="top"/>
    </xf>
    <xf applyAlignment="true" applyBorder="true" applyFill="false" applyFont="false" applyNumberFormat="true" borderId="5083" fillId="0" fontId="1" numFmtId="1000" quotePrefix="false">
      <alignment horizontal="center" vertical="top"/>
    </xf>
    <xf applyAlignment="true" applyBorder="true" applyFill="false" applyFont="false" applyNumberFormat="true" borderId="5084" fillId="0" fontId="1" numFmtId="1000" quotePrefix="false">
      <alignment horizontal="center" vertical="top"/>
    </xf>
    <xf applyAlignment="true" applyBorder="true" applyFill="false" applyFont="false" applyNumberFormat="true" borderId="5085" fillId="0" fontId="1" numFmtId="1000" quotePrefix="false">
      <alignment horizontal="center" vertical="top"/>
    </xf>
    <xf applyAlignment="true" applyBorder="true" applyFill="false" applyFont="false" applyNumberFormat="true" borderId="5086" fillId="0" fontId="1" numFmtId="1000" quotePrefix="false">
      <alignment horizontal="center" vertical="top"/>
    </xf>
    <xf applyAlignment="true" applyBorder="true" applyFill="false" applyFont="false" applyNumberFormat="true" borderId="5087" fillId="0" fontId="1" numFmtId="1000" quotePrefix="false">
      <alignment horizontal="center" vertical="top"/>
    </xf>
    <xf applyAlignment="true" applyBorder="true" applyFill="false" applyFont="false" applyNumberFormat="true" borderId="5088" fillId="0" fontId="1" numFmtId="1000" quotePrefix="false">
      <alignment horizontal="center" vertical="top"/>
    </xf>
    <xf applyAlignment="true" applyBorder="true" applyFill="false" applyFont="true" applyNumberFormat="true" borderId="5089" fillId="0" fontId="13" numFmtId="1000" quotePrefix="false">
      <alignment horizontal="center" textRotation="90" vertical="top"/>
    </xf>
    <xf applyAlignment="true" applyBorder="true" applyFill="false" applyFont="false" applyNumberFormat="true" borderId="5090" fillId="0" fontId="1" numFmtId="1000" quotePrefix="false">
      <alignment horizontal="center" vertical="top"/>
    </xf>
    <xf applyAlignment="true" applyBorder="true" applyFill="false" applyFont="false" applyNumberFormat="true" borderId="5091" fillId="0" fontId="1" numFmtId="1000" quotePrefix="false">
      <alignment horizontal="center" vertical="top"/>
    </xf>
    <xf applyAlignment="true" applyBorder="true" applyFill="false" applyFont="false" applyNumberFormat="true" borderId="5092" fillId="0" fontId="1" numFmtId="1000" quotePrefix="false">
      <alignment horizontal="center" vertical="top"/>
    </xf>
    <xf applyAlignment="true" applyBorder="true" applyFill="false" applyFont="false" applyNumberFormat="true" borderId="5093" fillId="0" fontId="1" numFmtId="1000" quotePrefix="false">
      <alignment horizontal="center" vertical="top"/>
    </xf>
    <xf applyAlignment="true" applyBorder="true" applyFill="false" applyFont="false" applyNumberFormat="true" borderId="5094" fillId="0" fontId="1" numFmtId="1000" quotePrefix="false">
      <alignment horizontal="center" vertical="top"/>
    </xf>
    <xf applyAlignment="true" applyBorder="true" applyFill="false" applyFont="false" applyNumberFormat="true" borderId="5095" fillId="0" fontId="1" numFmtId="1000" quotePrefix="false">
      <alignment horizontal="center" vertical="top"/>
    </xf>
    <xf applyAlignment="true" applyBorder="true" applyFill="false" applyFont="true" applyNumberFormat="true" borderId="5096" fillId="0" fontId="13" numFmtId="1000" quotePrefix="false">
      <alignment horizontal="center" textRotation="90" vertical="top"/>
    </xf>
    <xf applyAlignment="true" applyBorder="true" applyFill="false" applyFont="false" applyNumberFormat="true" borderId="5097" fillId="0" fontId="1" numFmtId="1000" quotePrefix="false">
      <alignment horizontal="center" vertical="top"/>
    </xf>
    <xf applyAlignment="true" applyBorder="true" applyFill="false" applyFont="false" applyNumberFormat="true" borderId="5098" fillId="0" fontId="1" numFmtId="1000" quotePrefix="false">
      <alignment horizontal="center" vertical="top"/>
    </xf>
    <xf applyAlignment="true" applyBorder="true" applyFill="false" applyFont="false" applyNumberFormat="true" borderId="5099" fillId="0" fontId="1" numFmtId="1000" quotePrefix="false">
      <alignment horizontal="center" vertical="top"/>
    </xf>
    <xf applyAlignment="true" applyBorder="true" applyFill="false" applyFont="false" applyNumberFormat="true" borderId="5100" fillId="0" fontId="1" numFmtId="1000" quotePrefix="false">
      <alignment horizontal="center" vertical="top"/>
    </xf>
    <xf applyAlignment="true" applyBorder="true" applyFill="false" applyFont="false" applyNumberFormat="true" borderId="5101" fillId="0" fontId="1" numFmtId="1000" quotePrefix="false">
      <alignment horizontal="center" vertical="top"/>
    </xf>
    <xf applyAlignment="true" applyBorder="true" applyFill="false" applyFont="false" applyNumberFormat="true" borderId="5102" fillId="0" fontId="1" numFmtId="1000" quotePrefix="false">
      <alignment horizontal="center" vertical="top"/>
    </xf>
    <xf applyAlignment="true" applyBorder="true" applyFill="false" applyFont="false" applyNumberFormat="true" borderId="5103" fillId="0" fontId="1" numFmtId="1000" quotePrefix="false">
      <alignment horizontal="center" vertical="top"/>
    </xf>
    <xf applyAlignment="true" applyBorder="true" applyFill="false" applyFont="false" applyNumberFormat="true" borderId="5104" fillId="0" fontId="1" numFmtId="1000" quotePrefix="false">
      <alignment horizontal="center" vertical="top"/>
    </xf>
    <xf applyAlignment="true" applyBorder="true" applyFill="false" applyFont="false" applyNumberFormat="true" borderId="5105" fillId="0" fontId="1" numFmtId="1000" quotePrefix="false">
      <alignment horizontal="center" vertical="top"/>
    </xf>
    <xf applyAlignment="true" applyBorder="true" applyFill="false" applyFont="false" applyNumberFormat="true" borderId="5106" fillId="0" fontId="1" numFmtId="1000" quotePrefix="false">
      <alignment horizontal="center" vertical="top"/>
    </xf>
    <xf applyAlignment="true" applyBorder="true" applyFill="false" applyFont="true" applyNumberFormat="true" borderId="5107" fillId="0" fontId="13" numFmtId="1000" quotePrefix="false">
      <alignment horizontal="center" textRotation="90" vertical="top"/>
    </xf>
    <xf applyAlignment="true" applyBorder="true" applyFill="false" applyFont="true" applyNumberFormat="true" borderId="5108" fillId="0" fontId="2" numFmtId="1000" quotePrefix="false">
      <alignment horizontal="center" vertical="top"/>
    </xf>
    <xf applyAlignment="true" applyBorder="true" applyFill="false" applyFont="false" applyNumberFormat="true" borderId="5109" fillId="0" fontId="1" numFmtId="1000" quotePrefix="false">
      <alignment horizontal="left" vertical="top"/>
    </xf>
    <xf applyAlignment="true" applyBorder="true" applyFill="false" applyFont="false" applyNumberFormat="true" borderId="5110" fillId="0" fontId="1" numFmtId="1000" quotePrefix="false">
      <alignment horizontal="left" vertical="top"/>
    </xf>
    <xf applyAlignment="true" applyBorder="true" applyFill="false" applyFont="false" applyNumberFormat="true" borderId="5111" fillId="0" fontId="1" numFmtId="1000" quotePrefix="false">
      <alignment horizontal="left" vertical="top"/>
    </xf>
    <xf applyAlignment="true" applyBorder="true" applyFill="false" applyFont="false" applyNumberFormat="true" borderId="5112" fillId="0" fontId="1" numFmtId="1000" quotePrefix="false">
      <alignment horizontal="left" vertical="top"/>
    </xf>
    <xf applyAlignment="true" applyBorder="true" applyFill="false" applyFont="false" applyNumberFormat="true" borderId="5113" fillId="0" fontId="1" numFmtId="1000" quotePrefix="false">
      <alignment horizontal="left" vertical="top"/>
    </xf>
    <xf applyAlignment="true" applyBorder="true" applyFill="false" applyFont="false" applyNumberFormat="true" borderId="5114" fillId="0" fontId="1" numFmtId="1000" quotePrefix="false">
      <alignment horizontal="left" vertical="top"/>
    </xf>
    <xf applyAlignment="true" applyBorder="true" applyFill="false" applyFont="false" applyNumberFormat="true" borderId="5115" fillId="0" fontId="1" numFmtId="1000" quotePrefix="false">
      <alignment horizontal="left" vertical="top"/>
    </xf>
    <xf applyAlignment="true" applyBorder="true" applyFill="false" applyFont="false" applyNumberFormat="true" borderId="5116" fillId="0" fontId="1" numFmtId="1000" quotePrefix="false">
      <alignment horizontal="left" vertical="top"/>
    </xf>
    <xf applyAlignment="true" applyBorder="true" applyFill="false" applyFont="false" applyNumberFormat="true" borderId="5117" fillId="0" fontId="1" numFmtId="1000" quotePrefix="false">
      <alignment horizontal="left" vertical="top"/>
    </xf>
    <xf applyAlignment="true" applyBorder="true" applyFill="false" applyFont="false" applyNumberFormat="true" borderId="5118" fillId="0" fontId="1" numFmtId="1000" quotePrefix="false">
      <alignment horizontal="left" vertical="top"/>
    </xf>
    <xf applyAlignment="true" applyBorder="true" applyFill="false" applyFont="false" applyNumberFormat="true" borderId="5119" fillId="0" fontId="1" numFmtId="1000" quotePrefix="false">
      <alignment horizontal="left" vertical="top"/>
    </xf>
    <xf applyAlignment="true" applyBorder="true" applyFill="false" applyFont="false" applyNumberFormat="true" borderId="5120" fillId="0" fontId="1" numFmtId="1000" quotePrefix="false">
      <alignment horizontal="left" vertical="top"/>
    </xf>
    <xf applyAlignment="true" applyBorder="true" applyFill="false" applyFont="false" applyNumberFormat="true" borderId="5121" fillId="0" fontId="1" numFmtId="1000" quotePrefix="false">
      <alignment horizontal="left" vertical="top"/>
    </xf>
    <xf applyAlignment="true" applyBorder="true" applyFill="false" applyFont="false" applyNumberFormat="true" borderId="5122" fillId="0" fontId="1" numFmtId="1000" quotePrefix="false">
      <alignment horizontal="left" vertical="top"/>
    </xf>
    <xf applyAlignment="true" applyBorder="true" applyFill="false" applyFont="false" applyNumberFormat="true" borderId="5123" fillId="0" fontId="1" numFmtId="1000" quotePrefix="false">
      <alignment horizontal="left" vertical="top"/>
    </xf>
    <xf applyAlignment="true" applyBorder="true" applyFill="false" applyFont="false" applyNumberFormat="true" borderId="5124" fillId="0" fontId="1" numFmtId="1000" quotePrefix="false">
      <alignment horizontal="left" vertical="top"/>
    </xf>
    <xf applyAlignment="true" applyBorder="true" applyFill="false" applyFont="false" applyNumberFormat="true" borderId="5125" fillId="0" fontId="1" numFmtId="1000" quotePrefix="false">
      <alignment horizontal="left" vertical="top"/>
    </xf>
    <xf applyAlignment="true" applyBorder="true" applyFill="false" applyFont="false" applyNumberFormat="true" borderId="5126" fillId="0" fontId="1" numFmtId="1000" quotePrefix="false">
      <alignment horizontal="left" vertical="top"/>
    </xf>
    <xf applyAlignment="true" applyBorder="true" applyFill="false" applyFont="false" applyNumberFormat="true" borderId="5127" fillId="0" fontId="1" numFmtId="1000" quotePrefix="false">
      <alignment horizontal="left" vertical="top"/>
    </xf>
    <xf applyAlignment="true" applyBorder="true" applyFill="false" applyFont="true" applyNumberFormat="true" borderId="5128" fillId="0" fontId="13" numFmtId="1000" quotePrefix="false">
      <alignment horizontal="center" textRotation="90" vertical="top"/>
    </xf>
    <xf applyAlignment="true" applyBorder="true" applyFill="false" applyFont="true" applyNumberFormat="true" borderId="5129" fillId="0" fontId="2" numFmtId="1000" quotePrefix="false">
      <alignment horizontal="center"/>
    </xf>
    <xf applyAlignment="true" applyBorder="true" applyFill="false" applyFont="true" applyNumberFormat="true" borderId="5130" fillId="0" fontId="2" numFmtId="1000" quotePrefix="false">
      <alignment horizontal="center"/>
    </xf>
    <xf applyAlignment="true" applyBorder="true" applyFill="false" applyFont="true" applyNumberFormat="true" borderId="5131" fillId="0" fontId="2" numFmtId="1000" quotePrefix="false">
      <alignment horizontal="center"/>
    </xf>
    <xf applyAlignment="true" applyBorder="true" applyFill="false" applyFont="false" applyNumberFormat="true" borderId="5132" fillId="0" fontId="1" numFmtId="1000" quotePrefix="false">
      <alignment horizontal="center" vertical="top"/>
    </xf>
    <xf applyAlignment="true" applyBorder="true" applyFill="false" applyFont="false" applyNumberFormat="true" borderId="5133" fillId="0" fontId="1" numFmtId="1000" quotePrefix="false">
      <alignment horizontal="center" vertical="top"/>
    </xf>
    <xf applyAlignment="true" applyBorder="true" applyFill="false" applyFont="false" applyNumberFormat="true" borderId="5134" fillId="0" fontId="1" numFmtId="1000" quotePrefix="false">
      <alignment horizontal="center" vertical="top"/>
    </xf>
    <xf applyAlignment="true" applyBorder="true" applyFill="false" applyFont="false" applyNumberFormat="true" borderId="5135" fillId="0" fontId="1" numFmtId="1000" quotePrefix="false">
      <alignment horizontal="center" vertical="top"/>
    </xf>
    <xf applyAlignment="true" applyBorder="true" applyFill="false" applyFont="false" applyNumberFormat="true" borderId="5136" fillId="0" fontId="1" numFmtId="1000" quotePrefix="false">
      <alignment horizontal="center" vertical="top"/>
    </xf>
    <xf applyAlignment="true" applyBorder="true" applyFill="false" applyFont="false" applyNumberFormat="true" borderId="5137" fillId="0" fontId="1" numFmtId="1000" quotePrefix="false">
      <alignment horizontal="center" vertical="top"/>
    </xf>
    <xf applyAlignment="true" applyBorder="true" applyFill="false" applyFont="false" applyNumberFormat="true" borderId="5138" fillId="0" fontId="1" numFmtId="1000" quotePrefix="false">
      <alignment horizontal="center" vertical="top"/>
    </xf>
    <xf applyAlignment="true" applyBorder="true" applyFill="false" applyFont="false" applyNumberFormat="true" borderId="5139" fillId="0" fontId="1" numFmtId="1000" quotePrefix="false">
      <alignment horizontal="center" vertical="top"/>
    </xf>
    <xf applyAlignment="true" applyBorder="true" applyFill="false" applyFont="false" applyNumberFormat="true" borderId="5140" fillId="0" fontId="1" numFmtId="1000" quotePrefix="false">
      <alignment horizontal="center" vertical="top"/>
    </xf>
    <xf applyAlignment="true" applyBorder="true" applyFill="false" applyFont="false" applyNumberFormat="true" borderId="5141" fillId="0" fontId="1" numFmtId="1000" quotePrefix="false">
      <alignment horizontal="center" vertical="top"/>
    </xf>
    <xf applyAlignment="true" applyBorder="true" applyFill="false" applyFont="false" applyNumberFormat="true" borderId="5142" fillId="0" fontId="1" numFmtId="1000" quotePrefix="false">
      <alignment horizontal="center" vertical="top"/>
    </xf>
    <xf applyAlignment="true" applyBorder="true" applyFill="false" applyFont="false" applyNumberFormat="true" borderId="5143" fillId="0" fontId="1" numFmtId="1000" quotePrefix="false">
      <alignment horizontal="center" vertical="top"/>
    </xf>
    <xf applyAlignment="true" applyBorder="true" applyFill="false" applyFont="false" applyNumberFormat="true" borderId="5144" fillId="0" fontId="1" numFmtId="1000" quotePrefix="false">
      <alignment horizontal="center" vertical="top"/>
    </xf>
    <xf applyAlignment="true" applyBorder="true" applyFill="false" applyFont="false" applyNumberFormat="true" borderId="5145" fillId="0" fontId="1" numFmtId="1000" quotePrefix="false">
      <alignment horizontal="center" vertical="top"/>
    </xf>
    <xf applyAlignment="true" applyBorder="true" applyFill="false" applyFont="false" applyNumberFormat="true" borderId="5146" fillId="0" fontId="1" numFmtId="1000" quotePrefix="false">
      <alignment horizontal="center" vertical="top"/>
    </xf>
    <xf applyAlignment="true" applyBorder="true" applyFill="false" applyFont="false" applyNumberFormat="true" borderId="5147" fillId="0" fontId="1" numFmtId="1000" quotePrefix="false">
      <alignment horizontal="center" vertical="top"/>
    </xf>
    <xf applyAlignment="true" applyBorder="true" applyFill="false" applyFont="true" applyNumberFormat="true" borderId="5148" fillId="0" fontId="13" numFmtId="1000" quotePrefix="false">
      <alignment horizontal="center" textRotation="90" vertical="top"/>
    </xf>
    <xf applyAlignment="true" applyBorder="true" applyFill="false" applyFont="false" applyNumberFormat="true" borderId="5149" fillId="0" fontId="1" numFmtId="1000" quotePrefix="false">
      <alignment horizontal="center" vertical="top"/>
    </xf>
    <xf applyAlignment="true" applyBorder="true" applyFill="false" applyFont="false" applyNumberFormat="true" borderId="5150" fillId="0" fontId="1" numFmtId="1000" quotePrefix="false">
      <alignment horizontal="center" vertical="top"/>
    </xf>
    <xf applyAlignment="true" applyBorder="true" applyFill="false" applyFont="false" applyNumberFormat="true" borderId="5151" fillId="0" fontId="1" numFmtId="1000" quotePrefix="false">
      <alignment horizontal="center" vertical="top"/>
    </xf>
    <xf applyAlignment="true" applyBorder="true" applyFill="false" applyFont="false" applyNumberFormat="true" borderId="5152" fillId="0" fontId="1" numFmtId="1000" quotePrefix="false">
      <alignment horizontal="center" vertical="top"/>
    </xf>
    <xf applyAlignment="true" applyBorder="true" applyFill="false" applyFont="true" applyNumberFormat="true" borderId="5153" fillId="0" fontId="13" numFmtId="1000" quotePrefix="false">
      <alignment horizontal="center" textRotation="90" vertical="top"/>
    </xf>
    <xf applyAlignment="true" applyBorder="true" applyFill="false" applyFont="false" applyNumberFormat="true" borderId="5154" fillId="0" fontId="1" numFmtId="1000" quotePrefix="false">
      <alignment horizontal="center" vertical="top"/>
    </xf>
    <xf applyAlignment="true" applyBorder="true" applyFill="false" applyFont="false" applyNumberFormat="true" borderId="5155" fillId="0" fontId="1" numFmtId="1000" quotePrefix="false">
      <alignment horizontal="center" vertical="top"/>
    </xf>
    <xf applyAlignment="true" applyBorder="true" applyFill="false" applyFont="false" applyNumberFormat="true" borderId="5156" fillId="0" fontId="1" numFmtId="1000" quotePrefix="false">
      <alignment horizontal="center" vertical="top"/>
    </xf>
    <xf applyAlignment="true" applyBorder="true" applyFill="false" applyFont="false" applyNumberFormat="true" borderId="5157" fillId="0" fontId="1" numFmtId="1000" quotePrefix="false">
      <alignment horizontal="center" vertical="top"/>
    </xf>
    <xf applyAlignment="true" applyBorder="true" applyFill="false" applyFont="true" applyNumberFormat="true" borderId="5158" fillId="0" fontId="13" numFmtId="1000" quotePrefix="false">
      <alignment horizontal="center" textRotation="90" vertical="top"/>
    </xf>
    <xf applyAlignment="true" applyBorder="true" applyFill="false" applyFont="false" applyNumberFormat="true" borderId="5159" fillId="0" fontId="1" numFmtId="1000" quotePrefix="false">
      <alignment horizontal="center" vertical="top"/>
    </xf>
    <xf applyAlignment="true" applyBorder="true" applyFill="false" applyFont="false" applyNumberFormat="true" borderId="5160" fillId="0" fontId="1" numFmtId="1000" quotePrefix="false">
      <alignment horizontal="center" vertical="top"/>
    </xf>
    <xf applyAlignment="true" applyBorder="true" applyFill="false" applyFont="false" applyNumberFormat="true" borderId="5161" fillId="0" fontId="1" numFmtId="1000" quotePrefix="false">
      <alignment horizontal="center" vertical="top"/>
    </xf>
    <xf applyAlignment="true" applyBorder="true" applyFill="false" applyFont="false" applyNumberFormat="true" borderId="5162" fillId="0" fontId="1" numFmtId="1000" quotePrefix="false">
      <alignment horizontal="center" vertical="top"/>
    </xf>
    <xf applyAlignment="true" applyBorder="true" applyFill="false" applyFont="true" applyNumberFormat="true" borderId="5163" fillId="0" fontId="13" numFmtId="1000" quotePrefix="false">
      <alignment horizontal="center" textRotation="90" vertical="top"/>
    </xf>
    <xf applyAlignment="true" applyBorder="true" applyFill="false" applyFont="false" applyNumberFormat="true" borderId="5164" fillId="0" fontId="1" numFmtId="1000" quotePrefix="false">
      <alignment horizontal="center" vertical="top"/>
    </xf>
    <xf applyAlignment="true" applyBorder="true" applyFill="false" applyFont="false" applyNumberFormat="true" borderId="5165" fillId="0" fontId="1" numFmtId="1000" quotePrefix="false">
      <alignment horizontal="center" vertical="top"/>
    </xf>
    <xf applyAlignment="true" applyBorder="true" applyFill="false" applyFont="false" applyNumberFormat="true" borderId="5166" fillId="0" fontId="1" numFmtId="1000" quotePrefix="false">
      <alignment horizontal="center" vertical="top"/>
    </xf>
    <xf applyAlignment="true" applyBorder="true" applyFill="false" applyFont="false" applyNumberFormat="true" borderId="5167" fillId="0" fontId="1" numFmtId="1000" quotePrefix="false">
      <alignment horizontal="center" vertical="top"/>
    </xf>
    <xf applyAlignment="true" applyBorder="true" applyFill="false" applyFont="true" applyNumberFormat="true" borderId="5168" fillId="0" fontId="13" numFmtId="1000" quotePrefix="false">
      <alignment horizontal="center" textRotation="90" vertical="top"/>
    </xf>
    <xf applyAlignment="true" applyBorder="true" applyFill="false" applyFont="false" applyNumberFormat="true" borderId="5169" fillId="0" fontId="1" numFmtId="1000" quotePrefix="false">
      <alignment horizontal="center" vertical="top"/>
    </xf>
    <xf applyAlignment="true" applyBorder="true" applyFill="false" applyFont="false" applyNumberFormat="true" borderId="5170" fillId="0" fontId="1" numFmtId="1000" quotePrefix="false">
      <alignment horizontal="center" vertical="top"/>
    </xf>
    <xf applyAlignment="true" applyBorder="true" applyFill="false" applyFont="false" applyNumberFormat="true" borderId="5171" fillId="0" fontId="1" numFmtId="1000" quotePrefix="false">
      <alignment horizontal="center" vertical="top"/>
    </xf>
    <xf applyAlignment="true" applyBorder="true" applyFill="false" applyFont="false" applyNumberFormat="true" borderId="5172" fillId="0" fontId="1" numFmtId="1000" quotePrefix="false">
      <alignment horizontal="center" vertical="top"/>
    </xf>
    <xf applyAlignment="true" applyBorder="true" applyFill="false" applyFont="true" applyNumberFormat="true" borderId="5173" fillId="0" fontId="13" numFmtId="1000" quotePrefix="false">
      <alignment horizontal="center" textRotation="90" vertical="top"/>
    </xf>
    <xf applyAlignment="true" applyBorder="true" applyFill="false" applyFont="false" applyNumberFormat="true" borderId="5174" fillId="0" fontId="1" numFmtId="1000" quotePrefix="false">
      <alignment horizontal="center" vertical="top"/>
    </xf>
    <xf applyAlignment="true" applyBorder="true" applyFill="false" applyFont="false" applyNumberFormat="true" borderId="5175" fillId="0" fontId="1" numFmtId="1000" quotePrefix="false">
      <alignment horizontal="center" vertical="top"/>
    </xf>
    <xf applyAlignment="true" applyBorder="true" applyFill="false" applyFont="false" applyNumberFormat="true" borderId="5176" fillId="0" fontId="1" numFmtId="1000" quotePrefix="false">
      <alignment horizontal="center" vertical="top"/>
    </xf>
    <xf applyAlignment="true" applyBorder="true" applyFill="false" applyFont="false" applyNumberFormat="true" borderId="5177" fillId="0" fontId="1" numFmtId="1000" quotePrefix="false">
      <alignment horizontal="center" vertical="top"/>
    </xf>
    <xf applyAlignment="true" applyBorder="true" applyFill="false" applyFont="true" applyNumberFormat="true" borderId="5178" fillId="0" fontId="13" numFmtId="1000" quotePrefix="false">
      <alignment horizontal="center" textRotation="90" vertical="top"/>
    </xf>
    <xf applyAlignment="true" applyBorder="true" applyFill="false" applyFont="false" applyNumberFormat="true" borderId="5179" fillId="0" fontId="1" numFmtId="1000" quotePrefix="false">
      <alignment horizontal="center" vertical="top"/>
    </xf>
    <xf applyAlignment="true" applyBorder="true" applyFill="false" applyFont="false" applyNumberFormat="true" borderId="5180" fillId="0" fontId="1" numFmtId="1000" quotePrefix="false">
      <alignment horizontal="center" vertical="top"/>
    </xf>
    <xf applyAlignment="true" applyBorder="true" applyFill="false" applyFont="false" applyNumberFormat="true" borderId="5181" fillId="0" fontId="1" numFmtId="1000" quotePrefix="false">
      <alignment horizontal="center" vertical="top"/>
    </xf>
    <xf applyAlignment="true" applyBorder="true" applyFill="false" applyFont="false" applyNumberFormat="true" borderId="5182" fillId="0" fontId="1" numFmtId="1000" quotePrefix="false">
      <alignment horizontal="center" vertical="top"/>
    </xf>
    <xf applyAlignment="true" applyBorder="true" applyFill="false" applyFont="true" applyNumberFormat="true" borderId="5183" fillId="0" fontId="13" numFmtId="1000" quotePrefix="false">
      <alignment horizontal="center" textRotation="90" vertical="top"/>
    </xf>
    <xf applyAlignment="true" applyBorder="true" applyFill="false" applyFont="false" applyNumberFormat="true" borderId="5184" fillId="0" fontId="1" numFmtId="1000" quotePrefix="false">
      <alignment horizontal="center" vertical="top"/>
    </xf>
    <xf applyAlignment="true" applyBorder="true" applyFill="false" applyFont="false" applyNumberFormat="true" borderId="5185" fillId="0" fontId="1" numFmtId="1000" quotePrefix="false">
      <alignment horizontal="center" vertical="top"/>
    </xf>
    <xf applyAlignment="true" applyBorder="true" applyFill="false" applyFont="false" applyNumberFormat="true" borderId="5186" fillId="0" fontId="1" numFmtId="1000" quotePrefix="false">
      <alignment horizontal="center" vertical="top"/>
    </xf>
    <xf applyAlignment="true" applyBorder="true" applyFill="false" applyFont="false" applyNumberFormat="true" borderId="5187" fillId="0" fontId="1" numFmtId="1000" quotePrefix="false">
      <alignment horizontal="center" vertical="top"/>
    </xf>
    <xf applyAlignment="true" applyBorder="true" applyFill="false" applyFont="true" applyNumberFormat="true" borderId="5188" fillId="0" fontId="13" numFmtId="1000" quotePrefix="false">
      <alignment horizontal="center" textRotation="90" vertical="top"/>
    </xf>
    <xf applyAlignment="true" applyBorder="true" applyFill="false" applyFont="false" applyNumberFormat="true" borderId="5189" fillId="0" fontId="1" numFmtId="1000" quotePrefix="false">
      <alignment horizontal="center" vertical="top"/>
    </xf>
    <xf applyAlignment="true" applyBorder="true" applyFill="false" applyFont="false" applyNumberFormat="true" borderId="5190" fillId="0" fontId="1" numFmtId="1000" quotePrefix="false">
      <alignment horizontal="center" vertical="top"/>
    </xf>
    <xf applyAlignment="true" applyBorder="true" applyFill="false" applyFont="false" applyNumberFormat="true" borderId="5191" fillId="0" fontId="1" numFmtId="1000" quotePrefix="false">
      <alignment horizontal="center" vertical="top"/>
    </xf>
    <xf applyAlignment="true" applyBorder="true" applyFill="false" applyFont="false" applyNumberFormat="true" borderId="5192" fillId="0" fontId="1" numFmtId="1000" quotePrefix="false">
      <alignment horizontal="center" vertical="top"/>
    </xf>
    <xf applyAlignment="true" applyBorder="true" applyFill="false" applyFont="false" applyNumberFormat="true" borderId="5193" fillId="0" fontId="1" numFmtId="1000" quotePrefix="false">
      <alignment horizontal="center" vertical="top"/>
    </xf>
    <xf applyAlignment="true" applyBorder="true" applyFill="false" applyFont="false" applyNumberFormat="true" borderId="5194" fillId="0" fontId="1" numFmtId="1000" quotePrefix="false">
      <alignment horizontal="center" vertical="top"/>
    </xf>
    <xf applyAlignment="true" applyBorder="true" applyFill="false" applyFont="true" applyNumberFormat="true" borderId="5195" fillId="0" fontId="13" numFmtId="1000" quotePrefix="false">
      <alignment horizontal="center" textRotation="90" vertical="top"/>
    </xf>
    <xf applyAlignment="true" applyBorder="true" applyFill="false" applyFont="true" applyNumberFormat="true" borderId="5196" fillId="0" fontId="2" numFmtId="1000" quotePrefix="false">
      <alignment horizontal="center" vertical="top"/>
    </xf>
    <xf applyAlignment="true" applyBorder="true" applyFill="false" applyFont="false" applyNumberFormat="true" borderId="5197" fillId="0" fontId="1" numFmtId="1000" quotePrefix="false">
      <alignment horizontal="left" vertical="top"/>
    </xf>
    <xf applyAlignment="true" applyBorder="true" applyFill="false" applyFont="false" applyNumberFormat="true" borderId="5198" fillId="0" fontId="1" numFmtId="1000" quotePrefix="false">
      <alignment horizontal="left" vertical="top"/>
    </xf>
    <xf applyAlignment="true" applyBorder="true" applyFill="false" applyFont="false" applyNumberFormat="true" borderId="5199" fillId="0" fontId="1" numFmtId="1000" quotePrefix="false">
      <alignment horizontal="left" vertical="top"/>
    </xf>
    <xf applyAlignment="true" applyBorder="true" applyFill="false" applyFont="false" applyNumberFormat="true" borderId="5200" fillId="0" fontId="1" numFmtId="1000" quotePrefix="false">
      <alignment horizontal="left" vertical="top"/>
    </xf>
    <xf applyAlignment="true" applyBorder="true" applyFill="false" applyFont="false" applyNumberFormat="true" borderId="5201" fillId="0" fontId="1" numFmtId="1000" quotePrefix="false">
      <alignment horizontal="left" vertical="top"/>
    </xf>
    <xf applyAlignment="true" applyBorder="true" applyFill="false" applyFont="false" applyNumberFormat="true" borderId="5202" fillId="0" fontId="1" numFmtId="1000" quotePrefix="false">
      <alignment horizontal="left" vertical="top"/>
    </xf>
    <xf applyAlignment="true" applyBorder="true" applyFill="false" applyFont="false" applyNumberFormat="true" borderId="5203" fillId="0" fontId="1" numFmtId="1000" quotePrefix="false">
      <alignment horizontal="left" vertical="top"/>
    </xf>
    <xf applyAlignment="true" applyBorder="true" applyFill="false" applyFont="false" applyNumberFormat="true" borderId="5204" fillId="0" fontId="1" numFmtId="1000" quotePrefix="false">
      <alignment horizontal="left" vertical="top"/>
    </xf>
    <xf applyAlignment="true" applyBorder="true" applyFill="false" applyFont="false" applyNumberFormat="true" borderId="5205" fillId="0" fontId="1" numFmtId="1000" quotePrefix="false">
      <alignment horizontal="left" vertical="top"/>
    </xf>
    <xf applyAlignment="true" applyBorder="true" applyFill="false" applyFont="false" applyNumberFormat="true" borderId="5206" fillId="0" fontId="1" numFmtId="1000" quotePrefix="false">
      <alignment horizontal="left" vertical="top"/>
    </xf>
    <xf applyAlignment="true" applyBorder="true" applyFill="false" applyFont="false" applyNumberFormat="true" borderId="5207" fillId="0" fontId="1" numFmtId="1000" quotePrefix="false">
      <alignment horizontal="left" vertical="top"/>
    </xf>
    <xf applyAlignment="true" applyBorder="true" applyFill="false" applyFont="false" applyNumberFormat="true" borderId="5208" fillId="0" fontId="1" numFmtId="1000" quotePrefix="false">
      <alignment horizontal="left" vertical="top"/>
    </xf>
    <xf applyAlignment="true" applyBorder="true" applyFill="false" applyFont="false" applyNumberFormat="true" borderId="5209" fillId="0" fontId="1" numFmtId="1000" quotePrefix="false">
      <alignment horizontal="left" vertical="top"/>
    </xf>
    <xf applyAlignment="true" applyBorder="true" applyFill="false" applyFont="false" applyNumberFormat="true" borderId="5210" fillId="0" fontId="1" numFmtId="1000" quotePrefix="false">
      <alignment horizontal="left" vertical="top"/>
    </xf>
    <xf applyAlignment="true" applyBorder="true" applyFill="false" applyFont="false" applyNumberFormat="true" borderId="5211" fillId="0" fontId="1" numFmtId="1000" quotePrefix="false">
      <alignment horizontal="left" vertical="top"/>
    </xf>
    <xf applyAlignment="true" applyBorder="true" applyFill="false" applyFont="false" applyNumberFormat="true" borderId="5212" fillId="0" fontId="1" numFmtId="1000" quotePrefix="false">
      <alignment horizontal="left" vertical="top"/>
    </xf>
    <xf applyAlignment="true" applyBorder="true" applyFill="false" applyFont="false" applyNumberFormat="true" borderId="5213" fillId="0" fontId="1" numFmtId="1000" quotePrefix="false">
      <alignment horizontal="left" vertical="top"/>
    </xf>
    <xf applyAlignment="true" applyBorder="true" applyFill="false" applyFont="false" applyNumberFormat="true" borderId="5214" fillId="0" fontId="1" numFmtId="1000" quotePrefix="false">
      <alignment horizontal="left" vertical="top"/>
    </xf>
    <xf applyAlignment="true" applyBorder="true" applyFill="false" applyFont="false" applyNumberFormat="true" borderId="5215" fillId="0" fontId="1" numFmtId="1000" quotePrefix="false">
      <alignment horizontal="left" vertical="top"/>
    </xf>
    <xf applyAlignment="true" applyBorder="true" applyFill="false" applyFont="true" applyNumberFormat="true" borderId="5216" fillId="0" fontId="13" numFmtId="1000" quotePrefix="false">
      <alignment horizontal="center" textRotation="90" vertical="top"/>
    </xf>
    <xf applyAlignment="true" applyBorder="true" applyFill="false" applyFont="true" applyNumberFormat="true" borderId="5217" fillId="0" fontId="2" numFmtId="1000" quotePrefix="false">
      <alignment horizontal="center"/>
    </xf>
    <xf applyAlignment="true" applyBorder="true" applyFill="false" applyFont="true" applyNumberFormat="true" borderId="5218" fillId="0" fontId="2" numFmtId="1000" quotePrefix="false">
      <alignment horizontal="center"/>
    </xf>
    <xf applyAlignment="true" applyBorder="true" applyFill="false" applyFont="true" applyNumberFormat="true" borderId="5219" fillId="0" fontId="2" numFmtId="1000" quotePrefix="false">
      <alignment horizontal="center"/>
    </xf>
    <xf applyAlignment="true" applyBorder="true" applyFill="false" applyFont="false" applyNumberFormat="true" borderId="5220" fillId="0" fontId="1" numFmtId="1000" quotePrefix="false">
      <alignment horizontal="center" vertical="top"/>
    </xf>
    <xf applyAlignment="true" applyBorder="true" applyFill="false" applyFont="false" applyNumberFormat="true" borderId="5221" fillId="0" fontId="1" numFmtId="1000" quotePrefix="false">
      <alignment horizontal="center" vertical="top"/>
    </xf>
    <xf applyAlignment="true" applyBorder="true" applyFill="false" applyFont="false" applyNumberFormat="true" borderId="5222" fillId="0" fontId="1" numFmtId="1000" quotePrefix="false">
      <alignment horizontal="center" vertical="top"/>
    </xf>
    <xf applyAlignment="true" applyBorder="true" applyFill="false" applyFont="false" applyNumberFormat="true" borderId="5223" fillId="0" fontId="1" numFmtId="1000" quotePrefix="false">
      <alignment horizontal="center" vertical="top"/>
    </xf>
    <xf applyAlignment="true" applyBorder="true" applyFill="false" applyFont="false" applyNumberFormat="true" borderId="5224" fillId="0" fontId="1" numFmtId="1000" quotePrefix="false">
      <alignment horizontal="center" vertical="top"/>
    </xf>
    <xf applyAlignment="true" applyBorder="true" applyFill="false" applyFont="false" applyNumberFormat="true" borderId="5225" fillId="0" fontId="1" numFmtId="1000" quotePrefix="false">
      <alignment horizontal="center" vertical="top"/>
    </xf>
    <xf applyAlignment="true" applyBorder="true" applyFill="false" applyFont="false" applyNumberFormat="true" borderId="5226" fillId="0" fontId="1" numFmtId="1000" quotePrefix="false">
      <alignment horizontal="center" vertical="top"/>
    </xf>
    <xf applyAlignment="true" applyBorder="true" applyFill="false" applyFont="false" applyNumberFormat="true" borderId="5227" fillId="0" fontId="1" numFmtId="1000" quotePrefix="false">
      <alignment horizontal="center" vertical="top"/>
    </xf>
    <xf applyAlignment="true" applyBorder="true" applyFill="false" applyFont="false" applyNumberFormat="true" borderId="5228" fillId="0" fontId="1" numFmtId="1000" quotePrefix="false">
      <alignment horizontal="center" vertical="top"/>
    </xf>
    <xf applyAlignment="true" applyBorder="true" applyFill="false" applyFont="false" applyNumberFormat="true" borderId="5229" fillId="0" fontId="1" numFmtId="1000" quotePrefix="false">
      <alignment horizontal="center" vertical="top"/>
    </xf>
    <xf applyAlignment="true" applyBorder="true" applyFill="false" applyFont="false" applyNumberFormat="true" borderId="5230" fillId="0" fontId="1" numFmtId="1000" quotePrefix="false">
      <alignment horizontal="center" vertical="top"/>
    </xf>
    <xf applyAlignment="true" applyBorder="true" applyFill="false" applyFont="false" applyNumberFormat="true" borderId="5231" fillId="0" fontId="1" numFmtId="1000" quotePrefix="false">
      <alignment horizontal="center" vertical="top"/>
    </xf>
    <xf applyAlignment="true" applyBorder="true" applyFill="false" applyFont="false" applyNumberFormat="true" borderId="5232" fillId="0" fontId="1" numFmtId="1000" quotePrefix="false">
      <alignment horizontal="center" vertical="top"/>
    </xf>
    <xf applyAlignment="true" applyBorder="true" applyFill="false" applyFont="false" applyNumberFormat="true" borderId="5233" fillId="0" fontId="1" numFmtId="1000" quotePrefix="false">
      <alignment horizontal="center" vertical="top"/>
    </xf>
    <xf applyAlignment="true" applyBorder="true" applyFill="false" applyFont="false" applyNumberFormat="true" borderId="5234" fillId="0" fontId="1" numFmtId="1000" quotePrefix="false">
      <alignment horizontal="center" vertical="top"/>
    </xf>
    <xf applyAlignment="true" applyBorder="true" applyFill="false" applyFont="false" applyNumberFormat="true" borderId="5235" fillId="0" fontId="1" numFmtId="1000" quotePrefix="false">
      <alignment horizontal="center" vertical="top"/>
    </xf>
    <xf applyAlignment="true" applyBorder="true" applyFill="false" applyFont="true" applyNumberFormat="true" borderId="5236" fillId="0" fontId="13" numFmtId="1000" quotePrefix="false">
      <alignment horizontal="center" textRotation="90" vertical="top"/>
    </xf>
    <xf applyAlignment="true" applyBorder="true" applyFill="false" applyFont="false" applyNumberFormat="true" borderId="5237" fillId="0" fontId="1" numFmtId="1000" quotePrefix="false">
      <alignment horizontal="center" vertical="top"/>
    </xf>
    <xf applyAlignment="true" applyBorder="true" applyFill="false" applyFont="false" applyNumberFormat="true" borderId="5238" fillId="0" fontId="1" numFmtId="1000" quotePrefix="false">
      <alignment horizontal="center" vertical="top"/>
    </xf>
    <xf applyAlignment="true" applyBorder="true" applyFill="false" applyFont="false" applyNumberFormat="true" borderId="5239" fillId="0" fontId="1" numFmtId="1000" quotePrefix="false">
      <alignment horizontal="center" vertical="top"/>
    </xf>
    <xf applyAlignment="true" applyBorder="true" applyFill="false" applyFont="false" applyNumberFormat="true" borderId="5240" fillId="0" fontId="1" numFmtId="1000" quotePrefix="false">
      <alignment horizontal="center" vertical="top"/>
    </xf>
    <xf applyAlignment="true" applyBorder="true" applyFill="false" applyFont="true" applyNumberFormat="true" borderId="5241" fillId="0" fontId="13" numFmtId="1000" quotePrefix="false">
      <alignment horizontal="center" textRotation="90" vertical="top"/>
    </xf>
    <xf applyAlignment="true" applyBorder="true" applyFill="false" applyFont="false" applyNumberFormat="true" borderId="5242" fillId="0" fontId="1" numFmtId="1000" quotePrefix="false">
      <alignment horizontal="center" vertical="top"/>
    </xf>
    <xf applyAlignment="true" applyBorder="true" applyFill="false" applyFont="false" applyNumberFormat="true" borderId="5243" fillId="0" fontId="1" numFmtId="1000" quotePrefix="false">
      <alignment horizontal="center" vertical="top"/>
    </xf>
    <xf applyAlignment="true" applyBorder="true" applyFill="false" applyFont="false" applyNumberFormat="true" borderId="5244" fillId="0" fontId="1" numFmtId="1000" quotePrefix="false">
      <alignment horizontal="center" vertical="top"/>
    </xf>
    <xf applyAlignment="true" applyBorder="true" applyFill="false" applyFont="false" applyNumberFormat="true" borderId="5245" fillId="0" fontId="1" numFmtId="1000" quotePrefix="false">
      <alignment horizontal="center" vertical="top"/>
    </xf>
    <xf applyAlignment="true" applyBorder="true" applyFill="false" applyFont="true" applyNumberFormat="true" borderId="5246" fillId="0" fontId="13" numFmtId="1000" quotePrefix="false">
      <alignment horizontal="center" textRotation="90" vertical="top"/>
    </xf>
    <xf applyAlignment="true" applyBorder="true" applyFill="false" applyFont="false" applyNumberFormat="true" borderId="5247" fillId="0" fontId="1" numFmtId="1000" quotePrefix="false">
      <alignment horizontal="center" vertical="top"/>
    </xf>
    <xf applyAlignment="true" applyBorder="true" applyFill="false" applyFont="false" applyNumberFormat="true" borderId="5248" fillId="0" fontId="1" numFmtId="1000" quotePrefix="false">
      <alignment horizontal="center" vertical="top"/>
    </xf>
    <xf applyAlignment="true" applyBorder="true" applyFill="false" applyFont="false" applyNumberFormat="true" borderId="5249" fillId="0" fontId="1" numFmtId="1000" quotePrefix="false">
      <alignment horizontal="center" vertical="top"/>
    </xf>
    <xf applyAlignment="true" applyBorder="true" applyFill="false" applyFont="false" applyNumberFormat="true" borderId="5250" fillId="0" fontId="1" numFmtId="1000" quotePrefix="false">
      <alignment horizontal="center" vertical="top"/>
    </xf>
    <xf applyAlignment="true" applyBorder="true" applyFill="false" applyFont="true" applyNumberFormat="true" borderId="5251" fillId="0" fontId="13" numFmtId="1000" quotePrefix="false">
      <alignment horizontal="center" textRotation="90" vertical="top"/>
    </xf>
    <xf applyAlignment="true" applyBorder="true" applyFill="false" applyFont="false" applyNumberFormat="true" borderId="5252" fillId="0" fontId="1" numFmtId="1000" quotePrefix="false">
      <alignment horizontal="center" vertical="top"/>
    </xf>
    <xf applyAlignment="true" applyBorder="true" applyFill="false" applyFont="false" applyNumberFormat="true" borderId="5253" fillId="0" fontId="1" numFmtId="1000" quotePrefix="false">
      <alignment horizontal="center" vertical="top"/>
    </xf>
    <xf applyAlignment="true" applyBorder="true" applyFill="false" applyFont="false" applyNumberFormat="true" borderId="5254" fillId="0" fontId="1" numFmtId="1000" quotePrefix="false">
      <alignment horizontal="center" vertical="top"/>
    </xf>
    <xf applyAlignment="true" applyBorder="true" applyFill="false" applyFont="false" applyNumberFormat="true" borderId="5255" fillId="0" fontId="1" numFmtId="1000" quotePrefix="false">
      <alignment horizontal="center" vertical="top"/>
    </xf>
    <xf applyAlignment="true" applyBorder="true" applyFill="false" applyFont="true" applyNumberFormat="true" borderId="5256" fillId="0" fontId="13" numFmtId="1000" quotePrefix="false">
      <alignment horizontal="center" textRotation="90" vertical="top"/>
    </xf>
    <xf applyAlignment="true" applyBorder="true" applyFill="false" applyFont="false" applyNumberFormat="true" borderId="5257" fillId="0" fontId="1" numFmtId="1000" quotePrefix="false">
      <alignment horizontal="center" vertical="top"/>
    </xf>
    <xf applyAlignment="true" applyBorder="true" applyFill="false" applyFont="false" applyNumberFormat="true" borderId="5258" fillId="0" fontId="1" numFmtId="1000" quotePrefix="false">
      <alignment horizontal="center" vertical="top"/>
    </xf>
    <xf applyAlignment="true" applyBorder="true" applyFill="false" applyFont="false" applyNumberFormat="true" borderId="5259" fillId="0" fontId="1" numFmtId="1000" quotePrefix="false">
      <alignment horizontal="center" vertical="top"/>
    </xf>
    <xf applyAlignment="true" applyBorder="true" applyFill="false" applyFont="false" applyNumberFormat="true" borderId="5260" fillId="0" fontId="1" numFmtId="1000" quotePrefix="false">
      <alignment horizontal="center" vertical="top"/>
    </xf>
    <xf applyAlignment="true" applyBorder="true" applyFill="false" applyFont="true" applyNumberFormat="true" borderId="5261" fillId="0" fontId="13" numFmtId="1000" quotePrefix="false">
      <alignment horizontal="center" textRotation="90" vertical="top"/>
    </xf>
    <xf applyAlignment="true" applyBorder="true" applyFill="false" applyFont="false" applyNumberFormat="true" borderId="5262" fillId="0" fontId="1" numFmtId="1000" quotePrefix="false">
      <alignment horizontal="center" vertical="top"/>
    </xf>
    <xf applyAlignment="true" applyBorder="true" applyFill="false" applyFont="false" applyNumberFormat="true" borderId="5263" fillId="0" fontId="1" numFmtId="1000" quotePrefix="false">
      <alignment horizontal="center" vertical="top"/>
    </xf>
    <xf applyAlignment="true" applyBorder="true" applyFill="false" applyFont="false" applyNumberFormat="true" borderId="5264" fillId="0" fontId="1" numFmtId="1000" quotePrefix="false">
      <alignment horizontal="center" vertical="top"/>
    </xf>
    <xf applyAlignment="true" applyBorder="true" applyFill="false" applyFont="false" applyNumberFormat="true" borderId="5265" fillId="0" fontId="1" numFmtId="1000" quotePrefix="false">
      <alignment horizontal="center" vertical="top"/>
    </xf>
    <xf applyAlignment="true" applyBorder="true" applyFill="false" applyFont="true" applyNumberFormat="true" borderId="5266" fillId="0" fontId="13" numFmtId="1000" quotePrefix="false">
      <alignment horizontal="center" textRotation="90" vertical="top"/>
    </xf>
    <xf applyAlignment="true" applyBorder="true" applyFill="false" applyFont="false" applyNumberFormat="true" borderId="5267" fillId="0" fontId="1" numFmtId="1000" quotePrefix="false">
      <alignment horizontal="center" vertical="top"/>
    </xf>
    <xf applyAlignment="true" applyBorder="true" applyFill="false" applyFont="false" applyNumberFormat="true" borderId="5268" fillId="0" fontId="1" numFmtId="1000" quotePrefix="false">
      <alignment horizontal="center" vertical="top"/>
    </xf>
    <xf applyAlignment="true" applyBorder="true" applyFill="false" applyFont="false" applyNumberFormat="true" borderId="5269" fillId="0" fontId="1" numFmtId="1000" quotePrefix="false">
      <alignment horizontal="center" vertical="top"/>
    </xf>
    <xf applyAlignment="true" applyBorder="true" applyFill="false" applyFont="false" applyNumberFormat="true" borderId="5270" fillId="0" fontId="1" numFmtId="1000" quotePrefix="false">
      <alignment horizontal="center" vertical="top"/>
    </xf>
    <xf applyAlignment="true" applyBorder="true" applyFill="false" applyFont="true" applyNumberFormat="true" borderId="5271" fillId="0" fontId="13" numFmtId="1000" quotePrefix="false">
      <alignment horizontal="center" textRotation="90" vertical="top"/>
    </xf>
    <xf applyAlignment="true" applyBorder="true" applyFill="false" applyFont="false" applyNumberFormat="true" borderId="5272" fillId="0" fontId="1" numFmtId="1000" quotePrefix="false">
      <alignment horizontal="center" vertical="top"/>
    </xf>
    <xf applyAlignment="true" applyBorder="true" applyFill="false" applyFont="false" applyNumberFormat="true" borderId="5273" fillId="0" fontId="1" numFmtId="1000" quotePrefix="false">
      <alignment horizontal="center" vertical="top"/>
    </xf>
    <xf applyAlignment="true" applyBorder="true" applyFill="false" applyFont="false" applyNumberFormat="true" borderId="5274" fillId="0" fontId="1" numFmtId="1000" quotePrefix="false">
      <alignment horizontal="center" vertical="top"/>
    </xf>
    <xf applyAlignment="true" applyBorder="true" applyFill="false" applyFont="false" applyNumberFormat="true" borderId="5275" fillId="0" fontId="1" numFmtId="1000" quotePrefix="false">
      <alignment horizontal="center" vertical="top"/>
    </xf>
    <xf applyAlignment="true" applyBorder="true" applyFill="false" applyFont="true" applyNumberFormat="true" borderId="5276" fillId="0" fontId="13" numFmtId="1000" quotePrefix="false">
      <alignment horizontal="center" textRotation="90" vertical="top"/>
    </xf>
    <xf applyAlignment="true" applyBorder="true" applyFill="false" applyFont="false" applyNumberFormat="true" borderId="5277" fillId="0" fontId="1" numFmtId="1000" quotePrefix="false">
      <alignment horizontal="center" vertical="top"/>
    </xf>
    <xf applyAlignment="true" applyBorder="true" applyFill="false" applyFont="false" applyNumberFormat="true" borderId="5278" fillId="0" fontId="1" numFmtId="1000" quotePrefix="false">
      <alignment horizontal="center" vertical="top"/>
    </xf>
    <xf applyAlignment="true" applyBorder="true" applyFill="false" applyFont="false" applyNumberFormat="true" borderId="5279" fillId="0" fontId="1" numFmtId="1000" quotePrefix="false">
      <alignment horizontal="center" vertical="top"/>
    </xf>
    <xf applyAlignment="true" applyBorder="true" applyFill="false" applyFont="false" applyNumberFormat="true" borderId="5280" fillId="0" fontId="1" numFmtId="1000" quotePrefix="false">
      <alignment horizontal="center" vertical="top"/>
    </xf>
    <xf applyAlignment="true" applyBorder="true" applyFill="false" applyFont="false" applyNumberFormat="true" borderId="5281" fillId="0" fontId="1" numFmtId="1000" quotePrefix="false">
      <alignment horizontal="center" vertical="top"/>
    </xf>
    <xf applyAlignment="true" applyBorder="true" applyFill="false" applyFont="false" applyNumberFormat="true" borderId="5282" fillId="0" fontId="1" numFmtId="1000" quotePrefix="false">
      <alignment horizontal="center" vertical="top"/>
    </xf>
    <xf applyAlignment="true" applyBorder="true" applyFill="false" applyFont="true" applyNumberFormat="true" borderId="5283" fillId="0" fontId="13" numFmtId="1000" quotePrefix="false">
      <alignment horizontal="center" textRotation="90" vertical="top"/>
    </xf>
    <xf applyAlignment="true" applyBorder="true" applyFill="false" applyFont="true" applyNumberFormat="true" borderId="5284" fillId="0" fontId="2" numFmtId="1000" quotePrefix="false">
      <alignment horizontal="center" vertical="top"/>
    </xf>
    <xf applyAlignment="true" applyBorder="true" applyFill="false" applyFont="false" applyNumberFormat="true" borderId="5285" fillId="0" fontId="1" numFmtId="1000" quotePrefix="false">
      <alignment horizontal="left" vertical="top"/>
    </xf>
    <xf applyAlignment="true" applyBorder="true" applyFill="false" applyFont="false" applyNumberFormat="true" borderId="5286" fillId="0" fontId="1" numFmtId="1000" quotePrefix="false">
      <alignment horizontal="left" vertical="top"/>
    </xf>
    <xf applyAlignment="true" applyBorder="true" applyFill="false" applyFont="false" applyNumberFormat="true" borderId="5287" fillId="0" fontId="1" numFmtId="1000" quotePrefix="false">
      <alignment horizontal="left" vertical="top"/>
    </xf>
    <xf applyAlignment="true" applyBorder="true" applyFill="false" applyFont="false" applyNumberFormat="true" borderId="5288" fillId="0" fontId="1" numFmtId="1000" quotePrefix="false">
      <alignment horizontal="left" vertical="top"/>
    </xf>
    <xf applyAlignment="true" applyBorder="true" applyFill="false" applyFont="false" applyNumberFormat="true" borderId="5289" fillId="0" fontId="1" numFmtId="1000" quotePrefix="false">
      <alignment horizontal="left" vertical="top"/>
    </xf>
    <xf applyAlignment="true" applyBorder="true" applyFill="false" applyFont="false" applyNumberFormat="true" borderId="5290" fillId="0" fontId="1" numFmtId="1000" quotePrefix="false">
      <alignment horizontal="left" vertical="top"/>
    </xf>
    <xf applyAlignment="true" applyBorder="true" applyFill="false" applyFont="false" applyNumberFormat="true" borderId="5291" fillId="0" fontId="1" numFmtId="1000" quotePrefix="false">
      <alignment horizontal="left" vertical="top"/>
    </xf>
    <xf applyAlignment="true" applyBorder="true" applyFill="false" applyFont="false" applyNumberFormat="true" borderId="5292" fillId="0" fontId="1" numFmtId="1000" quotePrefix="false">
      <alignment horizontal="left" vertical="top"/>
    </xf>
    <xf applyAlignment="true" applyBorder="true" applyFill="false" applyFont="false" applyNumberFormat="true" borderId="5293" fillId="0" fontId="1" numFmtId="1000" quotePrefix="false">
      <alignment horizontal="left" vertical="top"/>
    </xf>
    <xf applyAlignment="true" applyBorder="true" applyFill="false" applyFont="false" applyNumberFormat="true" borderId="5294" fillId="0" fontId="1" numFmtId="1000" quotePrefix="false">
      <alignment horizontal="left" vertical="top"/>
    </xf>
    <xf applyAlignment="true" applyBorder="true" applyFill="false" applyFont="false" applyNumberFormat="true" borderId="5295" fillId="0" fontId="1" numFmtId="1000" quotePrefix="false">
      <alignment horizontal="left" vertical="top"/>
    </xf>
    <xf applyAlignment="true" applyBorder="true" applyFill="false" applyFont="false" applyNumberFormat="true" borderId="5296" fillId="0" fontId="1" numFmtId="1000" quotePrefix="false">
      <alignment horizontal="left" vertical="top"/>
    </xf>
    <xf applyAlignment="true" applyBorder="true" applyFill="false" applyFont="false" applyNumberFormat="true" borderId="5297" fillId="0" fontId="1" numFmtId="1000" quotePrefix="false">
      <alignment horizontal="left" vertical="top"/>
    </xf>
    <xf applyAlignment="true" applyBorder="true" applyFill="false" applyFont="false" applyNumberFormat="true" borderId="5298" fillId="0" fontId="1" numFmtId="1000" quotePrefix="false">
      <alignment horizontal="left" vertical="top"/>
    </xf>
    <xf applyAlignment="true" applyBorder="true" applyFill="false" applyFont="false" applyNumberFormat="true" borderId="5299" fillId="0" fontId="1" numFmtId="1000" quotePrefix="false">
      <alignment horizontal="left" vertical="top"/>
    </xf>
    <xf applyAlignment="true" applyBorder="true" applyFill="false" applyFont="false" applyNumberFormat="true" borderId="5300" fillId="0" fontId="1" numFmtId="1000" quotePrefix="false">
      <alignment horizontal="left" vertical="top"/>
    </xf>
    <xf applyAlignment="true" applyBorder="true" applyFill="false" applyFont="false" applyNumberFormat="true" borderId="5301" fillId="0" fontId="1" numFmtId="1000" quotePrefix="false">
      <alignment horizontal="left" vertical="top"/>
    </xf>
    <xf applyAlignment="true" applyBorder="true" applyFill="false" applyFont="false" applyNumberFormat="true" borderId="5302" fillId="0" fontId="1" numFmtId="1000" quotePrefix="false">
      <alignment horizontal="left" vertical="top"/>
    </xf>
    <xf applyAlignment="true" applyBorder="true" applyFill="false" applyFont="false" applyNumberFormat="true" borderId="5303" fillId="0" fontId="1" numFmtId="1000" quotePrefix="false">
      <alignment horizontal="left" vertical="top"/>
    </xf>
    <xf applyAlignment="true" applyBorder="true" applyFill="false" applyFont="true" applyNumberFormat="true" borderId="5304" fillId="0" fontId="13" numFmtId="1000" quotePrefix="false">
      <alignment horizontal="center" textRotation="90" vertical="top"/>
    </xf>
    <xf applyAlignment="true" applyBorder="true" applyFill="false" applyFont="true" applyNumberFormat="true" borderId="5305" fillId="0" fontId="2" numFmtId="1000" quotePrefix="false">
      <alignment horizontal="center"/>
    </xf>
    <xf applyAlignment="true" applyBorder="true" applyFill="false" applyFont="true" applyNumberFormat="true" borderId="5306" fillId="0" fontId="2" numFmtId="1000" quotePrefix="false">
      <alignment horizontal="center"/>
    </xf>
    <xf applyAlignment="true" applyBorder="true" applyFill="false" applyFont="true" applyNumberFormat="true" borderId="5307" fillId="0" fontId="2" numFmtId="1000" quotePrefix="false">
      <alignment horizontal="center"/>
    </xf>
    <xf applyAlignment="true" applyBorder="true" applyFill="false" applyFont="false" applyNumberFormat="true" borderId="5308" fillId="0" fontId="1" numFmtId="1000" quotePrefix="false">
      <alignment horizontal="center" vertical="top"/>
    </xf>
    <xf applyAlignment="true" applyBorder="true" applyFill="false" applyFont="false" applyNumberFormat="true" borderId="5309" fillId="0" fontId="1" numFmtId="1000" quotePrefix="false">
      <alignment horizontal="center" vertical="top"/>
    </xf>
    <xf applyAlignment="true" applyBorder="true" applyFill="false" applyFont="false" applyNumberFormat="true" borderId="5310" fillId="0" fontId="1" numFmtId="1000" quotePrefix="false">
      <alignment horizontal="center" vertical="top"/>
    </xf>
    <xf applyAlignment="true" applyBorder="true" applyFill="false" applyFont="false" applyNumberFormat="true" borderId="5311" fillId="0" fontId="1" numFmtId="1000" quotePrefix="false">
      <alignment horizontal="center" vertical="top"/>
    </xf>
    <xf applyAlignment="true" applyBorder="true" applyFill="false" applyFont="false" applyNumberFormat="true" borderId="5312" fillId="0" fontId="1" numFmtId="1000" quotePrefix="false">
      <alignment horizontal="center" vertical="top"/>
    </xf>
    <xf applyAlignment="true" applyBorder="true" applyFill="false" applyFont="false" applyNumberFormat="true" borderId="5313" fillId="0" fontId="1" numFmtId="1000" quotePrefix="false">
      <alignment horizontal="center" vertical="top"/>
    </xf>
    <xf applyAlignment="true" applyBorder="true" applyFill="false" applyFont="false" applyNumberFormat="true" borderId="5314" fillId="0" fontId="1" numFmtId="1000" quotePrefix="false">
      <alignment horizontal="center" vertical="top"/>
    </xf>
    <xf applyAlignment="true" applyBorder="true" applyFill="false" applyFont="false" applyNumberFormat="true" borderId="5315" fillId="0" fontId="1" numFmtId="1000" quotePrefix="false">
      <alignment horizontal="center" vertical="top"/>
    </xf>
    <xf applyAlignment="true" applyBorder="true" applyFill="false" applyFont="false" applyNumberFormat="true" borderId="5316" fillId="0" fontId="1" numFmtId="1000" quotePrefix="false">
      <alignment horizontal="center" vertical="top"/>
    </xf>
    <xf applyAlignment="true" applyBorder="true" applyFill="false" applyFont="false" applyNumberFormat="true" borderId="5317" fillId="0" fontId="1" numFmtId="1000" quotePrefix="false">
      <alignment horizontal="center" vertical="top"/>
    </xf>
    <xf applyAlignment="true" applyBorder="true" applyFill="false" applyFont="false" applyNumberFormat="true" borderId="5318" fillId="0" fontId="1" numFmtId="1000" quotePrefix="false">
      <alignment horizontal="center" vertical="top"/>
    </xf>
    <xf applyAlignment="true" applyBorder="true" applyFill="false" applyFont="false" applyNumberFormat="true" borderId="5319" fillId="0" fontId="1" numFmtId="1000" quotePrefix="false">
      <alignment horizontal="center" vertical="top"/>
    </xf>
    <xf applyAlignment="true" applyBorder="true" applyFill="false" applyFont="false" applyNumberFormat="true" borderId="5320" fillId="0" fontId="1" numFmtId="1000" quotePrefix="false">
      <alignment horizontal="center" vertical="top"/>
    </xf>
    <xf applyAlignment="true" applyBorder="true" applyFill="false" applyFont="false" applyNumberFormat="true" borderId="5321" fillId="0" fontId="1" numFmtId="1000" quotePrefix="false">
      <alignment horizontal="center" vertical="top"/>
    </xf>
    <xf applyAlignment="true" applyBorder="true" applyFill="false" applyFont="false" applyNumberFormat="true" borderId="5322" fillId="0" fontId="1" numFmtId="1000" quotePrefix="false">
      <alignment horizontal="center" vertical="top"/>
    </xf>
    <xf applyAlignment="true" applyBorder="true" applyFill="false" applyFont="false" applyNumberFormat="true" borderId="5323" fillId="0" fontId="1" numFmtId="1000" quotePrefix="false">
      <alignment horizontal="center" vertical="top"/>
    </xf>
    <xf applyAlignment="true" applyBorder="true" applyFill="false" applyFont="true" applyNumberFormat="true" borderId="5324" fillId="0" fontId="13" numFmtId="1000" quotePrefix="false">
      <alignment horizontal="center" textRotation="90" vertical="top"/>
    </xf>
    <xf applyAlignment="true" applyBorder="true" applyFill="false" applyFont="false" applyNumberFormat="true" borderId="5325" fillId="0" fontId="1" numFmtId="1000" quotePrefix="false">
      <alignment horizontal="center" vertical="top"/>
    </xf>
    <xf applyAlignment="true" applyBorder="true" applyFill="false" applyFont="false" applyNumberFormat="true" borderId="5326" fillId="0" fontId="1" numFmtId="1000" quotePrefix="false">
      <alignment horizontal="center" vertical="top"/>
    </xf>
    <xf applyAlignment="true" applyBorder="true" applyFill="false" applyFont="false" applyNumberFormat="true" borderId="5327" fillId="0" fontId="1" numFmtId="1000" quotePrefix="false">
      <alignment horizontal="center" vertical="top"/>
    </xf>
    <xf applyAlignment="true" applyBorder="true" applyFill="false" applyFont="false" applyNumberFormat="true" borderId="5328" fillId="0" fontId="1" numFmtId="1000" quotePrefix="false">
      <alignment horizontal="center" vertical="top"/>
    </xf>
    <xf applyAlignment="true" applyBorder="true" applyFill="false" applyFont="false" applyNumberFormat="true" borderId="5329" fillId="0" fontId="1" numFmtId="1000" quotePrefix="false">
      <alignment horizontal="center" vertical="top"/>
    </xf>
    <xf applyAlignment="true" applyBorder="true" applyFill="false" applyFont="false" applyNumberFormat="true" borderId="5330" fillId="0" fontId="1" numFmtId="1000" quotePrefix="false">
      <alignment horizontal="center" vertical="top"/>
    </xf>
    <xf applyAlignment="true" applyBorder="true" applyFill="false" applyFont="false" applyNumberFormat="true" borderId="5331" fillId="0" fontId="1" numFmtId="1000" quotePrefix="false">
      <alignment horizontal="center" vertical="top"/>
    </xf>
    <xf applyAlignment="true" applyBorder="true" applyFill="false" applyFont="true" applyNumberFormat="true" borderId="5332" fillId="0" fontId="13" numFmtId="1000" quotePrefix="false">
      <alignment horizontal="center" textRotation="90" vertical="top"/>
    </xf>
    <xf applyAlignment="true" applyBorder="true" applyFill="false" applyFont="false" applyNumberFormat="true" borderId="5333" fillId="0" fontId="1" numFmtId="1000" quotePrefix="false">
      <alignment horizontal="center" vertical="top"/>
    </xf>
    <xf applyAlignment="true" applyBorder="true" applyFill="false" applyFont="false" applyNumberFormat="true" borderId="5334" fillId="0" fontId="1" numFmtId="1000" quotePrefix="false">
      <alignment horizontal="center" vertical="top"/>
    </xf>
    <xf applyAlignment="true" applyBorder="true" applyFill="false" applyFont="false" applyNumberFormat="true" borderId="5335" fillId="0" fontId="1" numFmtId="1000" quotePrefix="false">
      <alignment horizontal="center" vertical="top"/>
    </xf>
    <xf applyAlignment="true" applyBorder="true" applyFill="false" applyFont="false" applyNumberFormat="true" borderId="5336" fillId="0" fontId="1" numFmtId="1000" quotePrefix="false">
      <alignment horizontal="center" vertical="top"/>
    </xf>
    <xf applyAlignment="true" applyBorder="true" applyFill="false" applyFont="false" applyNumberFormat="true" borderId="5337" fillId="0" fontId="1" numFmtId="1000" quotePrefix="false">
      <alignment horizontal="center" vertical="top"/>
    </xf>
    <xf applyAlignment="true" applyBorder="true" applyFill="false" applyFont="false" applyNumberFormat="true" borderId="5338" fillId="0" fontId="1" numFmtId="1000" quotePrefix="false">
      <alignment horizontal="center" vertical="top"/>
    </xf>
    <xf applyAlignment="true" applyBorder="true" applyFill="false" applyFont="true" applyNumberFormat="true" borderId="5339" fillId="0" fontId="13" numFmtId="1000" quotePrefix="false">
      <alignment horizontal="center" textRotation="90" vertical="top"/>
    </xf>
    <xf applyAlignment="true" applyBorder="true" applyFill="false" applyFont="false" applyNumberFormat="true" borderId="5340" fillId="0" fontId="1" numFmtId="1000" quotePrefix="false">
      <alignment horizontal="center" vertical="top"/>
    </xf>
    <xf applyAlignment="true" applyBorder="true" applyFill="false" applyFont="false" applyNumberFormat="true" borderId="5341" fillId="0" fontId="1" numFmtId="1000" quotePrefix="false">
      <alignment horizontal="center" vertical="top"/>
    </xf>
    <xf applyAlignment="true" applyBorder="true" applyFill="false" applyFont="false" applyNumberFormat="true" borderId="5342" fillId="0" fontId="1" numFmtId="1000" quotePrefix="false">
      <alignment horizontal="center" vertical="top"/>
    </xf>
    <xf applyAlignment="true" applyBorder="true" applyFill="false" applyFont="false" applyNumberFormat="true" borderId="5343" fillId="0" fontId="1" numFmtId="1000" quotePrefix="false">
      <alignment horizontal="center" vertical="top"/>
    </xf>
    <xf applyAlignment="true" applyBorder="true" applyFill="false" applyFont="false" applyNumberFormat="true" borderId="5344" fillId="0" fontId="1" numFmtId="1000" quotePrefix="false">
      <alignment horizontal="center" vertical="top"/>
    </xf>
    <xf applyAlignment="true" applyBorder="true" applyFill="false" applyFont="false" applyNumberFormat="true" borderId="5345" fillId="0" fontId="1" numFmtId="1000" quotePrefix="false">
      <alignment horizontal="center" vertical="top"/>
    </xf>
    <xf applyAlignment="true" applyBorder="true" applyFill="false" applyFont="true" applyNumberFormat="true" borderId="5346" fillId="0" fontId="13" numFmtId="1000" quotePrefix="false">
      <alignment horizontal="center" textRotation="90" vertical="top"/>
    </xf>
    <xf applyAlignment="true" applyBorder="true" applyFill="false" applyFont="false" applyNumberFormat="true" borderId="5347" fillId="0" fontId="1" numFmtId="1000" quotePrefix="false">
      <alignment horizontal="center" vertical="top"/>
    </xf>
    <xf applyAlignment="true" applyBorder="true" applyFill="false" applyFont="false" applyNumberFormat="true" borderId="5348" fillId="0" fontId="1" numFmtId="1000" quotePrefix="false">
      <alignment horizontal="center" vertical="top"/>
    </xf>
    <xf applyAlignment="true" applyBorder="true" applyFill="false" applyFont="false" applyNumberFormat="true" borderId="5349" fillId="0" fontId="1" numFmtId="1000" quotePrefix="false">
      <alignment horizontal="center" vertical="top"/>
    </xf>
    <xf applyAlignment="true" applyBorder="true" applyFill="false" applyFont="false" applyNumberFormat="true" borderId="5350" fillId="0" fontId="1" numFmtId="1000" quotePrefix="false">
      <alignment horizontal="center" vertical="top"/>
    </xf>
    <xf applyAlignment="true" applyBorder="true" applyFill="false" applyFont="false" applyNumberFormat="true" borderId="5351" fillId="0" fontId="1" numFmtId="1000" quotePrefix="false">
      <alignment horizontal="center" vertical="top"/>
    </xf>
    <xf applyAlignment="true" applyBorder="true" applyFill="false" applyFont="false" applyNumberFormat="true" borderId="5352" fillId="0" fontId="1" numFmtId="1000" quotePrefix="false">
      <alignment horizontal="center" vertical="top"/>
    </xf>
    <xf applyAlignment="true" applyBorder="true" applyFill="false" applyFont="true" applyNumberFormat="true" borderId="5353" fillId="0" fontId="13" numFmtId="1000" quotePrefix="false">
      <alignment horizontal="center" textRotation="90" vertical="top"/>
    </xf>
    <xf applyAlignment="true" applyBorder="true" applyFill="false" applyFont="false" applyNumberFormat="true" borderId="5354" fillId="0" fontId="1" numFmtId="1000" quotePrefix="false">
      <alignment horizontal="center" vertical="top"/>
    </xf>
    <xf applyAlignment="true" applyBorder="true" applyFill="false" applyFont="false" applyNumberFormat="true" borderId="5355" fillId="0" fontId="1" numFmtId="1000" quotePrefix="false">
      <alignment horizontal="center" vertical="top"/>
    </xf>
    <xf applyAlignment="true" applyBorder="true" applyFill="false" applyFont="false" applyNumberFormat="true" borderId="5356" fillId="0" fontId="1" numFmtId="1000" quotePrefix="false">
      <alignment horizontal="center" vertical="top"/>
    </xf>
    <xf applyAlignment="true" applyBorder="true" applyFill="false" applyFont="false" applyNumberFormat="true" borderId="5357" fillId="0" fontId="1" numFmtId="1000" quotePrefix="false">
      <alignment horizontal="center" vertical="top"/>
    </xf>
    <xf applyAlignment="true" applyBorder="true" applyFill="false" applyFont="false" applyNumberFormat="true" borderId="5358" fillId="0" fontId="1" numFmtId="1000" quotePrefix="false">
      <alignment horizontal="center" vertical="top"/>
    </xf>
    <xf applyAlignment="true" applyBorder="true" applyFill="false" applyFont="false" applyNumberFormat="true" borderId="5359" fillId="0" fontId="1" numFmtId="1000" quotePrefix="false">
      <alignment horizontal="center" vertical="top"/>
    </xf>
    <xf applyAlignment="true" applyBorder="true" applyFill="false" applyFont="true" applyNumberFormat="true" borderId="5360" fillId="0" fontId="13" numFmtId="1000" quotePrefix="false">
      <alignment horizontal="center" textRotation="90" vertical="top"/>
    </xf>
    <xf applyAlignment="true" applyBorder="true" applyFill="false" applyFont="false" applyNumberFormat="true" borderId="5361" fillId="0" fontId="1" numFmtId="1000" quotePrefix="false">
      <alignment horizontal="center" vertical="top"/>
    </xf>
    <xf applyAlignment="true" applyBorder="true" applyFill="false" applyFont="false" applyNumberFormat="true" borderId="5362" fillId="0" fontId="1" numFmtId="1000" quotePrefix="false">
      <alignment horizontal="center" vertical="top"/>
    </xf>
    <xf applyAlignment="true" applyBorder="true" applyFill="false" applyFont="false" applyNumberFormat="true" borderId="5363" fillId="0" fontId="1" numFmtId="1000" quotePrefix="false">
      <alignment horizontal="center" vertical="top"/>
    </xf>
    <xf applyAlignment="true" applyBorder="true" applyFill="false" applyFont="false" applyNumberFormat="true" borderId="5364" fillId="0" fontId="1" numFmtId="1000" quotePrefix="false">
      <alignment horizontal="center" vertical="top"/>
    </xf>
    <xf applyAlignment="true" applyBorder="true" applyFill="false" applyFont="false" applyNumberFormat="true" borderId="5365" fillId="0" fontId="1" numFmtId="1000" quotePrefix="false">
      <alignment horizontal="center" vertical="top"/>
    </xf>
    <xf applyAlignment="true" applyBorder="true" applyFill="false" applyFont="false" applyNumberFormat="true" borderId="5366" fillId="0" fontId="1" numFmtId="1000" quotePrefix="false">
      <alignment horizontal="center" vertical="top"/>
    </xf>
    <xf applyAlignment="true" applyBorder="true" applyFill="false" applyFont="true" applyNumberFormat="true" borderId="5367" fillId="0" fontId="13" numFmtId="1000" quotePrefix="false">
      <alignment horizontal="center" textRotation="90" vertical="top"/>
    </xf>
    <xf applyAlignment="true" applyBorder="true" applyFill="false" applyFont="false" applyNumberFormat="true" borderId="5368" fillId="0" fontId="1" numFmtId="1000" quotePrefix="false">
      <alignment horizontal="center" vertical="top"/>
    </xf>
    <xf applyAlignment="true" applyBorder="true" applyFill="false" applyFont="false" applyNumberFormat="true" borderId="5369" fillId="0" fontId="1" numFmtId="1000" quotePrefix="false">
      <alignment horizontal="center" vertical="top"/>
    </xf>
    <xf applyAlignment="true" applyBorder="true" applyFill="false" applyFont="false" applyNumberFormat="true" borderId="5370" fillId="0" fontId="1" numFmtId="1000" quotePrefix="false">
      <alignment horizontal="center" vertical="top"/>
    </xf>
    <xf applyAlignment="true" applyBorder="true" applyFill="false" applyFont="false" applyNumberFormat="true" borderId="5371" fillId="0" fontId="1" numFmtId="1000" quotePrefix="false">
      <alignment horizontal="center" vertical="top"/>
    </xf>
    <xf applyAlignment="true" applyBorder="true" applyFill="false" applyFont="false" applyNumberFormat="true" borderId="5372" fillId="0" fontId="1" numFmtId="1000" quotePrefix="false">
      <alignment horizontal="center" vertical="top"/>
    </xf>
    <xf applyAlignment="true" applyBorder="true" applyFill="false" applyFont="false" applyNumberFormat="true" borderId="5373" fillId="0" fontId="1" numFmtId="1000" quotePrefix="false">
      <alignment horizontal="center" vertical="top"/>
    </xf>
    <xf applyAlignment="true" applyBorder="true" applyFill="false" applyFont="true" applyNumberFormat="true" borderId="5374" fillId="0" fontId="13" numFmtId="1000" quotePrefix="false">
      <alignment horizontal="center" textRotation="90" vertical="top"/>
    </xf>
    <xf applyAlignment="true" applyBorder="true" applyFill="false" applyFont="false" applyNumberFormat="true" borderId="5375" fillId="0" fontId="1" numFmtId="1000" quotePrefix="false">
      <alignment horizontal="center" vertical="top"/>
    </xf>
    <xf applyAlignment="true" applyBorder="true" applyFill="false" applyFont="false" applyNumberFormat="true" borderId="5376" fillId="0" fontId="1" numFmtId="1000" quotePrefix="false">
      <alignment horizontal="center" vertical="top"/>
    </xf>
    <xf applyAlignment="true" applyBorder="true" applyFill="false" applyFont="false" applyNumberFormat="true" borderId="5377" fillId="0" fontId="1" numFmtId="1000" quotePrefix="false">
      <alignment horizontal="center" vertical="top"/>
    </xf>
    <xf applyAlignment="true" applyBorder="true" applyFill="false" applyFont="false" applyNumberFormat="true" borderId="5378" fillId="0" fontId="1" numFmtId="1000" quotePrefix="false">
      <alignment horizontal="center" vertical="top"/>
    </xf>
    <xf applyAlignment="true" applyBorder="true" applyFill="false" applyFont="false" applyNumberFormat="true" borderId="5379" fillId="0" fontId="1" numFmtId="1000" quotePrefix="false">
      <alignment horizontal="center" vertical="top"/>
    </xf>
    <xf applyAlignment="true" applyBorder="true" applyFill="false" applyFont="false" applyNumberFormat="true" borderId="5380" fillId="0" fontId="1" numFmtId="1000" quotePrefix="false">
      <alignment horizontal="center" vertical="top"/>
    </xf>
    <xf applyAlignment="true" applyBorder="true" applyFill="false" applyFont="true" applyNumberFormat="true" borderId="5381" fillId="0" fontId="13" numFmtId="1000" quotePrefix="false">
      <alignment horizontal="center" textRotation="90" vertical="top"/>
    </xf>
    <xf applyAlignment="true" applyBorder="true" applyFill="false" applyFont="false" applyNumberFormat="true" borderId="5382" fillId="0" fontId="1" numFmtId="1000" quotePrefix="false">
      <alignment horizontal="center" vertical="top"/>
    </xf>
    <xf applyAlignment="true" applyBorder="true" applyFill="false" applyFont="false" applyNumberFormat="true" borderId="5383" fillId="0" fontId="1" numFmtId="1000" quotePrefix="false">
      <alignment horizontal="center" vertical="top"/>
    </xf>
    <xf applyAlignment="true" applyBorder="true" applyFill="false" applyFont="false" applyNumberFormat="true" borderId="5384" fillId="0" fontId="1" numFmtId="1000" quotePrefix="false">
      <alignment horizontal="center" vertical="top"/>
    </xf>
    <xf applyAlignment="true" applyBorder="true" applyFill="false" applyFont="false" applyNumberFormat="true" borderId="5385" fillId="0" fontId="1" numFmtId="1000" quotePrefix="false">
      <alignment horizontal="center" vertical="top"/>
    </xf>
    <xf applyAlignment="true" applyBorder="true" applyFill="false" applyFont="false" applyNumberFormat="true" borderId="5386" fillId="0" fontId="1" numFmtId="1000" quotePrefix="false">
      <alignment horizontal="center" vertical="top"/>
    </xf>
    <xf applyAlignment="true" applyBorder="true" applyFill="false" applyFont="false" applyNumberFormat="true" borderId="5387" fillId="0" fontId="1" numFmtId="1000" quotePrefix="false">
      <alignment horizontal="center" vertical="top"/>
    </xf>
    <xf applyAlignment="true" applyBorder="true" applyFill="false" applyFont="false" applyNumberFormat="true" borderId="5388" fillId="0" fontId="1" numFmtId="1000" quotePrefix="false">
      <alignment horizontal="center" vertical="top"/>
    </xf>
    <xf applyAlignment="true" applyBorder="true" applyFill="false" applyFont="false" applyNumberFormat="true" borderId="5389" fillId="0" fontId="1" numFmtId="1000" quotePrefix="false">
      <alignment horizontal="center" vertical="top"/>
    </xf>
    <xf applyAlignment="true" applyBorder="true" applyFill="false" applyFont="false" applyNumberFormat="true" borderId="5390" fillId="0" fontId="1" numFmtId="1000" quotePrefix="false">
      <alignment horizontal="center" vertical="top"/>
    </xf>
    <xf applyAlignment="true" applyBorder="true" applyFill="false" applyFont="false" applyNumberFormat="true" borderId="5391" fillId="0" fontId="1" numFmtId="1000" quotePrefix="false">
      <alignment horizontal="center" vertical="top"/>
    </xf>
    <xf applyAlignment="true" applyBorder="true" applyFill="false" applyFont="true" applyNumberFormat="true" borderId="5392" fillId="0" fontId="13" numFmtId="1000" quotePrefix="false">
      <alignment horizontal="center" textRotation="90" vertical="top"/>
    </xf>
    <xf applyAlignment="true" applyBorder="true" applyFill="false" applyFont="true" applyNumberFormat="true" borderId="5393" fillId="0" fontId="2" numFmtId="1000" quotePrefix="false">
      <alignment horizontal="center" vertical="top"/>
    </xf>
    <xf applyAlignment="true" applyBorder="true" applyFill="false" applyFont="false" applyNumberFormat="true" borderId="5394" fillId="0" fontId="1" numFmtId="1000" quotePrefix="false">
      <alignment horizontal="left" vertical="top"/>
    </xf>
    <xf applyAlignment="true" applyBorder="true" applyFill="false" applyFont="false" applyNumberFormat="true" borderId="5395" fillId="0" fontId="1" numFmtId="1000" quotePrefix="false">
      <alignment horizontal="left" vertical="top"/>
    </xf>
    <xf applyAlignment="true" applyBorder="true" applyFill="false" applyFont="false" applyNumberFormat="true" borderId="5396" fillId="0" fontId="1" numFmtId="1000" quotePrefix="false">
      <alignment horizontal="left" vertical="top"/>
    </xf>
    <xf applyAlignment="true" applyBorder="true" applyFill="false" applyFont="false" applyNumberFormat="true" borderId="5397" fillId="0" fontId="1" numFmtId="1000" quotePrefix="false">
      <alignment horizontal="left" vertical="top"/>
    </xf>
    <xf applyAlignment="true" applyBorder="true" applyFill="false" applyFont="false" applyNumberFormat="true" borderId="5398" fillId="0" fontId="1" numFmtId="1000" quotePrefix="false">
      <alignment horizontal="left" vertical="top"/>
    </xf>
    <xf applyAlignment="true" applyBorder="true" applyFill="false" applyFont="false" applyNumberFormat="true" borderId="5399" fillId="0" fontId="1" numFmtId="1000" quotePrefix="false">
      <alignment horizontal="left" vertical="top"/>
    </xf>
    <xf applyAlignment="true" applyBorder="true" applyFill="false" applyFont="false" applyNumberFormat="true" borderId="5400" fillId="0" fontId="1" numFmtId="1000" quotePrefix="false">
      <alignment horizontal="left" vertical="top"/>
    </xf>
    <xf applyAlignment="true" applyBorder="true" applyFill="false" applyFont="false" applyNumberFormat="true" borderId="5401" fillId="0" fontId="1" numFmtId="1000" quotePrefix="false">
      <alignment horizontal="left" vertical="top"/>
    </xf>
    <xf applyAlignment="true" applyBorder="true" applyFill="false" applyFont="false" applyNumberFormat="true" borderId="5402" fillId="0" fontId="1" numFmtId="1000" quotePrefix="false">
      <alignment horizontal="left" vertical="top"/>
    </xf>
    <xf applyAlignment="true" applyBorder="true" applyFill="false" applyFont="false" applyNumberFormat="true" borderId="5403" fillId="0" fontId="1" numFmtId="1000" quotePrefix="false">
      <alignment horizontal="left" vertical="top"/>
    </xf>
    <xf applyAlignment="true" applyBorder="true" applyFill="false" applyFont="false" applyNumberFormat="true" borderId="5404" fillId="0" fontId="1" numFmtId="1000" quotePrefix="false">
      <alignment horizontal="left" vertical="top"/>
    </xf>
    <xf applyAlignment="true" applyBorder="true" applyFill="false" applyFont="false" applyNumberFormat="true" borderId="5405" fillId="0" fontId="1" numFmtId="1000" quotePrefix="false">
      <alignment horizontal="left" vertical="top"/>
    </xf>
    <xf applyAlignment="true" applyBorder="true" applyFill="false" applyFont="false" applyNumberFormat="true" borderId="5406" fillId="0" fontId="1" numFmtId="1000" quotePrefix="false">
      <alignment horizontal="left" vertical="top"/>
    </xf>
    <xf applyAlignment="true" applyBorder="true" applyFill="false" applyFont="false" applyNumberFormat="true" borderId="5407" fillId="0" fontId="1" numFmtId="1000" quotePrefix="false">
      <alignment horizontal="left" vertical="top"/>
    </xf>
    <xf applyAlignment="true" applyBorder="true" applyFill="false" applyFont="false" applyNumberFormat="true" borderId="5408" fillId="0" fontId="1" numFmtId="1000" quotePrefix="false">
      <alignment horizontal="left" vertical="top"/>
    </xf>
    <xf applyAlignment="true" applyBorder="true" applyFill="false" applyFont="false" applyNumberFormat="true" borderId="5409" fillId="0" fontId="1" numFmtId="1000" quotePrefix="false">
      <alignment horizontal="left" vertical="top"/>
    </xf>
    <xf applyAlignment="true" applyBorder="true" applyFill="false" applyFont="false" applyNumberFormat="true" borderId="5410" fillId="0" fontId="1" numFmtId="1000" quotePrefix="false">
      <alignment horizontal="left" vertical="top"/>
    </xf>
    <xf applyAlignment="true" applyBorder="true" applyFill="false" applyFont="false" applyNumberFormat="true" borderId="5411" fillId="0" fontId="1" numFmtId="1000" quotePrefix="false">
      <alignment horizontal="left" vertical="top"/>
    </xf>
    <xf applyAlignment="true" applyBorder="true" applyFill="false" applyFont="false" applyNumberFormat="true" borderId="5412" fillId="0" fontId="1" numFmtId="1000" quotePrefix="false">
      <alignment horizontal="left" vertical="top"/>
    </xf>
    <xf applyAlignment="true" applyBorder="true" applyFill="false" applyFont="true" applyNumberFormat="true" borderId="5413" fillId="0" fontId="13" numFmtId="1000" quotePrefix="false">
      <alignment horizontal="center" textRotation="90" vertical="top"/>
    </xf>
    <xf applyAlignment="true" applyBorder="true" applyFill="false" applyFont="true" applyNumberFormat="true" borderId="5414" fillId="0" fontId="2" numFmtId="1000" quotePrefix="false">
      <alignment horizontal="center"/>
    </xf>
    <xf applyAlignment="true" applyBorder="true" applyFill="false" applyFont="true" applyNumberFormat="true" borderId="5415" fillId="0" fontId="2" numFmtId="1000" quotePrefix="false">
      <alignment horizontal="center"/>
    </xf>
    <xf applyAlignment="true" applyBorder="true" applyFill="false" applyFont="true" applyNumberFormat="true" borderId="5416" fillId="0" fontId="2" numFmtId="1000" quotePrefix="false">
      <alignment horizontal="center"/>
    </xf>
    <xf applyAlignment="true" applyBorder="true" applyFill="false" applyFont="false" applyNumberFormat="true" borderId="5417" fillId="0" fontId="1" numFmtId="1000" quotePrefix="false">
      <alignment horizontal="center" vertical="top"/>
    </xf>
    <xf applyAlignment="true" applyBorder="true" applyFill="false" applyFont="false" applyNumberFormat="true" borderId="5418" fillId="0" fontId="1" numFmtId="1000" quotePrefix="false">
      <alignment horizontal="center" vertical="top"/>
    </xf>
    <xf applyAlignment="true" applyBorder="true" applyFill="false" applyFont="false" applyNumberFormat="true" borderId="5419" fillId="0" fontId="1" numFmtId="1000" quotePrefix="false">
      <alignment horizontal="center" vertical="top"/>
    </xf>
    <xf applyAlignment="true" applyBorder="true" applyFill="false" applyFont="false" applyNumberFormat="true" borderId="5420" fillId="0" fontId="1" numFmtId="1000" quotePrefix="false">
      <alignment horizontal="center" vertical="top"/>
    </xf>
    <xf applyAlignment="true" applyBorder="true" applyFill="false" applyFont="false" applyNumberFormat="true" borderId="5421" fillId="0" fontId="1" numFmtId="1000" quotePrefix="false">
      <alignment horizontal="center" vertical="top"/>
    </xf>
    <xf applyAlignment="true" applyBorder="true" applyFill="false" applyFont="false" applyNumberFormat="true" borderId="5422" fillId="0" fontId="1" numFmtId="1000" quotePrefix="false">
      <alignment horizontal="center" vertical="top"/>
    </xf>
    <xf applyAlignment="true" applyBorder="true" applyFill="false" applyFont="false" applyNumberFormat="true" borderId="5423" fillId="0" fontId="1" numFmtId="1000" quotePrefix="false">
      <alignment horizontal="center" vertical="top"/>
    </xf>
    <xf applyAlignment="true" applyBorder="true" applyFill="false" applyFont="false" applyNumberFormat="true" borderId="5424" fillId="0" fontId="1" numFmtId="1000" quotePrefix="false">
      <alignment horizontal="center" vertical="top"/>
    </xf>
    <xf applyAlignment="true" applyBorder="true" applyFill="false" applyFont="false" applyNumberFormat="true" borderId="5425" fillId="0" fontId="1" numFmtId="1000" quotePrefix="false">
      <alignment horizontal="center" vertical="top"/>
    </xf>
    <xf applyAlignment="true" applyBorder="true" applyFill="false" applyFont="false" applyNumberFormat="true" borderId="5426" fillId="0" fontId="1" numFmtId="1000" quotePrefix="false">
      <alignment horizontal="center" vertical="top"/>
    </xf>
    <xf applyAlignment="true" applyBorder="true" applyFill="false" applyFont="false" applyNumberFormat="true" borderId="5427" fillId="0" fontId="1" numFmtId="1000" quotePrefix="false">
      <alignment horizontal="center" vertical="top"/>
    </xf>
    <xf applyAlignment="true" applyBorder="true" applyFill="false" applyFont="false" applyNumberFormat="true" borderId="5428" fillId="0" fontId="1" numFmtId="1000" quotePrefix="false">
      <alignment horizontal="center" vertical="top"/>
    </xf>
    <xf applyAlignment="true" applyBorder="true" applyFill="false" applyFont="false" applyNumberFormat="true" borderId="5429" fillId="0" fontId="1" numFmtId="1000" quotePrefix="false">
      <alignment horizontal="center" vertical="top"/>
    </xf>
    <xf applyAlignment="true" applyBorder="true" applyFill="false" applyFont="false" applyNumberFormat="true" borderId="5430" fillId="0" fontId="1" numFmtId="1000" quotePrefix="false">
      <alignment horizontal="center" vertical="top"/>
    </xf>
    <xf applyAlignment="true" applyBorder="true" applyFill="false" applyFont="false" applyNumberFormat="true" borderId="5431" fillId="0" fontId="1" numFmtId="1000" quotePrefix="false">
      <alignment horizontal="center" vertical="top"/>
    </xf>
    <xf applyAlignment="true" applyBorder="true" applyFill="false" applyFont="false" applyNumberFormat="true" borderId="5432" fillId="0" fontId="1" numFmtId="1000" quotePrefix="false">
      <alignment horizontal="center" vertical="top"/>
    </xf>
    <xf applyAlignment="true" applyBorder="true" applyFill="false" applyFont="true" applyNumberFormat="true" borderId="5433" fillId="0" fontId="13" numFmtId="1000" quotePrefix="false">
      <alignment horizontal="center" textRotation="90" vertical="top"/>
    </xf>
    <xf applyAlignment="true" applyBorder="true" applyFill="false" applyFont="false" applyNumberFormat="true" borderId="5434" fillId="0" fontId="1" numFmtId="1000" quotePrefix="false">
      <alignment horizontal="center" vertical="top"/>
    </xf>
    <xf applyAlignment="true" applyBorder="true" applyFill="false" applyFont="true" applyNumberFormat="true" borderId="5435" fillId="0" fontId="13" numFmtId="1000" quotePrefix="false">
      <alignment horizontal="center" textRotation="90" vertical="top"/>
    </xf>
    <xf applyAlignment="true" applyBorder="true" applyFill="false" applyFont="false" applyNumberFormat="true" borderId="5436" fillId="0" fontId="1" numFmtId="1000" quotePrefix="false">
      <alignment horizontal="center" vertical="top"/>
    </xf>
    <xf applyAlignment="true" applyBorder="true" applyFill="false" applyFont="false" applyNumberFormat="true" borderId="5437" fillId="0" fontId="1" numFmtId="1000" quotePrefix="false">
      <alignment horizontal="center" vertical="top"/>
    </xf>
    <xf applyAlignment="true" applyBorder="true" applyFill="false" applyFont="true" applyNumberFormat="true" borderId="5438" fillId="0" fontId="13" numFmtId="1000" quotePrefix="false">
      <alignment horizontal="center" textRotation="90" vertical="top"/>
    </xf>
    <xf applyAlignment="true" applyBorder="true" applyFill="false" applyFont="false" applyNumberFormat="true" borderId="5439" fillId="0" fontId="1" numFmtId="1000" quotePrefix="false">
      <alignment horizontal="center" vertical="top"/>
    </xf>
    <xf applyAlignment="true" applyBorder="true" applyFill="false" applyFont="false" applyNumberFormat="true" borderId="5440" fillId="0" fontId="1" numFmtId="1000" quotePrefix="false">
      <alignment horizontal="center" vertical="top"/>
    </xf>
    <xf applyAlignment="true" applyBorder="true" applyFill="false" applyFont="true" applyNumberFormat="true" borderId="5441" fillId="0" fontId="13" numFmtId="1000" quotePrefix="false">
      <alignment horizontal="center" textRotation="90" vertical="top"/>
    </xf>
    <xf applyAlignment="true" applyBorder="true" applyFill="false" applyFont="false" applyNumberFormat="true" borderId="5442" fillId="0" fontId="1" numFmtId="1000" quotePrefix="false">
      <alignment horizontal="center" vertical="top"/>
    </xf>
    <xf applyAlignment="true" applyBorder="true" applyFill="false" applyFont="false" applyNumberFormat="true" borderId="5443" fillId="0" fontId="1" numFmtId="1000" quotePrefix="false">
      <alignment horizontal="center" vertical="top"/>
    </xf>
    <xf applyAlignment="true" applyBorder="true" applyFill="false" applyFont="true" applyNumberFormat="true" borderId="5444" fillId="0" fontId="13" numFmtId="1000" quotePrefix="false">
      <alignment horizontal="center" textRotation="90" vertical="top"/>
    </xf>
    <xf applyAlignment="true" applyBorder="true" applyFill="false" applyFont="false" applyNumberFormat="true" borderId="5445" fillId="0" fontId="1" numFmtId="1000" quotePrefix="false">
      <alignment horizontal="center" vertical="top"/>
    </xf>
    <xf applyAlignment="true" applyBorder="true" applyFill="false" applyFont="false" applyNumberFormat="true" borderId="5446" fillId="0" fontId="1" numFmtId="1000" quotePrefix="false">
      <alignment horizontal="center" vertical="top"/>
    </xf>
    <xf applyAlignment="true" applyBorder="true" applyFill="false" applyFont="true" applyNumberFormat="true" borderId="5447" fillId="0" fontId="13" numFmtId="1000" quotePrefix="false">
      <alignment horizontal="center" textRotation="90" vertical="top"/>
    </xf>
    <xf applyAlignment="true" applyBorder="true" applyFill="false" applyFont="false" applyNumberFormat="true" borderId="5448" fillId="0" fontId="1" numFmtId="1000" quotePrefix="false">
      <alignment horizontal="center" vertical="top"/>
    </xf>
    <xf applyAlignment="true" applyBorder="true" applyFill="false" applyFont="false" applyNumberFormat="true" borderId="5449" fillId="0" fontId="1" numFmtId="1000" quotePrefix="false">
      <alignment horizontal="center" vertical="top"/>
    </xf>
    <xf applyAlignment="true" applyBorder="true" applyFill="false" applyFont="true" applyNumberFormat="true" borderId="5450" fillId="0" fontId="13" numFmtId="1000" quotePrefix="false">
      <alignment horizontal="center" textRotation="90" vertical="top"/>
    </xf>
    <xf applyAlignment="true" applyBorder="true" applyFill="false" applyFont="false" applyNumberFormat="true" borderId="5451" fillId="0" fontId="1" numFmtId="1000" quotePrefix="false">
      <alignment horizontal="center" vertical="top"/>
    </xf>
    <xf applyAlignment="true" applyBorder="true" applyFill="false" applyFont="false" applyNumberFormat="true" borderId="5452" fillId="0" fontId="1" numFmtId="1000" quotePrefix="false">
      <alignment horizontal="center" vertical="top"/>
    </xf>
    <xf applyAlignment="true" applyBorder="true" applyFill="false" applyFont="true" applyNumberFormat="true" borderId="5453" fillId="0" fontId="13" numFmtId="1000" quotePrefix="false">
      <alignment horizontal="center" textRotation="90" vertical="top"/>
    </xf>
    <xf applyAlignment="true" applyBorder="true" applyFill="false" applyFont="false" applyNumberFormat="true" borderId="5454" fillId="0" fontId="1" numFmtId="1000" quotePrefix="false">
      <alignment horizontal="center" vertical="top"/>
    </xf>
    <xf applyAlignment="true" applyBorder="true" applyFill="false" applyFont="false" applyNumberFormat="true" borderId="5455" fillId="0" fontId="1" numFmtId="1000" quotePrefix="false">
      <alignment horizontal="center" vertical="top"/>
    </xf>
    <xf applyAlignment="true" applyBorder="true" applyFill="false" applyFont="true" applyNumberFormat="true" borderId="5456" fillId="0" fontId="13" numFmtId="1000" quotePrefix="false">
      <alignment horizontal="center" textRotation="90" vertical="top"/>
    </xf>
    <xf applyAlignment="true" applyBorder="true" applyFill="false" applyFont="false" applyNumberFormat="true" borderId="5457" fillId="0" fontId="1" numFmtId="1000" quotePrefix="false">
      <alignment horizontal="center" vertical="top"/>
    </xf>
    <xf applyAlignment="true" applyBorder="true" applyFill="false" applyFont="false" applyNumberFormat="true" borderId="5458" fillId="0" fontId="1" numFmtId="1000" quotePrefix="false">
      <alignment horizontal="center" vertical="top"/>
    </xf>
    <xf applyAlignment="true" applyBorder="true" applyFill="false" applyFont="true" applyNumberFormat="true" borderId="5459" fillId="0" fontId="13" numFmtId="1000" quotePrefix="false">
      <alignment horizontal="center" textRotation="90" vertical="top"/>
    </xf>
    <xf applyAlignment="true" applyBorder="true" applyFill="false" applyFont="true" applyNumberFormat="true" borderId="5460" fillId="0" fontId="2" numFmtId="1000" quotePrefix="false">
      <alignment horizontal="center" vertical="top"/>
    </xf>
    <xf applyAlignment="true" applyBorder="true" applyFill="false" applyFont="false" applyNumberFormat="true" borderId="5461" fillId="0" fontId="1" numFmtId="1000" quotePrefix="false">
      <alignment horizontal="left" vertical="top"/>
    </xf>
    <xf applyAlignment="true" applyBorder="true" applyFill="false" applyFont="false" applyNumberFormat="true" borderId="5462" fillId="0" fontId="1" numFmtId="1000" quotePrefix="false">
      <alignment horizontal="left" vertical="top"/>
    </xf>
    <xf applyAlignment="true" applyBorder="true" applyFill="false" applyFont="false" applyNumberFormat="true" borderId="5463" fillId="0" fontId="1" numFmtId="1000" quotePrefix="false">
      <alignment horizontal="left" vertical="top"/>
    </xf>
    <xf applyAlignment="true" applyBorder="true" applyFill="false" applyFont="false" applyNumberFormat="true" borderId="5464" fillId="0" fontId="1" numFmtId="1000" quotePrefix="false">
      <alignment horizontal="left" vertical="top"/>
    </xf>
    <xf applyAlignment="true" applyBorder="true" applyFill="false" applyFont="false" applyNumberFormat="true" borderId="5465" fillId="0" fontId="1" numFmtId="1000" quotePrefix="false">
      <alignment horizontal="left" vertical="top"/>
    </xf>
    <xf applyAlignment="true" applyBorder="true" applyFill="false" applyFont="false" applyNumberFormat="true" borderId="5466" fillId="0" fontId="1" numFmtId="1000" quotePrefix="false">
      <alignment horizontal="left" vertical="top"/>
    </xf>
    <xf applyAlignment="true" applyBorder="true" applyFill="false" applyFont="false" applyNumberFormat="true" borderId="5467" fillId="0" fontId="1" numFmtId="1000" quotePrefix="false">
      <alignment horizontal="left" vertical="top"/>
    </xf>
    <xf applyAlignment="true" applyBorder="true" applyFill="false" applyFont="false" applyNumberFormat="true" borderId="5468" fillId="0" fontId="1" numFmtId="1000" quotePrefix="false">
      <alignment horizontal="left" vertical="top"/>
    </xf>
    <xf applyAlignment="true" applyBorder="true" applyFill="false" applyFont="false" applyNumberFormat="true" borderId="5469" fillId="0" fontId="1" numFmtId="1000" quotePrefix="false">
      <alignment horizontal="left" vertical="top"/>
    </xf>
    <xf applyAlignment="true" applyBorder="true" applyFill="false" applyFont="false" applyNumberFormat="true" borderId="5470" fillId="0" fontId="1" numFmtId="1000" quotePrefix="false">
      <alignment horizontal="left" vertical="top"/>
    </xf>
    <xf applyAlignment="true" applyBorder="true" applyFill="false" applyFont="false" applyNumberFormat="true" borderId="5471" fillId="0" fontId="1" numFmtId="1000" quotePrefix="false">
      <alignment horizontal="left" vertical="top"/>
    </xf>
    <xf applyAlignment="true" applyBorder="true" applyFill="false" applyFont="false" applyNumberFormat="true" borderId="5472" fillId="0" fontId="1" numFmtId="1000" quotePrefix="false">
      <alignment horizontal="left" vertical="top"/>
    </xf>
    <xf applyAlignment="true" applyBorder="true" applyFill="false" applyFont="false" applyNumberFormat="true" borderId="5473" fillId="0" fontId="1" numFmtId="1000" quotePrefix="false">
      <alignment horizontal="left" vertical="top"/>
    </xf>
    <xf applyAlignment="true" applyBorder="true" applyFill="false" applyFont="false" applyNumberFormat="true" borderId="5474" fillId="0" fontId="1" numFmtId="1000" quotePrefix="false">
      <alignment horizontal="left" vertical="top"/>
    </xf>
    <xf applyAlignment="true" applyBorder="true" applyFill="false" applyFont="false" applyNumberFormat="true" borderId="5475" fillId="0" fontId="1" numFmtId="1000" quotePrefix="false">
      <alignment horizontal="left" vertical="top"/>
    </xf>
    <xf applyAlignment="true" applyBorder="true" applyFill="false" applyFont="false" applyNumberFormat="true" borderId="5476" fillId="0" fontId="1" numFmtId="1000" quotePrefix="false">
      <alignment horizontal="left" vertical="top"/>
    </xf>
    <xf applyAlignment="true" applyBorder="true" applyFill="false" applyFont="false" applyNumberFormat="true" borderId="5477" fillId="0" fontId="1" numFmtId="1000" quotePrefix="false">
      <alignment horizontal="left" vertical="top"/>
    </xf>
    <xf applyAlignment="true" applyBorder="true" applyFill="false" applyFont="false" applyNumberFormat="true" borderId="5478" fillId="0" fontId="1" numFmtId="1000" quotePrefix="false">
      <alignment horizontal="left" vertical="top"/>
    </xf>
    <xf applyAlignment="true" applyBorder="true" applyFill="false" applyFont="false" applyNumberFormat="true" borderId="5479" fillId="0" fontId="1" numFmtId="1000" quotePrefix="false">
      <alignment horizontal="left" vertical="top"/>
    </xf>
    <xf applyAlignment="true" applyBorder="true" applyFill="false" applyFont="true" applyNumberFormat="true" borderId="5480" fillId="0" fontId="13" numFmtId="1000" quotePrefix="false">
      <alignment horizontal="center" textRotation="90" vertical="top"/>
    </xf>
    <xf applyAlignment="true" applyBorder="true" applyFill="false" applyFont="true" applyNumberFormat="true" borderId="5481" fillId="0" fontId="2" numFmtId="1000" quotePrefix="false">
      <alignment horizontal="center"/>
    </xf>
    <xf applyAlignment="true" applyBorder="true" applyFill="false" applyFont="true" applyNumberFormat="true" borderId="5482" fillId="0" fontId="2" numFmtId="1000" quotePrefix="false">
      <alignment horizontal="center"/>
    </xf>
    <xf applyAlignment="true" applyBorder="true" applyFill="false" applyFont="true" applyNumberFormat="true" borderId="5483" fillId="0" fontId="2" numFmtId="1000" quotePrefix="false">
      <alignment horizontal="center"/>
    </xf>
    <xf applyAlignment="true" applyBorder="true" applyFill="false" applyFont="false" applyNumberFormat="true" borderId="5484" fillId="0" fontId="1" numFmtId="1000" quotePrefix="false">
      <alignment horizontal="center" vertical="top"/>
    </xf>
    <xf applyAlignment="true" applyBorder="true" applyFill="false" applyFont="false" applyNumberFormat="true" borderId="5485" fillId="0" fontId="1" numFmtId="1000" quotePrefix="false">
      <alignment horizontal="center" vertical="top"/>
    </xf>
    <xf applyAlignment="true" applyBorder="true" applyFill="false" applyFont="false" applyNumberFormat="true" borderId="5486" fillId="0" fontId="1" numFmtId="1000" quotePrefix="false">
      <alignment horizontal="center" vertical="top"/>
    </xf>
    <xf applyAlignment="true" applyBorder="true" applyFill="false" applyFont="false" applyNumberFormat="true" borderId="5487" fillId="0" fontId="1" numFmtId="1000" quotePrefix="false">
      <alignment horizontal="center" vertical="top"/>
    </xf>
    <xf applyAlignment="true" applyBorder="true" applyFill="false" applyFont="false" applyNumberFormat="true" borderId="5488" fillId="0" fontId="1" numFmtId="1000" quotePrefix="false">
      <alignment horizontal="center" vertical="top"/>
    </xf>
    <xf applyAlignment="true" applyBorder="true" applyFill="false" applyFont="false" applyNumberFormat="true" borderId="5489" fillId="0" fontId="1" numFmtId="1000" quotePrefix="false">
      <alignment horizontal="center" vertical="top"/>
    </xf>
    <xf applyAlignment="true" applyBorder="true" applyFill="false" applyFont="false" applyNumberFormat="true" borderId="5490" fillId="0" fontId="1" numFmtId="1000" quotePrefix="false">
      <alignment horizontal="center" vertical="top"/>
    </xf>
    <xf applyAlignment="true" applyBorder="true" applyFill="false" applyFont="false" applyNumberFormat="true" borderId="5491" fillId="0" fontId="1" numFmtId="1000" quotePrefix="false">
      <alignment horizontal="center" vertical="top"/>
    </xf>
    <xf applyAlignment="true" applyBorder="true" applyFill="false" applyFont="false" applyNumberFormat="true" borderId="5492" fillId="0" fontId="1" numFmtId="1000" quotePrefix="false">
      <alignment horizontal="center" vertical="top"/>
    </xf>
    <xf applyAlignment="true" applyBorder="true" applyFill="false" applyFont="false" applyNumberFormat="true" borderId="5493" fillId="0" fontId="1" numFmtId="1000" quotePrefix="false">
      <alignment horizontal="center" vertical="top"/>
    </xf>
    <xf applyAlignment="true" applyBorder="true" applyFill="false" applyFont="false" applyNumberFormat="true" borderId="5494" fillId="0" fontId="1" numFmtId="1000" quotePrefix="false">
      <alignment horizontal="center" vertical="top"/>
    </xf>
    <xf applyAlignment="true" applyBorder="true" applyFill="false" applyFont="false" applyNumberFormat="true" borderId="5495" fillId="0" fontId="1" numFmtId="1000" quotePrefix="false">
      <alignment horizontal="center" vertical="top"/>
    </xf>
    <xf applyAlignment="true" applyBorder="true" applyFill="false" applyFont="false" applyNumberFormat="true" borderId="5496" fillId="0" fontId="1" numFmtId="1000" quotePrefix="false">
      <alignment horizontal="center" vertical="top"/>
    </xf>
    <xf applyAlignment="true" applyBorder="true" applyFill="false" applyFont="false" applyNumberFormat="true" borderId="5497" fillId="0" fontId="1" numFmtId="1000" quotePrefix="false">
      <alignment horizontal="center" vertical="top"/>
    </xf>
    <xf applyAlignment="true" applyBorder="true" applyFill="false" applyFont="false" applyNumberFormat="true" borderId="5498" fillId="0" fontId="1" numFmtId="1000" quotePrefix="false">
      <alignment horizontal="center" vertical="top"/>
    </xf>
    <xf applyAlignment="true" applyBorder="true" applyFill="false" applyFont="false" applyNumberFormat="true" borderId="5499" fillId="0" fontId="1" numFmtId="1000" quotePrefix="false">
      <alignment horizontal="center" vertical="top"/>
    </xf>
    <xf applyAlignment="true" applyBorder="true" applyFill="false" applyFont="true" applyNumberFormat="true" borderId="5500" fillId="0" fontId="13" numFmtId="1000" quotePrefix="false">
      <alignment horizontal="center" textRotation="90" vertical="top"/>
    </xf>
    <xf applyAlignment="true" applyBorder="true" applyFill="false" applyFont="false" applyNumberFormat="true" borderId="5501" fillId="0" fontId="1" numFmtId="1000" quotePrefix="false">
      <alignment horizontal="center" vertical="top"/>
    </xf>
    <xf applyAlignment="true" applyBorder="true" applyFill="false" applyFont="false" applyNumberFormat="true" borderId="5502" fillId="0" fontId="1" numFmtId="1000" quotePrefix="false">
      <alignment horizontal="center" vertical="top"/>
    </xf>
    <xf applyAlignment="true" applyBorder="true" applyFill="false" applyFont="false" applyNumberFormat="true" borderId="5503" fillId="0" fontId="1" numFmtId="1000" quotePrefix="false">
      <alignment horizontal="center" vertical="top"/>
    </xf>
    <xf applyAlignment="true" applyBorder="true" applyFill="false" applyFont="false" applyNumberFormat="true" borderId="5504" fillId="0" fontId="1" numFmtId="1000" quotePrefix="false">
      <alignment horizontal="center" vertical="top"/>
    </xf>
    <xf applyAlignment="true" applyBorder="true" applyFill="false" applyFont="false" applyNumberFormat="true" borderId="5505" fillId="0" fontId="1" numFmtId="1000" quotePrefix="false">
      <alignment horizontal="center" vertical="top"/>
    </xf>
    <xf applyAlignment="true" applyBorder="true" applyFill="false" applyFont="false" applyNumberFormat="true" borderId="5506" fillId="0" fontId="1" numFmtId="1000" quotePrefix="false">
      <alignment horizontal="center" vertical="top"/>
    </xf>
    <xf applyAlignment="true" applyBorder="true" applyFill="false" applyFont="false" applyNumberFormat="true" borderId="5507" fillId="0" fontId="1" numFmtId="1000" quotePrefix="false">
      <alignment horizontal="center" vertical="top"/>
    </xf>
    <xf applyAlignment="true" applyBorder="true" applyFill="false" applyFont="true" applyNumberFormat="true" borderId="5508" fillId="0" fontId="13" numFmtId="1000" quotePrefix="false">
      <alignment horizontal="center" textRotation="90" vertical="top"/>
    </xf>
    <xf applyAlignment="true" applyBorder="true" applyFill="false" applyFont="false" applyNumberFormat="true" borderId="5509" fillId="0" fontId="1" numFmtId="1000" quotePrefix="false">
      <alignment horizontal="center" vertical="top"/>
    </xf>
    <xf applyAlignment="true" applyBorder="true" applyFill="false" applyFont="false" applyNumberFormat="true" borderId="5510" fillId="0" fontId="1" numFmtId="1000" quotePrefix="false">
      <alignment horizontal="center" vertical="top"/>
    </xf>
    <xf applyAlignment="true" applyBorder="true" applyFill="false" applyFont="false" applyNumberFormat="true" borderId="5511" fillId="0" fontId="1" numFmtId="1000" quotePrefix="false">
      <alignment horizontal="center" vertical="top"/>
    </xf>
    <xf applyAlignment="true" applyBorder="true" applyFill="false" applyFont="false" applyNumberFormat="true" borderId="5512" fillId="0" fontId="1" numFmtId="1000" quotePrefix="false">
      <alignment horizontal="center" vertical="top"/>
    </xf>
    <xf applyAlignment="true" applyBorder="true" applyFill="false" applyFont="false" applyNumberFormat="true" borderId="5513" fillId="0" fontId="1" numFmtId="1000" quotePrefix="false">
      <alignment horizontal="center" vertical="top"/>
    </xf>
    <xf applyAlignment="true" applyBorder="true" applyFill="false" applyFont="false" applyNumberFormat="true" borderId="5514" fillId="0" fontId="1" numFmtId="1000" quotePrefix="false">
      <alignment horizontal="center" vertical="top"/>
    </xf>
    <xf applyAlignment="true" applyBorder="true" applyFill="false" applyFont="true" applyNumberFormat="true" borderId="5515" fillId="0" fontId="13" numFmtId="1000" quotePrefix="false">
      <alignment horizontal="center" textRotation="90" vertical="top"/>
    </xf>
    <xf applyAlignment="true" applyBorder="true" applyFill="false" applyFont="false" applyNumberFormat="true" borderId="5516" fillId="0" fontId="1" numFmtId="1000" quotePrefix="false">
      <alignment horizontal="center" vertical="top"/>
    </xf>
    <xf applyAlignment="true" applyBorder="true" applyFill="false" applyFont="false" applyNumberFormat="true" borderId="5517" fillId="0" fontId="1" numFmtId="1000" quotePrefix="false">
      <alignment horizontal="center" vertical="top"/>
    </xf>
    <xf applyAlignment="true" applyBorder="true" applyFill="false" applyFont="false" applyNumberFormat="true" borderId="5518" fillId="0" fontId="1" numFmtId="1000" quotePrefix="false">
      <alignment horizontal="center" vertical="top"/>
    </xf>
    <xf applyAlignment="true" applyBorder="true" applyFill="false" applyFont="false" applyNumberFormat="true" borderId="5519" fillId="0" fontId="1" numFmtId="1000" quotePrefix="false">
      <alignment horizontal="center" vertical="top"/>
    </xf>
    <xf applyAlignment="true" applyBorder="true" applyFill="false" applyFont="false" applyNumberFormat="true" borderId="5520" fillId="0" fontId="1" numFmtId="1000" quotePrefix="false">
      <alignment horizontal="center" vertical="top"/>
    </xf>
    <xf applyAlignment="true" applyBorder="true" applyFill="false" applyFont="false" applyNumberFormat="true" borderId="5521" fillId="0" fontId="1" numFmtId="1000" quotePrefix="false">
      <alignment horizontal="center" vertical="top"/>
    </xf>
    <xf applyAlignment="true" applyBorder="true" applyFill="false" applyFont="true" applyNumberFormat="true" borderId="5522" fillId="0" fontId="13" numFmtId="1000" quotePrefix="false">
      <alignment horizontal="center" textRotation="90" vertical="top"/>
    </xf>
    <xf applyAlignment="true" applyBorder="true" applyFill="false" applyFont="false" applyNumberFormat="true" borderId="5523" fillId="0" fontId="1" numFmtId="1000" quotePrefix="false">
      <alignment horizontal="center" vertical="top"/>
    </xf>
    <xf applyAlignment="true" applyBorder="true" applyFill="false" applyFont="false" applyNumberFormat="true" borderId="5524" fillId="0" fontId="1" numFmtId="1000" quotePrefix="false">
      <alignment horizontal="center" vertical="top"/>
    </xf>
    <xf applyAlignment="true" applyBorder="true" applyFill="false" applyFont="false" applyNumberFormat="true" borderId="5525" fillId="0" fontId="1" numFmtId="1000" quotePrefix="false">
      <alignment horizontal="center" vertical="top"/>
    </xf>
    <xf applyAlignment="true" applyBorder="true" applyFill="false" applyFont="false" applyNumberFormat="true" borderId="5526" fillId="0" fontId="1" numFmtId="1000" quotePrefix="false">
      <alignment horizontal="center" vertical="top"/>
    </xf>
    <xf applyAlignment="true" applyBorder="true" applyFill="false" applyFont="false" applyNumberFormat="true" borderId="5527" fillId="0" fontId="1" numFmtId="1000" quotePrefix="false">
      <alignment horizontal="center" vertical="top"/>
    </xf>
    <xf applyAlignment="true" applyBorder="true" applyFill="false" applyFont="false" applyNumberFormat="true" borderId="5528" fillId="0" fontId="1" numFmtId="1000" quotePrefix="false">
      <alignment horizontal="center" vertical="top"/>
    </xf>
    <xf applyAlignment="true" applyBorder="true" applyFill="false" applyFont="true" applyNumberFormat="true" borderId="5529" fillId="0" fontId="13" numFmtId="1000" quotePrefix="false">
      <alignment horizontal="center" textRotation="90" vertical="top"/>
    </xf>
    <xf applyAlignment="true" applyBorder="true" applyFill="false" applyFont="false" applyNumberFormat="true" borderId="5530" fillId="0" fontId="1" numFmtId="1000" quotePrefix="false">
      <alignment horizontal="center" vertical="top"/>
    </xf>
    <xf applyAlignment="true" applyBorder="true" applyFill="false" applyFont="false" applyNumberFormat="true" borderId="5531" fillId="0" fontId="1" numFmtId="1000" quotePrefix="false">
      <alignment horizontal="center" vertical="top"/>
    </xf>
    <xf applyAlignment="true" applyBorder="true" applyFill="false" applyFont="false" applyNumberFormat="true" borderId="5532" fillId="0" fontId="1" numFmtId="1000" quotePrefix="false">
      <alignment horizontal="center" vertical="top"/>
    </xf>
    <xf applyAlignment="true" applyBorder="true" applyFill="false" applyFont="false" applyNumberFormat="true" borderId="5533" fillId="0" fontId="1" numFmtId="1000" quotePrefix="false">
      <alignment horizontal="center" vertical="top"/>
    </xf>
    <xf applyAlignment="true" applyBorder="true" applyFill="false" applyFont="false" applyNumberFormat="true" borderId="5534" fillId="0" fontId="1" numFmtId="1000" quotePrefix="false">
      <alignment horizontal="center" vertical="top"/>
    </xf>
    <xf applyAlignment="true" applyBorder="true" applyFill="false" applyFont="false" applyNumberFormat="true" borderId="5535" fillId="0" fontId="1" numFmtId="1000" quotePrefix="false">
      <alignment horizontal="center" vertical="top"/>
    </xf>
    <xf applyAlignment="true" applyBorder="true" applyFill="false" applyFont="true" applyNumberFormat="true" borderId="5536" fillId="0" fontId="13" numFmtId="1000" quotePrefix="false">
      <alignment horizontal="center" textRotation="90" vertical="top"/>
    </xf>
    <xf applyAlignment="true" applyBorder="true" applyFill="false" applyFont="false" applyNumberFormat="true" borderId="5537" fillId="0" fontId="1" numFmtId="1000" quotePrefix="false">
      <alignment horizontal="center" vertical="top"/>
    </xf>
    <xf applyAlignment="true" applyBorder="true" applyFill="false" applyFont="false" applyNumberFormat="true" borderId="5538" fillId="0" fontId="1" numFmtId="1000" quotePrefix="false">
      <alignment horizontal="center" vertical="top"/>
    </xf>
    <xf applyAlignment="true" applyBorder="true" applyFill="false" applyFont="false" applyNumberFormat="true" borderId="5539" fillId="0" fontId="1" numFmtId="1000" quotePrefix="false">
      <alignment horizontal="center" vertical="top"/>
    </xf>
    <xf applyAlignment="true" applyBorder="true" applyFill="false" applyFont="false" applyNumberFormat="true" borderId="5540" fillId="0" fontId="1" numFmtId="1000" quotePrefix="false">
      <alignment horizontal="center" vertical="top"/>
    </xf>
    <xf applyAlignment="true" applyBorder="true" applyFill="false" applyFont="false" applyNumberFormat="true" borderId="5541" fillId="0" fontId="1" numFmtId="1000" quotePrefix="false">
      <alignment horizontal="center" vertical="top"/>
    </xf>
    <xf applyAlignment="true" applyBorder="true" applyFill="false" applyFont="false" applyNumberFormat="true" borderId="5542" fillId="0" fontId="1" numFmtId="1000" quotePrefix="false">
      <alignment horizontal="center" vertical="top"/>
    </xf>
    <xf applyAlignment="true" applyBorder="true" applyFill="false" applyFont="true" applyNumberFormat="true" borderId="5543" fillId="0" fontId="13" numFmtId="1000" quotePrefix="false">
      <alignment horizontal="center" textRotation="90" vertical="top"/>
    </xf>
    <xf applyAlignment="true" applyBorder="true" applyFill="false" applyFont="false" applyNumberFormat="true" borderId="5544" fillId="0" fontId="1" numFmtId="1000" quotePrefix="false">
      <alignment horizontal="center" vertical="top"/>
    </xf>
    <xf applyAlignment="true" applyBorder="true" applyFill="false" applyFont="false" applyNumberFormat="true" borderId="5545" fillId="0" fontId="1" numFmtId="1000" quotePrefix="false">
      <alignment horizontal="center" vertical="top"/>
    </xf>
    <xf applyAlignment="true" applyBorder="true" applyFill="false" applyFont="false" applyNumberFormat="true" borderId="5546" fillId="0" fontId="1" numFmtId="1000" quotePrefix="false">
      <alignment horizontal="center" vertical="top"/>
    </xf>
    <xf applyAlignment="true" applyBorder="true" applyFill="false" applyFont="false" applyNumberFormat="true" borderId="5547" fillId="0" fontId="1" numFmtId="1000" quotePrefix="false">
      <alignment horizontal="center" vertical="top"/>
    </xf>
    <xf applyAlignment="true" applyBorder="true" applyFill="false" applyFont="false" applyNumberFormat="true" borderId="5548" fillId="0" fontId="1" numFmtId="1000" quotePrefix="false">
      <alignment horizontal="center" vertical="top"/>
    </xf>
    <xf applyAlignment="true" applyBorder="true" applyFill="false" applyFont="false" applyNumberFormat="true" borderId="5549" fillId="0" fontId="1" numFmtId="1000" quotePrefix="false">
      <alignment horizontal="center" vertical="top"/>
    </xf>
    <xf applyAlignment="true" applyBorder="true" applyFill="false" applyFont="true" applyNumberFormat="true" borderId="5550" fillId="0" fontId="13" numFmtId="1000" quotePrefix="false">
      <alignment horizontal="center" textRotation="90" vertical="top"/>
    </xf>
    <xf applyAlignment="true" applyBorder="true" applyFill="false" applyFont="false" applyNumberFormat="true" borderId="5551" fillId="0" fontId="1" numFmtId="1000" quotePrefix="false">
      <alignment horizontal="center" vertical="top"/>
    </xf>
    <xf applyAlignment="true" applyBorder="true" applyFill="false" applyFont="false" applyNumberFormat="true" borderId="5552" fillId="0" fontId="1" numFmtId="1000" quotePrefix="false">
      <alignment horizontal="center" vertical="top"/>
    </xf>
    <xf applyAlignment="true" applyBorder="true" applyFill="false" applyFont="false" applyNumberFormat="true" borderId="5553" fillId="0" fontId="1" numFmtId="1000" quotePrefix="false">
      <alignment horizontal="center" vertical="top"/>
    </xf>
    <xf applyAlignment="true" applyBorder="true" applyFill="false" applyFont="false" applyNumberFormat="true" borderId="5554" fillId="0" fontId="1" numFmtId="1000" quotePrefix="false">
      <alignment horizontal="center" vertical="top"/>
    </xf>
    <xf applyAlignment="true" applyBorder="true" applyFill="false" applyFont="false" applyNumberFormat="true" borderId="5555" fillId="0" fontId="1" numFmtId="1000" quotePrefix="false">
      <alignment horizontal="center" vertical="top"/>
    </xf>
    <xf applyAlignment="true" applyBorder="true" applyFill="false" applyFont="false" applyNumberFormat="true" borderId="5556" fillId="0" fontId="1" numFmtId="1000" quotePrefix="false">
      <alignment horizontal="center" vertical="top"/>
    </xf>
    <xf applyAlignment="true" applyBorder="true" applyFill="false" applyFont="true" applyNumberFormat="true" borderId="5557" fillId="0" fontId="13" numFmtId="1000" quotePrefix="false">
      <alignment horizontal="center" textRotation="90" vertical="top"/>
    </xf>
    <xf applyAlignment="true" applyBorder="true" applyFill="false" applyFont="false" applyNumberFormat="true" borderId="5558" fillId="0" fontId="1" numFmtId="1000" quotePrefix="false">
      <alignment horizontal="center" vertical="top"/>
    </xf>
    <xf applyAlignment="true" applyBorder="true" applyFill="false" applyFont="false" applyNumberFormat="true" borderId="5559" fillId="0" fontId="1" numFmtId="1000" quotePrefix="false">
      <alignment horizontal="center" vertical="top"/>
    </xf>
    <xf applyAlignment="true" applyBorder="true" applyFill="false" applyFont="false" applyNumberFormat="true" borderId="5560" fillId="0" fontId="1" numFmtId="1000" quotePrefix="false">
      <alignment horizontal="center" vertical="top"/>
    </xf>
    <xf applyAlignment="true" applyBorder="true" applyFill="false" applyFont="false" applyNumberFormat="true" borderId="5561" fillId="0" fontId="1" numFmtId="1000" quotePrefix="false">
      <alignment horizontal="center" vertical="top"/>
    </xf>
    <xf applyAlignment="true" applyBorder="true" applyFill="false" applyFont="false" applyNumberFormat="true" borderId="5562" fillId="0" fontId="1" numFmtId="1000" quotePrefix="false">
      <alignment horizontal="center" vertical="top"/>
    </xf>
    <xf applyAlignment="true" applyBorder="true" applyFill="false" applyFont="false" applyNumberFormat="true" borderId="5563" fillId="0" fontId="1" numFmtId="1000" quotePrefix="false">
      <alignment horizontal="center" vertical="top"/>
    </xf>
    <xf applyAlignment="true" applyBorder="true" applyFill="false" applyFont="false" applyNumberFormat="true" borderId="5564" fillId="0" fontId="1" numFmtId="1000" quotePrefix="false">
      <alignment horizontal="center" vertical="top"/>
    </xf>
    <xf applyAlignment="true" applyBorder="true" applyFill="false" applyFont="false" applyNumberFormat="true" borderId="5565" fillId="0" fontId="1" numFmtId="1000" quotePrefix="false">
      <alignment horizontal="center" vertical="top"/>
    </xf>
    <xf applyAlignment="true" applyBorder="true" applyFill="false" applyFont="false" applyNumberFormat="true" borderId="5566" fillId="0" fontId="1" numFmtId="1000" quotePrefix="false">
      <alignment horizontal="center" vertical="top"/>
    </xf>
    <xf applyAlignment="true" applyBorder="true" applyFill="false" applyFont="false" applyNumberFormat="true" borderId="5567" fillId="0" fontId="1" numFmtId="1000" quotePrefix="false">
      <alignment horizontal="center" vertical="top"/>
    </xf>
    <xf applyAlignment="true" applyBorder="true" applyFill="false" applyFont="true" applyNumberFormat="true" borderId="5568" fillId="0" fontId="13" numFmtId="1000" quotePrefix="false">
      <alignment horizontal="center" textRotation="90" vertical="top"/>
    </xf>
    <xf applyAlignment="true" applyBorder="true" applyFill="false" applyFont="true" applyNumberFormat="true" borderId="5569" fillId="0" fontId="2" numFmtId="1000" quotePrefix="false">
      <alignment horizontal="center" vertical="top"/>
    </xf>
    <xf applyAlignment="true" applyBorder="true" applyFill="false" applyFont="false" applyNumberFormat="true" borderId="5570" fillId="0" fontId="1" numFmtId="1000" quotePrefix="false">
      <alignment horizontal="left" vertical="top"/>
    </xf>
    <xf applyAlignment="true" applyBorder="true" applyFill="false" applyFont="false" applyNumberFormat="true" borderId="5571" fillId="0" fontId="1" numFmtId="1000" quotePrefix="false">
      <alignment horizontal="left" vertical="top"/>
    </xf>
    <xf applyAlignment="true" applyBorder="true" applyFill="false" applyFont="false" applyNumberFormat="true" borderId="5572" fillId="0" fontId="1" numFmtId="1000" quotePrefix="false">
      <alignment horizontal="left" vertical="top"/>
    </xf>
    <xf applyAlignment="true" applyBorder="true" applyFill="false" applyFont="false" applyNumberFormat="true" borderId="5573" fillId="0" fontId="1" numFmtId="1000" quotePrefix="false">
      <alignment horizontal="left" vertical="top"/>
    </xf>
    <xf applyAlignment="true" applyBorder="true" applyFill="false" applyFont="false" applyNumberFormat="true" borderId="5574" fillId="0" fontId="1" numFmtId="1000" quotePrefix="false">
      <alignment horizontal="left" vertical="top"/>
    </xf>
    <xf applyAlignment="true" applyBorder="true" applyFill="false" applyFont="false" applyNumberFormat="true" borderId="5575" fillId="0" fontId="1" numFmtId="1000" quotePrefix="false">
      <alignment horizontal="left" vertical="top"/>
    </xf>
    <xf applyAlignment="true" applyBorder="true" applyFill="false" applyFont="false" applyNumberFormat="true" borderId="5576" fillId="0" fontId="1" numFmtId="1000" quotePrefix="false">
      <alignment horizontal="left" vertical="top"/>
    </xf>
    <xf applyAlignment="true" applyBorder="true" applyFill="false" applyFont="false" applyNumberFormat="true" borderId="5577" fillId="0" fontId="1" numFmtId="1000" quotePrefix="false">
      <alignment horizontal="left" vertical="top"/>
    </xf>
    <xf applyAlignment="true" applyBorder="true" applyFill="false" applyFont="false" applyNumberFormat="true" borderId="5578" fillId="0" fontId="1" numFmtId="1000" quotePrefix="false">
      <alignment horizontal="left" vertical="top"/>
    </xf>
    <xf applyAlignment="true" applyBorder="true" applyFill="false" applyFont="false" applyNumberFormat="true" borderId="5579" fillId="0" fontId="1" numFmtId="1000" quotePrefix="false">
      <alignment horizontal="left" vertical="top"/>
    </xf>
    <xf applyAlignment="true" applyBorder="true" applyFill="false" applyFont="false" applyNumberFormat="true" borderId="5580" fillId="0" fontId="1" numFmtId="1000" quotePrefix="false">
      <alignment horizontal="left" vertical="top"/>
    </xf>
    <xf applyAlignment="true" applyBorder="true" applyFill="false" applyFont="false" applyNumberFormat="true" borderId="5581" fillId="0" fontId="1" numFmtId="1000" quotePrefix="false">
      <alignment horizontal="left" vertical="top"/>
    </xf>
    <xf applyAlignment="true" applyBorder="true" applyFill="false" applyFont="false" applyNumberFormat="true" borderId="5582" fillId="0" fontId="1" numFmtId="1000" quotePrefix="false">
      <alignment horizontal="left" vertical="top"/>
    </xf>
    <xf applyAlignment="true" applyBorder="true" applyFill="false" applyFont="false" applyNumberFormat="true" borderId="5583" fillId="0" fontId="1" numFmtId="1000" quotePrefix="false">
      <alignment horizontal="left" vertical="top"/>
    </xf>
    <xf applyAlignment="true" applyBorder="true" applyFill="false" applyFont="false" applyNumberFormat="true" borderId="5584" fillId="0" fontId="1" numFmtId="1000" quotePrefix="false">
      <alignment horizontal="left" vertical="top"/>
    </xf>
    <xf applyAlignment="true" applyBorder="true" applyFill="false" applyFont="false" applyNumberFormat="true" borderId="5585" fillId="0" fontId="1" numFmtId="1000" quotePrefix="false">
      <alignment horizontal="left" vertical="top"/>
    </xf>
    <xf applyAlignment="true" applyBorder="true" applyFill="false" applyFont="false" applyNumberFormat="true" borderId="5586" fillId="0" fontId="1" numFmtId="1000" quotePrefix="false">
      <alignment horizontal="left" vertical="top"/>
    </xf>
    <xf applyAlignment="true" applyBorder="true" applyFill="false" applyFont="false" applyNumberFormat="true" borderId="5587" fillId="0" fontId="1" numFmtId="1000" quotePrefix="false">
      <alignment horizontal="left" vertical="top"/>
    </xf>
    <xf applyAlignment="true" applyBorder="true" applyFill="false" applyFont="false" applyNumberFormat="true" borderId="5588" fillId="0" fontId="1" numFmtId="1000" quotePrefix="false">
      <alignment horizontal="left" vertical="top"/>
    </xf>
    <xf applyAlignment="true" applyBorder="true" applyFill="false" applyFont="true" applyNumberFormat="true" borderId="5589" fillId="0" fontId="13" numFmtId="1000" quotePrefix="false">
      <alignment horizontal="center" textRotation="90" vertical="top"/>
    </xf>
    <xf applyAlignment="true" applyBorder="true" applyFill="false" applyFont="true" applyNumberFormat="true" borderId="5590" fillId="0" fontId="2" numFmtId="1000" quotePrefix="false">
      <alignment horizontal="center"/>
    </xf>
    <xf applyAlignment="true" applyBorder="true" applyFill="false" applyFont="true" applyNumberFormat="true" borderId="5591" fillId="0" fontId="2" numFmtId="1000" quotePrefix="false">
      <alignment horizontal="center"/>
    </xf>
    <xf applyAlignment="true" applyBorder="true" applyFill="false" applyFont="true" applyNumberFormat="true" borderId="5592" fillId="0" fontId="2" numFmtId="1000" quotePrefix="false">
      <alignment horizontal="center"/>
    </xf>
    <xf applyAlignment="true" applyBorder="true" applyFill="false" applyFont="false" applyNumberFormat="true" borderId="5593" fillId="0" fontId="1" numFmtId="1000" quotePrefix="false">
      <alignment horizontal="center" vertical="top"/>
    </xf>
    <xf applyAlignment="true" applyBorder="true" applyFill="false" applyFont="false" applyNumberFormat="true" borderId="5594" fillId="0" fontId="1" numFmtId="1000" quotePrefix="false">
      <alignment horizontal="center" vertical="top"/>
    </xf>
    <xf applyAlignment="true" applyBorder="true" applyFill="false" applyFont="false" applyNumberFormat="true" borderId="5595" fillId="0" fontId="1" numFmtId="1000" quotePrefix="false">
      <alignment horizontal="center" vertical="top"/>
    </xf>
    <xf applyAlignment="true" applyBorder="true" applyFill="false" applyFont="false" applyNumberFormat="true" borderId="5596" fillId="0" fontId="1" numFmtId="1000" quotePrefix="false">
      <alignment horizontal="center" vertical="top"/>
    </xf>
    <xf applyAlignment="true" applyBorder="true" applyFill="false" applyFont="false" applyNumberFormat="true" borderId="5597" fillId="0" fontId="1" numFmtId="1000" quotePrefix="false">
      <alignment horizontal="center" vertical="top"/>
    </xf>
    <xf applyAlignment="true" applyBorder="true" applyFill="false" applyFont="false" applyNumberFormat="true" borderId="5598" fillId="0" fontId="1" numFmtId="1000" quotePrefix="false">
      <alignment horizontal="center" vertical="top"/>
    </xf>
    <xf applyAlignment="true" applyBorder="true" applyFill="false" applyFont="false" applyNumberFormat="true" borderId="5599" fillId="0" fontId="1" numFmtId="1000" quotePrefix="false">
      <alignment horizontal="center" vertical="top"/>
    </xf>
    <xf applyAlignment="true" applyBorder="true" applyFill="false" applyFont="false" applyNumberFormat="true" borderId="5600" fillId="0" fontId="1" numFmtId="1000" quotePrefix="false">
      <alignment horizontal="center" vertical="top"/>
    </xf>
    <xf applyAlignment="true" applyBorder="true" applyFill="false" applyFont="false" applyNumberFormat="true" borderId="5601" fillId="0" fontId="1" numFmtId="1000" quotePrefix="false">
      <alignment horizontal="center" vertical="top"/>
    </xf>
    <xf applyAlignment="true" applyBorder="true" applyFill="false" applyFont="false" applyNumberFormat="true" borderId="5602" fillId="0" fontId="1" numFmtId="1000" quotePrefix="false">
      <alignment horizontal="center" vertical="top"/>
    </xf>
    <xf applyAlignment="true" applyBorder="true" applyFill="false" applyFont="false" applyNumberFormat="true" borderId="5603" fillId="0" fontId="1" numFmtId="1000" quotePrefix="false">
      <alignment horizontal="center" vertical="top"/>
    </xf>
    <xf applyAlignment="true" applyBorder="true" applyFill="false" applyFont="false" applyNumberFormat="true" borderId="5604" fillId="0" fontId="1" numFmtId="1000" quotePrefix="false">
      <alignment horizontal="center" vertical="top"/>
    </xf>
    <xf applyAlignment="true" applyBorder="true" applyFill="false" applyFont="false" applyNumberFormat="true" borderId="5605" fillId="0" fontId="1" numFmtId="1000" quotePrefix="false">
      <alignment horizontal="center" vertical="top"/>
    </xf>
    <xf applyAlignment="true" applyBorder="true" applyFill="false" applyFont="false" applyNumberFormat="true" borderId="5606" fillId="0" fontId="1" numFmtId="1000" quotePrefix="false">
      <alignment horizontal="center" vertical="top"/>
    </xf>
    <xf applyAlignment="true" applyBorder="true" applyFill="false" applyFont="false" applyNumberFormat="true" borderId="5607" fillId="0" fontId="1" numFmtId="1000" quotePrefix="false">
      <alignment horizontal="center" vertical="top"/>
    </xf>
    <xf applyAlignment="true" applyBorder="true" applyFill="false" applyFont="false" applyNumberFormat="true" borderId="5608" fillId="0" fontId="1" numFmtId="1000" quotePrefix="false">
      <alignment horizontal="center" vertical="top"/>
    </xf>
    <xf applyAlignment="true" applyBorder="true" applyFill="false" applyFont="true" applyNumberFormat="true" borderId="5609" fillId="0" fontId="13" numFmtId="1000" quotePrefix="false">
      <alignment horizontal="center" textRotation="90" vertical="top"/>
    </xf>
    <xf applyAlignment="true" applyBorder="true" applyFill="false" applyFont="false" applyNumberFormat="true" borderId="5610" fillId="0" fontId="1" numFmtId="1000" quotePrefix="false">
      <alignment horizontal="center" vertical="top"/>
    </xf>
    <xf applyAlignment="true" applyBorder="true" applyFill="false" applyFont="false" applyNumberFormat="true" borderId="5611" fillId="0" fontId="1" numFmtId="1000" quotePrefix="false">
      <alignment horizontal="center" vertical="top"/>
    </xf>
    <xf applyAlignment="true" applyBorder="true" applyFill="false" applyFont="false" applyNumberFormat="true" borderId="5612" fillId="0" fontId="1" numFmtId="1000" quotePrefix="false">
      <alignment horizontal="center" vertical="top"/>
    </xf>
    <xf applyAlignment="true" applyBorder="true" applyFill="false" applyFont="false" applyNumberFormat="true" borderId="5613" fillId="0" fontId="1" numFmtId="1000" quotePrefix="false">
      <alignment horizontal="center" vertical="top"/>
    </xf>
    <xf applyAlignment="true" applyBorder="true" applyFill="false" applyFont="false" applyNumberFormat="true" borderId="5614" fillId="0" fontId="1" numFmtId="1000" quotePrefix="false">
      <alignment horizontal="center" vertical="top"/>
    </xf>
    <xf applyAlignment="true" applyBorder="true" applyFill="false" applyFont="false" applyNumberFormat="true" borderId="5615" fillId="0" fontId="1" numFmtId="1000" quotePrefix="false">
      <alignment horizontal="center" vertical="top"/>
    </xf>
    <xf applyAlignment="true" applyBorder="true" applyFill="false" applyFont="false" applyNumberFormat="true" borderId="5616" fillId="0" fontId="1" numFmtId="1000" quotePrefix="false">
      <alignment horizontal="center" vertical="top"/>
    </xf>
    <xf applyAlignment="true" applyBorder="true" applyFill="false" applyFont="true" applyNumberFormat="true" borderId="5617" fillId="0" fontId="13" numFmtId="1000" quotePrefix="false">
      <alignment horizontal="center" textRotation="90" vertical="top"/>
    </xf>
    <xf applyAlignment="true" applyBorder="true" applyFill="false" applyFont="false" applyNumberFormat="true" borderId="5618" fillId="0" fontId="1" numFmtId="1000" quotePrefix="false">
      <alignment horizontal="center" vertical="top"/>
    </xf>
    <xf applyAlignment="true" applyBorder="true" applyFill="false" applyFont="false" applyNumberFormat="true" borderId="5619" fillId="0" fontId="1" numFmtId="1000" quotePrefix="false">
      <alignment horizontal="center" vertical="top"/>
    </xf>
    <xf applyAlignment="true" applyBorder="true" applyFill="false" applyFont="false" applyNumberFormat="true" borderId="5620" fillId="0" fontId="1" numFmtId="1000" quotePrefix="false">
      <alignment horizontal="center" vertical="top"/>
    </xf>
    <xf applyAlignment="true" applyBorder="true" applyFill="false" applyFont="false" applyNumberFormat="true" borderId="5621" fillId="0" fontId="1" numFmtId="1000" quotePrefix="false">
      <alignment horizontal="center" vertical="top"/>
    </xf>
    <xf applyAlignment="true" applyBorder="true" applyFill="false" applyFont="false" applyNumberFormat="true" borderId="5622" fillId="0" fontId="1" numFmtId="1000" quotePrefix="false">
      <alignment horizontal="center" vertical="top"/>
    </xf>
    <xf applyAlignment="true" applyBorder="true" applyFill="false" applyFont="false" applyNumberFormat="true" borderId="5623" fillId="0" fontId="1" numFmtId="1000" quotePrefix="false">
      <alignment horizontal="center" vertical="top"/>
    </xf>
    <xf applyAlignment="true" applyBorder="true" applyFill="false" applyFont="true" applyNumberFormat="true" borderId="5624" fillId="0" fontId="13" numFmtId="1000" quotePrefix="false">
      <alignment horizontal="center" textRotation="90" vertical="top"/>
    </xf>
    <xf applyAlignment="true" applyBorder="true" applyFill="false" applyFont="false" applyNumberFormat="true" borderId="5625" fillId="0" fontId="1" numFmtId="1000" quotePrefix="false">
      <alignment horizontal="center" vertical="top"/>
    </xf>
    <xf applyAlignment="true" applyBorder="true" applyFill="false" applyFont="false" applyNumberFormat="true" borderId="5626" fillId="0" fontId="1" numFmtId="1000" quotePrefix="false">
      <alignment horizontal="center" vertical="top"/>
    </xf>
    <xf applyAlignment="true" applyBorder="true" applyFill="false" applyFont="false" applyNumberFormat="true" borderId="5627" fillId="0" fontId="1" numFmtId="1000" quotePrefix="false">
      <alignment horizontal="center" vertical="top"/>
    </xf>
    <xf applyAlignment="true" applyBorder="true" applyFill="false" applyFont="false" applyNumberFormat="true" borderId="5628" fillId="0" fontId="1" numFmtId="1000" quotePrefix="false">
      <alignment horizontal="center" vertical="top"/>
    </xf>
    <xf applyAlignment="true" applyBorder="true" applyFill="false" applyFont="false" applyNumberFormat="true" borderId="5629" fillId="0" fontId="1" numFmtId="1000" quotePrefix="false">
      <alignment horizontal="center" vertical="top"/>
    </xf>
    <xf applyAlignment="true" applyBorder="true" applyFill="false" applyFont="false" applyNumberFormat="true" borderId="5630" fillId="0" fontId="1" numFmtId="1000" quotePrefix="false">
      <alignment horizontal="center" vertical="top"/>
    </xf>
    <xf applyAlignment="true" applyBorder="true" applyFill="false" applyFont="true" applyNumberFormat="true" borderId="5631" fillId="0" fontId="13" numFmtId="1000" quotePrefix="false">
      <alignment horizontal="center" textRotation="90" vertical="top"/>
    </xf>
    <xf applyAlignment="true" applyBorder="true" applyFill="false" applyFont="false" applyNumberFormat="true" borderId="5632" fillId="0" fontId="1" numFmtId="1000" quotePrefix="false">
      <alignment horizontal="center" vertical="top"/>
    </xf>
    <xf applyAlignment="true" applyBorder="true" applyFill="false" applyFont="false" applyNumberFormat="true" borderId="5633" fillId="0" fontId="1" numFmtId="1000" quotePrefix="false">
      <alignment horizontal="center" vertical="top"/>
    </xf>
    <xf applyAlignment="true" applyBorder="true" applyFill="false" applyFont="false" applyNumberFormat="true" borderId="5634" fillId="0" fontId="1" numFmtId="1000" quotePrefix="false">
      <alignment horizontal="center" vertical="top"/>
    </xf>
    <xf applyAlignment="true" applyBorder="true" applyFill="false" applyFont="false" applyNumberFormat="true" borderId="5635" fillId="0" fontId="1" numFmtId="1000" quotePrefix="false">
      <alignment horizontal="center" vertical="top"/>
    </xf>
    <xf applyAlignment="true" applyBorder="true" applyFill="false" applyFont="false" applyNumberFormat="true" borderId="5636" fillId="0" fontId="1" numFmtId="1000" quotePrefix="false">
      <alignment horizontal="center" vertical="top"/>
    </xf>
    <xf applyAlignment="true" applyBorder="true" applyFill="false" applyFont="false" applyNumberFormat="true" borderId="5637" fillId="0" fontId="1" numFmtId="1000" quotePrefix="false">
      <alignment horizontal="center" vertical="top"/>
    </xf>
    <xf applyAlignment="true" applyBorder="true" applyFill="false" applyFont="true" applyNumberFormat="true" borderId="5638" fillId="0" fontId="13" numFmtId="1000" quotePrefix="false">
      <alignment horizontal="center" textRotation="90" vertical="top"/>
    </xf>
    <xf applyAlignment="true" applyBorder="true" applyFill="false" applyFont="false" applyNumberFormat="true" borderId="5639" fillId="0" fontId="1" numFmtId="1000" quotePrefix="false">
      <alignment horizontal="center" vertical="top"/>
    </xf>
    <xf applyAlignment="true" applyBorder="true" applyFill="false" applyFont="false" applyNumberFormat="true" borderId="5640" fillId="0" fontId="1" numFmtId="1000" quotePrefix="false">
      <alignment horizontal="center" vertical="top"/>
    </xf>
    <xf applyAlignment="true" applyBorder="true" applyFill="false" applyFont="false" applyNumberFormat="true" borderId="5641" fillId="0" fontId="1" numFmtId="1000" quotePrefix="false">
      <alignment horizontal="center" vertical="top"/>
    </xf>
    <xf applyAlignment="true" applyBorder="true" applyFill="false" applyFont="false" applyNumberFormat="true" borderId="5642" fillId="0" fontId="1" numFmtId="1000" quotePrefix="false">
      <alignment horizontal="center" vertical="top"/>
    </xf>
    <xf applyAlignment="true" applyBorder="true" applyFill="false" applyFont="false" applyNumberFormat="true" borderId="5643" fillId="0" fontId="1" numFmtId="1000" quotePrefix="false">
      <alignment horizontal="center" vertical="top"/>
    </xf>
    <xf applyAlignment="true" applyBorder="true" applyFill="false" applyFont="false" applyNumberFormat="true" borderId="5644" fillId="0" fontId="1" numFmtId="1000" quotePrefix="false">
      <alignment horizontal="center" vertical="top"/>
    </xf>
    <xf applyAlignment="true" applyBorder="true" applyFill="false" applyFont="true" applyNumberFormat="true" borderId="5645" fillId="0" fontId="13" numFmtId="1000" quotePrefix="false">
      <alignment horizontal="center" textRotation="90" vertical="top"/>
    </xf>
    <xf applyAlignment="true" applyBorder="true" applyFill="false" applyFont="false" applyNumberFormat="true" borderId="5646" fillId="0" fontId="1" numFmtId="1000" quotePrefix="false">
      <alignment horizontal="center" vertical="top"/>
    </xf>
    <xf applyAlignment="true" applyBorder="true" applyFill="false" applyFont="false" applyNumberFormat="true" borderId="5647" fillId="0" fontId="1" numFmtId="1000" quotePrefix="false">
      <alignment horizontal="center" vertical="top"/>
    </xf>
    <xf applyAlignment="true" applyBorder="true" applyFill="false" applyFont="false" applyNumberFormat="true" borderId="5648" fillId="0" fontId="1" numFmtId="1000" quotePrefix="false">
      <alignment horizontal="center" vertical="top"/>
    </xf>
    <xf applyAlignment="true" applyBorder="true" applyFill="false" applyFont="false" applyNumberFormat="true" borderId="5649" fillId="0" fontId="1" numFmtId="1000" quotePrefix="false">
      <alignment horizontal="center" vertical="top"/>
    </xf>
    <xf applyAlignment="true" applyBorder="true" applyFill="false" applyFont="false" applyNumberFormat="true" borderId="5650" fillId="0" fontId="1" numFmtId="1000" quotePrefix="false">
      <alignment horizontal="center" vertical="top"/>
    </xf>
    <xf applyAlignment="true" applyBorder="true" applyFill="false" applyFont="false" applyNumberFormat="true" borderId="5651" fillId="0" fontId="1" numFmtId="1000" quotePrefix="false">
      <alignment horizontal="center" vertical="top"/>
    </xf>
    <xf applyAlignment="true" applyBorder="true" applyFill="false" applyFont="true" applyNumberFormat="true" borderId="5652" fillId="0" fontId="13" numFmtId="1000" quotePrefix="false">
      <alignment horizontal="center" textRotation="90" vertical="top"/>
    </xf>
    <xf applyAlignment="true" applyBorder="true" applyFill="false" applyFont="false" applyNumberFormat="true" borderId="5653" fillId="0" fontId="1" numFmtId="1000" quotePrefix="false">
      <alignment horizontal="center" vertical="top"/>
    </xf>
    <xf applyAlignment="true" applyBorder="true" applyFill="false" applyFont="false" applyNumberFormat="true" borderId="5654" fillId="0" fontId="1" numFmtId="1000" quotePrefix="false">
      <alignment horizontal="center" vertical="top"/>
    </xf>
    <xf applyAlignment="true" applyBorder="true" applyFill="false" applyFont="false" applyNumberFormat="true" borderId="5655" fillId="0" fontId="1" numFmtId="1000" quotePrefix="false">
      <alignment horizontal="center" vertical="top"/>
    </xf>
    <xf applyAlignment="true" applyBorder="true" applyFill="false" applyFont="false" applyNumberFormat="true" borderId="5656" fillId="0" fontId="1" numFmtId="1000" quotePrefix="false">
      <alignment horizontal="center" vertical="top"/>
    </xf>
    <xf applyAlignment="true" applyBorder="true" applyFill="false" applyFont="false" applyNumberFormat="true" borderId="5657" fillId="0" fontId="1" numFmtId="1000" quotePrefix="false">
      <alignment horizontal="center" vertical="top"/>
    </xf>
    <xf applyAlignment="true" applyBorder="true" applyFill="false" applyFont="false" applyNumberFormat="true" borderId="5658" fillId="0" fontId="1" numFmtId="1000" quotePrefix="false">
      <alignment horizontal="center" vertical="top"/>
    </xf>
    <xf applyAlignment="true" applyBorder="true" applyFill="false" applyFont="true" applyNumberFormat="true" borderId="5659" fillId="0" fontId="13" numFmtId="1000" quotePrefix="false">
      <alignment horizontal="center" textRotation="90" vertical="top"/>
    </xf>
    <xf applyAlignment="true" applyBorder="true" applyFill="false" applyFont="false" applyNumberFormat="true" borderId="5660" fillId="0" fontId="1" numFmtId="1000" quotePrefix="false">
      <alignment horizontal="center" vertical="top"/>
    </xf>
    <xf applyAlignment="true" applyBorder="true" applyFill="false" applyFont="false" applyNumberFormat="true" borderId="5661" fillId="0" fontId="1" numFmtId="1000" quotePrefix="false">
      <alignment horizontal="center" vertical="top"/>
    </xf>
    <xf applyAlignment="true" applyBorder="true" applyFill="false" applyFont="false" applyNumberFormat="true" borderId="5662" fillId="0" fontId="1" numFmtId="1000" quotePrefix="false">
      <alignment horizontal="center" vertical="top"/>
    </xf>
    <xf applyAlignment="true" applyBorder="true" applyFill="false" applyFont="false" applyNumberFormat="true" borderId="5663" fillId="0" fontId="1" numFmtId="1000" quotePrefix="false">
      <alignment horizontal="center" vertical="top"/>
    </xf>
    <xf applyAlignment="true" applyBorder="true" applyFill="false" applyFont="false" applyNumberFormat="true" borderId="5664" fillId="0" fontId="1" numFmtId="1000" quotePrefix="false">
      <alignment horizontal="center" vertical="top"/>
    </xf>
    <xf applyAlignment="true" applyBorder="true" applyFill="false" applyFont="false" applyNumberFormat="true" borderId="5665" fillId="0" fontId="1" numFmtId="1000" quotePrefix="false">
      <alignment horizontal="center" vertical="top"/>
    </xf>
    <xf applyAlignment="true" applyBorder="true" applyFill="false" applyFont="true" applyNumberFormat="true" borderId="5666" fillId="0" fontId="13" numFmtId="1000" quotePrefix="false">
      <alignment horizontal="center" textRotation="90" vertical="top"/>
    </xf>
    <xf applyAlignment="true" applyBorder="true" applyFill="false" applyFont="false" applyNumberFormat="true" borderId="5667" fillId="0" fontId="1" numFmtId="1000" quotePrefix="false">
      <alignment horizontal="center" vertical="top"/>
    </xf>
    <xf applyAlignment="true" applyBorder="true" applyFill="false" applyFont="false" applyNumberFormat="true" borderId="5668" fillId="0" fontId="1" numFmtId="1000" quotePrefix="false">
      <alignment horizontal="center" vertical="top"/>
    </xf>
    <xf applyAlignment="true" applyBorder="true" applyFill="false" applyFont="false" applyNumberFormat="true" borderId="5669" fillId="0" fontId="1" numFmtId="1000" quotePrefix="false">
      <alignment horizontal="center" vertical="top"/>
    </xf>
    <xf applyAlignment="true" applyBorder="true" applyFill="false" applyFont="false" applyNumberFormat="true" borderId="5670" fillId="0" fontId="1" numFmtId="1000" quotePrefix="false">
      <alignment horizontal="center" vertical="top"/>
    </xf>
    <xf applyAlignment="true" applyBorder="true" applyFill="false" applyFont="false" applyNumberFormat="true" borderId="5671" fillId="0" fontId="1" numFmtId="1000" quotePrefix="false">
      <alignment horizontal="center" vertical="top"/>
    </xf>
    <xf applyAlignment="true" applyBorder="true" applyFill="false" applyFont="false" applyNumberFormat="true" borderId="5672" fillId="0" fontId="1" numFmtId="1000" quotePrefix="false">
      <alignment horizontal="center" vertical="top"/>
    </xf>
    <xf applyAlignment="true" applyBorder="true" applyFill="false" applyFont="false" applyNumberFormat="true" borderId="5673" fillId="0" fontId="1" numFmtId="1000" quotePrefix="false">
      <alignment horizontal="center" vertical="top"/>
    </xf>
    <xf applyAlignment="true" applyBorder="true" applyFill="false" applyFont="false" applyNumberFormat="true" borderId="5674" fillId="0" fontId="1" numFmtId="1000" quotePrefix="false">
      <alignment horizontal="center" vertical="top"/>
    </xf>
    <xf applyAlignment="true" applyBorder="true" applyFill="false" applyFont="false" applyNumberFormat="true" borderId="5675" fillId="0" fontId="1" numFmtId="1000" quotePrefix="false">
      <alignment horizontal="center" vertical="top"/>
    </xf>
    <xf applyAlignment="true" applyBorder="true" applyFill="false" applyFont="false" applyNumberFormat="true" borderId="5676" fillId="0" fontId="1" numFmtId="1000" quotePrefix="false">
      <alignment horizontal="center" vertical="top"/>
    </xf>
    <xf applyAlignment="true" applyBorder="true" applyFill="false" applyFont="true" applyNumberFormat="true" borderId="5677" fillId="0" fontId="13" numFmtId="1000" quotePrefix="false">
      <alignment horizontal="center" textRotation="90" vertical="top"/>
    </xf>
    <xf applyAlignment="true" applyBorder="true" applyFill="false" applyFont="true" applyNumberFormat="true" borderId="5678" fillId="0" fontId="2" numFmtId="1000" quotePrefix="false">
      <alignment horizontal="center" vertical="top"/>
    </xf>
    <xf applyAlignment="true" applyBorder="true" applyFill="false" applyFont="false" applyNumberFormat="true" borderId="5679" fillId="0" fontId="1" numFmtId="1000" quotePrefix="false">
      <alignment horizontal="left" vertical="top"/>
    </xf>
    <xf applyAlignment="true" applyBorder="true" applyFill="false" applyFont="false" applyNumberFormat="true" borderId="5680" fillId="0" fontId="1" numFmtId="1000" quotePrefix="false">
      <alignment horizontal="left" vertical="top"/>
    </xf>
    <xf applyAlignment="true" applyBorder="true" applyFill="false" applyFont="false" applyNumberFormat="true" borderId="5681" fillId="0" fontId="1" numFmtId="1000" quotePrefix="false">
      <alignment horizontal="left" vertical="top"/>
    </xf>
    <xf applyAlignment="true" applyBorder="true" applyFill="false" applyFont="false" applyNumberFormat="true" borderId="5682" fillId="0" fontId="1" numFmtId="1000" quotePrefix="false">
      <alignment horizontal="left" vertical="top"/>
    </xf>
    <xf applyAlignment="true" applyBorder="true" applyFill="false" applyFont="false" applyNumberFormat="true" borderId="5683" fillId="0" fontId="1" numFmtId="1000" quotePrefix="false">
      <alignment horizontal="left" vertical="top"/>
    </xf>
    <xf applyAlignment="true" applyBorder="true" applyFill="false" applyFont="false" applyNumberFormat="true" borderId="5684" fillId="0" fontId="1" numFmtId="1000" quotePrefix="false">
      <alignment horizontal="left" vertical="top"/>
    </xf>
    <xf applyAlignment="true" applyBorder="true" applyFill="false" applyFont="false" applyNumberFormat="true" borderId="5685" fillId="0" fontId="1" numFmtId="1000" quotePrefix="false">
      <alignment horizontal="left" vertical="top"/>
    </xf>
    <xf applyAlignment="true" applyBorder="true" applyFill="false" applyFont="false" applyNumberFormat="true" borderId="5686" fillId="0" fontId="1" numFmtId="1000" quotePrefix="false">
      <alignment horizontal="left" vertical="top"/>
    </xf>
    <xf applyAlignment="true" applyBorder="true" applyFill="false" applyFont="false" applyNumberFormat="true" borderId="5687" fillId="0" fontId="1" numFmtId="1000" quotePrefix="false">
      <alignment horizontal="left" vertical="top"/>
    </xf>
    <xf applyAlignment="true" applyBorder="true" applyFill="false" applyFont="false" applyNumberFormat="true" borderId="5688" fillId="0" fontId="1" numFmtId="1000" quotePrefix="false">
      <alignment horizontal="left" vertical="top"/>
    </xf>
    <xf applyAlignment="true" applyBorder="true" applyFill="false" applyFont="false" applyNumberFormat="true" borderId="5689" fillId="0" fontId="1" numFmtId="1000" quotePrefix="false">
      <alignment horizontal="left" vertical="top"/>
    </xf>
    <xf applyAlignment="true" applyBorder="true" applyFill="false" applyFont="false" applyNumberFormat="true" borderId="5690" fillId="0" fontId="1" numFmtId="1000" quotePrefix="false">
      <alignment horizontal="left" vertical="top"/>
    </xf>
    <xf applyAlignment="true" applyBorder="true" applyFill="false" applyFont="false" applyNumberFormat="true" borderId="5691" fillId="0" fontId="1" numFmtId="1000" quotePrefix="false">
      <alignment horizontal="left" vertical="top"/>
    </xf>
    <xf applyAlignment="true" applyBorder="true" applyFill="false" applyFont="false" applyNumberFormat="true" borderId="5692" fillId="0" fontId="1" numFmtId="1000" quotePrefix="false">
      <alignment horizontal="left" vertical="top"/>
    </xf>
    <xf applyAlignment="true" applyBorder="true" applyFill="false" applyFont="false" applyNumberFormat="true" borderId="5693" fillId="0" fontId="1" numFmtId="1000" quotePrefix="false">
      <alignment horizontal="left" vertical="top"/>
    </xf>
    <xf applyAlignment="true" applyBorder="true" applyFill="false" applyFont="false" applyNumberFormat="true" borderId="5694" fillId="0" fontId="1" numFmtId="1000" quotePrefix="false">
      <alignment horizontal="left" vertical="top"/>
    </xf>
    <xf applyAlignment="true" applyBorder="true" applyFill="false" applyFont="false" applyNumberFormat="true" borderId="5695" fillId="0" fontId="1" numFmtId="1000" quotePrefix="false">
      <alignment horizontal="left" vertical="top"/>
    </xf>
    <xf applyAlignment="true" applyBorder="true" applyFill="false" applyFont="false" applyNumberFormat="true" borderId="5696" fillId="0" fontId="1" numFmtId="1000" quotePrefix="false">
      <alignment horizontal="left" vertical="top"/>
    </xf>
    <xf applyAlignment="true" applyBorder="true" applyFill="false" applyFont="false" applyNumberFormat="true" borderId="5697" fillId="0" fontId="1" numFmtId="1000" quotePrefix="false">
      <alignment horizontal="left" vertical="top"/>
    </xf>
    <xf applyAlignment="true" applyBorder="true" applyFill="false" applyFont="true" applyNumberFormat="true" borderId="5698" fillId="0" fontId="13" numFmtId="1000" quotePrefix="false">
      <alignment horizontal="center" textRotation="90" vertical="top"/>
    </xf>
    <xf applyAlignment="true" applyBorder="true" applyFill="false" applyFont="true" applyNumberFormat="true" borderId="5699" fillId="0" fontId="2" numFmtId="1000" quotePrefix="false">
      <alignment horizontal="center"/>
    </xf>
    <xf applyAlignment="true" applyBorder="true" applyFill="false" applyFont="true" applyNumberFormat="true" borderId="5700" fillId="0" fontId="2" numFmtId="1000" quotePrefix="false">
      <alignment horizontal="center"/>
    </xf>
    <xf applyAlignment="true" applyBorder="true" applyFill="false" applyFont="true" applyNumberFormat="true" borderId="5701" fillId="0" fontId="2" numFmtId="1000" quotePrefix="false">
      <alignment horizontal="center"/>
    </xf>
    <xf applyAlignment="true" applyBorder="true" applyFill="false" applyFont="false" applyNumberFormat="true" borderId="5702" fillId="0" fontId="1" numFmtId="1000" quotePrefix="false">
      <alignment horizontal="center" vertical="top"/>
    </xf>
    <xf applyAlignment="true" applyBorder="true" applyFill="false" applyFont="false" applyNumberFormat="true" borderId="5703" fillId="0" fontId="1" numFmtId="1000" quotePrefix="false">
      <alignment horizontal="center" vertical="top"/>
    </xf>
    <xf applyAlignment="true" applyBorder="true" applyFill="false" applyFont="false" applyNumberFormat="true" borderId="5704" fillId="0" fontId="1" numFmtId="1000" quotePrefix="false">
      <alignment horizontal="center" vertical="top"/>
    </xf>
    <xf applyAlignment="true" applyBorder="true" applyFill="false" applyFont="false" applyNumberFormat="true" borderId="5705" fillId="0" fontId="1" numFmtId="1000" quotePrefix="false">
      <alignment horizontal="center" vertical="top"/>
    </xf>
    <xf applyAlignment="true" applyBorder="true" applyFill="false" applyFont="false" applyNumberFormat="true" borderId="5706" fillId="0" fontId="1" numFmtId="1000" quotePrefix="false">
      <alignment horizontal="center" vertical="top"/>
    </xf>
    <xf applyAlignment="true" applyBorder="true" applyFill="false" applyFont="false" applyNumberFormat="true" borderId="5707" fillId="0" fontId="1" numFmtId="1000" quotePrefix="false">
      <alignment horizontal="center" vertical="top"/>
    </xf>
    <xf applyAlignment="true" applyBorder="true" applyFill="false" applyFont="false" applyNumberFormat="true" borderId="5708" fillId="0" fontId="1" numFmtId="1000" quotePrefix="false">
      <alignment horizontal="center" vertical="top"/>
    </xf>
    <xf applyAlignment="true" applyBorder="true" applyFill="false" applyFont="false" applyNumberFormat="true" borderId="5709" fillId="0" fontId="1" numFmtId="1000" quotePrefix="false">
      <alignment horizontal="center" vertical="top"/>
    </xf>
    <xf applyAlignment="true" applyBorder="true" applyFill="false" applyFont="false" applyNumberFormat="true" borderId="5710" fillId="0" fontId="1" numFmtId="1000" quotePrefix="false">
      <alignment horizontal="center" vertical="top"/>
    </xf>
    <xf applyAlignment="true" applyBorder="true" applyFill="false" applyFont="false" applyNumberFormat="true" borderId="5711" fillId="0" fontId="1" numFmtId="1000" quotePrefix="false">
      <alignment horizontal="center" vertical="top"/>
    </xf>
    <xf applyAlignment="true" applyBorder="true" applyFill="false" applyFont="false" applyNumberFormat="true" borderId="5712" fillId="0" fontId="1" numFmtId="1000" quotePrefix="false">
      <alignment horizontal="center" vertical="top"/>
    </xf>
    <xf applyAlignment="true" applyBorder="true" applyFill="false" applyFont="false" applyNumberFormat="true" borderId="5713" fillId="0" fontId="1" numFmtId="1000" quotePrefix="false">
      <alignment horizontal="center" vertical="top"/>
    </xf>
    <xf applyAlignment="true" applyBorder="true" applyFill="false" applyFont="false" applyNumberFormat="true" borderId="5714" fillId="0" fontId="1" numFmtId="1000" quotePrefix="false">
      <alignment horizontal="center" vertical="top"/>
    </xf>
    <xf applyAlignment="true" applyBorder="true" applyFill="false" applyFont="false" applyNumberFormat="true" borderId="5715" fillId="0" fontId="1" numFmtId="1000" quotePrefix="false">
      <alignment horizontal="center" vertical="top"/>
    </xf>
    <xf applyAlignment="true" applyBorder="true" applyFill="false" applyFont="false" applyNumberFormat="true" borderId="5716" fillId="0" fontId="1" numFmtId="1000" quotePrefix="false">
      <alignment horizontal="center" vertical="top"/>
    </xf>
    <xf applyAlignment="true" applyBorder="true" applyFill="false" applyFont="false" applyNumberFormat="true" borderId="5717" fillId="0" fontId="1" numFmtId="1000" quotePrefix="false">
      <alignment horizontal="center" vertical="top"/>
    </xf>
    <xf applyAlignment="true" applyBorder="true" applyFill="false" applyFont="true" applyNumberFormat="true" borderId="5718" fillId="0" fontId="13" numFmtId="1000" quotePrefix="false">
      <alignment horizontal="center" textRotation="90" vertical="top"/>
    </xf>
    <xf applyAlignment="true" applyBorder="true" applyFill="false" applyFont="false" applyNumberFormat="true" borderId="5719" fillId="0" fontId="1" numFmtId="1000" quotePrefix="false">
      <alignment horizontal="center" vertical="top"/>
    </xf>
    <xf applyAlignment="true" applyBorder="true" applyFill="false" applyFont="true" applyNumberFormat="true" borderId="5720" fillId="0" fontId="13" numFmtId="1000" quotePrefix="false">
      <alignment horizontal="center" textRotation="90" vertical="top"/>
    </xf>
    <xf applyAlignment="true" applyBorder="true" applyFill="false" applyFont="false" applyNumberFormat="true" borderId="5721" fillId="0" fontId="1" numFmtId="1000" quotePrefix="false">
      <alignment horizontal="center" vertical="top"/>
    </xf>
    <xf applyAlignment="true" applyBorder="true" applyFill="false" applyFont="false" applyNumberFormat="true" borderId="5722" fillId="0" fontId="1" numFmtId="1000" quotePrefix="false">
      <alignment horizontal="center" vertical="top"/>
    </xf>
    <xf applyAlignment="true" applyBorder="true" applyFill="false" applyFont="true" applyNumberFormat="true" borderId="5723" fillId="0" fontId="13" numFmtId="1000" quotePrefix="false">
      <alignment horizontal="center" textRotation="90" vertical="top"/>
    </xf>
    <xf applyAlignment="true" applyBorder="true" applyFill="false" applyFont="false" applyNumberFormat="true" borderId="5724" fillId="0" fontId="1" numFmtId="1000" quotePrefix="false">
      <alignment horizontal="center" vertical="top"/>
    </xf>
    <xf applyAlignment="true" applyBorder="true" applyFill="false" applyFont="false" applyNumberFormat="true" borderId="5725" fillId="0" fontId="1" numFmtId="1000" quotePrefix="false">
      <alignment horizontal="center" vertical="top"/>
    </xf>
    <xf applyAlignment="true" applyBorder="true" applyFill="false" applyFont="true" applyNumberFormat="true" borderId="5726" fillId="0" fontId="13" numFmtId="1000" quotePrefix="false">
      <alignment horizontal="center" textRotation="90" vertical="top"/>
    </xf>
    <xf applyAlignment="true" applyBorder="true" applyFill="false" applyFont="false" applyNumberFormat="true" borderId="5727" fillId="0" fontId="1" numFmtId="1000" quotePrefix="false">
      <alignment horizontal="center" vertical="top"/>
    </xf>
    <xf applyAlignment="true" applyBorder="true" applyFill="false" applyFont="false" applyNumberFormat="true" borderId="5728" fillId="0" fontId="1" numFmtId="1000" quotePrefix="false">
      <alignment horizontal="center" vertical="top"/>
    </xf>
    <xf applyAlignment="true" applyBorder="true" applyFill="false" applyFont="true" applyNumberFormat="true" borderId="5729" fillId="0" fontId="13" numFmtId="1000" quotePrefix="false">
      <alignment horizontal="center" textRotation="90" vertical="top"/>
    </xf>
    <xf applyAlignment="true" applyBorder="true" applyFill="false" applyFont="false" applyNumberFormat="true" borderId="5730" fillId="0" fontId="1" numFmtId="1000" quotePrefix="false">
      <alignment horizontal="center" vertical="top"/>
    </xf>
    <xf applyAlignment="true" applyBorder="true" applyFill="false" applyFont="false" applyNumberFormat="true" borderId="5731" fillId="0" fontId="1" numFmtId="1000" quotePrefix="false">
      <alignment horizontal="center" vertical="top"/>
    </xf>
    <xf applyAlignment="true" applyBorder="true" applyFill="false" applyFont="true" applyNumberFormat="true" borderId="5732" fillId="0" fontId="13" numFmtId="1000" quotePrefix="false">
      <alignment horizontal="center" textRotation="90" vertical="top"/>
    </xf>
    <xf applyAlignment="true" applyBorder="true" applyFill="false" applyFont="false" applyNumberFormat="true" borderId="5733" fillId="0" fontId="1" numFmtId="1000" quotePrefix="false">
      <alignment horizontal="center" vertical="top"/>
    </xf>
    <xf applyAlignment="true" applyBorder="true" applyFill="false" applyFont="false" applyNumberFormat="true" borderId="5734" fillId="0" fontId="1" numFmtId="1000" quotePrefix="false">
      <alignment horizontal="center" vertical="top"/>
    </xf>
    <xf applyAlignment="true" applyBorder="true" applyFill="false" applyFont="true" applyNumberFormat="true" borderId="5735" fillId="0" fontId="13" numFmtId="1000" quotePrefix="false">
      <alignment horizontal="center" textRotation="90" vertical="top"/>
    </xf>
    <xf applyAlignment="true" applyBorder="true" applyFill="false" applyFont="false" applyNumberFormat="true" borderId="5736" fillId="0" fontId="1" numFmtId="1000" quotePrefix="false">
      <alignment horizontal="center" vertical="top"/>
    </xf>
    <xf applyAlignment="true" applyBorder="true" applyFill="false" applyFont="false" applyNumberFormat="true" borderId="5737" fillId="0" fontId="1" numFmtId="1000" quotePrefix="false">
      <alignment horizontal="center" vertical="top"/>
    </xf>
    <xf applyAlignment="true" applyBorder="true" applyFill="false" applyFont="true" applyNumberFormat="true" borderId="5738" fillId="0" fontId="13" numFmtId="1000" quotePrefix="false">
      <alignment horizontal="center" textRotation="90" vertical="top"/>
    </xf>
    <xf applyAlignment="true" applyBorder="true" applyFill="false" applyFont="false" applyNumberFormat="true" borderId="5739" fillId="0" fontId="1" numFmtId="1000" quotePrefix="false">
      <alignment horizontal="center" vertical="top"/>
    </xf>
    <xf applyAlignment="true" applyBorder="true" applyFill="false" applyFont="false" applyNumberFormat="true" borderId="5740" fillId="0" fontId="1" numFmtId="1000" quotePrefix="false">
      <alignment horizontal="center" vertical="top"/>
    </xf>
    <xf applyAlignment="true" applyBorder="true" applyFill="false" applyFont="true" applyNumberFormat="true" borderId="5741" fillId="0" fontId="13" numFmtId="1000" quotePrefix="false">
      <alignment horizontal="center" textRotation="90" vertical="top"/>
    </xf>
    <xf applyAlignment="true" applyBorder="true" applyFill="false" applyFont="false" applyNumberFormat="true" borderId="5742" fillId="0" fontId="1" numFmtId="1000" quotePrefix="false">
      <alignment horizontal="center" vertical="top"/>
    </xf>
    <xf applyAlignment="true" applyBorder="true" applyFill="false" applyFont="false" applyNumberFormat="true" borderId="5743" fillId="0" fontId="1" numFmtId="1000" quotePrefix="false">
      <alignment horizontal="center" vertical="top"/>
    </xf>
    <xf applyAlignment="true" applyBorder="true" applyFill="false" applyFont="true" applyNumberFormat="true" borderId="5744" fillId="0" fontId="13" numFmtId="1000" quotePrefix="false">
      <alignment horizontal="center" textRotation="90" vertical="top"/>
    </xf>
    <xf applyAlignment="true" applyBorder="true" applyFill="false" applyFont="true" applyNumberFormat="true" borderId="5745" fillId="0" fontId="2" numFmtId="1000" quotePrefix="false">
      <alignment horizontal="center" vertical="top"/>
    </xf>
    <xf applyAlignment="true" applyBorder="true" applyFill="false" applyFont="false" applyNumberFormat="true" borderId="5746" fillId="0" fontId="1" numFmtId="1000" quotePrefix="false">
      <alignment horizontal="left" vertical="top"/>
    </xf>
    <xf applyAlignment="true" applyBorder="true" applyFill="false" applyFont="false" applyNumberFormat="true" borderId="5747" fillId="0" fontId="1" numFmtId="1000" quotePrefix="false">
      <alignment horizontal="left" vertical="top"/>
    </xf>
    <xf applyAlignment="true" applyBorder="true" applyFill="false" applyFont="false" applyNumberFormat="true" borderId="5748" fillId="0" fontId="1" numFmtId="1000" quotePrefix="false">
      <alignment horizontal="left" vertical="top"/>
    </xf>
    <xf applyAlignment="true" applyBorder="true" applyFill="false" applyFont="false" applyNumberFormat="true" borderId="5749" fillId="0" fontId="1" numFmtId="1000" quotePrefix="false">
      <alignment horizontal="left" vertical="top"/>
    </xf>
    <xf applyAlignment="true" applyBorder="true" applyFill="false" applyFont="false" applyNumberFormat="true" borderId="5750" fillId="0" fontId="1" numFmtId="1000" quotePrefix="false">
      <alignment horizontal="left" vertical="top"/>
    </xf>
    <xf applyAlignment="true" applyBorder="true" applyFill="false" applyFont="false" applyNumberFormat="true" borderId="5751" fillId="0" fontId="1" numFmtId="1000" quotePrefix="false">
      <alignment horizontal="left" vertical="top"/>
    </xf>
    <xf applyAlignment="true" applyBorder="true" applyFill="false" applyFont="false" applyNumberFormat="true" borderId="5752" fillId="0" fontId="1" numFmtId="1000" quotePrefix="false">
      <alignment horizontal="left" vertical="top"/>
    </xf>
    <xf applyAlignment="true" applyBorder="true" applyFill="false" applyFont="false" applyNumberFormat="true" borderId="5753" fillId="0" fontId="1" numFmtId="1000" quotePrefix="false">
      <alignment horizontal="left" vertical="top"/>
    </xf>
    <xf applyAlignment="true" applyBorder="true" applyFill="false" applyFont="false" applyNumberFormat="true" borderId="5754" fillId="0" fontId="1" numFmtId="1000" quotePrefix="false">
      <alignment horizontal="left" vertical="top"/>
    </xf>
    <xf applyAlignment="true" applyBorder="true" applyFill="false" applyFont="false" applyNumberFormat="true" borderId="5755" fillId="0" fontId="1" numFmtId="1000" quotePrefix="false">
      <alignment horizontal="left" vertical="top"/>
    </xf>
    <xf applyAlignment="true" applyBorder="true" applyFill="false" applyFont="false" applyNumberFormat="true" borderId="5756" fillId="0" fontId="1" numFmtId="1000" quotePrefix="false">
      <alignment horizontal="left" vertical="top"/>
    </xf>
    <xf applyAlignment="true" applyBorder="true" applyFill="false" applyFont="false" applyNumberFormat="true" borderId="5757" fillId="0" fontId="1" numFmtId="1000" quotePrefix="false">
      <alignment horizontal="left" vertical="top"/>
    </xf>
    <xf applyAlignment="true" applyBorder="true" applyFill="false" applyFont="false" applyNumberFormat="true" borderId="5758" fillId="0" fontId="1" numFmtId="1000" quotePrefix="false">
      <alignment horizontal="left" vertical="top"/>
    </xf>
    <xf applyAlignment="true" applyBorder="true" applyFill="false" applyFont="false" applyNumberFormat="true" borderId="5759" fillId="0" fontId="1" numFmtId="1000" quotePrefix="false">
      <alignment horizontal="left" vertical="top"/>
    </xf>
    <xf applyAlignment="true" applyBorder="true" applyFill="false" applyFont="false" applyNumberFormat="true" borderId="5760" fillId="0" fontId="1" numFmtId="1000" quotePrefix="false">
      <alignment horizontal="left" vertical="top"/>
    </xf>
    <xf applyAlignment="true" applyBorder="true" applyFill="false" applyFont="false" applyNumberFormat="true" borderId="5761" fillId="0" fontId="1" numFmtId="1000" quotePrefix="false">
      <alignment horizontal="left" vertical="top"/>
    </xf>
    <xf applyAlignment="true" applyBorder="true" applyFill="false" applyFont="false" applyNumberFormat="true" borderId="5762" fillId="0" fontId="1" numFmtId="1000" quotePrefix="false">
      <alignment horizontal="left" vertical="top"/>
    </xf>
    <xf applyAlignment="true" applyBorder="true" applyFill="false" applyFont="false" applyNumberFormat="true" borderId="5763" fillId="0" fontId="1" numFmtId="1000" quotePrefix="false">
      <alignment horizontal="left" vertical="top"/>
    </xf>
    <xf applyAlignment="true" applyBorder="true" applyFill="false" applyFont="false" applyNumberFormat="true" borderId="5764" fillId="0" fontId="1" numFmtId="1000" quotePrefix="false">
      <alignment horizontal="left" vertical="top"/>
    </xf>
    <xf applyAlignment="true" applyBorder="true" applyFill="false" applyFont="true" applyNumberFormat="true" borderId="5765" fillId="0" fontId="13" numFmtId="1000" quotePrefix="false">
      <alignment horizontal="center" textRotation="90" vertical="top"/>
    </xf>
    <xf applyAlignment="true" applyBorder="true" applyFill="false" applyFont="true" applyNumberFormat="true" borderId="5766" fillId="0" fontId="2" numFmtId="1000" quotePrefix="false">
      <alignment horizontal="center"/>
    </xf>
    <xf applyAlignment="true" applyBorder="true" applyFill="false" applyFont="true" applyNumberFormat="true" borderId="5767" fillId="0" fontId="2" numFmtId="1000" quotePrefix="false">
      <alignment horizontal="center"/>
    </xf>
    <xf applyAlignment="true" applyBorder="true" applyFill="false" applyFont="true" applyNumberFormat="true" borderId="5768" fillId="0" fontId="2" numFmtId="1000" quotePrefix="false">
      <alignment horizontal="center"/>
    </xf>
    <xf applyAlignment="true" applyBorder="true" applyFill="false" applyFont="false" applyNumberFormat="true" borderId="5769" fillId="0" fontId="1" numFmtId="1000" quotePrefix="false">
      <alignment horizontal="center" vertical="top"/>
    </xf>
    <xf applyAlignment="true" applyBorder="true" applyFill="false" applyFont="false" applyNumberFormat="true" borderId="5770" fillId="0" fontId="1" numFmtId="1000" quotePrefix="false">
      <alignment horizontal="center" vertical="top"/>
    </xf>
    <xf applyAlignment="true" applyBorder="true" applyFill="false" applyFont="false" applyNumberFormat="true" borderId="5771" fillId="0" fontId="1" numFmtId="1000" quotePrefix="false">
      <alignment horizontal="center" vertical="top"/>
    </xf>
    <xf applyAlignment="true" applyBorder="true" applyFill="false" applyFont="false" applyNumberFormat="true" borderId="5772" fillId="0" fontId="1" numFmtId="1000" quotePrefix="false">
      <alignment horizontal="center" vertical="top"/>
    </xf>
    <xf applyAlignment="true" applyBorder="true" applyFill="false" applyFont="false" applyNumberFormat="true" borderId="5773" fillId="0" fontId="1" numFmtId="1000" quotePrefix="false">
      <alignment horizontal="center" vertical="top"/>
    </xf>
    <xf applyAlignment="true" applyBorder="true" applyFill="false" applyFont="false" applyNumberFormat="true" borderId="5774" fillId="0" fontId="1" numFmtId="1000" quotePrefix="false">
      <alignment horizontal="center" vertical="top"/>
    </xf>
    <xf applyAlignment="true" applyBorder="true" applyFill="false" applyFont="false" applyNumberFormat="true" borderId="5775" fillId="0" fontId="1" numFmtId="1000" quotePrefix="false">
      <alignment horizontal="center" vertical="top"/>
    </xf>
    <xf applyAlignment="true" applyBorder="true" applyFill="false" applyFont="false" applyNumberFormat="true" borderId="5776" fillId="0" fontId="1" numFmtId="1000" quotePrefix="false">
      <alignment horizontal="center" vertical="top"/>
    </xf>
    <xf applyAlignment="true" applyBorder="true" applyFill="false" applyFont="false" applyNumberFormat="true" borderId="5777" fillId="0" fontId="1" numFmtId="1000" quotePrefix="false">
      <alignment horizontal="center" vertical="top"/>
    </xf>
    <xf applyAlignment="true" applyBorder="true" applyFill="false" applyFont="false" applyNumberFormat="true" borderId="5778" fillId="0" fontId="1" numFmtId="1000" quotePrefix="false">
      <alignment horizontal="center" vertical="top"/>
    </xf>
    <xf applyAlignment="true" applyBorder="true" applyFill="false" applyFont="false" applyNumberFormat="true" borderId="5779" fillId="0" fontId="1" numFmtId="1000" quotePrefix="false">
      <alignment horizontal="center" vertical="top"/>
    </xf>
    <xf applyAlignment="true" applyBorder="true" applyFill="false" applyFont="false" applyNumberFormat="true" borderId="5780" fillId="0" fontId="1" numFmtId="1000" quotePrefix="false">
      <alignment horizontal="center" vertical="top"/>
    </xf>
    <xf applyAlignment="true" applyBorder="true" applyFill="false" applyFont="false" applyNumberFormat="true" borderId="5781" fillId="0" fontId="1" numFmtId="1000" quotePrefix="false">
      <alignment horizontal="center" vertical="top"/>
    </xf>
    <xf applyAlignment="true" applyBorder="true" applyFill="false" applyFont="false" applyNumberFormat="true" borderId="5782" fillId="0" fontId="1" numFmtId="1000" quotePrefix="false">
      <alignment horizontal="center" vertical="top"/>
    </xf>
    <xf applyAlignment="true" applyBorder="true" applyFill="false" applyFont="false" applyNumberFormat="true" borderId="5783" fillId="0" fontId="1" numFmtId="1000" quotePrefix="false">
      <alignment horizontal="center" vertical="top"/>
    </xf>
    <xf applyAlignment="true" applyBorder="true" applyFill="false" applyFont="false" applyNumberFormat="true" borderId="5784" fillId="0" fontId="1" numFmtId="1000" quotePrefix="false">
      <alignment horizontal="center" vertical="top"/>
    </xf>
    <xf applyAlignment="true" applyBorder="true" applyFill="false" applyFont="true" applyNumberFormat="true" borderId="5785" fillId="0" fontId="13" numFmtId="1000" quotePrefix="false">
      <alignment horizontal="center" textRotation="90" vertical="top"/>
    </xf>
    <xf applyAlignment="true" applyBorder="true" applyFill="false" applyFont="false" applyNumberFormat="true" borderId="5786" fillId="0" fontId="1" numFmtId="1000" quotePrefix="false">
      <alignment horizontal="center" vertical="top"/>
    </xf>
    <xf applyAlignment="true" applyBorder="true" applyFill="false" applyFont="false" applyNumberFormat="true" borderId="5787" fillId="0" fontId="1" numFmtId="1000" quotePrefix="false">
      <alignment horizontal="center" vertical="top"/>
    </xf>
    <xf applyAlignment="true" applyBorder="true" applyFill="false" applyFont="false" applyNumberFormat="true" borderId="5788" fillId="0" fontId="1" numFmtId="1000" quotePrefix="false">
      <alignment horizontal="center" vertical="top"/>
    </xf>
    <xf applyAlignment="true" applyBorder="true" applyFill="false" applyFont="false" applyNumberFormat="true" borderId="5789" fillId="0" fontId="1" numFmtId="1000" quotePrefix="false">
      <alignment horizontal="center" vertical="top"/>
    </xf>
    <xf applyAlignment="true" applyBorder="true" applyFill="false" applyFont="false" applyNumberFormat="true" borderId="5790" fillId="0" fontId="1" numFmtId="1000" quotePrefix="false">
      <alignment horizontal="center" vertical="top"/>
    </xf>
    <xf applyAlignment="true" applyBorder="true" applyFill="false" applyFont="false" applyNumberFormat="true" borderId="5791" fillId="0" fontId="1" numFmtId="1000" quotePrefix="false">
      <alignment horizontal="center" vertical="top"/>
    </xf>
    <xf applyAlignment="true" applyBorder="true" applyFill="false" applyFont="false" applyNumberFormat="true" borderId="5792" fillId="0" fontId="1" numFmtId="1000" quotePrefix="false">
      <alignment horizontal="center" vertical="top"/>
    </xf>
    <xf applyAlignment="true" applyBorder="true" applyFill="false" applyFont="true" applyNumberFormat="true" borderId="5793" fillId="0" fontId="13" numFmtId="1000" quotePrefix="false">
      <alignment horizontal="center" textRotation="90" vertical="top"/>
    </xf>
    <xf applyAlignment="true" applyBorder="true" applyFill="false" applyFont="false" applyNumberFormat="true" borderId="5794" fillId="0" fontId="1" numFmtId="1000" quotePrefix="false">
      <alignment horizontal="center" vertical="top"/>
    </xf>
    <xf applyAlignment="true" applyBorder="true" applyFill="false" applyFont="false" applyNumberFormat="true" borderId="5795" fillId="0" fontId="1" numFmtId="1000" quotePrefix="false">
      <alignment horizontal="center" vertical="top"/>
    </xf>
    <xf applyAlignment="true" applyBorder="true" applyFill="false" applyFont="false" applyNumberFormat="true" borderId="5796" fillId="0" fontId="1" numFmtId="1000" quotePrefix="false">
      <alignment horizontal="center" vertical="top"/>
    </xf>
    <xf applyAlignment="true" applyBorder="true" applyFill="false" applyFont="false" applyNumberFormat="true" borderId="5797" fillId="0" fontId="1" numFmtId="1000" quotePrefix="false">
      <alignment horizontal="center" vertical="top"/>
    </xf>
    <xf applyAlignment="true" applyBorder="true" applyFill="false" applyFont="false" applyNumberFormat="true" borderId="5798" fillId="0" fontId="1" numFmtId="1000" quotePrefix="false">
      <alignment horizontal="center" vertical="top"/>
    </xf>
    <xf applyAlignment="true" applyBorder="true" applyFill="false" applyFont="false" applyNumberFormat="true" borderId="5799" fillId="0" fontId="1" numFmtId="1000" quotePrefix="false">
      <alignment horizontal="center" vertical="top"/>
    </xf>
    <xf applyAlignment="true" applyBorder="true" applyFill="false" applyFont="true" applyNumberFormat="true" borderId="5800" fillId="0" fontId="13" numFmtId="1000" quotePrefix="false">
      <alignment horizontal="center" textRotation="90" vertical="top"/>
    </xf>
    <xf applyAlignment="true" applyBorder="true" applyFill="false" applyFont="false" applyNumberFormat="true" borderId="5801" fillId="0" fontId="1" numFmtId="1000" quotePrefix="false">
      <alignment horizontal="center" vertical="top"/>
    </xf>
    <xf applyAlignment="true" applyBorder="true" applyFill="false" applyFont="false" applyNumberFormat="true" borderId="5802" fillId="0" fontId="1" numFmtId="1000" quotePrefix="false">
      <alignment horizontal="center" vertical="top"/>
    </xf>
    <xf applyAlignment="true" applyBorder="true" applyFill="false" applyFont="false" applyNumberFormat="true" borderId="5803" fillId="0" fontId="1" numFmtId="1000" quotePrefix="false">
      <alignment horizontal="center" vertical="top"/>
    </xf>
    <xf applyAlignment="true" applyBorder="true" applyFill="false" applyFont="false" applyNumberFormat="true" borderId="5804" fillId="0" fontId="1" numFmtId="1000" quotePrefix="false">
      <alignment horizontal="center" vertical="top"/>
    </xf>
    <xf applyAlignment="true" applyBorder="true" applyFill="false" applyFont="false" applyNumberFormat="true" borderId="5805" fillId="0" fontId="1" numFmtId="1000" quotePrefix="false">
      <alignment horizontal="center" vertical="top"/>
    </xf>
    <xf applyAlignment="true" applyBorder="true" applyFill="false" applyFont="false" applyNumberFormat="true" borderId="5806" fillId="0" fontId="1" numFmtId="1000" quotePrefix="false">
      <alignment horizontal="center" vertical="top"/>
    </xf>
    <xf applyAlignment="true" applyBorder="true" applyFill="false" applyFont="true" applyNumberFormat="true" borderId="5807" fillId="0" fontId="13" numFmtId="1000" quotePrefix="false">
      <alignment horizontal="center" textRotation="90" vertical="top"/>
    </xf>
    <xf applyAlignment="true" applyBorder="true" applyFill="false" applyFont="false" applyNumberFormat="true" borderId="5808" fillId="0" fontId="1" numFmtId="1000" quotePrefix="false">
      <alignment horizontal="center" vertical="top"/>
    </xf>
    <xf applyAlignment="true" applyBorder="true" applyFill="false" applyFont="false" applyNumberFormat="true" borderId="5809" fillId="0" fontId="1" numFmtId="1000" quotePrefix="false">
      <alignment horizontal="center" vertical="top"/>
    </xf>
    <xf applyAlignment="true" applyBorder="true" applyFill="false" applyFont="false" applyNumberFormat="true" borderId="5810" fillId="0" fontId="1" numFmtId="1000" quotePrefix="false">
      <alignment horizontal="center" vertical="top"/>
    </xf>
    <xf applyAlignment="true" applyBorder="true" applyFill="false" applyFont="false" applyNumberFormat="true" borderId="5811" fillId="0" fontId="1" numFmtId="1000" quotePrefix="false">
      <alignment horizontal="center" vertical="top"/>
    </xf>
    <xf applyAlignment="true" applyBorder="true" applyFill="false" applyFont="false" applyNumberFormat="true" borderId="5812" fillId="0" fontId="1" numFmtId="1000" quotePrefix="false">
      <alignment horizontal="center" vertical="top"/>
    </xf>
    <xf applyAlignment="true" applyBorder="true" applyFill="false" applyFont="false" applyNumberFormat="true" borderId="5813" fillId="0" fontId="1" numFmtId="1000" quotePrefix="false">
      <alignment horizontal="center" vertical="top"/>
    </xf>
    <xf applyAlignment="true" applyBorder="true" applyFill="false" applyFont="true" applyNumberFormat="true" borderId="5814" fillId="0" fontId="13" numFmtId="1000" quotePrefix="false">
      <alignment horizontal="center" textRotation="90" vertical="top"/>
    </xf>
    <xf applyAlignment="true" applyBorder="true" applyFill="false" applyFont="false" applyNumberFormat="true" borderId="5815" fillId="0" fontId="1" numFmtId="1000" quotePrefix="false">
      <alignment horizontal="center" vertical="top"/>
    </xf>
    <xf applyAlignment="true" applyBorder="true" applyFill="false" applyFont="false" applyNumberFormat="true" borderId="5816" fillId="0" fontId="1" numFmtId="1000" quotePrefix="false">
      <alignment horizontal="center" vertical="top"/>
    </xf>
    <xf applyAlignment="true" applyBorder="true" applyFill="false" applyFont="false" applyNumberFormat="true" borderId="5817" fillId="0" fontId="1" numFmtId="1000" quotePrefix="false">
      <alignment horizontal="center" vertical="top"/>
    </xf>
    <xf applyAlignment="true" applyBorder="true" applyFill="false" applyFont="false" applyNumberFormat="true" borderId="5818" fillId="0" fontId="1" numFmtId="1000" quotePrefix="false">
      <alignment horizontal="center" vertical="top"/>
    </xf>
    <xf applyAlignment="true" applyBorder="true" applyFill="false" applyFont="false" applyNumberFormat="true" borderId="5819" fillId="0" fontId="1" numFmtId="1000" quotePrefix="false">
      <alignment horizontal="center" vertical="top"/>
    </xf>
    <xf applyAlignment="true" applyBorder="true" applyFill="false" applyFont="false" applyNumberFormat="true" borderId="5820" fillId="0" fontId="1" numFmtId="1000" quotePrefix="false">
      <alignment horizontal="center" vertical="top"/>
    </xf>
    <xf applyAlignment="true" applyBorder="true" applyFill="false" applyFont="true" applyNumberFormat="true" borderId="5821" fillId="0" fontId="13" numFmtId="1000" quotePrefix="false">
      <alignment horizontal="center" textRotation="90" vertical="top"/>
    </xf>
    <xf applyAlignment="true" applyBorder="true" applyFill="false" applyFont="false" applyNumberFormat="true" borderId="5822" fillId="0" fontId="1" numFmtId="1000" quotePrefix="false">
      <alignment horizontal="center" vertical="top"/>
    </xf>
    <xf applyAlignment="true" applyBorder="true" applyFill="false" applyFont="false" applyNumberFormat="true" borderId="5823" fillId="0" fontId="1" numFmtId="1000" quotePrefix="false">
      <alignment horizontal="center" vertical="top"/>
    </xf>
    <xf applyAlignment="true" applyBorder="true" applyFill="false" applyFont="false" applyNumberFormat="true" borderId="5824" fillId="0" fontId="1" numFmtId="1000" quotePrefix="false">
      <alignment horizontal="center" vertical="top"/>
    </xf>
    <xf applyAlignment="true" applyBorder="true" applyFill="false" applyFont="false" applyNumberFormat="true" borderId="5825" fillId="0" fontId="1" numFmtId="1000" quotePrefix="false">
      <alignment horizontal="center" vertical="top"/>
    </xf>
    <xf applyAlignment="true" applyBorder="true" applyFill="false" applyFont="false" applyNumberFormat="true" borderId="5826" fillId="0" fontId="1" numFmtId="1000" quotePrefix="false">
      <alignment horizontal="center" vertical="top"/>
    </xf>
    <xf applyAlignment="true" applyBorder="true" applyFill="false" applyFont="false" applyNumberFormat="true" borderId="5827" fillId="0" fontId="1" numFmtId="1000" quotePrefix="false">
      <alignment horizontal="center" vertical="top"/>
    </xf>
    <xf applyAlignment="true" applyBorder="true" applyFill="false" applyFont="true" applyNumberFormat="true" borderId="5828" fillId="0" fontId="13" numFmtId="1000" quotePrefix="false">
      <alignment horizontal="center" textRotation="90" vertical="top"/>
    </xf>
    <xf applyAlignment="true" applyBorder="true" applyFill="false" applyFont="false" applyNumberFormat="true" borderId="5829" fillId="0" fontId="1" numFmtId="1000" quotePrefix="false">
      <alignment horizontal="center" vertical="top"/>
    </xf>
    <xf applyAlignment="true" applyBorder="true" applyFill="false" applyFont="false" applyNumberFormat="true" borderId="5830" fillId="0" fontId="1" numFmtId="1000" quotePrefix="false">
      <alignment horizontal="center" vertical="top"/>
    </xf>
    <xf applyAlignment="true" applyBorder="true" applyFill="false" applyFont="false" applyNumberFormat="true" borderId="5831" fillId="0" fontId="1" numFmtId="1000" quotePrefix="false">
      <alignment horizontal="center" vertical="top"/>
    </xf>
    <xf applyAlignment="true" applyBorder="true" applyFill="false" applyFont="false" applyNumberFormat="true" borderId="5832" fillId="0" fontId="1" numFmtId="1000" quotePrefix="false">
      <alignment horizontal="center" vertical="top"/>
    </xf>
    <xf applyAlignment="true" applyBorder="true" applyFill="false" applyFont="false" applyNumberFormat="true" borderId="5833" fillId="0" fontId="1" numFmtId="1000" quotePrefix="false">
      <alignment horizontal="center" vertical="top"/>
    </xf>
    <xf applyAlignment="true" applyBorder="true" applyFill="false" applyFont="false" applyNumberFormat="true" borderId="5834" fillId="0" fontId="1" numFmtId="1000" quotePrefix="false">
      <alignment horizontal="center" vertical="top"/>
    </xf>
    <xf applyAlignment="true" applyBorder="true" applyFill="false" applyFont="true" applyNumberFormat="true" borderId="5835" fillId="0" fontId="13" numFmtId="1000" quotePrefix="false">
      <alignment horizontal="center" textRotation="90" vertical="top"/>
    </xf>
    <xf applyAlignment="true" applyBorder="true" applyFill="false" applyFont="false" applyNumberFormat="true" borderId="5836" fillId="0" fontId="1" numFmtId="1000" quotePrefix="false">
      <alignment horizontal="center" vertical="top"/>
    </xf>
    <xf applyAlignment="true" applyBorder="true" applyFill="false" applyFont="false" applyNumberFormat="true" borderId="5837" fillId="0" fontId="1" numFmtId="1000" quotePrefix="false">
      <alignment horizontal="center" vertical="top"/>
    </xf>
    <xf applyAlignment="true" applyBorder="true" applyFill="false" applyFont="false" applyNumberFormat="true" borderId="5838" fillId="0" fontId="1" numFmtId="1000" quotePrefix="false">
      <alignment horizontal="center" vertical="top"/>
    </xf>
    <xf applyAlignment="true" applyBorder="true" applyFill="false" applyFont="false" applyNumberFormat="true" borderId="5839" fillId="0" fontId="1" numFmtId="1000" quotePrefix="false">
      <alignment horizontal="center" vertical="top"/>
    </xf>
    <xf applyAlignment="true" applyBorder="true" applyFill="false" applyFont="false" applyNumberFormat="true" borderId="5840" fillId="0" fontId="1" numFmtId="1000" quotePrefix="false">
      <alignment horizontal="center" vertical="top"/>
    </xf>
    <xf applyAlignment="true" applyBorder="true" applyFill="false" applyFont="false" applyNumberFormat="true" borderId="5841" fillId="0" fontId="1" numFmtId="1000" quotePrefix="false">
      <alignment horizontal="center" vertical="top"/>
    </xf>
    <xf applyAlignment="true" applyBorder="true" applyFill="false" applyFont="true" applyNumberFormat="true" borderId="5842" fillId="0" fontId="13" numFmtId="1000" quotePrefix="false">
      <alignment horizontal="center" textRotation="90" vertical="top"/>
    </xf>
    <xf applyAlignment="true" applyBorder="true" applyFill="false" applyFont="false" applyNumberFormat="true" borderId="5843" fillId="0" fontId="1" numFmtId="1000" quotePrefix="false">
      <alignment horizontal="center" vertical="top"/>
    </xf>
    <xf applyAlignment="true" applyBorder="true" applyFill="false" applyFont="false" applyNumberFormat="true" borderId="5844" fillId="0" fontId="1" numFmtId="1000" quotePrefix="false">
      <alignment horizontal="center" vertical="top"/>
    </xf>
    <xf applyAlignment="true" applyBorder="true" applyFill="false" applyFont="false" applyNumberFormat="true" borderId="5845" fillId="0" fontId="1" numFmtId="1000" quotePrefix="false">
      <alignment horizontal="center" vertical="top"/>
    </xf>
    <xf applyAlignment="true" applyBorder="true" applyFill="false" applyFont="false" applyNumberFormat="true" borderId="5846" fillId="0" fontId="1" numFmtId="1000" quotePrefix="false">
      <alignment horizontal="center" vertical="top"/>
    </xf>
    <xf applyAlignment="true" applyBorder="true" applyFill="false" applyFont="false" applyNumberFormat="true" borderId="5847" fillId="0" fontId="1" numFmtId="1000" quotePrefix="false">
      <alignment horizontal="center" vertical="top"/>
    </xf>
    <xf applyAlignment="true" applyBorder="true" applyFill="false" applyFont="false" applyNumberFormat="true" borderId="5848" fillId="0" fontId="1" numFmtId="1000" quotePrefix="false">
      <alignment horizontal="center" vertical="top"/>
    </xf>
    <xf applyAlignment="true" applyBorder="true" applyFill="false" applyFont="false" applyNumberFormat="true" borderId="5849" fillId="0" fontId="1" numFmtId="1000" quotePrefix="false">
      <alignment horizontal="center" vertical="top"/>
    </xf>
    <xf applyAlignment="true" applyBorder="true" applyFill="false" applyFont="false" applyNumberFormat="true" borderId="5850" fillId="0" fontId="1" numFmtId="1000" quotePrefix="false">
      <alignment horizontal="center" vertical="top"/>
    </xf>
    <xf applyAlignment="true" applyBorder="true" applyFill="false" applyFont="false" applyNumberFormat="true" borderId="5851" fillId="0" fontId="1" numFmtId="1000" quotePrefix="false">
      <alignment horizontal="center" vertical="top"/>
    </xf>
    <xf applyAlignment="true" applyBorder="true" applyFill="false" applyFont="false" applyNumberFormat="true" borderId="5852" fillId="0" fontId="1" numFmtId="1000" quotePrefix="false">
      <alignment horizontal="center" vertical="top"/>
    </xf>
    <xf applyAlignment="true" applyBorder="true" applyFill="false" applyFont="true" applyNumberFormat="true" borderId="5853" fillId="0" fontId="13" numFmtId="1000" quotePrefix="false">
      <alignment horizontal="center" textRotation="90" vertical="top"/>
    </xf>
    <xf applyAlignment="true" applyBorder="true" applyFill="false" applyFont="true" applyNumberFormat="true" borderId="5854" fillId="0" fontId="2" numFmtId="1000" quotePrefix="false">
      <alignment horizontal="center" vertical="top"/>
    </xf>
    <xf applyAlignment="true" applyBorder="true" applyFill="false" applyFont="false" applyNumberFormat="true" borderId="5855" fillId="0" fontId="1" numFmtId="1000" quotePrefix="false">
      <alignment horizontal="left" vertical="top"/>
    </xf>
    <xf applyAlignment="true" applyBorder="true" applyFill="false" applyFont="false" applyNumberFormat="true" borderId="5856" fillId="0" fontId="1" numFmtId="1000" quotePrefix="false">
      <alignment horizontal="left" vertical="top"/>
    </xf>
    <xf applyAlignment="true" applyBorder="true" applyFill="false" applyFont="false" applyNumberFormat="true" borderId="5857" fillId="0" fontId="1" numFmtId="1000" quotePrefix="false">
      <alignment horizontal="left" vertical="top"/>
    </xf>
    <xf applyAlignment="true" applyBorder="true" applyFill="false" applyFont="false" applyNumberFormat="true" borderId="5858" fillId="0" fontId="1" numFmtId="1000" quotePrefix="false">
      <alignment horizontal="left" vertical="top"/>
    </xf>
    <xf applyAlignment="true" applyBorder="true" applyFill="false" applyFont="false" applyNumberFormat="true" borderId="5859" fillId="0" fontId="1" numFmtId="1000" quotePrefix="false">
      <alignment horizontal="left" vertical="top"/>
    </xf>
    <xf applyAlignment="true" applyBorder="true" applyFill="false" applyFont="false" applyNumberFormat="true" borderId="5860" fillId="0" fontId="1" numFmtId="1000" quotePrefix="false">
      <alignment horizontal="left" vertical="top"/>
    </xf>
    <xf applyAlignment="true" applyBorder="true" applyFill="false" applyFont="false" applyNumberFormat="true" borderId="5861" fillId="0" fontId="1" numFmtId="1000" quotePrefix="false">
      <alignment horizontal="left" vertical="top"/>
    </xf>
    <xf applyAlignment="true" applyBorder="true" applyFill="false" applyFont="false" applyNumberFormat="true" borderId="5862" fillId="0" fontId="1" numFmtId="1000" quotePrefix="false">
      <alignment horizontal="left" vertical="top"/>
    </xf>
    <xf applyAlignment="true" applyBorder="true" applyFill="false" applyFont="false" applyNumberFormat="true" borderId="5863" fillId="0" fontId="1" numFmtId="1000" quotePrefix="false">
      <alignment horizontal="left" vertical="top"/>
    </xf>
    <xf applyAlignment="true" applyBorder="true" applyFill="false" applyFont="false" applyNumberFormat="true" borderId="5864" fillId="0" fontId="1" numFmtId="1000" quotePrefix="false">
      <alignment horizontal="left" vertical="top"/>
    </xf>
    <xf applyAlignment="true" applyBorder="true" applyFill="false" applyFont="false" applyNumberFormat="true" borderId="5865" fillId="0" fontId="1" numFmtId="1000" quotePrefix="false">
      <alignment horizontal="left" vertical="top"/>
    </xf>
    <xf applyAlignment="true" applyBorder="true" applyFill="false" applyFont="false" applyNumberFormat="true" borderId="5866" fillId="0" fontId="1" numFmtId="1000" quotePrefix="false">
      <alignment horizontal="left" vertical="top"/>
    </xf>
    <xf applyAlignment="true" applyBorder="true" applyFill="false" applyFont="false" applyNumberFormat="true" borderId="5867" fillId="0" fontId="1" numFmtId="1000" quotePrefix="false">
      <alignment horizontal="left" vertical="top"/>
    </xf>
    <xf applyAlignment="true" applyBorder="true" applyFill="false" applyFont="false" applyNumberFormat="true" borderId="5868" fillId="0" fontId="1" numFmtId="1000" quotePrefix="false">
      <alignment horizontal="left" vertical="top"/>
    </xf>
    <xf applyAlignment="true" applyBorder="true" applyFill="false" applyFont="false" applyNumberFormat="true" borderId="5869" fillId="0" fontId="1" numFmtId="1000" quotePrefix="false">
      <alignment horizontal="left" vertical="top"/>
    </xf>
    <xf applyAlignment="true" applyBorder="true" applyFill="false" applyFont="false" applyNumberFormat="true" borderId="5870" fillId="0" fontId="1" numFmtId="1000" quotePrefix="false">
      <alignment horizontal="left" vertical="top"/>
    </xf>
    <xf applyAlignment="true" applyBorder="true" applyFill="false" applyFont="false" applyNumberFormat="true" borderId="5871" fillId="0" fontId="1" numFmtId="1000" quotePrefix="false">
      <alignment horizontal="left" vertical="top"/>
    </xf>
    <xf applyAlignment="true" applyBorder="true" applyFill="false" applyFont="false" applyNumberFormat="true" borderId="5872" fillId="0" fontId="1" numFmtId="1000" quotePrefix="false">
      <alignment horizontal="left" vertical="top"/>
    </xf>
    <xf applyAlignment="true" applyBorder="true" applyFill="false" applyFont="false" applyNumberFormat="true" borderId="5873" fillId="0" fontId="1" numFmtId="1000" quotePrefix="false">
      <alignment horizontal="left" vertical="top"/>
    </xf>
    <xf applyAlignment="true" applyBorder="true" applyFill="false" applyFont="true" applyNumberFormat="true" borderId="5874" fillId="0" fontId="13" numFmtId="1000" quotePrefix="false">
      <alignment horizontal="center" textRotation="90" vertical="top"/>
    </xf>
    <xf applyAlignment="true" applyBorder="true" applyFill="false" applyFont="true" applyNumberFormat="true" borderId="5875" fillId="0" fontId="2" numFmtId="1000" quotePrefix="false">
      <alignment horizontal="center"/>
    </xf>
    <xf applyAlignment="true" applyBorder="true" applyFill="false" applyFont="true" applyNumberFormat="true" borderId="5876" fillId="0" fontId="2" numFmtId="1000" quotePrefix="false">
      <alignment horizontal="center"/>
    </xf>
    <xf applyAlignment="true" applyBorder="true" applyFill="false" applyFont="true" applyNumberFormat="true" borderId="5877" fillId="0" fontId="2" numFmtId="1000" quotePrefix="false">
      <alignment horizontal="center"/>
    </xf>
    <xf applyAlignment="true" applyBorder="true" applyFill="false" applyFont="false" applyNumberFormat="true" borderId="5878" fillId="0" fontId="1" numFmtId="1000" quotePrefix="false">
      <alignment horizontal="center" vertical="top"/>
    </xf>
    <xf applyAlignment="true" applyBorder="true" applyFill="false" applyFont="false" applyNumberFormat="true" borderId="5879" fillId="0" fontId="1" numFmtId="1000" quotePrefix="false">
      <alignment horizontal="center" vertical="top"/>
    </xf>
    <xf applyAlignment="true" applyBorder="true" applyFill="false" applyFont="false" applyNumberFormat="true" borderId="5880" fillId="0" fontId="1" numFmtId="1000" quotePrefix="false">
      <alignment horizontal="center" vertical="top"/>
    </xf>
    <xf applyAlignment="true" applyBorder="true" applyFill="false" applyFont="false" applyNumberFormat="true" borderId="5881" fillId="0" fontId="1" numFmtId="1000" quotePrefix="false">
      <alignment horizontal="center" vertical="top"/>
    </xf>
    <xf applyAlignment="true" applyBorder="true" applyFill="false" applyFont="false" applyNumberFormat="true" borderId="5882" fillId="0" fontId="1" numFmtId="1000" quotePrefix="false">
      <alignment horizontal="center" vertical="top"/>
    </xf>
    <xf applyAlignment="true" applyBorder="true" applyFill="false" applyFont="false" applyNumberFormat="true" borderId="5883" fillId="0" fontId="1" numFmtId="1000" quotePrefix="false">
      <alignment horizontal="center" vertical="top"/>
    </xf>
    <xf applyAlignment="true" applyBorder="true" applyFill="false" applyFont="false" applyNumberFormat="true" borderId="5884" fillId="0" fontId="1" numFmtId="1000" quotePrefix="false">
      <alignment horizontal="center" vertical="top"/>
    </xf>
    <xf applyAlignment="true" applyBorder="true" applyFill="false" applyFont="false" applyNumberFormat="true" borderId="5885" fillId="0" fontId="1" numFmtId="1000" quotePrefix="false">
      <alignment horizontal="center" vertical="top"/>
    </xf>
    <xf applyAlignment="true" applyBorder="true" applyFill="false" applyFont="false" applyNumberFormat="true" borderId="5886" fillId="0" fontId="1" numFmtId="1000" quotePrefix="false">
      <alignment horizontal="center" vertical="top"/>
    </xf>
    <xf applyAlignment="true" applyBorder="true" applyFill="false" applyFont="false" applyNumberFormat="true" borderId="5887" fillId="0" fontId="1" numFmtId="1000" quotePrefix="false">
      <alignment horizontal="center" vertical="top"/>
    </xf>
    <xf applyAlignment="true" applyBorder="true" applyFill="false" applyFont="false" applyNumberFormat="true" borderId="5888" fillId="0" fontId="1" numFmtId="1000" quotePrefix="false">
      <alignment horizontal="center" vertical="top"/>
    </xf>
    <xf applyAlignment="true" applyBorder="true" applyFill="false" applyFont="false" applyNumberFormat="true" borderId="5889" fillId="0" fontId="1" numFmtId="1000" quotePrefix="false">
      <alignment horizontal="center" vertical="top"/>
    </xf>
    <xf applyAlignment="true" applyBorder="true" applyFill="false" applyFont="false" applyNumberFormat="true" borderId="5890" fillId="0" fontId="1" numFmtId="1000" quotePrefix="false">
      <alignment horizontal="center" vertical="top"/>
    </xf>
    <xf applyAlignment="true" applyBorder="true" applyFill="false" applyFont="false" applyNumberFormat="true" borderId="5891" fillId="0" fontId="1" numFmtId="1000" quotePrefix="false">
      <alignment horizontal="center" vertical="top"/>
    </xf>
    <xf applyAlignment="true" applyBorder="true" applyFill="false" applyFont="false" applyNumberFormat="true" borderId="5892" fillId="0" fontId="1" numFmtId="1000" quotePrefix="false">
      <alignment horizontal="center" vertical="top"/>
    </xf>
    <xf applyAlignment="true" applyBorder="true" applyFill="false" applyFont="false" applyNumberFormat="true" borderId="5893" fillId="0" fontId="1" numFmtId="1000" quotePrefix="false">
      <alignment horizontal="center" vertical="top"/>
    </xf>
    <xf applyAlignment="true" applyBorder="true" applyFill="false" applyFont="true" applyNumberFormat="true" borderId="5894" fillId="0" fontId="13" numFmtId="1000" quotePrefix="false">
      <alignment horizontal="center" textRotation="90" vertical="top"/>
    </xf>
    <xf applyAlignment="true" applyBorder="true" applyFill="false" applyFont="false" applyNumberFormat="true" borderId="5895" fillId="0" fontId="1" numFmtId="1000" quotePrefix="false">
      <alignment horizontal="center" vertical="top"/>
    </xf>
    <xf applyAlignment="true" applyBorder="true" applyFill="false" applyFont="false" applyNumberFormat="true" borderId="5896" fillId="0" fontId="1" numFmtId="1000" quotePrefix="false">
      <alignment horizontal="center" vertical="top"/>
    </xf>
    <xf applyAlignment="true" applyBorder="true" applyFill="false" applyFont="false" applyNumberFormat="true" borderId="5897" fillId="0" fontId="1" numFmtId="1000" quotePrefix="false">
      <alignment horizontal="center" vertical="top"/>
    </xf>
    <xf applyAlignment="true" applyBorder="true" applyFill="false" applyFont="false" applyNumberFormat="true" borderId="5898" fillId="0" fontId="1" numFmtId="1000" quotePrefix="false">
      <alignment horizontal="center" vertical="top"/>
    </xf>
    <xf applyAlignment="true" applyBorder="true" applyFill="false" applyFont="true" applyNumberFormat="true" borderId="5899" fillId="0" fontId="13" numFmtId="1000" quotePrefix="false">
      <alignment horizontal="center" textRotation="90" vertical="top"/>
    </xf>
    <xf applyAlignment="true" applyBorder="true" applyFill="false" applyFont="false" applyNumberFormat="true" borderId="5900" fillId="0" fontId="1" numFmtId="1000" quotePrefix="false">
      <alignment horizontal="center" vertical="top"/>
    </xf>
    <xf applyAlignment="true" applyBorder="true" applyFill="false" applyFont="false" applyNumberFormat="true" borderId="5901" fillId="0" fontId="1" numFmtId="1000" quotePrefix="false">
      <alignment horizontal="center" vertical="top"/>
    </xf>
    <xf applyAlignment="true" applyBorder="true" applyFill="false" applyFont="false" applyNumberFormat="true" borderId="5902" fillId="0" fontId="1" numFmtId="1000" quotePrefix="false">
      <alignment horizontal="center" vertical="top"/>
    </xf>
    <xf applyAlignment="true" applyBorder="true" applyFill="false" applyFont="false" applyNumberFormat="true" borderId="5903" fillId="0" fontId="1" numFmtId="1000" quotePrefix="false">
      <alignment horizontal="center" vertical="top"/>
    </xf>
    <xf applyAlignment="true" applyBorder="true" applyFill="false" applyFont="true" applyNumberFormat="true" borderId="5904" fillId="0" fontId="13" numFmtId="1000" quotePrefix="false">
      <alignment horizontal="center" textRotation="90" vertical="top"/>
    </xf>
    <xf applyAlignment="true" applyBorder="true" applyFill="false" applyFont="false" applyNumberFormat="true" borderId="5905" fillId="0" fontId="1" numFmtId="1000" quotePrefix="false">
      <alignment horizontal="center" vertical="top"/>
    </xf>
    <xf applyAlignment="true" applyBorder="true" applyFill="false" applyFont="false" applyNumberFormat="true" borderId="5906" fillId="0" fontId="1" numFmtId="1000" quotePrefix="false">
      <alignment horizontal="center" vertical="top"/>
    </xf>
    <xf applyAlignment="true" applyBorder="true" applyFill="false" applyFont="false" applyNumberFormat="true" borderId="5907" fillId="0" fontId="1" numFmtId="1000" quotePrefix="false">
      <alignment horizontal="center" vertical="top"/>
    </xf>
    <xf applyAlignment="true" applyBorder="true" applyFill="false" applyFont="false" applyNumberFormat="true" borderId="5908" fillId="0" fontId="1" numFmtId="1000" quotePrefix="false">
      <alignment horizontal="center" vertical="top"/>
    </xf>
    <xf applyAlignment="true" applyBorder="true" applyFill="false" applyFont="true" applyNumberFormat="true" borderId="5909" fillId="0" fontId="13" numFmtId="1000" quotePrefix="false">
      <alignment horizontal="center" textRotation="90" vertical="top"/>
    </xf>
    <xf applyAlignment="true" applyBorder="true" applyFill="false" applyFont="false" applyNumberFormat="true" borderId="5910" fillId="0" fontId="1" numFmtId="1000" quotePrefix="false">
      <alignment horizontal="center" vertical="top"/>
    </xf>
    <xf applyAlignment="true" applyBorder="true" applyFill="false" applyFont="false" applyNumberFormat="true" borderId="5911" fillId="0" fontId="1" numFmtId="1000" quotePrefix="false">
      <alignment horizontal="center" vertical="top"/>
    </xf>
    <xf applyAlignment="true" applyBorder="true" applyFill="false" applyFont="false" applyNumberFormat="true" borderId="5912" fillId="0" fontId="1" numFmtId="1000" quotePrefix="false">
      <alignment horizontal="center" vertical="top"/>
    </xf>
    <xf applyAlignment="true" applyBorder="true" applyFill="false" applyFont="false" applyNumberFormat="true" borderId="5913" fillId="0" fontId="1" numFmtId="1000" quotePrefix="false">
      <alignment horizontal="center" vertical="top"/>
    </xf>
    <xf applyAlignment="true" applyBorder="true" applyFill="false" applyFont="true" applyNumberFormat="true" borderId="5914" fillId="0" fontId="13" numFmtId="1000" quotePrefix="false">
      <alignment horizontal="center" textRotation="90" vertical="top"/>
    </xf>
    <xf applyAlignment="true" applyBorder="true" applyFill="false" applyFont="false" applyNumberFormat="true" borderId="5915" fillId="0" fontId="1" numFmtId="1000" quotePrefix="false">
      <alignment horizontal="center" vertical="top"/>
    </xf>
    <xf applyAlignment="true" applyBorder="true" applyFill="false" applyFont="false" applyNumberFormat="true" borderId="5916" fillId="0" fontId="1" numFmtId="1000" quotePrefix="false">
      <alignment horizontal="center" vertical="top"/>
    </xf>
    <xf applyAlignment="true" applyBorder="true" applyFill="false" applyFont="false" applyNumberFormat="true" borderId="5917" fillId="0" fontId="1" numFmtId="1000" quotePrefix="false">
      <alignment horizontal="center" vertical="top"/>
    </xf>
    <xf applyAlignment="true" applyBorder="true" applyFill="false" applyFont="false" applyNumberFormat="true" borderId="5918" fillId="0" fontId="1" numFmtId="1000" quotePrefix="false">
      <alignment horizontal="center" vertical="top"/>
    </xf>
    <xf applyAlignment="true" applyBorder="true" applyFill="false" applyFont="true" applyNumberFormat="true" borderId="5919" fillId="0" fontId="13" numFmtId="1000" quotePrefix="false">
      <alignment horizontal="center" textRotation="90" vertical="top"/>
    </xf>
    <xf applyAlignment="true" applyBorder="true" applyFill="false" applyFont="false" applyNumberFormat="true" borderId="5920" fillId="0" fontId="1" numFmtId="1000" quotePrefix="false">
      <alignment horizontal="center" vertical="top"/>
    </xf>
    <xf applyAlignment="true" applyBorder="true" applyFill="false" applyFont="false" applyNumberFormat="true" borderId="5921" fillId="0" fontId="1" numFmtId="1000" quotePrefix="false">
      <alignment horizontal="center" vertical="top"/>
    </xf>
    <xf applyAlignment="true" applyBorder="true" applyFill="false" applyFont="false" applyNumberFormat="true" borderId="5922" fillId="0" fontId="1" numFmtId="1000" quotePrefix="false">
      <alignment horizontal="center" vertical="top"/>
    </xf>
    <xf applyAlignment="true" applyBorder="true" applyFill="false" applyFont="false" applyNumberFormat="true" borderId="5923" fillId="0" fontId="1" numFmtId="1000" quotePrefix="false">
      <alignment horizontal="center" vertical="top"/>
    </xf>
    <xf applyAlignment="true" applyBorder="true" applyFill="false" applyFont="true" applyNumberFormat="true" borderId="5924" fillId="0" fontId="13" numFmtId="1000" quotePrefix="false">
      <alignment horizontal="center" textRotation="90" vertical="top"/>
    </xf>
    <xf applyAlignment="true" applyBorder="true" applyFill="false" applyFont="false" applyNumberFormat="true" borderId="5925" fillId="0" fontId="1" numFmtId="1000" quotePrefix="false">
      <alignment horizontal="center" vertical="top"/>
    </xf>
    <xf applyAlignment="true" applyBorder="true" applyFill="false" applyFont="false" applyNumberFormat="true" borderId="5926" fillId="0" fontId="1" numFmtId="1000" quotePrefix="false">
      <alignment horizontal="center" vertical="top"/>
    </xf>
    <xf applyAlignment="true" applyBorder="true" applyFill="false" applyFont="false" applyNumberFormat="true" borderId="5927" fillId="0" fontId="1" numFmtId="1000" quotePrefix="false">
      <alignment horizontal="center" vertical="top"/>
    </xf>
    <xf applyAlignment="true" applyBorder="true" applyFill="false" applyFont="false" applyNumberFormat="true" borderId="5928" fillId="0" fontId="1" numFmtId="1000" quotePrefix="false">
      <alignment horizontal="center" vertical="top"/>
    </xf>
    <xf applyAlignment="true" applyBorder="true" applyFill="false" applyFont="true" applyNumberFormat="true" borderId="5929" fillId="0" fontId="13" numFmtId="1000" quotePrefix="false">
      <alignment horizontal="center" textRotation="90" vertical="top"/>
    </xf>
    <xf applyAlignment="true" applyBorder="true" applyFill="false" applyFont="false" applyNumberFormat="true" borderId="5930" fillId="0" fontId="1" numFmtId="1000" quotePrefix="false">
      <alignment horizontal="center" vertical="top"/>
    </xf>
    <xf applyAlignment="true" applyBorder="true" applyFill="false" applyFont="false" applyNumberFormat="true" borderId="5931" fillId="0" fontId="1" numFmtId="1000" quotePrefix="false">
      <alignment horizontal="center" vertical="top"/>
    </xf>
    <xf applyAlignment="true" applyBorder="true" applyFill="false" applyFont="false" applyNumberFormat="true" borderId="5932" fillId="0" fontId="1" numFmtId="1000" quotePrefix="false">
      <alignment horizontal="center" vertical="top"/>
    </xf>
    <xf applyAlignment="true" applyBorder="true" applyFill="false" applyFont="false" applyNumberFormat="true" borderId="5933" fillId="0" fontId="1" numFmtId="1000" quotePrefix="false">
      <alignment horizontal="center" vertical="top"/>
    </xf>
    <xf applyAlignment="true" applyBorder="true" applyFill="false" applyFont="true" applyNumberFormat="true" borderId="5934" fillId="0" fontId="13" numFmtId="1000" quotePrefix="false">
      <alignment horizontal="center" textRotation="90" vertical="top"/>
    </xf>
    <xf applyAlignment="true" applyBorder="true" applyFill="false" applyFont="false" applyNumberFormat="true" borderId="5935" fillId="0" fontId="1" numFmtId="1000" quotePrefix="false">
      <alignment horizontal="center" vertical="top"/>
    </xf>
    <xf applyAlignment="true" applyBorder="true" applyFill="false" applyFont="false" applyNumberFormat="true" borderId="5936" fillId="0" fontId="1" numFmtId="1000" quotePrefix="false">
      <alignment horizontal="center" vertical="top"/>
    </xf>
    <xf applyAlignment="true" applyBorder="true" applyFill="false" applyFont="false" applyNumberFormat="true" borderId="5937" fillId="0" fontId="1" numFmtId="1000" quotePrefix="false">
      <alignment horizontal="center" vertical="top"/>
    </xf>
    <xf applyAlignment="true" applyBorder="true" applyFill="false" applyFont="false" applyNumberFormat="true" borderId="5938" fillId="0" fontId="1" numFmtId="1000" quotePrefix="false">
      <alignment horizontal="center" vertical="top"/>
    </xf>
    <xf applyAlignment="true" applyBorder="true" applyFill="false" applyFont="false" applyNumberFormat="true" borderId="5939" fillId="0" fontId="1" numFmtId="1000" quotePrefix="false">
      <alignment horizontal="center" vertical="top"/>
    </xf>
    <xf applyAlignment="true" applyBorder="true" applyFill="false" applyFont="false" applyNumberFormat="true" borderId="5940" fillId="0" fontId="1" numFmtId="1000" quotePrefix="false">
      <alignment horizontal="center" vertical="top"/>
    </xf>
    <xf applyAlignment="true" applyBorder="true" applyFill="false" applyFont="true" applyNumberFormat="true" borderId="5941" fillId="0" fontId="13" numFmtId="1000" quotePrefix="false">
      <alignment horizontal="center" textRotation="90" vertical="top"/>
    </xf>
    <xf applyAlignment="true" applyBorder="true" applyFill="false" applyFont="true" applyNumberFormat="true" borderId="5942" fillId="0" fontId="2" numFmtId="1000" quotePrefix="false">
      <alignment horizontal="center" vertical="top"/>
    </xf>
    <xf applyAlignment="true" applyBorder="true" applyFill="false" applyFont="false" applyNumberFormat="true" borderId="5943" fillId="0" fontId="1" numFmtId="1000" quotePrefix="false">
      <alignment horizontal="left" vertical="top"/>
    </xf>
    <xf applyAlignment="true" applyBorder="true" applyFill="false" applyFont="false" applyNumberFormat="true" borderId="5944" fillId="0" fontId="1" numFmtId="1000" quotePrefix="false">
      <alignment horizontal="left" vertical="top"/>
    </xf>
    <xf applyAlignment="true" applyBorder="true" applyFill="false" applyFont="false" applyNumberFormat="true" borderId="5945" fillId="0" fontId="1" numFmtId="1000" quotePrefix="false">
      <alignment horizontal="left" vertical="top"/>
    </xf>
    <xf applyAlignment="true" applyBorder="true" applyFill="false" applyFont="false" applyNumberFormat="true" borderId="5946" fillId="0" fontId="1" numFmtId="1000" quotePrefix="false">
      <alignment horizontal="left" vertical="top"/>
    </xf>
    <xf applyAlignment="true" applyBorder="true" applyFill="false" applyFont="false" applyNumberFormat="true" borderId="5947" fillId="0" fontId="1" numFmtId="1000" quotePrefix="false">
      <alignment horizontal="left" vertical="top"/>
    </xf>
    <xf applyAlignment="true" applyBorder="true" applyFill="false" applyFont="false" applyNumberFormat="true" borderId="5948" fillId="0" fontId="1" numFmtId="1000" quotePrefix="false">
      <alignment horizontal="left" vertical="top"/>
    </xf>
    <xf applyAlignment="true" applyBorder="true" applyFill="false" applyFont="false" applyNumberFormat="true" borderId="5949" fillId="0" fontId="1" numFmtId="1000" quotePrefix="false">
      <alignment horizontal="left" vertical="top"/>
    </xf>
    <xf applyAlignment="true" applyBorder="true" applyFill="false" applyFont="false" applyNumberFormat="true" borderId="5950" fillId="0" fontId="1" numFmtId="1000" quotePrefix="false">
      <alignment horizontal="left" vertical="top"/>
    </xf>
    <xf applyAlignment="true" applyBorder="true" applyFill="false" applyFont="false" applyNumberFormat="true" borderId="5951" fillId="0" fontId="1" numFmtId="1000" quotePrefix="false">
      <alignment horizontal="left" vertical="top"/>
    </xf>
    <xf applyAlignment="true" applyBorder="true" applyFill="false" applyFont="false" applyNumberFormat="true" borderId="5952" fillId="0" fontId="1" numFmtId="1000" quotePrefix="false">
      <alignment horizontal="left" vertical="top"/>
    </xf>
    <xf applyAlignment="true" applyBorder="true" applyFill="false" applyFont="false" applyNumberFormat="true" borderId="5953" fillId="0" fontId="1" numFmtId="1000" quotePrefix="false">
      <alignment horizontal="left" vertical="top"/>
    </xf>
    <xf applyAlignment="true" applyBorder="true" applyFill="false" applyFont="false" applyNumberFormat="true" borderId="5954" fillId="0" fontId="1" numFmtId="1000" quotePrefix="false">
      <alignment horizontal="left" vertical="top"/>
    </xf>
    <xf applyAlignment="true" applyBorder="true" applyFill="false" applyFont="false" applyNumberFormat="true" borderId="5955" fillId="0" fontId="1" numFmtId="1000" quotePrefix="false">
      <alignment horizontal="left" vertical="top"/>
    </xf>
    <xf applyAlignment="true" applyBorder="true" applyFill="false" applyFont="false" applyNumberFormat="true" borderId="5956" fillId="0" fontId="1" numFmtId="1000" quotePrefix="false">
      <alignment horizontal="left" vertical="top"/>
    </xf>
    <xf applyAlignment="true" applyBorder="true" applyFill="false" applyFont="false" applyNumberFormat="true" borderId="5957" fillId="0" fontId="1" numFmtId="1000" quotePrefix="false">
      <alignment horizontal="left" vertical="top"/>
    </xf>
    <xf applyAlignment="true" applyBorder="true" applyFill="false" applyFont="false" applyNumberFormat="true" borderId="5958" fillId="0" fontId="1" numFmtId="1000" quotePrefix="false">
      <alignment horizontal="left" vertical="top"/>
    </xf>
    <xf applyAlignment="true" applyBorder="true" applyFill="false" applyFont="false" applyNumberFormat="true" borderId="5959" fillId="0" fontId="1" numFmtId="1000" quotePrefix="false">
      <alignment horizontal="left" vertical="top"/>
    </xf>
    <xf applyAlignment="true" applyBorder="true" applyFill="false" applyFont="false" applyNumberFormat="true" borderId="5960" fillId="0" fontId="1" numFmtId="1000" quotePrefix="false">
      <alignment horizontal="left" vertical="top"/>
    </xf>
    <xf applyAlignment="true" applyBorder="true" applyFill="false" applyFont="false" applyNumberFormat="true" borderId="5961" fillId="0" fontId="1" numFmtId="1000" quotePrefix="false">
      <alignment horizontal="left" vertical="top"/>
    </xf>
    <xf applyAlignment="true" applyBorder="true" applyFill="false" applyFont="true" applyNumberFormat="true" borderId="5962" fillId="0" fontId="13" numFmtId="1000" quotePrefix="false">
      <alignment horizontal="center" textRotation="90" vertical="top"/>
    </xf>
    <xf applyAlignment="true" applyBorder="true" applyFill="false" applyFont="true" applyNumberFormat="true" borderId="5963" fillId="0" fontId="2" numFmtId="1000" quotePrefix="false">
      <alignment horizontal="center"/>
    </xf>
    <xf applyAlignment="true" applyBorder="true" applyFill="false" applyFont="true" applyNumberFormat="true" borderId="5964" fillId="0" fontId="2" numFmtId="1000" quotePrefix="false">
      <alignment horizontal="center"/>
    </xf>
    <xf applyAlignment="true" applyBorder="true" applyFill="false" applyFont="true" applyNumberFormat="true" borderId="5965" fillId="0" fontId="2" numFmtId="1000" quotePrefix="false">
      <alignment horizontal="center"/>
    </xf>
    <xf applyAlignment="true" applyBorder="true" applyFill="false" applyFont="false" applyNumberFormat="true" borderId="5966" fillId="0" fontId="1" numFmtId="1000" quotePrefix="false">
      <alignment horizontal="center" vertical="top"/>
    </xf>
    <xf applyAlignment="true" applyBorder="true" applyFill="false" applyFont="false" applyNumberFormat="true" borderId="5967" fillId="0" fontId="1" numFmtId="1000" quotePrefix="false">
      <alignment horizontal="center" vertical="top"/>
    </xf>
    <xf applyAlignment="true" applyBorder="true" applyFill="false" applyFont="false" applyNumberFormat="true" borderId="5968" fillId="0" fontId="1" numFmtId="1000" quotePrefix="false">
      <alignment horizontal="center" vertical="top"/>
    </xf>
    <xf applyAlignment="true" applyBorder="true" applyFill="false" applyFont="false" applyNumberFormat="true" borderId="5969" fillId="0" fontId="1" numFmtId="1000" quotePrefix="false">
      <alignment horizontal="center" vertical="top"/>
    </xf>
    <xf applyAlignment="true" applyBorder="true" applyFill="false" applyFont="false" applyNumberFormat="true" borderId="5970" fillId="0" fontId="1" numFmtId="1000" quotePrefix="false">
      <alignment horizontal="center" vertical="top"/>
    </xf>
    <xf applyAlignment="true" applyBorder="true" applyFill="false" applyFont="false" applyNumberFormat="true" borderId="5971" fillId="0" fontId="1" numFmtId="1000" quotePrefix="false">
      <alignment horizontal="center" vertical="top"/>
    </xf>
    <xf applyAlignment="true" applyBorder="true" applyFill="false" applyFont="false" applyNumberFormat="true" borderId="5972" fillId="0" fontId="1" numFmtId="1000" quotePrefix="false">
      <alignment horizontal="center" vertical="top"/>
    </xf>
    <xf applyAlignment="true" applyBorder="true" applyFill="false" applyFont="false" applyNumberFormat="true" borderId="5973" fillId="0" fontId="1" numFmtId="1000" quotePrefix="false">
      <alignment horizontal="center" vertical="top"/>
    </xf>
    <xf applyAlignment="true" applyBorder="true" applyFill="false" applyFont="false" applyNumberFormat="true" borderId="5974" fillId="0" fontId="1" numFmtId="1000" quotePrefix="false">
      <alignment horizontal="center" vertical="top"/>
    </xf>
    <xf applyAlignment="true" applyBorder="true" applyFill="false" applyFont="false" applyNumberFormat="true" borderId="5975" fillId="0" fontId="1" numFmtId="1000" quotePrefix="false">
      <alignment horizontal="center" vertical="top"/>
    </xf>
    <xf applyAlignment="true" applyBorder="true" applyFill="false" applyFont="false" applyNumberFormat="true" borderId="5976" fillId="0" fontId="1" numFmtId="1000" quotePrefix="false">
      <alignment horizontal="center" vertical="top"/>
    </xf>
    <xf applyAlignment="true" applyBorder="true" applyFill="false" applyFont="false" applyNumberFormat="true" borderId="5977" fillId="0" fontId="1" numFmtId="1000" quotePrefix="false">
      <alignment horizontal="center" vertical="top"/>
    </xf>
    <xf applyAlignment="true" applyBorder="true" applyFill="false" applyFont="false" applyNumberFormat="true" borderId="5978" fillId="0" fontId="1" numFmtId="1000" quotePrefix="false">
      <alignment horizontal="center" vertical="top"/>
    </xf>
    <xf applyAlignment="true" applyBorder="true" applyFill="false" applyFont="false" applyNumberFormat="true" borderId="5979" fillId="0" fontId="1" numFmtId="1000" quotePrefix="false">
      <alignment horizontal="center" vertical="top"/>
    </xf>
    <xf applyAlignment="true" applyBorder="true" applyFill="false" applyFont="false" applyNumberFormat="true" borderId="5980" fillId="0" fontId="1" numFmtId="1000" quotePrefix="false">
      <alignment horizontal="center" vertical="top"/>
    </xf>
    <xf applyAlignment="true" applyBorder="true" applyFill="false" applyFont="false" applyNumberFormat="true" borderId="5981" fillId="0" fontId="1" numFmtId="1000" quotePrefix="false">
      <alignment horizontal="center" vertical="top"/>
    </xf>
    <xf applyAlignment="true" applyBorder="true" applyFill="false" applyFont="true" applyNumberFormat="true" borderId="5982" fillId="0" fontId="13" numFmtId="1000" quotePrefix="false">
      <alignment horizontal="center" textRotation="90" vertical="top"/>
    </xf>
    <xf applyAlignment="true" applyBorder="true" applyFill="false" applyFont="false" applyNumberFormat="true" borderId="5983" fillId="0" fontId="1" numFmtId="1000" quotePrefix="false">
      <alignment horizontal="center" vertical="top"/>
    </xf>
    <xf applyAlignment="true" applyBorder="true" applyFill="false" applyFont="false" applyNumberFormat="true" borderId="5984" fillId="0" fontId="1" numFmtId="1000" quotePrefix="false">
      <alignment horizontal="center" vertical="top"/>
    </xf>
    <xf applyAlignment="true" applyBorder="true" applyFill="false" applyFont="false" applyNumberFormat="true" borderId="5985" fillId="0" fontId="1" numFmtId="1000" quotePrefix="false">
      <alignment horizontal="center" vertical="top"/>
    </xf>
    <xf applyAlignment="true" applyBorder="true" applyFill="false" applyFont="false" applyNumberFormat="true" borderId="5986" fillId="0" fontId="1" numFmtId="1000" quotePrefix="false">
      <alignment horizontal="center" vertical="top"/>
    </xf>
    <xf applyAlignment="true" applyBorder="true" applyFill="false" applyFont="true" applyNumberFormat="true" borderId="5987" fillId="0" fontId="13" numFmtId="1000" quotePrefix="false">
      <alignment horizontal="center" textRotation="90" vertical="top"/>
    </xf>
    <xf applyAlignment="true" applyBorder="true" applyFill="false" applyFont="false" applyNumberFormat="true" borderId="5988" fillId="0" fontId="1" numFmtId="1000" quotePrefix="false">
      <alignment horizontal="center" vertical="top"/>
    </xf>
    <xf applyAlignment="true" applyBorder="true" applyFill="false" applyFont="false" applyNumberFormat="true" borderId="5989" fillId="0" fontId="1" numFmtId="1000" quotePrefix="false">
      <alignment horizontal="center" vertical="top"/>
    </xf>
    <xf applyAlignment="true" applyBorder="true" applyFill="false" applyFont="false" applyNumberFormat="true" borderId="5990" fillId="0" fontId="1" numFmtId="1000" quotePrefix="false">
      <alignment horizontal="center" vertical="top"/>
    </xf>
    <xf applyAlignment="true" applyBorder="true" applyFill="false" applyFont="false" applyNumberFormat="true" borderId="5991" fillId="0" fontId="1" numFmtId="1000" quotePrefix="false">
      <alignment horizontal="center" vertical="top"/>
    </xf>
    <xf applyAlignment="true" applyBorder="true" applyFill="false" applyFont="true" applyNumberFormat="true" borderId="5992" fillId="0" fontId="13" numFmtId="1000" quotePrefix="false">
      <alignment horizontal="center" textRotation="90" vertical="top"/>
    </xf>
    <xf applyAlignment="true" applyBorder="true" applyFill="false" applyFont="false" applyNumberFormat="true" borderId="5993" fillId="0" fontId="1" numFmtId="1000" quotePrefix="false">
      <alignment horizontal="center" vertical="top"/>
    </xf>
    <xf applyAlignment="true" applyBorder="true" applyFill="false" applyFont="false" applyNumberFormat="true" borderId="5994" fillId="0" fontId="1" numFmtId="1000" quotePrefix="false">
      <alignment horizontal="center" vertical="top"/>
    </xf>
    <xf applyAlignment="true" applyBorder="true" applyFill="false" applyFont="false" applyNumberFormat="true" borderId="5995" fillId="0" fontId="1" numFmtId="1000" quotePrefix="false">
      <alignment horizontal="center" vertical="top"/>
    </xf>
    <xf applyAlignment="true" applyBorder="true" applyFill="false" applyFont="false" applyNumberFormat="true" borderId="5996" fillId="0" fontId="1" numFmtId="1000" quotePrefix="false">
      <alignment horizontal="center" vertical="top"/>
    </xf>
    <xf applyAlignment="true" applyBorder="true" applyFill="false" applyFont="true" applyNumberFormat="true" borderId="5997" fillId="0" fontId="13" numFmtId="1000" quotePrefix="false">
      <alignment horizontal="center" textRotation="90" vertical="top"/>
    </xf>
    <xf applyAlignment="true" applyBorder="true" applyFill="false" applyFont="false" applyNumberFormat="true" borderId="5998" fillId="0" fontId="1" numFmtId="1000" quotePrefix="false">
      <alignment horizontal="center" vertical="top"/>
    </xf>
    <xf applyAlignment="true" applyBorder="true" applyFill="false" applyFont="false" applyNumberFormat="true" borderId="5999" fillId="0" fontId="1" numFmtId="1000" quotePrefix="false">
      <alignment horizontal="center" vertical="top"/>
    </xf>
    <xf applyAlignment="true" applyBorder="true" applyFill="false" applyFont="false" applyNumberFormat="true" borderId="6000" fillId="0" fontId="1" numFmtId="1000" quotePrefix="false">
      <alignment horizontal="center" vertical="top"/>
    </xf>
    <xf applyAlignment="true" applyBorder="true" applyFill="false" applyFont="false" applyNumberFormat="true" borderId="6001" fillId="0" fontId="1" numFmtId="1000" quotePrefix="false">
      <alignment horizontal="center" vertical="top"/>
    </xf>
    <xf applyAlignment="true" applyBorder="true" applyFill="false" applyFont="true" applyNumberFormat="true" borderId="6002" fillId="0" fontId="13" numFmtId="1000" quotePrefix="false">
      <alignment horizontal="center" textRotation="90" vertical="top"/>
    </xf>
    <xf applyAlignment="true" applyBorder="true" applyFill="false" applyFont="false" applyNumberFormat="true" borderId="6003" fillId="0" fontId="1" numFmtId="1000" quotePrefix="false">
      <alignment horizontal="center" vertical="top"/>
    </xf>
    <xf applyAlignment="true" applyBorder="true" applyFill="false" applyFont="false" applyNumberFormat="true" borderId="6004" fillId="0" fontId="1" numFmtId="1000" quotePrefix="false">
      <alignment horizontal="center" vertical="top"/>
    </xf>
    <xf applyAlignment="true" applyBorder="true" applyFill="false" applyFont="false" applyNumberFormat="true" borderId="6005" fillId="0" fontId="1" numFmtId="1000" quotePrefix="false">
      <alignment horizontal="center" vertical="top"/>
    </xf>
    <xf applyAlignment="true" applyBorder="true" applyFill="false" applyFont="false" applyNumberFormat="true" borderId="6006" fillId="0" fontId="1" numFmtId="1000" quotePrefix="false">
      <alignment horizontal="center" vertical="top"/>
    </xf>
    <xf applyAlignment="true" applyBorder="true" applyFill="false" applyFont="true" applyNumberFormat="true" borderId="6007" fillId="0" fontId="13" numFmtId="1000" quotePrefix="false">
      <alignment horizontal="center" textRotation="90" vertical="top"/>
    </xf>
    <xf applyAlignment="true" applyBorder="true" applyFill="false" applyFont="false" applyNumberFormat="true" borderId="6008" fillId="0" fontId="1" numFmtId="1000" quotePrefix="false">
      <alignment horizontal="center" vertical="top"/>
    </xf>
    <xf applyAlignment="true" applyBorder="true" applyFill="false" applyFont="false" applyNumberFormat="true" borderId="6009" fillId="0" fontId="1" numFmtId="1000" quotePrefix="false">
      <alignment horizontal="center" vertical="top"/>
    </xf>
    <xf applyAlignment="true" applyBorder="true" applyFill="false" applyFont="false" applyNumberFormat="true" borderId="6010" fillId="0" fontId="1" numFmtId="1000" quotePrefix="false">
      <alignment horizontal="center" vertical="top"/>
    </xf>
    <xf applyAlignment="true" applyBorder="true" applyFill="false" applyFont="false" applyNumberFormat="true" borderId="6011" fillId="0" fontId="1" numFmtId="1000" quotePrefix="false">
      <alignment horizontal="center" vertical="top"/>
    </xf>
    <xf applyAlignment="true" applyBorder="true" applyFill="false" applyFont="true" applyNumberFormat="true" borderId="6012" fillId="0" fontId="13" numFmtId="1000" quotePrefix="false">
      <alignment horizontal="center" textRotation="90" vertical="top"/>
    </xf>
    <xf applyAlignment="true" applyBorder="true" applyFill="false" applyFont="false" applyNumberFormat="true" borderId="6013" fillId="0" fontId="1" numFmtId="1000" quotePrefix="false">
      <alignment horizontal="center" vertical="top"/>
    </xf>
    <xf applyAlignment="true" applyBorder="true" applyFill="false" applyFont="false" applyNumberFormat="true" borderId="6014" fillId="0" fontId="1" numFmtId="1000" quotePrefix="false">
      <alignment horizontal="center" vertical="top"/>
    </xf>
    <xf applyAlignment="true" applyBorder="true" applyFill="false" applyFont="false" applyNumberFormat="true" borderId="6015" fillId="0" fontId="1" numFmtId="1000" quotePrefix="false">
      <alignment horizontal="center" vertical="top"/>
    </xf>
    <xf applyAlignment="true" applyBorder="true" applyFill="false" applyFont="false" applyNumberFormat="true" borderId="6016" fillId="0" fontId="1" numFmtId="1000" quotePrefix="false">
      <alignment horizontal="center" vertical="top"/>
    </xf>
    <xf applyAlignment="true" applyBorder="true" applyFill="false" applyFont="true" applyNumberFormat="true" borderId="6017" fillId="0" fontId="13" numFmtId="1000" quotePrefix="false">
      <alignment horizontal="center" textRotation="90" vertical="top"/>
    </xf>
    <xf applyAlignment="true" applyBorder="true" applyFill="false" applyFont="false" applyNumberFormat="true" borderId="6018" fillId="0" fontId="1" numFmtId="1000" quotePrefix="false">
      <alignment horizontal="center" vertical="top"/>
    </xf>
    <xf applyAlignment="true" applyBorder="true" applyFill="false" applyFont="false" applyNumberFormat="true" borderId="6019" fillId="0" fontId="1" numFmtId="1000" quotePrefix="false">
      <alignment horizontal="center" vertical="top"/>
    </xf>
    <xf applyAlignment="true" applyBorder="true" applyFill="false" applyFont="false" applyNumberFormat="true" borderId="6020" fillId="0" fontId="1" numFmtId="1000" quotePrefix="false">
      <alignment horizontal="center" vertical="top"/>
    </xf>
    <xf applyAlignment="true" applyBorder="true" applyFill="false" applyFont="false" applyNumberFormat="true" borderId="6021" fillId="0" fontId="1" numFmtId="1000" quotePrefix="false">
      <alignment horizontal="center" vertical="top"/>
    </xf>
    <xf applyAlignment="true" applyBorder="true" applyFill="false" applyFont="true" applyNumberFormat="true" borderId="6022" fillId="0" fontId="13" numFmtId="1000" quotePrefix="false">
      <alignment horizontal="center" textRotation="90" vertical="top"/>
    </xf>
    <xf applyAlignment="true" applyBorder="true" applyFill="false" applyFont="false" applyNumberFormat="true" borderId="6023" fillId="0" fontId="1" numFmtId="1000" quotePrefix="false">
      <alignment horizontal="center" vertical="top"/>
    </xf>
    <xf applyAlignment="true" applyBorder="true" applyFill="false" applyFont="false" applyNumberFormat="true" borderId="6024" fillId="0" fontId="1" numFmtId="1000" quotePrefix="false">
      <alignment horizontal="center" vertical="top"/>
    </xf>
    <xf applyAlignment="true" applyBorder="true" applyFill="false" applyFont="false" applyNumberFormat="true" borderId="6025" fillId="0" fontId="1" numFmtId="1000" quotePrefix="false">
      <alignment horizontal="center" vertical="top"/>
    </xf>
    <xf applyAlignment="true" applyBorder="true" applyFill="false" applyFont="false" applyNumberFormat="true" borderId="6026" fillId="0" fontId="1" numFmtId="1000" quotePrefix="false">
      <alignment horizontal="center" vertical="top"/>
    </xf>
    <xf applyAlignment="true" applyBorder="true" applyFill="false" applyFont="false" applyNumberFormat="true" borderId="6027" fillId="0" fontId="1" numFmtId="1000" quotePrefix="false">
      <alignment horizontal="center" vertical="top"/>
    </xf>
    <xf applyAlignment="true" applyBorder="true" applyFill="false" applyFont="false" applyNumberFormat="true" borderId="6028" fillId="0" fontId="1" numFmtId="1000" quotePrefix="false">
      <alignment horizontal="center" vertical="top"/>
    </xf>
    <xf applyAlignment="true" applyBorder="true" applyFill="false" applyFont="true" applyNumberFormat="true" borderId="6029" fillId="0" fontId="13" numFmtId="1000" quotePrefix="false">
      <alignment horizontal="center" textRotation="90" vertical="top"/>
    </xf>
    <xf applyAlignment="true" applyBorder="true" applyFill="false" applyFont="true" applyNumberFormat="true" borderId="6030" fillId="0" fontId="2" numFmtId="1000" quotePrefix="false">
      <alignment horizontal="center" vertical="top"/>
    </xf>
    <xf applyAlignment="true" applyBorder="true" applyFill="false" applyFont="false" applyNumberFormat="true" borderId="6031" fillId="0" fontId="1" numFmtId="1000" quotePrefix="false">
      <alignment horizontal="left" vertical="top"/>
    </xf>
    <xf applyAlignment="true" applyBorder="true" applyFill="false" applyFont="false" applyNumberFormat="true" borderId="6032" fillId="0" fontId="1" numFmtId="1000" quotePrefix="false">
      <alignment horizontal="left" vertical="top"/>
    </xf>
    <xf applyAlignment="true" applyBorder="true" applyFill="false" applyFont="false" applyNumberFormat="true" borderId="6033" fillId="0" fontId="1" numFmtId="1000" quotePrefix="false">
      <alignment horizontal="left" vertical="top"/>
    </xf>
    <xf applyAlignment="true" applyBorder="true" applyFill="false" applyFont="false" applyNumberFormat="true" borderId="6034" fillId="0" fontId="1" numFmtId="1000" quotePrefix="false">
      <alignment horizontal="left" vertical="top"/>
    </xf>
    <xf applyAlignment="true" applyBorder="true" applyFill="false" applyFont="false" applyNumberFormat="true" borderId="6035" fillId="0" fontId="1" numFmtId="1000" quotePrefix="false">
      <alignment horizontal="left" vertical="top"/>
    </xf>
    <xf applyAlignment="true" applyBorder="true" applyFill="false" applyFont="false" applyNumberFormat="true" borderId="6036" fillId="0" fontId="1" numFmtId="1000" quotePrefix="false">
      <alignment horizontal="left" vertical="top"/>
    </xf>
    <xf applyAlignment="true" applyBorder="true" applyFill="false" applyFont="false" applyNumberFormat="true" borderId="6037" fillId="0" fontId="1" numFmtId="1000" quotePrefix="false">
      <alignment horizontal="left" vertical="top"/>
    </xf>
    <xf applyAlignment="true" applyBorder="true" applyFill="false" applyFont="false" applyNumberFormat="true" borderId="6038" fillId="0" fontId="1" numFmtId="1000" quotePrefix="false">
      <alignment horizontal="left" vertical="top"/>
    </xf>
    <xf applyAlignment="true" applyBorder="true" applyFill="false" applyFont="false" applyNumberFormat="true" borderId="6039" fillId="0" fontId="1" numFmtId="1000" quotePrefix="false">
      <alignment horizontal="left" vertical="top"/>
    </xf>
    <xf applyAlignment="true" applyBorder="true" applyFill="false" applyFont="false" applyNumberFormat="true" borderId="6040" fillId="0" fontId="1" numFmtId="1000" quotePrefix="false">
      <alignment horizontal="left" vertical="top"/>
    </xf>
    <xf applyAlignment="true" applyBorder="true" applyFill="false" applyFont="false" applyNumberFormat="true" borderId="6041" fillId="0" fontId="1" numFmtId="1000" quotePrefix="false">
      <alignment horizontal="left" vertical="top"/>
    </xf>
    <xf applyAlignment="true" applyBorder="true" applyFill="false" applyFont="false" applyNumberFormat="true" borderId="6042" fillId="0" fontId="1" numFmtId="1000" quotePrefix="false">
      <alignment horizontal="left" vertical="top"/>
    </xf>
    <xf applyAlignment="true" applyBorder="true" applyFill="false" applyFont="false" applyNumberFormat="true" borderId="6043" fillId="0" fontId="1" numFmtId="1000" quotePrefix="false">
      <alignment horizontal="left" vertical="top"/>
    </xf>
    <xf applyAlignment="true" applyBorder="true" applyFill="false" applyFont="false" applyNumberFormat="true" borderId="6044" fillId="0" fontId="1" numFmtId="1000" quotePrefix="false">
      <alignment horizontal="left" vertical="top"/>
    </xf>
    <xf applyAlignment="true" applyBorder="true" applyFill="false" applyFont="false" applyNumberFormat="true" borderId="6045" fillId="0" fontId="1" numFmtId="1000" quotePrefix="false">
      <alignment horizontal="left" vertical="top"/>
    </xf>
    <xf applyAlignment="true" applyBorder="true" applyFill="false" applyFont="false" applyNumberFormat="true" borderId="6046" fillId="0" fontId="1" numFmtId="1000" quotePrefix="false">
      <alignment horizontal="left" vertical="top"/>
    </xf>
    <xf applyAlignment="true" applyBorder="true" applyFill="false" applyFont="false" applyNumberFormat="true" borderId="6047" fillId="0" fontId="1" numFmtId="1000" quotePrefix="false">
      <alignment horizontal="left" vertical="top"/>
    </xf>
    <xf applyAlignment="true" applyBorder="true" applyFill="false" applyFont="false" applyNumberFormat="true" borderId="6048" fillId="0" fontId="1" numFmtId="1000" quotePrefix="false">
      <alignment horizontal="left" vertical="top"/>
    </xf>
    <xf applyAlignment="true" applyBorder="true" applyFill="false" applyFont="false" applyNumberFormat="true" borderId="6049" fillId="0" fontId="1" numFmtId="1000" quotePrefix="false">
      <alignment horizontal="left" vertical="top"/>
    </xf>
    <xf applyAlignment="true" applyBorder="true" applyFill="false" applyFont="true" applyNumberFormat="true" borderId="6050" fillId="0" fontId="13" numFmtId="1000" quotePrefix="false">
      <alignment horizontal="center" textRotation="90" vertical="top"/>
    </xf>
    <xf applyAlignment="true" applyBorder="true" applyFill="false" applyFont="true" applyNumberFormat="true" borderId="6051" fillId="0" fontId="2" numFmtId="1000" quotePrefix="false">
      <alignment horizontal="center"/>
    </xf>
    <xf applyAlignment="true" applyBorder="true" applyFill="false" applyFont="true" applyNumberFormat="true" borderId="6052" fillId="0" fontId="2" numFmtId="1000" quotePrefix="false">
      <alignment horizontal="center"/>
    </xf>
    <xf applyAlignment="true" applyBorder="true" applyFill="false" applyFont="true" applyNumberFormat="true" borderId="6053" fillId="0" fontId="2" numFmtId="1000" quotePrefix="false">
      <alignment horizontal="center"/>
    </xf>
    <xf applyAlignment="true" applyBorder="true" applyFill="false" applyFont="false" applyNumberFormat="true" borderId="6054" fillId="0" fontId="1" numFmtId="1000" quotePrefix="false">
      <alignment horizontal="center" vertical="top"/>
    </xf>
    <xf applyAlignment="true" applyBorder="true" applyFill="false" applyFont="false" applyNumberFormat="true" borderId="6055" fillId="0" fontId="1" numFmtId="1000" quotePrefix="false">
      <alignment horizontal="center" vertical="top"/>
    </xf>
    <xf applyAlignment="true" applyBorder="true" applyFill="false" applyFont="false" applyNumberFormat="true" borderId="6056" fillId="0" fontId="1" numFmtId="1000" quotePrefix="false">
      <alignment horizontal="center" vertical="top"/>
    </xf>
    <xf applyAlignment="true" applyBorder="true" applyFill="false" applyFont="false" applyNumberFormat="true" borderId="6057" fillId="0" fontId="1" numFmtId="1000" quotePrefix="false">
      <alignment horizontal="center" vertical="top"/>
    </xf>
    <xf applyAlignment="true" applyBorder="true" applyFill="false" applyFont="false" applyNumberFormat="true" borderId="6058" fillId="0" fontId="1" numFmtId="1000" quotePrefix="false">
      <alignment horizontal="center" vertical="top"/>
    </xf>
    <xf applyAlignment="true" applyBorder="true" applyFill="false" applyFont="false" applyNumberFormat="true" borderId="6059" fillId="0" fontId="1" numFmtId="1000" quotePrefix="false">
      <alignment horizontal="center" vertical="top"/>
    </xf>
    <xf applyAlignment="true" applyBorder="true" applyFill="false" applyFont="false" applyNumberFormat="true" borderId="6060" fillId="0" fontId="1" numFmtId="1000" quotePrefix="false">
      <alignment horizontal="center" vertical="top"/>
    </xf>
    <xf applyAlignment="true" applyBorder="true" applyFill="false" applyFont="false" applyNumberFormat="true" borderId="6061" fillId="0" fontId="1" numFmtId="1000" quotePrefix="false">
      <alignment horizontal="center" vertical="top"/>
    </xf>
    <xf applyAlignment="true" applyBorder="true" applyFill="false" applyFont="false" applyNumberFormat="true" borderId="6062" fillId="0" fontId="1" numFmtId="1000" quotePrefix="false">
      <alignment horizontal="center" vertical="top"/>
    </xf>
    <xf applyAlignment="true" applyBorder="true" applyFill="false" applyFont="false" applyNumberFormat="true" borderId="6063" fillId="0" fontId="1" numFmtId="1000" quotePrefix="false">
      <alignment horizontal="center" vertical="top"/>
    </xf>
    <xf applyAlignment="true" applyBorder="true" applyFill="false" applyFont="false" applyNumberFormat="true" borderId="6064" fillId="0" fontId="1" numFmtId="1000" quotePrefix="false">
      <alignment horizontal="center" vertical="top"/>
    </xf>
    <xf applyAlignment="true" applyBorder="true" applyFill="false" applyFont="false" applyNumberFormat="true" borderId="6065" fillId="0" fontId="1" numFmtId="1000" quotePrefix="false">
      <alignment horizontal="center" vertical="top"/>
    </xf>
    <xf applyAlignment="true" applyBorder="true" applyFill="false" applyFont="false" applyNumberFormat="true" borderId="6066" fillId="0" fontId="1" numFmtId="1000" quotePrefix="false">
      <alignment horizontal="center" vertical="top"/>
    </xf>
    <xf applyAlignment="true" applyBorder="true" applyFill="false" applyFont="false" applyNumberFormat="true" borderId="6067" fillId="0" fontId="1" numFmtId="1000" quotePrefix="false">
      <alignment horizontal="center" vertical="top"/>
    </xf>
    <xf applyAlignment="true" applyBorder="true" applyFill="false" applyFont="false" applyNumberFormat="true" borderId="6068" fillId="0" fontId="1" numFmtId="1000" quotePrefix="false">
      <alignment horizontal="center" vertical="top"/>
    </xf>
    <xf applyAlignment="true" applyBorder="true" applyFill="false" applyFont="false" applyNumberFormat="true" borderId="6069" fillId="0" fontId="1" numFmtId="1000" quotePrefix="false">
      <alignment horizontal="center" vertical="top"/>
    </xf>
    <xf applyAlignment="true" applyBorder="true" applyFill="false" applyFont="true" applyNumberFormat="true" borderId="6070" fillId="0" fontId="13" numFmtId="1000" quotePrefix="false">
      <alignment horizontal="center" textRotation="90" vertical="top"/>
    </xf>
    <xf applyAlignment="true" applyBorder="true" applyFill="false" applyFont="false" applyNumberFormat="true" borderId="6071" fillId="0" fontId="1" numFmtId="1000" quotePrefix="false">
      <alignment horizontal="center" vertical="top"/>
    </xf>
    <xf applyAlignment="true" applyBorder="true" applyFill="false" applyFont="false" applyNumberFormat="true" borderId="6072" fillId="0" fontId="1" numFmtId="1000" quotePrefix="false">
      <alignment horizontal="center" vertical="top"/>
    </xf>
    <xf applyAlignment="true" applyBorder="true" applyFill="false" applyFont="false" applyNumberFormat="true" borderId="6073" fillId="0" fontId="1" numFmtId="1000" quotePrefix="false">
      <alignment horizontal="center" vertical="top"/>
    </xf>
    <xf applyAlignment="true" applyBorder="true" applyFill="false" applyFont="false" applyNumberFormat="true" borderId="6074" fillId="0" fontId="1" numFmtId="1000" quotePrefix="false">
      <alignment horizontal="center" vertical="top"/>
    </xf>
    <xf applyAlignment="true" applyBorder="true" applyFill="false" applyFont="false" applyNumberFormat="true" borderId="6075" fillId="0" fontId="1" numFmtId="1000" quotePrefix="false">
      <alignment horizontal="center" vertical="top"/>
    </xf>
    <xf applyAlignment="true" applyBorder="true" applyFill="false" applyFont="false" applyNumberFormat="true" borderId="6076" fillId="0" fontId="1" numFmtId="1000" quotePrefix="false">
      <alignment horizontal="center" vertical="top"/>
    </xf>
    <xf applyAlignment="true" applyBorder="true" applyFill="false" applyFont="false" applyNumberFormat="true" borderId="6077" fillId="0" fontId="1" numFmtId="1000" quotePrefix="false">
      <alignment horizontal="center" vertical="top"/>
    </xf>
    <xf applyAlignment="true" applyBorder="true" applyFill="false" applyFont="true" applyNumberFormat="true" borderId="6078" fillId="0" fontId="13" numFmtId="1000" quotePrefix="false">
      <alignment horizontal="center" textRotation="90" vertical="top"/>
    </xf>
    <xf applyAlignment="true" applyBorder="true" applyFill="false" applyFont="false" applyNumberFormat="true" borderId="6079" fillId="0" fontId="1" numFmtId="1000" quotePrefix="false">
      <alignment horizontal="center" vertical="top"/>
    </xf>
    <xf applyAlignment="true" applyBorder="true" applyFill="false" applyFont="false" applyNumberFormat="true" borderId="6080" fillId="0" fontId="1" numFmtId="1000" quotePrefix="false">
      <alignment horizontal="center" vertical="top"/>
    </xf>
    <xf applyAlignment="true" applyBorder="true" applyFill="false" applyFont="false" applyNumberFormat="true" borderId="6081" fillId="0" fontId="1" numFmtId="1000" quotePrefix="false">
      <alignment horizontal="center" vertical="top"/>
    </xf>
    <xf applyAlignment="true" applyBorder="true" applyFill="false" applyFont="false" applyNumberFormat="true" borderId="6082" fillId="0" fontId="1" numFmtId="1000" quotePrefix="false">
      <alignment horizontal="center" vertical="top"/>
    </xf>
    <xf applyAlignment="true" applyBorder="true" applyFill="false" applyFont="false" applyNumberFormat="true" borderId="6083" fillId="0" fontId="1" numFmtId="1000" quotePrefix="false">
      <alignment horizontal="center" vertical="top"/>
    </xf>
    <xf applyAlignment="true" applyBorder="true" applyFill="false" applyFont="false" applyNumberFormat="true" borderId="6084" fillId="0" fontId="1" numFmtId="1000" quotePrefix="false">
      <alignment horizontal="center" vertical="top"/>
    </xf>
    <xf applyAlignment="true" applyBorder="true" applyFill="false" applyFont="true" applyNumberFormat="true" borderId="6085" fillId="0" fontId="13" numFmtId="1000" quotePrefix="false">
      <alignment horizontal="center" textRotation="90" vertical="top"/>
    </xf>
    <xf applyAlignment="true" applyBorder="true" applyFill="false" applyFont="false" applyNumberFormat="true" borderId="6086" fillId="0" fontId="1" numFmtId="1000" quotePrefix="false">
      <alignment horizontal="center" vertical="top"/>
    </xf>
    <xf applyAlignment="true" applyBorder="true" applyFill="false" applyFont="false" applyNumberFormat="true" borderId="6087" fillId="0" fontId="1" numFmtId="1000" quotePrefix="false">
      <alignment horizontal="center" vertical="top"/>
    </xf>
    <xf applyAlignment="true" applyBorder="true" applyFill="false" applyFont="false" applyNumberFormat="true" borderId="6088" fillId="0" fontId="1" numFmtId="1000" quotePrefix="false">
      <alignment horizontal="center" vertical="top"/>
    </xf>
    <xf applyAlignment="true" applyBorder="true" applyFill="false" applyFont="false" applyNumberFormat="true" borderId="6089" fillId="0" fontId="1" numFmtId="1000" quotePrefix="false">
      <alignment horizontal="center" vertical="top"/>
    </xf>
    <xf applyAlignment="true" applyBorder="true" applyFill="false" applyFont="false" applyNumberFormat="true" borderId="6090" fillId="0" fontId="1" numFmtId="1000" quotePrefix="false">
      <alignment horizontal="center" vertical="top"/>
    </xf>
    <xf applyAlignment="true" applyBorder="true" applyFill="false" applyFont="false" applyNumberFormat="true" borderId="6091" fillId="0" fontId="1" numFmtId="1000" quotePrefix="false">
      <alignment horizontal="center" vertical="top"/>
    </xf>
    <xf applyAlignment="true" applyBorder="true" applyFill="false" applyFont="true" applyNumberFormat="true" borderId="6092" fillId="0" fontId="13" numFmtId="1000" quotePrefix="false">
      <alignment horizontal="center" textRotation="90" vertical="top"/>
    </xf>
    <xf applyAlignment="true" applyBorder="true" applyFill="false" applyFont="false" applyNumberFormat="true" borderId="6093" fillId="0" fontId="1" numFmtId="1000" quotePrefix="false">
      <alignment horizontal="center" vertical="top"/>
    </xf>
    <xf applyAlignment="true" applyBorder="true" applyFill="false" applyFont="false" applyNumberFormat="true" borderId="6094" fillId="0" fontId="1" numFmtId="1000" quotePrefix="false">
      <alignment horizontal="center" vertical="top"/>
    </xf>
    <xf applyAlignment="true" applyBorder="true" applyFill="false" applyFont="false" applyNumberFormat="true" borderId="6095" fillId="0" fontId="1" numFmtId="1000" quotePrefix="false">
      <alignment horizontal="center" vertical="top"/>
    </xf>
    <xf applyAlignment="true" applyBorder="true" applyFill="false" applyFont="false" applyNumberFormat="true" borderId="6096" fillId="0" fontId="1" numFmtId="1000" quotePrefix="false">
      <alignment horizontal="center" vertical="top"/>
    </xf>
    <xf applyAlignment="true" applyBorder="true" applyFill="false" applyFont="false" applyNumberFormat="true" borderId="6097" fillId="0" fontId="1" numFmtId="1000" quotePrefix="false">
      <alignment horizontal="center" vertical="top"/>
    </xf>
    <xf applyAlignment="true" applyBorder="true" applyFill="false" applyFont="false" applyNumberFormat="true" borderId="6098" fillId="0" fontId="1" numFmtId="1000" quotePrefix="false">
      <alignment horizontal="center" vertical="top"/>
    </xf>
    <xf applyAlignment="true" applyBorder="true" applyFill="false" applyFont="true" applyNumberFormat="true" borderId="6099" fillId="0" fontId="13" numFmtId="1000" quotePrefix="false">
      <alignment horizontal="center" textRotation="90" vertical="top"/>
    </xf>
    <xf applyAlignment="true" applyBorder="true" applyFill="false" applyFont="false" applyNumberFormat="true" borderId="6100" fillId="0" fontId="1" numFmtId="1000" quotePrefix="false">
      <alignment horizontal="center" vertical="top"/>
    </xf>
    <xf applyAlignment="true" applyBorder="true" applyFill="false" applyFont="false" applyNumberFormat="true" borderId="6101" fillId="0" fontId="1" numFmtId="1000" quotePrefix="false">
      <alignment horizontal="center" vertical="top"/>
    </xf>
    <xf applyAlignment="true" applyBorder="true" applyFill="false" applyFont="false" applyNumberFormat="true" borderId="6102" fillId="0" fontId="1" numFmtId="1000" quotePrefix="false">
      <alignment horizontal="center" vertical="top"/>
    </xf>
    <xf applyAlignment="true" applyBorder="true" applyFill="false" applyFont="false" applyNumberFormat="true" borderId="6103" fillId="0" fontId="1" numFmtId="1000" quotePrefix="false">
      <alignment horizontal="center" vertical="top"/>
    </xf>
    <xf applyAlignment="true" applyBorder="true" applyFill="false" applyFont="false" applyNumberFormat="true" borderId="6104" fillId="0" fontId="1" numFmtId="1000" quotePrefix="false">
      <alignment horizontal="center" vertical="top"/>
    </xf>
    <xf applyAlignment="true" applyBorder="true" applyFill="false" applyFont="false" applyNumberFormat="true" borderId="6105" fillId="0" fontId="1" numFmtId="1000" quotePrefix="false">
      <alignment horizontal="center" vertical="top"/>
    </xf>
    <xf applyAlignment="true" applyBorder="true" applyFill="false" applyFont="true" applyNumberFormat="true" borderId="6106" fillId="0" fontId="13" numFmtId="1000" quotePrefix="false">
      <alignment horizontal="center" textRotation="90" vertical="top"/>
    </xf>
    <xf applyAlignment="true" applyBorder="true" applyFill="false" applyFont="false" applyNumberFormat="true" borderId="6107" fillId="0" fontId="1" numFmtId="1000" quotePrefix="false">
      <alignment horizontal="center" vertical="top"/>
    </xf>
    <xf applyAlignment="true" applyBorder="true" applyFill="false" applyFont="false" applyNumberFormat="true" borderId="6108" fillId="0" fontId="1" numFmtId="1000" quotePrefix="false">
      <alignment horizontal="center" vertical="top"/>
    </xf>
    <xf applyAlignment="true" applyBorder="true" applyFill="false" applyFont="false" applyNumberFormat="true" borderId="6109" fillId="0" fontId="1" numFmtId="1000" quotePrefix="false">
      <alignment horizontal="center" vertical="top"/>
    </xf>
    <xf applyAlignment="true" applyBorder="true" applyFill="false" applyFont="false" applyNumberFormat="true" borderId="6110" fillId="0" fontId="1" numFmtId="1000" quotePrefix="false">
      <alignment horizontal="center" vertical="top"/>
    </xf>
    <xf applyAlignment="true" applyBorder="true" applyFill="false" applyFont="false" applyNumberFormat="true" borderId="6111" fillId="0" fontId="1" numFmtId="1000" quotePrefix="false">
      <alignment horizontal="center" vertical="top"/>
    </xf>
    <xf applyAlignment="true" applyBorder="true" applyFill="false" applyFont="false" applyNumberFormat="true" borderId="6112" fillId="0" fontId="1" numFmtId="1000" quotePrefix="false">
      <alignment horizontal="center" vertical="top"/>
    </xf>
    <xf applyAlignment="true" applyBorder="true" applyFill="false" applyFont="true" applyNumberFormat="true" borderId="6113" fillId="0" fontId="13" numFmtId="1000" quotePrefix="false">
      <alignment horizontal="center" textRotation="90" vertical="top"/>
    </xf>
    <xf applyAlignment="true" applyBorder="true" applyFill="false" applyFont="false" applyNumberFormat="true" borderId="6114" fillId="0" fontId="1" numFmtId="1000" quotePrefix="false">
      <alignment horizontal="center" vertical="top"/>
    </xf>
    <xf applyAlignment="true" applyBorder="true" applyFill="false" applyFont="false" applyNumberFormat="true" borderId="6115" fillId="0" fontId="1" numFmtId="1000" quotePrefix="false">
      <alignment horizontal="center" vertical="top"/>
    </xf>
    <xf applyAlignment="true" applyBorder="true" applyFill="false" applyFont="false" applyNumberFormat="true" borderId="6116" fillId="0" fontId="1" numFmtId="1000" quotePrefix="false">
      <alignment horizontal="center" vertical="top"/>
    </xf>
    <xf applyAlignment="true" applyBorder="true" applyFill="false" applyFont="false" applyNumberFormat="true" borderId="6117" fillId="0" fontId="1" numFmtId="1000" quotePrefix="false">
      <alignment horizontal="center" vertical="top"/>
    </xf>
    <xf applyAlignment="true" applyBorder="true" applyFill="false" applyFont="false" applyNumberFormat="true" borderId="6118" fillId="0" fontId="1" numFmtId="1000" quotePrefix="false">
      <alignment horizontal="center" vertical="top"/>
    </xf>
    <xf applyAlignment="true" applyBorder="true" applyFill="false" applyFont="false" applyNumberFormat="true" borderId="6119" fillId="0" fontId="1" numFmtId="1000" quotePrefix="false">
      <alignment horizontal="center" vertical="top"/>
    </xf>
    <xf applyAlignment="true" applyBorder="true" applyFill="false" applyFont="true" applyNumberFormat="true" borderId="6120" fillId="0" fontId="13" numFmtId="1000" quotePrefix="false">
      <alignment horizontal="center" textRotation="90" vertical="top"/>
    </xf>
    <xf applyAlignment="true" applyBorder="true" applyFill="false" applyFont="false" applyNumberFormat="true" borderId="6121" fillId="0" fontId="1" numFmtId="1000" quotePrefix="false">
      <alignment horizontal="center" vertical="top"/>
    </xf>
    <xf applyAlignment="true" applyBorder="true" applyFill="false" applyFont="false" applyNumberFormat="true" borderId="6122" fillId="0" fontId="1" numFmtId="1000" quotePrefix="false">
      <alignment horizontal="center" vertical="top"/>
    </xf>
    <xf applyAlignment="true" applyBorder="true" applyFill="false" applyFont="false" applyNumberFormat="true" borderId="6123" fillId="0" fontId="1" numFmtId="1000" quotePrefix="false">
      <alignment horizontal="center" vertical="top"/>
    </xf>
    <xf applyAlignment="true" applyBorder="true" applyFill="false" applyFont="false" applyNumberFormat="true" borderId="6124" fillId="0" fontId="1" numFmtId="1000" quotePrefix="false">
      <alignment horizontal="center" vertical="top"/>
    </xf>
    <xf applyAlignment="true" applyBorder="true" applyFill="false" applyFont="false" applyNumberFormat="true" borderId="6125" fillId="0" fontId="1" numFmtId="1000" quotePrefix="false">
      <alignment horizontal="center" vertical="top"/>
    </xf>
    <xf applyAlignment="true" applyBorder="true" applyFill="false" applyFont="false" applyNumberFormat="true" borderId="6126" fillId="0" fontId="1" numFmtId="1000" quotePrefix="false">
      <alignment horizontal="center" vertical="top"/>
    </xf>
    <xf applyAlignment="true" applyBorder="true" applyFill="false" applyFont="true" applyNumberFormat="true" borderId="6127" fillId="0" fontId="13" numFmtId="1000" quotePrefix="false">
      <alignment horizontal="center" textRotation="90" vertical="top"/>
    </xf>
    <xf applyAlignment="true" applyBorder="true" applyFill="false" applyFont="false" applyNumberFormat="true" borderId="6128" fillId="0" fontId="1" numFmtId="1000" quotePrefix="false">
      <alignment horizontal="center" vertical="top"/>
    </xf>
    <xf applyAlignment="true" applyBorder="true" applyFill="false" applyFont="false" applyNumberFormat="true" borderId="6129" fillId="0" fontId="1" numFmtId="1000" quotePrefix="false">
      <alignment horizontal="center" vertical="top"/>
    </xf>
    <xf applyAlignment="true" applyBorder="true" applyFill="false" applyFont="false" applyNumberFormat="true" borderId="6130" fillId="0" fontId="1" numFmtId="1000" quotePrefix="false">
      <alignment horizontal="center" vertical="top"/>
    </xf>
    <xf applyAlignment="true" applyBorder="true" applyFill="false" applyFont="false" applyNumberFormat="true" borderId="6131" fillId="0" fontId="1" numFmtId="1000" quotePrefix="false">
      <alignment horizontal="center" vertical="top"/>
    </xf>
    <xf applyAlignment="true" applyBorder="true" applyFill="false" applyFont="false" applyNumberFormat="true" borderId="6132" fillId="0" fontId="1" numFmtId="1000" quotePrefix="false">
      <alignment horizontal="center" vertical="top"/>
    </xf>
    <xf applyAlignment="true" applyBorder="true" applyFill="false" applyFont="false" applyNumberFormat="true" borderId="6133" fillId="0" fontId="1" numFmtId="1000" quotePrefix="false">
      <alignment horizontal="center" vertical="top"/>
    </xf>
    <xf applyAlignment="true" applyBorder="true" applyFill="false" applyFont="false" applyNumberFormat="true" borderId="6134" fillId="0" fontId="1" numFmtId="1000" quotePrefix="false">
      <alignment horizontal="center" vertical="top"/>
    </xf>
    <xf applyAlignment="true" applyBorder="true" applyFill="false" applyFont="false" applyNumberFormat="true" borderId="6135" fillId="0" fontId="1" numFmtId="1000" quotePrefix="false">
      <alignment horizontal="center" vertical="top"/>
    </xf>
    <xf applyAlignment="true" applyBorder="true" applyFill="false" applyFont="false" applyNumberFormat="true" borderId="6136" fillId="0" fontId="1" numFmtId="1000" quotePrefix="false">
      <alignment horizontal="center" vertical="top"/>
    </xf>
    <xf applyAlignment="true" applyBorder="true" applyFill="false" applyFont="false" applyNumberFormat="true" borderId="6137" fillId="0" fontId="1" numFmtId="1000" quotePrefix="false">
      <alignment horizontal="center" vertical="top"/>
    </xf>
    <xf applyAlignment="true" applyBorder="true" applyFill="false" applyFont="true" applyNumberFormat="true" borderId="6138" fillId="0" fontId="13" numFmtId="1000" quotePrefix="false">
      <alignment horizontal="center" textRotation="90" vertical="top"/>
    </xf>
    <xf applyAlignment="true" applyBorder="true" applyFill="false" applyFont="true" applyNumberFormat="true" borderId="6139" fillId="0" fontId="2" numFmtId="1000" quotePrefix="false">
      <alignment horizontal="center" vertical="top"/>
    </xf>
    <xf applyAlignment="true" applyBorder="true" applyFill="false" applyFont="false" applyNumberFormat="true" borderId="6140" fillId="0" fontId="1" numFmtId="1000" quotePrefix="false">
      <alignment horizontal="left" vertical="top"/>
    </xf>
    <xf applyAlignment="true" applyBorder="true" applyFill="false" applyFont="false" applyNumberFormat="true" borderId="6141" fillId="0" fontId="1" numFmtId="1000" quotePrefix="false">
      <alignment horizontal="left" vertical="top"/>
    </xf>
    <xf applyAlignment="true" applyBorder="true" applyFill="false" applyFont="false" applyNumberFormat="true" borderId="6142" fillId="0" fontId="1" numFmtId="1000" quotePrefix="false">
      <alignment horizontal="left" vertical="top"/>
    </xf>
    <xf applyAlignment="true" applyBorder="true" applyFill="false" applyFont="false" applyNumberFormat="true" borderId="6143" fillId="0" fontId="1" numFmtId="1000" quotePrefix="false">
      <alignment horizontal="left" vertical="top"/>
    </xf>
    <xf applyAlignment="true" applyBorder="true" applyFill="false" applyFont="false" applyNumberFormat="true" borderId="6144" fillId="0" fontId="1" numFmtId="1000" quotePrefix="false">
      <alignment horizontal="left" vertical="top"/>
    </xf>
    <xf applyAlignment="true" applyBorder="true" applyFill="false" applyFont="false" applyNumberFormat="true" borderId="6145" fillId="0" fontId="1" numFmtId="1000" quotePrefix="false">
      <alignment horizontal="left" vertical="top"/>
    </xf>
    <xf applyAlignment="true" applyBorder="true" applyFill="false" applyFont="false" applyNumberFormat="true" borderId="6146" fillId="0" fontId="1" numFmtId="1000" quotePrefix="false">
      <alignment horizontal="left" vertical="top"/>
    </xf>
    <xf applyAlignment="true" applyBorder="true" applyFill="false" applyFont="false" applyNumberFormat="true" borderId="6147" fillId="0" fontId="1" numFmtId="1000" quotePrefix="false">
      <alignment horizontal="left" vertical="top"/>
    </xf>
    <xf applyAlignment="true" applyBorder="true" applyFill="false" applyFont="false" applyNumberFormat="true" borderId="6148" fillId="0" fontId="1" numFmtId="1000" quotePrefix="false">
      <alignment horizontal="left" vertical="top"/>
    </xf>
    <xf applyAlignment="true" applyBorder="true" applyFill="false" applyFont="false" applyNumberFormat="true" borderId="6149" fillId="0" fontId="1" numFmtId="1000" quotePrefix="false">
      <alignment horizontal="left" vertical="top"/>
    </xf>
    <xf applyAlignment="true" applyBorder="true" applyFill="false" applyFont="false" applyNumberFormat="true" borderId="6150" fillId="0" fontId="1" numFmtId="1000" quotePrefix="false">
      <alignment horizontal="left" vertical="top"/>
    </xf>
    <xf applyAlignment="true" applyBorder="true" applyFill="false" applyFont="false" applyNumberFormat="true" borderId="6151" fillId="0" fontId="1" numFmtId="1000" quotePrefix="false">
      <alignment horizontal="left" vertical="top"/>
    </xf>
    <xf applyAlignment="true" applyBorder="true" applyFill="false" applyFont="false" applyNumberFormat="true" borderId="6152" fillId="0" fontId="1" numFmtId="1000" quotePrefix="false">
      <alignment horizontal="left" vertical="top"/>
    </xf>
    <xf applyAlignment="true" applyBorder="true" applyFill="false" applyFont="false" applyNumberFormat="true" borderId="6153" fillId="0" fontId="1" numFmtId="1000" quotePrefix="false">
      <alignment horizontal="left" vertical="top"/>
    </xf>
    <xf applyAlignment="true" applyBorder="true" applyFill="false" applyFont="false" applyNumberFormat="true" borderId="6154" fillId="0" fontId="1" numFmtId="1000" quotePrefix="false">
      <alignment horizontal="left" vertical="top"/>
    </xf>
    <xf applyAlignment="true" applyBorder="true" applyFill="false" applyFont="false" applyNumberFormat="true" borderId="6155" fillId="0" fontId="1" numFmtId="1000" quotePrefix="false">
      <alignment horizontal="left" vertical="top"/>
    </xf>
    <xf applyAlignment="true" applyBorder="true" applyFill="false" applyFont="false" applyNumberFormat="true" borderId="6156" fillId="0" fontId="1" numFmtId="1000" quotePrefix="false">
      <alignment horizontal="left" vertical="top"/>
    </xf>
    <xf applyAlignment="true" applyBorder="true" applyFill="false" applyFont="false" applyNumberFormat="true" borderId="6157" fillId="0" fontId="1" numFmtId="1000" quotePrefix="false">
      <alignment horizontal="left" vertical="top"/>
    </xf>
    <xf applyAlignment="true" applyBorder="true" applyFill="false" applyFont="false" applyNumberFormat="true" borderId="6158" fillId="0" fontId="1" numFmtId="1000" quotePrefix="false">
      <alignment horizontal="left" vertical="top"/>
    </xf>
    <xf applyAlignment="true" applyBorder="true" applyFill="false" applyFont="true" applyNumberFormat="true" borderId="6159" fillId="0" fontId="13" numFmtId="1000" quotePrefix="false">
      <alignment horizontal="center" textRotation="90" vertical="top"/>
    </xf>
    <xf applyAlignment="true" applyBorder="true" applyFill="false" applyFont="true" applyNumberFormat="true" borderId="6160" fillId="0" fontId="2" numFmtId="1000" quotePrefix="false">
      <alignment horizontal="center"/>
    </xf>
    <xf applyAlignment="true" applyBorder="true" applyFill="false" applyFont="true" applyNumberFormat="true" borderId="6161" fillId="0" fontId="2" numFmtId="1000" quotePrefix="false">
      <alignment horizontal="center"/>
    </xf>
    <xf applyAlignment="true" applyBorder="true" applyFill="false" applyFont="true" applyNumberFormat="true" borderId="6162" fillId="0" fontId="2" numFmtId="1000" quotePrefix="false">
      <alignment horizontal="center"/>
    </xf>
    <xf applyAlignment="true" applyBorder="true" applyFill="false" applyFont="false" applyNumberFormat="true" borderId="6163" fillId="0" fontId="1" numFmtId="1000" quotePrefix="false">
      <alignment horizontal="center" vertical="top"/>
    </xf>
    <xf applyAlignment="true" applyBorder="true" applyFill="false" applyFont="false" applyNumberFormat="true" borderId="6164" fillId="0" fontId="1" numFmtId="1000" quotePrefix="false">
      <alignment horizontal="center" vertical="top"/>
    </xf>
    <xf applyAlignment="true" applyBorder="true" applyFill="false" applyFont="false" applyNumberFormat="true" borderId="6165" fillId="0" fontId="1" numFmtId="1000" quotePrefix="false">
      <alignment horizontal="center" vertical="top"/>
    </xf>
    <xf applyAlignment="true" applyBorder="true" applyFill="false" applyFont="false" applyNumberFormat="true" borderId="6166" fillId="0" fontId="1" numFmtId="1000" quotePrefix="false">
      <alignment horizontal="center" vertical="top"/>
    </xf>
    <xf applyAlignment="true" applyBorder="true" applyFill="false" applyFont="false" applyNumberFormat="true" borderId="6167" fillId="0" fontId="1" numFmtId="1000" quotePrefix="false">
      <alignment horizontal="center" vertical="top"/>
    </xf>
    <xf applyAlignment="true" applyBorder="true" applyFill="false" applyFont="false" applyNumberFormat="true" borderId="6168" fillId="0" fontId="1" numFmtId="1000" quotePrefix="false">
      <alignment horizontal="center" vertical="top"/>
    </xf>
    <xf applyAlignment="true" applyBorder="true" applyFill="false" applyFont="false" applyNumberFormat="true" borderId="6169" fillId="0" fontId="1" numFmtId="1000" quotePrefix="false">
      <alignment horizontal="center" vertical="top"/>
    </xf>
    <xf applyAlignment="true" applyBorder="true" applyFill="false" applyFont="false" applyNumberFormat="true" borderId="6170" fillId="0" fontId="1" numFmtId="1000" quotePrefix="false">
      <alignment horizontal="center" vertical="top"/>
    </xf>
    <xf applyAlignment="true" applyBorder="true" applyFill="false" applyFont="false" applyNumberFormat="true" borderId="6171" fillId="0" fontId="1" numFmtId="1000" quotePrefix="false">
      <alignment horizontal="center" vertical="top"/>
    </xf>
    <xf applyAlignment="true" applyBorder="true" applyFill="false" applyFont="false" applyNumberFormat="true" borderId="6172" fillId="0" fontId="1" numFmtId="1000" quotePrefix="false">
      <alignment horizontal="center" vertical="top"/>
    </xf>
    <xf applyAlignment="true" applyBorder="true" applyFill="false" applyFont="false" applyNumberFormat="true" borderId="6173" fillId="0" fontId="1" numFmtId="1000" quotePrefix="false">
      <alignment horizontal="center" vertical="top"/>
    </xf>
    <xf applyAlignment="true" applyBorder="true" applyFill="false" applyFont="false" applyNumberFormat="true" borderId="6174" fillId="0" fontId="1" numFmtId="1000" quotePrefix="false">
      <alignment horizontal="center" vertical="top"/>
    </xf>
    <xf applyAlignment="true" applyBorder="true" applyFill="false" applyFont="false" applyNumberFormat="true" borderId="6175" fillId="0" fontId="1" numFmtId="1000" quotePrefix="false">
      <alignment horizontal="center" vertical="top"/>
    </xf>
    <xf applyAlignment="true" applyBorder="true" applyFill="false" applyFont="false" applyNumberFormat="true" borderId="6176" fillId="0" fontId="1" numFmtId="1000" quotePrefix="false">
      <alignment horizontal="center" vertical="top"/>
    </xf>
    <xf applyAlignment="true" applyBorder="true" applyFill="false" applyFont="false" applyNumberFormat="true" borderId="6177" fillId="0" fontId="1" numFmtId="1000" quotePrefix="false">
      <alignment horizontal="center" vertical="top"/>
    </xf>
    <xf applyAlignment="true" applyBorder="true" applyFill="false" applyFont="false" applyNumberFormat="true" borderId="6178" fillId="0" fontId="1" numFmtId="1000" quotePrefix="false">
      <alignment horizontal="center" vertical="top"/>
    </xf>
    <xf applyAlignment="true" applyBorder="true" applyFill="false" applyFont="true" applyNumberFormat="true" borderId="6179" fillId="0" fontId="13" numFmtId="1000" quotePrefix="false">
      <alignment horizontal="center" textRotation="90" vertical="top"/>
    </xf>
    <xf applyAlignment="true" applyBorder="true" applyFill="false" applyFont="false" applyNumberFormat="true" borderId="6180" fillId="0" fontId="1" numFmtId="1000" quotePrefix="false">
      <alignment horizontal="center" vertical="top"/>
    </xf>
    <xf applyAlignment="true" applyBorder="true" applyFill="false" applyFont="true" applyNumberFormat="true" borderId="6181" fillId="0" fontId="13" numFmtId="1000" quotePrefix="false">
      <alignment horizontal="center" textRotation="90" vertical="top"/>
    </xf>
    <xf applyAlignment="true" applyBorder="true" applyFill="false" applyFont="false" applyNumberFormat="true" borderId="6182" fillId="0" fontId="1" numFmtId="1000" quotePrefix="false">
      <alignment horizontal="center" vertical="top"/>
    </xf>
    <xf applyAlignment="true" applyBorder="true" applyFill="false" applyFont="false" applyNumberFormat="true" borderId="6183" fillId="0" fontId="1" numFmtId="1000" quotePrefix="false">
      <alignment horizontal="center" vertical="top"/>
    </xf>
    <xf applyAlignment="true" applyBorder="true" applyFill="false" applyFont="true" applyNumberFormat="true" borderId="6184" fillId="0" fontId="13" numFmtId="1000" quotePrefix="false">
      <alignment horizontal="center" textRotation="90" vertical="top"/>
    </xf>
    <xf applyAlignment="true" applyBorder="true" applyFill="false" applyFont="false" applyNumberFormat="true" borderId="6185" fillId="0" fontId="1" numFmtId="1000" quotePrefix="false">
      <alignment horizontal="center" vertical="top"/>
    </xf>
    <xf applyAlignment="true" applyBorder="true" applyFill="false" applyFont="false" applyNumberFormat="true" borderId="6186" fillId="0" fontId="1" numFmtId="1000" quotePrefix="false">
      <alignment horizontal="center" vertical="top"/>
    </xf>
    <xf applyAlignment="true" applyBorder="true" applyFill="false" applyFont="true" applyNumberFormat="true" borderId="6187" fillId="0" fontId="13" numFmtId="1000" quotePrefix="false">
      <alignment horizontal="center" textRotation="90" vertical="top"/>
    </xf>
    <xf applyAlignment="true" applyBorder="true" applyFill="false" applyFont="false" applyNumberFormat="true" borderId="6188" fillId="0" fontId="1" numFmtId="1000" quotePrefix="false">
      <alignment horizontal="center" vertical="top"/>
    </xf>
    <xf applyAlignment="true" applyBorder="true" applyFill="false" applyFont="false" applyNumberFormat="true" borderId="6189" fillId="0" fontId="1" numFmtId="1000" quotePrefix="false">
      <alignment horizontal="center" vertical="top"/>
    </xf>
    <xf applyAlignment="true" applyBorder="true" applyFill="false" applyFont="true" applyNumberFormat="true" borderId="6190" fillId="0" fontId="13" numFmtId="1000" quotePrefix="false">
      <alignment horizontal="center" textRotation="90" vertical="top"/>
    </xf>
    <xf applyAlignment="true" applyBorder="true" applyFill="false" applyFont="false" applyNumberFormat="true" borderId="6191" fillId="0" fontId="1" numFmtId="1000" quotePrefix="false">
      <alignment horizontal="center" vertical="top"/>
    </xf>
    <xf applyAlignment="true" applyBorder="true" applyFill="false" applyFont="false" applyNumberFormat="true" borderId="6192" fillId="0" fontId="1" numFmtId="1000" quotePrefix="false">
      <alignment horizontal="center" vertical="top"/>
    </xf>
    <xf applyAlignment="true" applyBorder="true" applyFill="false" applyFont="true" applyNumberFormat="true" borderId="6193" fillId="0" fontId="13" numFmtId="1000" quotePrefix="false">
      <alignment horizontal="center" textRotation="90" vertical="top"/>
    </xf>
    <xf applyAlignment="true" applyBorder="true" applyFill="false" applyFont="false" applyNumberFormat="true" borderId="6194" fillId="0" fontId="1" numFmtId="1000" quotePrefix="false">
      <alignment horizontal="center" vertical="top"/>
    </xf>
    <xf applyAlignment="true" applyBorder="true" applyFill="false" applyFont="false" applyNumberFormat="true" borderId="6195" fillId="0" fontId="1" numFmtId="1000" quotePrefix="false">
      <alignment horizontal="center" vertical="top"/>
    </xf>
    <xf applyAlignment="true" applyBorder="true" applyFill="false" applyFont="true" applyNumberFormat="true" borderId="6196" fillId="0" fontId="13" numFmtId="1000" quotePrefix="false">
      <alignment horizontal="center" textRotation="90" vertical="top"/>
    </xf>
    <xf applyAlignment="true" applyBorder="true" applyFill="false" applyFont="false" applyNumberFormat="true" borderId="6197" fillId="0" fontId="1" numFmtId="1000" quotePrefix="false">
      <alignment horizontal="center" vertical="top"/>
    </xf>
    <xf applyAlignment="true" applyBorder="true" applyFill="false" applyFont="false" applyNumberFormat="true" borderId="6198" fillId="0" fontId="1" numFmtId="1000" quotePrefix="false">
      <alignment horizontal="center" vertical="top"/>
    </xf>
    <xf applyAlignment="true" applyBorder="true" applyFill="false" applyFont="true" applyNumberFormat="true" borderId="6199" fillId="0" fontId="13" numFmtId="1000" quotePrefix="false">
      <alignment horizontal="center" textRotation="90" vertical="top"/>
    </xf>
    <xf applyAlignment="true" applyBorder="true" applyFill="false" applyFont="false" applyNumberFormat="true" borderId="6200" fillId="0" fontId="1" numFmtId="1000" quotePrefix="false">
      <alignment horizontal="center" vertical="top"/>
    </xf>
    <xf applyAlignment="true" applyBorder="true" applyFill="false" applyFont="false" applyNumberFormat="true" borderId="6201" fillId="0" fontId="1" numFmtId="1000" quotePrefix="false">
      <alignment horizontal="center" vertical="top"/>
    </xf>
    <xf applyAlignment="true" applyBorder="true" applyFill="false" applyFont="true" applyNumberFormat="true" borderId="6202" fillId="0" fontId="13" numFmtId="1000" quotePrefix="false">
      <alignment horizontal="center" textRotation="90" vertical="top"/>
    </xf>
    <xf applyAlignment="true" applyBorder="true" applyFill="false" applyFont="false" applyNumberFormat="true" borderId="6203" fillId="0" fontId="1" numFmtId="1000" quotePrefix="false">
      <alignment horizontal="center" vertical="top"/>
    </xf>
    <xf applyAlignment="true" applyBorder="true" applyFill="false" applyFont="false" applyNumberFormat="true" borderId="6204" fillId="0" fontId="1" numFmtId="1000" quotePrefix="false">
      <alignment horizontal="center" vertical="top"/>
    </xf>
    <xf applyAlignment="true" applyBorder="true" applyFill="false" applyFont="true" applyNumberFormat="true" borderId="6205" fillId="0" fontId="13" numFmtId="1000" quotePrefix="false">
      <alignment horizontal="center" textRotation="90" vertical="top"/>
    </xf>
    <xf applyAlignment="true" applyBorder="true" applyFill="false" applyFont="true" applyNumberFormat="true" borderId="6206" fillId="0" fontId="2" numFmtId="1000" quotePrefix="false">
      <alignment horizontal="center" vertical="top"/>
    </xf>
    <xf applyAlignment="true" applyBorder="true" applyFill="false" applyFont="false" applyNumberFormat="true" borderId="6207" fillId="0" fontId="1" numFmtId="1000" quotePrefix="false">
      <alignment horizontal="left" vertical="top"/>
    </xf>
    <xf applyAlignment="true" applyBorder="true" applyFill="false" applyFont="false" applyNumberFormat="true" borderId="6208" fillId="0" fontId="1" numFmtId="1000" quotePrefix="false">
      <alignment horizontal="left" vertical="top"/>
    </xf>
    <xf applyAlignment="true" applyBorder="true" applyFill="false" applyFont="false" applyNumberFormat="true" borderId="6209" fillId="0" fontId="1" numFmtId="1000" quotePrefix="false">
      <alignment horizontal="left" vertical="top"/>
    </xf>
    <xf applyAlignment="true" applyBorder="true" applyFill="false" applyFont="false" applyNumberFormat="true" borderId="6210" fillId="0" fontId="1" numFmtId="1000" quotePrefix="false">
      <alignment horizontal="left" vertical="top"/>
    </xf>
    <xf applyAlignment="true" applyBorder="true" applyFill="false" applyFont="false" applyNumberFormat="true" borderId="6211" fillId="0" fontId="1" numFmtId="1000" quotePrefix="false">
      <alignment horizontal="left" vertical="top"/>
    </xf>
    <xf applyAlignment="true" applyBorder="true" applyFill="false" applyFont="false" applyNumberFormat="true" borderId="6212" fillId="0" fontId="1" numFmtId="1000" quotePrefix="false">
      <alignment horizontal="left" vertical="top"/>
    </xf>
    <xf applyAlignment="true" applyBorder="true" applyFill="false" applyFont="false" applyNumberFormat="true" borderId="6213" fillId="0" fontId="1" numFmtId="1000" quotePrefix="false">
      <alignment horizontal="left" vertical="top"/>
    </xf>
    <xf applyAlignment="true" applyBorder="true" applyFill="false" applyFont="false" applyNumberFormat="true" borderId="6214" fillId="0" fontId="1" numFmtId="1000" quotePrefix="false">
      <alignment horizontal="left" vertical="top"/>
    </xf>
    <xf applyAlignment="true" applyBorder="true" applyFill="false" applyFont="false" applyNumberFormat="true" borderId="6215" fillId="0" fontId="1" numFmtId="1000" quotePrefix="false">
      <alignment horizontal="left" vertical="top"/>
    </xf>
    <xf applyAlignment="true" applyBorder="true" applyFill="false" applyFont="false" applyNumberFormat="true" borderId="6216" fillId="0" fontId="1" numFmtId="1000" quotePrefix="false">
      <alignment horizontal="left" vertical="top"/>
    </xf>
    <xf applyAlignment="true" applyBorder="true" applyFill="false" applyFont="false" applyNumberFormat="true" borderId="6217" fillId="0" fontId="1" numFmtId="1000" quotePrefix="false">
      <alignment horizontal="left" vertical="top"/>
    </xf>
    <xf applyAlignment="true" applyBorder="true" applyFill="false" applyFont="false" applyNumberFormat="true" borderId="6218" fillId="0" fontId="1" numFmtId="1000" quotePrefix="false">
      <alignment horizontal="left" vertical="top"/>
    </xf>
    <xf applyAlignment="true" applyBorder="true" applyFill="false" applyFont="false" applyNumberFormat="true" borderId="6219" fillId="0" fontId="1" numFmtId="1000" quotePrefix="false">
      <alignment horizontal="left" vertical="top"/>
    </xf>
    <xf applyAlignment="true" applyBorder="true" applyFill="false" applyFont="false" applyNumberFormat="true" borderId="6220" fillId="0" fontId="1" numFmtId="1000" quotePrefix="false">
      <alignment horizontal="left" vertical="top"/>
    </xf>
    <xf applyAlignment="true" applyBorder="true" applyFill="false" applyFont="false" applyNumberFormat="true" borderId="6221" fillId="0" fontId="1" numFmtId="1000" quotePrefix="false">
      <alignment horizontal="left" vertical="top"/>
    </xf>
    <xf applyAlignment="true" applyBorder="true" applyFill="false" applyFont="false" applyNumberFormat="true" borderId="6222" fillId="0" fontId="1" numFmtId="1000" quotePrefix="false">
      <alignment horizontal="left" vertical="top"/>
    </xf>
    <xf applyAlignment="true" applyBorder="true" applyFill="false" applyFont="false" applyNumberFormat="true" borderId="6223" fillId="0" fontId="1" numFmtId="1000" quotePrefix="false">
      <alignment horizontal="left" vertical="top"/>
    </xf>
    <xf applyAlignment="true" applyBorder="true" applyFill="false" applyFont="false" applyNumberFormat="true" borderId="6224" fillId="0" fontId="1" numFmtId="1000" quotePrefix="false">
      <alignment horizontal="left" vertical="top"/>
    </xf>
    <xf applyAlignment="true" applyBorder="true" applyFill="false" applyFont="false" applyNumberFormat="true" borderId="6225" fillId="0" fontId="1" numFmtId="1000" quotePrefix="false">
      <alignment horizontal="left" vertical="top"/>
    </xf>
    <xf applyAlignment="true" applyBorder="true" applyFill="false" applyFont="true" applyNumberFormat="true" borderId="6226" fillId="0" fontId="13" numFmtId="1000" quotePrefix="false">
      <alignment horizontal="center" textRotation="90" vertical="top"/>
    </xf>
    <xf applyAlignment="true" applyBorder="true" applyFill="false" applyFont="true" applyNumberFormat="true" borderId="6227" fillId="0" fontId="2" numFmtId="1000" quotePrefix="false">
      <alignment horizontal="center"/>
    </xf>
    <xf applyAlignment="true" applyBorder="true" applyFill="false" applyFont="true" applyNumberFormat="true" borderId="6228" fillId="0" fontId="2" numFmtId="1000" quotePrefix="false">
      <alignment horizontal="center"/>
    </xf>
    <xf applyAlignment="true" applyBorder="true" applyFill="false" applyFont="true" applyNumberFormat="true" borderId="6229" fillId="0" fontId="2" numFmtId="1000" quotePrefix="false">
      <alignment horizontal="center"/>
    </xf>
    <xf applyAlignment="true" applyBorder="true" applyFill="false" applyFont="false" applyNumberFormat="true" borderId="6230" fillId="0" fontId="1" numFmtId="1000" quotePrefix="false">
      <alignment horizontal="center" vertical="top"/>
    </xf>
    <xf applyAlignment="true" applyBorder="true" applyFill="false" applyFont="false" applyNumberFormat="true" borderId="6231" fillId="0" fontId="1" numFmtId="1000" quotePrefix="false">
      <alignment horizontal="center" vertical="top"/>
    </xf>
    <xf applyAlignment="true" applyBorder="true" applyFill="false" applyFont="false" applyNumberFormat="true" borderId="6232" fillId="0" fontId="1" numFmtId="1000" quotePrefix="false">
      <alignment horizontal="center" vertical="top"/>
    </xf>
    <xf applyAlignment="true" applyBorder="true" applyFill="false" applyFont="false" applyNumberFormat="true" borderId="6233" fillId="0" fontId="1" numFmtId="1000" quotePrefix="false">
      <alignment horizontal="center" vertical="top"/>
    </xf>
    <xf applyAlignment="true" applyBorder="true" applyFill="false" applyFont="false" applyNumberFormat="true" borderId="6234" fillId="0" fontId="1" numFmtId="1000" quotePrefix="false">
      <alignment horizontal="center" vertical="top"/>
    </xf>
    <xf applyAlignment="true" applyBorder="true" applyFill="false" applyFont="false" applyNumberFormat="true" borderId="6235" fillId="0" fontId="1" numFmtId="1000" quotePrefix="false">
      <alignment horizontal="center" vertical="top"/>
    </xf>
    <xf applyAlignment="true" applyBorder="true" applyFill="false" applyFont="false" applyNumberFormat="true" borderId="6236" fillId="0" fontId="1" numFmtId="1000" quotePrefix="false">
      <alignment horizontal="center" vertical="top"/>
    </xf>
    <xf applyAlignment="true" applyBorder="true" applyFill="false" applyFont="false" applyNumberFormat="true" borderId="6237" fillId="0" fontId="1" numFmtId="1000" quotePrefix="false">
      <alignment horizontal="center" vertical="top"/>
    </xf>
    <xf applyAlignment="true" applyBorder="true" applyFill="false" applyFont="false" applyNumberFormat="true" borderId="6238" fillId="0" fontId="1" numFmtId="1000" quotePrefix="false">
      <alignment horizontal="center" vertical="top"/>
    </xf>
    <xf applyAlignment="true" applyBorder="true" applyFill="false" applyFont="false" applyNumberFormat="true" borderId="6239" fillId="0" fontId="1" numFmtId="1000" quotePrefix="false">
      <alignment horizontal="center" vertical="top"/>
    </xf>
    <xf applyAlignment="true" applyBorder="true" applyFill="false" applyFont="false" applyNumberFormat="true" borderId="6240" fillId="0" fontId="1" numFmtId="1000" quotePrefix="false">
      <alignment horizontal="center" vertical="top"/>
    </xf>
    <xf applyAlignment="true" applyBorder="true" applyFill="false" applyFont="false" applyNumberFormat="true" borderId="6241" fillId="0" fontId="1" numFmtId="1000" quotePrefix="false">
      <alignment horizontal="center" vertical="top"/>
    </xf>
    <xf applyAlignment="true" applyBorder="true" applyFill="false" applyFont="false" applyNumberFormat="true" borderId="6242" fillId="0" fontId="1" numFmtId="1000" quotePrefix="false">
      <alignment horizontal="center" vertical="top"/>
    </xf>
    <xf applyAlignment="true" applyBorder="true" applyFill="false" applyFont="false" applyNumberFormat="true" borderId="6243" fillId="0" fontId="1" numFmtId="1000" quotePrefix="false">
      <alignment horizontal="center" vertical="top"/>
    </xf>
    <xf applyAlignment="true" applyBorder="true" applyFill="false" applyFont="false" applyNumberFormat="true" borderId="6244" fillId="0" fontId="1" numFmtId="1000" quotePrefix="false">
      <alignment horizontal="center" vertical="top"/>
    </xf>
    <xf applyAlignment="true" applyBorder="true" applyFill="false" applyFont="false" applyNumberFormat="true" borderId="6245" fillId="0" fontId="1" numFmtId="1000" quotePrefix="false">
      <alignment horizontal="center" vertical="top"/>
    </xf>
    <xf applyAlignment="true" applyBorder="true" applyFill="false" applyFont="true" applyNumberFormat="true" borderId="6246" fillId="0" fontId="13" numFmtId="1000" quotePrefix="false">
      <alignment horizontal="center" textRotation="90" vertical="top"/>
    </xf>
    <xf applyAlignment="true" applyBorder="true" applyFill="false" applyFont="false" applyNumberFormat="true" borderId="6247" fillId="0" fontId="1" numFmtId="1000" quotePrefix="false">
      <alignment horizontal="center" vertical="top"/>
    </xf>
    <xf applyAlignment="true" applyBorder="true" applyFill="false" applyFont="false" applyNumberFormat="true" borderId="6248" fillId="0" fontId="1" numFmtId="1000" quotePrefix="false">
      <alignment horizontal="center" vertical="top"/>
    </xf>
    <xf applyAlignment="true" applyBorder="true" applyFill="false" applyFont="false" applyNumberFormat="true" borderId="6249" fillId="0" fontId="1" numFmtId="1000" quotePrefix="false">
      <alignment horizontal="center" vertical="top"/>
    </xf>
    <xf applyAlignment="true" applyBorder="true" applyFill="false" applyFont="false" applyNumberFormat="true" borderId="6250" fillId="0" fontId="1" numFmtId="1000" quotePrefix="false">
      <alignment horizontal="center" vertical="top"/>
    </xf>
    <xf applyAlignment="true" applyBorder="true" applyFill="false" applyFont="false" applyNumberFormat="true" borderId="6251" fillId="0" fontId="1" numFmtId="1000" quotePrefix="false">
      <alignment horizontal="center" vertical="top"/>
    </xf>
    <xf applyAlignment="true" applyBorder="true" applyFill="false" applyFont="false" applyNumberFormat="true" borderId="6252" fillId="0" fontId="1" numFmtId="1000" quotePrefix="false">
      <alignment horizontal="center" vertical="top"/>
    </xf>
    <xf applyAlignment="true" applyBorder="true" applyFill="false" applyFont="false" applyNumberFormat="true" borderId="6253" fillId="0" fontId="1" numFmtId="1000" quotePrefix="false">
      <alignment horizontal="center" vertical="top"/>
    </xf>
    <xf applyAlignment="true" applyBorder="true" applyFill="false" applyFont="true" applyNumberFormat="true" borderId="6254" fillId="0" fontId="13" numFmtId="1000" quotePrefix="false">
      <alignment horizontal="center" textRotation="90" vertical="top"/>
    </xf>
    <xf applyAlignment="true" applyBorder="true" applyFill="false" applyFont="false" applyNumberFormat="true" borderId="6255" fillId="0" fontId="1" numFmtId="1000" quotePrefix="false">
      <alignment horizontal="center" vertical="top"/>
    </xf>
    <xf applyAlignment="true" applyBorder="true" applyFill="false" applyFont="false" applyNumberFormat="true" borderId="6256" fillId="0" fontId="1" numFmtId="1000" quotePrefix="false">
      <alignment horizontal="center" vertical="top"/>
    </xf>
    <xf applyAlignment="true" applyBorder="true" applyFill="false" applyFont="false" applyNumberFormat="true" borderId="6257" fillId="0" fontId="1" numFmtId="1000" quotePrefix="false">
      <alignment horizontal="center" vertical="top"/>
    </xf>
    <xf applyAlignment="true" applyBorder="true" applyFill="false" applyFont="false" applyNumberFormat="true" borderId="6258" fillId="0" fontId="1" numFmtId="1000" quotePrefix="false">
      <alignment horizontal="center" vertical="top"/>
    </xf>
    <xf applyAlignment="true" applyBorder="true" applyFill="false" applyFont="false" applyNumberFormat="true" borderId="6259" fillId="0" fontId="1" numFmtId="1000" quotePrefix="false">
      <alignment horizontal="center" vertical="top"/>
    </xf>
    <xf applyAlignment="true" applyBorder="true" applyFill="false" applyFont="false" applyNumberFormat="true" borderId="6260" fillId="0" fontId="1" numFmtId="1000" quotePrefix="false">
      <alignment horizontal="center" vertical="top"/>
    </xf>
    <xf applyAlignment="true" applyBorder="true" applyFill="false" applyFont="true" applyNumberFormat="true" borderId="6261" fillId="0" fontId="13" numFmtId="1000" quotePrefix="false">
      <alignment horizontal="center" textRotation="90" vertical="top"/>
    </xf>
    <xf applyAlignment="true" applyBorder="true" applyFill="false" applyFont="false" applyNumberFormat="true" borderId="6262" fillId="0" fontId="1" numFmtId="1000" quotePrefix="false">
      <alignment horizontal="center" vertical="top"/>
    </xf>
    <xf applyAlignment="true" applyBorder="true" applyFill="false" applyFont="false" applyNumberFormat="true" borderId="6263" fillId="0" fontId="1" numFmtId="1000" quotePrefix="false">
      <alignment horizontal="center" vertical="top"/>
    </xf>
    <xf applyAlignment="true" applyBorder="true" applyFill="false" applyFont="false" applyNumberFormat="true" borderId="6264" fillId="0" fontId="1" numFmtId="1000" quotePrefix="false">
      <alignment horizontal="center" vertical="top"/>
    </xf>
    <xf applyAlignment="true" applyBorder="true" applyFill="false" applyFont="false" applyNumberFormat="true" borderId="6265" fillId="0" fontId="1" numFmtId="1000" quotePrefix="false">
      <alignment horizontal="center" vertical="top"/>
    </xf>
    <xf applyAlignment="true" applyBorder="true" applyFill="false" applyFont="false" applyNumberFormat="true" borderId="6266" fillId="0" fontId="1" numFmtId="1000" quotePrefix="false">
      <alignment horizontal="center" vertical="top"/>
    </xf>
    <xf applyAlignment="true" applyBorder="true" applyFill="false" applyFont="false" applyNumberFormat="true" borderId="6267" fillId="0" fontId="1" numFmtId="1000" quotePrefix="false">
      <alignment horizontal="center" vertical="top"/>
    </xf>
    <xf applyAlignment="true" applyBorder="true" applyFill="false" applyFont="true" applyNumberFormat="true" borderId="6268" fillId="0" fontId="13" numFmtId="1000" quotePrefix="false">
      <alignment horizontal="center" textRotation="90" vertical="top"/>
    </xf>
    <xf applyAlignment="true" applyBorder="true" applyFill="false" applyFont="false" applyNumberFormat="true" borderId="6269" fillId="0" fontId="1" numFmtId="1000" quotePrefix="false">
      <alignment horizontal="center" vertical="top"/>
    </xf>
    <xf applyAlignment="true" applyBorder="true" applyFill="false" applyFont="false" applyNumberFormat="true" borderId="6270" fillId="0" fontId="1" numFmtId="1000" quotePrefix="false">
      <alignment horizontal="center" vertical="top"/>
    </xf>
    <xf applyAlignment="true" applyBorder="true" applyFill="false" applyFont="false" applyNumberFormat="true" borderId="6271" fillId="0" fontId="1" numFmtId="1000" quotePrefix="false">
      <alignment horizontal="center" vertical="top"/>
    </xf>
    <xf applyAlignment="true" applyBorder="true" applyFill="false" applyFont="false" applyNumberFormat="true" borderId="6272" fillId="0" fontId="1" numFmtId="1000" quotePrefix="false">
      <alignment horizontal="center" vertical="top"/>
    </xf>
    <xf applyAlignment="true" applyBorder="true" applyFill="false" applyFont="false" applyNumberFormat="true" borderId="6273" fillId="0" fontId="1" numFmtId="1000" quotePrefix="false">
      <alignment horizontal="center" vertical="top"/>
    </xf>
    <xf applyAlignment="true" applyBorder="true" applyFill="false" applyFont="false" applyNumberFormat="true" borderId="6274" fillId="0" fontId="1" numFmtId="1000" quotePrefix="false">
      <alignment horizontal="center" vertical="top"/>
    </xf>
    <xf applyAlignment="true" applyBorder="true" applyFill="false" applyFont="true" applyNumberFormat="true" borderId="6275" fillId="0" fontId="13" numFmtId="1000" quotePrefix="false">
      <alignment horizontal="center" textRotation="90" vertical="top"/>
    </xf>
    <xf applyAlignment="true" applyBorder="true" applyFill="false" applyFont="false" applyNumberFormat="true" borderId="6276" fillId="0" fontId="1" numFmtId="1000" quotePrefix="false">
      <alignment horizontal="center" vertical="top"/>
    </xf>
    <xf applyAlignment="true" applyBorder="true" applyFill="false" applyFont="false" applyNumberFormat="true" borderId="6277" fillId="0" fontId="1" numFmtId="1000" quotePrefix="false">
      <alignment horizontal="center" vertical="top"/>
    </xf>
    <xf applyAlignment="true" applyBorder="true" applyFill="false" applyFont="false" applyNumberFormat="true" borderId="6278" fillId="0" fontId="1" numFmtId="1000" quotePrefix="false">
      <alignment horizontal="center" vertical="top"/>
    </xf>
    <xf applyAlignment="true" applyBorder="true" applyFill="false" applyFont="false" applyNumberFormat="true" borderId="6279" fillId="0" fontId="1" numFmtId="1000" quotePrefix="false">
      <alignment horizontal="center" vertical="top"/>
    </xf>
    <xf applyAlignment="true" applyBorder="true" applyFill="false" applyFont="false" applyNumberFormat="true" borderId="6280" fillId="0" fontId="1" numFmtId="1000" quotePrefix="false">
      <alignment horizontal="center" vertical="top"/>
    </xf>
    <xf applyAlignment="true" applyBorder="true" applyFill="false" applyFont="false" applyNumberFormat="true" borderId="6281" fillId="0" fontId="1" numFmtId="1000" quotePrefix="false">
      <alignment horizontal="center" vertical="top"/>
    </xf>
    <xf applyAlignment="true" applyBorder="true" applyFill="false" applyFont="true" applyNumberFormat="true" borderId="6282" fillId="0" fontId="13" numFmtId="1000" quotePrefix="false">
      <alignment horizontal="center" textRotation="90" vertical="top"/>
    </xf>
    <xf applyAlignment="true" applyBorder="true" applyFill="false" applyFont="false" applyNumberFormat="true" borderId="6283" fillId="0" fontId="1" numFmtId="1000" quotePrefix="false">
      <alignment horizontal="center" vertical="top"/>
    </xf>
    <xf applyAlignment="true" applyBorder="true" applyFill="false" applyFont="false" applyNumberFormat="true" borderId="6284" fillId="0" fontId="1" numFmtId="1000" quotePrefix="false">
      <alignment horizontal="center" vertical="top"/>
    </xf>
    <xf applyAlignment="true" applyBorder="true" applyFill="false" applyFont="false" applyNumberFormat="true" borderId="6285" fillId="0" fontId="1" numFmtId="1000" quotePrefix="false">
      <alignment horizontal="center" vertical="top"/>
    </xf>
    <xf applyAlignment="true" applyBorder="true" applyFill="false" applyFont="false" applyNumberFormat="true" borderId="6286" fillId="0" fontId="1" numFmtId="1000" quotePrefix="false">
      <alignment horizontal="center" vertical="top"/>
    </xf>
    <xf applyAlignment="true" applyBorder="true" applyFill="false" applyFont="false" applyNumberFormat="true" borderId="6287" fillId="0" fontId="1" numFmtId="1000" quotePrefix="false">
      <alignment horizontal="center" vertical="top"/>
    </xf>
    <xf applyAlignment="true" applyBorder="true" applyFill="false" applyFont="false" applyNumberFormat="true" borderId="6288" fillId="0" fontId="1" numFmtId="1000" quotePrefix="false">
      <alignment horizontal="center" vertical="top"/>
    </xf>
    <xf applyAlignment="true" applyBorder="true" applyFill="false" applyFont="true" applyNumberFormat="true" borderId="6289" fillId="0" fontId="13" numFmtId="1000" quotePrefix="false">
      <alignment horizontal="center" textRotation="90" vertical="top"/>
    </xf>
    <xf applyAlignment="true" applyBorder="true" applyFill="false" applyFont="false" applyNumberFormat="true" borderId="6290" fillId="0" fontId="1" numFmtId="1000" quotePrefix="false">
      <alignment horizontal="center" vertical="top"/>
    </xf>
    <xf applyAlignment="true" applyBorder="true" applyFill="false" applyFont="false" applyNumberFormat="true" borderId="6291" fillId="0" fontId="1" numFmtId="1000" quotePrefix="false">
      <alignment horizontal="center" vertical="top"/>
    </xf>
    <xf applyAlignment="true" applyBorder="true" applyFill="false" applyFont="false" applyNumberFormat="true" borderId="6292" fillId="0" fontId="1" numFmtId="1000" quotePrefix="false">
      <alignment horizontal="center" vertical="top"/>
    </xf>
    <xf applyAlignment="true" applyBorder="true" applyFill="false" applyFont="false" applyNumberFormat="true" borderId="6293" fillId="0" fontId="1" numFmtId="1000" quotePrefix="false">
      <alignment horizontal="center" vertical="top"/>
    </xf>
    <xf applyAlignment="true" applyBorder="true" applyFill="false" applyFont="false" applyNumberFormat="true" borderId="6294" fillId="0" fontId="1" numFmtId="1000" quotePrefix="false">
      <alignment horizontal="center" vertical="top"/>
    </xf>
    <xf applyAlignment="true" applyBorder="true" applyFill="false" applyFont="false" applyNumberFormat="true" borderId="6295" fillId="0" fontId="1" numFmtId="1000" quotePrefix="false">
      <alignment horizontal="center" vertical="top"/>
    </xf>
    <xf applyAlignment="true" applyBorder="true" applyFill="false" applyFont="true" applyNumberFormat="true" borderId="6296" fillId="0" fontId="13" numFmtId="1000" quotePrefix="false">
      <alignment horizontal="center" textRotation="90" vertical="top"/>
    </xf>
    <xf applyAlignment="true" applyBorder="true" applyFill="false" applyFont="false" applyNumberFormat="true" borderId="6297" fillId="0" fontId="1" numFmtId="1000" quotePrefix="false">
      <alignment horizontal="center" vertical="top"/>
    </xf>
    <xf applyAlignment="true" applyBorder="true" applyFill="false" applyFont="false" applyNumberFormat="true" borderId="6298" fillId="0" fontId="1" numFmtId="1000" quotePrefix="false">
      <alignment horizontal="center" vertical="top"/>
    </xf>
    <xf applyAlignment="true" applyBorder="true" applyFill="false" applyFont="false" applyNumberFormat="true" borderId="6299" fillId="0" fontId="1" numFmtId="1000" quotePrefix="false">
      <alignment horizontal="center" vertical="top"/>
    </xf>
    <xf applyAlignment="true" applyBorder="true" applyFill="false" applyFont="false" applyNumberFormat="true" borderId="6300" fillId="0" fontId="1" numFmtId="1000" quotePrefix="false">
      <alignment horizontal="center" vertical="top"/>
    </xf>
    <xf applyAlignment="true" applyBorder="true" applyFill="false" applyFont="false" applyNumberFormat="true" borderId="6301" fillId="0" fontId="1" numFmtId="1000" quotePrefix="false">
      <alignment horizontal="center" vertical="top"/>
    </xf>
    <xf applyAlignment="true" applyBorder="true" applyFill="false" applyFont="false" applyNumberFormat="true" borderId="6302" fillId="0" fontId="1" numFmtId="1000" quotePrefix="false">
      <alignment horizontal="center" vertical="top"/>
    </xf>
    <xf applyAlignment="true" applyBorder="true" applyFill="false" applyFont="true" applyNumberFormat="true" borderId="6303" fillId="0" fontId="13" numFmtId="1000" quotePrefix="false">
      <alignment horizontal="center" textRotation="90" vertical="top"/>
    </xf>
    <xf applyAlignment="true" applyBorder="true" applyFill="false" applyFont="false" applyNumberFormat="true" borderId="6304" fillId="0" fontId="1" numFmtId="1000" quotePrefix="false">
      <alignment horizontal="center" vertical="top"/>
    </xf>
    <xf applyAlignment="true" applyBorder="true" applyFill="false" applyFont="false" applyNumberFormat="true" borderId="6305" fillId="0" fontId="1" numFmtId="1000" quotePrefix="false">
      <alignment horizontal="center" vertical="top"/>
    </xf>
    <xf applyAlignment="true" applyBorder="true" applyFill="false" applyFont="false" applyNumberFormat="true" borderId="6306" fillId="0" fontId="1" numFmtId="1000" quotePrefix="false">
      <alignment horizontal="center" vertical="top"/>
    </xf>
    <xf applyAlignment="true" applyBorder="true" applyFill="false" applyFont="false" applyNumberFormat="true" borderId="6307" fillId="0" fontId="1" numFmtId="1000" quotePrefix="false">
      <alignment horizontal="center" vertical="top"/>
    </xf>
    <xf applyAlignment="true" applyBorder="true" applyFill="false" applyFont="false" applyNumberFormat="true" borderId="6308" fillId="0" fontId="1" numFmtId="1000" quotePrefix="false">
      <alignment horizontal="center" vertical="top"/>
    </xf>
    <xf applyAlignment="true" applyBorder="true" applyFill="false" applyFont="false" applyNumberFormat="true" borderId="6309" fillId="0" fontId="1" numFmtId="1000" quotePrefix="false">
      <alignment horizontal="center" vertical="top"/>
    </xf>
    <xf applyAlignment="true" applyBorder="true" applyFill="false" applyFont="false" applyNumberFormat="true" borderId="6310" fillId="0" fontId="1" numFmtId="1000" quotePrefix="false">
      <alignment horizontal="center" vertical="top"/>
    </xf>
    <xf applyAlignment="true" applyBorder="true" applyFill="false" applyFont="false" applyNumberFormat="true" borderId="6311" fillId="0" fontId="1" numFmtId="1000" quotePrefix="false">
      <alignment horizontal="center" vertical="top"/>
    </xf>
    <xf applyAlignment="true" applyBorder="true" applyFill="false" applyFont="false" applyNumberFormat="true" borderId="6312" fillId="0" fontId="1" numFmtId="1000" quotePrefix="false">
      <alignment horizontal="center" vertical="top"/>
    </xf>
    <xf applyAlignment="true" applyBorder="true" applyFill="false" applyFont="false" applyNumberFormat="true" borderId="6313" fillId="0" fontId="1" numFmtId="1000" quotePrefix="false">
      <alignment horizontal="center" vertical="top"/>
    </xf>
    <xf applyAlignment="true" applyBorder="true" applyFill="false" applyFont="true" applyNumberFormat="true" borderId="6314" fillId="0" fontId="13" numFmtId="1000" quotePrefix="false">
      <alignment horizontal="center" textRotation="90" vertical="top"/>
    </xf>
    <xf applyAlignment="true" applyBorder="true" applyFill="false" applyFont="true" applyNumberFormat="true" borderId="6315" fillId="0" fontId="2" numFmtId="1000" quotePrefix="false">
      <alignment horizontal="center" vertical="top"/>
    </xf>
    <xf applyAlignment="true" applyBorder="true" applyFill="false" applyFont="false" applyNumberFormat="true" borderId="6316" fillId="0" fontId="1" numFmtId="1000" quotePrefix="false">
      <alignment horizontal="left" vertical="top"/>
    </xf>
    <xf applyAlignment="true" applyBorder="true" applyFill="false" applyFont="false" applyNumberFormat="true" borderId="6317" fillId="0" fontId="1" numFmtId="1000" quotePrefix="false">
      <alignment horizontal="left" vertical="top"/>
    </xf>
    <xf applyAlignment="true" applyBorder="true" applyFill="false" applyFont="false" applyNumberFormat="true" borderId="6318" fillId="0" fontId="1" numFmtId="1000" quotePrefix="false">
      <alignment horizontal="left" vertical="top"/>
    </xf>
    <xf applyAlignment="true" applyBorder="true" applyFill="false" applyFont="false" applyNumberFormat="true" borderId="6319" fillId="0" fontId="1" numFmtId="1000" quotePrefix="false">
      <alignment horizontal="left" vertical="top"/>
    </xf>
    <xf applyAlignment="true" applyBorder="true" applyFill="false" applyFont="false" applyNumberFormat="true" borderId="6320" fillId="0" fontId="1" numFmtId="1000" quotePrefix="false">
      <alignment horizontal="left" vertical="top"/>
    </xf>
    <xf applyAlignment="true" applyBorder="true" applyFill="false" applyFont="false" applyNumberFormat="true" borderId="6321" fillId="0" fontId="1" numFmtId="1000" quotePrefix="false">
      <alignment horizontal="left" vertical="top"/>
    </xf>
    <xf applyAlignment="true" applyBorder="true" applyFill="false" applyFont="false" applyNumberFormat="true" borderId="6322" fillId="0" fontId="1" numFmtId="1000" quotePrefix="false">
      <alignment horizontal="left" vertical="top"/>
    </xf>
    <xf applyAlignment="true" applyBorder="true" applyFill="false" applyFont="false" applyNumberFormat="true" borderId="6323" fillId="0" fontId="1" numFmtId="1000" quotePrefix="false">
      <alignment horizontal="left" vertical="top"/>
    </xf>
    <xf applyAlignment="true" applyBorder="true" applyFill="false" applyFont="false" applyNumberFormat="true" borderId="6324" fillId="0" fontId="1" numFmtId="1000" quotePrefix="false">
      <alignment horizontal="left" vertical="top"/>
    </xf>
    <xf applyAlignment="true" applyBorder="true" applyFill="false" applyFont="false" applyNumberFormat="true" borderId="6325" fillId="0" fontId="1" numFmtId="1000" quotePrefix="false">
      <alignment horizontal="left" vertical="top"/>
    </xf>
    <xf applyAlignment="true" applyBorder="true" applyFill="false" applyFont="false" applyNumberFormat="true" borderId="6326" fillId="0" fontId="1" numFmtId="1000" quotePrefix="false">
      <alignment horizontal="left" vertical="top"/>
    </xf>
    <xf applyAlignment="true" applyBorder="true" applyFill="false" applyFont="false" applyNumberFormat="true" borderId="6327" fillId="0" fontId="1" numFmtId="1000" quotePrefix="false">
      <alignment horizontal="left" vertical="top"/>
    </xf>
    <xf applyAlignment="true" applyBorder="true" applyFill="false" applyFont="false" applyNumberFormat="true" borderId="6328" fillId="0" fontId="1" numFmtId="1000" quotePrefix="false">
      <alignment horizontal="left" vertical="top"/>
    </xf>
    <xf applyAlignment="true" applyBorder="true" applyFill="false" applyFont="false" applyNumberFormat="true" borderId="6329" fillId="0" fontId="1" numFmtId="1000" quotePrefix="false">
      <alignment horizontal="left" vertical="top"/>
    </xf>
    <xf applyAlignment="true" applyBorder="true" applyFill="false" applyFont="false" applyNumberFormat="true" borderId="6330" fillId="0" fontId="1" numFmtId="1000" quotePrefix="false">
      <alignment horizontal="left" vertical="top"/>
    </xf>
    <xf applyAlignment="true" applyBorder="true" applyFill="false" applyFont="false" applyNumberFormat="true" borderId="6331" fillId="0" fontId="1" numFmtId="1000" quotePrefix="false">
      <alignment horizontal="left" vertical="top"/>
    </xf>
    <xf applyAlignment="true" applyBorder="true" applyFill="false" applyFont="false" applyNumberFormat="true" borderId="6332" fillId="0" fontId="1" numFmtId="1000" quotePrefix="false">
      <alignment horizontal="left" vertical="top"/>
    </xf>
    <xf applyAlignment="true" applyBorder="true" applyFill="false" applyFont="false" applyNumberFormat="true" borderId="6333" fillId="0" fontId="1" numFmtId="1000" quotePrefix="false">
      <alignment horizontal="left" vertical="top"/>
    </xf>
    <xf applyAlignment="true" applyBorder="true" applyFill="false" applyFont="false" applyNumberFormat="true" borderId="6334" fillId="0" fontId="1" numFmtId="1000" quotePrefix="false">
      <alignment horizontal="left" vertical="top"/>
    </xf>
    <xf applyAlignment="true" applyBorder="true" applyFill="false" applyFont="true" applyNumberFormat="true" borderId="6335" fillId="0" fontId="13" numFmtId="1000" quotePrefix="false">
      <alignment horizontal="center" textRotation="90" vertical="top"/>
    </xf>
    <xf applyAlignment="true" applyBorder="true" applyFill="false" applyFont="true" applyNumberFormat="true" borderId="6336" fillId="0" fontId="2" numFmtId="1000" quotePrefix="false">
      <alignment horizontal="center"/>
    </xf>
    <xf applyAlignment="true" applyBorder="true" applyFill="false" applyFont="true" applyNumberFormat="true" borderId="6337" fillId="0" fontId="2" numFmtId="1000" quotePrefix="false">
      <alignment horizontal="center"/>
    </xf>
    <xf applyAlignment="true" applyBorder="true" applyFill="false" applyFont="true" applyNumberFormat="true" borderId="6338" fillId="0" fontId="2" numFmtId="1000" quotePrefix="false">
      <alignment horizontal="center"/>
    </xf>
    <xf applyAlignment="true" applyBorder="true" applyFill="false" applyFont="false" applyNumberFormat="true" borderId="6339" fillId="0" fontId="1" numFmtId="1000" quotePrefix="false">
      <alignment horizontal="center" vertical="top"/>
    </xf>
    <xf applyAlignment="true" applyBorder="true" applyFill="false" applyFont="false" applyNumberFormat="true" borderId="6340" fillId="0" fontId="1" numFmtId="1000" quotePrefix="false">
      <alignment horizontal="center" vertical="top"/>
    </xf>
    <xf applyAlignment="true" applyBorder="true" applyFill="false" applyFont="false" applyNumberFormat="true" borderId="6341" fillId="0" fontId="1" numFmtId="1000" quotePrefix="false">
      <alignment horizontal="center" vertical="top"/>
    </xf>
    <xf applyAlignment="true" applyBorder="true" applyFill="false" applyFont="false" applyNumberFormat="true" borderId="6342" fillId="0" fontId="1" numFmtId="1000" quotePrefix="false">
      <alignment horizontal="center" vertical="top"/>
    </xf>
    <xf applyAlignment="true" applyBorder="true" applyFill="false" applyFont="false" applyNumberFormat="true" borderId="6343" fillId="0" fontId="1" numFmtId="1000" quotePrefix="false">
      <alignment horizontal="center" vertical="top"/>
    </xf>
    <xf applyAlignment="true" applyBorder="true" applyFill="false" applyFont="false" applyNumberFormat="true" borderId="6344" fillId="0" fontId="1" numFmtId="1000" quotePrefix="false">
      <alignment horizontal="center" vertical="top"/>
    </xf>
    <xf applyAlignment="true" applyBorder="true" applyFill="false" applyFont="false" applyNumberFormat="true" borderId="6345" fillId="0" fontId="1" numFmtId="1000" quotePrefix="false">
      <alignment horizontal="center" vertical="top"/>
    </xf>
    <xf applyAlignment="true" applyBorder="true" applyFill="false" applyFont="false" applyNumberFormat="true" borderId="6346" fillId="0" fontId="1" numFmtId="1000" quotePrefix="false">
      <alignment horizontal="center" vertical="top"/>
    </xf>
    <xf applyAlignment="true" applyBorder="true" applyFill="false" applyFont="false" applyNumberFormat="true" borderId="6347" fillId="0" fontId="1" numFmtId="1000" quotePrefix="false">
      <alignment horizontal="center" vertical="top"/>
    </xf>
    <xf applyAlignment="true" applyBorder="true" applyFill="false" applyFont="false" applyNumberFormat="true" borderId="6348" fillId="0" fontId="1" numFmtId="1000" quotePrefix="false">
      <alignment horizontal="center" vertical="top"/>
    </xf>
    <xf applyAlignment="true" applyBorder="true" applyFill="false" applyFont="false" applyNumberFormat="true" borderId="6349" fillId="0" fontId="1" numFmtId="1000" quotePrefix="false">
      <alignment horizontal="center" vertical="top"/>
    </xf>
    <xf applyAlignment="true" applyBorder="true" applyFill="false" applyFont="false" applyNumberFormat="true" borderId="6350" fillId="0" fontId="1" numFmtId="1000" quotePrefix="false">
      <alignment horizontal="center" vertical="top"/>
    </xf>
    <xf applyAlignment="true" applyBorder="true" applyFill="false" applyFont="false" applyNumberFormat="true" borderId="6351" fillId="0" fontId="1" numFmtId="1000" quotePrefix="false">
      <alignment horizontal="center" vertical="top"/>
    </xf>
    <xf applyAlignment="true" applyBorder="true" applyFill="false" applyFont="false" applyNumberFormat="true" borderId="6352" fillId="0" fontId="1" numFmtId="1000" quotePrefix="false">
      <alignment horizontal="center" vertical="top"/>
    </xf>
    <xf applyAlignment="true" applyBorder="true" applyFill="false" applyFont="false" applyNumberFormat="true" borderId="6353" fillId="0" fontId="1" numFmtId="1000" quotePrefix="false">
      <alignment horizontal="center" vertical="top"/>
    </xf>
    <xf applyAlignment="true" applyBorder="true" applyFill="false" applyFont="false" applyNumberFormat="true" borderId="6354" fillId="0" fontId="1" numFmtId="1000" quotePrefix="false">
      <alignment horizontal="center" vertical="top"/>
    </xf>
    <xf applyAlignment="true" applyBorder="true" applyFill="false" applyFont="true" applyNumberFormat="true" borderId="6355" fillId="0" fontId="13" numFmtId="1000" quotePrefix="false">
      <alignment horizontal="center" textRotation="90" vertical="top"/>
    </xf>
    <xf applyAlignment="true" applyBorder="true" applyFill="false" applyFont="false" applyNumberFormat="true" borderId="6356" fillId="0" fontId="1" numFmtId="1000" quotePrefix="false">
      <alignment horizontal="center" vertical="top"/>
    </xf>
    <xf applyAlignment="true" applyBorder="true" applyFill="false" applyFont="false" applyNumberFormat="true" borderId="6357" fillId="0" fontId="1" numFmtId="1000" quotePrefix="false">
      <alignment horizontal="center" vertical="top"/>
    </xf>
    <xf applyAlignment="true" applyBorder="true" applyFill="false" applyFont="false" applyNumberFormat="true" borderId="6358" fillId="0" fontId="1" numFmtId="1000" quotePrefix="false">
      <alignment horizontal="center" vertical="top"/>
    </xf>
    <xf applyAlignment="true" applyBorder="true" applyFill="false" applyFont="false" applyNumberFormat="true" borderId="6359" fillId="0" fontId="1" numFmtId="1000" quotePrefix="false">
      <alignment horizontal="center" vertical="top"/>
    </xf>
    <xf applyAlignment="true" applyBorder="true" applyFill="false" applyFont="false" applyNumberFormat="true" borderId="6360" fillId="0" fontId="1" numFmtId="1000" quotePrefix="false">
      <alignment horizontal="center" vertical="top"/>
    </xf>
    <xf applyAlignment="true" applyBorder="true" applyFill="false" applyFont="false" applyNumberFormat="true" borderId="6361" fillId="0" fontId="1" numFmtId="1000" quotePrefix="false">
      <alignment horizontal="center" vertical="top"/>
    </xf>
    <xf applyAlignment="true" applyBorder="true" applyFill="false" applyFont="false" applyNumberFormat="true" borderId="6362" fillId="0" fontId="1" numFmtId="1000" quotePrefix="false">
      <alignment horizontal="center" vertical="top"/>
    </xf>
    <xf applyAlignment="true" applyBorder="true" applyFill="false" applyFont="true" applyNumberFormat="true" borderId="6363" fillId="0" fontId="13" numFmtId="1000" quotePrefix="false">
      <alignment horizontal="center" textRotation="90" vertical="top"/>
    </xf>
    <xf applyAlignment="true" applyBorder="true" applyFill="false" applyFont="false" applyNumberFormat="true" borderId="6364" fillId="0" fontId="1" numFmtId="1000" quotePrefix="false">
      <alignment horizontal="center" vertical="top"/>
    </xf>
    <xf applyAlignment="true" applyBorder="true" applyFill="false" applyFont="false" applyNumberFormat="true" borderId="6365" fillId="0" fontId="1" numFmtId="1000" quotePrefix="false">
      <alignment horizontal="center" vertical="top"/>
    </xf>
    <xf applyAlignment="true" applyBorder="true" applyFill="false" applyFont="false" applyNumberFormat="true" borderId="6366" fillId="0" fontId="1" numFmtId="1000" quotePrefix="false">
      <alignment horizontal="center" vertical="top"/>
    </xf>
    <xf applyAlignment="true" applyBorder="true" applyFill="false" applyFont="false" applyNumberFormat="true" borderId="6367" fillId="0" fontId="1" numFmtId="1000" quotePrefix="false">
      <alignment horizontal="center" vertical="top"/>
    </xf>
    <xf applyAlignment="true" applyBorder="true" applyFill="false" applyFont="false" applyNumberFormat="true" borderId="6368" fillId="0" fontId="1" numFmtId="1000" quotePrefix="false">
      <alignment horizontal="center" vertical="top"/>
    </xf>
    <xf applyAlignment="true" applyBorder="true" applyFill="false" applyFont="false" applyNumberFormat="true" borderId="6369" fillId="0" fontId="1" numFmtId="1000" quotePrefix="false">
      <alignment horizontal="center" vertical="top"/>
    </xf>
    <xf applyAlignment="true" applyBorder="true" applyFill="false" applyFont="true" applyNumberFormat="true" borderId="6370" fillId="0" fontId="13" numFmtId="1000" quotePrefix="false">
      <alignment horizontal="center" textRotation="90" vertical="top"/>
    </xf>
    <xf applyAlignment="true" applyBorder="true" applyFill="false" applyFont="false" applyNumberFormat="true" borderId="6371" fillId="0" fontId="1" numFmtId="1000" quotePrefix="false">
      <alignment horizontal="center" vertical="top"/>
    </xf>
    <xf applyAlignment="true" applyBorder="true" applyFill="false" applyFont="false" applyNumberFormat="true" borderId="6372" fillId="0" fontId="1" numFmtId="1000" quotePrefix="false">
      <alignment horizontal="center" vertical="top"/>
    </xf>
    <xf applyAlignment="true" applyBorder="true" applyFill="false" applyFont="false" applyNumberFormat="true" borderId="6373" fillId="0" fontId="1" numFmtId="1000" quotePrefix="false">
      <alignment horizontal="center" vertical="top"/>
    </xf>
    <xf applyAlignment="true" applyBorder="true" applyFill="false" applyFont="false" applyNumberFormat="true" borderId="6374" fillId="0" fontId="1" numFmtId="1000" quotePrefix="false">
      <alignment horizontal="center" vertical="top"/>
    </xf>
    <xf applyAlignment="true" applyBorder="true" applyFill="false" applyFont="false" applyNumberFormat="true" borderId="6375" fillId="0" fontId="1" numFmtId="1000" quotePrefix="false">
      <alignment horizontal="center" vertical="top"/>
    </xf>
    <xf applyAlignment="true" applyBorder="true" applyFill="false" applyFont="false" applyNumberFormat="true" borderId="6376" fillId="0" fontId="1" numFmtId="1000" quotePrefix="false">
      <alignment horizontal="center" vertical="top"/>
    </xf>
    <xf applyAlignment="true" applyBorder="true" applyFill="false" applyFont="true" applyNumberFormat="true" borderId="6377" fillId="0" fontId="13" numFmtId="1000" quotePrefix="false">
      <alignment horizontal="center" textRotation="90" vertical="top"/>
    </xf>
    <xf applyAlignment="true" applyBorder="true" applyFill="false" applyFont="false" applyNumberFormat="true" borderId="6378" fillId="0" fontId="1" numFmtId="1000" quotePrefix="false">
      <alignment horizontal="center" vertical="top"/>
    </xf>
    <xf applyAlignment="true" applyBorder="true" applyFill="false" applyFont="false" applyNumberFormat="true" borderId="6379" fillId="0" fontId="1" numFmtId="1000" quotePrefix="false">
      <alignment horizontal="center" vertical="top"/>
    </xf>
    <xf applyAlignment="true" applyBorder="true" applyFill="false" applyFont="false" applyNumberFormat="true" borderId="6380" fillId="0" fontId="1" numFmtId="1000" quotePrefix="false">
      <alignment horizontal="center" vertical="top"/>
    </xf>
    <xf applyAlignment="true" applyBorder="true" applyFill="false" applyFont="false" applyNumberFormat="true" borderId="6381" fillId="0" fontId="1" numFmtId="1000" quotePrefix="false">
      <alignment horizontal="center" vertical="top"/>
    </xf>
    <xf applyAlignment="true" applyBorder="true" applyFill="false" applyFont="false" applyNumberFormat="true" borderId="6382" fillId="0" fontId="1" numFmtId="1000" quotePrefix="false">
      <alignment horizontal="center" vertical="top"/>
    </xf>
    <xf applyAlignment="true" applyBorder="true" applyFill="false" applyFont="false" applyNumberFormat="true" borderId="6383" fillId="0" fontId="1" numFmtId="1000" quotePrefix="false">
      <alignment horizontal="center" vertical="top"/>
    </xf>
    <xf applyAlignment="true" applyBorder="true" applyFill="false" applyFont="true" applyNumberFormat="true" borderId="6384" fillId="0" fontId="13" numFmtId="1000" quotePrefix="false">
      <alignment horizontal="center" textRotation="90" vertical="top"/>
    </xf>
    <xf applyAlignment="true" applyBorder="true" applyFill="false" applyFont="false" applyNumberFormat="true" borderId="6385" fillId="0" fontId="1" numFmtId="1000" quotePrefix="false">
      <alignment horizontal="center" vertical="top"/>
    </xf>
    <xf applyAlignment="true" applyBorder="true" applyFill="false" applyFont="false" applyNumberFormat="true" borderId="6386" fillId="0" fontId="1" numFmtId="1000" quotePrefix="false">
      <alignment horizontal="center" vertical="top"/>
    </xf>
    <xf applyAlignment="true" applyBorder="true" applyFill="false" applyFont="false" applyNumberFormat="true" borderId="6387" fillId="0" fontId="1" numFmtId="1000" quotePrefix="false">
      <alignment horizontal="center" vertical="top"/>
    </xf>
    <xf applyAlignment="true" applyBorder="true" applyFill="false" applyFont="false" applyNumberFormat="true" borderId="6388" fillId="0" fontId="1" numFmtId="1000" quotePrefix="false">
      <alignment horizontal="center" vertical="top"/>
    </xf>
    <xf applyAlignment="true" applyBorder="true" applyFill="false" applyFont="false" applyNumberFormat="true" borderId="6389" fillId="0" fontId="1" numFmtId="1000" quotePrefix="false">
      <alignment horizontal="center" vertical="top"/>
    </xf>
    <xf applyAlignment="true" applyBorder="true" applyFill="false" applyFont="false" applyNumberFormat="true" borderId="6390" fillId="0" fontId="1" numFmtId="1000" quotePrefix="false">
      <alignment horizontal="center" vertical="top"/>
    </xf>
    <xf applyAlignment="true" applyBorder="true" applyFill="false" applyFont="true" applyNumberFormat="true" borderId="6391" fillId="0" fontId="13" numFmtId="1000" quotePrefix="false">
      <alignment horizontal="center" textRotation="90" vertical="top"/>
    </xf>
    <xf applyAlignment="true" applyBorder="true" applyFill="false" applyFont="false" applyNumberFormat="true" borderId="6392" fillId="0" fontId="1" numFmtId="1000" quotePrefix="false">
      <alignment horizontal="center" vertical="top"/>
    </xf>
    <xf applyAlignment="true" applyBorder="true" applyFill="false" applyFont="false" applyNumberFormat="true" borderId="6393" fillId="0" fontId="1" numFmtId="1000" quotePrefix="false">
      <alignment horizontal="center" vertical="top"/>
    </xf>
    <xf applyAlignment="true" applyBorder="true" applyFill="false" applyFont="false" applyNumberFormat="true" borderId="6394" fillId="0" fontId="1" numFmtId="1000" quotePrefix="false">
      <alignment horizontal="center" vertical="top"/>
    </xf>
    <xf applyAlignment="true" applyBorder="true" applyFill="false" applyFont="false" applyNumberFormat="true" borderId="6395" fillId="0" fontId="1" numFmtId="1000" quotePrefix="false">
      <alignment horizontal="center" vertical="top"/>
    </xf>
    <xf applyAlignment="true" applyBorder="true" applyFill="false" applyFont="false" applyNumberFormat="true" borderId="6396" fillId="0" fontId="1" numFmtId="1000" quotePrefix="false">
      <alignment horizontal="center" vertical="top"/>
    </xf>
    <xf applyAlignment="true" applyBorder="true" applyFill="false" applyFont="false" applyNumberFormat="true" borderId="6397" fillId="0" fontId="1" numFmtId="1000" quotePrefix="false">
      <alignment horizontal="center" vertical="top"/>
    </xf>
    <xf applyAlignment="true" applyBorder="true" applyFill="false" applyFont="true" applyNumberFormat="true" borderId="6398" fillId="0" fontId="13" numFmtId="1000" quotePrefix="false">
      <alignment horizontal="center" textRotation="90" vertical="top"/>
    </xf>
    <xf applyAlignment="true" applyBorder="true" applyFill="false" applyFont="false" applyNumberFormat="true" borderId="6399" fillId="0" fontId="1" numFmtId="1000" quotePrefix="false">
      <alignment horizontal="center" vertical="top"/>
    </xf>
    <xf applyAlignment="true" applyBorder="true" applyFill="false" applyFont="false" applyNumberFormat="true" borderId="6400" fillId="0" fontId="1" numFmtId="1000" quotePrefix="false">
      <alignment horizontal="center" vertical="top"/>
    </xf>
    <xf applyAlignment="true" applyBorder="true" applyFill="false" applyFont="false" applyNumberFormat="true" borderId="6401" fillId="0" fontId="1" numFmtId="1000" quotePrefix="false">
      <alignment horizontal="center" vertical="top"/>
    </xf>
    <xf applyAlignment="true" applyBorder="true" applyFill="false" applyFont="false" applyNumberFormat="true" borderId="6402" fillId="0" fontId="1" numFmtId="1000" quotePrefix="false">
      <alignment horizontal="center" vertical="top"/>
    </xf>
    <xf applyAlignment="true" applyBorder="true" applyFill="false" applyFont="false" applyNumberFormat="true" borderId="6403" fillId="0" fontId="1" numFmtId="1000" quotePrefix="false">
      <alignment horizontal="center" vertical="top"/>
    </xf>
    <xf applyAlignment="true" applyBorder="true" applyFill="false" applyFont="false" applyNumberFormat="true" borderId="6404" fillId="0" fontId="1" numFmtId="1000" quotePrefix="false">
      <alignment horizontal="center" vertical="top"/>
    </xf>
    <xf applyAlignment="true" applyBorder="true" applyFill="false" applyFont="true" applyNumberFormat="true" borderId="6405" fillId="0" fontId="13" numFmtId="1000" quotePrefix="false">
      <alignment horizontal="center" textRotation="90" vertical="top"/>
    </xf>
    <xf applyAlignment="true" applyBorder="true" applyFill="false" applyFont="false" applyNumberFormat="true" borderId="6406" fillId="0" fontId="1" numFmtId="1000" quotePrefix="false">
      <alignment horizontal="center" vertical="top"/>
    </xf>
    <xf applyAlignment="true" applyBorder="true" applyFill="false" applyFont="false" applyNumberFormat="true" borderId="6407" fillId="0" fontId="1" numFmtId="1000" quotePrefix="false">
      <alignment horizontal="center" vertical="top"/>
    </xf>
    <xf applyAlignment="true" applyBorder="true" applyFill="false" applyFont="false" applyNumberFormat="true" borderId="6408" fillId="0" fontId="1" numFmtId="1000" quotePrefix="false">
      <alignment horizontal="center" vertical="top"/>
    </xf>
    <xf applyAlignment="true" applyBorder="true" applyFill="false" applyFont="false" applyNumberFormat="true" borderId="6409" fillId="0" fontId="1" numFmtId="1000" quotePrefix="false">
      <alignment horizontal="center" vertical="top"/>
    </xf>
    <xf applyAlignment="true" applyBorder="true" applyFill="false" applyFont="false" applyNumberFormat="true" borderId="6410" fillId="0" fontId="1" numFmtId="1000" quotePrefix="false">
      <alignment horizontal="center" vertical="top"/>
    </xf>
    <xf applyAlignment="true" applyBorder="true" applyFill="false" applyFont="false" applyNumberFormat="true" borderId="6411" fillId="0" fontId="1" numFmtId="1000" quotePrefix="false">
      <alignment horizontal="center" vertical="top"/>
    </xf>
    <xf applyAlignment="true" applyBorder="true" applyFill="false" applyFont="true" applyNumberFormat="true" borderId="6412" fillId="0" fontId="13" numFmtId="1000" quotePrefix="false">
      <alignment horizontal="center" textRotation="90" vertical="top"/>
    </xf>
    <xf applyAlignment="true" applyBorder="true" applyFill="false" applyFont="false" applyNumberFormat="true" borderId="6413" fillId="0" fontId="1" numFmtId="1000" quotePrefix="false">
      <alignment horizontal="center" vertical="top"/>
    </xf>
    <xf applyAlignment="true" applyBorder="true" applyFill="false" applyFont="false" applyNumberFormat="true" borderId="6414" fillId="0" fontId="1" numFmtId="1000" quotePrefix="false">
      <alignment horizontal="center" vertical="top"/>
    </xf>
    <xf applyAlignment="true" applyBorder="true" applyFill="false" applyFont="false" applyNumberFormat="true" borderId="6415" fillId="0" fontId="1" numFmtId="1000" quotePrefix="false">
      <alignment horizontal="center" vertical="top"/>
    </xf>
    <xf applyAlignment="true" applyBorder="true" applyFill="false" applyFont="false" applyNumberFormat="true" borderId="6416" fillId="0" fontId="1" numFmtId="1000" quotePrefix="false">
      <alignment horizontal="center" vertical="top"/>
    </xf>
    <xf applyAlignment="true" applyBorder="true" applyFill="false" applyFont="false" applyNumberFormat="true" borderId="6417" fillId="0" fontId="1" numFmtId="1000" quotePrefix="false">
      <alignment horizontal="center" vertical="top"/>
    </xf>
    <xf applyAlignment="true" applyBorder="true" applyFill="false" applyFont="false" applyNumberFormat="true" borderId="6418" fillId="0" fontId="1" numFmtId="1000" quotePrefix="false">
      <alignment horizontal="center" vertical="top"/>
    </xf>
    <xf applyAlignment="true" applyBorder="true" applyFill="false" applyFont="false" applyNumberFormat="true" borderId="6419" fillId="0" fontId="1" numFmtId="1000" quotePrefix="false">
      <alignment horizontal="center" vertical="top"/>
    </xf>
    <xf applyAlignment="true" applyBorder="true" applyFill="false" applyFont="false" applyNumberFormat="true" borderId="6420" fillId="0" fontId="1" numFmtId="1000" quotePrefix="false">
      <alignment horizontal="center" vertical="top"/>
    </xf>
    <xf applyAlignment="true" applyBorder="true" applyFill="false" applyFont="false" applyNumberFormat="true" borderId="6421" fillId="0" fontId="1" numFmtId="1000" quotePrefix="false">
      <alignment horizontal="center" vertical="top"/>
    </xf>
    <xf applyAlignment="true" applyBorder="true" applyFill="false" applyFont="false" applyNumberFormat="true" borderId="6422" fillId="0" fontId="1" numFmtId="1000" quotePrefix="false">
      <alignment horizontal="center" vertical="top"/>
    </xf>
    <xf applyAlignment="true" applyBorder="true" applyFill="false" applyFont="true" applyNumberFormat="true" borderId="6423" fillId="0" fontId="13" numFmtId="1000" quotePrefix="false">
      <alignment horizontal="center" textRotation="90" vertical="top"/>
    </xf>
    <xf applyAlignment="true" applyBorder="true" applyFill="false" applyFont="true" applyNumberFormat="true" borderId="6424" fillId="0" fontId="2" numFmtId="1000" quotePrefix="false">
      <alignment horizontal="center" vertical="top"/>
    </xf>
    <xf applyAlignment="true" applyBorder="true" applyFill="false" applyFont="false" applyNumberFormat="true" borderId="6425" fillId="0" fontId="1" numFmtId="1000" quotePrefix="false">
      <alignment horizontal="left" vertical="top"/>
    </xf>
    <xf applyAlignment="true" applyBorder="true" applyFill="false" applyFont="false" applyNumberFormat="true" borderId="6426" fillId="0" fontId="1" numFmtId="1000" quotePrefix="false">
      <alignment horizontal="left" vertical="top"/>
    </xf>
    <xf applyAlignment="true" applyBorder="true" applyFill="false" applyFont="false" applyNumberFormat="true" borderId="6427" fillId="0" fontId="1" numFmtId="1000" quotePrefix="false">
      <alignment horizontal="left" vertical="top"/>
    </xf>
    <xf applyAlignment="true" applyBorder="true" applyFill="false" applyFont="false" applyNumberFormat="true" borderId="6428" fillId="0" fontId="1" numFmtId="1000" quotePrefix="false">
      <alignment horizontal="left" vertical="top"/>
    </xf>
    <xf applyAlignment="true" applyBorder="true" applyFill="false" applyFont="false" applyNumberFormat="true" borderId="6429" fillId="0" fontId="1" numFmtId="1000" quotePrefix="false">
      <alignment horizontal="left" vertical="top"/>
    </xf>
    <xf applyAlignment="true" applyBorder="true" applyFill="false" applyFont="false" applyNumberFormat="true" borderId="6430" fillId="0" fontId="1" numFmtId="1000" quotePrefix="false">
      <alignment horizontal="left" vertical="top"/>
    </xf>
    <xf applyAlignment="true" applyBorder="true" applyFill="false" applyFont="false" applyNumberFormat="true" borderId="6431" fillId="0" fontId="1" numFmtId="1000" quotePrefix="false">
      <alignment horizontal="left" vertical="top"/>
    </xf>
    <xf applyAlignment="true" applyBorder="true" applyFill="false" applyFont="false" applyNumberFormat="true" borderId="6432" fillId="0" fontId="1" numFmtId="1000" quotePrefix="false">
      <alignment horizontal="left" vertical="top"/>
    </xf>
    <xf applyAlignment="true" applyBorder="true" applyFill="false" applyFont="false" applyNumberFormat="true" borderId="6433" fillId="0" fontId="1" numFmtId="1000" quotePrefix="false">
      <alignment horizontal="left" vertical="top"/>
    </xf>
    <xf applyAlignment="true" applyBorder="true" applyFill="false" applyFont="false" applyNumberFormat="true" borderId="6434" fillId="0" fontId="1" numFmtId="1000" quotePrefix="false">
      <alignment horizontal="left" vertical="top"/>
    </xf>
    <xf applyAlignment="true" applyBorder="true" applyFill="false" applyFont="false" applyNumberFormat="true" borderId="6435" fillId="0" fontId="1" numFmtId="1000" quotePrefix="false">
      <alignment horizontal="left" vertical="top"/>
    </xf>
    <xf applyAlignment="true" applyBorder="true" applyFill="false" applyFont="false" applyNumberFormat="true" borderId="6436" fillId="0" fontId="1" numFmtId="1000" quotePrefix="false">
      <alignment horizontal="left" vertical="top"/>
    </xf>
    <xf applyAlignment="true" applyBorder="true" applyFill="false" applyFont="false" applyNumberFormat="true" borderId="6437" fillId="0" fontId="1" numFmtId="1000" quotePrefix="false">
      <alignment horizontal="left" vertical="top"/>
    </xf>
    <xf applyAlignment="true" applyBorder="true" applyFill="false" applyFont="false" applyNumberFormat="true" borderId="6438" fillId="0" fontId="1" numFmtId="1000" quotePrefix="false">
      <alignment horizontal="left" vertical="top"/>
    </xf>
    <xf applyAlignment="true" applyBorder="true" applyFill="false" applyFont="false" applyNumberFormat="true" borderId="6439" fillId="0" fontId="1" numFmtId="1000" quotePrefix="false">
      <alignment horizontal="left" vertical="top"/>
    </xf>
    <xf applyAlignment="true" applyBorder="true" applyFill="false" applyFont="false" applyNumberFormat="true" borderId="6440" fillId="0" fontId="1" numFmtId="1000" quotePrefix="false">
      <alignment horizontal="left" vertical="top"/>
    </xf>
    <xf applyAlignment="true" applyBorder="true" applyFill="false" applyFont="false" applyNumberFormat="true" borderId="6441" fillId="0" fontId="1" numFmtId="1000" quotePrefix="false">
      <alignment horizontal="left" vertical="top"/>
    </xf>
    <xf applyAlignment="true" applyBorder="true" applyFill="false" applyFont="false" applyNumberFormat="true" borderId="6442" fillId="0" fontId="1" numFmtId="1000" quotePrefix="false">
      <alignment horizontal="left" vertical="top"/>
    </xf>
    <xf applyAlignment="true" applyBorder="true" applyFill="false" applyFont="false" applyNumberFormat="true" borderId="6443" fillId="0" fontId="1" numFmtId="1000" quotePrefix="false">
      <alignment horizontal="left" vertical="top"/>
    </xf>
    <xf applyAlignment="true" applyBorder="true" applyFill="false" applyFont="true" applyNumberFormat="true" borderId="6444" fillId="0" fontId="13" numFmtId="1000" quotePrefix="false">
      <alignment horizontal="center" textRotation="90" vertical="top"/>
    </xf>
    <xf applyAlignment="true" applyBorder="true" applyFill="false" applyFont="true" applyNumberFormat="true" borderId="6445" fillId="0" fontId="2" numFmtId="1000" quotePrefix="false">
      <alignment horizontal="center"/>
    </xf>
    <xf applyAlignment="true" applyBorder="true" applyFill="false" applyFont="true" applyNumberFormat="true" borderId="6446" fillId="0" fontId="2" numFmtId="1000" quotePrefix="false">
      <alignment horizontal="center"/>
    </xf>
    <xf applyAlignment="true" applyBorder="true" applyFill="false" applyFont="true" applyNumberFormat="true" borderId="6447" fillId="0" fontId="2" numFmtId="1000" quotePrefix="false">
      <alignment horizontal="center"/>
    </xf>
    <xf applyAlignment="true" applyBorder="true" applyFill="false" applyFont="false" applyNumberFormat="true" borderId="6448" fillId="0" fontId="1" numFmtId="1000" quotePrefix="false">
      <alignment horizontal="center" vertical="top"/>
    </xf>
    <xf applyAlignment="true" applyBorder="true" applyFill="false" applyFont="false" applyNumberFormat="true" borderId="6449" fillId="0" fontId="1" numFmtId="1000" quotePrefix="false">
      <alignment horizontal="center" vertical="top"/>
    </xf>
    <xf applyAlignment="true" applyBorder="true" applyFill="false" applyFont="false" applyNumberFormat="true" borderId="6450" fillId="0" fontId="1" numFmtId="1000" quotePrefix="false">
      <alignment horizontal="center" vertical="top"/>
    </xf>
    <xf applyAlignment="true" applyBorder="true" applyFill="false" applyFont="false" applyNumberFormat="true" borderId="6451" fillId="0" fontId="1" numFmtId="1000" quotePrefix="false">
      <alignment horizontal="center" vertical="top"/>
    </xf>
    <xf applyAlignment="true" applyBorder="true" applyFill="false" applyFont="false" applyNumberFormat="true" borderId="6452" fillId="0" fontId="1" numFmtId="1000" quotePrefix="false">
      <alignment horizontal="center" vertical="top"/>
    </xf>
    <xf applyAlignment="true" applyBorder="true" applyFill="false" applyFont="false" applyNumberFormat="true" borderId="6453" fillId="0" fontId="1" numFmtId="1000" quotePrefix="false">
      <alignment horizontal="center" vertical="top"/>
    </xf>
    <xf applyAlignment="true" applyBorder="true" applyFill="false" applyFont="false" applyNumberFormat="true" borderId="6454" fillId="0" fontId="1" numFmtId="1000" quotePrefix="false">
      <alignment horizontal="center" vertical="top"/>
    </xf>
    <xf applyAlignment="true" applyBorder="true" applyFill="false" applyFont="false" applyNumberFormat="true" borderId="6455" fillId="0" fontId="1" numFmtId="1000" quotePrefix="false">
      <alignment horizontal="center" vertical="top"/>
    </xf>
    <xf applyAlignment="true" applyBorder="true" applyFill="false" applyFont="false" applyNumberFormat="true" borderId="6456" fillId="0" fontId="1" numFmtId="1000" quotePrefix="false">
      <alignment horizontal="center" vertical="top"/>
    </xf>
    <xf applyAlignment="true" applyBorder="true" applyFill="false" applyFont="false" applyNumberFormat="true" borderId="6457" fillId="0" fontId="1" numFmtId="1000" quotePrefix="false">
      <alignment horizontal="center" vertical="top"/>
    </xf>
    <xf applyAlignment="true" applyBorder="true" applyFill="false" applyFont="false" applyNumberFormat="true" borderId="6458" fillId="0" fontId="1" numFmtId="1000" quotePrefix="false">
      <alignment horizontal="center" vertical="top"/>
    </xf>
    <xf applyAlignment="true" applyBorder="true" applyFill="false" applyFont="false" applyNumberFormat="true" borderId="6459" fillId="0" fontId="1" numFmtId="1000" quotePrefix="false">
      <alignment horizontal="center" vertical="top"/>
    </xf>
    <xf applyAlignment="true" applyBorder="true" applyFill="false" applyFont="false" applyNumberFormat="true" borderId="6460" fillId="0" fontId="1" numFmtId="1000" quotePrefix="false">
      <alignment horizontal="center" vertical="top"/>
    </xf>
    <xf applyAlignment="true" applyBorder="true" applyFill="false" applyFont="false" applyNumberFormat="true" borderId="6461" fillId="0" fontId="1" numFmtId="1000" quotePrefix="false">
      <alignment horizontal="center" vertical="top"/>
    </xf>
    <xf applyAlignment="true" applyBorder="true" applyFill="false" applyFont="false" applyNumberFormat="true" borderId="6462" fillId="0" fontId="1" numFmtId="1000" quotePrefix="false">
      <alignment horizontal="center" vertical="top"/>
    </xf>
    <xf applyAlignment="true" applyBorder="true" applyFill="false" applyFont="false" applyNumberFormat="true" borderId="6463" fillId="0" fontId="1" numFmtId="1000" quotePrefix="false">
      <alignment horizontal="center" vertical="top"/>
    </xf>
    <xf applyAlignment="true" applyBorder="true" applyFill="false" applyFont="true" applyNumberFormat="true" borderId="6464" fillId="0" fontId="13" numFmtId="1000" quotePrefix="false">
      <alignment horizontal="center" textRotation="90" vertical="top"/>
    </xf>
    <xf applyAlignment="true" applyBorder="true" applyFill="false" applyFont="false" applyNumberFormat="true" borderId="6465" fillId="0" fontId="1" numFmtId="1000" quotePrefix="false">
      <alignment horizontal="center" vertical="top"/>
    </xf>
    <xf applyAlignment="true" applyBorder="true" applyFill="false" applyFont="true" applyNumberFormat="true" borderId="6466" fillId="0" fontId="13" numFmtId="1000" quotePrefix="false">
      <alignment horizontal="center" textRotation="90" vertical="top"/>
    </xf>
    <xf applyAlignment="true" applyBorder="true" applyFill="false" applyFont="false" applyNumberFormat="true" borderId="6467" fillId="0" fontId="1" numFmtId="1000" quotePrefix="false">
      <alignment horizontal="center" vertical="top"/>
    </xf>
    <xf applyAlignment="true" applyBorder="true" applyFill="false" applyFont="false" applyNumberFormat="true" borderId="6468" fillId="0" fontId="1" numFmtId="1000" quotePrefix="false">
      <alignment horizontal="center" vertical="top"/>
    </xf>
    <xf applyAlignment="true" applyBorder="true" applyFill="false" applyFont="true" applyNumberFormat="true" borderId="6469" fillId="0" fontId="13" numFmtId="1000" quotePrefix="false">
      <alignment horizontal="center" textRotation="90" vertical="top"/>
    </xf>
    <xf applyAlignment="true" applyBorder="true" applyFill="false" applyFont="false" applyNumberFormat="true" borderId="6470" fillId="0" fontId="1" numFmtId="1000" quotePrefix="false">
      <alignment horizontal="center" vertical="top"/>
    </xf>
    <xf applyAlignment="true" applyBorder="true" applyFill="false" applyFont="false" applyNumberFormat="true" borderId="6471" fillId="0" fontId="1" numFmtId="1000" quotePrefix="false">
      <alignment horizontal="center" vertical="top"/>
    </xf>
    <xf applyAlignment="true" applyBorder="true" applyFill="false" applyFont="true" applyNumberFormat="true" borderId="6472" fillId="0" fontId="13" numFmtId="1000" quotePrefix="false">
      <alignment horizontal="center" textRotation="90" vertical="top"/>
    </xf>
    <xf applyAlignment="true" applyBorder="true" applyFill="false" applyFont="false" applyNumberFormat="true" borderId="6473" fillId="0" fontId="1" numFmtId="1000" quotePrefix="false">
      <alignment horizontal="center" vertical="top"/>
    </xf>
    <xf applyAlignment="true" applyBorder="true" applyFill="false" applyFont="false" applyNumberFormat="true" borderId="6474" fillId="0" fontId="1" numFmtId="1000" quotePrefix="false">
      <alignment horizontal="center" vertical="top"/>
    </xf>
    <xf applyAlignment="true" applyBorder="true" applyFill="false" applyFont="true" applyNumberFormat="true" borderId="6475" fillId="0" fontId="13" numFmtId="1000" quotePrefix="false">
      <alignment horizontal="center" textRotation="90" vertical="top"/>
    </xf>
    <xf applyAlignment="true" applyBorder="true" applyFill="false" applyFont="false" applyNumberFormat="true" borderId="6476" fillId="0" fontId="1" numFmtId="1000" quotePrefix="false">
      <alignment horizontal="center" vertical="top"/>
    </xf>
    <xf applyAlignment="true" applyBorder="true" applyFill="false" applyFont="false" applyNumberFormat="true" borderId="6477" fillId="0" fontId="1" numFmtId="1000" quotePrefix="false">
      <alignment horizontal="center" vertical="top"/>
    </xf>
    <xf applyAlignment="true" applyBorder="true" applyFill="false" applyFont="true" applyNumberFormat="true" borderId="6478" fillId="0" fontId="13" numFmtId="1000" quotePrefix="false">
      <alignment horizontal="center" textRotation="90" vertical="top"/>
    </xf>
    <xf applyAlignment="true" applyBorder="true" applyFill="false" applyFont="false" applyNumberFormat="true" borderId="6479" fillId="0" fontId="1" numFmtId="1000" quotePrefix="false">
      <alignment horizontal="center" vertical="top"/>
    </xf>
    <xf applyAlignment="true" applyBorder="true" applyFill="false" applyFont="false" applyNumberFormat="true" borderId="6480" fillId="0" fontId="1" numFmtId="1000" quotePrefix="false">
      <alignment horizontal="center" vertical="top"/>
    </xf>
    <xf applyAlignment="true" applyBorder="true" applyFill="false" applyFont="true" applyNumberFormat="true" borderId="6481" fillId="0" fontId="13" numFmtId="1000" quotePrefix="false">
      <alignment horizontal="center" textRotation="90" vertical="top"/>
    </xf>
    <xf applyAlignment="true" applyBorder="true" applyFill="false" applyFont="false" applyNumberFormat="true" borderId="6482" fillId="0" fontId="1" numFmtId="1000" quotePrefix="false">
      <alignment horizontal="center" vertical="top"/>
    </xf>
    <xf applyAlignment="true" applyBorder="true" applyFill="false" applyFont="false" applyNumberFormat="true" borderId="6483" fillId="0" fontId="1" numFmtId="1000" quotePrefix="false">
      <alignment horizontal="center" vertical="top"/>
    </xf>
    <xf applyAlignment="true" applyBorder="true" applyFill="false" applyFont="true" applyNumberFormat="true" borderId="6484" fillId="0" fontId="13" numFmtId="1000" quotePrefix="false">
      <alignment horizontal="center" textRotation="90" vertical="top"/>
    </xf>
    <xf applyAlignment="true" applyBorder="true" applyFill="false" applyFont="false" applyNumberFormat="true" borderId="6485" fillId="0" fontId="1" numFmtId="1000" quotePrefix="false">
      <alignment horizontal="center" vertical="top"/>
    </xf>
    <xf applyAlignment="true" applyBorder="true" applyFill="false" applyFont="false" applyNumberFormat="true" borderId="6486" fillId="0" fontId="1" numFmtId="1000" quotePrefix="false">
      <alignment horizontal="center" vertical="top"/>
    </xf>
    <xf applyAlignment="true" applyBorder="true" applyFill="false" applyFont="true" applyNumberFormat="true" borderId="6487" fillId="0" fontId="13" numFmtId="1000" quotePrefix="false">
      <alignment horizontal="center" textRotation="90" vertical="top"/>
    </xf>
    <xf applyAlignment="true" applyBorder="true" applyFill="false" applyFont="false" applyNumberFormat="true" borderId="6488" fillId="0" fontId="1" numFmtId="1000" quotePrefix="false">
      <alignment horizontal="center" vertical="top"/>
    </xf>
    <xf applyAlignment="true" applyBorder="true" applyFill="false" applyFont="false" applyNumberFormat="true" borderId="6489" fillId="0" fontId="1" numFmtId="1000" quotePrefix="false">
      <alignment horizontal="center" vertical="top"/>
    </xf>
    <xf applyAlignment="true" applyBorder="true" applyFill="false" applyFont="true" applyNumberFormat="true" borderId="6490" fillId="0" fontId="13" numFmtId="1000" quotePrefix="false">
      <alignment horizontal="center" textRotation="90" vertical="top"/>
    </xf>
    <xf applyAlignment="true" applyBorder="true" applyFill="false" applyFont="true" applyNumberFormat="true" borderId="6491" fillId="0" fontId="2" numFmtId="1000" quotePrefix="false">
      <alignment horizontal="center" vertical="top"/>
    </xf>
    <xf applyAlignment="true" applyBorder="true" applyFill="false" applyFont="false" applyNumberFormat="true" borderId="6492" fillId="0" fontId="1" numFmtId="1000" quotePrefix="false">
      <alignment horizontal="left" vertical="top"/>
    </xf>
    <xf applyAlignment="true" applyBorder="true" applyFill="false" applyFont="false" applyNumberFormat="true" borderId="6493" fillId="0" fontId="1" numFmtId="1000" quotePrefix="false">
      <alignment horizontal="left" vertical="top"/>
    </xf>
    <xf applyAlignment="true" applyBorder="true" applyFill="false" applyFont="false" applyNumberFormat="true" borderId="6494" fillId="0" fontId="1" numFmtId="1000" quotePrefix="false">
      <alignment horizontal="left" vertical="top"/>
    </xf>
    <xf applyAlignment="true" applyBorder="true" applyFill="false" applyFont="false" applyNumberFormat="true" borderId="6495" fillId="0" fontId="1" numFmtId="1000" quotePrefix="false">
      <alignment horizontal="left" vertical="top"/>
    </xf>
    <xf applyAlignment="true" applyBorder="true" applyFill="false" applyFont="false" applyNumberFormat="true" borderId="6496" fillId="0" fontId="1" numFmtId="1000" quotePrefix="false">
      <alignment horizontal="left" vertical="top"/>
    </xf>
    <xf applyAlignment="true" applyBorder="true" applyFill="false" applyFont="false" applyNumberFormat="true" borderId="6497" fillId="0" fontId="1" numFmtId="1000" quotePrefix="false">
      <alignment horizontal="left" vertical="top"/>
    </xf>
    <xf applyAlignment="true" applyBorder="true" applyFill="false" applyFont="false" applyNumberFormat="true" borderId="6498" fillId="0" fontId="1" numFmtId="1000" quotePrefix="false">
      <alignment horizontal="left" vertical="top"/>
    </xf>
    <xf applyAlignment="true" applyBorder="true" applyFill="false" applyFont="false" applyNumberFormat="true" borderId="6499" fillId="0" fontId="1" numFmtId="1000" quotePrefix="false">
      <alignment horizontal="left" vertical="top"/>
    </xf>
    <xf applyAlignment="true" applyBorder="true" applyFill="false" applyFont="false" applyNumberFormat="true" borderId="6500" fillId="0" fontId="1" numFmtId="1000" quotePrefix="false">
      <alignment horizontal="left" vertical="top"/>
    </xf>
    <xf applyAlignment="true" applyBorder="true" applyFill="false" applyFont="false" applyNumberFormat="true" borderId="6501" fillId="0" fontId="1" numFmtId="1000" quotePrefix="false">
      <alignment horizontal="left" vertical="top"/>
    </xf>
    <xf applyAlignment="true" applyBorder="true" applyFill="false" applyFont="false" applyNumberFormat="true" borderId="6502" fillId="0" fontId="1" numFmtId="1000" quotePrefix="false">
      <alignment horizontal="left" vertical="top"/>
    </xf>
    <xf applyAlignment="true" applyBorder="true" applyFill="false" applyFont="false" applyNumberFormat="true" borderId="6503" fillId="0" fontId="1" numFmtId="1000" quotePrefix="false">
      <alignment horizontal="left" vertical="top"/>
    </xf>
    <xf applyAlignment="true" applyBorder="true" applyFill="false" applyFont="false" applyNumberFormat="true" borderId="6504" fillId="0" fontId="1" numFmtId="1000" quotePrefix="false">
      <alignment horizontal="left" vertical="top"/>
    </xf>
    <xf applyAlignment="true" applyBorder="true" applyFill="false" applyFont="false" applyNumberFormat="true" borderId="6505" fillId="0" fontId="1" numFmtId="1000" quotePrefix="false">
      <alignment horizontal="left" vertical="top"/>
    </xf>
    <xf applyAlignment="true" applyBorder="true" applyFill="false" applyFont="false" applyNumberFormat="true" borderId="6506" fillId="0" fontId="1" numFmtId="1000" quotePrefix="false">
      <alignment horizontal="left" vertical="top"/>
    </xf>
    <xf applyAlignment="true" applyBorder="true" applyFill="false" applyFont="false" applyNumberFormat="true" borderId="6507" fillId="0" fontId="1" numFmtId="1000" quotePrefix="false">
      <alignment horizontal="left" vertical="top"/>
    </xf>
    <xf applyAlignment="true" applyBorder="true" applyFill="false" applyFont="false" applyNumberFormat="true" borderId="6508" fillId="0" fontId="1" numFmtId="1000" quotePrefix="false">
      <alignment horizontal="left" vertical="top"/>
    </xf>
    <xf applyAlignment="true" applyBorder="true" applyFill="false" applyFont="false" applyNumberFormat="true" borderId="6509" fillId="0" fontId="1" numFmtId="1000" quotePrefix="false">
      <alignment horizontal="left" vertical="top"/>
    </xf>
    <xf applyAlignment="true" applyBorder="true" applyFill="false" applyFont="false" applyNumberFormat="true" borderId="6510" fillId="0" fontId="1" numFmtId="1000" quotePrefix="false">
      <alignment horizontal="left" vertical="top"/>
    </xf>
    <xf applyAlignment="true" applyBorder="true" applyFill="false" applyFont="true" applyNumberFormat="true" borderId="6511" fillId="0" fontId="13" numFmtId="1000" quotePrefix="false">
      <alignment horizontal="center" textRotation="90" vertical="top"/>
    </xf>
    <xf applyAlignment="true" applyBorder="true" applyFill="false" applyFont="true" applyNumberFormat="true" borderId="6512" fillId="0" fontId="2" numFmtId="1000" quotePrefix="false">
      <alignment horizontal="center"/>
    </xf>
    <xf applyAlignment="true" applyBorder="true" applyFill="false" applyFont="true" applyNumberFormat="true" borderId="6513" fillId="0" fontId="2" numFmtId="1000" quotePrefix="false">
      <alignment horizontal="center"/>
    </xf>
    <xf applyAlignment="true" applyBorder="true" applyFill="false" applyFont="true" applyNumberFormat="true" borderId="6514" fillId="0" fontId="2" numFmtId="1000" quotePrefix="false">
      <alignment horizontal="center"/>
    </xf>
    <xf applyAlignment="true" applyBorder="true" applyFill="false" applyFont="false" applyNumberFormat="true" borderId="6515" fillId="0" fontId="1" numFmtId="1000" quotePrefix="false">
      <alignment horizontal="center" vertical="top"/>
    </xf>
    <xf applyAlignment="true" applyBorder="true" applyFill="false" applyFont="false" applyNumberFormat="true" borderId="6516" fillId="0" fontId="1" numFmtId="1000" quotePrefix="false">
      <alignment horizontal="center" vertical="top"/>
    </xf>
    <xf applyAlignment="true" applyBorder="true" applyFill="false" applyFont="false" applyNumberFormat="true" borderId="6517" fillId="0" fontId="1" numFmtId="1000" quotePrefix="false">
      <alignment horizontal="center" vertical="top"/>
    </xf>
    <xf applyAlignment="true" applyBorder="true" applyFill="false" applyFont="false" applyNumberFormat="true" borderId="6518" fillId="0" fontId="1" numFmtId="1000" quotePrefix="false">
      <alignment horizontal="center" vertical="top"/>
    </xf>
    <xf applyAlignment="true" applyBorder="true" applyFill="false" applyFont="false" applyNumberFormat="true" borderId="6519" fillId="0" fontId="1" numFmtId="1000" quotePrefix="false">
      <alignment horizontal="center" vertical="top"/>
    </xf>
    <xf applyAlignment="true" applyBorder="true" applyFill="false" applyFont="false" applyNumberFormat="true" borderId="6520" fillId="0" fontId="1" numFmtId="1000" quotePrefix="false">
      <alignment horizontal="center" vertical="top"/>
    </xf>
    <xf applyAlignment="true" applyBorder="true" applyFill="false" applyFont="false" applyNumberFormat="true" borderId="6521" fillId="0" fontId="1" numFmtId="1000" quotePrefix="false">
      <alignment horizontal="center" vertical="top"/>
    </xf>
    <xf applyAlignment="true" applyBorder="true" applyFill="false" applyFont="false" applyNumberFormat="true" borderId="6522" fillId="0" fontId="1" numFmtId="1000" quotePrefix="false">
      <alignment horizontal="center" vertical="top"/>
    </xf>
    <xf applyAlignment="true" applyBorder="true" applyFill="false" applyFont="false" applyNumberFormat="true" borderId="6523" fillId="0" fontId="1" numFmtId="1000" quotePrefix="false">
      <alignment horizontal="center" vertical="top"/>
    </xf>
    <xf applyAlignment="true" applyBorder="true" applyFill="false" applyFont="false" applyNumberFormat="true" borderId="6524" fillId="0" fontId="1" numFmtId="1000" quotePrefix="false">
      <alignment horizontal="center" vertical="top"/>
    </xf>
    <xf applyAlignment="true" applyBorder="true" applyFill="false" applyFont="false" applyNumberFormat="true" borderId="6525" fillId="0" fontId="1" numFmtId="1000" quotePrefix="false">
      <alignment horizontal="center" vertical="top"/>
    </xf>
    <xf applyAlignment="true" applyBorder="true" applyFill="false" applyFont="false" applyNumberFormat="true" borderId="6526" fillId="0" fontId="1" numFmtId="1000" quotePrefix="false">
      <alignment horizontal="center" vertical="top"/>
    </xf>
    <xf applyAlignment="true" applyBorder="true" applyFill="false" applyFont="false" applyNumberFormat="true" borderId="6527" fillId="0" fontId="1" numFmtId="1000" quotePrefix="false">
      <alignment horizontal="center" vertical="top"/>
    </xf>
    <xf applyAlignment="true" applyBorder="true" applyFill="false" applyFont="false" applyNumberFormat="true" borderId="6528" fillId="0" fontId="1" numFmtId="1000" quotePrefix="false">
      <alignment horizontal="center" vertical="top"/>
    </xf>
    <xf applyAlignment="true" applyBorder="true" applyFill="false" applyFont="false" applyNumberFormat="true" borderId="6529" fillId="0" fontId="1" numFmtId="1000" quotePrefix="false">
      <alignment horizontal="center" vertical="top"/>
    </xf>
    <xf applyAlignment="true" applyBorder="true" applyFill="false" applyFont="false" applyNumberFormat="true" borderId="6530" fillId="0" fontId="1" numFmtId="1000" quotePrefix="false">
      <alignment horizontal="center" vertical="top"/>
    </xf>
    <xf applyAlignment="true" applyBorder="true" applyFill="false" applyFont="true" applyNumberFormat="true" borderId="6531" fillId="0" fontId="13" numFmtId="1000" quotePrefix="false">
      <alignment horizontal="center" textRotation="90" vertical="top"/>
    </xf>
    <xf applyAlignment="true" applyBorder="true" applyFill="false" applyFont="false" applyNumberFormat="true" borderId="6532" fillId="0" fontId="1" numFmtId="1000" quotePrefix="false">
      <alignment horizontal="center" vertical="top"/>
    </xf>
    <xf applyAlignment="true" applyBorder="true" applyFill="false" applyFont="false" applyNumberFormat="true" borderId="6533" fillId="0" fontId="1" numFmtId="1000" quotePrefix="false">
      <alignment horizontal="center" vertical="top"/>
    </xf>
    <xf applyAlignment="true" applyBorder="true" applyFill="false" applyFont="false" applyNumberFormat="true" borderId="6534" fillId="0" fontId="1" numFmtId="1000" quotePrefix="false">
      <alignment horizontal="center" vertical="top"/>
    </xf>
    <xf applyAlignment="true" applyBorder="true" applyFill="false" applyFont="false" applyNumberFormat="true" borderId="6535" fillId="0" fontId="1" numFmtId="1000" quotePrefix="false">
      <alignment horizontal="center" vertical="top"/>
    </xf>
    <xf applyAlignment="true" applyBorder="true" applyFill="false" applyFont="false" applyNumberFormat="true" borderId="6536" fillId="0" fontId="1" numFmtId="1000" quotePrefix="false">
      <alignment horizontal="center" vertical="top"/>
    </xf>
    <xf applyAlignment="true" applyBorder="true" applyFill="false" applyFont="false" applyNumberFormat="true" borderId="6537" fillId="0" fontId="1" numFmtId="1000" quotePrefix="false">
      <alignment horizontal="center" vertical="top"/>
    </xf>
    <xf applyAlignment="true" applyBorder="true" applyFill="false" applyFont="false" applyNumberFormat="true" borderId="6538" fillId="0" fontId="1" numFmtId="1000" quotePrefix="false">
      <alignment horizontal="center" vertical="top"/>
    </xf>
    <xf applyAlignment="true" applyBorder="true" applyFill="false" applyFont="true" applyNumberFormat="true" borderId="6539" fillId="0" fontId="13" numFmtId="1000" quotePrefix="false">
      <alignment horizontal="center" textRotation="90" vertical="top"/>
    </xf>
    <xf applyAlignment="true" applyBorder="true" applyFill="false" applyFont="false" applyNumberFormat="true" borderId="6540" fillId="0" fontId="1" numFmtId="1000" quotePrefix="false">
      <alignment horizontal="center" vertical="top"/>
    </xf>
    <xf applyAlignment="true" applyBorder="true" applyFill="false" applyFont="false" applyNumberFormat="true" borderId="6541" fillId="0" fontId="1" numFmtId="1000" quotePrefix="false">
      <alignment horizontal="center" vertical="top"/>
    </xf>
    <xf applyAlignment="true" applyBorder="true" applyFill="false" applyFont="false" applyNumberFormat="true" borderId="6542" fillId="0" fontId="1" numFmtId="1000" quotePrefix="false">
      <alignment horizontal="center" vertical="top"/>
    </xf>
    <xf applyAlignment="true" applyBorder="true" applyFill="false" applyFont="false" applyNumberFormat="true" borderId="6543" fillId="0" fontId="1" numFmtId="1000" quotePrefix="false">
      <alignment horizontal="center" vertical="top"/>
    </xf>
    <xf applyAlignment="true" applyBorder="true" applyFill="false" applyFont="false" applyNumberFormat="true" borderId="6544" fillId="0" fontId="1" numFmtId="1000" quotePrefix="false">
      <alignment horizontal="center" vertical="top"/>
    </xf>
    <xf applyAlignment="true" applyBorder="true" applyFill="false" applyFont="false" applyNumberFormat="true" borderId="6545" fillId="0" fontId="1" numFmtId="1000" quotePrefix="false">
      <alignment horizontal="center" vertical="top"/>
    </xf>
    <xf applyAlignment="true" applyBorder="true" applyFill="false" applyFont="true" applyNumberFormat="true" borderId="6546" fillId="0" fontId="13" numFmtId="1000" quotePrefix="false">
      <alignment horizontal="center" textRotation="90" vertical="top"/>
    </xf>
    <xf applyAlignment="true" applyBorder="true" applyFill="false" applyFont="false" applyNumberFormat="true" borderId="6547" fillId="0" fontId="1" numFmtId="1000" quotePrefix="false">
      <alignment horizontal="center" vertical="top"/>
    </xf>
    <xf applyAlignment="true" applyBorder="true" applyFill="false" applyFont="false" applyNumberFormat="true" borderId="6548" fillId="0" fontId="1" numFmtId="1000" quotePrefix="false">
      <alignment horizontal="center" vertical="top"/>
    </xf>
    <xf applyAlignment="true" applyBorder="true" applyFill="false" applyFont="false" applyNumberFormat="true" borderId="6549" fillId="0" fontId="1" numFmtId="1000" quotePrefix="false">
      <alignment horizontal="center" vertical="top"/>
    </xf>
    <xf applyAlignment="true" applyBorder="true" applyFill="false" applyFont="false" applyNumberFormat="true" borderId="6550" fillId="0" fontId="1" numFmtId="1000" quotePrefix="false">
      <alignment horizontal="center" vertical="top"/>
    </xf>
    <xf applyAlignment="true" applyBorder="true" applyFill="false" applyFont="false" applyNumberFormat="true" borderId="6551" fillId="0" fontId="1" numFmtId="1000" quotePrefix="false">
      <alignment horizontal="center" vertical="top"/>
    </xf>
    <xf applyAlignment="true" applyBorder="true" applyFill="false" applyFont="false" applyNumberFormat="true" borderId="6552" fillId="0" fontId="1" numFmtId="1000" quotePrefix="false">
      <alignment horizontal="center" vertical="top"/>
    </xf>
    <xf applyAlignment="true" applyBorder="true" applyFill="false" applyFont="true" applyNumberFormat="true" borderId="6553" fillId="0" fontId="13" numFmtId="1000" quotePrefix="false">
      <alignment horizontal="center" textRotation="90" vertical="top"/>
    </xf>
    <xf applyAlignment="true" applyBorder="true" applyFill="false" applyFont="false" applyNumberFormat="true" borderId="6554" fillId="0" fontId="1" numFmtId="1000" quotePrefix="false">
      <alignment horizontal="center" vertical="top"/>
    </xf>
    <xf applyAlignment="true" applyBorder="true" applyFill="false" applyFont="false" applyNumberFormat="true" borderId="6555" fillId="0" fontId="1" numFmtId="1000" quotePrefix="false">
      <alignment horizontal="center" vertical="top"/>
    </xf>
    <xf applyAlignment="true" applyBorder="true" applyFill="false" applyFont="false" applyNumberFormat="true" borderId="6556" fillId="0" fontId="1" numFmtId="1000" quotePrefix="false">
      <alignment horizontal="center" vertical="top"/>
    </xf>
    <xf applyAlignment="true" applyBorder="true" applyFill="false" applyFont="false" applyNumberFormat="true" borderId="6557" fillId="0" fontId="1" numFmtId="1000" quotePrefix="false">
      <alignment horizontal="center" vertical="top"/>
    </xf>
    <xf applyAlignment="true" applyBorder="true" applyFill="false" applyFont="false" applyNumberFormat="true" borderId="6558" fillId="0" fontId="1" numFmtId="1000" quotePrefix="false">
      <alignment horizontal="center" vertical="top"/>
    </xf>
    <xf applyAlignment="true" applyBorder="true" applyFill="false" applyFont="false" applyNumberFormat="true" borderId="6559" fillId="0" fontId="1" numFmtId="1000" quotePrefix="false">
      <alignment horizontal="center" vertical="top"/>
    </xf>
    <xf applyAlignment="true" applyBorder="true" applyFill="false" applyFont="true" applyNumberFormat="true" borderId="6560" fillId="0" fontId="13" numFmtId="1000" quotePrefix="false">
      <alignment horizontal="center" textRotation="90" vertical="top"/>
    </xf>
    <xf applyAlignment="true" applyBorder="true" applyFill="false" applyFont="false" applyNumberFormat="true" borderId="6561" fillId="0" fontId="1" numFmtId="1000" quotePrefix="false">
      <alignment horizontal="center" vertical="top"/>
    </xf>
    <xf applyAlignment="true" applyBorder="true" applyFill="false" applyFont="false" applyNumberFormat="true" borderId="6562" fillId="0" fontId="1" numFmtId="1000" quotePrefix="false">
      <alignment horizontal="center" vertical="top"/>
    </xf>
    <xf applyAlignment="true" applyBorder="true" applyFill="false" applyFont="false" applyNumberFormat="true" borderId="6563" fillId="0" fontId="1" numFmtId="1000" quotePrefix="false">
      <alignment horizontal="center" vertical="top"/>
    </xf>
    <xf applyAlignment="true" applyBorder="true" applyFill="false" applyFont="false" applyNumberFormat="true" borderId="6564" fillId="0" fontId="1" numFmtId="1000" quotePrefix="false">
      <alignment horizontal="center" vertical="top"/>
    </xf>
    <xf applyAlignment="true" applyBorder="true" applyFill="false" applyFont="false" applyNumberFormat="true" borderId="6565" fillId="0" fontId="1" numFmtId="1000" quotePrefix="false">
      <alignment horizontal="center" vertical="top"/>
    </xf>
    <xf applyAlignment="true" applyBorder="true" applyFill="false" applyFont="false" applyNumberFormat="true" borderId="6566" fillId="0" fontId="1" numFmtId="1000" quotePrefix="false">
      <alignment horizontal="center" vertical="top"/>
    </xf>
    <xf applyAlignment="true" applyBorder="true" applyFill="false" applyFont="true" applyNumberFormat="true" borderId="6567" fillId="0" fontId="13" numFmtId="1000" quotePrefix="false">
      <alignment horizontal="center" textRotation="90" vertical="top"/>
    </xf>
    <xf applyAlignment="true" applyBorder="true" applyFill="false" applyFont="false" applyNumberFormat="true" borderId="6568" fillId="0" fontId="1" numFmtId="1000" quotePrefix="false">
      <alignment horizontal="center" vertical="top"/>
    </xf>
    <xf applyAlignment="true" applyBorder="true" applyFill="false" applyFont="false" applyNumberFormat="true" borderId="6569" fillId="0" fontId="1" numFmtId="1000" quotePrefix="false">
      <alignment horizontal="center" vertical="top"/>
    </xf>
    <xf applyAlignment="true" applyBorder="true" applyFill="false" applyFont="false" applyNumberFormat="true" borderId="6570" fillId="0" fontId="1" numFmtId="1000" quotePrefix="false">
      <alignment horizontal="center" vertical="top"/>
    </xf>
    <xf applyAlignment="true" applyBorder="true" applyFill="false" applyFont="false" applyNumberFormat="true" borderId="6571" fillId="0" fontId="1" numFmtId="1000" quotePrefix="false">
      <alignment horizontal="center" vertical="top"/>
    </xf>
    <xf applyAlignment="true" applyBorder="true" applyFill="false" applyFont="false" applyNumberFormat="true" borderId="6572" fillId="0" fontId="1" numFmtId="1000" quotePrefix="false">
      <alignment horizontal="center" vertical="top"/>
    </xf>
    <xf applyAlignment="true" applyBorder="true" applyFill="false" applyFont="false" applyNumberFormat="true" borderId="6573" fillId="0" fontId="1" numFmtId="1000" quotePrefix="false">
      <alignment horizontal="center" vertical="top"/>
    </xf>
    <xf applyAlignment="true" applyBorder="true" applyFill="false" applyFont="true" applyNumberFormat="true" borderId="6574" fillId="0" fontId="13" numFmtId="1000" quotePrefix="false">
      <alignment horizontal="center" textRotation="90" vertical="top"/>
    </xf>
    <xf applyAlignment="true" applyBorder="true" applyFill="false" applyFont="false" applyNumberFormat="true" borderId="6575" fillId="0" fontId="1" numFmtId="1000" quotePrefix="false">
      <alignment horizontal="center" vertical="top"/>
    </xf>
    <xf applyAlignment="true" applyBorder="true" applyFill="false" applyFont="false" applyNumberFormat="true" borderId="6576" fillId="0" fontId="1" numFmtId="1000" quotePrefix="false">
      <alignment horizontal="center" vertical="top"/>
    </xf>
    <xf applyAlignment="true" applyBorder="true" applyFill="false" applyFont="false" applyNumberFormat="true" borderId="6577" fillId="0" fontId="1" numFmtId="1000" quotePrefix="false">
      <alignment horizontal="center" vertical="top"/>
    </xf>
    <xf applyAlignment="true" applyBorder="true" applyFill="false" applyFont="false" applyNumberFormat="true" borderId="6578" fillId="0" fontId="1" numFmtId="1000" quotePrefix="false">
      <alignment horizontal="center" vertical="top"/>
    </xf>
    <xf applyAlignment="true" applyBorder="true" applyFill="false" applyFont="false" applyNumberFormat="true" borderId="6579" fillId="0" fontId="1" numFmtId="1000" quotePrefix="false">
      <alignment horizontal="center" vertical="top"/>
    </xf>
    <xf applyAlignment="true" applyBorder="true" applyFill="false" applyFont="false" applyNumberFormat="true" borderId="6580" fillId="0" fontId="1" numFmtId="1000" quotePrefix="false">
      <alignment horizontal="center" vertical="top"/>
    </xf>
    <xf applyAlignment="true" applyBorder="true" applyFill="false" applyFont="true" applyNumberFormat="true" borderId="6581" fillId="0" fontId="13" numFmtId="1000" quotePrefix="false">
      <alignment horizontal="center" textRotation="90" vertical="top"/>
    </xf>
    <xf applyAlignment="true" applyBorder="true" applyFill="false" applyFont="false" applyNumberFormat="true" borderId="6582" fillId="0" fontId="1" numFmtId="1000" quotePrefix="false">
      <alignment horizontal="center" vertical="top"/>
    </xf>
    <xf applyAlignment="true" applyBorder="true" applyFill="false" applyFont="false" applyNumberFormat="true" borderId="6583" fillId="0" fontId="1" numFmtId="1000" quotePrefix="false">
      <alignment horizontal="center" vertical="top"/>
    </xf>
    <xf applyAlignment="true" applyBorder="true" applyFill="false" applyFont="false" applyNumberFormat="true" borderId="6584" fillId="0" fontId="1" numFmtId="1000" quotePrefix="false">
      <alignment horizontal="center" vertical="top"/>
    </xf>
    <xf applyAlignment="true" applyBorder="true" applyFill="false" applyFont="false" applyNumberFormat="true" borderId="6585" fillId="0" fontId="1" numFmtId="1000" quotePrefix="false">
      <alignment horizontal="center" vertical="top"/>
    </xf>
    <xf applyAlignment="true" applyBorder="true" applyFill="false" applyFont="false" applyNumberFormat="true" borderId="6586" fillId="0" fontId="1" numFmtId="1000" quotePrefix="false">
      <alignment horizontal="center" vertical="top"/>
    </xf>
    <xf applyAlignment="true" applyBorder="true" applyFill="false" applyFont="false" applyNumberFormat="true" borderId="6587" fillId="0" fontId="1" numFmtId="1000" quotePrefix="false">
      <alignment horizontal="center" vertical="top"/>
    </xf>
    <xf applyAlignment="true" applyBorder="true" applyFill="false" applyFont="true" applyNumberFormat="true" borderId="6588" fillId="0" fontId="13" numFmtId="1000" quotePrefix="false">
      <alignment horizontal="center" textRotation="90" vertical="top"/>
    </xf>
    <xf applyAlignment="true" applyBorder="true" applyFill="false" applyFont="false" applyNumberFormat="true" borderId="6589" fillId="0" fontId="1" numFmtId="1000" quotePrefix="false">
      <alignment horizontal="center" vertical="top"/>
    </xf>
    <xf applyAlignment="true" applyBorder="true" applyFill="false" applyFont="false" applyNumberFormat="true" borderId="6590" fillId="0" fontId="1" numFmtId="1000" quotePrefix="false">
      <alignment horizontal="center" vertical="top"/>
    </xf>
    <xf applyAlignment="true" applyBorder="true" applyFill="false" applyFont="false" applyNumberFormat="true" borderId="6591" fillId="0" fontId="1" numFmtId="1000" quotePrefix="false">
      <alignment horizontal="center" vertical="top"/>
    </xf>
    <xf applyAlignment="true" applyBorder="true" applyFill="false" applyFont="false" applyNumberFormat="true" borderId="6592" fillId="0" fontId="1" numFmtId="1000" quotePrefix="false">
      <alignment horizontal="center" vertical="top"/>
    </xf>
    <xf applyAlignment="true" applyBorder="true" applyFill="false" applyFont="false" applyNumberFormat="true" borderId="6593" fillId="0" fontId="1" numFmtId="1000" quotePrefix="false">
      <alignment horizontal="center" vertical="top"/>
    </xf>
    <xf applyAlignment="true" applyBorder="true" applyFill="false" applyFont="false" applyNumberFormat="true" borderId="6594" fillId="0" fontId="1" numFmtId="1000" quotePrefix="false">
      <alignment horizontal="center" vertical="top"/>
    </xf>
    <xf applyAlignment="true" applyBorder="true" applyFill="false" applyFont="false" applyNumberFormat="true" borderId="6595" fillId="0" fontId="1" numFmtId="1000" quotePrefix="false">
      <alignment horizontal="center" vertical="top"/>
    </xf>
    <xf applyAlignment="true" applyBorder="true" applyFill="false" applyFont="false" applyNumberFormat="true" borderId="6596" fillId="0" fontId="1" numFmtId="1000" quotePrefix="false">
      <alignment horizontal="center" vertical="top"/>
    </xf>
    <xf applyAlignment="true" applyBorder="true" applyFill="false" applyFont="false" applyNumberFormat="true" borderId="6597" fillId="0" fontId="1" numFmtId="1000" quotePrefix="false">
      <alignment horizontal="center" vertical="top"/>
    </xf>
    <xf applyAlignment="true" applyBorder="true" applyFill="false" applyFont="false" applyNumberFormat="true" borderId="6598" fillId="0" fontId="1" numFmtId="1000" quotePrefix="false">
      <alignment horizontal="center" vertical="top"/>
    </xf>
    <xf applyAlignment="true" applyBorder="true" applyFill="false" applyFont="true" applyNumberFormat="true" borderId="6599" fillId="0" fontId="13" numFmtId="1000" quotePrefix="false">
      <alignment horizontal="center" textRotation="90" vertical="top"/>
    </xf>
    <xf applyAlignment="true" applyBorder="true" applyFill="false" applyFont="true" applyNumberFormat="true" borderId="6600" fillId="0" fontId="2" numFmtId="1000" quotePrefix="false">
      <alignment horizontal="center" vertical="top"/>
    </xf>
    <xf applyAlignment="true" applyBorder="true" applyFill="false" applyFont="true" applyNumberFormat="true" borderId="6601" fillId="0" fontId="13" numFmtId="1000" quotePrefix="false">
      <alignment horizontal="center" textRotation="90" vertical="top"/>
    </xf>
    <xf applyAlignment="true" applyBorder="true" applyFill="false" applyFont="true" applyNumberFormat="true" borderId="6602" fillId="0" fontId="2" numFmtId="1000" quotePrefix="false">
      <alignment horizontal="center"/>
    </xf>
    <xf applyAlignment="true" applyBorder="true" applyFill="false" applyFont="true" applyNumberFormat="true" borderId="6603" fillId="0" fontId="2" numFmtId="1000" quotePrefix="false">
      <alignment horizontal="center"/>
    </xf>
    <xf applyAlignment="true" applyBorder="true" applyFill="false" applyFont="true" applyNumberFormat="true" borderId="6604" fillId="0" fontId="2" numFmtId="1000" quotePrefix="false">
      <alignment horizontal="center"/>
    </xf>
    <xf applyAlignment="true" applyBorder="true" applyFill="false" applyFont="false" applyNumberFormat="true" borderId="6605" fillId="0" fontId="1" numFmtId="1000" quotePrefix="false">
      <alignment horizontal="center" vertical="top"/>
    </xf>
    <xf applyAlignment="true" applyBorder="true" applyFill="false" applyFont="false" applyNumberFormat="true" borderId="6606" fillId="0" fontId="1" numFmtId="1000" quotePrefix="false">
      <alignment horizontal="center" vertical="top"/>
    </xf>
    <xf applyAlignment="true" applyBorder="true" applyFill="false" applyFont="false" applyNumberFormat="true" borderId="6607" fillId="0" fontId="1" numFmtId="1000" quotePrefix="false">
      <alignment horizontal="center" vertical="top"/>
    </xf>
    <xf applyAlignment="true" applyBorder="true" applyFill="false" applyFont="false" applyNumberFormat="true" borderId="6608" fillId="0" fontId="1" numFmtId="1000" quotePrefix="false">
      <alignment horizontal="center" vertical="top"/>
    </xf>
    <xf applyAlignment="true" applyBorder="true" applyFill="false" applyFont="false" applyNumberFormat="true" borderId="6609" fillId="0" fontId="1" numFmtId="1000" quotePrefix="false">
      <alignment horizontal="center" vertical="top"/>
    </xf>
    <xf applyAlignment="true" applyBorder="true" applyFill="false" applyFont="false" applyNumberFormat="true" borderId="6610" fillId="0" fontId="1" numFmtId="1000" quotePrefix="false">
      <alignment horizontal="center" vertical="top"/>
    </xf>
    <xf applyAlignment="true" applyBorder="true" applyFill="false" applyFont="false" applyNumberFormat="true" borderId="6611" fillId="0" fontId="1" numFmtId="1000" quotePrefix="false">
      <alignment horizontal="center" vertical="top"/>
    </xf>
    <xf applyAlignment="true" applyBorder="true" applyFill="false" applyFont="false" applyNumberFormat="true" borderId="6612" fillId="0" fontId="1" numFmtId="1000" quotePrefix="false">
      <alignment horizontal="center" vertical="top"/>
    </xf>
    <xf applyAlignment="true" applyBorder="true" applyFill="false" applyFont="false" applyNumberFormat="true" borderId="6613" fillId="0" fontId="1" numFmtId="1000" quotePrefix="false">
      <alignment horizontal="center" vertical="top"/>
    </xf>
    <xf applyAlignment="true" applyBorder="true" applyFill="false" applyFont="false" applyNumberFormat="true" borderId="6614" fillId="0" fontId="1" numFmtId="1000" quotePrefix="false">
      <alignment horizontal="center" vertical="top"/>
    </xf>
    <xf applyAlignment="true" applyBorder="true" applyFill="false" applyFont="false" applyNumberFormat="true" borderId="6615" fillId="0" fontId="1" numFmtId="1000" quotePrefix="false">
      <alignment horizontal="center" vertical="top"/>
    </xf>
    <xf applyAlignment="true" applyBorder="true" applyFill="false" applyFont="false" applyNumberFormat="true" borderId="6616" fillId="0" fontId="1" numFmtId="1000" quotePrefix="false">
      <alignment horizontal="center" vertical="top"/>
    </xf>
    <xf applyAlignment="true" applyBorder="true" applyFill="false" applyFont="false" applyNumberFormat="true" borderId="6617" fillId="0" fontId="1" numFmtId="1000" quotePrefix="false">
      <alignment horizontal="center" vertical="top"/>
    </xf>
    <xf applyAlignment="true" applyBorder="true" applyFill="false" applyFont="false" applyNumberFormat="true" borderId="6618" fillId="0" fontId="1" numFmtId="1000" quotePrefix="false">
      <alignment horizontal="center" vertical="top"/>
    </xf>
    <xf applyAlignment="true" applyBorder="true" applyFill="false" applyFont="false" applyNumberFormat="true" borderId="6619" fillId="0" fontId="1" numFmtId="1000" quotePrefix="false">
      <alignment horizontal="center" vertical="top"/>
    </xf>
    <xf applyAlignment="true" applyBorder="true" applyFill="false" applyFont="false" applyNumberFormat="true" borderId="49" fillId="0" fontId="1" numFmtId="1000" quotePrefix="false">
      <alignment vertical="top"/>
    </xf>
    <xf applyAlignment="true" applyBorder="true" applyFill="false" applyFont="true" applyNumberFormat="true" borderId="6620" fillId="0" fontId="13" numFmtId="1000" quotePrefix="false">
      <alignment horizontal="center" textRotation="90" vertical="top"/>
    </xf>
    <xf applyAlignment="true" applyBorder="true" applyFill="false" applyFont="false" applyNumberFormat="true" borderId="6621" fillId="0" fontId="1" numFmtId="1000" quotePrefix="false">
      <alignment horizontal="center" vertical="top"/>
    </xf>
    <xf applyAlignment="true" applyBorder="true" applyFill="false" applyFont="false" applyNumberFormat="true" borderId="6622" fillId="0" fontId="1" numFmtId="1000" quotePrefix="false">
      <alignment horizontal="center" vertical="top"/>
    </xf>
    <xf applyAlignment="true" applyBorder="true" applyFill="false" applyFont="false" applyNumberFormat="true" borderId="6623" fillId="0" fontId="1" numFmtId="1000" quotePrefix="false">
      <alignment horizontal="center" vertical="top"/>
    </xf>
    <xf applyAlignment="true" applyBorder="true" applyFill="false" applyFont="true" applyNumberFormat="true" borderId="6624" fillId="0" fontId="13" numFmtId="1000" quotePrefix="false">
      <alignment horizontal="center" textRotation="90" vertical="top"/>
    </xf>
    <xf applyAlignment="true" applyBorder="true" applyFill="false" applyFont="false" applyNumberFormat="true" borderId="6625" fillId="0" fontId="1" numFmtId="1000" quotePrefix="false">
      <alignment horizontal="center" vertical="top"/>
    </xf>
    <xf applyAlignment="true" applyBorder="true" applyFill="false" applyFont="false" applyNumberFormat="true" borderId="6626" fillId="0" fontId="1" numFmtId="1000" quotePrefix="false">
      <alignment horizontal="center" vertical="top"/>
    </xf>
    <xf applyAlignment="true" applyBorder="true" applyFill="false" applyFont="true" applyNumberFormat="true" borderId="6627" fillId="0" fontId="13" numFmtId="1000" quotePrefix="false">
      <alignment horizontal="center" textRotation="90" vertical="top"/>
    </xf>
    <xf applyAlignment="true" applyBorder="true" applyFill="false" applyFont="false" applyNumberFormat="true" borderId="6628" fillId="0" fontId="1" numFmtId="1000" quotePrefix="false">
      <alignment horizontal="center" vertical="top"/>
    </xf>
    <xf applyAlignment="true" applyBorder="true" applyFill="false" applyFont="false" applyNumberFormat="true" borderId="6629" fillId="0" fontId="1" numFmtId="1000" quotePrefix="false">
      <alignment horizontal="center" vertical="top"/>
    </xf>
    <xf applyAlignment="true" applyBorder="true" applyFill="false" applyFont="true" applyNumberFormat="true" borderId="6630" fillId="0" fontId="13" numFmtId="1000" quotePrefix="false">
      <alignment horizontal="center" textRotation="90" vertical="top"/>
    </xf>
    <xf applyAlignment="true" applyBorder="true" applyFill="false" applyFont="false" applyNumberFormat="true" borderId="6631" fillId="0" fontId="1" numFmtId="1000" quotePrefix="false">
      <alignment horizontal="center" vertical="top"/>
    </xf>
    <xf applyAlignment="true" applyBorder="true" applyFill="false" applyFont="false" applyNumberFormat="true" borderId="6632" fillId="0" fontId="1" numFmtId="1000" quotePrefix="false">
      <alignment horizontal="center" vertical="top"/>
    </xf>
    <xf applyAlignment="true" applyBorder="true" applyFill="false" applyFont="true" applyNumberFormat="true" borderId="6633" fillId="0" fontId="13" numFmtId="1000" quotePrefix="false">
      <alignment horizontal="center" textRotation="90" vertical="top"/>
    </xf>
    <xf applyAlignment="true" applyBorder="true" applyFill="false" applyFont="false" applyNumberFormat="true" borderId="6634" fillId="0" fontId="1" numFmtId="1000" quotePrefix="false">
      <alignment horizontal="center" vertical="top"/>
    </xf>
    <xf applyAlignment="true" applyBorder="true" applyFill="false" applyFont="false" applyNumberFormat="true" borderId="6635" fillId="0" fontId="1" numFmtId="1000" quotePrefix="false">
      <alignment horizontal="center" vertical="top"/>
    </xf>
    <xf applyAlignment="true" applyBorder="true" applyFill="false" applyFont="true" applyNumberFormat="true" borderId="6636" fillId="0" fontId="13" numFmtId="1000" quotePrefix="false">
      <alignment horizontal="center" textRotation="90" vertical="top"/>
    </xf>
    <xf applyAlignment="true" applyBorder="true" applyFill="false" applyFont="false" applyNumberFormat="true" borderId="6637" fillId="0" fontId="1" numFmtId="1000" quotePrefix="false">
      <alignment horizontal="center" vertical="top"/>
    </xf>
    <xf applyAlignment="true" applyBorder="true" applyFill="false" applyFont="false" applyNumberFormat="true" borderId="6638" fillId="0" fontId="1" numFmtId="1000" quotePrefix="false">
      <alignment horizontal="center" vertical="top"/>
    </xf>
    <xf applyAlignment="true" applyBorder="true" applyFill="false" applyFont="true" applyNumberFormat="true" borderId="6639" fillId="0" fontId="13" numFmtId="1000" quotePrefix="false">
      <alignment horizontal="center" textRotation="90" vertical="top"/>
    </xf>
    <xf applyAlignment="true" applyBorder="true" applyFill="false" applyFont="false" applyNumberFormat="true" borderId="6640" fillId="0" fontId="1" numFmtId="1000" quotePrefix="false">
      <alignment horizontal="center" vertical="top"/>
    </xf>
    <xf applyAlignment="true" applyBorder="true" applyFill="false" applyFont="false" applyNumberFormat="true" borderId="6641" fillId="0" fontId="1" numFmtId="1000" quotePrefix="false">
      <alignment horizontal="center" vertical="top"/>
    </xf>
    <xf applyAlignment="true" applyBorder="true" applyFill="false" applyFont="true" applyNumberFormat="true" borderId="6642" fillId="0" fontId="13" numFmtId="1000" quotePrefix="false">
      <alignment horizontal="center" textRotation="90" vertical="top"/>
    </xf>
    <xf applyAlignment="true" applyBorder="true" applyFill="false" applyFont="false" applyNumberFormat="true" borderId="6643" fillId="0" fontId="1" numFmtId="1000" quotePrefix="false">
      <alignment horizontal="center" vertical="top"/>
    </xf>
    <xf applyAlignment="true" applyBorder="true" applyFill="false" applyFont="false" applyNumberFormat="true" borderId="6644" fillId="0" fontId="1" numFmtId="1000" quotePrefix="false">
      <alignment horizontal="center" vertical="top"/>
    </xf>
    <xf applyAlignment="true" applyBorder="true" applyFill="false" applyFont="true" applyNumberFormat="true" borderId="6645" fillId="0" fontId="13" numFmtId="1000" quotePrefix="false">
      <alignment horizontal="center" textRotation="90" vertical="top"/>
    </xf>
    <xf applyAlignment="true" applyBorder="true" applyFill="false" applyFont="false" applyNumberFormat="true" borderId="6646" fillId="0" fontId="1" numFmtId="1000" quotePrefix="false">
      <alignment horizontal="center" vertical="top"/>
    </xf>
    <xf applyAlignment="true" applyBorder="true" applyFill="false" applyFont="false" applyNumberFormat="true" borderId="6647" fillId="0" fontId="1" numFmtId="1000" quotePrefix="false">
      <alignment horizontal="center" vertical="top"/>
    </xf>
    <xf applyAlignment="true" applyBorder="true" applyFill="false" applyFont="false" applyNumberFormat="true" borderId="6648" fillId="0" fontId="1" numFmtId="1000" quotePrefix="false">
      <alignment horizontal="center" vertical="top"/>
    </xf>
    <xf applyAlignment="true" applyBorder="true" applyFill="false" applyFont="false" applyNumberFormat="true" borderId="6649" fillId="0" fontId="1" numFmtId="1000" quotePrefix="false">
      <alignment horizontal="center" vertical="top"/>
    </xf>
    <xf applyAlignment="true" applyBorder="true" applyFill="false" applyFont="true" applyNumberFormat="true" borderId="6650" fillId="0" fontId="13" numFmtId="1000" quotePrefix="false">
      <alignment horizontal="center" textRotation="90" vertical="top"/>
    </xf>
    <xf applyAlignment="true" applyBorder="true" applyFill="false" applyFont="false" applyNumberFormat="true" borderId="6651" fillId="0" fontId="1" numFmtId="1000" quotePrefix="false">
      <alignment horizontal="center"/>
    </xf>
    <xf applyAlignment="true" applyBorder="true" applyFill="true" applyFont="false" applyNumberFormat="true" borderId="6652" fillId="8" fontId="1" numFmtId="1000" quotePrefix="false">
      <alignment horizontal="center"/>
    </xf>
    <xf applyAlignment="true" applyBorder="true" applyFill="true" applyFont="false" applyNumberFormat="true" borderId="6653" fillId="8" fontId="1" numFmtId="1000" quotePrefix="false">
      <alignment horizontal="center"/>
    </xf>
    <xf applyAlignment="true" applyBorder="true" applyFill="false" applyFont="true" applyNumberFormat="true" borderId="6654" fillId="0" fontId="2" numFmtId="1000" quotePrefix="false">
      <alignment horizontal="center" vertical="top"/>
    </xf>
    <xf applyAlignment="true" applyBorder="true" applyFill="false" applyFont="false" applyNumberFormat="true" borderId="6655" fillId="0" fontId="1" numFmtId="1000" quotePrefix="false">
      <alignment horizontal="left" vertical="top"/>
    </xf>
    <xf applyAlignment="true" applyBorder="true" applyFill="false" applyFont="false" applyNumberFormat="true" borderId="6656" fillId="0" fontId="1" numFmtId="1000" quotePrefix="false">
      <alignment horizontal="left" vertical="top"/>
    </xf>
    <xf applyAlignment="true" applyBorder="true" applyFill="false" applyFont="false" applyNumberFormat="true" borderId="6657" fillId="0" fontId="1" numFmtId="1000" quotePrefix="false">
      <alignment horizontal="left" vertical="top"/>
    </xf>
    <xf applyAlignment="true" applyBorder="true" applyFill="false" applyFont="false" applyNumberFormat="true" borderId="6658" fillId="0" fontId="1" numFmtId="1000" quotePrefix="false">
      <alignment horizontal="left" vertical="top"/>
    </xf>
    <xf applyAlignment="true" applyBorder="true" applyFill="false" applyFont="false" applyNumberFormat="true" borderId="6659" fillId="0" fontId="1" numFmtId="1000" quotePrefix="false">
      <alignment horizontal="left" vertical="top"/>
    </xf>
    <xf applyAlignment="true" applyBorder="true" applyFill="false" applyFont="false" applyNumberFormat="true" borderId="6660" fillId="0" fontId="1" numFmtId="1000" quotePrefix="false">
      <alignment horizontal="left" vertical="top"/>
    </xf>
    <xf applyAlignment="true" applyBorder="true" applyFill="false" applyFont="false" applyNumberFormat="true" borderId="6661" fillId="0" fontId="1" numFmtId="1000" quotePrefix="false">
      <alignment horizontal="left" vertical="top"/>
    </xf>
    <xf applyAlignment="true" applyBorder="true" applyFill="false" applyFont="false" applyNumberFormat="true" borderId="6662" fillId="0" fontId="1" numFmtId="1000" quotePrefix="false">
      <alignment horizontal="left" vertical="top"/>
    </xf>
    <xf applyAlignment="true" applyBorder="true" applyFill="false" applyFont="false" applyNumberFormat="true" borderId="6663" fillId="0" fontId="1" numFmtId="1000" quotePrefix="false">
      <alignment horizontal="left" vertical="top"/>
    </xf>
    <xf applyAlignment="true" applyBorder="true" applyFill="false" applyFont="false" applyNumberFormat="true" borderId="6664" fillId="0" fontId="1" numFmtId="1000" quotePrefix="false">
      <alignment horizontal="left" vertical="top"/>
    </xf>
    <xf applyAlignment="true" applyBorder="true" applyFill="false" applyFont="false" applyNumberFormat="true" borderId="6665" fillId="0" fontId="1" numFmtId="1000" quotePrefix="false">
      <alignment horizontal="left" vertical="top"/>
    </xf>
    <xf applyAlignment="true" applyBorder="true" applyFill="false" applyFont="false" applyNumberFormat="true" borderId="6666" fillId="0" fontId="1" numFmtId="1000" quotePrefix="false">
      <alignment horizontal="left" vertical="top"/>
    </xf>
    <xf applyAlignment="true" applyBorder="true" applyFill="false" applyFont="false" applyNumberFormat="true" borderId="6667" fillId="0" fontId="1" numFmtId="1000" quotePrefix="false">
      <alignment horizontal="left" vertical="top"/>
    </xf>
    <xf applyAlignment="true" applyBorder="true" applyFill="false" applyFont="false" applyNumberFormat="true" borderId="6668" fillId="0" fontId="1" numFmtId="1000" quotePrefix="false">
      <alignment horizontal="left" vertical="top"/>
    </xf>
    <xf applyAlignment="true" applyBorder="true" applyFill="false" applyFont="false" applyNumberFormat="true" borderId="6669" fillId="0" fontId="1" numFmtId="1000" quotePrefix="false">
      <alignment horizontal="left" vertical="top"/>
    </xf>
    <xf applyAlignment="true" applyBorder="true" applyFill="false" applyFont="false" applyNumberFormat="true" borderId="6670" fillId="0" fontId="1" numFmtId="1000" quotePrefix="false">
      <alignment horizontal="left" vertical="top"/>
    </xf>
    <xf applyAlignment="true" applyBorder="true" applyFill="false" applyFont="false" applyNumberFormat="true" borderId="6671" fillId="0" fontId="1" numFmtId="1000" quotePrefix="false">
      <alignment horizontal="left" vertical="top"/>
    </xf>
    <xf applyAlignment="true" applyBorder="true" applyFill="false" applyFont="false" applyNumberFormat="true" borderId="6672" fillId="0" fontId="1" numFmtId="1000" quotePrefix="false">
      <alignment horizontal="left" vertical="top"/>
    </xf>
    <xf applyAlignment="true" applyBorder="true" applyFill="false" applyFont="false" applyNumberFormat="true" borderId="6673" fillId="0" fontId="1" numFmtId="1000" quotePrefix="false">
      <alignment horizontal="left" vertical="top"/>
    </xf>
    <xf applyAlignment="true" applyBorder="true" applyFill="false" applyFont="true" applyNumberFormat="true" borderId="6674" fillId="0" fontId="2" numFmtId="1000" quotePrefix="false">
      <alignment horizontal="center"/>
    </xf>
    <xf applyAlignment="true" applyBorder="true" applyFill="false" applyFont="true" applyNumberFormat="true" borderId="6675" fillId="0" fontId="2" numFmtId="1000" quotePrefix="false">
      <alignment horizontal="center"/>
    </xf>
    <xf applyAlignment="true" applyBorder="true" applyFill="false" applyFont="true" applyNumberFormat="true" borderId="6676" fillId="0" fontId="2" numFmtId="1000" quotePrefix="false">
      <alignment horizontal="center"/>
    </xf>
    <xf applyAlignment="true" applyBorder="true" applyFill="false" applyFont="false" applyNumberFormat="true" borderId="6677" fillId="0" fontId="1" numFmtId="1000" quotePrefix="false">
      <alignment horizontal="center" vertical="top"/>
    </xf>
    <xf applyAlignment="true" applyBorder="true" applyFill="false" applyFont="false" applyNumberFormat="true" borderId="6678" fillId="0" fontId="1" numFmtId="1000" quotePrefix="false">
      <alignment horizontal="center" vertical="top"/>
    </xf>
    <xf applyAlignment="true" applyBorder="true" applyFill="false" applyFont="false" applyNumberFormat="true" borderId="6679" fillId="0" fontId="1" numFmtId="1000" quotePrefix="false">
      <alignment horizontal="center" vertical="top"/>
    </xf>
    <xf applyAlignment="true" applyBorder="true" applyFill="false" applyFont="false" applyNumberFormat="true" borderId="6680" fillId="0" fontId="1" numFmtId="1000" quotePrefix="false">
      <alignment horizontal="center" vertical="top"/>
    </xf>
    <xf applyAlignment="true" applyBorder="true" applyFill="false" applyFont="false" applyNumberFormat="true" borderId="6681" fillId="0" fontId="1" numFmtId="1000" quotePrefix="false">
      <alignment horizontal="center" vertical="top"/>
    </xf>
    <xf applyAlignment="true" applyBorder="true" applyFill="false" applyFont="false" applyNumberFormat="true" borderId="6682" fillId="0" fontId="1" numFmtId="1000" quotePrefix="false">
      <alignment horizontal="center" vertical="top"/>
    </xf>
    <xf applyAlignment="true" applyBorder="true" applyFill="false" applyFont="false" applyNumberFormat="true" borderId="6683" fillId="0" fontId="1" numFmtId="1000" quotePrefix="false">
      <alignment horizontal="center" vertical="top"/>
    </xf>
    <xf applyAlignment="true" applyBorder="true" applyFill="false" applyFont="false" applyNumberFormat="true" borderId="6684" fillId="0" fontId="1" numFmtId="1000" quotePrefix="false">
      <alignment horizontal="center" vertical="top"/>
    </xf>
    <xf applyAlignment="true" applyBorder="true" applyFill="false" applyFont="false" applyNumberFormat="true" borderId="6685" fillId="0" fontId="1" numFmtId="1000" quotePrefix="false">
      <alignment horizontal="center" vertical="top"/>
    </xf>
    <xf applyAlignment="true" applyBorder="true" applyFill="false" applyFont="false" applyNumberFormat="true" borderId="6686" fillId="0" fontId="1" numFmtId="1000" quotePrefix="false">
      <alignment horizontal="center" vertical="top"/>
    </xf>
    <xf applyAlignment="true" applyBorder="true" applyFill="false" applyFont="false" applyNumberFormat="true" borderId="6687" fillId="0" fontId="1" numFmtId="1000" quotePrefix="false">
      <alignment horizontal="center" vertical="top"/>
    </xf>
    <xf applyAlignment="true" applyBorder="true" applyFill="false" applyFont="false" applyNumberFormat="true" borderId="6688" fillId="0" fontId="1" numFmtId="1000" quotePrefix="false">
      <alignment horizontal="center" vertical="top"/>
    </xf>
    <xf applyAlignment="true" applyBorder="true" applyFill="false" applyFont="false" applyNumberFormat="true" borderId="6689" fillId="0" fontId="1" numFmtId="1000" quotePrefix="false">
      <alignment horizontal="center" vertical="top"/>
    </xf>
    <xf applyAlignment="true" applyBorder="true" applyFill="false" applyFont="false" applyNumberFormat="true" borderId="6690" fillId="0" fontId="1" numFmtId="1000" quotePrefix="false">
      <alignment horizontal="center" vertical="top"/>
    </xf>
    <xf applyAlignment="true" applyBorder="true" applyFill="false" applyFont="false" applyNumberFormat="true" borderId="6691" fillId="0" fontId="1" numFmtId="1000" quotePrefix="false">
      <alignment horizontal="center" vertical="top"/>
    </xf>
    <xf applyAlignment="true" applyBorder="true" applyFill="false" applyFont="false" applyNumberFormat="true" borderId="6692" fillId="0" fontId="1" numFmtId="1000" quotePrefix="false">
      <alignment horizontal="center" vertical="top"/>
    </xf>
    <xf applyAlignment="true" applyBorder="true" applyFill="false" applyFont="false" applyNumberFormat="true" borderId="6693" fillId="0" fontId="1" numFmtId="1000" quotePrefix="false">
      <alignment horizontal="center" vertical="top"/>
    </xf>
    <xf applyAlignment="true" applyBorder="true" applyFill="true" applyFont="false" applyNumberFormat="true" borderId="209" fillId="4" fontId="1" numFmtId="1000" quotePrefix="false">
      <alignment horizontal="center" vertical="top" wrapText="true"/>
    </xf>
    <xf applyAlignment="true" applyBorder="true" applyFill="false" applyFont="false" applyNumberFormat="true" borderId="6694" fillId="0" fontId="1" numFmtId="1000" quotePrefix="false">
      <alignment horizontal="center" vertical="top"/>
    </xf>
    <xf applyAlignment="true" applyBorder="true" applyFill="false" applyFont="false" applyNumberFormat="true" borderId="6695" fillId="0" fontId="1" numFmtId="1000" quotePrefix="false">
      <alignment horizontal="center" vertical="top"/>
    </xf>
    <xf applyAlignment="true" applyBorder="true" applyFill="true" applyFont="false" applyNumberFormat="true" borderId="6696" fillId="4" fontId="1" numFmtId="1000" quotePrefix="false">
      <alignment horizontal="center" vertical="top" wrapText="true"/>
    </xf>
    <xf applyAlignment="true" applyBorder="true" applyFill="false" applyFont="false" applyNumberFormat="true" borderId="6697" fillId="0" fontId="1" numFmtId="1000" quotePrefix="false">
      <alignment horizontal="center" vertical="top"/>
    </xf>
    <xf applyAlignment="true" applyBorder="true" applyFill="false" applyFont="false" applyNumberFormat="true" borderId="6698" fillId="0" fontId="1" numFmtId="1000" quotePrefix="false">
      <alignment horizontal="center" vertical="top"/>
    </xf>
    <xf applyAlignment="true" applyBorder="true" applyFill="false" applyFont="false" applyNumberFormat="true" borderId="6699" fillId="0" fontId="1" numFmtId="1000" quotePrefix="false">
      <alignment horizontal="center" vertical="top"/>
    </xf>
    <xf applyAlignment="true" applyBorder="true" applyFill="false" applyFont="false" applyNumberFormat="true" borderId="6700" fillId="0" fontId="1" numFmtId="1000" quotePrefix="false">
      <alignment horizontal="center" vertical="top"/>
    </xf>
    <xf applyAlignment="true" applyBorder="true" applyFill="true" applyFont="true" applyNumberFormat="true" borderId="85" fillId="4" fontId="2" numFmtId="1000" quotePrefix="false">
      <alignment vertical="top" wrapText="true"/>
    </xf>
    <xf applyAlignment="true" applyBorder="true" applyFill="false" applyFont="false" applyNumberFormat="true" borderId="6701" fillId="0" fontId="1" numFmtId="1000" quotePrefix="false">
      <alignment horizontal="center" vertical="top"/>
    </xf>
    <xf applyAlignment="true" applyBorder="true" applyFill="false" applyFont="false" applyNumberFormat="true" borderId="6702" fillId="0" fontId="1" numFmtId="1000" quotePrefix="false">
      <alignment horizontal="center" vertical="top"/>
    </xf>
    <xf applyAlignment="true" applyBorder="true" applyFill="false" applyFont="false" applyNumberFormat="true" borderId="6703" fillId="0" fontId="1" numFmtId="1000" quotePrefix="false">
      <alignment horizontal="center" vertical="top"/>
    </xf>
    <xf applyAlignment="true" applyBorder="true" applyFill="false" applyFont="false" applyNumberFormat="true" borderId="6704" fillId="0" fontId="1" numFmtId="1000" quotePrefix="false">
      <alignment horizontal="center" vertical="top"/>
    </xf>
    <xf applyAlignment="true" applyBorder="true" applyFill="false" applyFont="false" applyNumberFormat="true" borderId="6705" fillId="0" fontId="1" numFmtId="1000" quotePrefix="false">
      <alignment horizontal="center" vertical="top"/>
    </xf>
    <xf applyAlignment="true" applyBorder="true" applyFill="false" applyFont="false" applyNumberFormat="true" borderId="6706" fillId="0" fontId="1" numFmtId="1000" quotePrefix="false">
      <alignment horizontal="center" vertical="top"/>
    </xf>
    <xf applyAlignment="true" applyBorder="true" applyFill="false" applyFont="false" applyNumberFormat="true" borderId="6707" fillId="0" fontId="1" numFmtId="1000" quotePrefix="false">
      <alignment horizontal="center" vertical="top"/>
    </xf>
    <xf applyAlignment="true" applyBorder="true" applyFill="false" applyFont="false" applyNumberFormat="true" borderId="6708" fillId="0" fontId="1" numFmtId="1000" quotePrefix="false">
      <alignment horizontal="center" vertical="top"/>
    </xf>
    <xf applyAlignment="true" applyBorder="true" applyFill="false" applyFont="false" applyNumberFormat="true" borderId="28" fillId="0" fontId="1" numFmtId="1000" quotePrefix="false">
      <alignment horizontal="center" vertical="center"/>
    </xf>
    <xf applyAlignment="true" applyBorder="true" applyFill="true" applyFont="false" applyNumberFormat="true" borderId="6709" fillId="2" fontId="1" numFmtId="1000" quotePrefix="false">
      <alignment horizontal="center" vertical="top" wrapText="true"/>
    </xf>
    <xf applyAlignment="true" applyBorder="true" applyFill="false" applyFont="false" applyNumberFormat="true" borderId="6710" fillId="0" fontId="1" numFmtId="1000" quotePrefix="false">
      <alignment horizontal="center" vertical="top"/>
    </xf>
    <xf applyAlignment="true" applyBorder="true" applyFill="false" applyFont="false" applyNumberFormat="true" borderId="6711" fillId="0" fontId="1" numFmtId="1000" quotePrefix="false">
      <alignment horizontal="center" vertical="top"/>
    </xf>
    <xf applyAlignment="true" applyBorder="true" applyFill="false" applyFont="true" applyNumberFormat="true" borderId="6712" fillId="0" fontId="2" numFmtId="1000" quotePrefix="false">
      <alignment horizontal="center" vertical="top"/>
    </xf>
    <xf applyAlignment="true" applyBorder="true" applyFill="false" applyFont="false" applyNumberFormat="true" borderId="6713" fillId="0" fontId="1" numFmtId="1000" quotePrefix="false">
      <alignment horizontal="left" vertical="top"/>
    </xf>
    <xf applyAlignment="true" applyBorder="true" applyFill="false" applyFont="false" applyNumberFormat="true" borderId="6714" fillId="0" fontId="1" numFmtId="1000" quotePrefix="false">
      <alignment horizontal="left" vertical="top"/>
    </xf>
    <xf applyAlignment="true" applyBorder="true" applyFill="false" applyFont="false" applyNumberFormat="true" borderId="6715" fillId="0" fontId="1" numFmtId="1000" quotePrefix="false">
      <alignment horizontal="left" vertical="top"/>
    </xf>
    <xf applyAlignment="true" applyBorder="true" applyFill="false" applyFont="false" applyNumberFormat="true" borderId="6716" fillId="0" fontId="1" numFmtId="1000" quotePrefix="false">
      <alignment horizontal="left" vertical="top"/>
    </xf>
    <xf applyAlignment="true" applyBorder="true" applyFill="false" applyFont="false" applyNumberFormat="true" borderId="6717" fillId="0" fontId="1" numFmtId="1000" quotePrefix="false">
      <alignment horizontal="left" vertical="top"/>
    </xf>
    <xf applyAlignment="true" applyBorder="true" applyFill="false" applyFont="false" applyNumberFormat="true" borderId="6718" fillId="0" fontId="1" numFmtId="1000" quotePrefix="false">
      <alignment horizontal="left" vertical="top"/>
    </xf>
    <xf applyAlignment="true" applyBorder="true" applyFill="false" applyFont="false" applyNumberFormat="true" borderId="6719" fillId="0" fontId="1" numFmtId="1000" quotePrefix="false">
      <alignment horizontal="left" vertical="top"/>
    </xf>
    <xf applyAlignment="true" applyBorder="true" applyFill="false" applyFont="false" applyNumberFormat="true" borderId="6720" fillId="0" fontId="1" numFmtId="1000" quotePrefix="false">
      <alignment horizontal="left" vertical="top"/>
    </xf>
    <xf applyAlignment="true" applyBorder="true" applyFill="false" applyFont="false" applyNumberFormat="true" borderId="6721" fillId="0" fontId="1" numFmtId="1000" quotePrefix="false">
      <alignment horizontal="left" vertical="top"/>
    </xf>
    <xf applyAlignment="true" applyBorder="true" applyFill="false" applyFont="false" applyNumberFormat="true" borderId="6722" fillId="0" fontId="1" numFmtId="1000" quotePrefix="false">
      <alignment horizontal="left" vertical="top"/>
    </xf>
    <xf applyAlignment="true" applyBorder="true" applyFill="false" applyFont="false" applyNumberFormat="true" borderId="6723" fillId="0" fontId="1" numFmtId="1000" quotePrefix="false">
      <alignment horizontal="left" vertical="top"/>
    </xf>
    <xf applyAlignment="true" applyBorder="true" applyFill="false" applyFont="false" applyNumberFormat="true" borderId="6724" fillId="0" fontId="1" numFmtId="1000" quotePrefix="false">
      <alignment horizontal="left" vertical="top"/>
    </xf>
    <xf applyAlignment="true" applyBorder="true" applyFill="false" applyFont="false" applyNumberFormat="true" borderId="6725" fillId="0" fontId="1" numFmtId="1000" quotePrefix="false">
      <alignment horizontal="left" vertical="top"/>
    </xf>
    <xf applyAlignment="true" applyBorder="true" applyFill="false" applyFont="false" applyNumberFormat="true" borderId="6726" fillId="0" fontId="1" numFmtId="1000" quotePrefix="false">
      <alignment horizontal="left" vertical="top"/>
    </xf>
    <xf applyAlignment="true" applyBorder="true" applyFill="false" applyFont="false" applyNumberFormat="true" borderId="6727" fillId="0" fontId="1" numFmtId="1000" quotePrefix="false">
      <alignment horizontal="left" vertical="top"/>
    </xf>
    <xf applyAlignment="true" applyBorder="true" applyFill="false" applyFont="false" applyNumberFormat="true" borderId="6728" fillId="0" fontId="1" numFmtId="1000" quotePrefix="false">
      <alignment horizontal="left" vertical="top"/>
    </xf>
    <xf applyAlignment="true" applyBorder="true" applyFill="false" applyFont="false" applyNumberFormat="true" borderId="6729" fillId="0" fontId="1" numFmtId="1000" quotePrefix="false">
      <alignment horizontal="left" vertical="top"/>
    </xf>
    <xf applyAlignment="true" applyBorder="true" applyFill="false" applyFont="false" applyNumberFormat="true" borderId="6730" fillId="0" fontId="1" numFmtId="1000" quotePrefix="false">
      <alignment horizontal="left" vertical="top"/>
    </xf>
    <xf applyAlignment="true" applyBorder="true" applyFill="false" applyFont="false" applyNumberFormat="true" borderId="6731" fillId="0" fontId="1" numFmtId="1000" quotePrefix="false">
      <alignment horizontal="left" vertical="top"/>
    </xf>
    <xf applyAlignment="true" applyBorder="true" applyFill="false" applyFont="true" applyNumberFormat="true" borderId="6732" fillId="0" fontId="2" numFmtId="1000" quotePrefix="false">
      <alignment horizontal="center"/>
    </xf>
    <xf applyAlignment="true" applyBorder="true" applyFill="false" applyFont="true" applyNumberFormat="true" borderId="6733" fillId="0" fontId="2" numFmtId="1000" quotePrefix="false">
      <alignment horizontal="center"/>
    </xf>
    <xf applyAlignment="true" applyBorder="true" applyFill="false" applyFont="true" applyNumberFormat="true" borderId="6734" fillId="0" fontId="2" numFmtId="1000" quotePrefix="false">
      <alignment horizontal="center"/>
    </xf>
    <xf applyAlignment="true" applyBorder="true" applyFill="false" applyFont="false" applyNumberFormat="true" borderId="6735" fillId="0" fontId="1" numFmtId="1000" quotePrefix="false">
      <alignment horizontal="center" vertical="top"/>
    </xf>
    <xf applyAlignment="true" applyBorder="true" applyFill="false" applyFont="false" applyNumberFormat="true" borderId="6736" fillId="0" fontId="1" numFmtId="1000" quotePrefix="false">
      <alignment horizontal="center" vertical="top"/>
    </xf>
    <xf applyAlignment="true" applyBorder="true" applyFill="false" applyFont="false" applyNumberFormat="true" borderId="6737" fillId="0" fontId="1" numFmtId="1000" quotePrefix="false">
      <alignment horizontal="center" vertical="top"/>
    </xf>
    <xf applyAlignment="true" applyBorder="true" applyFill="false" applyFont="false" applyNumberFormat="true" borderId="6738" fillId="0" fontId="1" numFmtId="1000" quotePrefix="false">
      <alignment horizontal="center" vertical="top"/>
    </xf>
    <xf applyAlignment="true" applyBorder="true" applyFill="false" applyFont="false" applyNumberFormat="true" borderId="6739" fillId="0" fontId="1" numFmtId="1000" quotePrefix="false">
      <alignment horizontal="center" vertical="top"/>
    </xf>
    <xf applyAlignment="true" applyBorder="true" applyFill="false" applyFont="false" applyNumberFormat="true" borderId="6740" fillId="0" fontId="1" numFmtId="1000" quotePrefix="false">
      <alignment horizontal="center" vertical="top"/>
    </xf>
    <xf applyAlignment="true" applyBorder="true" applyFill="false" applyFont="false" applyNumberFormat="true" borderId="6741" fillId="0" fontId="1" numFmtId="1000" quotePrefix="false">
      <alignment horizontal="center" vertical="top"/>
    </xf>
    <xf applyAlignment="true" applyBorder="true" applyFill="false" applyFont="false" applyNumberFormat="true" borderId="6742" fillId="0" fontId="1" numFmtId="1000" quotePrefix="false">
      <alignment horizontal="center" vertical="top"/>
    </xf>
    <xf applyAlignment="true" applyBorder="true" applyFill="false" applyFont="false" applyNumberFormat="true" borderId="6743" fillId="0" fontId="1" numFmtId="1000" quotePrefix="false">
      <alignment horizontal="center" vertical="top"/>
    </xf>
    <xf applyAlignment="true" applyBorder="true" applyFill="false" applyFont="false" applyNumberFormat="true" borderId="6744" fillId="0" fontId="1" numFmtId="1000" quotePrefix="false">
      <alignment horizontal="center" vertical="top"/>
    </xf>
    <xf applyAlignment="true" applyBorder="true" applyFill="false" applyFont="false" applyNumberFormat="true" borderId="6745" fillId="0" fontId="1" numFmtId="1000" quotePrefix="false">
      <alignment horizontal="center" vertical="top"/>
    </xf>
    <xf applyAlignment="true" applyBorder="true" applyFill="false" applyFont="false" applyNumberFormat="true" borderId="6746" fillId="0" fontId="1" numFmtId="1000" quotePrefix="false">
      <alignment horizontal="center" vertical="top"/>
    </xf>
    <xf applyAlignment="true" applyBorder="true" applyFill="false" applyFont="false" applyNumberFormat="true" borderId="6747" fillId="0" fontId="1" numFmtId="1000" quotePrefix="false">
      <alignment horizontal="center" vertical="top"/>
    </xf>
    <xf applyAlignment="true" applyBorder="true" applyFill="false" applyFont="false" applyNumberFormat="true" borderId="6748" fillId="0" fontId="1" numFmtId="1000" quotePrefix="false">
      <alignment horizontal="center" vertical="top"/>
    </xf>
    <xf applyAlignment="true" applyBorder="true" applyFill="false" applyFont="false" applyNumberFormat="true" borderId="6749" fillId="0" fontId="1" numFmtId="1000" quotePrefix="false">
      <alignment horizontal="center" vertical="top"/>
    </xf>
    <xf applyAlignment="true" applyBorder="true" applyFill="false" applyFont="false" applyNumberFormat="true" borderId="6750" fillId="0" fontId="1" numFmtId="1000" quotePrefix="false">
      <alignment horizontal="center" vertical="top"/>
    </xf>
    <xf applyAlignment="true" applyBorder="true" applyFill="false" applyFont="false" applyNumberFormat="true" borderId="6751" fillId="0" fontId="1" numFmtId="1000" quotePrefix="false">
      <alignment horizontal="center" vertical="top"/>
    </xf>
    <xf applyAlignment="true" applyBorder="true" applyFill="true" applyFont="false" applyNumberFormat="true" borderId="6752" fillId="4" fontId="1" numFmtId="1000" quotePrefix="false">
      <alignment horizontal="center" vertical="top" wrapText="true"/>
    </xf>
    <xf applyAlignment="true" applyBorder="true" applyFill="false" applyFont="false" applyNumberFormat="true" borderId="6753" fillId="0" fontId="1" numFmtId="1000" quotePrefix="false">
      <alignment horizontal="center" vertical="top"/>
    </xf>
    <xf applyAlignment="true" applyBorder="true" applyFill="false" applyFont="false" applyNumberFormat="true" borderId="6754" fillId="0" fontId="1" numFmtId="1000" quotePrefix="false">
      <alignment horizontal="center" vertical="top"/>
    </xf>
    <xf applyAlignment="true" applyBorder="true" applyFill="true" applyFont="false" applyNumberFormat="true" borderId="76" fillId="10" fontId="1" numFmtId="1000" quotePrefix="false">
      <alignment vertical="top"/>
    </xf>
    <xf applyAlignment="true" applyBorder="true" applyFill="true" applyFont="false" applyNumberFormat="true" borderId="6755" fillId="4" fontId="1" numFmtId="1000" quotePrefix="false">
      <alignment horizontal="center" vertical="top" wrapText="true"/>
    </xf>
    <xf applyAlignment="true" applyBorder="true" applyFill="true" applyFont="false" applyNumberFormat="true" borderId="6756" fillId="10" fontId="1" numFmtId="1000" quotePrefix="false">
      <alignment horizontal="center" vertical="top" wrapText="true"/>
    </xf>
    <xf applyAlignment="true" applyBorder="true" applyFill="false" applyFont="false" applyNumberFormat="true" borderId="6757" fillId="0" fontId="1" numFmtId="1000" quotePrefix="false">
      <alignment horizontal="center" vertical="top"/>
    </xf>
    <xf applyAlignment="true" applyBorder="true" applyFill="false" applyFont="false" applyNumberFormat="true" borderId="6758" fillId="0" fontId="1" numFmtId="1000" quotePrefix="false">
      <alignment horizontal="center" vertical="top"/>
    </xf>
    <xf applyAlignment="true" applyBorder="true" applyFill="true" applyFont="false" applyNumberFormat="true" borderId="6759" fillId="4" fontId="1" numFmtId="1000" quotePrefix="false">
      <alignment horizontal="center" vertical="top" wrapText="true"/>
    </xf>
    <xf applyAlignment="true" applyBorder="true" applyFill="true" applyFont="false" applyNumberFormat="true" borderId="6760" fillId="10" fontId="1" numFmtId="1000" quotePrefix="false">
      <alignment horizontal="center" vertical="top" wrapText="true"/>
    </xf>
    <xf applyAlignment="true" applyBorder="true" applyFill="false" applyFont="false" applyNumberFormat="true" borderId="6761" fillId="0" fontId="1" numFmtId="1000" quotePrefix="false">
      <alignment horizontal="center" vertical="top"/>
    </xf>
    <xf applyAlignment="true" applyBorder="true" applyFill="false" applyFont="false" applyNumberFormat="true" borderId="6762" fillId="0" fontId="1" numFmtId="1000" quotePrefix="false">
      <alignment horizontal="center" vertical="top"/>
    </xf>
    <xf applyAlignment="true" applyBorder="true" applyFill="true" applyFont="false" applyNumberFormat="true" borderId="6763" fillId="4" fontId="1" numFmtId="1000" quotePrefix="false">
      <alignment horizontal="center" vertical="top" wrapText="true"/>
    </xf>
    <xf applyAlignment="true" applyBorder="true" applyFill="true" applyFont="false" applyNumberFormat="true" borderId="6764" fillId="10" fontId="1" numFmtId="1000" quotePrefix="false">
      <alignment horizontal="center" vertical="top" wrapText="true"/>
    </xf>
    <xf applyAlignment="true" applyBorder="true" applyFill="false" applyFont="false" applyNumberFormat="true" borderId="6765" fillId="0" fontId="1" numFmtId="1000" quotePrefix="false">
      <alignment horizontal="center" vertical="top"/>
    </xf>
    <xf applyAlignment="true" applyBorder="true" applyFill="false" applyFont="false" applyNumberFormat="true" borderId="6766" fillId="0" fontId="1" numFmtId="1000" quotePrefix="false">
      <alignment horizontal="center" vertical="top"/>
    </xf>
    <xf applyAlignment="true" applyBorder="true" applyFill="false" applyFont="false" applyNumberFormat="true" borderId="6767" fillId="0" fontId="1" numFmtId="1000" quotePrefix="false">
      <alignment horizontal="center" vertical="top"/>
    </xf>
    <xf applyAlignment="true" applyBorder="true" applyFill="false" applyFont="false" applyNumberFormat="true" borderId="6768" fillId="0" fontId="1" numFmtId="1000" quotePrefix="false">
      <alignment horizontal="center" vertical="top"/>
    </xf>
    <xf applyAlignment="true" applyBorder="true" applyFill="true" applyFont="false" applyNumberFormat="true" borderId="6769" fillId="4" fontId="1" numFmtId="1000" quotePrefix="false">
      <alignment horizontal="center" vertical="top" wrapText="true"/>
    </xf>
    <xf applyAlignment="true" applyBorder="true" applyFill="false" applyFont="false" applyNumberFormat="true" borderId="6770" fillId="0" fontId="1" numFmtId="1000" quotePrefix="false">
      <alignment horizontal="center" vertical="top"/>
    </xf>
    <xf applyAlignment="true" applyBorder="true" applyFill="false" applyFont="false" applyNumberFormat="true" borderId="6771" fillId="0" fontId="1" numFmtId="1000" quotePrefix="false">
      <alignment horizontal="center" vertical="top"/>
    </xf>
    <xf applyAlignment="true" applyBorder="true" applyFill="true" applyFont="false" applyNumberFormat="true" borderId="6772" fillId="4" fontId="1" numFmtId="1000" quotePrefix="false">
      <alignment horizontal="center" vertical="top" wrapText="true"/>
    </xf>
    <xf applyAlignment="true" applyBorder="true" applyFill="false" applyFont="false" applyNumberFormat="true" borderId="6773" fillId="0" fontId="1" numFmtId="1000" quotePrefix="false">
      <alignment horizontal="center" vertical="top"/>
    </xf>
    <xf applyAlignment="true" applyBorder="true" applyFill="false" applyFont="false" applyNumberFormat="true" borderId="6774" fillId="0" fontId="1" numFmtId="1000" quotePrefix="false">
      <alignment horizontal="center" vertical="top"/>
    </xf>
    <xf applyAlignment="true" applyBorder="true" applyFill="true" applyFont="false" applyNumberFormat="true" borderId="6775" fillId="4" fontId="1" numFmtId="1000" quotePrefix="false">
      <alignment horizontal="center" vertical="top" wrapText="true"/>
    </xf>
    <xf applyAlignment="true" applyBorder="true" applyFill="false" applyFont="false" applyNumberFormat="true" borderId="6776" fillId="0" fontId="1" numFmtId="1000" quotePrefix="false">
      <alignment horizontal="center" vertical="top"/>
    </xf>
    <xf applyAlignment="true" applyBorder="true" applyFill="false" applyFont="false" applyNumberFormat="true" borderId="6777" fillId="0" fontId="1" numFmtId="1000" quotePrefix="false">
      <alignment horizontal="center" vertical="top"/>
    </xf>
    <xf applyAlignment="true" applyBorder="true" applyFill="false" applyFont="true" applyNumberFormat="true" borderId="6778" fillId="0" fontId="2" numFmtId="1000" quotePrefix="false">
      <alignment horizontal="center" vertical="top"/>
    </xf>
    <xf applyAlignment="true" applyBorder="true" applyFill="false" applyFont="true" applyNumberFormat="true" borderId="6779" fillId="0" fontId="2" numFmtId="1000" quotePrefix="false">
      <alignment horizontal="center"/>
    </xf>
    <xf applyAlignment="true" applyBorder="true" applyFill="false" applyFont="true" applyNumberFormat="true" borderId="6780" fillId="0" fontId="2" numFmtId="1000" quotePrefix="false">
      <alignment horizontal="center"/>
    </xf>
    <xf applyAlignment="true" applyBorder="true" applyFill="false" applyFont="true" applyNumberFormat="true" borderId="6781" fillId="0" fontId="2" numFmtId="1000" quotePrefix="false">
      <alignment horizontal="center"/>
    </xf>
    <xf applyAlignment="true" applyBorder="true" applyFill="false" applyFont="false" applyNumberFormat="true" borderId="6782" fillId="0" fontId="1" numFmtId="1000" quotePrefix="false">
      <alignment horizontal="center" vertical="top"/>
    </xf>
    <xf applyAlignment="true" applyBorder="true" applyFill="false" applyFont="false" applyNumberFormat="true" borderId="6783" fillId="0" fontId="1" numFmtId="1000" quotePrefix="false">
      <alignment horizontal="center" vertical="top"/>
    </xf>
    <xf applyAlignment="true" applyBorder="true" applyFill="false" applyFont="false" applyNumberFormat="true" borderId="6784" fillId="0" fontId="1" numFmtId="1000" quotePrefix="false">
      <alignment horizontal="center" vertical="top"/>
    </xf>
    <xf applyAlignment="true" applyBorder="true" applyFill="false" applyFont="false" applyNumberFormat="true" borderId="6785" fillId="0" fontId="1" numFmtId="1000" quotePrefix="false">
      <alignment horizontal="center" vertical="top"/>
    </xf>
    <xf applyAlignment="true" applyBorder="true" applyFill="false" applyFont="false" applyNumberFormat="true" borderId="6786" fillId="0" fontId="1" numFmtId="1000" quotePrefix="false">
      <alignment horizontal="center" vertical="top"/>
    </xf>
    <xf applyAlignment="true" applyBorder="true" applyFill="false" applyFont="false" applyNumberFormat="true" borderId="6787" fillId="0" fontId="1" numFmtId="1000" quotePrefix="false">
      <alignment horizontal="center" vertical="top"/>
    </xf>
    <xf applyAlignment="true" applyBorder="true" applyFill="false" applyFont="false" applyNumberFormat="true" borderId="6788" fillId="0" fontId="1" numFmtId="1000" quotePrefix="false">
      <alignment horizontal="center" vertical="top"/>
    </xf>
    <xf applyAlignment="true" applyBorder="true" applyFill="false" applyFont="false" applyNumberFormat="true" borderId="6789" fillId="0" fontId="1" numFmtId="1000" quotePrefix="false">
      <alignment horizontal="center" vertical="top"/>
    </xf>
    <xf applyAlignment="true" applyBorder="true" applyFill="false" applyFont="false" applyNumberFormat="true" borderId="6790" fillId="0" fontId="1" numFmtId="1000" quotePrefix="false">
      <alignment horizontal="center" vertical="top"/>
    </xf>
    <xf applyAlignment="true" applyBorder="true" applyFill="false" applyFont="false" applyNumberFormat="true" borderId="6791" fillId="0" fontId="1" numFmtId="1000" quotePrefix="false">
      <alignment horizontal="center" vertical="top"/>
    </xf>
    <xf applyAlignment="true" applyBorder="true" applyFill="false" applyFont="false" applyNumberFormat="true" borderId="6792" fillId="0" fontId="1" numFmtId="1000" quotePrefix="false">
      <alignment horizontal="center" vertical="top"/>
    </xf>
    <xf applyAlignment="true" applyBorder="true" applyFill="false" applyFont="false" applyNumberFormat="true" borderId="6793" fillId="0" fontId="1" numFmtId="1000" quotePrefix="false">
      <alignment horizontal="center" vertical="top"/>
    </xf>
    <xf applyAlignment="true" applyBorder="true" applyFill="false" applyFont="false" applyNumberFormat="true" borderId="6794" fillId="0" fontId="1" numFmtId="1000" quotePrefix="false">
      <alignment horizontal="center" vertical="top"/>
    </xf>
    <xf applyAlignment="true" applyBorder="true" applyFill="false" applyFont="false" applyNumberFormat="true" borderId="6795" fillId="0" fontId="1" numFmtId="1000" quotePrefix="false">
      <alignment horizontal="center" vertical="top"/>
    </xf>
    <xf applyAlignment="true" applyBorder="true" applyFill="false" applyFont="false" applyNumberFormat="true" borderId="6796" fillId="0" fontId="1" numFmtId="1000" quotePrefix="false">
      <alignment horizontal="center" vertical="top"/>
    </xf>
    <xf applyAlignment="true" applyBorder="true" applyFill="false" applyFont="false" applyNumberFormat="true" borderId="6797" fillId="0" fontId="1" numFmtId="1000" quotePrefix="false">
      <alignment horizontal="center" vertical="top"/>
    </xf>
    <xf applyAlignment="true" applyBorder="true" applyFill="false" applyFont="false" applyNumberFormat="true" borderId="6798" fillId="0" fontId="1" numFmtId="1000" quotePrefix="false">
      <alignment horizontal="center" vertical="top"/>
    </xf>
    <xf applyAlignment="true" applyBorder="true" applyFill="false" applyFont="false" applyNumberFormat="true" borderId="6799" fillId="0" fontId="1" numFmtId="1000" quotePrefix="false">
      <alignment horizontal="center" vertical="top"/>
    </xf>
    <xf applyAlignment="true" applyBorder="true" applyFill="false" applyFont="false" applyNumberFormat="true" borderId="6800" fillId="0" fontId="1" numFmtId="1000" quotePrefix="false">
      <alignment horizontal="center" vertical="top"/>
    </xf>
    <xf applyAlignment="true" applyBorder="true" applyFill="false" applyFont="false" applyNumberFormat="true" borderId="6801" fillId="0" fontId="1" numFmtId="1000" quotePrefix="false">
      <alignment horizontal="center" vertical="top"/>
    </xf>
    <xf applyAlignment="true" applyBorder="true" applyFill="true" applyFont="false" applyNumberFormat="true" borderId="6802" fillId="10" fontId="1" numFmtId="1000" quotePrefix="false">
      <alignment horizontal="center" vertical="top" wrapText="true"/>
    </xf>
    <xf applyAlignment="true" applyBorder="true" applyFill="false" applyFont="false" applyNumberFormat="true" borderId="6803" fillId="0" fontId="1" numFmtId="1000" quotePrefix="false">
      <alignment horizontal="center" vertical="top"/>
    </xf>
    <xf applyAlignment="true" applyBorder="true" applyFill="false" applyFont="false" applyNumberFormat="true" borderId="6804" fillId="0" fontId="1" numFmtId="1000" quotePrefix="false">
      <alignment horizontal="center" vertical="top"/>
    </xf>
    <xf applyAlignment="true" applyBorder="true" applyFill="true" applyFont="false" applyNumberFormat="true" borderId="6805" fillId="10" fontId="1" numFmtId="1000" quotePrefix="false">
      <alignment horizontal="center" vertical="top" wrapText="true"/>
    </xf>
    <xf applyAlignment="true" applyBorder="true" applyFill="false" applyFont="false" applyNumberFormat="true" borderId="6806" fillId="0" fontId="1" numFmtId="1000" quotePrefix="false">
      <alignment horizontal="center" vertical="top"/>
    </xf>
    <xf applyAlignment="true" applyBorder="true" applyFill="false" applyFont="false" applyNumberFormat="true" borderId="6807" fillId="0" fontId="1" numFmtId="1000" quotePrefix="false">
      <alignment horizontal="center" vertical="top"/>
    </xf>
    <xf applyAlignment="true" applyBorder="true" applyFill="false" applyFont="false" applyNumberFormat="true" borderId="6808" fillId="0" fontId="1" numFmtId="1000" quotePrefix="false">
      <alignment horizontal="center" vertical="top"/>
    </xf>
    <xf applyAlignment="true" applyBorder="true" applyFill="false" applyFont="false" applyNumberFormat="true" borderId="6809" fillId="0" fontId="1" numFmtId="1000" quotePrefix="false">
      <alignment horizontal="center" vertical="top"/>
    </xf>
    <xf applyAlignment="true" applyBorder="true" applyFill="true" applyFont="false" applyNumberFormat="true" borderId="6810" fillId="10" fontId="1" numFmtId="1000" quotePrefix="false">
      <alignment horizontal="center" vertical="top" wrapText="true"/>
    </xf>
    <xf applyAlignment="true" applyBorder="true" applyFill="false" applyFont="false" applyNumberFormat="true" borderId="6811" fillId="0" fontId="1" numFmtId="1000" quotePrefix="false">
      <alignment horizontal="center" vertical="top"/>
    </xf>
    <xf applyAlignment="true" applyBorder="true" applyFill="false" applyFont="false" applyNumberFormat="true" borderId="6812" fillId="0" fontId="1" numFmtId="1000" quotePrefix="false">
      <alignment horizontal="center" vertical="top"/>
    </xf>
    <xf applyAlignment="true" applyBorder="true" applyFill="false" applyFont="false" applyNumberFormat="true" borderId="6813" fillId="0" fontId="1" numFmtId="1000" quotePrefix="false">
      <alignment horizontal="center" vertical="top"/>
    </xf>
    <xf applyAlignment="true" applyBorder="true" applyFill="false" applyFont="false" applyNumberFormat="true" borderId="6814" fillId="0" fontId="1" numFmtId="1000" quotePrefix="false">
      <alignment horizontal="center" vertical="top"/>
    </xf>
    <xf applyAlignment="true" applyBorder="true" applyFill="false" applyFont="false" applyNumberFormat="true" borderId="6815" fillId="0" fontId="1" numFmtId="1000" quotePrefix="false">
      <alignment horizontal="center" vertical="top"/>
    </xf>
    <xf applyAlignment="true" applyBorder="true" applyFill="false" applyFont="false" applyNumberFormat="true" borderId="6816" fillId="0" fontId="1" numFmtId="1000" quotePrefix="false">
      <alignment horizontal="center" vertical="top"/>
    </xf>
    <xf applyAlignment="true" applyBorder="true" applyFill="false" applyFont="false" applyNumberFormat="true" borderId="6817" fillId="0" fontId="1" numFmtId="1000" quotePrefix="false">
      <alignment horizontal="center" vertical="top"/>
    </xf>
    <xf applyAlignment="true" applyBorder="true" applyFill="false" applyFont="false" applyNumberFormat="true" borderId="6818" fillId="0" fontId="1" numFmtId="1000" quotePrefix="false">
      <alignment horizontal="center" vertical="top"/>
    </xf>
    <xf applyAlignment="true" applyBorder="true" applyFill="false" applyFont="false" applyNumberFormat="true" borderId="6819" fillId="0" fontId="1" numFmtId="1000" quotePrefix="false">
      <alignment horizontal="center" vertical="top"/>
    </xf>
    <xf applyAlignment="true" applyBorder="true" applyFill="false" applyFont="false" applyNumberFormat="true" borderId="6820" fillId="0" fontId="1" numFmtId="1000" quotePrefix="false">
      <alignment horizontal="center" vertical="top"/>
    </xf>
    <xf applyAlignment="true" applyBorder="true" applyFill="false" applyFont="true" applyNumberFormat="true" borderId="6821" fillId="0" fontId="2" numFmtId="1000" quotePrefix="false">
      <alignment horizontal="center" vertical="top"/>
    </xf>
    <xf applyAlignment="true" applyBorder="true" applyFill="false" applyFont="false" applyNumberFormat="true" borderId="6822" fillId="0" fontId="1" numFmtId="1000" quotePrefix="false">
      <alignment horizontal="left" vertical="top"/>
    </xf>
    <xf applyAlignment="true" applyBorder="true" applyFill="false" applyFont="false" applyNumberFormat="true" borderId="6823" fillId="0" fontId="1" numFmtId="1000" quotePrefix="false">
      <alignment horizontal="left" vertical="top"/>
    </xf>
    <xf applyAlignment="true" applyBorder="true" applyFill="false" applyFont="false" applyNumberFormat="true" borderId="6824" fillId="0" fontId="1" numFmtId="1000" quotePrefix="false">
      <alignment horizontal="left" vertical="top"/>
    </xf>
    <xf applyAlignment="true" applyBorder="true" applyFill="false" applyFont="false" applyNumberFormat="true" borderId="6825" fillId="0" fontId="1" numFmtId="1000" quotePrefix="false">
      <alignment horizontal="left" vertical="top"/>
    </xf>
    <xf applyAlignment="true" applyBorder="true" applyFill="false" applyFont="false" applyNumberFormat="true" borderId="6826" fillId="0" fontId="1" numFmtId="1000" quotePrefix="false">
      <alignment horizontal="left" vertical="top"/>
    </xf>
    <xf applyAlignment="true" applyBorder="true" applyFill="false" applyFont="false" applyNumberFormat="true" borderId="6827" fillId="0" fontId="1" numFmtId="1000" quotePrefix="false">
      <alignment horizontal="left" vertical="top"/>
    </xf>
    <xf applyAlignment="true" applyBorder="true" applyFill="false" applyFont="false" applyNumberFormat="true" borderId="6828" fillId="0" fontId="1" numFmtId="1000" quotePrefix="false">
      <alignment horizontal="left" vertical="top"/>
    </xf>
    <xf applyAlignment="true" applyBorder="true" applyFill="false" applyFont="false" applyNumberFormat="true" borderId="6829" fillId="0" fontId="1" numFmtId="1000" quotePrefix="false">
      <alignment horizontal="left" vertical="top"/>
    </xf>
    <xf applyAlignment="true" applyBorder="true" applyFill="false" applyFont="false" applyNumberFormat="true" borderId="6830" fillId="0" fontId="1" numFmtId="1000" quotePrefix="false">
      <alignment horizontal="left" vertical="top"/>
    </xf>
    <xf applyAlignment="true" applyBorder="true" applyFill="false" applyFont="false" applyNumberFormat="true" borderId="6831" fillId="0" fontId="1" numFmtId="1000" quotePrefix="false">
      <alignment horizontal="left" vertical="top"/>
    </xf>
    <xf applyAlignment="true" applyBorder="true" applyFill="false" applyFont="false" applyNumberFormat="true" borderId="6832" fillId="0" fontId="1" numFmtId="1000" quotePrefix="false">
      <alignment horizontal="left" vertical="top"/>
    </xf>
    <xf applyAlignment="true" applyBorder="true" applyFill="false" applyFont="false" applyNumberFormat="true" borderId="6833" fillId="0" fontId="1" numFmtId="1000" quotePrefix="false">
      <alignment horizontal="left" vertical="top"/>
    </xf>
    <xf applyAlignment="true" applyBorder="true" applyFill="false" applyFont="false" applyNumberFormat="true" borderId="6834" fillId="0" fontId="1" numFmtId="1000" quotePrefix="false">
      <alignment horizontal="left" vertical="top"/>
    </xf>
    <xf applyAlignment="true" applyBorder="true" applyFill="false" applyFont="false" applyNumberFormat="true" borderId="6835" fillId="0" fontId="1" numFmtId="1000" quotePrefix="false">
      <alignment horizontal="left" vertical="top"/>
    </xf>
    <xf applyAlignment="true" applyBorder="true" applyFill="false" applyFont="false" applyNumberFormat="true" borderId="6836" fillId="0" fontId="1" numFmtId="1000" quotePrefix="false">
      <alignment horizontal="left" vertical="top"/>
    </xf>
    <xf applyAlignment="true" applyBorder="true" applyFill="false" applyFont="false" applyNumberFormat="true" borderId="6837" fillId="0" fontId="1" numFmtId="1000" quotePrefix="false">
      <alignment horizontal="left" vertical="top"/>
    </xf>
    <xf applyAlignment="true" applyBorder="true" applyFill="false" applyFont="false" applyNumberFormat="true" borderId="6838" fillId="0" fontId="1" numFmtId="1000" quotePrefix="false">
      <alignment horizontal="left" vertical="top"/>
    </xf>
    <xf applyAlignment="true" applyBorder="true" applyFill="false" applyFont="false" applyNumberFormat="true" borderId="6839" fillId="0" fontId="1" numFmtId="1000" quotePrefix="false">
      <alignment horizontal="left" vertical="top"/>
    </xf>
    <xf applyAlignment="true" applyBorder="true" applyFill="false" applyFont="false" applyNumberFormat="true" borderId="6840" fillId="0" fontId="1" numFmtId="1000" quotePrefix="false">
      <alignment horizontal="left" vertical="top"/>
    </xf>
    <xf applyAlignment="true" applyBorder="true" applyFill="false" applyFont="true" applyNumberFormat="true" borderId="6841" fillId="0" fontId="2" numFmtId="1000" quotePrefix="false">
      <alignment horizontal="center"/>
    </xf>
    <xf applyAlignment="true" applyBorder="true" applyFill="false" applyFont="true" applyNumberFormat="true" borderId="6842" fillId="0" fontId="2" numFmtId="1000" quotePrefix="false">
      <alignment horizontal="center"/>
    </xf>
    <xf applyAlignment="true" applyBorder="true" applyFill="false" applyFont="true" applyNumberFormat="true" borderId="6843" fillId="0" fontId="2" numFmtId="1000" quotePrefix="false">
      <alignment horizontal="center"/>
    </xf>
    <xf applyAlignment="true" applyBorder="true" applyFill="false" applyFont="false" applyNumberFormat="true" borderId="6844" fillId="0" fontId="1" numFmtId="1000" quotePrefix="false">
      <alignment horizontal="center" vertical="top"/>
    </xf>
    <xf applyAlignment="true" applyBorder="true" applyFill="false" applyFont="false" applyNumberFormat="true" borderId="6845" fillId="0" fontId="1" numFmtId="1000" quotePrefix="false">
      <alignment horizontal="center" vertical="top"/>
    </xf>
    <xf applyAlignment="true" applyBorder="true" applyFill="false" applyFont="false" applyNumberFormat="true" borderId="6846" fillId="0" fontId="1" numFmtId="1000" quotePrefix="false">
      <alignment horizontal="center" vertical="top"/>
    </xf>
    <xf applyAlignment="true" applyBorder="true" applyFill="false" applyFont="false" applyNumberFormat="true" borderId="6847" fillId="0" fontId="1" numFmtId="1000" quotePrefix="false">
      <alignment horizontal="center" vertical="top"/>
    </xf>
    <xf applyAlignment="true" applyBorder="true" applyFill="false" applyFont="false" applyNumberFormat="true" borderId="6848" fillId="0" fontId="1" numFmtId="1000" quotePrefix="false">
      <alignment horizontal="center" vertical="top"/>
    </xf>
    <xf applyAlignment="true" applyBorder="true" applyFill="false" applyFont="false" applyNumberFormat="true" borderId="6849" fillId="0" fontId="1" numFmtId="1000" quotePrefix="false">
      <alignment horizontal="center" vertical="top"/>
    </xf>
    <xf applyAlignment="true" applyBorder="true" applyFill="false" applyFont="false" applyNumberFormat="true" borderId="6850" fillId="0" fontId="1" numFmtId="1000" quotePrefix="false">
      <alignment horizontal="center" vertical="top"/>
    </xf>
    <xf applyAlignment="true" applyBorder="true" applyFill="false" applyFont="false" applyNumberFormat="true" borderId="6851" fillId="0" fontId="1" numFmtId="1000" quotePrefix="false">
      <alignment horizontal="center" vertical="top"/>
    </xf>
    <xf applyAlignment="true" applyBorder="true" applyFill="false" applyFont="false" applyNumberFormat="true" borderId="6852" fillId="0" fontId="1" numFmtId="1000" quotePrefix="false">
      <alignment horizontal="center" vertical="top"/>
    </xf>
    <xf applyAlignment="true" applyBorder="true" applyFill="false" applyFont="false" applyNumberFormat="true" borderId="6853" fillId="0" fontId="1" numFmtId="1000" quotePrefix="false">
      <alignment horizontal="center" vertical="top"/>
    </xf>
    <xf applyAlignment="true" applyBorder="true" applyFill="false" applyFont="false" applyNumberFormat="true" borderId="6854" fillId="0" fontId="1" numFmtId="1000" quotePrefix="false">
      <alignment horizontal="center" vertical="top"/>
    </xf>
    <xf applyAlignment="true" applyBorder="true" applyFill="false" applyFont="false" applyNumberFormat="true" borderId="6855" fillId="0" fontId="1" numFmtId="1000" quotePrefix="false">
      <alignment horizontal="center" vertical="top"/>
    </xf>
    <xf applyAlignment="true" applyBorder="true" applyFill="false" applyFont="false" applyNumberFormat="true" borderId="6856" fillId="0" fontId="1" numFmtId="1000" quotePrefix="false">
      <alignment horizontal="center" vertical="top"/>
    </xf>
    <xf applyAlignment="true" applyBorder="true" applyFill="false" applyFont="false" applyNumberFormat="true" borderId="6857" fillId="0" fontId="1" numFmtId="1000" quotePrefix="false">
      <alignment horizontal="center" vertical="top"/>
    </xf>
    <xf applyAlignment="true" applyBorder="true" applyFill="false" applyFont="false" applyNumberFormat="true" borderId="6858" fillId="0" fontId="1" numFmtId="1000" quotePrefix="false">
      <alignment horizontal="center" vertical="top"/>
    </xf>
    <xf applyAlignment="true" applyBorder="true" applyFill="false" applyFont="false" applyNumberFormat="true" borderId="6859" fillId="0" fontId="1" numFmtId="1000" quotePrefix="false">
      <alignment horizontal="center" vertical="top"/>
    </xf>
    <xf applyAlignment="true" applyBorder="true" applyFill="false" applyFont="false" applyNumberFormat="true" borderId="6860" fillId="0" fontId="1" numFmtId="1000" quotePrefix="false">
      <alignment horizontal="center" vertical="top"/>
    </xf>
    <xf applyAlignment="true" applyBorder="true" applyFill="false" applyFont="false" applyNumberFormat="true" borderId="6861" fillId="0" fontId="1" numFmtId="1000" quotePrefix="false">
      <alignment horizontal="center" vertical="top"/>
    </xf>
    <xf applyAlignment="true" applyBorder="true" applyFill="false" applyFont="false" applyNumberFormat="true" borderId="6862" fillId="0" fontId="1" numFmtId="1000" quotePrefix="false">
      <alignment horizontal="center" vertical="top"/>
    </xf>
    <xf applyAlignment="true" applyBorder="true" applyFill="true" applyFont="false" applyNumberFormat="true" borderId="6863" fillId="10" fontId="1" numFmtId="1000" quotePrefix="false">
      <alignment horizontal="center" vertical="top" wrapText="true"/>
    </xf>
    <xf applyAlignment="true" applyBorder="true" applyFill="true" applyFont="false" applyNumberFormat="true" borderId="6864" fillId="10" fontId="1" numFmtId="1000" quotePrefix="false">
      <alignment horizontal="center" vertical="top" wrapText="true"/>
    </xf>
    <xf applyAlignment="true" applyBorder="true" applyFill="true" applyFont="false" applyNumberFormat="true" borderId="6865" fillId="10" fontId="1" numFmtId="1000" quotePrefix="false">
      <alignment horizontal="center" vertical="top" wrapText="true"/>
    </xf>
    <xf applyAlignment="true" applyBorder="true" applyFill="true" applyFont="false" applyNumberFormat="true" borderId="6866" fillId="10" fontId="1" numFmtId="1000" quotePrefix="false">
      <alignment horizontal="center" vertical="top" wrapText="true"/>
    </xf>
    <xf applyAlignment="true" applyBorder="true" applyFill="true" applyFont="false" applyNumberFormat="true" borderId="6867" fillId="10" fontId="1" numFmtId="1000" quotePrefix="false">
      <alignment horizontal="center" vertical="top" wrapText="true"/>
    </xf>
    <xf applyAlignment="true" applyBorder="true" applyFill="false" applyFont="false" applyNumberFormat="true" borderId="6868" fillId="0" fontId="1" numFmtId="1000" quotePrefix="false">
      <alignment horizontal="center" vertical="top"/>
    </xf>
    <xf applyAlignment="true" applyBorder="true" applyFill="false" applyFont="false" applyNumberFormat="true" borderId="6869" fillId="0" fontId="1" numFmtId="1000" quotePrefix="false">
      <alignment horizontal="center" vertical="top"/>
    </xf>
    <xf applyAlignment="true" applyBorder="true" applyFill="true" applyFont="false" applyNumberFormat="true" borderId="6870" fillId="10" fontId="1" numFmtId="1000" quotePrefix="false">
      <alignment horizontal="center" vertical="top" wrapText="true"/>
    </xf>
    <xf applyAlignment="true" applyBorder="true" applyFill="true" applyFont="false" applyNumberFormat="true" borderId="6871" fillId="10" fontId="1" numFmtId="1000" quotePrefix="false">
      <alignment horizontal="center" vertical="top" wrapText="true"/>
    </xf>
    <xf applyAlignment="true" applyBorder="true" applyFill="true" applyFont="false" applyNumberFormat="true" borderId="6872" fillId="10" fontId="1" numFmtId="1000" quotePrefix="false">
      <alignment horizontal="center" vertical="top" wrapText="true"/>
    </xf>
    <xf applyAlignment="true" applyBorder="true" applyFill="true" applyFont="false" applyNumberFormat="true" borderId="6873" fillId="10" fontId="1" numFmtId="1000" quotePrefix="false">
      <alignment horizontal="center" vertical="top" wrapText="true"/>
    </xf>
    <xf applyAlignment="true" applyBorder="true" applyFill="false" applyFont="false" applyNumberFormat="true" borderId="6874" fillId="0" fontId="1" numFmtId="1000" quotePrefix="false">
      <alignment horizontal="center" vertical="top"/>
    </xf>
    <xf applyAlignment="true" applyBorder="true" applyFill="false" applyFont="false" applyNumberFormat="true" borderId="6875" fillId="0" fontId="1" numFmtId="1000" quotePrefix="false">
      <alignment horizontal="center" vertical="top"/>
    </xf>
    <xf applyAlignment="true" applyBorder="true" applyFill="true" applyFont="false" applyNumberFormat="true" borderId="6876" fillId="10" fontId="1" numFmtId="1000" quotePrefix="false">
      <alignment horizontal="center" vertical="top" wrapText="true"/>
    </xf>
    <xf applyAlignment="true" applyBorder="true" applyFill="true" applyFont="false" applyNumberFormat="true" borderId="6877" fillId="10" fontId="1" numFmtId="1000" quotePrefix="false">
      <alignment horizontal="center" vertical="top" wrapText="true"/>
    </xf>
    <xf applyAlignment="true" applyBorder="true" applyFill="false" applyFont="false" applyNumberFormat="true" borderId="6878" fillId="0" fontId="1" numFmtId="1000" quotePrefix="false">
      <alignment horizontal="center" vertical="top"/>
    </xf>
    <xf applyAlignment="true" applyBorder="true" applyFill="false" applyFont="false" applyNumberFormat="true" borderId="6879" fillId="0" fontId="1" numFmtId="1000" quotePrefix="false">
      <alignment horizontal="center" vertical="top"/>
    </xf>
    <xf applyAlignment="true" applyBorder="true" applyFill="true" applyFont="false" applyNumberFormat="true" borderId="6880" fillId="10" fontId="1" numFmtId="1000" quotePrefix="false">
      <alignment horizontal="center" vertical="top" wrapText="true"/>
    </xf>
    <xf applyAlignment="true" applyBorder="true" applyFill="true" applyFont="false" applyNumberFormat="true" borderId="6881" fillId="10" fontId="1" numFmtId="1000" quotePrefix="false">
      <alignment horizontal="center" vertical="top" wrapText="true"/>
    </xf>
    <xf applyAlignment="true" applyBorder="true" applyFill="true" applyFont="false" applyNumberFormat="true" borderId="6882" fillId="10" fontId="1" numFmtId="1000" quotePrefix="false">
      <alignment horizontal="center" vertical="top" wrapText="true"/>
    </xf>
    <xf applyAlignment="true" applyBorder="true" applyFill="true" applyFont="false" applyNumberFormat="true" borderId="6883" fillId="10" fontId="1" numFmtId="1000" quotePrefix="false">
      <alignment horizontal="center" vertical="top" wrapText="true"/>
    </xf>
    <xf applyAlignment="true" applyBorder="true" applyFill="false" applyFont="false" applyNumberFormat="true" borderId="6884" fillId="0" fontId="1" numFmtId="1000" quotePrefix="false">
      <alignment horizontal="center" vertical="top"/>
    </xf>
    <xf applyAlignment="true" applyBorder="true" applyFill="false" applyFont="false" applyNumberFormat="true" borderId="6885" fillId="0" fontId="1" numFmtId="1000" quotePrefix="false">
      <alignment horizontal="center" vertical="top"/>
    </xf>
    <xf applyAlignment="true" applyBorder="true" applyFill="true" applyFont="false" applyNumberFormat="true" borderId="782" fillId="3" fontId="1" numFmtId="1000" quotePrefix="false">
      <alignment horizontal="center" vertical="top" wrapText="true"/>
    </xf>
    <xf applyAlignment="true" applyBorder="true" applyFill="false" applyFont="false" applyNumberFormat="true" borderId="6886" fillId="0" fontId="1" numFmtId="1000" quotePrefix="false">
      <alignment horizontal="center" vertical="top"/>
    </xf>
    <xf applyAlignment="true" applyBorder="true" applyFill="false" applyFont="false" applyNumberFormat="true" borderId="6887" fillId="0" fontId="1" numFmtId="1000" quotePrefix="false">
      <alignment horizontal="center" vertical="top"/>
    </xf>
    <xf applyAlignment="true" applyBorder="true" applyFill="true" applyFont="false" applyNumberFormat="true" borderId="6888" fillId="3" fontId="1" numFmtId="1000" quotePrefix="false">
      <alignment horizontal="center" vertical="top" wrapText="true"/>
    </xf>
    <xf applyAlignment="true" applyBorder="true" applyFill="false" applyFont="false" applyNumberFormat="true" borderId="6889" fillId="0" fontId="1" numFmtId="1000" quotePrefix="false">
      <alignment horizontal="center" vertical="top"/>
    </xf>
    <xf applyAlignment="true" applyBorder="true" applyFill="false" applyFont="false" applyNumberFormat="true" borderId="6890" fillId="0" fontId="1" numFmtId="1000" quotePrefix="false">
      <alignment horizontal="center" vertical="top"/>
    </xf>
    <xf applyAlignment="true" applyBorder="true" applyFill="true" applyFont="false" applyNumberFormat="true" borderId="6891" fillId="3" fontId="1" numFmtId="1000" quotePrefix="false">
      <alignment horizontal="center" vertical="top" wrapText="true"/>
    </xf>
    <xf applyAlignment="true" applyBorder="true" applyFill="false" applyFont="false" applyNumberFormat="true" borderId="6892" fillId="0" fontId="1" numFmtId="1000" quotePrefix="false">
      <alignment horizontal="center" vertical="top"/>
    </xf>
    <xf applyAlignment="true" applyBorder="true" applyFill="false" applyFont="false" applyNumberFormat="true" borderId="6893" fillId="0" fontId="1" numFmtId="1000" quotePrefix="false">
      <alignment horizontal="center" vertical="top"/>
    </xf>
    <xf applyAlignment="true" applyBorder="true" applyFill="false" applyFont="false" applyNumberFormat="true" borderId="6894" fillId="0" fontId="1" numFmtId="1000" quotePrefix="false">
      <alignment horizontal="center"/>
    </xf>
    <xf applyAlignment="true" applyBorder="true" applyFill="true" applyFont="false" applyNumberFormat="true" borderId="6895" fillId="8" fontId="1" numFmtId="1000" quotePrefix="false">
      <alignment horizontal="center"/>
    </xf>
    <xf applyAlignment="true" applyBorder="true" applyFill="true" applyFont="false" applyNumberFormat="true" borderId="6896" fillId="8" fontId="1" numFmtId="1000" quotePrefix="false">
      <alignment horizontal="center"/>
    </xf>
    <xf applyAlignment="true" applyBorder="true" applyFill="false" applyFont="true" applyNumberFormat="true" borderId="6897" fillId="0" fontId="2" numFmtId="1000" quotePrefix="false">
      <alignment horizontal="center" vertical="top"/>
    </xf>
    <xf applyAlignment="true" applyBorder="true" applyFill="false" applyFont="false" applyNumberFormat="true" borderId="6898" fillId="0" fontId="1" numFmtId="1000" quotePrefix="false">
      <alignment horizontal="left" vertical="top"/>
    </xf>
    <xf applyAlignment="true" applyBorder="true" applyFill="false" applyFont="false" applyNumberFormat="true" borderId="6899" fillId="0" fontId="1" numFmtId="1000" quotePrefix="false">
      <alignment horizontal="left" vertical="top"/>
    </xf>
    <xf applyAlignment="true" applyBorder="true" applyFill="false" applyFont="false" applyNumberFormat="true" borderId="6900" fillId="0" fontId="1" numFmtId="1000" quotePrefix="false">
      <alignment horizontal="left" vertical="top"/>
    </xf>
    <xf applyAlignment="true" applyBorder="true" applyFill="false" applyFont="false" applyNumberFormat="true" borderId="6901" fillId="0" fontId="1" numFmtId="1000" quotePrefix="false">
      <alignment horizontal="left" vertical="top"/>
    </xf>
    <xf applyAlignment="true" applyBorder="true" applyFill="false" applyFont="false" applyNumberFormat="true" borderId="6902" fillId="0" fontId="1" numFmtId="1000" quotePrefix="false">
      <alignment horizontal="left" vertical="top"/>
    </xf>
    <xf applyAlignment="true" applyBorder="true" applyFill="false" applyFont="false" applyNumberFormat="true" borderId="6903" fillId="0" fontId="1" numFmtId="1000" quotePrefix="false">
      <alignment horizontal="left" vertical="top"/>
    </xf>
    <xf applyAlignment="true" applyBorder="true" applyFill="false" applyFont="false" applyNumberFormat="true" borderId="6904" fillId="0" fontId="1" numFmtId="1000" quotePrefix="false">
      <alignment horizontal="left" vertical="top"/>
    </xf>
    <xf applyAlignment="true" applyBorder="true" applyFill="false" applyFont="false" applyNumberFormat="true" borderId="6905" fillId="0" fontId="1" numFmtId="1000" quotePrefix="false">
      <alignment horizontal="left" vertical="top"/>
    </xf>
    <xf applyAlignment="true" applyBorder="true" applyFill="false" applyFont="false" applyNumberFormat="true" borderId="6906" fillId="0" fontId="1" numFmtId="1000" quotePrefix="false">
      <alignment horizontal="left" vertical="top"/>
    </xf>
    <xf applyAlignment="true" applyBorder="true" applyFill="false" applyFont="false" applyNumberFormat="true" borderId="6907" fillId="0" fontId="1" numFmtId="1000" quotePrefix="false">
      <alignment horizontal="left" vertical="top"/>
    </xf>
    <xf applyAlignment="true" applyBorder="true" applyFill="false" applyFont="false" applyNumberFormat="true" borderId="6908" fillId="0" fontId="1" numFmtId="1000" quotePrefix="false">
      <alignment horizontal="left" vertical="top"/>
    </xf>
    <xf applyAlignment="true" applyBorder="true" applyFill="false" applyFont="false" applyNumberFormat="true" borderId="6909" fillId="0" fontId="1" numFmtId="1000" quotePrefix="false">
      <alignment horizontal="left" vertical="top"/>
    </xf>
    <xf applyAlignment="true" applyBorder="true" applyFill="false" applyFont="false" applyNumberFormat="true" borderId="6910" fillId="0" fontId="1" numFmtId="1000" quotePrefix="false">
      <alignment horizontal="left" vertical="top"/>
    </xf>
    <xf applyAlignment="true" applyBorder="true" applyFill="false" applyFont="false" applyNumberFormat="true" borderId="6911" fillId="0" fontId="1" numFmtId="1000" quotePrefix="false">
      <alignment horizontal="left" vertical="top"/>
    </xf>
    <xf applyAlignment="true" applyBorder="true" applyFill="false" applyFont="false" applyNumberFormat="true" borderId="6912" fillId="0" fontId="1" numFmtId="1000" quotePrefix="false">
      <alignment horizontal="left" vertical="top"/>
    </xf>
    <xf applyAlignment="true" applyBorder="true" applyFill="false" applyFont="false" applyNumberFormat="true" borderId="6913" fillId="0" fontId="1" numFmtId="1000" quotePrefix="false">
      <alignment horizontal="left" vertical="top"/>
    </xf>
    <xf applyAlignment="true" applyBorder="true" applyFill="false" applyFont="false" applyNumberFormat="true" borderId="6914" fillId="0" fontId="1" numFmtId="1000" quotePrefix="false">
      <alignment horizontal="left" vertical="top"/>
    </xf>
    <xf applyAlignment="true" applyBorder="true" applyFill="false" applyFont="false" applyNumberFormat="true" borderId="6915" fillId="0" fontId="1" numFmtId="1000" quotePrefix="false">
      <alignment horizontal="left" vertical="top"/>
    </xf>
    <xf applyAlignment="true" applyBorder="true" applyFill="false" applyFont="false" applyNumberFormat="true" borderId="6916" fillId="0" fontId="1" numFmtId="1000" quotePrefix="false">
      <alignment horizontal="left" vertical="top"/>
    </xf>
    <xf applyAlignment="true" applyBorder="true" applyFill="false" applyFont="true" applyNumberFormat="true" borderId="6917" fillId="0" fontId="2" numFmtId="1000" quotePrefix="false">
      <alignment horizontal="center"/>
    </xf>
    <xf applyAlignment="true" applyBorder="true" applyFill="false" applyFont="true" applyNumberFormat="true" borderId="6918" fillId="0" fontId="2" numFmtId="1000" quotePrefix="false">
      <alignment horizontal="center"/>
    </xf>
    <xf applyAlignment="true" applyBorder="true" applyFill="false" applyFont="true" applyNumberFormat="true" borderId="6919" fillId="0" fontId="2" numFmtId="1000" quotePrefix="false">
      <alignment horizontal="center"/>
    </xf>
    <xf applyAlignment="true" applyBorder="true" applyFill="false" applyFont="false" applyNumberFormat="true" borderId="6920" fillId="0" fontId="1" numFmtId="1000" quotePrefix="false">
      <alignment horizontal="center" vertical="top"/>
    </xf>
    <xf applyAlignment="true" applyBorder="true" applyFill="false" applyFont="false" applyNumberFormat="true" borderId="6921" fillId="0" fontId="1" numFmtId="1000" quotePrefix="false">
      <alignment horizontal="center" vertical="top"/>
    </xf>
    <xf applyAlignment="true" applyBorder="true" applyFill="false" applyFont="false" applyNumberFormat="true" borderId="6922" fillId="0" fontId="1" numFmtId="1000" quotePrefix="false">
      <alignment horizontal="center" vertical="top"/>
    </xf>
    <xf applyAlignment="true" applyBorder="true" applyFill="false" applyFont="false" applyNumberFormat="true" borderId="6923" fillId="0" fontId="1" numFmtId="1000" quotePrefix="false">
      <alignment horizontal="center" vertical="top"/>
    </xf>
    <xf applyAlignment="true" applyBorder="true" applyFill="false" applyFont="false" applyNumberFormat="true" borderId="6924" fillId="0" fontId="1" numFmtId="1000" quotePrefix="false">
      <alignment horizontal="center" vertical="top"/>
    </xf>
    <xf applyAlignment="true" applyBorder="true" applyFill="false" applyFont="false" applyNumberFormat="true" borderId="6925" fillId="0" fontId="1" numFmtId="1000" quotePrefix="false">
      <alignment horizontal="center" vertical="top"/>
    </xf>
    <xf applyAlignment="true" applyBorder="true" applyFill="false" applyFont="false" applyNumberFormat="true" borderId="6926" fillId="0" fontId="1" numFmtId="1000" quotePrefix="false">
      <alignment horizontal="center" vertical="top"/>
    </xf>
    <xf applyAlignment="true" applyBorder="true" applyFill="false" applyFont="false" applyNumberFormat="true" borderId="6927" fillId="0" fontId="1" numFmtId="1000" quotePrefix="false">
      <alignment horizontal="center" vertical="top"/>
    </xf>
    <xf applyAlignment="true" applyBorder="true" applyFill="false" applyFont="false" applyNumberFormat="true" borderId="6928" fillId="0" fontId="1" numFmtId="1000" quotePrefix="false">
      <alignment horizontal="center" vertical="top"/>
    </xf>
    <xf applyAlignment="true" applyBorder="true" applyFill="false" applyFont="false" applyNumberFormat="true" borderId="22" fillId="0" fontId="1" numFmtId="1000" quotePrefix="false">
      <alignment horizontal="center" vertical="top"/>
    </xf>
    <xf applyAlignment="true" applyBorder="true" applyFill="false" applyFont="false" applyNumberFormat="true" borderId="6929" fillId="0" fontId="1" numFmtId="1000" quotePrefix="false">
      <alignment horizontal="center" vertical="top"/>
    </xf>
    <xf applyAlignment="true" applyBorder="true" applyFill="false" applyFont="false" applyNumberFormat="true" borderId="6930" fillId="0" fontId="1" numFmtId="1000" quotePrefix="false">
      <alignment horizontal="center" vertical="top"/>
    </xf>
    <xf applyAlignment="true" applyBorder="true" applyFill="false" applyFont="false" applyNumberFormat="true" borderId="6931" fillId="0" fontId="1" numFmtId="1000" quotePrefix="false">
      <alignment horizontal="center" vertical="top"/>
    </xf>
    <xf applyAlignment="true" applyBorder="true" applyFill="false" applyFont="false" applyNumberFormat="true" borderId="6932" fillId="0" fontId="1" numFmtId="1000" quotePrefix="false">
      <alignment horizontal="center" vertical="top"/>
    </xf>
    <xf applyAlignment="true" applyBorder="true" applyFill="false" applyFont="false" applyNumberFormat="true" borderId="6933" fillId="0" fontId="1" numFmtId="1000" quotePrefix="false">
      <alignment horizontal="center" vertical="top"/>
    </xf>
    <xf applyAlignment="true" applyBorder="true" applyFill="false" applyFont="false" applyNumberFormat="true" borderId="6934" fillId="0" fontId="1" numFmtId="1000" quotePrefix="false">
      <alignment horizontal="center" vertical="top"/>
    </xf>
    <xf applyAlignment="true" applyBorder="true" applyFill="false" applyFont="false" applyNumberFormat="true" borderId="6935" fillId="0" fontId="1" numFmtId="1000" quotePrefix="false">
      <alignment horizontal="center" vertical="top"/>
    </xf>
    <xf applyAlignment="true" applyBorder="true" applyFill="false" applyFont="false" applyNumberFormat="true" borderId="24" fillId="0" fontId="1" numFmtId="1000" quotePrefix="false">
      <alignment horizontal="center" vertical="top"/>
    </xf>
    <xf applyAlignment="true" applyBorder="true" applyFill="false" applyFont="false" applyNumberFormat="true" borderId="6936" fillId="0" fontId="1" numFmtId="1000" quotePrefix="false">
      <alignment horizontal="center" vertical="top"/>
    </xf>
    <xf applyAlignment="true" applyBorder="true" applyFill="false" applyFont="false" applyNumberFormat="true" borderId="6937" fillId="0" fontId="1" numFmtId="1000" quotePrefix="false">
      <alignment vertical="top"/>
    </xf>
    <xf applyAlignment="true" applyBorder="true" applyFill="false" applyFont="false" applyNumberFormat="true" borderId="6938" fillId="0" fontId="1" numFmtId="1000" quotePrefix="false">
      <alignment vertical="top"/>
    </xf>
    <xf applyAlignment="true" applyBorder="true" applyFill="false" applyFont="false" applyNumberFormat="true" borderId="6939" fillId="0" fontId="1" numFmtId="1000" quotePrefix="false">
      <alignment horizontal="center" vertical="top"/>
    </xf>
    <xf applyAlignment="true" applyBorder="true" applyFill="false" applyFont="false" applyNumberFormat="true" borderId="6940" fillId="0" fontId="1" numFmtId="1000" quotePrefix="false">
      <alignment horizontal="center" vertical="top"/>
    </xf>
    <xf applyAlignment="true" applyBorder="true" applyFill="false" applyFont="false" applyNumberFormat="true" borderId="6941" fillId="0" fontId="1" numFmtId="1000" quotePrefix="false">
      <alignment vertical="top"/>
    </xf>
    <xf applyAlignment="true" applyBorder="true" applyFill="true" applyFont="true" applyNumberFormat="true" borderId="6942" fillId="4" fontId="2" numFmtId="1000" quotePrefix="false">
      <alignment horizontal="left" vertical="top"/>
    </xf>
    <xf applyAlignment="true" applyBorder="true" applyFill="false" applyFont="false" applyNumberFormat="true" borderId="6943" fillId="0" fontId="1" numFmtId="1000" quotePrefix="false">
      <alignment horizontal="center" vertical="top"/>
    </xf>
    <xf applyAlignment="true" applyBorder="true" applyFill="true" applyFont="false" applyNumberFormat="true" borderId="6944" fillId="3" fontId="1" numFmtId="1000" quotePrefix="false">
      <alignment horizontal="center" vertical="top" wrapText="true"/>
    </xf>
    <xf applyAlignment="true" applyBorder="true" applyFill="true" applyFont="true" applyNumberFormat="true" borderId="85" fillId="4" fontId="14" numFmtId="1000" quotePrefix="false">
      <alignment vertical="top"/>
    </xf>
    <xf applyAlignment="true" applyBorder="true" applyFill="true" applyFont="true" applyNumberFormat="true" borderId="77" fillId="10" fontId="8" numFmtId="1000" quotePrefix="false">
      <alignment vertical="top"/>
    </xf>
    <xf applyAlignment="true" applyBorder="true" applyFill="true" applyFont="true" applyNumberFormat="true" borderId="6942" fillId="4" fontId="2" numFmtId="1000" quotePrefix="false">
      <alignment vertical="top"/>
    </xf>
    <xf applyAlignment="true" applyBorder="true" applyFill="false" applyFont="false" applyNumberFormat="true" borderId="6945" fillId="0" fontId="1" numFmtId="1000" quotePrefix="false">
      <alignment horizontal="center" vertical="top"/>
    </xf>
    <xf applyAlignment="true" applyBorder="true" applyFill="true" applyFont="false" applyNumberFormat="true" borderId="6946" fillId="3" fontId="1" numFmtId="1000" quotePrefix="false">
      <alignment horizontal="center" vertical="top" wrapText="true"/>
    </xf>
    <xf applyAlignment="true" applyBorder="true" applyFill="true" applyFont="false" applyNumberFormat="true" borderId="85" fillId="3" fontId="1" numFmtId="1000" quotePrefix="false">
      <alignment horizontal="left" vertical="top"/>
    </xf>
    <xf applyAlignment="true" applyBorder="true" applyFill="true" applyFont="false" applyNumberFormat="true" borderId="85" fillId="2" fontId="1" numFmtId="1000" quotePrefix="false">
      <alignment horizontal="left" vertical="top" wrapText="true"/>
    </xf>
    <xf applyAlignment="true" applyBorder="true" applyFill="false" applyFont="false" applyNumberFormat="true" borderId="6947" fillId="0" fontId="1" numFmtId="1000" quotePrefix="false">
      <alignment horizontal="center" vertical="top"/>
    </xf>
    <xf applyAlignment="true" applyBorder="true" applyFill="true" applyFont="false" applyNumberFormat="true" borderId="6948" fillId="3" fontId="1" numFmtId="1000" quotePrefix="false">
      <alignment horizontal="center" vertical="top" wrapText="true"/>
    </xf>
    <xf applyAlignment="true" applyBorder="true" applyFill="true" applyFont="true" applyNumberFormat="true" borderId="77" fillId="4" fontId="2" numFmtId="1000" quotePrefix="false">
      <alignment vertical="top"/>
    </xf>
    <xf applyAlignment="true" applyBorder="true" applyFill="false" applyFont="false" applyNumberFormat="true" borderId="6949" fillId="0" fontId="1" numFmtId="1000" quotePrefix="false">
      <alignment horizontal="center" vertical="top"/>
    </xf>
    <xf applyAlignment="true" applyBorder="true" applyFill="true" applyFont="true" applyNumberFormat="true" borderId="85" fillId="4" fontId="2" numFmtId="1000" quotePrefix="false">
      <alignment horizontal="left" vertical="top"/>
    </xf>
    <xf applyAlignment="true" applyBorder="true" applyFill="true" applyFont="true" applyNumberFormat="true" borderId="6942" fillId="10" fontId="8" numFmtId="1000" quotePrefix="false">
      <alignment vertical="top"/>
    </xf>
    <xf applyAlignment="true" applyBorder="true" applyFill="false" applyFont="false" applyNumberFormat="true" borderId="6950" fillId="0" fontId="1" numFmtId="1000" quotePrefix="false">
      <alignment horizontal="center" vertical="top"/>
    </xf>
    <xf applyAlignment="true" applyBorder="true" applyFill="true" applyFont="false" applyNumberFormat="true" borderId="6951" fillId="4" fontId="1" numFmtId="1000" quotePrefix="false">
      <alignment horizontal="center" vertical="top" wrapText="true"/>
    </xf>
    <xf applyAlignment="true" applyBorder="true" applyFill="false" applyFont="false" applyNumberFormat="true" borderId="6952" fillId="0" fontId="1" numFmtId="1000" quotePrefix="false">
      <alignment horizontal="center" vertical="top"/>
    </xf>
    <xf applyAlignment="true" applyBorder="true" applyFill="false" applyFont="false" applyNumberFormat="true" borderId="6953" fillId="0" fontId="1" numFmtId="1000" quotePrefix="false">
      <alignment horizontal="center" vertical="top"/>
    </xf>
    <xf applyAlignment="true" applyBorder="true" applyFill="true" applyFont="true" applyNumberFormat="true" borderId="6954" fillId="10" fontId="8" numFmtId="1000" quotePrefix="false">
      <alignment vertical="top"/>
    </xf>
    <xf applyAlignment="true" applyBorder="true" applyFill="false" applyFont="false" applyNumberFormat="true" borderId="6955" fillId="0" fontId="1" numFmtId="1000" quotePrefix="false">
      <alignment vertical="top"/>
    </xf>
    <xf applyAlignment="true" applyBorder="true" applyFill="true" applyFont="false" applyNumberFormat="true" borderId="6956" fillId="8" fontId="1" numFmtId="1003" quotePrefix="false">
      <alignment vertical="top"/>
    </xf>
    <xf applyAlignment="true" applyBorder="true" applyFill="false" applyFont="false" applyNumberFormat="true" borderId="6957" fillId="0" fontId="1" numFmtId="1000" quotePrefix="false">
      <alignment vertical="top"/>
    </xf>
    <xf applyAlignment="true" applyBorder="true" applyFill="true" applyFont="true" applyNumberFormat="true" borderId="6958" fillId="21" fontId="2" numFmtId="1000" quotePrefix="false">
      <alignment horizontal="left" vertical="top"/>
    </xf>
    <xf applyAlignment="true" applyBorder="true" applyFill="false" applyFont="false" applyNumberFormat="true" borderId="6959" fillId="0" fontId="1" numFmtId="1000" quotePrefix="false">
      <alignment horizontal="center" vertical="top"/>
    </xf>
    <xf applyAlignment="true" applyBorder="true" applyFill="false" applyFont="false" applyNumberFormat="true" borderId="6960" fillId="0" fontId="1" numFmtId="1000" quotePrefix="false">
      <alignment horizontal="center" vertical="top"/>
    </xf>
    <xf applyAlignment="true" applyBorder="true" applyFill="false" applyFont="true" applyNumberFormat="true" borderId="6961" fillId="0" fontId="2" numFmtId="1000" quotePrefix="false">
      <alignment horizontal="center" vertical="top"/>
    </xf>
    <xf applyAlignment="true" applyBorder="true" applyFill="false" applyFont="false" applyNumberFormat="true" borderId="6962" fillId="0" fontId="1" numFmtId="1000" quotePrefix="false">
      <alignment horizontal="left" vertical="top"/>
    </xf>
    <xf applyAlignment="true" applyBorder="true" applyFill="false" applyFont="false" applyNumberFormat="true" borderId="6963" fillId="0" fontId="1" numFmtId="1000" quotePrefix="false">
      <alignment horizontal="left" vertical="top"/>
    </xf>
    <xf applyAlignment="true" applyBorder="true" applyFill="false" applyFont="false" applyNumberFormat="true" borderId="6964" fillId="0" fontId="1" numFmtId="1000" quotePrefix="false">
      <alignment horizontal="left" vertical="top"/>
    </xf>
    <xf applyAlignment="true" applyBorder="true" applyFill="false" applyFont="false" applyNumberFormat="true" borderId="6965" fillId="0" fontId="1" numFmtId="1000" quotePrefix="false">
      <alignment horizontal="left" vertical="top"/>
    </xf>
    <xf applyAlignment="true" applyBorder="true" applyFill="false" applyFont="false" applyNumberFormat="true" borderId="6966" fillId="0" fontId="1" numFmtId="1000" quotePrefix="false">
      <alignment horizontal="left" vertical="top"/>
    </xf>
    <xf applyAlignment="true" applyBorder="true" applyFill="false" applyFont="false" applyNumberFormat="true" borderId="6967" fillId="0" fontId="1" numFmtId="1000" quotePrefix="false">
      <alignment horizontal="left" vertical="top"/>
    </xf>
    <xf applyAlignment="true" applyBorder="true" applyFill="false" applyFont="false" applyNumberFormat="true" borderId="6968" fillId="0" fontId="1" numFmtId="1000" quotePrefix="false">
      <alignment horizontal="left" vertical="top"/>
    </xf>
    <xf applyAlignment="true" applyBorder="true" applyFill="false" applyFont="false" applyNumberFormat="true" borderId="6969" fillId="0" fontId="1" numFmtId="1000" quotePrefix="false">
      <alignment horizontal="left" vertical="top"/>
    </xf>
    <xf applyAlignment="true" applyBorder="true" applyFill="false" applyFont="false" applyNumberFormat="true" borderId="6970" fillId="0" fontId="1" numFmtId="1000" quotePrefix="false">
      <alignment horizontal="left" vertical="top"/>
    </xf>
    <xf applyAlignment="true" applyBorder="true" applyFill="false" applyFont="false" applyNumberFormat="true" borderId="6971" fillId="0" fontId="1" numFmtId="1000" quotePrefix="false">
      <alignment horizontal="left" vertical="top"/>
    </xf>
    <xf applyAlignment="true" applyBorder="true" applyFill="false" applyFont="false" applyNumberFormat="true" borderId="6972" fillId="0" fontId="1" numFmtId="1000" quotePrefix="false">
      <alignment horizontal="left" vertical="top"/>
    </xf>
    <xf applyAlignment="true" applyBorder="true" applyFill="false" applyFont="false" applyNumberFormat="true" borderId="6973" fillId="0" fontId="1" numFmtId="1000" quotePrefix="false">
      <alignment horizontal="left" vertical="top"/>
    </xf>
    <xf applyAlignment="true" applyBorder="true" applyFill="false" applyFont="false" applyNumberFormat="true" borderId="6974" fillId="0" fontId="1" numFmtId="1000" quotePrefix="false">
      <alignment horizontal="left" vertical="top"/>
    </xf>
    <xf applyAlignment="true" applyBorder="true" applyFill="false" applyFont="false" applyNumberFormat="true" borderId="6975" fillId="0" fontId="1" numFmtId="1000" quotePrefix="false">
      <alignment horizontal="left" vertical="top"/>
    </xf>
    <xf applyAlignment="true" applyBorder="true" applyFill="false" applyFont="false" applyNumberFormat="true" borderId="6976" fillId="0" fontId="1" numFmtId="1000" quotePrefix="false">
      <alignment horizontal="left" vertical="top"/>
    </xf>
    <xf applyAlignment="true" applyBorder="true" applyFill="false" applyFont="false" applyNumberFormat="true" borderId="6977" fillId="0" fontId="1" numFmtId="1000" quotePrefix="false">
      <alignment horizontal="left" vertical="top"/>
    </xf>
    <xf applyAlignment="true" applyBorder="true" applyFill="false" applyFont="false" applyNumberFormat="true" borderId="6978" fillId="0" fontId="1" numFmtId="1000" quotePrefix="false">
      <alignment horizontal="left" vertical="top"/>
    </xf>
    <xf applyAlignment="true" applyBorder="true" applyFill="false" applyFont="false" applyNumberFormat="true" borderId="6979" fillId="0" fontId="1" numFmtId="1000" quotePrefix="false">
      <alignment horizontal="left" vertical="top"/>
    </xf>
    <xf applyAlignment="true" applyBorder="true" applyFill="false" applyFont="false" applyNumberFormat="true" borderId="6980" fillId="0" fontId="1" numFmtId="1000" quotePrefix="false">
      <alignment horizontal="left" vertical="top"/>
    </xf>
    <xf applyAlignment="true" applyBorder="true" applyFill="false" applyFont="true" applyNumberFormat="true" borderId="6981" fillId="0" fontId="2" numFmtId="1000" quotePrefix="false">
      <alignment horizontal="center"/>
    </xf>
    <xf applyAlignment="true" applyBorder="true" applyFill="false" applyFont="true" applyNumberFormat="true" borderId="6982" fillId="0" fontId="2" numFmtId="1000" quotePrefix="false">
      <alignment horizontal="center"/>
    </xf>
    <xf applyAlignment="true" applyBorder="true" applyFill="false" applyFont="true" applyNumberFormat="true" borderId="6983" fillId="0" fontId="2" numFmtId="1000" quotePrefix="false">
      <alignment horizontal="center"/>
    </xf>
    <xf applyAlignment="true" applyBorder="true" applyFill="false" applyFont="false" applyNumberFormat="true" borderId="6984" fillId="0" fontId="1" numFmtId="1000" quotePrefix="false">
      <alignment horizontal="center" vertical="top"/>
    </xf>
    <xf applyAlignment="true" applyBorder="true" applyFill="false" applyFont="false" applyNumberFormat="true" borderId="6985" fillId="0" fontId="1" numFmtId="1000" quotePrefix="false">
      <alignment horizontal="center" vertical="top"/>
    </xf>
    <xf applyAlignment="true" applyBorder="true" applyFill="false" applyFont="false" applyNumberFormat="true" borderId="6986" fillId="0" fontId="1" numFmtId="1000" quotePrefix="false">
      <alignment horizontal="center" vertical="top"/>
    </xf>
    <xf applyAlignment="true" applyBorder="true" applyFill="false" applyFont="false" applyNumberFormat="true" borderId="6987" fillId="0" fontId="1" numFmtId="1000" quotePrefix="false">
      <alignment horizontal="center" vertical="top"/>
    </xf>
    <xf applyAlignment="true" applyBorder="true" applyFill="false" applyFont="false" applyNumberFormat="true" borderId="6988" fillId="0" fontId="1" numFmtId="1000" quotePrefix="false">
      <alignment horizontal="center" vertical="top"/>
    </xf>
    <xf applyAlignment="true" applyBorder="true" applyFill="false" applyFont="false" applyNumberFormat="true" borderId="6989" fillId="0" fontId="1" numFmtId="1000" quotePrefix="false">
      <alignment horizontal="center" vertical="top"/>
    </xf>
    <xf applyAlignment="true" applyBorder="true" applyFill="false" applyFont="false" applyNumberFormat="true" borderId="6990" fillId="0" fontId="1" numFmtId="1000" quotePrefix="false">
      <alignment horizontal="center" vertical="top"/>
    </xf>
    <xf applyAlignment="true" applyBorder="true" applyFill="false" applyFont="false" applyNumberFormat="true" borderId="6991" fillId="0" fontId="1" numFmtId="1000" quotePrefix="false">
      <alignment horizontal="center" vertical="top"/>
    </xf>
    <xf applyAlignment="true" applyBorder="true" applyFill="false" applyFont="false" applyNumberFormat="true" borderId="6992" fillId="0" fontId="1" numFmtId="1000" quotePrefix="false">
      <alignment horizontal="center" vertical="top"/>
    </xf>
    <xf applyAlignment="true" applyBorder="true" applyFill="false" applyFont="false" applyNumberFormat="true" borderId="6993" fillId="0" fontId="1" numFmtId="1000" quotePrefix="false">
      <alignment horizontal="center" vertical="top"/>
    </xf>
    <xf applyAlignment="true" applyBorder="true" applyFill="false" applyFont="false" applyNumberFormat="true" borderId="6994" fillId="0" fontId="1" numFmtId="1000" quotePrefix="false">
      <alignment horizontal="center" vertical="top"/>
    </xf>
    <xf applyAlignment="true" applyBorder="true" applyFill="false" applyFont="false" applyNumberFormat="true" borderId="6995" fillId="0" fontId="1" numFmtId="1000" quotePrefix="false">
      <alignment horizontal="center" vertical="top"/>
    </xf>
    <xf applyAlignment="true" applyBorder="true" applyFill="false" applyFont="false" applyNumberFormat="true" borderId="6996" fillId="0" fontId="1" numFmtId="1000" quotePrefix="false">
      <alignment horizontal="center" vertical="top"/>
    </xf>
    <xf applyAlignment="true" applyBorder="true" applyFill="false" applyFont="false" applyNumberFormat="true" borderId="6997" fillId="0" fontId="1" numFmtId="1000" quotePrefix="false">
      <alignment horizontal="center" vertical="top"/>
    </xf>
    <xf applyAlignment="true" applyBorder="true" applyFill="false" applyFont="false" applyNumberFormat="true" borderId="6998" fillId="0" fontId="1" numFmtId="1000" quotePrefix="false">
      <alignment horizontal="center" vertical="top"/>
    </xf>
    <xf applyAlignment="true" applyBorder="true" applyFill="false" applyFont="false" applyNumberFormat="true" borderId="6999" fillId="0" fontId="1" numFmtId="1000" quotePrefix="false">
      <alignment horizontal="center" vertical="top"/>
    </xf>
    <xf applyAlignment="true" applyBorder="true" applyFill="false" applyFont="false" applyNumberFormat="true" borderId="7000" fillId="0" fontId="1" numFmtId="1000" quotePrefix="false">
      <alignment horizontal="center" vertical="top"/>
    </xf>
    <xf applyAlignment="true" applyBorder="true" applyFill="false" applyFont="false" applyNumberFormat="true" borderId="7001" fillId="0" fontId="1" numFmtId="1000" quotePrefix="false">
      <alignment horizontal="center" vertical="top"/>
    </xf>
    <xf applyAlignment="true" applyBorder="true" applyFill="false" applyFont="false" applyNumberFormat="true" borderId="7002" fillId="0" fontId="1" numFmtId="1000" quotePrefix="false">
      <alignment horizontal="center" vertical="top"/>
    </xf>
    <xf applyAlignment="true" applyBorder="true" applyFill="true" applyFont="false" applyNumberFormat="true" borderId="7003" fillId="4" fontId="1" numFmtId="1000" quotePrefix="false">
      <alignment horizontal="center" vertical="top" wrapText="true"/>
    </xf>
    <xf applyAlignment="true" applyBorder="true" applyFill="false" applyFont="false" applyNumberFormat="true" borderId="7004" fillId="0" fontId="1" numFmtId="1000" quotePrefix="false">
      <alignment horizontal="center" vertical="top"/>
    </xf>
    <xf applyAlignment="true" applyBorder="true" applyFill="false" applyFont="false" applyNumberFormat="true" borderId="7005" fillId="0" fontId="1" numFmtId="1000" quotePrefix="false">
      <alignment horizontal="center" vertical="top"/>
    </xf>
    <xf applyAlignment="true" applyBorder="true" applyFill="true" applyFont="false" applyNumberFormat="true" borderId="7006" fillId="4" fontId="1" numFmtId="1000" quotePrefix="false">
      <alignment horizontal="center" vertical="top" wrapText="true"/>
    </xf>
    <xf applyAlignment="true" applyBorder="true" applyFill="true" applyFont="false" applyNumberFormat="true" borderId="7007" fillId="4" fontId="1" numFmtId="1000" quotePrefix="false">
      <alignment horizontal="center" vertical="top" wrapText="true"/>
    </xf>
    <xf applyAlignment="true" applyBorder="true" applyFill="false" applyFont="false" applyNumberFormat="true" borderId="7008" fillId="0" fontId="1" numFmtId="1000" quotePrefix="false">
      <alignment horizontal="center" vertical="top"/>
    </xf>
    <xf applyAlignment="true" applyBorder="true" applyFill="false" applyFont="false" applyNumberFormat="true" borderId="7009" fillId="0" fontId="1" numFmtId="1000" quotePrefix="false">
      <alignment horizontal="center" vertical="top"/>
    </xf>
    <xf applyAlignment="true" applyBorder="true" applyFill="true" applyFont="false" applyNumberFormat="true" borderId="7010" fillId="4" fontId="1" numFmtId="1000" quotePrefix="false">
      <alignment horizontal="center" vertical="top" wrapText="true"/>
    </xf>
    <xf applyAlignment="true" applyBorder="true" applyFill="true" applyFont="false" applyNumberFormat="true" borderId="7011" fillId="4" fontId="1" numFmtId="1000" quotePrefix="false">
      <alignment horizontal="center" vertical="top" wrapText="true"/>
    </xf>
    <xf applyAlignment="true" applyBorder="true" applyFill="true" applyFont="false" applyNumberFormat="true" borderId="7012" fillId="4" fontId="1" numFmtId="1000" quotePrefix="false">
      <alignment horizontal="center" vertical="top" wrapText="true"/>
    </xf>
    <xf applyAlignment="true" applyBorder="true" applyFill="false" applyFont="false" applyNumberFormat="true" borderId="7013" fillId="0" fontId="1" numFmtId="1000" quotePrefix="false">
      <alignment horizontal="center" vertical="top"/>
    </xf>
    <xf applyAlignment="true" applyBorder="true" applyFill="false" applyFont="false" applyNumberFormat="true" borderId="7014" fillId="0" fontId="1" numFmtId="1000" quotePrefix="false">
      <alignment horizontal="center" vertical="top"/>
    </xf>
    <xf applyAlignment="true" applyBorder="true" applyFill="true" applyFont="false" applyNumberFormat="true" borderId="7015" fillId="4" fontId="1" numFmtId="1000" quotePrefix="false">
      <alignment horizontal="center" vertical="top" wrapText="true"/>
    </xf>
    <xf applyAlignment="true" applyBorder="true" applyFill="true" applyFont="false" applyNumberFormat="true" borderId="7016" fillId="4" fontId="1" numFmtId="1000" quotePrefix="false">
      <alignment horizontal="center" vertical="top" wrapText="true"/>
    </xf>
    <xf applyAlignment="true" applyBorder="true" applyFill="false" applyFont="false" applyNumberFormat="true" borderId="7017" fillId="0" fontId="1" numFmtId="1000" quotePrefix="false">
      <alignment horizontal="center" vertical="top"/>
    </xf>
    <xf applyAlignment="true" applyBorder="true" applyFill="false" applyFont="false" applyNumberFormat="true" borderId="7018" fillId="0" fontId="1" numFmtId="1000" quotePrefix="false">
      <alignment horizontal="center" vertical="top"/>
    </xf>
    <xf applyAlignment="true" applyBorder="true" applyFill="true" applyFont="false" applyNumberFormat="true" borderId="7019" fillId="2" fontId="1" numFmtId="1000" quotePrefix="false">
      <alignment horizontal="center" vertical="top" wrapText="true"/>
    </xf>
    <xf applyAlignment="true" applyBorder="true" applyFill="true" applyFont="false" applyNumberFormat="true" borderId="7020" fillId="4" fontId="1" numFmtId="1000" quotePrefix="false">
      <alignment horizontal="center" vertical="top" wrapText="true"/>
    </xf>
    <xf applyAlignment="true" applyBorder="true" applyFill="true" applyFont="false" applyNumberFormat="true" borderId="7021" fillId="4" fontId="1" numFmtId="1000" quotePrefix="false">
      <alignment horizontal="center" vertical="top" wrapText="true"/>
    </xf>
    <xf applyAlignment="true" applyBorder="true" applyFill="false" applyFont="false" applyNumberFormat="true" borderId="7022" fillId="0" fontId="1" numFmtId="1000" quotePrefix="false">
      <alignment horizontal="center" vertical="top"/>
    </xf>
    <xf applyAlignment="true" applyBorder="true" applyFill="false" applyFont="false" applyNumberFormat="true" borderId="7023" fillId="0" fontId="1" numFmtId="1000" quotePrefix="false">
      <alignment horizontal="center" vertical="top"/>
    </xf>
    <xf applyAlignment="true" applyBorder="true" applyFill="true" applyFont="false" applyNumberFormat="true" borderId="7024" fillId="2" fontId="1" numFmtId="1000" quotePrefix="false">
      <alignment horizontal="center" vertical="top" wrapText="true"/>
    </xf>
    <xf applyAlignment="true" applyBorder="true" applyFill="true" applyFont="false" applyNumberFormat="true" borderId="7025" fillId="4" fontId="1" numFmtId="1000" quotePrefix="false">
      <alignment horizontal="center" vertical="top" wrapText="true"/>
    </xf>
    <xf applyAlignment="true" applyBorder="true" applyFill="true" applyFont="false" applyNumberFormat="true" borderId="7026" fillId="4" fontId="1" numFmtId="1000" quotePrefix="false">
      <alignment horizontal="center" vertical="top" wrapText="true"/>
    </xf>
    <xf applyAlignment="true" applyBorder="true" applyFill="false" applyFont="false" applyNumberFormat="true" borderId="7027" fillId="0" fontId="1" numFmtId="1000" quotePrefix="false">
      <alignment horizontal="center" vertical="top"/>
    </xf>
    <xf applyAlignment="true" applyBorder="true" applyFill="false" applyFont="false" applyNumberFormat="true" borderId="7028" fillId="0" fontId="1" numFmtId="1000" quotePrefix="false">
      <alignment horizontal="center" vertical="top"/>
    </xf>
    <xf applyAlignment="true" applyBorder="true" applyFill="true" applyFont="false" applyNumberFormat="true" borderId="7029" fillId="2" fontId="1" numFmtId="1000" quotePrefix="false">
      <alignment horizontal="center" vertical="top" wrapText="true"/>
    </xf>
    <xf applyAlignment="true" applyBorder="true" applyFill="true" applyFont="false" applyNumberFormat="true" borderId="7030" fillId="4" fontId="1" numFmtId="1000" quotePrefix="false">
      <alignment horizontal="center" vertical="top" wrapText="true"/>
    </xf>
    <xf applyAlignment="true" applyBorder="true" applyFill="true" applyFont="false" applyNumberFormat="true" borderId="7031" fillId="4" fontId="1" numFmtId="1000" quotePrefix="false">
      <alignment horizontal="center" vertical="top" wrapText="true"/>
    </xf>
    <xf applyAlignment="true" applyBorder="true" applyFill="false" applyFont="false" applyNumberFormat="true" borderId="7032" fillId="0" fontId="1" numFmtId="1000" quotePrefix="false">
      <alignment horizontal="center" vertical="top"/>
    </xf>
    <xf applyAlignment="true" applyBorder="true" applyFill="false" applyFont="false" applyNumberFormat="true" borderId="7033" fillId="0" fontId="1" numFmtId="1000" quotePrefix="false">
      <alignment horizontal="center" vertical="top"/>
    </xf>
    <xf applyAlignment="true" applyBorder="true" applyFill="false" applyFont="true" applyNumberFormat="true" borderId="7034" fillId="0" fontId="2" numFmtId="1000" quotePrefix="false">
      <alignment horizontal="center" vertical="top"/>
    </xf>
    <xf applyAlignment="true" applyBorder="true" applyFill="false" applyFont="true" applyNumberFormat="true" borderId="7035" fillId="0" fontId="2" numFmtId="1000" quotePrefix="false">
      <alignment horizontal="center"/>
    </xf>
    <xf applyAlignment="true" applyBorder="true" applyFill="false" applyFont="true" applyNumberFormat="true" borderId="7036" fillId="0" fontId="2" numFmtId="1000" quotePrefix="false">
      <alignment horizontal="center"/>
    </xf>
    <xf applyAlignment="true" applyBorder="true" applyFill="false" applyFont="true" applyNumberFormat="true" borderId="7037" fillId="0" fontId="2" numFmtId="1000" quotePrefix="false">
      <alignment horizontal="center"/>
    </xf>
    <xf applyAlignment="true" applyBorder="true" applyFill="false" applyFont="false" applyNumberFormat="true" borderId="7038" fillId="0" fontId="1" numFmtId="1000" quotePrefix="false">
      <alignment horizontal="center" vertical="top"/>
    </xf>
    <xf applyAlignment="true" applyBorder="true" applyFill="false" applyFont="false" applyNumberFormat="true" borderId="7039" fillId="0" fontId="1" numFmtId="1000" quotePrefix="false">
      <alignment horizontal="center" vertical="top"/>
    </xf>
    <xf applyAlignment="true" applyBorder="true" applyFill="false" applyFont="false" applyNumberFormat="true" borderId="7040" fillId="0" fontId="1" numFmtId="1000" quotePrefix="false">
      <alignment horizontal="center" vertical="top"/>
    </xf>
    <xf applyAlignment="true" applyBorder="true" applyFill="false" applyFont="false" applyNumberFormat="true" borderId="7041" fillId="0" fontId="1" numFmtId="1000" quotePrefix="false">
      <alignment horizontal="center" vertical="top"/>
    </xf>
    <xf applyAlignment="true" applyBorder="true" applyFill="false" applyFont="false" applyNumberFormat="true" borderId="7042" fillId="0" fontId="1" numFmtId="1000" quotePrefix="false">
      <alignment horizontal="center" vertical="top"/>
    </xf>
    <xf applyAlignment="true" applyBorder="true" applyFill="false" applyFont="false" applyNumberFormat="true" borderId="7043" fillId="0" fontId="1" numFmtId="1000" quotePrefix="false">
      <alignment horizontal="center" vertical="top"/>
    </xf>
    <xf applyAlignment="true" applyBorder="true" applyFill="false" applyFont="false" applyNumberFormat="true" borderId="7044" fillId="0" fontId="1" numFmtId="1000" quotePrefix="false">
      <alignment horizontal="center" vertical="top"/>
    </xf>
    <xf applyAlignment="true" applyBorder="true" applyFill="false" applyFont="false" applyNumberFormat="true" borderId="7045" fillId="0" fontId="1" numFmtId="1000" quotePrefix="false">
      <alignment horizontal="center" vertical="top"/>
    </xf>
    <xf applyAlignment="true" applyBorder="true" applyFill="false" applyFont="false" applyNumberFormat="true" borderId="7046" fillId="0" fontId="1" numFmtId="1000" quotePrefix="false">
      <alignment horizontal="center" vertical="top"/>
    </xf>
    <xf applyAlignment="true" applyBorder="true" applyFill="false" applyFont="false" applyNumberFormat="true" borderId="7047" fillId="0" fontId="1" numFmtId="1000" quotePrefix="false">
      <alignment horizontal="center" vertical="top"/>
    </xf>
    <xf applyAlignment="true" applyBorder="true" applyFill="false" applyFont="false" applyNumberFormat="true" borderId="7048" fillId="0" fontId="1" numFmtId="1000" quotePrefix="false">
      <alignment horizontal="center" vertical="top"/>
    </xf>
    <xf applyAlignment="true" applyBorder="true" applyFill="false" applyFont="false" applyNumberFormat="true" borderId="7049" fillId="0" fontId="1" numFmtId="1000" quotePrefix="false">
      <alignment horizontal="center" vertical="top"/>
    </xf>
    <xf applyAlignment="true" applyBorder="true" applyFill="false" applyFont="false" applyNumberFormat="true" borderId="7050" fillId="0" fontId="1" numFmtId="1000" quotePrefix="false">
      <alignment horizontal="center" vertical="top"/>
    </xf>
    <xf applyAlignment="true" applyBorder="true" applyFill="false" applyFont="false" applyNumberFormat="true" borderId="7051" fillId="0" fontId="1" numFmtId="1000" quotePrefix="false">
      <alignment horizontal="center" vertical="top"/>
    </xf>
    <xf applyAlignment="true" applyBorder="true" applyFill="false" applyFont="false" applyNumberFormat="true" borderId="7052" fillId="0" fontId="1" numFmtId="1000" quotePrefix="false">
      <alignment horizontal="center" vertical="top"/>
    </xf>
    <xf applyAlignment="true" applyBorder="true" applyFill="false" applyFont="false" applyNumberFormat="true" borderId="7053" fillId="0" fontId="1" numFmtId="1000" quotePrefix="false">
      <alignment horizontal="center" vertical="top"/>
    </xf>
    <xf applyAlignment="true" applyBorder="true" applyFill="false" applyFont="false" applyNumberFormat="true" borderId="7054" fillId="0" fontId="1" numFmtId="1000" quotePrefix="false">
      <alignment horizontal="center" vertical="top"/>
    </xf>
    <xf applyAlignment="true" applyBorder="true" applyFill="false" applyFont="false" applyNumberFormat="true" borderId="7055" fillId="0" fontId="1" numFmtId="1000" quotePrefix="false">
      <alignment horizontal="center" vertical="top"/>
    </xf>
    <xf applyAlignment="true" applyBorder="true" applyFill="false" applyFont="false" applyNumberFormat="true" borderId="7056" fillId="0" fontId="1" numFmtId="1000" quotePrefix="false">
      <alignment horizontal="center" vertical="top"/>
    </xf>
    <xf applyAlignment="true" applyBorder="true" applyFill="false" applyFont="false" applyNumberFormat="true" borderId="7057" fillId="0" fontId="1" numFmtId="1000" quotePrefix="false">
      <alignment horizontal="center" vertical="top"/>
    </xf>
    <xf applyAlignment="true" applyBorder="true" applyFill="false" applyFont="false" applyNumberFormat="true" borderId="7058" fillId="0" fontId="1" numFmtId="1000" quotePrefix="false">
      <alignment horizontal="center" vertical="top"/>
    </xf>
    <xf applyAlignment="true" applyBorder="true" applyFill="false" applyFont="false" applyNumberFormat="true" borderId="7059" fillId="0" fontId="1" numFmtId="1000" quotePrefix="false">
      <alignment horizontal="center" vertical="top"/>
    </xf>
    <xf applyAlignment="true" applyBorder="true" applyFill="false" applyFont="false" applyNumberFormat="true" borderId="7060" fillId="0" fontId="1" numFmtId="1000" quotePrefix="false">
      <alignment horizontal="center" vertical="top"/>
    </xf>
    <xf applyAlignment="true" applyBorder="true" applyFill="true" applyFont="false" applyNumberFormat="true" borderId="78" fillId="4" fontId="1" numFmtId="1000" quotePrefix="false">
      <alignment horizontal="center"/>
    </xf>
    <xf applyAlignment="true" applyBorder="true" applyFill="false" applyFont="false" applyNumberFormat="true" borderId="7061" fillId="0" fontId="1" numFmtId="1000" quotePrefix="false">
      <alignment horizontal="center" vertical="top"/>
    </xf>
    <xf applyAlignment="true" applyBorder="true" applyFill="false" applyFont="false" applyNumberFormat="true" borderId="7062" fillId="0" fontId="1" numFmtId="1000" quotePrefix="false">
      <alignment horizontal="center" vertical="top"/>
    </xf>
    <xf applyAlignment="true" applyBorder="true" applyFill="false" applyFont="false" applyNumberFormat="true" borderId="7063" fillId="0" fontId="1" numFmtId="1000" quotePrefix="false">
      <alignment horizontal="center" vertical="top"/>
    </xf>
    <xf applyAlignment="true" applyBorder="true" applyFill="false" applyFont="false" applyNumberFormat="true" borderId="7064" fillId="0" fontId="1" numFmtId="1000" quotePrefix="false">
      <alignment horizontal="center" vertical="top"/>
    </xf>
    <xf applyAlignment="true" applyBorder="true" applyFill="false" applyFont="false" applyNumberFormat="true" borderId="7065" fillId="0" fontId="1" numFmtId="1000" quotePrefix="false">
      <alignment horizontal="center" vertical="top"/>
    </xf>
    <xf applyAlignment="true" applyBorder="true" applyFill="false" applyFont="false" applyNumberFormat="true" borderId="7066" fillId="0" fontId="1" numFmtId="1000" quotePrefix="false">
      <alignment horizontal="center" vertical="top"/>
    </xf>
    <xf applyAlignment="true" applyBorder="true" applyFill="false" applyFont="false" applyNumberFormat="true" borderId="7067" fillId="0" fontId="1" numFmtId="1000" quotePrefix="false">
      <alignment horizontal="center" vertical="top"/>
    </xf>
    <xf applyAlignment="true" applyBorder="true" applyFill="false" applyFont="false" applyNumberFormat="true" borderId="7068" fillId="0" fontId="1" numFmtId="1000" quotePrefix="false">
      <alignment horizontal="center" vertical="top"/>
    </xf>
    <xf applyAlignment="true" applyBorder="true" applyFill="false" applyFont="false" applyNumberFormat="true" borderId="7069" fillId="0" fontId="1" numFmtId="1000" quotePrefix="false">
      <alignment horizontal="center" vertical="top"/>
    </xf>
    <xf applyAlignment="true" applyBorder="true" applyFill="false" applyFont="false" applyNumberFormat="true" borderId="7070" fillId="0" fontId="1" numFmtId="1000" quotePrefix="false">
      <alignment horizontal="center" vertical="top"/>
    </xf>
    <xf applyAlignment="true" applyBorder="true" applyFill="false" applyFont="true" applyNumberFormat="true" borderId="7071" fillId="0" fontId="2" numFmtId="1000" quotePrefix="false">
      <alignment horizontal="center" vertical="top"/>
    </xf>
    <xf applyAlignment="true" applyBorder="true" applyFill="false" applyFont="true" applyNumberFormat="true" borderId="7072" fillId="0" fontId="2" numFmtId="1000" quotePrefix="false">
      <alignment horizontal="center"/>
    </xf>
    <xf applyAlignment="true" applyBorder="true" applyFill="false" applyFont="true" applyNumberFormat="true" borderId="7073" fillId="0" fontId="2" numFmtId="1000" quotePrefix="false">
      <alignment horizontal="center"/>
    </xf>
    <xf applyAlignment="true" applyBorder="true" applyFill="false" applyFont="true" applyNumberFormat="true" borderId="7074" fillId="0" fontId="2" numFmtId="1000" quotePrefix="false">
      <alignment horizontal="center"/>
    </xf>
    <xf applyAlignment="true" applyBorder="true" applyFill="false" applyFont="false" applyNumberFormat="true" borderId="7075" fillId="0" fontId="1" numFmtId="1000" quotePrefix="false">
      <alignment horizontal="center" vertical="top"/>
    </xf>
    <xf applyAlignment="true" applyBorder="true" applyFill="false" applyFont="false" applyNumberFormat="true" borderId="7076" fillId="0" fontId="1" numFmtId="1000" quotePrefix="false">
      <alignment horizontal="center" vertical="top"/>
    </xf>
    <xf applyAlignment="true" applyBorder="true" applyFill="false" applyFont="false" applyNumberFormat="true" borderId="7077" fillId="0" fontId="1" numFmtId="1000" quotePrefix="false">
      <alignment horizontal="center" vertical="top"/>
    </xf>
    <xf applyAlignment="true" applyBorder="true" applyFill="false" applyFont="false" applyNumberFormat="true" borderId="7078" fillId="0" fontId="1" numFmtId="1000" quotePrefix="false">
      <alignment horizontal="center" vertical="top"/>
    </xf>
    <xf applyAlignment="true" applyBorder="true" applyFill="false" applyFont="false" applyNumberFormat="true" borderId="7079" fillId="0" fontId="1" numFmtId="1000" quotePrefix="false">
      <alignment horizontal="center" vertical="top"/>
    </xf>
    <xf applyAlignment="true" applyBorder="true" applyFill="false" applyFont="false" applyNumberFormat="true" borderId="7080" fillId="0" fontId="1" numFmtId="1000" quotePrefix="false">
      <alignment horizontal="center" vertical="top"/>
    </xf>
    <xf applyAlignment="true" applyBorder="true" applyFill="false" applyFont="false" applyNumberFormat="true" borderId="7081" fillId="0" fontId="1" numFmtId="1000" quotePrefix="false">
      <alignment horizontal="center" vertical="top"/>
    </xf>
    <xf applyAlignment="true" applyBorder="true" applyFill="false" applyFont="false" applyNumberFormat="true" borderId="7082" fillId="0" fontId="1" numFmtId="1000" quotePrefix="false">
      <alignment horizontal="center" vertical="top"/>
    </xf>
    <xf applyAlignment="true" applyBorder="true" applyFill="false" applyFont="false" applyNumberFormat="true" borderId="7083" fillId="0" fontId="1" numFmtId="1000" quotePrefix="false">
      <alignment horizontal="center" vertical="top"/>
    </xf>
    <xf applyAlignment="true" applyBorder="true" applyFill="false" applyFont="false" applyNumberFormat="true" borderId="7084" fillId="0" fontId="1" numFmtId="1000" quotePrefix="false">
      <alignment horizontal="center" vertical="top"/>
    </xf>
    <xf applyAlignment="true" applyBorder="true" applyFill="false" applyFont="false" applyNumberFormat="true" borderId="7085" fillId="0" fontId="1" numFmtId="1000" quotePrefix="false">
      <alignment horizontal="center" vertical="top"/>
    </xf>
    <xf applyAlignment="true" applyBorder="true" applyFill="false" applyFont="false" applyNumberFormat="true" borderId="7086" fillId="0" fontId="1" numFmtId="1000" quotePrefix="false">
      <alignment horizontal="center" vertical="top"/>
    </xf>
    <xf applyAlignment="true" applyBorder="true" applyFill="false" applyFont="false" applyNumberFormat="true" borderId="7087" fillId="0" fontId="1" numFmtId="1000" quotePrefix="false">
      <alignment horizontal="center" vertical="top"/>
    </xf>
    <xf applyAlignment="true" applyBorder="true" applyFill="false" applyFont="false" applyNumberFormat="true" borderId="7088" fillId="0" fontId="1" numFmtId="1000" quotePrefix="false">
      <alignment horizontal="center" vertical="top"/>
    </xf>
    <xf applyAlignment="true" applyBorder="true" applyFill="false" applyFont="false" applyNumberFormat="true" borderId="7089" fillId="0" fontId="1" numFmtId="1000" quotePrefix="false">
      <alignment horizontal="center" vertical="top"/>
    </xf>
    <xf applyAlignment="true" applyBorder="true" applyFill="false" applyFont="false" applyNumberFormat="true" borderId="7090" fillId="0" fontId="1" numFmtId="1000" quotePrefix="false">
      <alignment horizontal="center" vertical="top"/>
    </xf>
    <xf applyAlignment="true" applyBorder="true" applyFill="false" applyFont="false" applyNumberFormat="true" borderId="7091" fillId="0" fontId="1" numFmtId="1000" quotePrefix="false">
      <alignment horizontal="center" vertical="top"/>
    </xf>
    <xf applyAlignment="true" applyBorder="true" applyFill="true" applyFont="false" applyNumberFormat="true" borderId="7092" fillId="10" fontId="1" numFmtId="1000" quotePrefix="false">
      <alignment horizontal="center" vertical="top" wrapText="true"/>
    </xf>
    <xf applyAlignment="true" applyBorder="true" applyFill="false" applyFont="false" applyNumberFormat="true" borderId="7093" fillId="0" fontId="1" numFmtId="1000" quotePrefix="false">
      <alignment horizontal="center" vertical="top"/>
    </xf>
    <xf applyAlignment="true" applyBorder="true" applyFill="false" applyFont="false" applyNumberFormat="true" borderId="7094" fillId="0" fontId="1" numFmtId="1000" quotePrefix="false">
      <alignment horizontal="center" vertical="top"/>
    </xf>
    <xf applyAlignment="true" applyBorder="true" applyFill="false" applyFont="false" applyNumberFormat="true" borderId="7095" fillId="0" fontId="1" numFmtId="1000" quotePrefix="false">
      <alignment horizontal="center" vertical="top"/>
    </xf>
    <xf applyAlignment="true" applyBorder="true" applyFill="false" applyFont="false" applyNumberFormat="true" borderId="7096" fillId="0" fontId="1" numFmtId="1000" quotePrefix="false">
      <alignment horizontal="center" vertical="top"/>
    </xf>
    <xf applyAlignment="true" applyBorder="true" applyFill="true" applyFont="false" applyNumberFormat="true" borderId="7097" fillId="10" fontId="1" numFmtId="1000" quotePrefix="false">
      <alignment horizontal="center" vertical="top" wrapText="true"/>
    </xf>
    <xf applyAlignment="true" applyBorder="true" applyFill="false" applyFont="false" applyNumberFormat="true" borderId="7098" fillId="0" fontId="1" numFmtId="1000" quotePrefix="false">
      <alignment horizontal="center" vertical="top"/>
    </xf>
    <xf applyAlignment="true" applyBorder="true" applyFill="false" applyFont="false" applyNumberFormat="true" borderId="7099" fillId="0" fontId="1" numFmtId="1000" quotePrefix="false">
      <alignment horizontal="center" vertical="top"/>
    </xf>
    <xf applyAlignment="true" applyBorder="true" applyFill="false" applyFont="false" applyNumberFormat="true" borderId="7100" fillId="0" fontId="1" numFmtId="1000" quotePrefix="false">
      <alignment horizontal="center" vertical="top"/>
    </xf>
    <xf applyAlignment="true" applyBorder="true" applyFill="false" applyFont="false" applyNumberFormat="true" borderId="7101" fillId="0" fontId="1" numFmtId="1000" quotePrefix="false">
      <alignment horizontal="center" vertical="top"/>
    </xf>
    <xf applyAlignment="true" applyBorder="true" applyFill="true" applyFont="false" applyNumberFormat="true" borderId="7102" fillId="10" fontId="1" numFmtId="1000" quotePrefix="false">
      <alignment horizontal="center" vertical="top" wrapText="true"/>
    </xf>
    <xf applyAlignment="true" applyBorder="true" applyFill="false" applyFont="false" applyNumberFormat="true" borderId="7103" fillId="0" fontId="1" numFmtId="1000" quotePrefix="false">
      <alignment horizontal="center" vertical="top"/>
    </xf>
    <xf applyAlignment="true" applyBorder="true" applyFill="false" applyFont="false" applyNumberFormat="true" borderId="7104" fillId="0" fontId="1" numFmtId="1000" quotePrefix="false">
      <alignment horizontal="center" vertical="top"/>
    </xf>
    <xf applyAlignment="true" applyBorder="true" applyFill="true" applyFont="false" applyNumberFormat="true" borderId="7105" fillId="2" fontId="1" numFmtId="1000" quotePrefix="false">
      <alignment horizontal="center" vertical="top" wrapText="true"/>
    </xf>
    <xf applyAlignment="true" applyBorder="true" applyFill="false" applyFont="false" applyNumberFormat="true" borderId="7106" fillId="0" fontId="1" numFmtId="1000" quotePrefix="false">
      <alignment horizontal="center" vertical="top"/>
    </xf>
    <xf applyAlignment="true" applyBorder="true" applyFill="false" applyFont="false" applyNumberFormat="true" borderId="7107" fillId="0" fontId="1" numFmtId="1000" quotePrefix="false">
      <alignment horizontal="center" vertical="top"/>
    </xf>
    <xf applyAlignment="true" applyBorder="true" applyFill="true" applyFont="false" applyNumberFormat="true" borderId="7108" fillId="2" fontId="1" numFmtId="1000" quotePrefix="false">
      <alignment horizontal="center" vertical="top" wrapText="true"/>
    </xf>
    <xf applyAlignment="true" applyBorder="true" applyFill="false" applyFont="false" applyNumberFormat="true" borderId="7109" fillId="0" fontId="1" numFmtId="1000" quotePrefix="false">
      <alignment horizontal="center" vertical="top"/>
    </xf>
    <xf applyAlignment="true" applyBorder="true" applyFill="false" applyFont="false" applyNumberFormat="true" borderId="7110" fillId="0" fontId="1" numFmtId="1000" quotePrefix="false">
      <alignment horizontal="center" vertical="top"/>
    </xf>
    <xf applyAlignment="true" applyBorder="true" applyFill="false" applyFont="false" applyNumberFormat="true" borderId="7111" fillId="0" fontId="1" numFmtId="1000" quotePrefix="false">
      <alignment horizontal="center" vertical="top"/>
    </xf>
    <xf applyAlignment="true" applyBorder="true" applyFill="false" applyFont="false" applyNumberFormat="true" borderId="7112" fillId="0" fontId="1" numFmtId="1000" quotePrefix="false">
      <alignment horizontal="center" vertical="top"/>
    </xf>
    <xf applyAlignment="true" applyBorder="false" applyFill="true" applyFont="true" applyNumberFormat="true" borderId="0" fillId="12" fontId="6" numFmtId="1000" quotePrefix="false">
      <alignment wrapText="true"/>
    </xf>
    <xf applyAlignment="true" applyBorder="false" applyFill="true" applyFont="false" applyNumberFormat="true" borderId="0" fillId="4" fontId="1" numFmtId="1000" quotePrefix="false">
      <alignment horizontal="left"/>
    </xf>
    <xf applyBorder="false" applyFill="true" applyFont="false" applyNumberFormat="true" borderId="0" fillId="13" fontId="1" numFmtId="1000" quotePrefix="false"/>
    <xf applyBorder="true" applyFill="true" applyFont="true" applyNumberFormat="true" borderId="76" fillId="7" fontId="6" numFmtId="1000" quotePrefix="false"/>
    <xf applyBorder="false" applyFill="true" applyFont="true" applyNumberFormat="true" borderId="0" fillId="22" fontId="4" numFmtId="1000" quotePrefix="false"/>
    <xf applyBorder="true" applyFill="true" applyFont="false" applyNumberFormat="true" borderId="49" fillId="8" fontId="1" numFmtId="1000" quotePrefix="false"/>
    <xf applyBorder="false" applyFill="true" applyFont="true" applyNumberFormat="true" borderId="0" fillId="22" fontId="15" numFmtId="1000" quotePrefix="false"/>
    <xf applyBorder="false" applyFill="true" applyFont="true" applyNumberFormat="true" borderId="0" fillId="12" fontId="6" numFmtId="1000" quotePrefix="false"/>
    <xf applyBorder="false" applyFill="true" applyFont="false" applyNumberFormat="true" borderId="0" fillId="4" fontId="1" numFmtId="1000" quotePrefix="false"/>
    <xf applyBorder="false" applyFill="true" applyFont="false" applyNumberFormat="true" borderId="0" fillId="23" fontId="1" numFmtId="1000" quotePrefix="false"/>
    <xf applyAlignment="true" applyBorder="false" applyFill="false" applyFont="true" applyNumberFormat="true" borderId="0" fillId="0" fontId="16" numFmtId="1000" quotePrefix="false">
      <alignment horizontal="right"/>
    </xf>
    <xf applyAlignment="true" applyBorder="true" applyFill="false" applyFont="true" applyNumberFormat="true" borderId="76" fillId="0" fontId="17" numFmtId="1000" quotePrefix="false">
      <alignment horizontal="left"/>
    </xf>
    <xf applyAlignment="true" applyBorder="true" applyFill="false" applyFont="true" applyNumberFormat="true" borderId="76" fillId="0" fontId="17" numFmtId="1001" quotePrefix="false">
      <alignment horizontal="left"/>
    </xf>
    <xf applyAlignment="true" applyBorder="true" applyFill="false" applyFont="true" applyNumberFormat="true" borderId="30" fillId="0" fontId="2" numFmtId="1000" quotePrefix="false">
      <alignment horizontal="center"/>
    </xf>
    <xf applyAlignment="true" applyBorder="true" applyFill="false" applyFont="true" applyNumberFormat="true" borderId="76" fillId="0" fontId="17" numFmtId="1000" quotePrefix="false">
      <alignment horizontal="center"/>
    </xf>
    <xf applyAlignment="true" applyBorder="true" applyFill="false" applyFont="true" applyNumberFormat="true" borderId="76" fillId="0" fontId="17" numFmtId="1001" quotePrefix="false">
      <alignment horizontal="center"/>
    </xf>
    <xf applyBorder="true" applyFill="false" applyFont="false" applyNumberFormat="true" borderId="76" fillId="0" fontId="1" numFmtId="1000" quotePrefix="false"/>
    <xf applyBorder="true" applyFill="false" applyFont="true" applyNumberFormat="true" borderId="76" fillId="0" fontId="18" numFmtId="1001" quotePrefix="false"/>
    <xf applyAlignment="true" applyBorder="true" applyFill="true" applyFont="true" applyNumberFormat="true" borderId="76" fillId="24" fontId="17" numFmtId="1000" quotePrefix="false">
      <alignment horizontal="center"/>
    </xf>
    <xf applyAlignment="true" applyBorder="true" applyFill="true" applyFont="true" applyNumberFormat="true" borderId="76" fillId="24" fontId="17" numFmtId="1001" quotePrefix="false">
      <alignment horizontal="center"/>
    </xf>
    <xf applyBorder="true" applyFill="false" applyFont="false" applyNumberFormat="true" borderId="76" fillId="0" fontId="1" numFmtId="1001" quotePrefix="false"/>
    <xf applyAlignment="true" applyBorder="true" applyFill="true" applyFont="true" applyNumberFormat="true" borderId="76" fillId="15" fontId="17" numFmtId="1000" quotePrefix="false">
      <alignment horizontal="center"/>
    </xf>
    <xf applyAlignment="true" applyBorder="true" applyFill="true" applyFont="true" applyNumberFormat="true" borderId="76" fillId="15" fontId="17" numFmtId="1001" quotePrefix="false">
      <alignment horizontal="center"/>
    </xf>
    <xf applyBorder="true" applyFill="false" applyFont="false" applyNumberFormat="true" borderId="7113" fillId="0" fontId="1" numFmtId="1000" quotePrefix="false"/>
    <xf applyBorder="true" applyFill="false" applyFont="false" applyNumberFormat="true" borderId="102" fillId="0" fontId="1" numFmtId="1000" quotePrefix="false"/>
    <xf applyAlignment="true" applyBorder="true" applyFill="false" applyFont="false" applyNumberFormat="true" borderId="75" fillId="0" fontId="1" numFmtId="1000" quotePrefix="false">
      <alignment horizontal="center"/>
    </xf>
    <xf applyAlignment="true" applyBorder="true" applyFill="false" applyFont="false" applyNumberFormat="true" borderId="85" fillId="0" fontId="1" numFmtId="1000" quotePrefix="false">
      <alignment horizontal="center"/>
    </xf>
    <xf applyBorder="true" applyFill="false" applyFont="false" applyNumberFormat="true" borderId="103" fillId="0" fontId="1" numFmtId="1000" quotePrefix="false"/>
    <xf applyBorder="true" applyFill="false" applyFont="false" applyNumberFormat="true" borderId="77" fillId="0" fontId="1" numFmtId="1000" quotePrefix="false"/>
    <xf applyBorder="true" applyFill="false" applyFont="false" applyNumberFormat="true" borderId="75" fillId="0" fontId="1" numFmtId="1000" quotePrefix="false"/>
    <xf applyBorder="true" applyFill="false" applyFont="false" applyNumberFormat="true" borderId="85" fillId="0" fontId="1" numFmtId="1000" quotePrefix="false"/>
    <xf applyBorder="false" applyFill="true" applyFont="false" applyNumberFormat="true" borderId="0" fillId="25" fontId="1" numFmtId="1000" quotePrefix="false"/>
    <xf applyAlignment="true" applyBorder="true" applyFill="false" applyFont="false" applyNumberFormat="true" borderId="75" fillId="0" fontId="1" numFmtId="1001" quotePrefix="false">
      <alignment horizontal="center"/>
    </xf>
    <xf applyAlignment="true" applyBorder="true" applyFill="false" applyFont="false" applyNumberFormat="true" borderId="76" fillId="0" fontId="1" numFmtId="1001" quotePrefix="false">
      <alignment horizontal="center"/>
    </xf>
    <xf applyAlignment="true" applyBorder="true" applyFill="false" applyFont="false" applyNumberFormat="true" borderId="85" fillId="0" fontId="1" numFmtId="1001" quotePrefix="false">
      <alignment horizontal="center"/>
    </xf>
    <xf applyBorder="false" applyFill="true" applyFont="false" applyNumberFormat="true" borderId="0" fillId="11" fontId="1" numFmtId="1000" quotePrefix="false"/>
    <xf applyAlignment="true" applyBorder="true" applyFill="false" applyFont="true" applyNumberFormat="true" borderId="7114" fillId="0" fontId="19" numFmtId="1000" quotePrefix="false">
      <alignment horizontal="center"/>
    </xf>
    <xf applyAlignment="true" applyBorder="true" applyFill="false" applyFont="true" applyNumberFormat="true" borderId="7113" fillId="0" fontId="20" numFmtId="1000" quotePrefix="false">
      <alignment horizontal="center"/>
    </xf>
    <xf applyAlignment="true" applyBorder="true" applyFill="false" applyFont="true" applyNumberFormat="true" borderId="102" fillId="0" fontId="20" numFmtId="1000" quotePrefix="false">
      <alignment horizontal="center"/>
    </xf>
    <xf applyAlignment="true" applyBorder="true" applyFill="false" applyFont="true" applyNumberFormat="true" borderId="75" fillId="0" fontId="21" numFmtId="1000" quotePrefix="false">
      <alignment horizontal="center"/>
    </xf>
    <xf applyAlignment="true" applyBorder="true" applyFill="false" applyFont="true" applyNumberFormat="true" borderId="85" fillId="0" fontId="19" numFmtId="1000" quotePrefix="false">
      <alignment horizontal="center"/>
    </xf>
    <xf applyAlignment="true" applyBorder="true" applyFill="false" applyFont="true" applyNumberFormat="true" borderId="103" fillId="0" fontId="21" numFmtId="1000" quotePrefix="false">
      <alignment horizontal="center"/>
    </xf>
    <xf applyAlignment="true" applyBorder="true" applyFill="false" applyFont="true" applyNumberFormat="true" borderId="76" fillId="0" fontId="21" numFmtId="1000" quotePrefix="false">
      <alignment horizontal="center"/>
    </xf>
    <xf applyAlignment="true" applyBorder="true" applyFill="false" applyFont="true" applyNumberFormat="true" borderId="76" fillId="0" fontId="22" numFmtId="1000" quotePrefix="false">
      <alignment horizontal="center"/>
    </xf>
    <xf applyAlignment="true" applyBorder="true" applyFill="false" applyFont="true" applyNumberFormat="true" borderId="77" fillId="0" fontId="22" numFmtId="1000" quotePrefix="false">
      <alignment horizontal="center"/>
    </xf>
    <xf applyAlignment="true" applyBorder="true" applyFill="true" applyFont="true" applyNumberFormat="true" borderId="75" fillId="24" fontId="19" numFmtId="1000" quotePrefix="false">
      <alignment horizontal="center"/>
    </xf>
    <xf applyAlignment="true" applyBorder="true" applyFill="false" applyFont="true" applyNumberFormat="true" borderId="85" fillId="0" fontId="23" numFmtId="1000" quotePrefix="false">
      <alignment horizontal="center"/>
    </xf>
    <xf applyAlignment="true" applyBorder="false" applyFill="true" applyFont="false" applyNumberFormat="true" borderId="0" fillId="25" fontId="1" numFmtId="1000" quotePrefix="false">
      <alignment horizontal="center"/>
    </xf>
    <xf applyAlignment="true" applyBorder="true" applyFill="true" applyFont="true" applyNumberFormat="true" borderId="7115" fillId="26" fontId="2" numFmtId="1001" quotePrefix="false">
      <alignment horizontal="center"/>
    </xf>
    <xf applyAlignment="true" applyBorder="true" applyFill="true" applyFont="true" applyNumberFormat="true" borderId="7116" fillId="26" fontId="2" numFmtId="1001" quotePrefix="false">
      <alignment horizontal="center"/>
    </xf>
    <xf applyAlignment="true" applyBorder="true" applyFill="true" applyFont="true" applyNumberFormat="true" borderId="7117" fillId="26" fontId="2" numFmtId="1001" quotePrefix="false">
      <alignment horizontal="center"/>
    </xf>
    <xf applyAlignment="true" applyBorder="true" applyFill="true" applyFont="true" applyNumberFormat="true" borderId="7118" fillId="27" fontId="2" numFmtId="1001" quotePrefix="false">
      <alignment horizontal="center"/>
    </xf>
    <xf applyAlignment="true" applyBorder="true" applyFill="true" applyFont="true" applyNumberFormat="true" borderId="7119" fillId="27" fontId="2" numFmtId="1001" quotePrefix="false">
      <alignment horizontal="center"/>
    </xf>
    <xf applyAlignment="true" applyBorder="true" applyFill="true" applyFont="true" applyNumberFormat="true" borderId="7120" fillId="28" fontId="2" numFmtId="1000" quotePrefix="false">
      <alignment horizontal="center"/>
    </xf>
    <xf applyAlignment="true" applyBorder="true" applyFill="true" applyFont="true" applyNumberFormat="true" borderId="7121" fillId="28" fontId="2" numFmtId="1000" quotePrefix="false">
      <alignment horizontal="center"/>
    </xf>
    <xf applyAlignment="true" applyBorder="true" applyFill="true" applyFont="true" applyNumberFormat="true" borderId="7122" fillId="28" fontId="2" numFmtId="1000" quotePrefix="false">
      <alignment horizontal="center"/>
    </xf>
    <xf applyAlignment="true" applyBorder="true" applyFill="true" applyFont="true" applyNumberFormat="true" borderId="7123" fillId="29" fontId="2" numFmtId="1000" quotePrefix="false">
      <alignment horizontal="center"/>
    </xf>
    <xf applyAlignment="true" applyBorder="true" applyFill="true" applyFont="true" applyNumberFormat="true" borderId="7124" fillId="29" fontId="2" numFmtId="1000" quotePrefix="false">
      <alignment horizontal="center"/>
    </xf>
    <xf applyAlignment="true" applyBorder="true" applyFill="true" applyFont="true" applyNumberFormat="true" borderId="7125" fillId="29" fontId="2" numFmtId="1000" quotePrefix="false">
      <alignment horizontal="center"/>
    </xf>
    <xf applyAlignment="true" applyBorder="false" applyFill="true" applyFont="false" applyNumberFormat="true" borderId="0" fillId="11" fontId="1" numFmtId="1000" quotePrefix="false">
      <alignment horizontal="center"/>
    </xf>
    <xf applyAlignment="true" applyBorder="true" applyFill="true" applyFont="true" applyNumberFormat="true" borderId="7113" fillId="30" fontId="19" numFmtId="1000" quotePrefix="false">
      <alignment horizontal="center"/>
    </xf>
    <xf applyBorder="true" applyFill="true" applyFont="true" applyNumberFormat="true" borderId="102" fillId="4" fontId="2" numFmtId="1000" quotePrefix="false"/>
    <xf applyAlignment="true" applyBorder="true" applyFill="true" applyFont="true" applyNumberFormat="true" borderId="75" fillId="31" fontId="24" numFmtId="1000" quotePrefix="false">
      <alignment horizontal="center"/>
    </xf>
    <xf applyAlignment="true" applyBorder="true" applyFill="true" applyFont="true" applyNumberFormat="true" borderId="85" fillId="31" fontId="24" numFmtId="1000" quotePrefix="false">
      <alignment horizontal="center"/>
    </xf>
    <xf applyAlignment="true" applyBorder="true" applyFill="true" applyFont="true" applyNumberFormat="true" borderId="103" fillId="30" fontId="2" numFmtId="1000" quotePrefix="false">
      <alignment horizontal="center"/>
    </xf>
    <xf applyAlignment="true" applyBorder="true" applyFill="true" applyFont="true" applyNumberFormat="true" borderId="76" fillId="30" fontId="2" numFmtId="1000" quotePrefix="false">
      <alignment horizontal="center"/>
    </xf>
    <xf applyAlignment="true" applyBorder="true" applyFill="true" applyFont="true" applyNumberFormat="true" borderId="77" fillId="30" fontId="2" numFmtId="1000" quotePrefix="false">
      <alignment horizontal="center"/>
    </xf>
    <xf applyAlignment="true" applyBorder="true" applyFill="true" applyFont="true" applyNumberFormat="true" borderId="75" fillId="30" fontId="2" numFmtId="1000" quotePrefix="false">
      <alignment horizontal="center"/>
    </xf>
    <xf applyAlignment="true" applyBorder="true" applyFill="true" applyFont="true" applyNumberFormat="true" borderId="85" fillId="30" fontId="2" numFmtId="1000" quotePrefix="false">
      <alignment horizontal="center"/>
    </xf>
    <xf applyAlignment="true" applyBorder="true" applyFill="true" applyFont="true" applyNumberFormat="true" borderId="7126" fillId="30" fontId="2" numFmtId="1000" quotePrefix="false">
      <alignment horizontal="center"/>
    </xf>
    <xf applyAlignment="true" applyBorder="true" applyFill="true" applyFont="true" applyNumberFormat="true" borderId="7127" fillId="30" fontId="2" numFmtId="1000" quotePrefix="false">
      <alignment horizontal="center"/>
    </xf>
    <xf applyBorder="true" applyFill="true" applyFont="true" applyNumberFormat="true" borderId="7128" fillId="25" fontId="2" numFmtId="1000" quotePrefix="false"/>
    <xf applyAlignment="true" applyBorder="true" applyFill="true" applyFont="true" applyNumberFormat="true" borderId="7129" fillId="30" fontId="2" numFmtId="1001" quotePrefix="false">
      <alignment horizontal="center"/>
    </xf>
    <xf applyAlignment="true" applyBorder="true" applyFill="true" applyFont="true" applyNumberFormat="true" borderId="7130" fillId="30" fontId="2" numFmtId="1001" quotePrefix="false">
      <alignment horizontal="center"/>
    </xf>
    <xf applyAlignment="true" applyBorder="true" applyFill="true" applyFont="true" applyNumberFormat="true" borderId="765" fillId="30" fontId="2" numFmtId="1001" quotePrefix="false">
      <alignment horizontal="center"/>
    </xf>
    <xf applyBorder="true" applyFill="true" applyFont="true" applyNumberFormat="true" borderId="7131" fillId="4" fontId="2" numFmtId="1000" quotePrefix="false"/>
    <xf applyAlignment="true" applyBorder="true" applyFill="true" applyFont="true" applyNumberFormat="true" borderId="75" fillId="30" fontId="2" numFmtId="1001" quotePrefix="false">
      <alignment horizontal="center"/>
    </xf>
    <xf applyAlignment="true" applyBorder="true" applyFill="true" applyFont="true" applyNumberFormat="true" borderId="85" fillId="30" fontId="2" numFmtId="1001" quotePrefix="false">
      <alignment horizontal="center"/>
    </xf>
    <xf applyAlignment="true" applyBorder="true" applyFill="true" applyFont="true" applyNumberFormat="true" borderId="102" fillId="30" fontId="2" numFmtId="1000" quotePrefix="false">
      <alignment horizontal="center"/>
    </xf>
    <xf applyBorder="true" applyFill="true" applyFont="true" applyNumberFormat="true" borderId="7126" fillId="11" fontId="2" numFmtId="1000" quotePrefix="false"/>
    <xf applyBorder="true" applyFill="false" applyFont="true" applyNumberFormat="true" borderId="7113" fillId="0" fontId="19" numFmtId="1001" quotePrefix="false"/>
    <xf applyAlignment="true" applyBorder="true" applyFill="true" applyFont="true" applyNumberFormat="true" borderId="7113" fillId="32" fontId="20" numFmtId="1001" quotePrefix="false">
      <alignment horizontal="center"/>
    </xf>
    <xf applyAlignment="true" applyBorder="true" applyFill="false" applyFont="true" applyNumberFormat="true" borderId="102" fillId="0" fontId="17" numFmtId="1001" quotePrefix="false">
      <alignment vertical="top" wrapText="true"/>
    </xf>
    <xf applyAlignment="true" applyBorder="true" applyFill="false" applyFont="true" applyNumberFormat="true" borderId="75" fillId="0" fontId="17" numFmtId="1000" quotePrefix="false">
      <alignment horizontal="center"/>
    </xf>
    <xf applyAlignment="true" applyBorder="true" applyFill="false" applyFont="true" applyNumberFormat="true" borderId="85" fillId="0" fontId="17" numFmtId="1000" quotePrefix="false">
      <alignment horizontal="center"/>
    </xf>
    <xf applyAlignment="true" applyBorder="true" applyFill="false" applyFont="true" applyNumberFormat="true" borderId="103" fillId="0" fontId="17" numFmtId="1001" quotePrefix="false">
      <alignment horizontal="center"/>
    </xf>
    <xf applyAlignment="true" applyBorder="true" applyFill="false" applyFont="true" applyNumberFormat="true" borderId="77" fillId="0" fontId="17" numFmtId="1001" quotePrefix="false">
      <alignment horizontal="center"/>
    </xf>
    <xf applyAlignment="true" applyBorder="true" applyFill="true" applyFont="true" applyNumberFormat="true" borderId="75" fillId="24" fontId="17" numFmtId="1001" quotePrefix="false">
      <alignment horizontal="center"/>
    </xf>
    <xf applyAlignment="true" applyBorder="true" applyFill="true" applyFont="true" applyNumberFormat="true" borderId="85" fillId="15" fontId="17" numFmtId="1001" quotePrefix="false">
      <alignment horizontal="center"/>
    </xf>
    <xf applyAlignment="true" applyBorder="true" applyFill="false" applyFont="true" applyNumberFormat="true" borderId="84" fillId="0" fontId="17" numFmtId="1001" quotePrefix="false">
      <alignment horizontal="center"/>
    </xf>
    <xf applyAlignment="true" applyBorder="true" applyFill="false" applyFont="true" applyNumberFormat="true" borderId="7130" fillId="0" fontId="17" numFmtId="1001" quotePrefix="false">
      <alignment horizontal="center"/>
    </xf>
    <xf applyAlignment="true" applyBorder="true" applyFill="false" applyFont="false" applyNumberFormat="true" borderId="40" fillId="0" fontId="1" numFmtId="1000" quotePrefix="false">
      <alignment horizontal="center"/>
    </xf>
    <xf applyAlignment="true" applyBorder="true" applyFill="false" applyFont="true" applyNumberFormat="true" borderId="75" fillId="0" fontId="17" numFmtId="1001" quotePrefix="false">
      <alignment horizontal="center"/>
    </xf>
    <xf applyBorder="true" applyFill="false" applyFont="true" applyNumberFormat="true" borderId="7113" fillId="0" fontId="25" numFmtId="1001" quotePrefix="false"/>
    <xf applyAlignment="true" applyBorder="true" applyFill="true" applyFont="true" applyNumberFormat="true" borderId="7113" fillId="32" fontId="26" numFmtId="1001" quotePrefix="false">
      <alignment horizontal="center"/>
    </xf>
    <xf applyAlignment="true" applyBorder="true" applyFill="false" applyFont="true" applyNumberFormat="true" borderId="102" fillId="0" fontId="27" numFmtId="1001" quotePrefix="false">
      <alignment vertical="top" wrapText="true"/>
    </xf>
    <xf applyAlignment="true" applyBorder="true" applyFill="false" applyFont="true" applyNumberFormat="true" borderId="75" fillId="0" fontId="27" numFmtId="1001" quotePrefix="false">
      <alignment horizontal="center"/>
    </xf>
    <xf applyAlignment="true" applyBorder="true" applyFill="false" applyFont="true" applyNumberFormat="true" borderId="85" fillId="0" fontId="27" numFmtId="1000" quotePrefix="false">
      <alignment horizontal="center"/>
    </xf>
    <xf applyAlignment="true" applyBorder="true" applyFill="false" applyFont="true" applyNumberFormat="true" borderId="103" fillId="0" fontId="27" numFmtId="1001" quotePrefix="false">
      <alignment horizontal="center"/>
    </xf>
    <xf applyAlignment="true" applyBorder="true" applyFill="false" applyFont="true" applyNumberFormat="true" borderId="76" fillId="0" fontId="27" numFmtId="1001" quotePrefix="false">
      <alignment horizontal="center"/>
    </xf>
    <xf applyAlignment="true" applyBorder="true" applyFill="false" applyFont="true" applyNumberFormat="true" borderId="77" fillId="0" fontId="27" numFmtId="1001" quotePrefix="false">
      <alignment horizontal="center"/>
    </xf>
    <xf applyAlignment="true" applyBorder="true" applyFill="true" applyFont="true" applyNumberFormat="true" borderId="75" fillId="24" fontId="27" numFmtId="1001" quotePrefix="false">
      <alignment horizontal="center"/>
    </xf>
    <xf applyAlignment="true" applyBorder="true" applyFill="true" applyFont="true" applyNumberFormat="true" borderId="76" fillId="4" fontId="27" numFmtId="1001" quotePrefix="false">
      <alignment horizontal="center"/>
    </xf>
    <xf applyAlignment="true" applyBorder="true" applyFill="true" applyFont="true" applyNumberFormat="true" borderId="85" fillId="15" fontId="27" numFmtId="1001" quotePrefix="false">
      <alignment horizontal="center"/>
    </xf>
    <xf applyBorder="false" applyFill="true" applyFont="true" applyNumberFormat="true" borderId="0" fillId="25" fontId="10" numFmtId="1000" quotePrefix="false"/>
    <xf applyAlignment="true" applyBorder="true" applyFill="false" applyFont="true" applyNumberFormat="true" borderId="75" fillId="0" fontId="10" numFmtId="1001" quotePrefix="false">
      <alignment horizontal="center"/>
    </xf>
    <xf applyAlignment="true" applyBorder="true" applyFill="false" applyFont="true" applyNumberFormat="true" borderId="76" fillId="0" fontId="10" numFmtId="1001" quotePrefix="false">
      <alignment horizontal="center"/>
    </xf>
    <xf applyAlignment="true" applyBorder="true" applyFill="false" applyFont="true" applyNumberFormat="true" borderId="85" fillId="0" fontId="10" numFmtId="1001" quotePrefix="false">
      <alignment horizontal="center"/>
    </xf>
    <xf applyBorder="false" applyFill="true" applyFont="true" applyNumberFormat="true" borderId="0" fillId="4" fontId="10" numFmtId="1000" quotePrefix="false"/>
    <xf applyAlignment="true" applyBorder="true" applyFill="false" applyFont="true" applyNumberFormat="true" borderId="75" fillId="0" fontId="27" numFmtId="1000" quotePrefix="false">
      <alignment horizontal="center"/>
    </xf>
    <xf applyAlignment="true" applyBorder="true" applyFill="true" applyFont="true" applyNumberFormat="true" borderId="75" fillId="24" fontId="10" numFmtId="1000" quotePrefix="false">
      <alignment horizontal="center"/>
    </xf>
    <xf applyAlignment="true" applyBorder="true" applyFill="false" applyFont="true" applyNumberFormat="true" borderId="76" fillId="0" fontId="10" numFmtId="1000" quotePrefix="false">
      <alignment horizontal="center"/>
    </xf>
    <xf applyAlignment="true" applyBorder="true" applyFill="false" applyFont="true" applyNumberFormat="true" borderId="85" fillId="0" fontId="10" numFmtId="1000" quotePrefix="false">
      <alignment horizontal="center"/>
    </xf>
    <xf applyAlignment="true" applyBorder="false" applyFill="false" applyFont="true" applyNumberFormat="true" borderId="0" fillId="0" fontId="10" numFmtId="1000" quotePrefix="false">
      <alignment horizontal="center"/>
    </xf>
    <xf applyAlignment="true" applyBorder="true" applyFill="false" applyFont="true" applyNumberFormat="true" borderId="75" fillId="0" fontId="10" numFmtId="1000" quotePrefix="false">
      <alignment horizontal="center"/>
    </xf>
    <xf applyAlignment="true" applyBorder="true" applyFill="false" applyFont="true" applyNumberFormat="true" borderId="102" fillId="0" fontId="10" numFmtId="1000" quotePrefix="false">
      <alignment horizontal="center"/>
    </xf>
    <xf applyBorder="false" applyFill="true" applyFont="true" applyNumberFormat="true" borderId="0" fillId="11" fontId="10" numFmtId="1000" quotePrefix="false"/>
    <xf applyAlignment="true" applyBorder="true" applyFill="true" applyFont="false" applyNumberFormat="true" borderId="75" fillId="24" fontId="1" numFmtId="1000" quotePrefix="false">
      <alignment horizontal="center"/>
    </xf>
    <xf applyAlignment="true" applyBorder="true" applyFill="false" applyFont="true" applyNumberFormat="true" borderId="102" fillId="0" fontId="17" numFmtId="1001" quotePrefix="false">
      <alignment horizontal="left"/>
    </xf>
    <xf applyAlignment="true" applyBorder="false" applyFill="true" applyFont="false" applyNumberFormat="true" borderId="0" fillId="25" fontId="1" numFmtId="1001" quotePrefix="false">
      <alignment horizontal="center"/>
    </xf>
    <xf applyAlignment="true" applyBorder="false" applyFill="true" applyFont="false" applyNumberFormat="true" borderId="0" fillId="4" fontId="1" numFmtId="1001" quotePrefix="false">
      <alignment horizontal="center"/>
    </xf>
    <xf applyAlignment="true" applyBorder="true" applyFill="false" applyFont="false" applyNumberFormat="true" borderId="102" fillId="0" fontId="1" numFmtId="1001" quotePrefix="false">
      <alignment horizontal="center"/>
    </xf>
    <xf applyAlignment="true" applyBorder="false" applyFill="true" applyFont="false" applyNumberFormat="true" borderId="0" fillId="11" fontId="1" numFmtId="1001" quotePrefix="false">
      <alignment horizontal="center"/>
    </xf>
    <xf applyAlignment="true" applyBorder="true" applyFill="false" applyFont="true" applyNumberFormat="true" borderId="7113" fillId="0" fontId="19" numFmtId="1001" quotePrefix="false">
      <alignment horizontal="left"/>
    </xf>
    <xf applyAlignment="true" applyBorder="true" applyFill="false" applyFont="true" applyNumberFormat="true" borderId="75" fillId="0" fontId="28" numFmtId="1000" quotePrefix="false">
      <alignment horizontal="center"/>
    </xf>
    <xf applyAlignment="true" applyBorder="true" applyFill="false" applyFont="true" applyNumberFormat="true" borderId="85" fillId="0" fontId="28" numFmtId="1000" quotePrefix="false">
      <alignment horizontal="center"/>
    </xf>
    <xf applyBorder="true" applyFill="false" applyFont="true" applyNumberFormat="true" borderId="7113" fillId="0" fontId="19" numFmtId="1000" quotePrefix="false"/>
    <xf applyAlignment="true" applyBorder="true" applyFill="true" applyFont="true" applyNumberFormat="true" borderId="7113" fillId="32" fontId="20" numFmtId="1000" quotePrefix="false">
      <alignment horizontal="center"/>
    </xf>
    <xf applyBorder="true" applyFill="false" applyFont="true" applyNumberFormat="true" borderId="102" fillId="0" fontId="17" numFmtId="1000" quotePrefix="false"/>
    <xf applyAlignment="true" applyBorder="true" applyFill="true" applyFont="true" applyNumberFormat="true" borderId="75" fillId="24" fontId="17" numFmtId="1000" quotePrefix="false">
      <alignment horizontal="center"/>
    </xf>
    <xf applyAlignment="true" applyBorder="false" applyFill="false" applyFont="true" applyNumberFormat="true" borderId="0" fillId="0" fontId="17" numFmtId="1000" quotePrefix="false">
      <alignment horizontal="center"/>
    </xf>
    <xf applyAlignment="true" applyBorder="false" applyFill="true" applyFont="true" applyNumberFormat="true" borderId="0" fillId="25" fontId="17" numFmtId="1000" quotePrefix="false">
      <alignment horizontal="center"/>
    </xf>
    <xf applyBorder="true" applyFill="false" applyFont="true" applyNumberFormat="true" borderId="7113" fillId="0" fontId="25" numFmtId="1000" quotePrefix="false"/>
    <xf applyAlignment="true" applyBorder="true" applyFill="true" applyFont="true" applyNumberFormat="true" borderId="7113" fillId="32" fontId="26" numFmtId="1000" quotePrefix="false">
      <alignment horizontal="center"/>
    </xf>
    <xf applyAlignment="true" applyBorder="true" applyFill="false" applyFont="true" applyNumberFormat="true" borderId="76" fillId="0" fontId="27" numFmtId="1000" quotePrefix="false">
      <alignment horizontal="left"/>
    </xf>
    <xf applyAlignment="true" applyBorder="true" applyFill="false" applyFont="true" applyNumberFormat="true" borderId="76" fillId="0" fontId="27" numFmtId="1000" quotePrefix="false">
      <alignment horizontal="center"/>
    </xf>
    <xf applyAlignment="true" applyBorder="true" applyFill="true" applyFont="true" applyNumberFormat="true" borderId="75" fillId="24" fontId="27" numFmtId="1000" quotePrefix="false">
      <alignment horizontal="center"/>
    </xf>
    <xf applyAlignment="true" applyBorder="false" applyFill="false" applyFont="true" applyNumberFormat="true" borderId="0" fillId="0" fontId="27" numFmtId="1000" quotePrefix="false">
      <alignment horizontal="center"/>
    </xf>
    <xf applyAlignment="true" applyBorder="false" applyFill="true" applyFont="true" applyNumberFormat="true" borderId="0" fillId="25" fontId="27" numFmtId="1000" quotePrefix="false">
      <alignment horizontal="center"/>
    </xf>
    <xf applyAlignment="true" applyBorder="false" applyFill="true" applyFont="true" applyNumberFormat="true" borderId="0" fillId="4" fontId="10" numFmtId="1000" quotePrefix="false">
      <alignment horizontal="center"/>
    </xf>
    <xf applyBorder="false" applyFill="true" applyFont="true" applyNumberFormat="true" borderId="0" fillId="25" fontId="17" numFmtId="1000" quotePrefix="false"/>
    <xf applyAlignment="true" applyBorder="true" applyFill="false" applyFont="true" applyNumberFormat="true" borderId="77" fillId="0" fontId="27" numFmtId="1000" quotePrefix="false">
      <alignment horizontal="center"/>
    </xf>
    <xf applyAlignment="true" applyBorder="true" applyFill="true" applyFont="true" applyNumberFormat="true" borderId="7113" fillId="24" fontId="27" numFmtId="1000" quotePrefix="false">
      <alignment horizontal="center"/>
    </xf>
    <xf applyAlignment="true" applyBorder="true" applyFill="false" applyFont="true" applyNumberFormat="true" borderId="103" fillId="0" fontId="27" numFmtId="1000" quotePrefix="false">
      <alignment horizontal="center"/>
    </xf>
    <xf applyAlignment="true" applyBorder="true" applyFill="true" applyFont="true" applyNumberFormat="true" borderId="76" fillId="24" fontId="27" numFmtId="1000" quotePrefix="false">
      <alignment horizontal="center"/>
    </xf>
    <xf applyAlignment="true" applyBorder="true" applyFill="true" applyFont="true" applyNumberFormat="true" borderId="76" fillId="15" fontId="27" numFmtId="1000" quotePrefix="false">
      <alignment horizontal="center"/>
    </xf>
    <xf applyAlignment="true" applyBorder="true" applyFill="false" applyFont="true" applyNumberFormat="true" borderId="7113" fillId="0" fontId="26" numFmtId="1000" quotePrefix="false">
      <alignment horizontal="center"/>
    </xf>
    <xf applyBorder="false" applyFill="true" applyFont="true" applyNumberFormat="true" borderId="0" fillId="25" fontId="27" numFmtId="1000" quotePrefix="false"/>
    <xf applyAlignment="true" applyBorder="true" applyFill="false" applyFont="true" applyNumberFormat="true" borderId="77" fillId="0" fontId="17" numFmtId="1000" quotePrefix="false">
      <alignment horizontal="center"/>
    </xf>
    <xf applyAlignment="true" applyBorder="true" applyFill="true" applyFont="true" applyNumberFormat="true" borderId="7113" fillId="24" fontId="17" numFmtId="1000" quotePrefix="false">
      <alignment horizontal="center"/>
    </xf>
    <xf applyAlignment="true" applyBorder="true" applyFill="false" applyFont="true" applyNumberFormat="true" borderId="103" fillId="0" fontId="17" numFmtId="1000" quotePrefix="false">
      <alignment horizontal="center"/>
    </xf>
    <xf applyBorder="false" applyFill="false" applyFont="false" applyNumberFormat="true" borderId="0" fillId="0" fontId="1" numFmtId="1002" quotePrefix="true"/>
    <xf applyBorder="false" applyFill="false" applyFont="false" applyNumberFormat="true" borderId="0" fillId="0" fontId="1" numFmtId="1006" quotePrefix="true"/>
    <xf applyBorder="false" applyFill="false" applyFont="false" applyNumberFormat="true" borderId="0" fillId="0" fontId="1" numFmtId="14" quotePrefix="false"/>
    <xf applyAlignment="true" applyBorder="false" applyFill="true" applyFont="true" borderId="0" fillId="33" fontId="29" numFmtId="0" quotePrefix="false">
      <alignment wrapText="true"/>
    </xf>
    <xf applyAlignment="true" applyBorder="false" applyFill="false" applyFont="false" applyNumberFormat="true" borderId="0" fillId="0" fontId="1" numFmtId="1002" quotePrefix="true">
      <alignment wrapText="true"/>
    </xf>
    <xf applyAlignment="true" applyBorder="true" applyFill="false" applyFont="false" applyNumberFormat="true" borderId="7132" fillId="0" fontId="1" numFmtId="1000" quotePrefix="false">
      <alignment horizontal="center"/>
    </xf>
    <xf applyAlignment="true" applyBorder="true" applyFill="true" applyFont="false" applyNumberFormat="true" borderId="7133" fillId="8" fontId="1" numFmtId="1000" quotePrefix="false">
      <alignment horizontal="center"/>
    </xf>
    <xf applyAlignment="true" applyBorder="true" applyFill="true" applyFont="false" applyNumberFormat="true" borderId="7134" fillId="8" fontId="1" numFmtId="1000" quotePrefix="false">
      <alignment horizontal="center"/>
    </xf>
    <xf applyAlignment="true" applyBorder="true" applyFill="false" applyFont="true" applyNumberFormat="true" borderId="7135" fillId="0" fontId="2" numFmtId="1000" quotePrefix="false">
      <alignment horizontal="center" vertical="top"/>
    </xf>
    <xf applyAlignment="true" applyBorder="true" applyFill="false" applyFont="false" applyNumberFormat="true" borderId="7136" fillId="0" fontId="1" numFmtId="1000" quotePrefix="false">
      <alignment horizontal="left" vertical="top"/>
    </xf>
    <xf applyAlignment="true" applyBorder="true" applyFill="false" applyFont="false" applyNumberFormat="true" borderId="7137" fillId="0" fontId="1" numFmtId="1000" quotePrefix="false">
      <alignment horizontal="left" vertical="top"/>
    </xf>
    <xf applyAlignment="true" applyBorder="true" applyFill="false" applyFont="false" applyNumberFormat="true" borderId="7138" fillId="0" fontId="1" numFmtId="1000" quotePrefix="false">
      <alignment horizontal="left" vertical="top"/>
    </xf>
    <xf applyAlignment="true" applyBorder="true" applyFill="false" applyFont="false" applyNumberFormat="true" borderId="7139" fillId="0" fontId="1" numFmtId="1000" quotePrefix="false">
      <alignment horizontal="left" vertical="top"/>
    </xf>
    <xf applyAlignment="true" applyBorder="true" applyFill="false" applyFont="false" applyNumberFormat="true" borderId="7140" fillId="0" fontId="1" numFmtId="1000" quotePrefix="false">
      <alignment horizontal="left" vertical="top"/>
    </xf>
    <xf applyAlignment="true" applyBorder="true" applyFill="false" applyFont="false" applyNumberFormat="true" borderId="7141" fillId="0" fontId="1" numFmtId="1000" quotePrefix="false">
      <alignment horizontal="left" vertical="top"/>
    </xf>
    <xf applyAlignment="true" applyBorder="true" applyFill="false" applyFont="false" applyNumberFormat="true" borderId="7142" fillId="0" fontId="1" numFmtId="1000" quotePrefix="false">
      <alignment horizontal="left" vertical="top"/>
    </xf>
    <xf applyAlignment="true" applyBorder="true" applyFill="false" applyFont="false" applyNumberFormat="true" borderId="7143" fillId="0" fontId="1" numFmtId="1000" quotePrefix="false">
      <alignment horizontal="left" vertical="top"/>
    </xf>
    <xf applyAlignment="true" applyBorder="true" applyFill="false" applyFont="false" applyNumberFormat="true" borderId="7144" fillId="0" fontId="1" numFmtId="1000" quotePrefix="false">
      <alignment horizontal="left" vertical="top"/>
    </xf>
    <xf applyAlignment="true" applyBorder="true" applyFill="false" applyFont="false" applyNumberFormat="true" borderId="7145" fillId="0" fontId="1" numFmtId="1000" quotePrefix="false">
      <alignment horizontal="left" vertical="top"/>
    </xf>
    <xf applyAlignment="true" applyBorder="true" applyFill="false" applyFont="false" applyNumberFormat="true" borderId="7146" fillId="0" fontId="1" numFmtId="1000" quotePrefix="false">
      <alignment horizontal="left" vertical="top"/>
    </xf>
    <xf applyAlignment="true" applyBorder="true" applyFill="false" applyFont="false" applyNumberFormat="true" borderId="7147" fillId="0" fontId="1" numFmtId="1000" quotePrefix="false">
      <alignment horizontal="left" vertical="top"/>
    </xf>
    <xf applyAlignment="true" applyBorder="true" applyFill="false" applyFont="false" applyNumberFormat="true" borderId="7148" fillId="0" fontId="1" numFmtId="1000" quotePrefix="false">
      <alignment horizontal="left" vertical="top"/>
    </xf>
    <xf applyAlignment="true" applyBorder="true" applyFill="false" applyFont="false" applyNumberFormat="true" borderId="7149" fillId="0" fontId="1" numFmtId="1000" quotePrefix="false">
      <alignment horizontal="left" vertical="top"/>
    </xf>
    <xf applyAlignment="true" applyBorder="true" applyFill="false" applyFont="false" applyNumberFormat="true" borderId="7150" fillId="0" fontId="1" numFmtId="1000" quotePrefix="false">
      <alignment horizontal="left" vertical="top"/>
    </xf>
    <xf applyAlignment="true" applyBorder="true" applyFill="false" applyFont="false" applyNumberFormat="true" borderId="7151" fillId="0" fontId="1" numFmtId="1000" quotePrefix="false">
      <alignment horizontal="left" vertical="top"/>
    </xf>
    <xf applyAlignment="true" applyBorder="true" applyFill="false" applyFont="false" applyNumberFormat="true" borderId="7152" fillId="0" fontId="1" numFmtId="1000" quotePrefix="false">
      <alignment horizontal="left" vertical="top"/>
    </xf>
    <xf applyAlignment="true" applyBorder="true" applyFill="false" applyFont="false" applyNumberFormat="true" borderId="7153" fillId="0" fontId="1" numFmtId="1000" quotePrefix="false">
      <alignment horizontal="left" vertical="top"/>
    </xf>
    <xf applyAlignment="true" applyBorder="true" applyFill="false" applyFont="false" applyNumberFormat="true" borderId="7154" fillId="0" fontId="1" numFmtId="1000" quotePrefix="false">
      <alignment horizontal="left" vertical="top"/>
    </xf>
    <xf applyAlignment="true" applyBorder="true" applyFill="false" applyFont="true" applyNumberFormat="true" borderId="7155" fillId="0" fontId="2" numFmtId="1000" quotePrefix="false">
      <alignment horizontal="center"/>
    </xf>
    <xf applyAlignment="true" applyBorder="true" applyFill="false" applyFont="true" applyNumberFormat="true" borderId="7156" fillId="0" fontId="2" numFmtId="1000" quotePrefix="false">
      <alignment horizontal="center"/>
    </xf>
    <xf applyAlignment="true" applyBorder="true" applyFill="false" applyFont="true" applyNumberFormat="true" borderId="7157" fillId="0" fontId="2" numFmtId="1000" quotePrefix="false">
      <alignment horizontal="center"/>
    </xf>
    <xf applyAlignment="true" applyBorder="true" applyFill="false" applyFont="false" applyNumberFormat="true" borderId="7158" fillId="0" fontId="1" numFmtId="1000" quotePrefix="false">
      <alignment horizontal="center" vertical="top"/>
    </xf>
    <xf applyAlignment="true" applyBorder="true" applyFill="false" applyFont="false" applyNumberFormat="true" borderId="7159" fillId="0" fontId="1" numFmtId="1000" quotePrefix="false">
      <alignment horizontal="center" vertical="top"/>
    </xf>
    <xf applyAlignment="true" applyBorder="true" applyFill="false" applyFont="false" applyNumberFormat="true" borderId="7160" fillId="0" fontId="1" numFmtId="1000" quotePrefix="false">
      <alignment horizontal="center" vertical="top"/>
    </xf>
    <xf applyAlignment="true" applyBorder="true" applyFill="false" applyFont="false" applyNumberFormat="true" borderId="7161" fillId="0" fontId="1" numFmtId="1000" quotePrefix="false">
      <alignment horizontal="center" vertical="top"/>
    </xf>
    <xf applyAlignment="true" applyBorder="true" applyFill="false" applyFont="false" applyNumberFormat="true" borderId="7162" fillId="0" fontId="1" numFmtId="1000" quotePrefix="false">
      <alignment horizontal="center" vertical="top"/>
    </xf>
    <xf applyAlignment="true" applyBorder="true" applyFill="false" applyFont="false" applyNumberFormat="true" borderId="7163" fillId="0" fontId="1" numFmtId="1000" quotePrefix="false">
      <alignment horizontal="center" vertical="top"/>
    </xf>
    <xf applyAlignment="true" applyBorder="true" applyFill="false" applyFont="false" applyNumberFormat="true" borderId="7164" fillId="0" fontId="1" numFmtId="1000" quotePrefix="false">
      <alignment horizontal="center" vertical="top"/>
    </xf>
    <xf applyAlignment="true" applyBorder="true" applyFill="false" applyFont="false" applyNumberFormat="true" borderId="7165" fillId="0" fontId="1" numFmtId="1000" quotePrefix="false">
      <alignment horizontal="center" vertical="top"/>
    </xf>
    <xf applyAlignment="true" applyBorder="true" applyFill="false" applyFont="false" applyNumberFormat="true" borderId="7166" fillId="0" fontId="1" numFmtId="1000" quotePrefix="false">
      <alignment horizontal="center" vertical="top"/>
    </xf>
    <xf applyAlignment="true" applyBorder="true" applyFill="false" applyFont="false" applyNumberFormat="true" borderId="7167" fillId="0" fontId="1" numFmtId="1000" quotePrefix="false">
      <alignment horizontal="center" vertical="top"/>
    </xf>
    <xf applyAlignment="true" applyBorder="true" applyFill="false" applyFont="false" applyNumberFormat="true" borderId="7168" fillId="0" fontId="1" numFmtId="1000" quotePrefix="false">
      <alignment horizontal="center" vertical="top"/>
    </xf>
    <xf applyAlignment="true" applyBorder="true" applyFill="false" applyFont="false" applyNumberFormat="true" borderId="7169" fillId="0" fontId="1" numFmtId="1000" quotePrefix="false">
      <alignment horizontal="center" vertical="top"/>
    </xf>
    <xf applyAlignment="true" applyBorder="true" applyFill="false" applyFont="false" applyNumberFormat="true" borderId="7170" fillId="0" fontId="1" numFmtId="1000" quotePrefix="false">
      <alignment horizontal="center" vertical="top"/>
    </xf>
    <xf applyAlignment="true" applyBorder="true" applyFill="false" applyFont="false" applyNumberFormat="true" borderId="7171" fillId="0" fontId="1" numFmtId="1000" quotePrefix="false">
      <alignment horizontal="center" vertical="top"/>
    </xf>
    <xf applyAlignment="true" applyBorder="true" applyFill="false" applyFont="false" applyNumberFormat="true" borderId="7172" fillId="0" fontId="1" numFmtId="1000" quotePrefix="false">
      <alignment horizontal="center" vertical="top"/>
    </xf>
    <xf applyAlignment="true" applyBorder="true" applyFill="false" applyFont="false" applyNumberFormat="true" borderId="7173" fillId="0" fontId="1" numFmtId="1000" quotePrefix="false">
      <alignment horizontal="center" vertical="top"/>
    </xf>
    <xf applyAlignment="true" applyBorder="true" applyFill="false" applyFont="false" applyNumberFormat="true" borderId="7174" fillId="0" fontId="1" numFmtId="1000" quotePrefix="false">
      <alignment horizontal="center" vertical="top"/>
    </xf>
    <xf applyAlignment="true" applyBorder="true" applyFill="false" applyFont="false" applyNumberFormat="true" borderId="7175" fillId="0" fontId="1" numFmtId="1000" quotePrefix="false">
      <alignment horizontal="center" vertical="top"/>
    </xf>
    <xf applyAlignment="true" applyBorder="true" applyFill="false" applyFont="false" applyNumberFormat="true" borderId="7176" fillId="0" fontId="1" numFmtId="1000" quotePrefix="false">
      <alignment horizontal="center" vertical="top"/>
    </xf>
    <xf applyAlignment="true" applyBorder="true" applyFill="false" applyFont="false" applyNumberFormat="true" borderId="7177" fillId="0" fontId="1" numFmtId="1000" quotePrefix="false">
      <alignment horizontal="center" vertical="top"/>
    </xf>
    <xf applyAlignment="true" applyBorder="true" applyFill="false" applyFont="false" applyNumberFormat="true" borderId="7178" fillId="0" fontId="1" numFmtId="1000" quotePrefix="false">
      <alignment horizontal="center" vertical="top"/>
    </xf>
    <xf applyAlignment="true" applyBorder="true" applyFill="false" applyFont="false" applyNumberFormat="true" borderId="7179" fillId="0" fontId="1" numFmtId="1000" quotePrefix="false">
      <alignment horizontal="center" vertical="top"/>
    </xf>
    <xf applyAlignment="true" applyBorder="true" applyFill="false" applyFont="false" applyNumberFormat="true" borderId="7180" fillId="0" fontId="1" numFmtId="1000" quotePrefix="false">
      <alignment horizontal="center" vertical="top"/>
    </xf>
    <xf applyAlignment="true" applyBorder="true" applyFill="false" applyFont="false" applyNumberFormat="true" borderId="7181" fillId="0" fontId="1" numFmtId="1000" quotePrefix="false">
      <alignment horizontal="center" vertical="top"/>
    </xf>
    <xf applyAlignment="true" applyBorder="true" applyFill="false" applyFont="false" applyNumberFormat="true" borderId="7182" fillId="0" fontId="1" numFmtId="1000" quotePrefix="false">
      <alignment horizontal="center" vertical="top"/>
    </xf>
    <xf applyAlignment="true" applyBorder="true" applyFill="false" applyFont="false" applyNumberFormat="true" borderId="7183" fillId="0" fontId="1" numFmtId="1000" quotePrefix="false">
      <alignment horizontal="center" vertical="top"/>
    </xf>
    <xf applyAlignment="true" applyBorder="true" applyFill="false" applyFont="false" applyNumberFormat="true" borderId="7184" fillId="0" fontId="1" numFmtId="1000" quotePrefix="false">
      <alignment horizontal="center" vertical="top"/>
    </xf>
    <xf applyAlignment="true" applyBorder="true" applyFill="false" applyFont="false" applyNumberFormat="true" borderId="7185" fillId="0" fontId="1" numFmtId="1000" quotePrefix="false">
      <alignment horizontal="center" vertical="top"/>
    </xf>
    <xf applyAlignment="true" applyBorder="true" applyFill="false" applyFont="false" applyNumberFormat="true" borderId="7186" fillId="0" fontId="1" numFmtId="1000" quotePrefix="false">
      <alignment horizontal="center" vertical="top"/>
    </xf>
    <xf applyAlignment="true" applyBorder="true" applyFill="false" applyFont="false" applyNumberFormat="true" borderId="7187" fillId="0" fontId="1" numFmtId="1000" quotePrefix="false">
      <alignment horizontal="center" vertical="top"/>
    </xf>
    <xf applyAlignment="true" applyBorder="true" applyFill="false" applyFont="false" applyNumberFormat="true" borderId="7188" fillId="0" fontId="1" numFmtId="1000" quotePrefix="false">
      <alignment horizontal="center" vertical="top"/>
    </xf>
    <xf applyAlignment="true" applyBorder="true" applyFill="false" applyFont="false" applyNumberFormat="true" borderId="7189" fillId="0" fontId="1" numFmtId="1000" quotePrefix="false">
      <alignment horizontal="center" vertical="top"/>
    </xf>
    <xf applyAlignment="true" applyBorder="true" applyFill="false" applyFont="false" applyNumberFormat="true" borderId="7190" fillId="0" fontId="1" numFmtId="1000" quotePrefix="false">
      <alignment horizontal="center" vertical="top"/>
    </xf>
    <xf applyAlignment="true" applyBorder="true" applyFill="false" applyFont="true" applyNumberFormat="true" borderId="7191" fillId="0" fontId="2" numFmtId="1000" quotePrefix="false">
      <alignment horizontal="center" vertical="top"/>
    </xf>
    <xf applyAlignment="true" applyBorder="true" applyFill="false" applyFont="true" applyNumberFormat="true" borderId="7192" fillId="0" fontId="2" numFmtId="1000" quotePrefix="false">
      <alignment horizontal="center"/>
    </xf>
    <xf applyAlignment="true" applyBorder="true" applyFill="false" applyFont="true" applyNumberFormat="true" borderId="7193" fillId="0" fontId="2" numFmtId="1000" quotePrefix="false">
      <alignment horizontal="center"/>
    </xf>
    <xf applyAlignment="true" applyBorder="true" applyFill="false" applyFont="true" applyNumberFormat="true" borderId="7194" fillId="0" fontId="2" numFmtId="1000" quotePrefix="false">
      <alignment horizontal="center"/>
    </xf>
    <xf applyAlignment="true" applyBorder="true" applyFill="false" applyFont="false" applyNumberFormat="true" borderId="7195" fillId="0" fontId="1" numFmtId="1000" quotePrefix="false">
      <alignment horizontal="center" vertical="top"/>
    </xf>
    <xf applyAlignment="true" applyBorder="true" applyFill="false" applyFont="false" applyNumberFormat="true" borderId="7196" fillId="0" fontId="1" numFmtId="1000" quotePrefix="false">
      <alignment horizontal="center" vertical="top"/>
    </xf>
    <xf applyAlignment="true" applyBorder="true" applyFill="false" applyFont="false" applyNumberFormat="true" borderId="7197" fillId="0" fontId="1" numFmtId="1000" quotePrefix="false">
      <alignment horizontal="center" vertical="top"/>
    </xf>
    <xf applyAlignment="true" applyBorder="true" applyFill="false" applyFont="false" applyNumberFormat="true" borderId="7198" fillId="0" fontId="1" numFmtId="1000" quotePrefix="false">
      <alignment horizontal="center" vertical="top"/>
    </xf>
    <xf applyAlignment="true" applyBorder="true" applyFill="false" applyFont="false" applyNumberFormat="true" borderId="7199" fillId="0" fontId="1" numFmtId="1000" quotePrefix="false">
      <alignment horizontal="center" vertical="top"/>
    </xf>
    <xf applyAlignment="true" applyBorder="true" applyFill="false" applyFont="false" applyNumberFormat="true" borderId="7200" fillId="0" fontId="1" numFmtId="1000" quotePrefix="false">
      <alignment horizontal="center" vertical="top"/>
    </xf>
    <xf applyAlignment="true" applyBorder="true" applyFill="false" applyFont="false" applyNumberFormat="true" borderId="7201" fillId="0" fontId="1" numFmtId="1000" quotePrefix="false">
      <alignment horizontal="center" vertical="top"/>
    </xf>
    <xf applyAlignment="true" applyBorder="true" applyFill="false" applyFont="false" applyNumberFormat="true" borderId="7202" fillId="0" fontId="1" numFmtId="1000" quotePrefix="false">
      <alignment horizontal="center" vertical="top"/>
    </xf>
    <xf applyAlignment="true" applyBorder="true" applyFill="false" applyFont="false" applyNumberFormat="true" borderId="7203" fillId="0" fontId="1" numFmtId="1000" quotePrefix="false">
      <alignment horizontal="center" vertical="top"/>
    </xf>
    <xf applyAlignment="true" applyBorder="true" applyFill="false" applyFont="false" applyNumberFormat="true" borderId="7204" fillId="0" fontId="1" numFmtId="1000" quotePrefix="false">
      <alignment horizontal="center" vertical="top"/>
    </xf>
    <xf applyAlignment="true" applyBorder="true" applyFill="false" applyFont="false" applyNumberFormat="true" borderId="7205" fillId="0" fontId="1" numFmtId="1000" quotePrefix="false">
      <alignment horizontal="center" vertical="top"/>
    </xf>
    <xf applyAlignment="true" applyBorder="true" applyFill="false" applyFont="false" applyNumberFormat="true" borderId="7206" fillId="0" fontId="1" numFmtId="1000" quotePrefix="false">
      <alignment horizontal="center" vertical="top"/>
    </xf>
    <xf applyAlignment="true" applyBorder="true" applyFill="false" applyFont="false" applyNumberFormat="true" borderId="7207" fillId="0" fontId="1" numFmtId="1000" quotePrefix="false">
      <alignment horizontal="center" vertical="top"/>
    </xf>
    <xf applyAlignment="true" applyBorder="true" applyFill="false" applyFont="false" applyNumberFormat="true" borderId="7208" fillId="0" fontId="1" numFmtId="1000" quotePrefix="false">
      <alignment horizontal="center" vertical="top"/>
    </xf>
    <xf applyAlignment="true" applyBorder="true" applyFill="false" applyFont="false" applyNumberFormat="true" borderId="7209" fillId="0" fontId="1" numFmtId="1000" quotePrefix="false">
      <alignment horizontal="center" vertical="top"/>
    </xf>
    <xf applyAlignment="true" applyBorder="true" applyFill="false" applyFont="false" applyNumberFormat="true" borderId="7210" fillId="0" fontId="1" numFmtId="1000" quotePrefix="false">
      <alignment horizontal="center" vertical="top"/>
    </xf>
    <xf applyAlignment="true" applyBorder="true" applyFill="false" applyFont="false" applyNumberFormat="true" borderId="7211" fillId="0" fontId="1" numFmtId="1000" quotePrefix="false">
      <alignment horizontal="center" vertical="top"/>
    </xf>
    <xf applyAlignment="true" applyBorder="true" applyFill="false" applyFont="false" applyNumberFormat="true" borderId="7212" fillId="0" fontId="1" numFmtId="1000" quotePrefix="false">
      <alignment horizontal="center" vertical="top"/>
    </xf>
    <xf applyAlignment="true" applyBorder="true" applyFill="false" applyFont="false" applyNumberFormat="true" borderId="7213" fillId="0" fontId="1" numFmtId="1000" quotePrefix="false">
      <alignment horizontal="center" vertical="top"/>
    </xf>
    <xf applyAlignment="true" applyBorder="true" applyFill="false" applyFont="false" applyNumberFormat="true" borderId="7214" fillId="0" fontId="1" numFmtId="1000" quotePrefix="false">
      <alignment horizontal="center" vertical="top"/>
    </xf>
    <xf applyAlignment="true" applyBorder="true" applyFill="false" applyFont="false" applyNumberFormat="true" borderId="7215" fillId="0" fontId="1" numFmtId="1000" quotePrefix="false">
      <alignment horizontal="center" vertical="top"/>
    </xf>
    <xf applyAlignment="true" applyBorder="true" applyFill="false" applyFont="false" applyNumberFormat="true" borderId="7216" fillId="0" fontId="1" numFmtId="1000" quotePrefix="false">
      <alignment horizontal="center" vertical="top"/>
    </xf>
    <xf applyAlignment="true" applyBorder="true" applyFill="false" applyFont="false" applyNumberFormat="true" borderId="7217" fillId="0" fontId="1" numFmtId="1000" quotePrefix="false">
      <alignment horizontal="center" vertical="top"/>
    </xf>
    <xf applyAlignment="true" applyBorder="true" applyFill="false" applyFont="false" applyNumberFormat="true" borderId="7218" fillId="0" fontId="1" numFmtId="1000" quotePrefix="false">
      <alignment horizontal="center" vertical="top"/>
    </xf>
    <xf applyAlignment="true" applyBorder="true" applyFill="false" applyFont="false" applyNumberFormat="true" borderId="7219" fillId="0" fontId="1" numFmtId="1000" quotePrefix="false">
      <alignment horizontal="center" vertical="top"/>
    </xf>
    <xf applyAlignment="true" applyBorder="true" applyFill="false" applyFont="false" applyNumberFormat="true" borderId="7220" fillId="0" fontId="1" numFmtId="1000" quotePrefix="false">
      <alignment horizontal="center" vertical="top"/>
    </xf>
    <xf applyAlignment="true" applyBorder="true" applyFill="false" applyFont="false" applyNumberFormat="true" borderId="7221" fillId="0" fontId="1" numFmtId="1000" quotePrefix="false">
      <alignment horizontal="center" vertical="top"/>
    </xf>
    <xf applyAlignment="true" applyBorder="true" applyFill="false" applyFont="false" applyNumberFormat="true" borderId="7222" fillId="0" fontId="1" numFmtId="1000" quotePrefix="false">
      <alignment horizontal="center" vertical="top"/>
    </xf>
    <xf applyAlignment="true" applyBorder="true" applyFill="false" applyFont="false" applyNumberFormat="true" borderId="7223" fillId="0" fontId="1" numFmtId="1000" quotePrefix="false">
      <alignment horizontal="center" vertical="top"/>
    </xf>
    <xf applyAlignment="true" applyBorder="true" applyFill="false" applyFont="false" applyNumberFormat="true" borderId="28" fillId="0" fontId="1" numFmtId="1001" quotePrefix="false">
      <alignment horizontal="center" vertical="center"/>
    </xf>
    <xf applyAlignment="true" applyBorder="true" applyFill="false" applyFont="false" applyNumberFormat="true" borderId="7224" fillId="0" fontId="1" numFmtId="1000" quotePrefix="false">
      <alignment horizontal="center" vertical="top"/>
    </xf>
    <xf applyAlignment="true" applyBorder="true" applyFill="false" applyFont="false" applyNumberFormat="true" borderId="7225" fillId="0" fontId="1" numFmtId="1000" quotePrefix="false">
      <alignment horizontal="center" vertical="top"/>
    </xf>
    <xf applyAlignment="true" applyBorder="true" applyFill="false" applyFont="false" applyNumberFormat="true" borderId="7226" fillId="0" fontId="1" numFmtId="1000" quotePrefix="false">
      <alignment horizontal="center" vertical="top"/>
    </xf>
    <xf applyAlignment="true" applyBorder="true" applyFill="false" applyFont="false" applyNumberFormat="true" borderId="7227" fillId="0" fontId="1" numFmtId="1000" quotePrefix="false">
      <alignment horizontal="center" vertical="top"/>
    </xf>
    <xf applyAlignment="true" applyBorder="true" applyFill="false" applyFont="false" applyNumberFormat="true" borderId="7228" fillId="0" fontId="1" numFmtId="1000" quotePrefix="false">
      <alignment horizontal="center"/>
    </xf>
    <xf applyAlignment="true" applyBorder="true" applyFill="true" applyFont="false" applyNumberFormat="true" borderId="7229" fillId="8" fontId="1" numFmtId="1000" quotePrefix="false">
      <alignment horizontal="center"/>
    </xf>
    <xf applyAlignment="true" applyBorder="true" applyFill="true" applyFont="false" applyNumberFormat="true" borderId="7230" fillId="8" fontId="1" numFmtId="1000" quotePrefix="false">
      <alignment horizontal="center"/>
    </xf>
    <xf applyAlignment="true" applyBorder="true" applyFill="false" applyFont="true" applyNumberFormat="true" borderId="7231" fillId="0" fontId="2" numFmtId="1000" quotePrefix="false">
      <alignment horizontal="center" vertical="top"/>
    </xf>
    <xf applyAlignment="true" applyBorder="true" applyFill="false" applyFont="false" applyNumberFormat="true" borderId="7232" fillId="0" fontId="1" numFmtId="1000" quotePrefix="false">
      <alignment horizontal="left" vertical="top"/>
    </xf>
    <xf applyAlignment="true" applyBorder="true" applyFill="false" applyFont="false" applyNumberFormat="true" borderId="7233" fillId="0" fontId="1" numFmtId="1000" quotePrefix="false">
      <alignment horizontal="left" vertical="top"/>
    </xf>
    <xf applyAlignment="true" applyBorder="true" applyFill="false" applyFont="false" applyNumberFormat="true" borderId="7234" fillId="0" fontId="1" numFmtId="1000" quotePrefix="false">
      <alignment horizontal="left" vertical="top"/>
    </xf>
    <xf applyAlignment="true" applyBorder="true" applyFill="false" applyFont="false" applyNumberFormat="true" borderId="7235" fillId="0" fontId="1" numFmtId="1000" quotePrefix="false">
      <alignment horizontal="left" vertical="top"/>
    </xf>
    <xf applyAlignment="true" applyBorder="true" applyFill="false" applyFont="false" applyNumberFormat="true" borderId="7236" fillId="0" fontId="1" numFmtId="1000" quotePrefix="false">
      <alignment horizontal="left" vertical="top"/>
    </xf>
    <xf applyAlignment="true" applyBorder="true" applyFill="false" applyFont="true" applyNumberFormat="true" borderId="7237" fillId="0" fontId="2" numFmtId="1000" quotePrefix="false">
      <alignment horizontal="center"/>
    </xf>
    <xf applyAlignment="true" applyBorder="true" applyFill="false" applyFont="true" applyNumberFormat="true" borderId="7238" fillId="0" fontId="2" numFmtId="1000" quotePrefix="false">
      <alignment horizontal="center"/>
    </xf>
    <xf applyAlignment="true" applyBorder="true" applyFill="false" applyFont="true" applyNumberFormat="true" borderId="7239" fillId="0" fontId="2" numFmtId="1000" quotePrefix="false">
      <alignment horizontal="center"/>
    </xf>
    <xf applyAlignment="true" applyBorder="true" applyFill="false" applyFont="false" applyNumberFormat="true" borderId="7240" fillId="0" fontId="1" numFmtId="1000" quotePrefix="false">
      <alignment horizontal="center" vertical="top"/>
    </xf>
    <xf applyAlignment="true" applyBorder="true" applyFill="false" applyFont="false" applyNumberFormat="true" borderId="7241" fillId="0" fontId="1" numFmtId="1000" quotePrefix="false">
      <alignment horizontal="center" vertical="top"/>
    </xf>
    <xf applyAlignment="true" applyBorder="true" applyFill="false" applyFont="false" applyNumberFormat="true" borderId="7242" fillId="0" fontId="1" numFmtId="1000" quotePrefix="false">
      <alignment horizontal="center" vertical="top"/>
    </xf>
    <xf applyAlignment="true" applyBorder="true" applyFill="false" applyFont="false" applyNumberFormat="true" borderId="7243" fillId="0" fontId="1" numFmtId="1000" quotePrefix="false">
      <alignment horizontal="center" vertical="top"/>
    </xf>
    <xf applyAlignment="true" applyBorder="true" applyFill="false" applyFont="false" applyNumberFormat="true" borderId="7244" fillId="0" fontId="1" numFmtId="1000" quotePrefix="false">
      <alignment horizontal="center" vertical="top"/>
    </xf>
    <xf applyAlignment="true" applyBorder="true" applyFill="false" applyFont="false" applyNumberFormat="true" borderId="7245" fillId="0" fontId="1" numFmtId="1000" quotePrefix="false">
      <alignment horizontal="center" vertical="top"/>
    </xf>
    <xf applyAlignment="true" applyBorder="true" applyFill="true" applyFont="false" applyNumberFormat="true" borderId="78" fillId="8" fontId="1" numFmtId="1000" quotePrefix="false">
      <alignment horizontal="center"/>
    </xf>
    <xf applyAlignment="true" applyBorder="true" applyFill="false" applyFont="false" applyNumberFormat="true" borderId="7246" fillId="0" fontId="1" numFmtId="1000" quotePrefix="false">
      <alignment horizontal="center" vertical="top"/>
    </xf>
    <xf applyAlignment="true" applyBorder="true" applyFill="false" applyFont="false" applyNumberFormat="true" borderId="7247" fillId="0" fontId="1" numFmtId="1000" quotePrefix="false">
      <alignment horizontal="center" vertical="top"/>
    </xf>
    <xf applyAlignment="true" applyBorder="true" applyFill="false" applyFont="false" applyNumberFormat="true" borderId="7248" fillId="0" fontId="1" numFmtId="1000" quotePrefix="false">
      <alignment horizontal="center" vertical="top"/>
    </xf>
    <xf applyAlignment="true" applyBorder="true" applyFill="false" applyFont="false" applyNumberFormat="true" borderId="7249" fillId="0" fontId="1" numFmtId="1000" quotePrefix="false">
      <alignment horizontal="center" vertical="top"/>
    </xf>
    <xf applyAlignment="true" applyBorder="true" applyFill="false" applyFont="false" applyNumberFormat="true" borderId="7250" fillId="0" fontId="1" numFmtId="1000" quotePrefix="false">
      <alignment horizontal="center" vertical="top"/>
    </xf>
    <xf applyAlignment="true" applyBorder="true" applyFill="false" applyFont="false" applyNumberFormat="true" borderId="7251" fillId="0" fontId="1" numFmtId="1000" quotePrefix="false">
      <alignment horizontal="center" vertical="top"/>
    </xf>
    <xf applyAlignment="true" applyBorder="true" applyFill="false" applyFont="false" applyNumberFormat="true" borderId="7252" fillId="0" fontId="1" numFmtId="1000" quotePrefix="false">
      <alignment horizontal="center" vertical="top"/>
    </xf>
    <xf applyAlignment="true" applyBorder="true" applyFill="false" applyFont="false" applyNumberFormat="true" borderId="7253" fillId="0" fontId="1" numFmtId="1000" quotePrefix="false">
      <alignment horizontal="center" vertical="top"/>
    </xf>
    <xf applyAlignment="true" applyBorder="true" applyFill="false" applyFont="false" applyNumberFormat="true" borderId="7254" fillId="0" fontId="1" numFmtId="1000" quotePrefix="false">
      <alignment horizontal="center" vertical="top"/>
    </xf>
    <xf applyAlignment="true" applyBorder="true" applyFill="false" applyFont="false" applyNumberFormat="true" borderId="7255" fillId="0" fontId="1" numFmtId="1000" quotePrefix="false">
      <alignment horizontal="center" vertical="top"/>
    </xf>
    <xf applyAlignment="true" applyBorder="true" applyFill="false" applyFont="false" applyNumberFormat="true" borderId="7256" fillId="0" fontId="1" numFmtId="1000" quotePrefix="false">
      <alignment horizontal="center" vertical="top"/>
    </xf>
    <xf applyAlignment="true" applyBorder="true" applyFill="false" applyFont="false" applyNumberFormat="true" borderId="7257" fillId="0" fontId="1" numFmtId="1000" quotePrefix="false">
      <alignment horizontal="center" vertical="top"/>
    </xf>
    <xf applyAlignment="true" applyBorder="true" applyFill="false" applyFont="false" applyNumberFormat="true" borderId="7258" fillId="0" fontId="1" numFmtId="1000" quotePrefix="false">
      <alignment horizontal="center" vertical="top"/>
    </xf>
    <xf applyAlignment="true" applyBorder="true" applyFill="false" applyFont="false" applyNumberFormat="true" borderId="7259" fillId="0" fontId="1" numFmtId="1000" quotePrefix="false">
      <alignment horizontal="center" vertical="top"/>
    </xf>
    <xf applyAlignment="true" applyBorder="true" applyFill="false" applyFont="false" applyNumberFormat="true" borderId="7260" fillId="0" fontId="1" numFmtId="1000" quotePrefix="false">
      <alignment horizontal="center" vertical="top"/>
    </xf>
    <xf applyAlignment="true" applyBorder="true" applyFill="false" applyFont="false" applyNumberFormat="true" borderId="7261" fillId="0" fontId="1" numFmtId="1000" quotePrefix="false">
      <alignment horizontal="center" vertical="top"/>
    </xf>
    <xf applyAlignment="true" applyBorder="true" applyFill="false" applyFont="false" applyNumberFormat="true" borderId="7262" fillId="0" fontId="1" numFmtId="1000" quotePrefix="false">
      <alignment horizontal="center" vertical="top"/>
    </xf>
    <xf applyAlignment="true" applyBorder="true" applyFill="false" applyFont="false" applyNumberFormat="true" borderId="7263" fillId="0" fontId="1" numFmtId="1000" quotePrefix="false">
      <alignment horizontal="center" vertical="top"/>
    </xf>
    <xf applyAlignment="true" applyBorder="true" applyFill="false" applyFont="false" applyNumberFormat="true" borderId="7264" fillId="0" fontId="1" numFmtId="1000" quotePrefix="false">
      <alignment horizontal="center" vertical="top"/>
    </xf>
    <xf applyAlignment="true" applyBorder="true" applyFill="false" applyFont="false" applyNumberFormat="true" borderId="7265" fillId="0" fontId="1" numFmtId="1000" quotePrefix="false">
      <alignment horizontal="center" vertical="top"/>
    </xf>
    <xf applyAlignment="true" applyBorder="true" applyFill="false" applyFont="false" applyNumberFormat="true" borderId="7266" fillId="0" fontId="1" numFmtId="1000" quotePrefix="false">
      <alignment horizontal="center" vertical="top"/>
    </xf>
    <xf applyAlignment="true" applyBorder="true" applyFill="false" applyFont="false" applyNumberFormat="true" borderId="7267" fillId="0" fontId="1" numFmtId="1000" quotePrefix="false">
      <alignment horizontal="center"/>
    </xf>
    <xf applyAlignment="true" applyBorder="true" applyFill="true" applyFont="false" applyNumberFormat="true" borderId="7268" fillId="8" fontId="1" numFmtId="1000" quotePrefix="false">
      <alignment horizontal="center"/>
    </xf>
    <xf applyAlignment="true" applyBorder="true" applyFill="true" applyFont="false" applyNumberFormat="true" borderId="7269" fillId="8" fontId="1" numFmtId="1000" quotePrefix="false">
      <alignment horizontal="center"/>
    </xf>
    <xf applyAlignment="true" applyBorder="true" applyFill="false" applyFont="true" applyNumberFormat="true" borderId="7270" fillId="0" fontId="6" numFmtId="1000" quotePrefix="false">
      <alignment horizontal="center"/>
    </xf>
    <xf applyAlignment="true" applyBorder="true" applyFill="false" applyFont="true" applyNumberFormat="true" borderId="7271" fillId="0" fontId="6" numFmtId="1000" quotePrefix="false">
      <alignment horizontal="center"/>
    </xf>
    <xf applyAlignment="true" applyBorder="true" applyFill="false" applyFont="true" applyNumberFormat="true" borderId="7272" fillId="0" fontId="6" numFmtId="1000" quotePrefix="false">
      <alignment horizontal="center"/>
    </xf>
    <xf applyAlignment="true" applyBorder="true" applyFill="false" applyFont="true" applyNumberFormat="true" borderId="7273" fillId="0" fontId="6" numFmtId="1000" quotePrefix="false">
      <alignment horizontal="center"/>
    </xf>
    <xf applyAlignment="true" applyBorder="true" applyFill="false" applyFont="true" applyNumberFormat="true" borderId="7274" fillId="0" fontId="6" numFmtId="1000" quotePrefix="false">
      <alignment horizontal="center"/>
    </xf>
    <xf applyAlignment="true" applyBorder="true" applyFill="false" applyFont="true" applyNumberFormat="true" borderId="7275" fillId="0" fontId="6" numFmtId="1000" quotePrefix="false">
      <alignment horizontal="center"/>
    </xf>
    <xf applyBorder="true" applyFill="false" applyFont="true" applyNumberFormat="true" borderId="49" fillId="0" fontId="30" numFmtId="1001" quotePrefix="false"/>
    <xf applyBorder="true" applyFill="false" applyFont="false" applyNumberFormat="true" borderId="23" fillId="0" fontId="1" numFmtId="1001" quotePrefix="false"/>
    <xf applyAlignment="true" applyBorder="true" applyFill="false" applyFont="true" applyNumberFormat="true" borderId="7276" fillId="0" fontId="2" numFmtId="1000" quotePrefix="false">
      <alignment horizontal="center" vertical="top"/>
    </xf>
    <xf applyAlignment="true" applyBorder="true" applyFill="false" applyFont="false" applyNumberFormat="true" borderId="7277" fillId="0" fontId="1" numFmtId="1000" quotePrefix="false">
      <alignment horizontal="left" vertical="top"/>
    </xf>
    <xf applyAlignment="true" applyBorder="true" applyFill="false" applyFont="false" applyNumberFormat="true" borderId="7278" fillId="0" fontId="1" numFmtId="1000" quotePrefix="false">
      <alignment horizontal="left" vertical="top"/>
    </xf>
    <xf applyAlignment="true" applyBorder="true" applyFill="false" applyFont="false" applyNumberFormat="true" borderId="7279" fillId="0" fontId="1" numFmtId="1000" quotePrefix="false">
      <alignment horizontal="left" vertical="top"/>
    </xf>
    <xf applyAlignment="true" applyBorder="true" applyFill="false" applyFont="false" applyNumberFormat="true" borderId="7280" fillId="0" fontId="1" numFmtId="1000" quotePrefix="false">
      <alignment horizontal="left" vertical="top"/>
    </xf>
    <xf applyAlignment="true" applyBorder="true" applyFill="false" applyFont="false" applyNumberFormat="true" borderId="7281" fillId="0" fontId="1" numFmtId="1000" quotePrefix="false">
      <alignment horizontal="left" vertical="top"/>
    </xf>
    <xf applyAlignment="true" applyBorder="true" applyFill="false" applyFont="false" applyNumberFormat="true" borderId="7282" fillId="0" fontId="1" numFmtId="1000" quotePrefix="false">
      <alignment horizontal="left" vertical="top"/>
    </xf>
    <xf applyAlignment="true" applyBorder="true" applyFill="false" applyFont="false" applyNumberFormat="true" borderId="7283" fillId="0" fontId="1" numFmtId="1000" quotePrefix="false">
      <alignment horizontal="left" vertical="top"/>
    </xf>
    <xf applyAlignment="true" applyBorder="true" applyFill="false" applyFont="false" applyNumberFormat="true" borderId="7284" fillId="0" fontId="1" numFmtId="1000" quotePrefix="false">
      <alignment horizontal="left" vertical="top"/>
    </xf>
    <xf applyAlignment="true" applyBorder="true" applyFill="false" applyFont="false" applyNumberFormat="true" borderId="7285" fillId="0" fontId="1" numFmtId="1000" quotePrefix="false">
      <alignment horizontal="left" vertical="top"/>
    </xf>
    <xf applyAlignment="true" applyBorder="true" applyFill="false" applyFont="false" applyNumberFormat="true" borderId="7286" fillId="0" fontId="1" numFmtId="1000" quotePrefix="false">
      <alignment horizontal="left" vertical="top"/>
    </xf>
    <xf applyAlignment="true" applyBorder="true" applyFill="false" applyFont="false" applyNumberFormat="true" borderId="7287" fillId="0" fontId="1" numFmtId="1000" quotePrefix="false">
      <alignment horizontal="left" vertical="top"/>
    </xf>
    <xf applyAlignment="true" applyBorder="true" applyFill="false" applyFont="false" applyNumberFormat="true" borderId="7288" fillId="0" fontId="1" numFmtId="1000" quotePrefix="false">
      <alignment horizontal="left" vertical="top"/>
    </xf>
    <xf applyAlignment="true" applyBorder="true" applyFill="false" applyFont="false" applyNumberFormat="true" borderId="7289" fillId="0" fontId="1" numFmtId="1000" quotePrefix="false">
      <alignment horizontal="left" vertical="top"/>
    </xf>
    <xf applyAlignment="true" applyBorder="true" applyFill="false" applyFont="false" applyNumberFormat="true" borderId="7290" fillId="0" fontId="1" numFmtId="1000" quotePrefix="false">
      <alignment horizontal="left" vertical="top"/>
    </xf>
    <xf applyAlignment="true" applyBorder="true" applyFill="false" applyFont="false" applyNumberFormat="true" borderId="7291" fillId="0" fontId="1" numFmtId="1000" quotePrefix="false">
      <alignment horizontal="left" vertical="top"/>
    </xf>
    <xf applyAlignment="true" applyBorder="true" applyFill="false" applyFont="false" applyNumberFormat="true" borderId="7292" fillId="0" fontId="1" numFmtId="1000" quotePrefix="false">
      <alignment horizontal="left" vertical="top"/>
    </xf>
    <xf applyAlignment="true" applyBorder="true" applyFill="false" applyFont="false" applyNumberFormat="true" borderId="7293" fillId="0" fontId="1" numFmtId="1000" quotePrefix="false">
      <alignment horizontal="left" vertical="top"/>
    </xf>
    <xf applyAlignment="true" applyBorder="true" applyFill="false" applyFont="false" applyNumberFormat="true" borderId="7294" fillId="0" fontId="1" numFmtId="1000" quotePrefix="false">
      <alignment horizontal="left" vertical="top"/>
    </xf>
    <xf applyAlignment="true" applyBorder="true" applyFill="false" applyFont="false" applyNumberFormat="true" borderId="7295" fillId="0" fontId="1" numFmtId="1000" quotePrefix="false">
      <alignment horizontal="left" vertical="top"/>
    </xf>
    <xf applyAlignment="true" applyBorder="true" applyFill="false" applyFont="true" applyNumberFormat="true" borderId="28" fillId="0" fontId="2" numFmtId="1001" quotePrefix="false">
      <alignment horizontal="center"/>
    </xf>
    <xf applyAlignment="true" applyBorder="true" applyFill="false" applyFont="true" applyNumberFormat="true" borderId="7296" fillId="0" fontId="2" numFmtId="1001" quotePrefix="false">
      <alignment horizontal="center"/>
    </xf>
    <xf applyAlignment="true" applyBorder="true" applyFill="false" applyFont="true" applyNumberFormat="true" borderId="7297" fillId="0" fontId="2" numFmtId="1001" quotePrefix="false">
      <alignment horizontal="center"/>
    </xf>
    <xf applyAlignment="true" applyBorder="true" applyFill="false" applyFont="true" applyNumberFormat="true" borderId="7298" fillId="0" fontId="2" numFmtId="1001" quotePrefix="false">
      <alignment horizontal="center"/>
    </xf>
    <xf applyAlignment="true" applyBorder="true" applyFill="false" applyFont="false" applyNumberFormat="true" borderId="7299" fillId="0" fontId="1" numFmtId="1000" quotePrefix="false">
      <alignment horizontal="center" vertical="top"/>
    </xf>
    <xf applyAlignment="true" applyBorder="true" applyFill="false" applyFont="false" applyNumberFormat="true" borderId="7300" fillId="0" fontId="1" numFmtId="1000" quotePrefix="false">
      <alignment horizontal="center" vertical="top"/>
    </xf>
    <xf applyAlignment="true" applyBorder="true" applyFill="false" applyFont="false" applyNumberFormat="true" borderId="7301" fillId="0" fontId="1" numFmtId="1000" quotePrefix="false">
      <alignment horizontal="center" vertical="top"/>
    </xf>
    <xf applyAlignment="true" applyBorder="true" applyFill="false" applyFont="false" applyNumberFormat="true" borderId="7302" fillId="0" fontId="1" numFmtId="1000" quotePrefix="false">
      <alignment horizontal="center" vertical="top"/>
    </xf>
    <xf applyAlignment="true" applyBorder="true" applyFill="false" applyFont="false" applyNumberFormat="true" borderId="7303" fillId="0" fontId="1" numFmtId="1000" quotePrefix="false">
      <alignment horizontal="center" vertical="top"/>
    </xf>
    <xf applyAlignment="true" applyBorder="true" applyFill="false" applyFont="false" applyNumberFormat="true" borderId="7304" fillId="0" fontId="1" numFmtId="1000" quotePrefix="false">
      <alignment horizontal="center" vertical="top"/>
    </xf>
    <xf applyAlignment="true" applyBorder="true" applyFill="false" applyFont="false" applyNumberFormat="true" borderId="7305" fillId="0" fontId="1" numFmtId="1000" quotePrefix="false">
      <alignment horizontal="center" vertical="top"/>
    </xf>
    <xf applyAlignment="true" applyBorder="true" applyFill="false" applyFont="false" applyNumberFormat="true" borderId="7306" fillId="0" fontId="1" numFmtId="1000" quotePrefix="false">
      <alignment horizontal="center" vertical="top"/>
    </xf>
    <xf applyAlignment="true" applyBorder="true" applyFill="false" applyFont="false" applyNumberFormat="true" borderId="7307" fillId="0" fontId="1" numFmtId="1000" quotePrefix="false">
      <alignment horizontal="center" vertical="top"/>
    </xf>
    <xf applyAlignment="true" applyBorder="true" applyFill="false" applyFont="false" applyNumberFormat="true" borderId="7308" fillId="0" fontId="1" numFmtId="1000" quotePrefix="false">
      <alignment horizontal="center" vertical="top"/>
    </xf>
    <xf applyAlignment="true" applyBorder="true" applyFill="false" applyFont="false" applyNumberFormat="true" borderId="7309" fillId="0" fontId="1" numFmtId="1000" quotePrefix="false">
      <alignment horizontal="center" vertical="top"/>
    </xf>
    <xf applyAlignment="true" applyBorder="true" applyFill="false" applyFont="false" applyNumberFormat="true" borderId="7310" fillId="0" fontId="1" numFmtId="1000" quotePrefix="false">
      <alignment horizontal="center" vertical="top"/>
    </xf>
    <xf applyAlignment="true" applyBorder="true" applyFill="false" applyFont="false" applyNumberFormat="true" borderId="7311" fillId="0" fontId="1" numFmtId="1000" quotePrefix="false">
      <alignment horizontal="center" vertical="top"/>
    </xf>
    <xf applyAlignment="true" applyBorder="true" applyFill="false" applyFont="false" applyNumberFormat="true" borderId="7312" fillId="0" fontId="1" numFmtId="1000" quotePrefix="false">
      <alignment horizontal="center" vertical="top"/>
    </xf>
    <xf applyAlignment="true" applyBorder="true" applyFill="false" applyFont="false" applyNumberFormat="true" borderId="7313" fillId="0" fontId="1" numFmtId="1000" quotePrefix="false">
      <alignment horizontal="center" vertical="top"/>
    </xf>
    <xf applyAlignment="true" applyBorder="true" applyFill="false" applyFont="false" applyNumberFormat="true" borderId="7314" fillId="0" fontId="1" numFmtId="1000" quotePrefix="false">
      <alignment horizontal="center" vertical="top"/>
    </xf>
    <xf applyAlignment="true" applyBorder="true" applyFill="true" applyFont="false" applyNumberFormat="true" borderId="76" fillId="8" fontId="1" numFmtId="1000" quotePrefix="false">
      <alignment horizontal="center"/>
    </xf>
    <xf applyAlignment="true" applyBorder="true" applyFill="true" applyFont="false" applyNumberFormat="true" borderId="85" fillId="8" fontId="1" numFmtId="1000" quotePrefix="false">
      <alignment horizontal="center"/>
    </xf>
    <xf applyAlignment="true" applyBorder="true" applyFill="false" applyFont="false" applyNumberFormat="true" borderId="7315" fillId="0" fontId="1" numFmtId="1000" quotePrefix="false">
      <alignment horizontal="center" vertical="top"/>
    </xf>
    <xf applyAlignment="true" applyBorder="true" applyFill="false" applyFont="false" applyNumberFormat="true" borderId="7316" fillId="0" fontId="1" numFmtId="1000" quotePrefix="false">
      <alignment horizontal="center" vertical="top"/>
    </xf>
    <xf applyAlignment="true" applyBorder="true" applyFill="false" applyFont="false" applyNumberFormat="true" borderId="7317" fillId="0" fontId="1" numFmtId="1000" quotePrefix="false">
      <alignment horizontal="center" vertical="top"/>
    </xf>
    <xf applyAlignment="true" applyBorder="true" applyFill="false" applyFont="false" applyNumberFormat="true" borderId="7318" fillId="0" fontId="1" numFmtId="1000" quotePrefix="false">
      <alignment horizontal="center" vertical="top"/>
    </xf>
    <xf applyAlignment="true" applyBorder="true" applyFill="false" applyFont="false" applyNumberFormat="true" borderId="7319" fillId="0" fontId="1" numFmtId="1000" quotePrefix="false">
      <alignment horizontal="center" vertical="top"/>
    </xf>
    <xf applyAlignment="true" applyBorder="true" applyFill="false" applyFont="false" applyNumberFormat="true" borderId="7320" fillId="0" fontId="1" numFmtId="1000" quotePrefix="false">
      <alignment horizontal="center" vertical="top"/>
    </xf>
    <xf applyAlignment="true" applyBorder="true" applyFill="false" applyFont="false" applyNumberFormat="true" borderId="7321" fillId="0" fontId="1" numFmtId="1000" quotePrefix="false">
      <alignment horizontal="center" vertical="top"/>
    </xf>
    <xf applyAlignment="true" applyBorder="true" applyFill="false" applyFont="false" applyNumberFormat="true" borderId="7322" fillId="0" fontId="1" numFmtId="1000" quotePrefix="false">
      <alignment horizontal="center" vertical="top"/>
    </xf>
    <xf applyAlignment="true" applyBorder="true" applyFill="false" applyFont="false" applyNumberFormat="true" borderId="7323" fillId="0" fontId="1" numFmtId="1000" quotePrefix="false">
      <alignment horizontal="center" vertical="top"/>
    </xf>
    <xf applyAlignment="true" applyBorder="true" applyFill="false" applyFont="false" applyNumberFormat="true" borderId="7324" fillId="0" fontId="1" numFmtId="1000" quotePrefix="false">
      <alignment horizontal="center" vertical="top"/>
    </xf>
    <xf applyAlignment="true" applyBorder="true" applyFill="false" applyFont="false" applyNumberFormat="true" borderId="7325" fillId="0" fontId="1" numFmtId="1000" quotePrefix="false">
      <alignment horizontal="center" vertical="top"/>
    </xf>
    <xf applyAlignment="true" applyBorder="true" applyFill="false" applyFont="false" applyNumberFormat="true" borderId="7326" fillId="0" fontId="1" numFmtId="1000" quotePrefix="false">
      <alignment horizontal="center" vertical="top"/>
    </xf>
    <xf applyAlignment="true" applyBorder="true" applyFill="false" applyFont="false" applyNumberFormat="true" borderId="7327" fillId="0" fontId="1" numFmtId="1000" quotePrefix="false">
      <alignment horizontal="center" vertical="top"/>
    </xf>
    <xf applyAlignment="true" applyBorder="true" applyFill="false" applyFont="false" applyNumberFormat="true" borderId="7328" fillId="0" fontId="1" numFmtId="1000" quotePrefix="false">
      <alignment horizontal="center" vertical="top"/>
    </xf>
    <xf applyAlignment="true" applyBorder="true" applyFill="false" applyFont="false" applyNumberFormat="true" borderId="7329" fillId="0" fontId="1" numFmtId="1000" quotePrefix="false">
      <alignment horizontal="center" vertical="top"/>
    </xf>
    <xf applyAlignment="true" applyBorder="true" applyFill="false" applyFont="false" applyNumberFormat="true" borderId="7330" fillId="0" fontId="1" numFmtId="1000" quotePrefix="false">
      <alignment horizontal="center" vertical="top"/>
    </xf>
    <xf applyAlignment="true" applyBorder="true" applyFill="false" applyFont="false" applyNumberFormat="true" borderId="7331" fillId="0" fontId="1" numFmtId="1000" quotePrefix="false">
      <alignment horizontal="center" vertical="top"/>
    </xf>
    <xf applyAlignment="true" applyBorder="true" applyFill="false" applyFont="true" applyNumberFormat="true" borderId="7332" fillId="0" fontId="2" numFmtId="1000" quotePrefix="false">
      <alignment horizontal="center" vertical="top"/>
    </xf>
    <xf applyAlignment="true" applyBorder="true" applyFill="false" applyFont="false" applyNumberFormat="true" borderId="7333" fillId="0" fontId="1" numFmtId="1000" quotePrefix="false">
      <alignment horizontal="left" vertical="top"/>
    </xf>
    <xf applyAlignment="true" applyBorder="true" applyFill="false" applyFont="false" applyNumberFormat="true" borderId="7334" fillId="0" fontId="1" numFmtId="1000" quotePrefix="false">
      <alignment horizontal="left" vertical="top"/>
    </xf>
    <xf applyAlignment="true" applyBorder="true" applyFill="false" applyFont="false" applyNumberFormat="true" borderId="7335" fillId="0" fontId="1" numFmtId="1000" quotePrefix="false">
      <alignment horizontal="left" vertical="top"/>
    </xf>
    <xf applyAlignment="true" applyBorder="true" applyFill="false" applyFont="false" applyNumberFormat="true" borderId="7336" fillId="0" fontId="1" numFmtId="1000" quotePrefix="false">
      <alignment horizontal="left" vertical="top"/>
    </xf>
    <xf applyAlignment="true" applyBorder="true" applyFill="false" applyFont="false" applyNumberFormat="true" borderId="7337" fillId="0" fontId="1" numFmtId="1000" quotePrefix="false">
      <alignment horizontal="left" vertical="top"/>
    </xf>
    <xf applyAlignment="true" applyBorder="true" applyFill="false" applyFont="false" applyNumberFormat="true" borderId="7338" fillId="0" fontId="1" numFmtId="1000" quotePrefix="false">
      <alignment horizontal="left" vertical="top"/>
    </xf>
    <xf applyAlignment="true" applyBorder="true" applyFill="false" applyFont="false" applyNumberFormat="true" borderId="7339" fillId="0" fontId="1" numFmtId="1000" quotePrefix="false">
      <alignment horizontal="left" vertical="top"/>
    </xf>
    <xf applyAlignment="true" applyBorder="true" applyFill="false" applyFont="false" applyNumberFormat="true" borderId="7340" fillId="0" fontId="1" numFmtId="1000" quotePrefix="false">
      <alignment horizontal="left" vertical="top"/>
    </xf>
    <xf applyAlignment="true" applyBorder="true" applyFill="false" applyFont="false" applyNumberFormat="true" borderId="7341" fillId="0" fontId="1" numFmtId="1000" quotePrefix="false">
      <alignment horizontal="left" vertical="top"/>
    </xf>
    <xf applyAlignment="true" applyBorder="true" applyFill="false" applyFont="false" applyNumberFormat="true" borderId="7342" fillId="0" fontId="1" numFmtId="1000" quotePrefix="false">
      <alignment horizontal="left" vertical="top"/>
    </xf>
    <xf applyAlignment="true" applyBorder="true" applyFill="false" applyFont="false" applyNumberFormat="true" borderId="7343" fillId="0" fontId="1" numFmtId="1000" quotePrefix="false">
      <alignment horizontal="left" vertical="top"/>
    </xf>
    <xf applyAlignment="true" applyBorder="true" applyFill="false" applyFont="false" applyNumberFormat="true" borderId="7344" fillId="0" fontId="1" numFmtId="1000" quotePrefix="false">
      <alignment horizontal="left" vertical="top"/>
    </xf>
    <xf applyAlignment="true" applyBorder="true" applyFill="false" applyFont="false" applyNumberFormat="true" borderId="7345" fillId="0" fontId="1" numFmtId="1000" quotePrefix="false">
      <alignment horizontal="left" vertical="top"/>
    </xf>
    <xf applyAlignment="true" applyBorder="true" applyFill="false" applyFont="false" applyNumberFormat="true" borderId="7346" fillId="0" fontId="1" numFmtId="1000" quotePrefix="false">
      <alignment horizontal="left" vertical="top"/>
    </xf>
    <xf applyAlignment="true" applyBorder="true" applyFill="false" applyFont="false" applyNumberFormat="true" borderId="7347" fillId="0" fontId="1" numFmtId="1000" quotePrefix="false">
      <alignment horizontal="left" vertical="top"/>
    </xf>
    <xf applyAlignment="true" applyBorder="true" applyFill="false" applyFont="false" applyNumberFormat="true" borderId="7348" fillId="0" fontId="1" numFmtId="1000" quotePrefix="false">
      <alignment horizontal="left" vertical="top"/>
    </xf>
    <xf applyAlignment="true" applyBorder="true" applyFill="false" applyFont="false" applyNumberFormat="true" borderId="7349" fillId="0" fontId="1" numFmtId="1000" quotePrefix="false">
      <alignment horizontal="left" vertical="top"/>
    </xf>
    <xf applyAlignment="true" applyBorder="true" applyFill="false" applyFont="false" applyNumberFormat="true" borderId="7350" fillId="0" fontId="1" numFmtId="1000" quotePrefix="false">
      <alignment horizontal="left" vertical="top"/>
    </xf>
    <xf applyAlignment="true" applyBorder="true" applyFill="false" applyFont="false" applyNumberFormat="true" borderId="7351" fillId="0" fontId="1" numFmtId="1000" quotePrefix="false">
      <alignment horizontal="left" vertical="top"/>
    </xf>
    <xf applyAlignment="true" applyBorder="true" applyFill="false" applyFont="true" applyNumberFormat="true" borderId="7352" fillId="0" fontId="2" numFmtId="1001" quotePrefix="false">
      <alignment horizontal="center"/>
    </xf>
    <xf applyAlignment="true" applyBorder="true" applyFill="false" applyFont="true" applyNumberFormat="true" borderId="7353" fillId="0" fontId="2" numFmtId="1001" quotePrefix="false">
      <alignment horizontal="center"/>
    </xf>
    <xf applyAlignment="true" applyBorder="true" applyFill="false" applyFont="true" applyNumberFormat="true" borderId="7354" fillId="0" fontId="2" numFmtId="1001" quotePrefix="false">
      <alignment horizontal="center"/>
    </xf>
    <xf applyAlignment="true" applyBorder="true" applyFill="false" applyFont="false" applyNumberFormat="true" borderId="7355" fillId="0" fontId="1" numFmtId="1000" quotePrefix="false">
      <alignment horizontal="center" vertical="top"/>
    </xf>
    <xf applyAlignment="true" applyBorder="true" applyFill="false" applyFont="false" applyNumberFormat="true" borderId="7356" fillId="0" fontId="1" numFmtId="1000" quotePrefix="false">
      <alignment horizontal="center" vertical="top"/>
    </xf>
    <xf applyAlignment="true" applyBorder="true" applyFill="false" applyFont="false" applyNumberFormat="true" borderId="7357" fillId="0" fontId="1" numFmtId="1000" quotePrefix="false">
      <alignment horizontal="center" vertical="top"/>
    </xf>
    <xf applyAlignment="true" applyBorder="true" applyFill="false" applyFont="false" applyNumberFormat="true" borderId="7358" fillId="0" fontId="1" numFmtId="1000" quotePrefix="false">
      <alignment horizontal="center" vertical="top"/>
    </xf>
    <xf applyAlignment="true" applyBorder="true" applyFill="false" applyFont="false" applyNumberFormat="true" borderId="7359" fillId="0" fontId="1" numFmtId="1000" quotePrefix="false">
      <alignment horizontal="center" vertical="top"/>
    </xf>
    <xf applyAlignment="true" applyBorder="true" applyFill="false" applyFont="false" applyNumberFormat="true" borderId="7360" fillId="0" fontId="1" numFmtId="1000" quotePrefix="false">
      <alignment horizontal="center" vertical="top"/>
    </xf>
    <xf applyAlignment="true" applyBorder="true" applyFill="false" applyFont="false" applyNumberFormat="true" borderId="7361" fillId="0" fontId="1" numFmtId="1000" quotePrefix="false">
      <alignment horizontal="center" vertical="top"/>
    </xf>
    <xf applyAlignment="true" applyBorder="true" applyFill="false" applyFont="false" applyNumberFormat="true" borderId="7362" fillId="0" fontId="1" numFmtId="1000" quotePrefix="false">
      <alignment horizontal="center" vertical="top"/>
    </xf>
    <xf applyAlignment="true" applyBorder="true" applyFill="false" applyFont="false" applyNumberFormat="true" borderId="7363" fillId="0" fontId="1" numFmtId="1000" quotePrefix="false">
      <alignment horizontal="center" vertical="top"/>
    </xf>
    <xf applyAlignment="true" applyBorder="true" applyFill="false" applyFont="false" applyNumberFormat="true" borderId="7364" fillId="0" fontId="1" numFmtId="1000" quotePrefix="false">
      <alignment horizontal="center" vertical="top"/>
    </xf>
    <xf applyAlignment="true" applyBorder="true" applyFill="false" applyFont="false" applyNumberFormat="true" borderId="7365" fillId="0" fontId="1" numFmtId="1000" quotePrefix="false">
      <alignment horizontal="center" vertical="top"/>
    </xf>
    <xf applyAlignment="true" applyBorder="true" applyFill="false" applyFont="false" applyNumberFormat="true" borderId="7366" fillId="0" fontId="1" numFmtId="1000" quotePrefix="false">
      <alignment horizontal="center" vertical="top"/>
    </xf>
    <xf applyAlignment="true" applyBorder="true" applyFill="false" applyFont="false" applyNumberFormat="true" borderId="7367" fillId="0" fontId="1" numFmtId="1000" quotePrefix="false">
      <alignment horizontal="center" vertical="top"/>
    </xf>
    <xf applyAlignment="true" applyBorder="true" applyFill="false" applyFont="false" applyNumberFormat="true" borderId="7368" fillId="0" fontId="1" numFmtId="1000" quotePrefix="false">
      <alignment horizontal="center" vertical="top"/>
    </xf>
    <xf applyAlignment="true" applyBorder="true" applyFill="false" applyFont="false" applyNumberFormat="true" borderId="7369" fillId="0" fontId="1" numFmtId="1000" quotePrefix="false">
      <alignment horizontal="center" vertical="top"/>
    </xf>
    <xf applyAlignment="true" applyBorder="true" applyFill="false" applyFont="false" applyNumberFormat="true" borderId="7370" fillId="0" fontId="1" numFmtId="1000" quotePrefix="false">
      <alignment horizontal="center" vertical="top"/>
    </xf>
    <xf applyAlignment="true" applyBorder="true" applyFill="false" applyFont="false" applyNumberFormat="true" borderId="7371" fillId="0" fontId="1" numFmtId="1000" quotePrefix="false">
      <alignment horizontal="center" vertical="top"/>
    </xf>
    <xf applyAlignment="true" applyBorder="true" applyFill="false" applyFont="false" applyNumberFormat="true" borderId="7372" fillId="0" fontId="1" numFmtId="1000" quotePrefix="false">
      <alignment horizontal="center" vertical="top"/>
    </xf>
    <xf applyAlignment="true" applyBorder="true" applyFill="false" applyFont="false" applyNumberFormat="true" borderId="7373" fillId="0" fontId="1" numFmtId="1000" quotePrefix="false">
      <alignment horizontal="center" vertical="top"/>
    </xf>
    <xf applyAlignment="true" applyBorder="true" applyFill="false" applyFont="false" applyNumberFormat="true" borderId="7374" fillId="0" fontId="1" numFmtId="1000" quotePrefix="false">
      <alignment horizontal="center" vertical="top"/>
    </xf>
    <xf applyAlignment="true" applyBorder="true" applyFill="false" applyFont="false" applyNumberFormat="true" borderId="7375" fillId="0" fontId="1" numFmtId="1000" quotePrefix="false">
      <alignment horizontal="center" vertical="top"/>
    </xf>
    <xf applyAlignment="true" applyBorder="true" applyFill="false" applyFont="false" applyNumberFormat="true" borderId="7376" fillId="0" fontId="1" numFmtId="1000" quotePrefix="false">
      <alignment horizontal="center" vertical="top"/>
    </xf>
    <xf applyAlignment="true" applyBorder="true" applyFill="false" applyFont="false" applyNumberFormat="true" borderId="7377" fillId="0" fontId="1" numFmtId="1000" quotePrefix="false">
      <alignment horizontal="center" vertical="top"/>
    </xf>
    <xf applyAlignment="true" applyBorder="true" applyFill="false" applyFont="false" applyNumberFormat="true" borderId="7378" fillId="0" fontId="1" numFmtId="1000" quotePrefix="false">
      <alignment horizontal="center" vertical="top"/>
    </xf>
    <xf applyAlignment="true" applyBorder="true" applyFill="false" applyFont="false" applyNumberFormat="true" borderId="7379" fillId="0" fontId="1" numFmtId="1000" quotePrefix="false">
      <alignment horizontal="center" vertical="top"/>
    </xf>
    <xf applyAlignment="true" applyBorder="true" applyFill="false" applyFont="false" applyNumberFormat="true" borderId="7380" fillId="0" fontId="1" numFmtId="1000" quotePrefix="false">
      <alignment horizontal="center" vertical="top"/>
    </xf>
    <xf applyAlignment="true" applyBorder="true" applyFill="false" applyFont="false" applyNumberFormat="true" borderId="7381" fillId="0" fontId="1" numFmtId="1000" quotePrefix="false">
      <alignment horizontal="center" vertical="top"/>
    </xf>
    <xf applyAlignment="true" applyBorder="true" applyFill="false" applyFont="false" applyNumberFormat="true" borderId="7382" fillId="0" fontId="1" numFmtId="1000" quotePrefix="false">
      <alignment horizontal="center" vertical="top"/>
    </xf>
    <xf applyAlignment="true" applyBorder="true" applyFill="false" applyFont="false" applyNumberFormat="true" borderId="7383" fillId="0" fontId="1" numFmtId="1000" quotePrefix="false">
      <alignment horizontal="center" vertical="top"/>
    </xf>
    <xf applyAlignment="true" applyBorder="true" applyFill="false" applyFont="false" applyNumberFormat="true" borderId="7384" fillId="0" fontId="1" numFmtId="1000" quotePrefix="false">
      <alignment horizontal="center" vertical="top"/>
    </xf>
    <xf applyAlignment="true" applyBorder="true" applyFill="false" applyFont="false" applyNumberFormat="true" borderId="7385" fillId="0" fontId="1" numFmtId="1000" quotePrefix="false">
      <alignment horizontal="center" vertical="top"/>
    </xf>
    <xf applyAlignment="true" applyBorder="true" applyFill="false" applyFont="false" applyNumberFormat="true" borderId="7386" fillId="0" fontId="1" numFmtId="1000" quotePrefix="false">
      <alignment horizontal="center" vertical="top"/>
    </xf>
    <xf applyAlignment="true" applyBorder="true" applyFill="false" applyFont="false" applyNumberFormat="true" borderId="7387" fillId="0" fontId="1" numFmtId="1000" quotePrefix="false">
      <alignment horizontal="center" vertical="top"/>
    </xf>
    <xf applyAlignment="true" applyBorder="true" applyFill="false" applyFont="true" applyNumberFormat="true" borderId="7388" fillId="0" fontId="2" numFmtId="1000" quotePrefix="false">
      <alignment horizontal="center" vertical="top"/>
    </xf>
    <xf applyAlignment="true" applyBorder="true" applyFill="false" applyFont="false" applyNumberFormat="true" borderId="7389" fillId="0" fontId="1" numFmtId="1000" quotePrefix="false">
      <alignment horizontal="left" vertical="top"/>
    </xf>
    <xf applyAlignment="true" applyBorder="true" applyFill="false" applyFont="false" applyNumberFormat="true" borderId="7390" fillId="0" fontId="1" numFmtId="1000" quotePrefix="false">
      <alignment horizontal="left" vertical="top"/>
    </xf>
    <xf applyAlignment="true" applyBorder="true" applyFill="false" applyFont="false" applyNumberFormat="true" borderId="7391" fillId="0" fontId="1" numFmtId="1000" quotePrefix="false">
      <alignment horizontal="left" vertical="top"/>
    </xf>
    <xf applyAlignment="true" applyBorder="true" applyFill="false" applyFont="false" applyNumberFormat="true" borderId="7392" fillId="0" fontId="1" numFmtId="1000" quotePrefix="false">
      <alignment horizontal="left" vertical="top"/>
    </xf>
    <xf applyAlignment="true" applyBorder="true" applyFill="false" applyFont="false" applyNumberFormat="true" borderId="7393" fillId="0" fontId="1" numFmtId="1000" quotePrefix="false">
      <alignment horizontal="left" vertical="top"/>
    </xf>
    <xf applyAlignment="true" applyBorder="true" applyFill="false" applyFont="false" applyNumberFormat="true" borderId="7394" fillId="0" fontId="1" numFmtId="1000" quotePrefix="false">
      <alignment horizontal="left" vertical="top"/>
    </xf>
    <xf applyAlignment="true" applyBorder="true" applyFill="false" applyFont="false" applyNumberFormat="true" borderId="7395" fillId="0" fontId="1" numFmtId="1000" quotePrefix="false">
      <alignment horizontal="left" vertical="top"/>
    </xf>
    <xf applyAlignment="true" applyBorder="true" applyFill="false" applyFont="false" applyNumberFormat="true" borderId="7396" fillId="0" fontId="1" numFmtId="1000" quotePrefix="false">
      <alignment horizontal="left" vertical="top"/>
    </xf>
    <xf applyAlignment="true" applyBorder="true" applyFill="false" applyFont="false" applyNumberFormat="true" borderId="7397" fillId="0" fontId="1" numFmtId="1000" quotePrefix="false">
      <alignment horizontal="left" vertical="top"/>
    </xf>
    <xf applyAlignment="true" applyBorder="true" applyFill="false" applyFont="false" applyNumberFormat="true" borderId="7398" fillId="0" fontId="1" numFmtId="1000" quotePrefix="false">
      <alignment horizontal="left" vertical="top"/>
    </xf>
    <xf applyAlignment="true" applyBorder="true" applyFill="false" applyFont="false" applyNumberFormat="true" borderId="7399" fillId="0" fontId="1" numFmtId="1000" quotePrefix="false">
      <alignment horizontal="left" vertical="top"/>
    </xf>
    <xf applyAlignment="true" applyBorder="true" applyFill="false" applyFont="false" applyNumberFormat="true" borderId="7400" fillId="0" fontId="1" numFmtId="1000" quotePrefix="false">
      <alignment horizontal="left" vertical="top"/>
    </xf>
    <xf applyAlignment="true" applyBorder="true" applyFill="false" applyFont="false" applyNumberFormat="true" borderId="7401" fillId="0" fontId="1" numFmtId="1000" quotePrefix="false">
      <alignment horizontal="left" vertical="top"/>
    </xf>
    <xf applyAlignment="true" applyBorder="true" applyFill="false" applyFont="false" applyNumberFormat="true" borderId="7402" fillId="0" fontId="1" numFmtId="1000" quotePrefix="false">
      <alignment horizontal="left" vertical="top"/>
    </xf>
    <xf applyAlignment="true" applyBorder="true" applyFill="false" applyFont="false" applyNumberFormat="true" borderId="7403" fillId="0" fontId="1" numFmtId="1000" quotePrefix="false">
      <alignment horizontal="left" vertical="top"/>
    </xf>
    <xf applyAlignment="true" applyBorder="true" applyFill="false" applyFont="false" applyNumberFormat="true" borderId="7404" fillId="0" fontId="1" numFmtId="1000" quotePrefix="false">
      <alignment horizontal="left" vertical="top"/>
    </xf>
    <xf applyAlignment="true" applyBorder="true" applyFill="false" applyFont="false" applyNumberFormat="true" borderId="7405" fillId="0" fontId="1" numFmtId="1000" quotePrefix="false">
      <alignment horizontal="left" vertical="top"/>
    </xf>
    <xf applyAlignment="true" applyBorder="true" applyFill="false" applyFont="false" applyNumberFormat="true" borderId="7406" fillId="0" fontId="1" numFmtId="1000" quotePrefix="false">
      <alignment horizontal="left" vertical="top"/>
    </xf>
    <xf applyAlignment="true" applyBorder="true" applyFill="false" applyFont="false" applyNumberFormat="true" borderId="7407" fillId="0" fontId="1" numFmtId="1000" quotePrefix="false">
      <alignment horizontal="left" vertical="top"/>
    </xf>
    <xf applyAlignment="true" applyBorder="true" applyFill="false" applyFont="true" applyNumberFormat="true" borderId="7408" fillId="0" fontId="2" numFmtId="1001" quotePrefix="false">
      <alignment horizontal="center"/>
    </xf>
    <xf applyAlignment="true" applyBorder="true" applyFill="false" applyFont="true" applyNumberFormat="true" borderId="7409" fillId="0" fontId="2" numFmtId="1001" quotePrefix="false">
      <alignment horizontal="center"/>
    </xf>
    <xf applyAlignment="true" applyBorder="true" applyFill="false" applyFont="true" applyNumberFormat="true" borderId="7410" fillId="0" fontId="2" numFmtId="1001" quotePrefix="false">
      <alignment horizontal="center"/>
    </xf>
    <xf applyAlignment="true" applyBorder="true" applyFill="false" applyFont="false" applyNumberFormat="true" borderId="7411" fillId="0" fontId="1" numFmtId="1000" quotePrefix="false">
      <alignment horizontal="center" vertical="top"/>
    </xf>
    <xf applyAlignment="true" applyBorder="true" applyFill="false" applyFont="false" applyNumberFormat="true" borderId="7412" fillId="0" fontId="1" numFmtId="1000" quotePrefix="false">
      <alignment horizontal="center" vertical="top"/>
    </xf>
    <xf applyAlignment="true" applyBorder="true" applyFill="false" applyFont="false" applyNumberFormat="true" borderId="7413" fillId="0" fontId="1" numFmtId="1000" quotePrefix="false">
      <alignment horizontal="center" vertical="top"/>
    </xf>
    <xf applyAlignment="true" applyBorder="true" applyFill="false" applyFont="false" applyNumberFormat="true" borderId="7414" fillId="0" fontId="1" numFmtId="1000" quotePrefix="false">
      <alignment horizontal="center" vertical="top"/>
    </xf>
    <xf applyAlignment="true" applyBorder="true" applyFill="false" applyFont="false" applyNumberFormat="true" borderId="7415" fillId="0" fontId="1" numFmtId="1000" quotePrefix="false">
      <alignment horizontal="center" vertical="top"/>
    </xf>
    <xf applyAlignment="true" applyBorder="true" applyFill="false" applyFont="false" applyNumberFormat="true" borderId="7416" fillId="0" fontId="1" numFmtId="1000" quotePrefix="false">
      <alignment horizontal="center" vertical="top"/>
    </xf>
    <xf applyAlignment="true" applyBorder="true" applyFill="false" applyFont="false" applyNumberFormat="true" borderId="7417" fillId="0" fontId="1" numFmtId="1000" quotePrefix="false">
      <alignment horizontal="center" vertical="top"/>
    </xf>
    <xf applyAlignment="true" applyBorder="true" applyFill="false" applyFont="false" applyNumberFormat="true" borderId="7418" fillId="0" fontId="1" numFmtId="1000" quotePrefix="false">
      <alignment horizontal="center" vertical="top"/>
    </xf>
    <xf applyAlignment="true" applyBorder="true" applyFill="false" applyFont="false" applyNumberFormat="true" borderId="7419" fillId="0" fontId="1" numFmtId="1000" quotePrefix="false">
      <alignment horizontal="center" vertical="top"/>
    </xf>
    <xf applyAlignment="true" applyBorder="true" applyFill="false" applyFont="false" applyNumberFormat="true" borderId="7420" fillId="0" fontId="1" numFmtId="1000" quotePrefix="false">
      <alignment horizontal="center" vertical="top"/>
    </xf>
    <xf applyAlignment="true" applyBorder="true" applyFill="false" applyFont="false" applyNumberFormat="true" borderId="7421" fillId="0" fontId="1" numFmtId="1000" quotePrefix="false">
      <alignment horizontal="center" vertical="top"/>
    </xf>
    <xf applyAlignment="true" applyBorder="true" applyFill="false" applyFont="false" applyNumberFormat="true" borderId="7422" fillId="0" fontId="1" numFmtId="1000" quotePrefix="false">
      <alignment horizontal="center" vertical="top"/>
    </xf>
    <xf applyAlignment="true" applyBorder="true" applyFill="false" applyFont="false" applyNumberFormat="true" borderId="7423" fillId="0" fontId="1" numFmtId="1000" quotePrefix="false">
      <alignment horizontal="center" vertical="top"/>
    </xf>
    <xf applyAlignment="true" applyBorder="true" applyFill="false" applyFont="false" applyNumberFormat="true" borderId="7424" fillId="0" fontId="1" numFmtId="1000" quotePrefix="false">
      <alignment horizontal="center" vertical="top"/>
    </xf>
    <xf applyAlignment="true" applyBorder="true" applyFill="false" applyFont="false" applyNumberFormat="true" borderId="7425" fillId="0" fontId="1" numFmtId="1000" quotePrefix="false">
      <alignment horizontal="center" vertical="top"/>
    </xf>
    <xf applyAlignment="true" applyBorder="true" applyFill="false" applyFont="false" applyNumberFormat="true" borderId="7426" fillId="0" fontId="1" numFmtId="1000" quotePrefix="false">
      <alignment horizontal="center" vertical="top"/>
    </xf>
    <xf applyAlignment="true" applyBorder="true" applyFill="false" applyFont="false" applyNumberFormat="true" borderId="7427" fillId="0" fontId="1" numFmtId="1000" quotePrefix="false">
      <alignment horizontal="center" vertical="top"/>
    </xf>
    <xf applyAlignment="true" applyBorder="true" applyFill="false" applyFont="false" applyNumberFormat="true" borderId="7428" fillId="0" fontId="1" numFmtId="1000" quotePrefix="false">
      <alignment horizontal="center" vertical="top"/>
    </xf>
    <xf applyAlignment="true" applyBorder="true" applyFill="false" applyFont="false" applyNumberFormat="true" borderId="7429" fillId="0" fontId="1" numFmtId="1000" quotePrefix="false">
      <alignment horizontal="center" vertical="top"/>
    </xf>
    <xf applyAlignment="true" applyBorder="true" applyFill="false" applyFont="false" applyNumberFormat="true" borderId="7430" fillId="0" fontId="1" numFmtId="1000" quotePrefix="false">
      <alignment horizontal="center" vertical="top"/>
    </xf>
    <xf applyAlignment="true" applyBorder="true" applyFill="false" applyFont="false" applyNumberFormat="true" borderId="7431" fillId="0" fontId="1" numFmtId="1000" quotePrefix="false">
      <alignment horizontal="center" vertical="top"/>
    </xf>
    <xf applyAlignment="true" applyBorder="true" applyFill="false" applyFont="false" applyNumberFormat="true" borderId="7432" fillId="0" fontId="1" numFmtId="1000" quotePrefix="false">
      <alignment horizontal="center" vertical="top"/>
    </xf>
    <xf applyAlignment="true" applyBorder="true" applyFill="false" applyFont="false" applyNumberFormat="true" borderId="7433" fillId="0" fontId="1" numFmtId="1000" quotePrefix="false">
      <alignment horizontal="center" vertical="top"/>
    </xf>
    <xf applyAlignment="true" applyBorder="true" applyFill="false" applyFont="false" applyNumberFormat="true" borderId="7434" fillId="0" fontId="1" numFmtId="1000" quotePrefix="false">
      <alignment horizontal="center" vertical="top"/>
    </xf>
    <xf applyAlignment="true" applyBorder="true" applyFill="false" applyFont="false" applyNumberFormat="true" borderId="7435" fillId="0" fontId="1" numFmtId="1000" quotePrefix="false">
      <alignment horizontal="center" vertical="top"/>
    </xf>
    <xf applyAlignment="true" applyBorder="true" applyFill="false" applyFont="false" applyNumberFormat="true" borderId="7436" fillId="0" fontId="1" numFmtId="1000" quotePrefix="false">
      <alignment horizontal="center" vertical="top"/>
    </xf>
    <xf applyAlignment="true" applyBorder="true" applyFill="false" applyFont="false" applyNumberFormat="true" borderId="7437" fillId="0" fontId="1" numFmtId="1000" quotePrefix="false">
      <alignment horizontal="center" vertical="top"/>
    </xf>
    <xf applyAlignment="true" applyBorder="true" applyFill="false" applyFont="false" applyNumberFormat="true" borderId="7438" fillId="0" fontId="1" numFmtId="1000" quotePrefix="false">
      <alignment horizontal="center" vertical="top"/>
    </xf>
    <xf applyAlignment="true" applyBorder="true" applyFill="false" applyFont="false" applyNumberFormat="true" borderId="7439" fillId="0" fontId="1" numFmtId="1000" quotePrefix="false">
      <alignment horizontal="center" vertical="top"/>
    </xf>
    <xf applyAlignment="true" applyBorder="true" applyFill="false" applyFont="false" applyNumberFormat="true" borderId="7440" fillId="0" fontId="1" numFmtId="1000" quotePrefix="false">
      <alignment horizontal="center" vertical="top"/>
    </xf>
    <xf applyAlignment="true" applyBorder="true" applyFill="false" applyFont="false" applyNumberFormat="true" borderId="7441" fillId="0" fontId="1" numFmtId="1000" quotePrefix="false">
      <alignment horizontal="center" vertical="top"/>
    </xf>
    <xf applyAlignment="true" applyBorder="true" applyFill="false" applyFont="false" applyNumberFormat="true" borderId="7442" fillId="0" fontId="1" numFmtId="1000" quotePrefix="false">
      <alignment horizontal="center" vertical="top"/>
    </xf>
    <xf applyAlignment="true" applyBorder="true" applyFill="false" applyFont="false" applyNumberFormat="true" borderId="7443" fillId="0" fontId="1" numFmtId="1000" quotePrefix="false">
      <alignment horizontal="center" vertical="top"/>
    </xf>
    <xf applyAlignment="true" applyBorder="true" applyFill="false" applyFont="true" applyNumberFormat="true" borderId="7444" fillId="0" fontId="2" numFmtId="1000" quotePrefix="false">
      <alignment horizontal="center" vertical="top"/>
    </xf>
    <xf applyAlignment="true" applyBorder="true" applyFill="false" applyFont="false" applyNumberFormat="true" borderId="7445" fillId="0" fontId="1" numFmtId="1000" quotePrefix="false">
      <alignment horizontal="left" vertical="top"/>
    </xf>
    <xf applyAlignment="true" applyBorder="true" applyFill="false" applyFont="false" applyNumberFormat="true" borderId="7446" fillId="0" fontId="1" numFmtId="1000" quotePrefix="false">
      <alignment horizontal="left" vertical="top"/>
    </xf>
    <xf applyAlignment="true" applyBorder="true" applyFill="false" applyFont="false" applyNumberFormat="true" borderId="7447" fillId="0" fontId="1" numFmtId="1000" quotePrefix="false">
      <alignment horizontal="left" vertical="top"/>
    </xf>
    <xf applyAlignment="true" applyBorder="true" applyFill="false" applyFont="false" applyNumberFormat="true" borderId="7448" fillId="0" fontId="1" numFmtId="1000" quotePrefix="false">
      <alignment horizontal="left" vertical="top"/>
    </xf>
    <xf applyAlignment="true" applyBorder="true" applyFill="false" applyFont="false" applyNumberFormat="true" borderId="7449" fillId="0" fontId="1" numFmtId="1000" quotePrefix="false">
      <alignment horizontal="left" vertical="top"/>
    </xf>
    <xf applyAlignment="true" applyBorder="true" applyFill="false" applyFont="false" applyNumberFormat="true" borderId="7450" fillId="0" fontId="1" numFmtId="1000" quotePrefix="false">
      <alignment horizontal="left" vertical="top"/>
    </xf>
    <xf applyAlignment="true" applyBorder="true" applyFill="false" applyFont="false" applyNumberFormat="true" borderId="7451" fillId="0" fontId="1" numFmtId="1000" quotePrefix="false">
      <alignment horizontal="left" vertical="top"/>
    </xf>
    <xf applyAlignment="true" applyBorder="true" applyFill="false" applyFont="false" applyNumberFormat="true" borderId="7452" fillId="0" fontId="1" numFmtId="1000" quotePrefix="false">
      <alignment horizontal="left" vertical="top"/>
    </xf>
    <xf applyAlignment="true" applyBorder="true" applyFill="false" applyFont="false" applyNumberFormat="true" borderId="7453" fillId="0" fontId="1" numFmtId="1000" quotePrefix="false">
      <alignment horizontal="left" vertical="top"/>
    </xf>
    <xf applyAlignment="true" applyBorder="true" applyFill="false" applyFont="false" applyNumberFormat="true" borderId="7454" fillId="0" fontId="1" numFmtId="1000" quotePrefix="false">
      <alignment horizontal="left" vertical="top"/>
    </xf>
    <xf applyAlignment="true" applyBorder="true" applyFill="false" applyFont="false" applyNumberFormat="true" borderId="7455" fillId="0" fontId="1" numFmtId="1000" quotePrefix="false">
      <alignment horizontal="left" vertical="top"/>
    </xf>
    <xf applyAlignment="true" applyBorder="true" applyFill="false" applyFont="false" applyNumberFormat="true" borderId="7456" fillId="0" fontId="1" numFmtId="1000" quotePrefix="false">
      <alignment horizontal="left" vertical="top"/>
    </xf>
    <xf applyAlignment="true" applyBorder="true" applyFill="false" applyFont="false" applyNumberFormat="true" borderId="7457" fillId="0" fontId="1" numFmtId="1000" quotePrefix="false">
      <alignment horizontal="left" vertical="top"/>
    </xf>
    <xf applyAlignment="true" applyBorder="true" applyFill="false" applyFont="false" applyNumberFormat="true" borderId="7458" fillId="0" fontId="1" numFmtId="1000" quotePrefix="false">
      <alignment horizontal="left" vertical="top"/>
    </xf>
    <xf applyAlignment="true" applyBorder="true" applyFill="false" applyFont="false" applyNumberFormat="true" borderId="7459" fillId="0" fontId="1" numFmtId="1000" quotePrefix="false">
      <alignment horizontal="left" vertical="top"/>
    </xf>
    <xf applyAlignment="true" applyBorder="true" applyFill="false" applyFont="false" applyNumberFormat="true" borderId="7460" fillId="0" fontId="1" numFmtId="1000" quotePrefix="false">
      <alignment horizontal="left" vertical="top"/>
    </xf>
    <xf applyAlignment="true" applyBorder="true" applyFill="false" applyFont="false" applyNumberFormat="true" borderId="7461" fillId="0" fontId="1" numFmtId="1000" quotePrefix="false">
      <alignment horizontal="left" vertical="top"/>
    </xf>
    <xf applyAlignment="true" applyBorder="true" applyFill="false" applyFont="false" applyNumberFormat="true" borderId="7462" fillId="0" fontId="1" numFmtId="1000" quotePrefix="false">
      <alignment horizontal="left" vertical="top"/>
    </xf>
    <xf applyAlignment="true" applyBorder="true" applyFill="false" applyFont="false" applyNumberFormat="true" borderId="7463" fillId="0" fontId="1" numFmtId="1000" quotePrefix="false">
      <alignment horizontal="left" vertical="top"/>
    </xf>
    <xf applyAlignment="true" applyBorder="true" applyFill="false" applyFont="true" applyNumberFormat="true" borderId="7464" fillId="0" fontId="2" numFmtId="1001" quotePrefix="false">
      <alignment horizontal="center"/>
    </xf>
    <xf applyAlignment="true" applyBorder="true" applyFill="false" applyFont="true" applyNumberFormat="true" borderId="7465" fillId="0" fontId="2" numFmtId="1001" quotePrefix="false">
      <alignment horizontal="center"/>
    </xf>
    <xf applyAlignment="true" applyBorder="true" applyFill="false" applyFont="true" applyNumberFormat="true" borderId="7466" fillId="0" fontId="2" numFmtId="1001" quotePrefix="false">
      <alignment horizontal="center"/>
    </xf>
    <xf applyAlignment="true" applyBorder="true" applyFill="false" applyFont="false" applyNumberFormat="true" borderId="7467" fillId="0" fontId="1" numFmtId="1000" quotePrefix="false">
      <alignment horizontal="center" vertical="top"/>
    </xf>
    <xf applyAlignment="true" applyBorder="true" applyFill="false" applyFont="false" applyNumberFormat="true" borderId="7468" fillId="0" fontId="1" numFmtId="1000" quotePrefix="false">
      <alignment horizontal="center" vertical="top"/>
    </xf>
    <xf applyAlignment="true" applyBorder="true" applyFill="false" applyFont="false" applyNumberFormat="true" borderId="7469" fillId="0" fontId="1" numFmtId="1000" quotePrefix="false">
      <alignment horizontal="center" vertical="top"/>
    </xf>
    <xf applyAlignment="true" applyBorder="true" applyFill="false" applyFont="false" applyNumberFormat="true" borderId="7470" fillId="0" fontId="1" numFmtId="1000" quotePrefix="false">
      <alignment horizontal="center" vertical="top"/>
    </xf>
    <xf applyAlignment="true" applyBorder="true" applyFill="false" applyFont="false" applyNumberFormat="true" borderId="7471" fillId="0" fontId="1" numFmtId="1000" quotePrefix="false">
      <alignment horizontal="center" vertical="top"/>
    </xf>
    <xf applyAlignment="true" applyBorder="true" applyFill="false" applyFont="false" applyNumberFormat="true" borderId="7472" fillId="0" fontId="1" numFmtId="1000" quotePrefix="false">
      <alignment horizontal="center" vertical="top"/>
    </xf>
    <xf applyAlignment="true" applyBorder="true" applyFill="false" applyFont="false" applyNumberFormat="true" borderId="7473" fillId="0" fontId="1" numFmtId="1000" quotePrefix="false">
      <alignment horizontal="center" vertical="top"/>
    </xf>
    <xf applyAlignment="true" applyBorder="true" applyFill="false" applyFont="false" applyNumberFormat="true" borderId="7474" fillId="0" fontId="1" numFmtId="1000" quotePrefix="false">
      <alignment horizontal="center" vertical="top"/>
    </xf>
    <xf applyAlignment="true" applyBorder="true" applyFill="false" applyFont="false" applyNumberFormat="true" borderId="7475" fillId="0" fontId="1" numFmtId="1000" quotePrefix="false">
      <alignment horizontal="center" vertical="top"/>
    </xf>
    <xf applyAlignment="true" applyBorder="true" applyFill="false" applyFont="false" applyNumberFormat="true" borderId="7476" fillId="0" fontId="1" numFmtId="1000" quotePrefix="false">
      <alignment horizontal="center" vertical="top"/>
    </xf>
    <xf applyAlignment="true" applyBorder="true" applyFill="false" applyFont="false" applyNumberFormat="true" borderId="7477" fillId="0" fontId="1" numFmtId="1000" quotePrefix="false">
      <alignment horizontal="center" vertical="top"/>
    </xf>
    <xf applyAlignment="true" applyBorder="true" applyFill="false" applyFont="false" applyNumberFormat="true" borderId="7478" fillId="0" fontId="1" numFmtId="1000" quotePrefix="false">
      <alignment horizontal="center" vertical="top"/>
    </xf>
    <xf applyAlignment="true" applyBorder="true" applyFill="false" applyFont="false" applyNumberFormat="true" borderId="7479" fillId="0" fontId="1" numFmtId="1000" quotePrefix="false">
      <alignment horizontal="center" vertical="top"/>
    </xf>
    <xf applyAlignment="true" applyBorder="true" applyFill="false" applyFont="false" applyNumberFormat="true" borderId="7480" fillId="0" fontId="1" numFmtId="1000" quotePrefix="false">
      <alignment horizontal="center" vertical="top"/>
    </xf>
    <xf applyAlignment="true" applyBorder="true" applyFill="false" applyFont="false" applyNumberFormat="true" borderId="7481" fillId="0" fontId="1" numFmtId="1000" quotePrefix="false">
      <alignment horizontal="center" vertical="top"/>
    </xf>
    <xf applyAlignment="true" applyBorder="true" applyFill="false" applyFont="false" applyNumberFormat="true" borderId="7482" fillId="0" fontId="1" numFmtId="1000" quotePrefix="false">
      <alignment horizontal="center" vertical="top"/>
    </xf>
    <xf applyAlignment="true" applyBorder="true" applyFill="false" applyFont="false" applyNumberFormat="true" borderId="7483" fillId="0" fontId="1" numFmtId="1000" quotePrefix="false">
      <alignment horizontal="center" vertical="top"/>
    </xf>
    <xf applyAlignment="true" applyBorder="true" applyFill="false" applyFont="false" applyNumberFormat="true" borderId="7484" fillId="0" fontId="1" numFmtId="1000" quotePrefix="false">
      <alignment horizontal="center" vertical="top"/>
    </xf>
    <xf applyAlignment="true" applyBorder="true" applyFill="false" applyFont="false" applyNumberFormat="true" borderId="7485" fillId="0" fontId="1" numFmtId="1000" quotePrefix="false">
      <alignment horizontal="center" vertical="top"/>
    </xf>
    <xf applyAlignment="true" applyBorder="true" applyFill="false" applyFont="false" applyNumberFormat="true" borderId="7486" fillId="0" fontId="1" numFmtId="1000" quotePrefix="false">
      <alignment horizontal="center" vertical="top"/>
    </xf>
    <xf applyAlignment="true" applyBorder="true" applyFill="false" applyFont="false" applyNumberFormat="true" borderId="7487" fillId="0" fontId="1" numFmtId="1000" quotePrefix="false">
      <alignment horizontal="center" vertical="top"/>
    </xf>
    <xf applyAlignment="true" applyBorder="true" applyFill="false" applyFont="false" applyNumberFormat="true" borderId="7488" fillId="0" fontId="1" numFmtId="1000" quotePrefix="false">
      <alignment horizontal="center" vertical="top"/>
    </xf>
    <xf applyAlignment="true" applyBorder="true" applyFill="false" applyFont="false" applyNumberFormat="true" borderId="7489" fillId="0" fontId="1" numFmtId="1000" quotePrefix="false">
      <alignment horizontal="center" vertical="top"/>
    </xf>
    <xf applyAlignment="true" applyBorder="true" applyFill="false" applyFont="false" applyNumberFormat="true" borderId="7490" fillId="0" fontId="1" numFmtId="1000" quotePrefix="false">
      <alignment horizontal="center" vertical="top"/>
    </xf>
    <xf applyAlignment="true" applyBorder="true" applyFill="false" applyFont="false" applyNumberFormat="true" borderId="7491" fillId="0" fontId="1" numFmtId="1000" quotePrefix="false">
      <alignment horizontal="center" vertical="top"/>
    </xf>
    <xf applyAlignment="true" applyBorder="true" applyFill="false" applyFont="false" applyNumberFormat="true" borderId="7492" fillId="0" fontId="1" numFmtId="1000" quotePrefix="false">
      <alignment horizontal="center" vertical="top"/>
    </xf>
    <xf applyAlignment="true" applyBorder="true" applyFill="false" applyFont="false" applyNumberFormat="true" borderId="7493" fillId="0" fontId="1" numFmtId="1000" quotePrefix="false">
      <alignment horizontal="center" vertical="top"/>
    </xf>
    <xf applyAlignment="true" applyBorder="true" applyFill="false" applyFont="false" applyNumberFormat="true" borderId="7494" fillId="0" fontId="1" numFmtId="1000" quotePrefix="false">
      <alignment horizontal="center" vertical="top"/>
    </xf>
    <xf applyAlignment="true" applyBorder="true" applyFill="false" applyFont="false" applyNumberFormat="true" borderId="7495" fillId="0" fontId="1" numFmtId="1000" quotePrefix="false">
      <alignment horizontal="center" vertical="top"/>
    </xf>
    <xf applyAlignment="true" applyBorder="true" applyFill="false" applyFont="false" applyNumberFormat="true" borderId="7496" fillId="0" fontId="1" numFmtId="1000" quotePrefix="false">
      <alignment horizontal="center" vertical="top"/>
    </xf>
    <xf applyAlignment="true" applyBorder="true" applyFill="false" applyFont="false" applyNumberFormat="true" borderId="7497" fillId="0" fontId="1" numFmtId="1000" quotePrefix="false">
      <alignment horizontal="center" vertical="top"/>
    </xf>
    <xf applyAlignment="true" applyBorder="true" applyFill="false" applyFont="false" applyNumberFormat="true" borderId="7498" fillId="0" fontId="1" numFmtId="1000" quotePrefix="false">
      <alignment horizontal="center" vertical="top"/>
    </xf>
    <xf applyAlignment="true" applyBorder="true" applyFill="false" applyFont="false" applyNumberFormat="true" borderId="7499" fillId="0" fontId="1" numFmtId="1000" quotePrefix="false">
      <alignment horizontal="center" vertical="top"/>
    </xf>
    <xf applyAlignment="true" applyBorder="true" applyFill="false" applyFont="true" applyNumberFormat="true" borderId="7500" fillId="0" fontId="2" numFmtId="1000" quotePrefix="false">
      <alignment horizontal="center" vertical="top"/>
    </xf>
    <xf applyAlignment="true" applyBorder="true" applyFill="false" applyFont="false" applyNumberFormat="true" borderId="7501" fillId="0" fontId="1" numFmtId="1000" quotePrefix="false">
      <alignment horizontal="left" vertical="top"/>
    </xf>
    <xf applyAlignment="true" applyBorder="true" applyFill="false" applyFont="false" applyNumberFormat="true" borderId="7502" fillId="0" fontId="1" numFmtId="1000" quotePrefix="false">
      <alignment horizontal="left" vertical="top"/>
    </xf>
    <xf applyAlignment="true" applyBorder="true" applyFill="false" applyFont="false" applyNumberFormat="true" borderId="7503" fillId="0" fontId="1" numFmtId="1000" quotePrefix="false">
      <alignment horizontal="left" vertical="top"/>
    </xf>
    <xf applyAlignment="true" applyBorder="true" applyFill="false" applyFont="false" applyNumberFormat="true" borderId="7504" fillId="0" fontId="1" numFmtId="1000" quotePrefix="false">
      <alignment horizontal="left" vertical="top"/>
    </xf>
    <xf applyAlignment="true" applyBorder="true" applyFill="false" applyFont="false" applyNumberFormat="true" borderId="7505" fillId="0" fontId="1" numFmtId="1000" quotePrefix="false">
      <alignment horizontal="left" vertical="top"/>
    </xf>
    <xf applyAlignment="true" applyBorder="true" applyFill="false" applyFont="false" applyNumberFormat="true" borderId="7506" fillId="0" fontId="1" numFmtId="1000" quotePrefix="false">
      <alignment horizontal="left" vertical="top"/>
    </xf>
    <xf applyAlignment="true" applyBorder="true" applyFill="false" applyFont="false" applyNumberFormat="true" borderId="7507" fillId="0" fontId="1" numFmtId="1000" quotePrefix="false">
      <alignment horizontal="left" vertical="top"/>
    </xf>
    <xf applyAlignment="true" applyBorder="true" applyFill="false" applyFont="false" applyNumberFormat="true" borderId="7508" fillId="0" fontId="1" numFmtId="1000" quotePrefix="false">
      <alignment horizontal="left" vertical="top"/>
    </xf>
    <xf applyAlignment="true" applyBorder="true" applyFill="false" applyFont="false" applyNumberFormat="true" borderId="7509" fillId="0" fontId="1" numFmtId="1000" quotePrefix="false">
      <alignment horizontal="left" vertical="top"/>
    </xf>
    <xf applyAlignment="true" applyBorder="true" applyFill="false" applyFont="false" applyNumberFormat="true" borderId="7510" fillId="0" fontId="1" numFmtId="1000" quotePrefix="false">
      <alignment horizontal="left" vertical="top"/>
    </xf>
    <xf applyAlignment="true" applyBorder="true" applyFill="false" applyFont="false" applyNumberFormat="true" borderId="7511" fillId="0" fontId="1" numFmtId="1000" quotePrefix="false">
      <alignment horizontal="left" vertical="top"/>
    </xf>
    <xf applyAlignment="true" applyBorder="true" applyFill="false" applyFont="false" applyNumberFormat="true" borderId="7512" fillId="0" fontId="1" numFmtId="1000" quotePrefix="false">
      <alignment horizontal="left" vertical="top"/>
    </xf>
    <xf applyAlignment="true" applyBorder="true" applyFill="false" applyFont="false" applyNumberFormat="true" borderId="7513" fillId="0" fontId="1" numFmtId="1000" quotePrefix="false">
      <alignment horizontal="left" vertical="top"/>
    </xf>
    <xf applyAlignment="true" applyBorder="true" applyFill="false" applyFont="false" applyNumberFormat="true" borderId="7514" fillId="0" fontId="1" numFmtId="1000" quotePrefix="false">
      <alignment horizontal="left" vertical="top"/>
    </xf>
    <xf applyAlignment="true" applyBorder="true" applyFill="false" applyFont="false" applyNumberFormat="true" borderId="7515" fillId="0" fontId="1" numFmtId="1000" quotePrefix="false">
      <alignment horizontal="left" vertical="top"/>
    </xf>
    <xf applyAlignment="true" applyBorder="true" applyFill="false" applyFont="false" applyNumberFormat="true" borderId="7516" fillId="0" fontId="1" numFmtId="1000" quotePrefix="false">
      <alignment horizontal="left" vertical="top"/>
    </xf>
    <xf applyAlignment="true" applyBorder="true" applyFill="false" applyFont="false" applyNumberFormat="true" borderId="7517" fillId="0" fontId="1" numFmtId="1000" quotePrefix="false">
      <alignment horizontal="left" vertical="top"/>
    </xf>
    <xf applyAlignment="true" applyBorder="true" applyFill="false" applyFont="false" applyNumberFormat="true" borderId="7518" fillId="0" fontId="1" numFmtId="1000" quotePrefix="false">
      <alignment horizontal="left" vertical="top"/>
    </xf>
    <xf applyAlignment="true" applyBorder="true" applyFill="false" applyFont="false" applyNumberFormat="true" borderId="7519" fillId="0" fontId="1" numFmtId="1000" quotePrefix="false">
      <alignment horizontal="left" vertical="top"/>
    </xf>
    <xf applyAlignment="true" applyBorder="true" applyFill="false" applyFont="true" applyNumberFormat="true" borderId="7520" fillId="0" fontId="2" numFmtId="1001" quotePrefix="false">
      <alignment horizontal="center"/>
    </xf>
    <xf applyAlignment="true" applyBorder="true" applyFill="false" applyFont="true" applyNumberFormat="true" borderId="7521" fillId="0" fontId="2" numFmtId="1001" quotePrefix="false">
      <alignment horizontal="center"/>
    </xf>
    <xf applyAlignment="true" applyBorder="true" applyFill="false" applyFont="true" applyNumberFormat="true" borderId="7522" fillId="0" fontId="2" numFmtId="1001" quotePrefix="false">
      <alignment horizontal="center"/>
    </xf>
    <xf applyAlignment="true" applyBorder="true" applyFill="false" applyFont="false" applyNumberFormat="true" borderId="7523" fillId="0" fontId="1" numFmtId="1000" quotePrefix="false">
      <alignment horizontal="center" vertical="top"/>
    </xf>
    <xf applyAlignment="true" applyBorder="true" applyFill="false" applyFont="false" applyNumberFormat="true" borderId="7524" fillId="0" fontId="1" numFmtId="1000" quotePrefix="false">
      <alignment horizontal="center" vertical="top"/>
    </xf>
    <xf applyAlignment="true" applyBorder="true" applyFill="false" applyFont="false" applyNumberFormat="true" borderId="7525" fillId="0" fontId="1" numFmtId="1000" quotePrefix="false">
      <alignment horizontal="center" vertical="top"/>
    </xf>
    <xf applyAlignment="true" applyBorder="true" applyFill="false" applyFont="false" applyNumberFormat="true" borderId="7526" fillId="0" fontId="1" numFmtId="1000" quotePrefix="false">
      <alignment horizontal="center" vertical="top"/>
    </xf>
    <xf applyAlignment="true" applyBorder="true" applyFill="false" applyFont="false" applyNumberFormat="true" borderId="7527" fillId="0" fontId="1" numFmtId="1000" quotePrefix="false">
      <alignment horizontal="center" vertical="top"/>
    </xf>
    <xf applyAlignment="true" applyBorder="true" applyFill="false" applyFont="false" applyNumberFormat="true" borderId="7528" fillId="0" fontId="1" numFmtId="1000" quotePrefix="false">
      <alignment horizontal="center" vertical="top"/>
    </xf>
    <xf applyAlignment="true" applyBorder="true" applyFill="false" applyFont="false" applyNumberFormat="true" borderId="7529" fillId="0" fontId="1" numFmtId="1000" quotePrefix="false">
      <alignment horizontal="center" vertical="top"/>
    </xf>
    <xf applyAlignment="true" applyBorder="true" applyFill="false" applyFont="false" applyNumberFormat="true" borderId="7530" fillId="0" fontId="1" numFmtId="1000" quotePrefix="false">
      <alignment horizontal="center" vertical="top"/>
    </xf>
    <xf applyAlignment="true" applyBorder="true" applyFill="false" applyFont="false" applyNumberFormat="true" borderId="7531" fillId="0" fontId="1" numFmtId="1000" quotePrefix="false">
      <alignment horizontal="center" vertical="top"/>
    </xf>
    <xf applyAlignment="true" applyBorder="true" applyFill="false" applyFont="false" applyNumberFormat="true" borderId="7532" fillId="0" fontId="1" numFmtId="1000" quotePrefix="false">
      <alignment horizontal="center" vertical="top"/>
    </xf>
    <xf applyAlignment="true" applyBorder="true" applyFill="false" applyFont="false" applyNumberFormat="true" borderId="7533" fillId="0" fontId="1" numFmtId="1000" quotePrefix="false">
      <alignment horizontal="center" vertical="top"/>
    </xf>
    <xf applyAlignment="true" applyBorder="true" applyFill="false" applyFont="false" applyNumberFormat="true" borderId="7534" fillId="0" fontId="1" numFmtId="1000" quotePrefix="false">
      <alignment horizontal="center" vertical="top"/>
    </xf>
    <xf applyAlignment="true" applyBorder="true" applyFill="false" applyFont="false" applyNumberFormat="true" borderId="7535" fillId="0" fontId="1" numFmtId="1000" quotePrefix="false">
      <alignment horizontal="center" vertical="top"/>
    </xf>
    <xf applyAlignment="true" applyBorder="true" applyFill="false" applyFont="false" applyNumberFormat="true" borderId="7536" fillId="0" fontId="1" numFmtId="1000" quotePrefix="false">
      <alignment horizontal="center" vertical="top"/>
    </xf>
    <xf applyAlignment="true" applyBorder="true" applyFill="false" applyFont="false" applyNumberFormat="true" borderId="7537" fillId="0" fontId="1" numFmtId="1000" quotePrefix="false">
      <alignment horizontal="center" vertical="top"/>
    </xf>
    <xf applyAlignment="true" applyBorder="true" applyFill="false" applyFont="false" applyNumberFormat="true" borderId="7538" fillId="0" fontId="1" numFmtId="1000" quotePrefix="false">
      <alignment horizontal="center" vertical="top"/>
    </xf>
    <xf applyAlignment="true" applyBorder="true" applyFill="false" applyFont="false" applyNumberFormat="true" borderId="7539" fillId="0" fontId="1" numFmtId="1000" quotePrefix="false">
      <alignment horizontal="center" vertical="top"/>
    </xf>
    <xf applyAlignment="true" applyBorder="true" applyFill="false" applyFont="false" applyNumberFormat="true" borderId="7540" fillId="0" fontId="1" numFmtId="1000" quotePrefix="false">
      <alignment horizontal="center" vertical="top"/>
    </xf>
    <xf applyAlignment="true" applyBorder="true" applyFill="false" applyFont="false" applyNumberFormat="true" borderId="7541" fillId="0" fontId="1" numFmtId="1000" quotePrefix="false">
      <alignment horizontal="center" vertical="top"/>
    </xf>
    <xf applyAlignment="true" applyBorder="true" applyFill="false" applyFont="false" applyNumberFormat="true" borderId="7542" fillId="0" fontId="1" numFmtId="1000" quotePrefix="false">
      <alignment horizontal="center" vertical="top"/>
    </xf>
    <xf applyAlignment="true" applyBorder="true" applyFill="false" applyFont="false" applyNumberFormat="true" borderId="7543" fillId="0" fontId="1" numFmtId="1000" quotePrefix="false">
      <alignment horizontal="center" vertical="top"/>
    </xf>
    <xf applyAlignment="true" applyBorder="true" applyFill="false" applyFont="false" applyNumberFormat="true" borderId="7544" fillId="0" fontId="1" numFmtId="1000" quotePrefix="false">
      <alignment horizontal="center" vertical="top"/>
    </xf>
    <xf applyAlignment="true" applyBorder="true" applyFill="false" applyFont="false" applyNumberFormat="true" borderId="7545" fillId="0" fontId="1" numFmtId="1000" quotePrefix="false">
      <alignment horizontal="center" vertical="top"/>
    </xf>
    <xf applyAlignment="true" applyBorder="true" applyFill="false" applyFont="false" applyNumberFormat="true" borderId="7546" fillId="0" fontId="1" numFmtId="1000" quotePrefix="false">
      <alignment horizontal="center" vertical="top"/>
    </xf>
    <xf applyAlignment="true" applyBorder="true" applyFill="false" applyFont="false" applyNumberFormat="true" borderId="7547" fillId="0" fontId="1" numFmtId="1000" quotePrefix="false">
      <alignment horizontal="center" vertical="top"/>
    </xf>
    <xf applyAlignment="true" applyBorder="true" applyFill="false" applyFont="false" applyNumberFormat="true" borderId="7548" fillId="0" fontId="1" numFmtId="1000" quotePrefix="false">
      <alignment horizontal="center" vertical="top"/>
    </xf>
    <xf applyAlignment="true" applyBorder="true" applyFill="false" applyFont="false" applyNumberFormat="true" borderId="7549" fillId="0" fontId="1" numFmtId="1000" quotePrefix="false">
      <alignment horizontal="center" vertical="top"/>
    </xf>
    <xf applyAlignment="true" applyBorder="true" applyFill="false" applyFont="false" applyNumberFormat="true" borderId="7550" fillId="0" fontId="1" numFmtId="1000" quotePrefix="false">
      <alignment horizontal="center" vertical="top"/>
    </xf>
    <xf applyAlignment="true" applyBorder="true" applyFill="false" applyFont="false" applyNumberFormat="true" borderId="7551" fillId="0" fontId="1" numFmtId="1000" quotePrefix="false">
      <alignment horizontal="center" vertical="top"/>
    </xf>
    <xf applyAlignment="true" applyBorder="true" applyFill="false" applyFont="false" applyNumberFormat="true" borderId="7552" fillId="0" fontId="1" numFmtId="1000" quotePrefix="false">
      <alignment horizontal="center" vertical="top"/>
    </xf>
    <xf applyAlignment="true" applyBorder="true" applyFill="false" applyFont="false" applyNumberFormat="true" borderId="7553" fillId="0" fontId="1" numFmtId="1000" quotePrefix="false">
      <alignment horizontal="center" vertical="top"/>
    </xf>
    <xf applyAlignment="true" applyBorder="true" applyFill="false" applyFont="false" applyNumberFormat="true" borderId="7554" fillId="0" fontId="1" numFmtId="1000" quotePrefix="false">
      <alignment horizontal="center" vertical="top"/>
    </xf>
    <xf applyAlignment="true" applyBorder="true" applyFill="false" applyFont="false" applyNumberFormat="true" borderId="7555" fillId="0" fontId="1" numFmtId="1000" quotePrefix="false">
      <alignment horizontal="center" vertical="top"/>
    </xf>
    <xf applyAlignment="true" applyBorder="true" applyFill="false" applyFont="true" applyNumberFormat="true" borderId="7556" fillId="0" fontId="2" numFmtId="1000" quotePrefix="false">
      <alignment horizontal="center" vertical="top"/>
    </xf>
    <xf applyAlignment="true" applyBorder="true" applyFill="false" applyFont="false" applyNumberFormat="true" borderId="7557" fillId="0" fontId="1" numFmtId="1000" quotePrefix="false">
      <alignment horizontal="left" vertical="top"/>
    </xf>
    <xf applyAlignment="true" applyBorder="true" applyFill="false" applyFont="false" applyNumberFormat="true" borderId="7558" fillId="0" fontId="1" numFmtId="1000" quotePrefix="false">
      <alignment horizontal="left" vertical="top"/>
    </xf>
    <xf applyAlignment="true" applyBorder="true" applyFill="false" applyFont="false" applyNumberFormat="true" borderId="7559" fillId="0" fontId="1" numFmtId="1000" quotePrefix="false">
      <alignment horizontal="left" vertical="top"/>
    </xf>
    <xf applyAlignment="true" applyBorder="true" applyFill="false" applyFont="false" applyNumberFormat="true" borderId="7560" fillId="0" fontId="1" numFmtId="1000" quotePrefix="false">
      <alignment horizontal="left" vertical="top"/>
    </xf>
    <xf applyAlignment="true" applyBorder="true" applyFill="false" applyFont="false" applyNumberFormat="true" borderId="7561" fillId="0" fontId="1" numFmtId="1000" quotePrefix="false">
      <alignment horizontal="left" vertical="top"/>
    </xf>
    <xf applyAlignment="true" applyBorder="true" applyFill="false" applyFont="false" applyNumberFormat="true" borderId="7562" fillId="0" fontId="1" numFmtId="1000" quotePrefix="false">
      <alignment horizontal="left" vertical="top"/>
    </xf>
    <xf applyAlignment="true" applyBorder="true" applyFill="false" applyFont="false" applyNumberFormat="true" borderId="7563" fillId="0" fontId="1" numFmtId="1000" quotePrefix="false">
      <alignment horizontal="left" vertical="top"/>
    </xf>
    <xf applyAlignment="true" applyBorder="true" applyFill="false" applyFont="false" applyNumberFormat="true" borderId="7564" fillId="0" fontId="1" numFmtId="1000" quotePrefix="false">
      <alignment horizontal="left" vertical="top"/>
    </xf>
    <xf applyAlignment="true" applyBorder="true" applyFill="false" applyFont="false" applyNumberFormat="true" borderId="7565" fillId="0" fontId="1" numFmtId="1000" quotePrefix="false">
      <alignment horizontal="left" vertical="top"/>
    </xf>
    <xf applyAlignment="true" applyBorder="true" applyFill="false" applyFont="false" applyNumberFormat="true" borderId="7566" fillId="0" fontId="1" numFmtId="1000" quotePrefix="false">
      <alignment horizontal="left" vertical="top"/>
    </xf>
    <xf applyAlignment="true" applyBorder="true" applyFill="false" applyFont="false" applyNumberFormat="true" borderId="7567" fillId="0" fontId="1" numFmtId="1000" quotePrefix="false">
      <alignment horizontal="left" vertical="top"/>
    </xf>
    <xf applyAlignment="true" applyBorder="true" applyFill="false" applyFont="false" applyNumberFormat="true" borderId="7568" fillId="0" fontId="1" numFmtId="1000" quotePrefix="false">
      <alignment horizontal="left" vertical="top"/>
    </xf>
    <xf applyAlignment="true" applyBorder="true" applyFill="false" applyFont="false" applyNumberFormat="true" borderId="7569" fillId="0" fontId="1" numFmtId="1000" quotePrefix="false">
      <alignment horizontal="left" vertical="top"/>
    </xf>
    <xf applyAlignment="true" applyBorder="true" applyFill="false" applyFont="false" applyNumberFormat="true" borderId="7570" fillId="0" fontId="1" numFmtId="1000" quotePrefix="false">
      <alignment horizontal="left" vertical="top"/>
    </xf>
    <xf applyAlignment="true" applyBorder="true" applyFill="false" applyFont="false" applyNumberFormat="true" borderId="7571" fillId="0" fontId="1" numFmtId="1000" quotePrefix="false">
      <alignment horizontal="left" vertical="top"/>
    </xf>
    <xf applyAlignment="true" applyBorder="true" applyFill="false" applyFont="false" applyNumberFormat="true" borderId="7572" fillId="0" fontId="1" numFmtId="1000" quotePrefix="false">
      <alignment horizontal="left" vertical="top"/>
    </xf>
    <xf applyAlignment="true" applyBorder="true" applyFill="false" applyFont="false" applyNumberFormat="true" borderId="7573" fillId="0" fontId="1" numFmtId="1000" quotePrefix="false">
      <alignment horizontal="left" vertical="top"/>
    </xf>
    <xf applyAlignment="true" applyBorder="true" applyFill="false" applyFont="false" applyNumberFormat="true" borderId="7574" fillId="0" fontId="1" numFmtId="1000" quotePrefix="false">
      <alignment horizontal="left" vertical="top"/>
    </xf>
    <xf applyAlignment="true" applyBorder="true" applyFill="false" applyFont="false" applyNumberFormat="true" borderId="7575" fillId="0" fontId="1" numFmtId="1000" quotePrefix="false">
      <alignment horizontal="left" vertical="top"/>
    </xf>
    <xf applyAlignment="true" applyBorder="true" applyFill="false" applyFont="true" applyNumberFormat="true" borderId="7576" fillId="0" fontId="2" numFmtId="1001" quotePrefix="false">
      <alignment horizontal="center"/>
    </xf>
    <xf applyAlignment="true" applyBorder="true" applyFill="false" applyFont="true" applyNumberFormat="true" borderId="7577" fillId="0" fontId="2" numFmtId="1001" quotePrefix="false">
      <alignment horizontal="center"/>
    </xf>
    <xf applyAlignment="true" applyBorder="true" applyFill="false" applyFont="true" applyNumberFormat="true" borderId="7578" fillId="0" fontId="2" numFmtId="1001" quotePrefix="false">
      <alignment horizontal="center"/>
    </xf>
    <xf applyAlignment="true" applyBorder="true" applyFill="false" applyFont="false" applyNumberFormat="true" borderId="7579" fillId="0" fontId="1" numFmtId="1000" quotePrefix="false">
      <alignment horizontal="center" vertical="top"/>
    </xf>
    <xf applyAlignment="true" applyBorder="true" applyFill="false" applyFont="false" applyNumberFormat="true" borderId="7580" fillId="0" fontId="1" numFmtId="1000" quotePrefix="false">
      <alignment horizontal="center" vertical="top"/>
    </xf>
    <xf applyAlignment="true" applyBorder="true" applyFill="false" applyFont="false" applyNumberFormat="true" borderId="7581" fillId="0" fontId="1" numFmtId="1000" quotePrefix="false">
      <alignment horizontal="center" vertical="top"/>
    </xf>
    <xf applyAlignment="true" applyBorder="true" applyFill="false" applyFont="false" applyNumberFormat="true" borderId="7582" fillId="0" fontId="1" numFmtId="1000" quotePrefix="false">
      <alignment horizontal="center" vertical="top"/>
    </xf>
    <xf applyAlignment="true" applyBorder="true" applyFill="false" applyFont="false" applyNumberFormat="true" borderId="7583" fillId="0" fontId="1" numFmtId="1000" quotePrefix="false">
      <alignment horizontal="center" vertical="top"/>
    </xf>
    <xf applyAlignment="true" applyBorder="true" applyFill="false" applyFont="false" applyNumberFormat="true" borderId="7584" fillId="0" fontId="1" numFmtId="1000" quotePrefix="false">
      <alignment horizontal="center" vertical="top"/>
    </xf>
    <xf applyAlignment="true" applyBorder="true" applyFill="false" applyFont="false" applyNumberFormat="true" borderId="7585" fillId="0" fontId="1" numFmtId="1000" quotePrefix="false">
      <alignment horizontal="center" vertical="top"/>
    </xf>
    <xf applyAlignment="true" applyBorder="true" applyFill="false" applyFont="false" applyNumberFormat="true" borderId="7586" fillId="0" fontId="1" numFmtId="1000" quotePrefix="false">
      <alignment horizontal="center" vertical="top"/>
    </xf>
    <xf applyAlignment="true" applyBorder="true" applyFill="false" applyFont="false" applyNumberFormat="true" borderId="7587" fillId="0" fontId="1" numFmtId="1000" quotePrefix="false">
      <alignment horizontal="center" vertical="top"/>
    </xf>
    <xf applyAlignment="true" applyBorder="true" applyFill="false" applyFont="false" applyNumberFormat="true" borderId="7588" fillId="0" fontId="1" numFmtId="1000" quotePrefix="false">
      <alignment horizontal="center" vertical="top"/>
    </xf>
    <xf applyAlignment="true" applyBorder="true" applyFill="false" applyFont="false" applyNumberFormat="true" borderId="7589" fillId="0" fontId="1" numFmtId="1000" quotePrefix="false">
      <alignment horizontal="center" vertical="top"/>
    </xf>
    <xf applyAlignment="true" applyBorder="true" applyFill="false" applyFont="false" applyNumberFormat="true" borderId="7590" fillId="0" fontId="1" numFmtId="1000" quotePrefix="false">
      <alignment horizontal="center" vertical="top"/>
    </xf>
    <xf applyAlignment="true" applyBorder="true" applyFill="false" applyFont="false" applyNumberFormat="true" borderId="7591" fillId="0" fontId="1" numFmtId="1000" quotePrefix="false">
      <alignment horizontal="center" vertical="top"/>
    </xf>
    <xf applyAlignment="true" applyBorder="true" applyFill="false" applyFont="false" applyNumberFormat="true" borderId="7592" fillId="0" fontId="1" numFmtId="1000" quotePrefix="false">
      <alignment horizontal="center" vertical="top"/>
    </xf>
    <xf applyAlignment="true" applyBorder="true" applyFill="false" applyFont="false" applyNumberFormat="true" borderId="7593" fillId="0" fontId="1" numFmtId="1000" quotePrefix="false">
      <alignment horizontal="center" vertical="top"/>
    </xf>
    <xf applyAlignment="true" applyBorder="true" applyFill="false" applyFont="false" applyNumberFormat="true" borderId="7594" fillId="0" fontId="1" numFmtId="1000" quotePrefix="false">
      <alignment horizontal="center" vertical="top"/>
    </xf>
    <xf applyAlignment="true" applyBorder="true" applyFill="false" applyFont="false" applyNumberFormat="true" borderId="7595" fillId="0" fontId="1" numFmtId="1000" quotePrefix="false">
      <alignment horizontal="center" vertical="top"/>
    </xf>
    <xf applyAlignment="true" applyBorder="true" applyFill="false" applyFont="false" applyNumberFormat="true" borderId="7596" fillId="0" fontId="1" numFmtId="1000" quotePrefix="false">
      <alignment horizontal="center" vertical="top"/>
    </xf>
    <xf applyAlignment="true" applyBorder="true" applyFill="false" applyFont="false" applyNumberFormat="true" borderId="7597" fillId="0" fontId="1" numFmtId="1000" quotePrefix="false">
      <alignment horizontal="center" vertical="top"/>
    </xf>
    <xf applyAlignment="true" applyBorder="true" applyFill="false" applyFont="false" applyNumberFormat="true" borderId="7598" fillId="0" fontId="1" numFmtId="1000" quotePrefix="false">
      <alignment horizontal="center" vertical="top"/>
    </xf>
    <xf applyAlignment="true" applyBorder="true" applyFill="false" applyFont="false" applyNumberFormat="true" borderId="7599" fillId="0" fontId="1" numFmtId="1000" quotePrefix="false">
      <alignment horizontal="center" vertical="top"/>
    </xf>
    <xf applyAlignment="true" applyBorder="true" applyFill="false" applyFont="false" applyNumberFormat="true" borderId="7600" fillId="0" fontId="1" numFmtId="1000" quotePrefix="false">
      <alignment horizontal="center" vertical="top"/>
    </xf>
    <xf applyAlignment="true" applyBorder="true" applyFill="false" applyFont="false" applyNumberFormat="true" borderId="7601" fillId="0" fontId="1" numFmtId="1000" quotePrefix="false">
      <alignment horizontal="center" vertical="top"/>
    </xf>
    <xf applyAlignment="true" applyBorder="true" applyFill="false" applyFont="false" applyNumberFormat="true" borderId="7602" fillId="0" fontId="1" numFmtId="1000" quotePrefix="false">
      <alignment horizontal="center" vertical="top"/>
    </xf>
    <xf applyAlignment="true" applyBorder="true" applyFill="false" applyFont="false" applyNumberFormat="true" borderId="7603" fillId="0" fontId="1" numFmtId="1000" quotePrefix="false">
      <alignment horizontal="center" vertical="top"/>
    </xf>
    <xf applyAlignment="true" applyBorder="true" applyFill="false" applyFont="false" applyNumberFormat="true" borderId="7604" fillId="0" fontId="1" numFmtId="1000" quotePrefix="false">
      <alignment horizontal="center" vertical="top"/>
    </xf>
    <xf applyAlignment="true" applyBorder="true" applyFill="false" applyFont="false" applyNumberFormat="true" borderId="7605" fillId="0" fontId="1" numFmtId="1000" quotePrefix="false">
      <alignment horizontal="center" vertical="top"/>
    </xf>
    <xf applyAlignment="true" applyBorder="true" applyFill="false" applyFont="false" applyNumberFormat="true" borderId="7606" fillId="0" fontId="1" numFmtId="1000" quotePrefix="false">
      <alignment horizontal="center" vertical="top"/>
    </xf>
    <xf applyAlignment="true" applyBorder="true" applyFill="false" applyFont="false" applyNumberFormat="true" borderId="7607" fillId="0" fontId="1" numFmtId="1000" quotePrefix="false">
      <alignment horizontal="center" vertical="top"/>
    </xf>
    <xf applyAlignment="true" applyBorder="true" applyFill="false" applyFont="false" applyNumberFormat="true" borderId="7608" fillId="0" fontId="1" numFmtId="1000" quotePrefix="false">
      <alignment horizontal="center" vertical="top"/>
    </xf>
    <xf applyAlignment="true" applyBorder="true" applyFill="false" applyFont="false" applyNumberFormat="true" borderId="7609" fillId="0" fontId="1" numFmtId="1000" quotePrefix="false">
      <alignment horizontal="center" vertical="top"/>
    </xf>
    <xf applyAlignment="true" applyBorder="true" applyFill="false" applyFont="false" applyNumberFormat="true" borderId="7610" fillId="0" fontId="1" numFmtId="1000" quotePrefix="false">
      <alignment horizontal="center" vertical="top"/>
    </xf>
    <xf applyAlignment="true" applyBorder="true" applyFill="false" applyFont="false" applyNumberFormat="true" borderId="7611" fillId="0" fontId="1" numFmtId="1000" quotePrefix="false">
      <alignment horizontal="center" vertical="top"/>
    </xf>
    <xf applyAlignment="true" applyBorder="true" applyFill="false" applyFont="true" applyNumberFormat="true" borderId="7612" fillId="0" fontId="2" numFmtId="1000" quotePrefix="false">
      <alignment horizontal="center" vertical="top"/>
    </xf>
    <xf applyAlignment="true" applyBorder="true" applyFill="false" applyFont="false" applyNumberFormat="true" borderId="7613" fillId="0" fontId="1" numFmtId="1000" quotePrefix="false">
      <alignment horizontal="left" vertical="top"/>
    </xf>
    <xf applyAlignment="true" applyBorder="true" applyFill="false" applyFont="false" applyNumberFormat="true" borderId="7614" fillId="0" fontId="1" numFmtId="1000" quotePrefix="false">
      <alignment horizontal="left" vertical="top"/>
    </xf>
    <xf applyAlignment="true" applyBorder="true" applyFill="false" applyFont="false" applyNumberFormat="true" borderId="7615" fillId="0" fontId="1" numFmtId="1000" quotePrefix="false">
      <alignment horizontal="left" vertical="top"/>
    </xf>
    <xf applyAlignment="true" applyBorder="true" applyFill="false" applyFont="false" applyNumberFormat="true" borderId="7616" fillId="0" fontId="1" numFmtId="1000" quotePrefix="false">
      <alignment horizontal="left" vertical="top"/>
    </xf>
    <xf applyAlignment="true" applyBorder="true" applyFill="false" applyFont="false" applyNumberFormat="true" borderId="7617" fillId="0" fontId="1" numFmtId="1000" quotePrefix="false">
      <alignment horizontal="left" vertical="top"/>
    </xf>
    <xf applyAlignment="true" applyBorder="true" applyFill="false" applyFont="false" applyNumberFormat="true" borderId="7618" fillId="0" fontId="1" numFmtId="1000" quotePrefix="false">
      <alignment horizontal="left" vertical="top"/>
    </xf>
    <xf applyAlignment="true" applyBorder="true" applyFill="false" applyFont="false" applyNumberFormat="true" borderId="7619" fillId="0" fontId="1" numFmtId="1000" quotePrefix="false">
      <alignment horizontal="left" vertical="top"/>
    </xf>
    <xf applyAlignment="true" applyBorder="true" applyFill="false" applyFont="false" applyNumberFormat="true" borderId="7620" fillId="0" fontId="1" numFmtId="1000" quotePrefix="false">
      <alignment horizontal="left" vertical="top"/>
    </xf>
    <xf applyAlignment="true" applyBorder="true" applyFill="false" applyFont="false" applyNumberFormat="true" borderId="7621" fillId="0" fontId="1" numFmtId="1000" quotePrefix="false">
      <alignment horizontal="left" vertical="top"/>
    </xf>
    <xf applyAlignment="true" applyBorder="true" applyFill="false" applyFont="false" applyNumberFormat="true" borderId="7622" fillId="0" fontId="1" numFmtId="1000" quotePrefix="false">
      <alignment horizontal="left" vertical="top"/>
    </xf>
    <xf applyAlignment="true" applyBorder="true" applyFill="false" applyFont="false" applyNumberFormat="true" borderId="7623" fillId="0" fontId="1" numFmtId="1000" quotePrefix="false">
      <alignment horizontal="left" vertical="top"/>
    </xf>
    <xf applyAlignment="true" applyBorder="true" applyFill="false" applyFont="false" applyNumberFormat="true" borderId="7624" fillId="0" fontId="1" numFmtId="1000" quotePrefix="false">
      <alignment horizontal="left" vertical="top"/>
    </xf>
    <xf applyAlignment="true" applyBorder="true" applyFill="false" applyFont="false" applyNumberFormat="true" borderId="7625" fillId="0" fontId="1" numFmtId="1000" quotePrefix="false">
      <alignment horizontal="left" vertical="top"/>
    </xf>
    <xf applyAlignment="true" applyBorder="true" applyFill="false" applyFont="false" applyNumberFormat="true" borderId="7626" fillId="0" fontId="1" numFmtId="1000" quotePrefix="false">
      <alignment horizontal="left" vertical="top"/>
    </xf>
    <xf applyAlignment="true" applyBorder="true" applyFill="false" applyFont="false" applyNumberFormat="true" borderId="7627" fillId="0" fontId="1" numFmtId="1000" quotePrefix="false">
      <alignment horizontal="left" vertical="top"/>
    </xf>
    <xf applyAlignment="true" applyBorder="true" applyFill="false" applyFont="false" applyNumberFormat="true" borderId="7628" fillId="0" fontId="1" numFmtId="1000" quotePrefix="false">
      <alignment horizontal="left" vertical="top"/>
    </xf>
    <xf applyAlignment="true" applyBorder="true" applyFill="false" applyFont="false" applyNumberFormat="true" borderId="7629" fillId="0" fontId="1" numFmtId="1000" quotePrefix="false">
      <alignment horizontal="left" vertical="top"/>
    </xf>
    <xf applyAlignment="true" applyBorder="true" applyFill="false" applyFont="false" applyNumberFormat="true" borderId="7630" fillId="0" fontId="1" numFmtId="1000" quotePrefix="false">
      <alignment horizontal="left" vertical="top"/>
    </xf>
    <xf applyAlignment="true" applyBorder="true" applyFill="false" applyFont="false" applyNumberFormat="true" borderId="7631" fillId="0" fontId="1" numFmtId="1000" quotePrefix="false">
      <alignment horizontal="left" vertical="top"/>
    </xf>
    <xf applyAlignment="true" applyBorder="true" applyFill="false" applyFont="true" applyNumberFormat="true" borderId="7632" fillId="0" fontId="2" numFmtId="1001" quotePrefix="false">
      <alignment horizontal="center"/>
    </xf>
    <xf applyAlignment="true" applyBorder="true" applyFill="false" applyFont="true" applyNumberFormat="true" borderId="7633" fillId="0" fontId="2" numFmtId="1001" quotePrefix="false">
      <alignment horizontal="center"/>
    </xf>
    <xf applyAlignment="true" applyBorder="true" applyFill="false" applyFont="true" applyNumberFormat="true" borderId="7634" fillId="0" fontId="2" numFmtId="1001" quotePrefix="false">
      <alignment horizontal="center"/>
    </xf>
    <xf applyAlignment="true" applyBorder="true" applyFill="false" applyFont="false" applyNumberFormat="true" borderId="7635" fillId="0" fontId="1" numFmtId="1000" quotePrefix="false">
      <alignment horizontal="center" vertical="top"/>
    </xf>
    <xf applyAlignment="true" applyBorder="true" applyFill="false" applyFont="false" applyNumberFormat="true" borderId="7636" fillId="0" fontId="1" numFmtId="1000" quotePrefix="false">
      <alignment horizontal="center" vertical="top"/>
    </xf>
    <xf applyAlignment="true" applyBorder="true" applyFill="false" applyFont="false" applyNumberFormat="true" borderId="7637" fillId="0" fontId="1" numFmtId="1000" quotePrefix="false">
      <alignment horizontal="center" vertical="top"/>
    </xf>
    <xf applyAlignment="true" applyBorder="true" applyFill="false" applyFont="false" applyNumberFormat="true" borderId="7638" fillId="0" fontId="1" numFmtId="1000" quotePrefix="false">
      <alignment horizontal="center" vertical="top"/>
    </xf>
    <xf applyAlignment="true" applyBorder="true" applyFill="false" applyFont="false" applyNumberFormat="true" borderId="7639" fillId="0" fontId="1" numFmtId="1000" quotePrefix="false">
      <alignment horizontal="center" vertical="top"/>
    </xf>
    <xf applyAlignment="true" applyBorder="true" applyFill="false" applyFont="false" applyNumberFormat="true" borderId="7640" fillId="0" fontId="1" numFmtId="1000" quotePrefix="false">
      <alignment horizontal="center" vertical="top"/>
    </xf>
    <xf applyAlignment="true" applyBorder="true" applyFill="false" applyFont="false" applyNumberFormat="true" borderId="7641" fillId="0" fontId="1" numFmtId="1000" quotePrefix="false">
      <alignment horizontal="center" vertical="top"/>
    </xf>
    <xf applyAlignment="true" applyBorder="true" applyFill="false" applyFont="false" applyNumberFormat="true" borderId="7642" fillId="0" fontId="1" numFmtId="1000" quotePrefix="false">
      <alignment horizontal="center" vertical="top"/>
    </xf>
    <xf applyAlignment="true" applyBorder="true" applyFill="false" applyFont="false" applyNumberFormat="true" borderId="7643" fillId="0" fontId="1" numFmtId="1000" quotePrefix="false">
      <alignment horizontal="center" vertical="top"/>
    </xf>
    <xf applyAlignment="true" applyBorder="true" applyFill="false" applyFont="false" applyNumberFormat="true" borderId="7644" fillId="0" fontId="1" numFmtId="1000" quotePrefix="false">
      <alignment horizontal="center" vertical="top"/>
    </xf>
    <xf applyAlignment="true" applyBorder="true" applyFill="false" applyFont="false" applyNumberFormat="true" borderId="7645" fillId="0" fontId="1" numFmtId="1000" quotePrefix="false">
      <alignment horizontal="center" vertical="top"/>
    </xf>
    <xf applyAlignment="true" applyBorder="true" applyFill="false" applyFont="false" applyNumberFormat="true" borderId="7646" fillId="0" fontId="1" numFmtId="1000" quotePrefix="false">
      <alignment horizontal="center" vertical="top"/>
    </xf>
    <xf applyAlignment="true" applyBorder="true" applyFill="false" applyFont="false" applyNumberFormat="true" borderId="7647" fillId="0" fontId="1" numFmtId="1000" quotePrefix="false">
      <alignment horizontal="center" vertical="top"/>
    </xf>
    <xf applyAlignment="true" applyBorder="true" applyFill="false" applyFont="false" applyNumberFormat="true" borderId="7648" fillId="0" fontId="1" numFmtId="1000" quotePrefix="false">
      <alignment horizontal="center" vertical="top"/>
    </xf>
    <xf applyAlignment="true" applyBorder="true" applyFill="false" applyFont="false" applyNumberFormat="true" borderId="7649" fillId="0" fontId="1" numFmtId="1000" quotePrefix="false">
      <alignment horizontal="center" vertical="top"/>
    </xf>
    <xf applyAlignment="true" applyBorder="true" applyFill="false" applyFont="false" applyNumberFormat="true" borderId="7650" fillId="0" fontId="1" numFmtId="1000" quotePrefix="false">
      <alignment horizontal="center" vertical="top"/>
    </xf>
    <xf applyAlignment="true" applyBorder="true" applyFill="false" applyFont="false" applyNumberFormat="true" borderId="7651" fillId="0" fontId="1" numFmtId="1000" quotePrefix="false">
      <alignment horizontal="center" vertical="top"/>
    </xf>
    <xf applyAlignment="true" applyBorder="true" applyFill="false" applyFont="false" applyNumberFormat="true" borderId="7652" fillId="0" fontId="1" numFmtId="1000" quotePrefix="false">
      <alignment horizontal="center" vertical="top"/>
    </xf>
    <xf applyAlignment="true" applyBorder="true" applyFill="false" applyFont="false" applyNumberFormat="true" borderId="7653" fillId="0" fontId="1" numFmtId="1000" quotePrefix="false">
      <alignment horizontal="center" vertical="top"/>
    </xf>
    <xf applyAlignment="true" applyBorder="true" applyFill="false" applyFont="false" applyNumberFormat="true" borderId="7654" fillId="0" fontId="1" numFmtId="1000" quotePrefix="false">
      <alignment horizontal="center" vertical="top"/>
    </xf>
    <xf applyAlignment="true" applyBorder="true" applyFill="false" applyFont="false" applyNumberFormat="true" borderId="7655" fillId="0" fontId="1" numFmtId="1000" quotePrefix="false">
      <alignment horizontal="center" vertical="top"/>
    </xf>
    <xf applyAlignment="true" applyBorder="true" applyFill="false" applyFont="false" applyNumberFormat="true" borderId="7656" fillId="0" fontId="1" numFmtId="1000" quotePrefix="false">
      <alignment horizontal="center" vertical="top"/>
    </xf>
    <xf applyAlignment="true" applyBorder="true" applyFill="false" applyFont="false" applyNumberFormat="true" borderId="7657" fillId="0" fontId="1" numFmtId="1000" quotePrefix="false">
      <alignment horizontal="center" vertical="top"/>
    </xf>
    <xf applyAlignment="true" applyBorder="true" applyFill="false" applyFont="false" applyNumberFormat="true" borderId="7658" fillId="0" fontId="1" numFmtId="1000" quotePrefix="false">
      <alignment horizontal="center" vertical="top"/>
    </xf>
    <xf applyAlignment="true" applyBorder="true" applyFill="false" applyFont="false" applyNumberFormat="true" borderId="7659" fillId="0" fontId="1" numFmtId="1000" quotePrefix="false">
      <alignment horizontal="center" vertical="top"/>
    </xf>
    <xf applyAlignment="true" applyBorder="true" applyFill="false" applyFont="false" applyNumberFormat="true" borderId="7660" fillId="0" fontId="1" numFmtId="1000" quotePrefix="false">
      <alignment horizontal="center" vertical="top"/>
    </xf>
    <xf applyAlignment="true" applyBorder="true" applyFill="false" applyFont="false" applyNumberFormat="true" borderId="7661" fillId="0" fontId="1" numFmtId="1000" quotePrefix="false">
      <alignment horizontal="center" vertical="top"/>
    </xf>
    <xf applyAlignment="true" applyBorder="true" applyFill="false" applyFont="false" applyNumberFormat="true" borderId="7662" fillId="0" fontId="1" numFmtId="1000" quotePrefix="false">
      <alignment horizontal="center" vertical="top"/>
    </xf>
    <xf applyAlignment="true" applyBorder="true" applyFill="false" applyFont="false" applyNumberFormat="true" borderId="7663" fillId="0" fontId="1" numFmtId="1000" quotePrefix="false">
      <alignment horizontal="center" vertical="top"/>
    </xf>
    <xf applyAlignment="true" applyBorder="true" applyFill="false" applyFont="false" applyNumberFormat="true" borderId="7664" fillId="0" fontId="1" numFmtId="1000" quotePrefix="false">
      <alignment horizontal="center" vertical="top"/>
    </xf>
    <xf applyAlignment="true" applyBorder="true" applyFill="false" applyFont="false" applyNumberFormat="true" borderId="7665" fillId="0" fontId="1" numFmtId="1000" quotePrefix="false">
      <alignment horizontal="center" vertical="top"/>
    </xf>
    <xf applyAlignment="true" applyBorder="true" applyFill="false" applyFont="false" applyNumberFormat="true" borderId="7666" fillId="0" fontId="1" numFmtId="1000" quotePrefix="false">
      <alignment horizontal="center" vertical="top"/>
    </xf>
    <xf applyAlignment="true" applyBorder="true" applyFill="false" applyFont="false" applyNumberFormat="true" borderId="7667" fillId="0" fontId="1" numFmtId="1000" quotePrefix="false">
      <alignment horizontal="center" vertical="top"/>
    </xf>
    <xf applyAlignment="true" applyBorder="true" applyFill="false" applyFont="true" applyNumberFormat="true" borderId="7668" fillId="0" fontId="2" numFmtId="1000" quotePrefix="false">
      <alignment horizontal="center" vertical="top"/>
    </xf>
    <xf applyAlignment="true" applyBorder="true" applyFill="false" applyFont="false" applyNumberFormat="true" borderId="7669" fillId="0" fontId="1" numFmtId="1000" quotePrefix="false">
      <alignment horizontal="left" vertical="top"/>
    </xf>
    <xf applyAlignment="true" applyBorder="true" applyFill="false" applyFont="false" applyNumberFormat="true" borderId="7670" fillId="0" fontId="1" numFmtId="1000" quotePrefix="false">
      <alignment horizontal="left" vertical="top"/>
    </xf>
    <xf applyAlignment="true" applyBorder="true" applyFill="false" applyFont="false" applyNumberFormat="true" borderId="7671" fillId="0" fontId="1" numFmtId="1000" quotePrefix="false">
      <alignment horizontal="left" vertical="top"/>
    </xf>
    <xf applyAlignment="true" applyBorder="true" applyFill="false" applyFont="false" applyNumberFormat="true" borderId="7672" fillId="0" fontId="1" numFmtId="1000" quotePrefix="false">
      <alignment horizontal="left" vertical="top"/>
    </xf>
    <xf applyAlignment="true" applyBorder="true" applyFill="false" applyFont="false" applyNumberFormat="true" borderId="7673" fillId="0" fontId="1" numFmtId="1000" quotePrefix="false">
      <alignment horizontal="left" vertical="top"/>
    </xf>
    <xf applyAlignment="true" applyBorder="true" applyFill="false" applyFont="false" applyNumberFormat="true" borderId="7674" fillId="0" fontId="1" numFmtId="1000" quotePrefix="false">
      <alignment horizontal="left" vertical="top"/>
    </xf>
    <xf applyAlignment="true" applyBorder="true" applyFill="false" applyFont="false" applyNumberFormat="true" borderId="7675" fillId="0" fontId="1" numFmtId="1000" quotePrefix="false">
      <alignment horizontal="left" vertical="top"/>
    </xf>
    <xf applyAlignment="true" applyBorder="true" applyFill="false" applyFont="false" applyNumberFormat="true" borderId="7676" fillId="0" fontId="1" numFmtId="1000" quotePrefix="false">
      <alignment horizontal="left" vertical="top"/>
    </xf>
    <xf applyAlignment="true" applyBorder="true" applyFill="false" applyFont="false" applyNumberFormat="true" borderId="7677" fillId="0" fontId="1" numFmtId="1000" quotePrefix="false">
      <alignment horizontal="left" vertical="top"/>
    </xf>
    <xf applyAlignment="true" applyBorder="true" applyFill="false" applyFont="false" applyNumberFormat="true" borderId="7678" fillId="0" fontId="1" numFmtId="1000" quotePrefix="false">
      <alignment horizontal="left" vertical="top"/>
    </xf>
    <xf applyAlignment="true" applyBorder="true" applyFill="false" applyFont="false" applyNumberFormat="true" borderId="7679" fillId="0" fontId="1" numFmtId="1000" quotePrefix="false">
      <alignment horizontal="left" vertical="top"/>
    </xf>
    <xf applyAlignment="true" applyBorder="true" applyFill="false" applyFont="false" applyNumberFormat="true" borderId="7680" fillId="0" fontId="1" numFmtId="1000" quotePrefix="false">
      <alignment horizontal="left" vertical="top"/>
    </xf>
    <xf applyAlignment="true" applyBorder="true" applyFill="false" applyFont="false" applyNumberFormat="true" borderId="7681" fillId="0" fontId="1" numFmtId="1000" quotePrefix="false">
      <alignment horizontal="left" vertical="top"/>
    </xf>
    <xf applyAlignment="true" applyBorder="true" applyFill="false" applyFont="false" applyNumberFormat="true" borderId="7682" fillId="0" fontId="1" numFmtId="1000" quotePrefix="false">
      <alignment horizontal="left" vertical="top"/>
    </xf>
    <xf applyAlignment="true" applyBorder="true" applyFill="false" applyFont="false" applyNumberFormat="true" borderId="7683" fillId="0" fontId="1" numFmtId="1000" quotePrefix="false">
      <alignment horizontal="left" vertical="top"/>
    </xf>
    <xf applyAlignment="true" applyBorder="true" applyFill="false" applyFont="false" applyNumberFormat="true" borderId="7684" fillId="0" fontId="1" numFmtId="1000" quotePrefix="false">
      <alignment horizontal="left" vertical="top"/>
    </xf>
    <xf applyAlignment="true" applyBorder="true" applyFill="false" applyFont="false" applyNumberFormat="true" borderId="7685" fillId="0" fontId="1" numFmtId="1000" quotePrefix="false">
      <alignment horizontal="left" vertical="top"/>
    </xf>
    <xf applyAlignment="true" applyBorder="true" applyFill="false" applyFont="false" applyNumberFormat="true" borderId="7686" fillId="0" fontId="1" numFmtId="1000" quotePrefix="false">
      <alignment horizontal="left" vertical="top"/>
    </xf>
    <xf applyAlignment="true" applyBorder="true" applyFill="false" applyFont="false" applyNumberFormat="true" borderId="7687" fillId="0" fontId="1" numFmtId="1000" quotePrefix="false">
      <alignment horizontal="left" vertical="top"/>
    </xf>
    <xf applyAlignment="true" applyBorder="true" applyFill="false" applyFont="true" applyNumberFormat="true" borderId="7688" fillId="0" fontId="2" numFmtId="1001" quotePrefix="false">
      <alignment horizontal="center"/>
    </xf>
    <xf applyAlignment="true" applyBorder="true" applyFill="false" applyFont="true" applyNumberFormat="true" borderId="7689" fillId="0" fontId="2" numFmtId="1001" quotePrefix="false">
      <alignment horizontal="center"/>
    </xf>
    <xf applyAlignment="true" applyBorder="true" applyFill="false" applyFont="true" applyNumberFormat="true" borderId="7690" fillId="0" fontId="2" numFmtId="1001" quotePrefix="false">
      <alignment horizontal="center"/>
    </xf>
    <xf applyAlignment="true" applyBorder="true" applyFill="false" applyFont="false" applyNumberFormat="true" borderId="7691" fillId="0" fontId="1" numFmtId="1000" quotePrefix="false">
      <alignment horizontal="center" vertical="top"/>
    </xf>
    <xf applyAlignment="true" applyBorder="true" applyFill="false" applyFont="false" applyNumberFormat="true" borderId="7692" fillId="0" fontId="1" numFmtId="1000" quotePrefix="false">
      <alignment horizontal="center" vertical="top"/>
    </xf>
    <xf applyAlignment="true" applyBorder="true" applyFill="false" applyFont="false" applyNumberFormat="true" borderId="7693" fillId="0" fontId="1" numFmtId="1000" quotePrefix="false">
      <alignment horizontal="center" vertical="top"/>
    </xf>
    <xf applyAlignment="true" applyBorder="true" applyFill="false" applyFont="false" applyNumberFormat="true" borderId="7694" fillId="0" fontId="1" numFmtId="1000" quotePrefix="false">
      <alignment horizontal="center" vertical="top"/>
    </xf>
    <xf applyAlignment="true" applyBorder="true" applyFill="false" applyFont="false" applyNumberFormat="true" borderId="7695" fillId="0" fontId="1" numFmtId="1000" quotePrefix="false">
      <alignment horizontal="center" vertical="top"/>
    </xf>
    <xf applyAlignment="true" applyBorder="true" applyFill="false" applyFont="false" applyNumberFormat="true" borderId="7696" fillId="0" fontId="1" numFmtId="1000" quotePrefix="false">
      <alignment horizontal="center" vertical="top"/>
    </xf>
    <xf applyAlignment="true" applyBorder="true" applyFill="false" applyFont="false" applyNumberFormat="true" borderId="7697" fillId="0" fontId="1" numFmtId="1000" quotePrefix="false">
      <alignment horizontal="center" vertical="top"/>
    </xf>
    <xf applyAlignment="true" applyBorder="true" applyFill="false" applyFont="false" applyNumberFormat="true" borderId="7698" fillId="0" fontId="1" numFmtId="1000" quotePrefix="false">
      <alignment horizontal="center" vertical="top"/>
    </xf>
    <xf applyAlignment="true" applyBorder="true" applyFill="false" applyFont="false" applyNumberFormat="true" borderId="7699" fillId="0" fontId="1" numFmtId="1000" quotePrefix="false">
      <alignment horizontal="center" vertical="top"/>
    </xf>
    <xf applyAlignment="true" applyBorder="true" applyFill="false" applyFont="false" applyNumberFormat="true" borderId="7700" fillId="0" fontId="1" numFmtId="1000" quotePrefix="false">
      <alignment horizontal="center" vertical="top"/>
    </xf>
    <xf applyAlignment="true" applyBorder="true" applyFill="false" applyFont="false" applyNumberFormat="true" borderId="7701" fillId="0" fontId="1" numFmtId="1000" quotePrefix="false">
      <alignment horizontal="center" vertical="top"/>
    </xf>
    <xf applyAlignment="true" applyBorder="true" applyFill="false" applyFont="false" applyNumberFormat="true" borderId="7702" fillId="0" fontId="1" numFmtId="1000" quotePrefix="false">
      <alignment horizontal="center" vertical="top"/>
    </xf>
    <xf applyAlignment="true" applyBorder="true" applyFill="false" applyFont="false" applyNumberFormat="true" borderId="7703" fillId="0" fontId="1" numFmtId="1000" quotePrefix="false">
      <alignment horizontal="center" vertical="top"/>
    </xf>
    <xf applyAlignment="true" applyBorder="true" applyFill="false" applyFont="false" applyNumberFormat="true" borderId="7704" fillId="0" fontId="1" numFmtId="1000" quotePrefix="false">
      <alignment horizontal="center" vertical="top"/>
    </xf>
    <xf applyAlignment="true" applyBorder="true" applyFill="false" applyFont="false" applyNumberFormat="true" borderId="7705" fillId="0" fontId="1" numFmtId="1000" quotePrefix="false">
      <alignment horizontal="center" vertical="top"/>
    </xf>
    <xf applyAlignment="true" applyBorder="true" applyFill="false" applyFont="false" applyNumberFormat="true" borderId="7706" fillId="0" fontId="1" numFmtId="1000" quotePrefix="false">
      <alignment horizontal="center" vertical="top"/>
    </xf>
    <xf applyAlignment="true" applyBorder="true" applyFill="false" applyFont="false" applyNumberFormat="true" borderId="7707" fillId="0" fontId="1" numFmtId="1000" quotePrefix="false">
      <alignment horizontal="center" vertical="top"/>
    </xf>
    <xf applyAlignment="true" applyBorder="true" applyFill="false" applyFont="false" applyNumberFormat="true" borderId="7708" fillId="0" fontId="1" numFmtId="1000" quotePrefix="false">
      <alignment horizontal="center" vertical="top"/>
    </xf>
    <xf applyAlignment="true" applyBorder="true" applyFill="false" applyFont="false" applyNumberFormat="true" borderId="7709" fillId="0" fontId="1" numFmtId="1000" quotePrefix="false">
      <alignment horizontal="center" vertical="top"/>
    </xf>
    <xf applyAlignment="true" applyBorder="true" applyFill="false" applyFont="false" applyNumberFormat="true" borderId="7710" fillId="0" fontId="1" numFmtId="1000" quotePrefix="false">
      <alignment horizontal="center" vertical="top"/>
    </xf>
    <xf applyAlignment="true" applyBorder="true" applyFill="false" applyFont="false" applyNumberFormat="true" borderId="7711" fillId="0" fontId="1" numFmtId="1000" quotePrefix="false">
      <alignment horizontal="center" vertical="top"/>
    </xf>
    <xf applyAlignment="true" applyBorder="true" applyFill="false" applyFont="false" applyNumberFormat="true" borderId="7712" fillId="0" fontId="1" numFmtId="1000" quotePrefix="false">
      <alignment horizontal="center" vertical="top"/>
    </xf>
    <xf applyAlignment="true" applyBorder="true" applyFill="false" applyFont="false" applyNumberFormat="true" borderId="7713" fillId="0" fontId="1" numFmtId="1000" quotePrefix="false">
      <alignment horizontal="center" vertical="top"/>
    </xf>
    <xf applyAlignment="true" applyBorder="true" applyFill="false" applyFont="false" applyNumberFormat="true" borderId="7714" fillId="0" fontId="1" numFmtId="1000" quotePrefix="false">
      <alignment horizontal="center" vertical="top"/>
    </xf>
    <xf applyAlignment="true" applyBorder="true" applyFill="false" applyFont="false" applyNumberFormat="true" borderId="7715" fillId="0" fontId="1" numFmtId="1000" quotePrefix="false">
      <alignment horizontal="center" vertical="top"/>
    </xf>
    <xf applyAlignment="true" applyBorder="true" applyFill="false" applyFont="false" applyNumberFormat="true" borderId="7716" fillId="0" fontId="1" numFmtId="1000" quotePrefix="false">
      <alignment horizontal="center" vertical="top"/>
    </xf>
    <xf applyAlignment="true" applyBorder="true" applyFill="false" applyFont="false" applyNumberFormat="true" borderId="7717" fillId="0" fontId="1" numFmtId="1000" quotePrefix="false">
      <alignment horizontal="center" vertical="top"/>
    </xf>
    <xf applyAlignment="true" applyBorder="true" applyFill="false" applyFont="false" applyNumberFormat="true" borderId="7718" fillId="0" fontId="1" numFmtId="1000" quotePrefix="false">
      <alignment horizontal="center" vertical="top"/>
    </xf>
    <xf applyAlignment="true" applyBorder="true" applyFill="false" applyFont="false" applyNumberFormat="true" borderId="7719" fillId="0" fontId="1" numFmtId="1000" quotePrefix="false">
      <alignment horizontal="center" vertical="top"/>
    </xf>
    <xf applyAlignment="true" applyBorder="true" applyFill="false" applyFont="false" applyNumberFormat="true" borderId="7720" fillId="0" fontId="1" numFmtId="1000" quotePrefix="false">
      <alignment horizontal="center" vertical="top"/>
    </xf>
    <xf applyAlignment="true" applyBorder="true" applyFill="false" applyFont="false" applyNumberFormat="true" borderId="7721" fillId="0" fontId="1" numFmtId="1000" quotePrefix="false">
      <alignment horizontal="center" vertical="top"/>
    </xf>
    <xf applyAlignment="true" applyBorder="true" applyFill="false" applyFont="false" applyNumberFormat="true" borderId="7722" fillId="0" fontId="1" numFmtId="1000" quotePrefix="false">
      <alignment horizontal="center" vertical="top"/>
    </xf>
    <xf applyAlignment="true" applyBorder="true" applyFill="false" applyFont="false" applyNumberFormat="true" borderId="7723" fillId="0" fontId="1" numFmtId="1000" quotePrefix="false">
      <alignment horizontal="center" vertical="top"/>
    </xf>
    <xf applyAlignment="true" applyBorder="true" applyFill="false" applyFont="true" applyNumberFormat="true" borderId="7724" fillId="0" fontId="2" numFmtId="1000" quotePrefix="false">
      <alignment horizontal="center" vertical="top"/>
    </xf>
    <xf applyAlignment="true" applyBorder="true" applyFill="false" applyFont="false" applyNumberFormat="true" borderId="7725" fillId="0" fontId="1" numFmtId="1000" quotePrefix="false">
      <alignment horizontal="left" vertical="top"/>
    </xf>
    <xf applyAlignment="true" applyBorder="true" applyFill="false" applyFont="false" applyNumberFormat="true" borderId="7726" fillId="0" fontId="1" numFmtId="1000" quotePrefix="false">
      <alignment horizontal="left" vertical="top"/>
    </xf>
    <xf applyAlignment="true" applyBorder="true" applyFill="false" applyFont="false" applyNumberFormat="true" borderId="7727" fillId="0" fontId="1" numFmtId="1000" quotePrefix="false">
      <alignment horizontal="left" vertical="top"/>
    </xf>
    <xf applyAlignment="true" applyBorder="true" applyFill="false" applyFont="false" applyNumberFormat="true" borderId="7728" fillId="0" fontId="1" numFmtId="1000" quotePrefix="false">
      <alignment horizontal="left" vertical="top"/>
    </xf>
    <xf applyAlignment="true" applyBorder="true" applyFill="false" applyFont="false" applyNumberFormat="true" borderId="7729" fillId="0" fontId="1" numFmtId="1000" quotePrefix="false">
      <alignment horizontal="left" vertical="top"/>
    </xf>
    <xf applyAlignment="true" applyBorder="true" applyFill="false" applyFont="false" applyNumberFormat="true" borderId="7730" fillId="0" fontId="1" numFmtId="1000" quotePrefix="false">
      <alignment horizontal="left" vertical="top"/>
    </xf>
    <xf applyAlignment="true" applyBorder="true" applyFill="false" applyFont="false" applyNumberFormat="true" borderId="7731" fillId="0" fontId="1" numFmtId="1000" quotePrefix="false">
      <alignment horizontal="left" vertical="top"/>
    </xf>
    <xf applyAlignment="true" applyBorder="true" applyFill="false" applyFont="false" applyNumberFormat="true" borderId="7732" fillId="0" fontId="1" numFmtId="1000" quotePrefix="false">
      <alignment horizontal="left" vertical="top"/>
    </xf>
    <xf applyAlignment="true" applyBorder="true" applyFill="false" applyFont="false" applyNumberFormat="true" borderId="7733" fillId="0" fontId="1" numFmtId="1000" quotePrefix="false">
      <alignment horizontal="left" vertical="top"/>
    </xf>
    <xf applyAlignment="true" applyBorder="true" applyFill="false" applyFont="false" applyNumberFormat="true" borderId="7734" fillId="0" fontId="1" numFmtId="1000" quotePrefix="false">
      <alignment horizontal="left" vertical="top"/>
    </xf>
    <xf applyAlignment="true" applyBorder="true" applyFill="false" applyFont="false" applyNumberFormat="true" borderId="7735" fillId="0" fontId="1" numFmtId="1000" quotePrefix="false">
      <alignment horizontal="left" vertical="top"/>
    </xf>
    <xf applyAlignment="true" applyBorder="true" applyFill="false" applyFont="false" applyNumberFormat="true" borderId="7736" fillId="0" fontId="1" numFmtId="1000" quotePrefix="false">
      <alignment horizontal="left" vertical="top"/>
    </xf>
    <xf applyAlignment="true" applyBorder="true" applyFill="false" applyFont="false" applyNumberFormat="true" borderId="7737" fillId="0" fontId="1" numFmtId="1000" quotePrefix="false">
      <alignment horizontal="left" vertical="top"/>
    </xf>
    <xf applyAlignment="true" applyBorder="true" applyFill="false" applyFont="false" applyNumberFormat="true" borderId="7738" fillId="0" fontId="1" numFmtId="1000" quotePrefix="false">
      <alignment horizontal="left" vertical="top"/>
    </xf>
    <xf applyAlignment="true" applyBorder="true" applyFill="false" applyFont="false" applyNumberFormat="true" borderId="7739" fillId="0" fontId="1" numFmtId="1000" quotePrefix="false">
      <alignment horizontal="left" vertical="top"/>
    </xf>
    <xf applyAlignment="true" applyBorder="true" applyFill="false" applyFont="false" applyNumberFormat="true" borderId="7740" fillId="0" fontId="1" numFmtId="1000" quotePrefix="false">
      <alignment horizontal="left" vertical="top"/>
    </xf>
    <xf applyAlignment="true" applyBorder="true" applyFill="false" applyFont="false" applyNumberFormat="true" borderId="7741" fillId="0" fontId="1" numFmtId="1000" quotePrefix="false">
      <alignment horizontal="left" vertical="top"/>
    </xf>
    <xf applyAlignment="true" applyBorder="true" applyFill="false" applyFont="false" applyNumberFormat="true" borderId="7742" fillId="0" fontId="1" numFmtId="1000" quotePrefix="false">
      <alignment horizontal="left" vertical="top"/>
    </xf>
    <xf applyAlignment="true" applyBorder="true" applyFill="false" applyFont="false" applyNumberFormat="true" borderId="7743" fillId="0" fontId="1" numFmtId="1000" quotePrefix="false">
      <alignment horizontal="left" vertical="top"/>
    </xf>
    <xf applyAlignment="true" applyBorder="true" applyFill="false" applyFont="true" applyNumberFormat="true" borderId="7744" fillId="0" fontId="2" numFmtId="1001" quotePrefix="false">
      <alignment horizontal="center"/>
    </xf>
    <xf applyAlignment="true" applyBorder="true" applyFill="false" applyFont="true" applyNumberFormat="true" borderId="7745" fillId="0" fontId="2" numFmtId="1001" quotePrefix="false">
      <alignment horizontal="center"/>
    </xf>
    <xf applyAlignment="true" applyBorder="true" applyFill="false" applyFont="true" applyNumberFormat="true" borderId="7746" fillId="0" fontId="2" numFmtId="1001" quotePrefix="false">
      <alignment horizontal="center"/>
    </xf>
    <xf applyAlignment="true" applyBorder="true" applyFill="false" applyFont="false" applyNumberFormat="true" borderId="7747" fillId="0" fontId="1" numFmtId="1000" quotePrefix="false">
      <alignment horizontal="center" vertical="top"/>
    </xf>
    <xf applyAlignment="true" applyBorder="true" applyFill="false" applyFont="false" applyNumberFormat="true" borderId="7748" fillId="0" fontId="1" numFmtId="1000" quotePrefix="false">
      <alignment horizontal="center" vertical="top"/>
    </xf>
    <xf applyAlignment="true" applyBorder="true" applyFill="false" applyFont="false" applyNumberFormat="true" borderId="7749" fillId="0" fontId="1" numFmtId="1000" quotePrefix="false">
      <alignment horizontal="center" vertical="top"/>
    </xf>
    <xf applyAlignment="true" applyBorder="true" applyFill="false" applyFont="false" applyNumberFormat="true" borderId="7750" fillId="0" fontId="1" numFmtId="1000" quotePrefix="false">
      <alignment horizontal="center" vertical="top"/>
    </xf>
    <xf applyAlignment="true" applyBorder="true" applyFill="false" applyFont="false" applyNumberFormat="true" borderId="7751" fillId="0" fontId="1" numFmtId="1000" quotePrefix="false">
      <alignment horizontal="center" vertical="top"/>
    </xf>
    <xf applyAlignment="true" applyBorder="true" applyFill="false" applyFont="false" applyNumberFormat="true" borderId="7752" fillId="0" fontId="1" numFmtId="1000" quotePrefix="false">
      <alignment horizontal="center" vertical="top"/>
    </xf>
    <xf applyAlignment="true" applyBorder="true" applyFill="false" applyFont="false" applyNumberFormat="true" borderId="7753" fillId="0" fontId="1" numFmtId="1000" quotePrefix="false">
      <alignment horizontal="center" vertical="top"/>
    </xf>
    <xf applyAlignment="true" applyBorder="true" applyFill="false" applyFont="false" applyNumberFormat="true" borderId="7754" fillId="0" fontId="1" numFmtId="1000" quotePrefix="false">
      <alignment horizontal="center" vertical="top"/>
    </xf>
    <xf applyAlignment="true" applyBorder="true" applyFill="false" applyFont="false" applyNumberFormat="true" borderId="7755" fillId="0" fontId="1" numFmtId="1000" quotePrefix="false">
      <alignment horizontal="center" vertical="top"/>
    </xf>
    <xf applyAlignment="true" applyBorder="true" applyFill="false" applyFont="false" applyNumberFormat="true" borderId="7756" fillId="0" fontId="1" numFmtId="1000" quotePrefix="false">
      <alignment horizontal="center" vertical="top"/>
    </xf>
    <xf applyAlignment="true" applyBorder="true" applyFill="false" applyFont="false" applyNumberFormat="true" borderId="7757" fillId="0" fontId="1" numFmtId="1000" quotePrefix="false">
      <alignment horizontal="center" vertical="top"/>
    </xf>
    <xf applyAlignment="true" applyBorder="true" applyFill="false" applyFont="false" applyNumberFormat="true" borderId="7758" fillId="0" fontId="1" numFmtId="1000" quotePrefix="false">
      <alignment horizontal="center" vertical="top"/>
    </xf>
    <xf applyAlignment="true" applyBorder="true" applyFill="false" applyFont="false" applyNumberFormat="true" borderId="7759" fillId="0" fontId="1" numFmtId="1000" quotePrefix="false">
      <alignment horizontal="center" vertical="top"/>
    </xf>
    <xf applyAlignment="true" applyBorder="true" applyFill="false" applyFont="false" applyNumberFormat="true" borderId="7760" fillId="0" fontId="1" numFmtId="1000" quotePrefix="false">
      <alignment horizontal="center" vertical="top"/>
    </xf>
    <xf applyAlignment="true" applyBorder="true" applyFill="false" applyFont="false" applyNumberFormat="true" borderId="7761" fillId="0" fontId="1" numFmtId="1000" quotePrefix="false">
      <alignment horizontal="center" vertical="top"/>
    </xf>
    <xf applyAlignment="true" applyBorder="true" applyFill="false" applyFont="false" applyNumberFormat="true" borderId="7762" fillId="0" fontId="1" numFmtId="1000" quotePrefix="false">
      <alignment horizontal="center" vertical="top"/>
    </xf>
    <xf applyAlignment="true" applyBorder="true" applyFill="false" applyFont="false" applyNumberFormat="true" borderId="7763" fillId="0" fontId="1" numFmtId="1000" quotePrefix="false">
      <alignment horizontal="center" vertical="top"/>
    </xf>
    <xf applyAlignment="true" applyBorder="true" applyFill="false" applyFont="false" applyNumberFormat="true" borderId="7764" fillId="0" fontId="1" numFmtId="1000" quotePrefix="false">
      <alignment horizontal="center" vertical="top"/>
    </xf>
    <xf applyAlignment="true" applyBorder="true" applyFill="false" applyFont="false" applyNumberFormat="true" borderId="7765" fillId="0" fontId="1" numFmtId="1000" quotePrefix="false">
      <alignment horizontal="center" vertical="top"/>
    </xf>
    <xf applyAlignment="true" applyBorder="true" applyFill="false" applyFont="false" applyNumberFormat="true" borderId="7766" fillId="0" fontId="1" numFmtId="1000" quotePrefix="false">
      <alignment horizontal="center" vertical="top"/>
    </xf>
    <xf applyAlignment="true" applyBorder="true" applyFill="false" applyFont="false" applyNumberFormat="true" borderId="7767" fillId="0" fontId="1" numFmtId="1000" quotePrefix="false">
      <alignment horizontal="center" vertical="top"/>
    </xf>
    <xf applyAlignment="true" applyBorder="true" applyFill="false" applyFont="false" applyNumberFormat="true" borderId="7768" fillId="0" fontId="1" numFmtId="1000" quotePrefix="false">
      <alignment horizontal="center" vertical="top"/>
    </xf>
    <xf applyAlignment="true" applyBorder="true" applyFill="false" applyFont="false" applyNumberFormat="true" borderId="7769" fillId="0" fontId="1" numFmtId="1000" quotePrefix="false">
      <alignment horizontal="center" vertical="top"/>
    </xf>
    <xf applyAlignment="true" applyBorder="true" applyFill="false" applyFont="false" applyNumberFormat="true" borderId="7770" fillId="0" fontId="1" numFmtId="1000" quotePrefix="false">
      <alignment horizontal="center" vertical="top"/>
    </xf>
    <xf applyAlignment="true" applyBorder="true" applyFill="false" applyFont="false" applyNumberFormat="true" borderId="7771" fillId="0" fontId="1" numFmtId="1000" quotePrefix="false">
      <alignment horizontal="center" vertical="top"/>
    </xf>
    <xf applyAlignment="true" applyBorder="true" applyFill="false" applyFont="false" applyNumberFormat="true" borderId="7772" fillId="0" fontId="1" numFmtId="1000" quotePrefix="false">
      <alignment horizontal="center" vertical="top"/>
    </xf>
    <xf applyAlignment="true" applyBorder="true" applyFill="false" applyFont="false" applyNumberFormat="true" borderId="7773" fillId="0" fontId="1" numFmtId="1000" quotePrefix="false">
      <alignment horizontal="center" vertical="top"/>
    </xf>
    <xf applyAlignment="true" applyBorder="true" applyFill="false" applyFont="false" applyNumberFormat="true" borderId="7774" fillId="0" fontId="1" numFmtId="1000" quotePrefix="false">
      <alignment horizontal="center" vertical="top"/>
    </xf>
    <xf applyAlignment="true" applyBorder="true" applyFill="false" applyFont="false" applyNumberFormat="true" borderId="7775" fillId="0" fontId="1" numFmtId="1000" quotePrefix="false">
      <alignment horizontal="center" vertical="top"/>
    </xf>
    <xf applyAlignment="true" applyBorder="true" applyFill="false" applyFont="false" applyNumberFormat="true" borderId="7776" fillId="0" fontId="1" numFmtId="1000" quotePrefix="false">
      <alignment horizontal="center" vertical="top"/>
    </xf>
    <xf applyAlignment="true" applyBorder="true" applyFill="false" applyFont="false" applyNumberFormat="true" borderId="7777" fillId="0" fontId="1" numFmtId="1000" quotePrefix="false">
      <alignment horizontal="center" vertical="top"/>
    </xf>
    <xf applyAlignment="true" applyBorder="true" applyFill="false" applyFont="false" applyNumberFormat="true" borderId="7778" fillId="0" fontId="1" numFmtId="1000" quotePrefix="false">
      <alignment horizontal="center" vertical="top"/>
    </xf>
    <xf applyAlignment="true" applyBorder="true" applyFill="false" applyFont="false" applyNumberFormat="true" borderId="7779" fillId="0" fontId="1" numFmtId="1000" quotePrefix="false">
      <alignment horizontal="center" vertical="top"/>
    </xf>
    <xf applyAlignment="true" applyBorder="true" applyFill="false" applyFont="true" applyNumberFormat="true" borderId="7780" fillId="0" fontId="2" numFmtId="1000" quotePrefix="false">
      <alignment horizontal="center" vertical="top"/>
    </xf>
    <xf applyAlignment="true" applyBorder="true" applyFill="false" applyFont="false" applyNumberFormat="true" borderId="7781" fillId="0" fontId="1" numFmtId="1000" quotePrefix="false">
      <alignment horizontal="left" vertical="top"/>
    </xf>
    <xf applyAlignment="true" applyBorder="true" applyFill="false" applyFont="false" applyNumberFormat="true" borderId="7782" fillId="0" fontId="1" numFmtId="1000" quotePrefix="false">
      <alignment horizontal="left" vertical="top"/>
    </xf>
    <xf applyAlignment="true" applyBorder="true" applyFill="false" applyFont="false" applyNumberFormat="true" borderId="7783" fillId="0" fontId="1" numFmtId="1000" quotePrefix="false">
      <alignment horizontal="left" vertical="top"/>
    </xf>
    <xf applyAlignment="true" applyBorder="true" applyFill="false" applyFont="false" applyNumberFormat="true" borderId="7784" fillId="0" fontId="1" numFmtId="1000" quotePrefix="false">
      <alignment horizontal="left" vertical="top"/>
    </xf>
    <xf applyAlignment="true" applyBorder="true" applyFill="false" applyFont="false" applyNumberFormat="true" borderId="7785" fillId="0" fontId="1" numFmtId="1000" quotePrefix="false">
      <alignment horizontal="left" vertical="top"/>
    </xf>
    <xf applyAlignment="true" applyBorder="true" applyFill="false" applyFont="false" applyNumberFormat="true" borderId="7786" fillId="0" fontId="1" numFmtId="1000" quotePrefix="false">
      <alignment horizontal="left" vertical="top"/>
    </xf>
    <xf applyAlignment="true" applyBorder="true" applyFill="false" applyFont="false" applyNumberFormat="true" borderId="7787" fillId="0" fontId="1" numFmtId="1000" quotePrefix="false">
      <alignment horizontal="left" vertical="top"/>
    </xf>
    <xf applyAlignment="true" applyBorder="true" applyFill="false" applyFont="false" applyNumberFormat="true" borderId="7788" fillId="0" fontId="1" numFmtId="1000" quotePrefix="false">
      <alignment horizontal="left" vertical="top"/>
    </xf>
    <xf applyAlignment="true" applyBorder="true" applyFill="false" applyFont="false" applyNumberFormat="true" borderId="7789" fillId="0" fontId="1" numFmtId="1000" quotePrefix="false">
      <alignment horizontal="left" vertical="top"/>
    </xf>
    <xf applyAlignment="true" applyBorder="true" applyFill="false" applyFont="false" applyNumberFormat="true" borderId="7790" fillId="0" fontId="1" numFmtId="1000" quotePrefix="false">
      <alignment horizontal="left" vertical="top"/>
    </xf>
    <xf applyAlignment="true" applyBorder="true" applyFill="false" applyFont="false" applyNumberFormat="true" borderId="7791" fillId="0" fontId="1" numFmtId="1000" quotePrefix="false">
      <alignment horizontal="left" vertical="top"/>
    </xf>
    <xf applyAlignment="true" applyBorder="true" applyFill="false" applyFont="false" applyNumberFormat="true" borderId="7792" fillId="0" fontId="1" numFmtId="1000" quotePrefix="false">
      <alignment horizontal="left" vertical="top"/>
    </xf>
    <xf applyAlignment="true" applyBorder="true" applyFill="false" applyFont="false" applyNumberFormat="true" borderId="7793" fillId="0" fontId="1" numFmtId="1000" quotePrefix="false">
      <alignment horizontal="left" vertical="top"/>
    </xf>
    <xf applyAlignment="true" applyBorder="true" applyFill="false" applyFont="false" applyNumberFormat="true" borderId="7794" fillId="0" fontId="1" numFmtId="1000" quotePrefix="false">
      <alignment horizontal="left" vertical="top"/>
    </xf>
    <xf applyAlignment="true" applyBorder="true" applyFill="false" applyFont="false" applyNumberFormat="true" borderId="7795" fillId="0" fontId="1" numFmtId="1000" quotePrefix="false">
      <alignment horizontal="left" vertical="top"/>
    </xf>
    <xf applyAlignment="true" applyBorder="true" applyFill="false" applyFont="false" applyNumberFormat="true" borderId="7796" fillId="0" fontId="1" numFmtId="1000" quotePrefix="false">
      <alignment horizontal="left" vertical="top"/>
    </xf>
    <xf applyAlignment="true" applyBorder="true" applyFill="false" applyFont="false" applyNumberFormat="true" borderId="7797" fillId="0" fontId="1" numFmtId="1000" quotePrefix="false">
      <alignment horizontal="left" vertical="top"/>
    </xf>
    <xf applyAlignment="true" applyBorder="true" applyFill="false" applyFont="false" applyNumberFormat="true" borderId="7798" fillId="0" fontId="1" numFmtId="1000" quotePrefix="false">
      <alignment horizontal="left" vertical="top"/>
    </xf>
    <xf applyAlignment="true" applyBorder="true" applyFill="false" applyFont="false" applyNumberFormat="true" borderId="7799" fillId="0" fontId="1" numFmtId="1000" quotePrefix="false">
      <alignment horizontal="left" vertical="top"/>
    </xf>
    <xf applyAlignment="true" applyBorder="true" applyFill="false" applyFont="true" applyNumberFormat="true" borderId="7800" fillId="0" fontId="2" numFmtId="1001" quotePrefix="false">
      <alignment horizontal="center"/>
    </xf>
    <xf applyAlignment="true" applyBorder="true" applyFill="false" applyFont="true" applyNumberFormat="true" borderId="7801" fillId="0" fontId="2" numFmtId="1001" quotePrefix="false">
      <alignment horizontal="center"/>
    </xf>
    <xf applyAlignment="true" applyBorder="true" applyFill="false" applyFont="true" applyNumberFormat="true" borderId="7802" fillId="0" fontId="2" numFmtId="1001" quotePrefix="false">
      <alignment horizontal="center"/>
    </xf>
    <xf applyAlignment="true" applyBorder="true" applyFill="false" applyFont="false" applyNumberFormat="true" borderId="7803" fillId="0" fontId="1" numFmtId="1000" quotePrefix="false">
      <alignment horizontal="center" vertical="top"/>
    </xf>
    <xf applyAlignment="true" applyBorder="true" applyFill="false" applyFont="false" applyNumberFormat="true" borderId="7804" fillId="0" fontId="1" numFmtId="1000" quotePrefix="false">
      <alignment horizontal="center" vertical="top"/>
    </xf>
    <xf applyAlignment="true" applyBorder="true" applyFill="false" applyFont="false" applyNumberFormat="true" borderId="7805" fillId="0" fontId="1" numFmtId="1000" quotePrefix="false">
      <alignment horizontal="center" vertical="top"/>
    </xf>
    <xf applyAlignment="true" applyBorder="true" applyFill="false" applyFont="false" applyNumberFormat="true" borderId="7806" fillId="0" fontId="1" numFmtId="1000" quotePrefix="false">
      <alignment horizontal="center" vertical="top"/>
    </xf>
    <xf applyAlignment="true" applyBorder="true" applyFill="false" applyFont="false" applyNumberFormat="true" borderId="7807" fillId="0" fontId="1" numFmtId="1000" quotePrefix="false">
      <alignment horizontal="center" vertical="top"/>
    </xf>
    <xf applyAlignment="true" applyBorder="true" applyFill="false" applyFont="false" applyNumberFormat="true" borderId="7808" fillId="0" fontId="1" numFmtId="1000" quotePrefix="false">
      <alignment horizontal="center" vertical="top"/>
    </xf>
    <xf applyAlignment="true" applyBorder="true" applyFill="false" applyFont="false" applyNumberFormat="true" borderId="7809" fillId="0" fontId="1" numFmtId="1000" quotePrefix="false">
      <alignment horizontal="center" vertical="top"/>
    </xf>
    <xf applyAlignment="true" applyBorder="true" applyFill="false" applyFont="false" applyNumberFormat="true" borderId="7810" fillId="0" fontId="1" numFmtId="1000" quotePrefix="false">
      <alignment horizontal="center" vertical="top"/>
    </xf>
    <xf applyAlignment="true" applyBorder="true" applyFill="false" applyFont="false" applyNumberFormat="true" borderId="7811" fillId="0" fontId="1" numFmtId="1000" quotePrefix="false">
      <alignment horizontal="center" vertical="top"/>
    </xf>
    <xf applyAlignment="true" applyBorder="true" applyFill="false" applyFont="false" applyNumberFormat="true" borderId="7812" fillId="0" fontId="1" numFmtId="1000" quotePrefix="false">
      <alignment horizontal="center" vertical="top"/>
    </xf>
    <xf applyAlignment="true" applyBorder="true" applyFill="false" applyFont="false" applyNumberFormat="true" borderId="7813" fillId="0" fontId="1" numFmtId="1000" quotePrefix="false">
      <alignment horizontal="center" vertical="top"/>
    </xf>
    <xf applyAlignment="true" applyBorder="true" applyFill="false" applyFont="false" applyNumberFormat="true" borderId="7814" fillId="0" fontId="1" numFmtId="1000" quotePrefix="false">
      <alignment horizontal="center" vertical="top"/>
    </xf>
    <xf applyAlignment="true" applyBorder="true" applyFill="false" applyFont="false" applyNumberFormat="true" borderId="7815" fillId="0" fontId="1" numFmtId="1000" quotePrefix="false">
      <alignment horizontal="center" vertical="top"/>
    </xf>
    <xf applyAlignment="true" applyBorder="true" applyFill="false" applyFont="false" applyNumberFormat="true" borderId="7816" fillId="0" fontId="1" numFmtId="1000" quotePrefix="false">
      <alignment horizontal="center" vertical="top"/>
    </xf>
    <xf applyAlignment="true" applyBorder="true" applyFill="false" applyFont="false" applyNumberFormat="true" borderId="7817" fillId="0" fontId="1" numFmtId="1000" quotePrefix="false">
      <alignment horizontal="center" vertical="top"/>
    </xf>
    <xf applyAlignment="true" applyBorder="true" applyFill="false" applyFont="false" applyNumberFormat="true" borderId="7818" fillId="0" fontId="1" numFmtId="1000" quotePrefix="false">
      <alignment horizontal="center" vertical="top"/>
    </xf>
    <xf applyAlignment="true" applyBorder="true" applyFill="false" applyFont="false" applyNumberFormat="true" borderId="7819" fillId="0" fontId="1" numFmtId="1000" quotePrefix="false">
      <alignment horizontal="center" vertical="top"/>
    </xf>
    <xf applyAlignment="true" applyBorder="true" applyFill="false" applyFont="false" applyNumberFormat="true" borderId="7820" fillId="0" fontId="1" numFmtId="1000" quotePrefix="false">
      <alignment horizontal="center" vertical="top"/>
    </xf>
    <xf applyAlignment="true" applyBorder="true" applyFill="false" applyFont="false" applyNumberFormat="true" borderId="7821" fillId="0" fontId="1" numFmtId="1000" quotePrefix="false">
      <alignment horizontal="center" vertical="top"/>
    </xf>
    <xf applyAlignment="true" applyBorder="true" applyFill="false" applyFont="false" applyNumberFormat="true" borderId="7822" fillId="0" fontId="1" numFmtId="1000" quotePrefix="false">
      <alignment horizontal="center" vertical="top"/>
    </xf>
    <xf applyAlignment="true" applyBorder="true" applyFill="false" applyFont="false" applyNumberFormat="true" borderId="7823" fillId="0" fontId="1" numFmtId="1000" quotePrefix="false">
      <alignment horizontal="center" vertical="top"/>
    </xf>
    <xf applyAlignment="true" applyBorder="true" applyFill="false" applyFont="false" applyNumberFormat="true" borderId="7824" fillId="0" fontId="1" numFmtId="1000" quotePrefix="false">
      <alignment horizontal="center" vertical="top"/>
    </xf>
    <xf applyAlignment="true" applyBorder="true" applyFill="false" applyFont="false" applyNumberFormat="true" borderId="7825" fillId="0" fontId="1" numFmtId="1000" quotePrefix="false">
      <alignment horizontal="center" vertical="top"/>
    </xf>
    <xf applyAlignment="true" applyBorder="true" applyFill="false" applyFont="false" applyNumberFormat="true" borderId="7826" fillId="0" fontId="1" numFmtId="1000" quotePrefix="false">
      <alignment horizontal="center" vertical="top"/>
    </xf>
    <xf applyAlignment="true" applyBorder="true" applyFill="false" applyFont="false" applyNumberFormat="true" borderId="7827" fillId="0" fontId="1" numFmtId="1000" quotePrefix="false">
      <alignment horizontal="center" vertical="top"/>
    </xf>
    <xf applyAlignment="true" applyBorder="true" applyFill="false" applyFont="false" applyNumberFormat="true" borderId="7828" fillId="0" fontId="1" numFmtId="1000" quotePrefix="false">
      <alignment horizontal="center" vertical="top"/>
    </xf>
    <xf applyAlignment="true" applyBorder="true" applyFill="false" applyFont="false" applyNumberFormat="true" borderId="7829" fillId="0" fontId="1" numFmtId="1000" quotePrefix="false">
      <alignment horizontal="center" vertical="top"/>
    </xf>
    <xf applyAlignment="true" applyBorder="true" applyFill="false" applyFont="false" applyNumberFormat="true" borderId="7830" fillId="0" fontId="1" numFmtId="1000" quotePrefix="false">
      <alignment horizontal="center" vertical="top"/>
    </xf>
    <xf applyAlignment="true" applyBorder="true" applyFill="false" applyFont="false" applyNumberFormat="true" borderId="7831" fillId="0" fontId="1" numFmtId="1000" quotePrefix="false">
      <alignment horizontal="center" vertical="top"/>
    </xf>
    <xf applyAlignment="true" applyBorder="true" applyFill="false" applyFont="false" applyNumberFormat="true" borderId="7832" fillId="0" fontId="1" numFmtId="1000" quotePrefix="false">
      <alignment horizontal="center" vertical="top"/>
    </xf>
    <xf applyAlignment="true" applyBorder="true" applyFill="false" applyFont="false" applyNumberFormat="true" borderId="7833" fillId="0" fontId="1" numFmtId="1000" quotePrefix="false">
      <alignment horizontal="center" vertical="top"/>
    </xf>
    <xf applyAlignment="true" applyBorder="true" applyFill="false" applyFont="false" applyNumberFormat="true" borderId="7834" fillId="0" fontId="1" numFmtId="1000" quotePrefix="false">
      <alignment horizontal="center" vertical="top"/>
    </xf>
    <xf applyAlignment="true" applyBorder="true" applyFill="false" applyFont="false" applyNumberFormat="true" borderId="7835" fillId="0" fontId="1" numFmtId="1000" quotePrefix="false">
      <alignment horizontal="center" vertical="top"/>
    </xf>
    <xf applyAlignment="true" applyBorder="true" applyFill="false" applyFont="true" applyNumberFormat="true" borderId="7836" fillId="0" fontId="2" numFmtId="1000" quotePrefix="false">
      <alignment horizontal="center" vertical="top"/>
    </xf>
    <xf applyAlignment="true" applyBorder="true" applyFill="false" applyFont="false" applyNumberFormat="true" borderId="7837" fillId="0" fontId="1" numFmtId="1000" quotePrefix="false">
      <alignment horizontal="left" vertical="top"/>
    </xf>
    <xf applyAlignment="true" applyBorder="true" applyFill="false" applyFont="false" applyNumberFormat="true" borderId="7838" fillId="0" fontId="1" numFmtId="1000" quotePrefix="false">
      <alignment horizontal="left" vertical="top"/>
    </xf>
    <xf applyAlignment="true" applyBorder="true" applyFill="false" applyFont="false" applyNumberFormat="true" borderId="7839" fillId="0" fontId="1" numFmtId="1000" quotePrefix="false">
      <alignment horizontal="left" vertical="top"/>
    </xf>
    <xf applyAlignment="true" applyBorder="true" applyFill="false" applyFont="false" applyNumberFormat="true" borderId="7840" fillId="0" fontId="1" numFmtId="1000" quotePrefix="false">
      <alignment horizontal="left" vertical="top"/>
    </xf>
    <xf applyAlignment="true" applyBorder="true" applyFill="false" applyFont="false" applyNumberFormat="true" borderId="7841" fillId="0" fontId="1" numFmtId="1000" quotePrefix="false">
      <alignment horizontal="left" vertical="top"/>
    </xf>
    <xf applyAlignment="true" applyBorder="true" applyFill="false" applyFont="false" applyNumberFormat="true" borderId="7842" fillId="0" fontId="1" numFmtId="1000" quotePrefix="false">
      <alignment horizontal="left" vertical="top"/>
    </xf>
    <xf applyAlignment="true" applyBorder="true" applyFill="false" applyFont="false" applyNumberFormat="true" borderId="7843" fillId="0" fontId="1" numFmtId="1000" quotePrefix="false">
      <alignment horizontal="left" vertical="top"/>
    </xf>
    <xf applyAlignment="true" applyBorder="true" applyFill="false" applyFont="false" applyNumberFormat="true" borderId="7844" fillId="0" fontId="1" numFmtId="1000" quotePrefix="false">
      <alignment horizontal="left" vertical="top"/>
    </xf>
    <xf applyAlignment="true" applyBorder="true" applyFill="false" applyFont="false" applyNumberFormat="true" borderId="7845" fillId="0" fontId="1" numFmtId="1000" quotePrefix="false">
      <alignment horizontal="left" vertical="top"/>
    </xf>
    <xf applyAlignment="true" applyBorder="true" applyFill="false" applyFont="false" applyNumberFormat="true" borderId="7846" fillId="0" fontId="1" numFmtId="1000" quotePrefix="false">
      <alignment horizontal="left" vertical="top"/>
    </xf>
    <xf applyAlignment="true" applyBorder="true" applyFill="false" applyFont="false" applyNumberFormat="true" borderId="7847" fillId="0" fontId="1" numFmtId="1000" quotePrefix="false">
      <alignment horizontal="left" vertical="top"/>
    </xf>
    <xf applyAlignment="true" applyBorder="true" applyFill="false" applyFont="false" applyNumberFormat="true" borderId="7848" fillId="0" fontId="1" numFmtId="1000" quotePrefix="false">
      <alignment horizontal="left" vertical="top"/>
    </xf>
    <xf applyAlignment="true" applyBorder="true" applyFill="false" applyFont="false" applyNumberFormat="true" borderId="7849" fillId="0" fontId="1" numFmtId="1000" quotePrefix="false">
      <alignment horizontal="left" vertical="top"/>
    </xf>
    <xf applyAlignment="true" applyBorder="true" applyFill="false" applyFont="false" applyNumberFormat="true" borderId="7850" fillId="0" fontId="1" numFmtId="1000" quotePrefix="false">
      <alignment horizontal="left" vertical="top"/>
    </xf>
    <xf applyAlignment="true" applyBorder="true" applyFill="false" applyFont="false" applyNumberFormat="true" borderId="7851" fillId="0" fontId="1" numFmtId="1000" quotePrefix="false">
      <alignment horizontal="left" vertical="top"/>
    </xf>
    <xf applyAlignment="true" applyBorder="true" applyFill="false" applyFont="false" applyNumberFormat="true" borderId="7852" fillId="0" fontId="1" numFmtId="1000" quotePrefix="false">
      <alignment horizontal="left" vertical="top"/>
    </xf>
    <xf applyAlignment="true" applyBorder="true" applyFill="false" applyFont="false" applyNumberFormat="true" borderId="7853" fillId="0" fontId="1" numFmtId="1000" quotePrefix="false">
      <alignment horizontal="left" vertical="top"/>
    </xf>
    <xf applyAlignment="true" applyBorder="true" applyFill="false" applyFont="false" applyNumberFormat="true" borderId="7854" fillId="0" fontId="1" numFmtId="1000" quotePrefix="false">
      <alignment horizontal="left" vertical="top"/>
    </xf>
    <xf applyAlignment="true" applyBorder="true" applyFill="false" applyFont="false" applyNumberFormat="true" borderId="7855" fillId="0" fontId="1" numFmtId="1000" quotePrefix="false">
      <alignment horizontal="left" vertical="top"/>
    </xf>
    <xf applyAlignment="true" applyBorder="true" applyFill="false" applyFont="true" applyNumberFormat="true" borderId="7856" fillId="0" fontId="2" numFmtId="1001" quotePrefix="false">
      <alignment horizontal="center"/>
    </xf>
    <xf applyAlignment="true" applyBorder="true" applyFill="false" applyFont="true" applyNumberFormat="true" borderId="7857" fillId="0" fontId="2" numFmtId="1001" quotePrefix="false">
      <alignment horizontal="center"/>
    </xf>
    <xf applyAlignment="true" applyBorder="true" applyFill="false" applyFont="true" applyNumberFormat="true" borderId="7858" fillId="0" fontId="2" numFmtId="1001" quotePrefix="false">
      <alignment horizontal="center"/>
    </xf>
    <xf applyAlignment="true" applyBorder="true" applyFill="false" applyFont="false" applyNumberFormat="true" borderId="7859" fillId="0" fontId="1" numFmtId="1000" quotePrefix="false">
      <alignment horizontal="center" vertical="top"/>
    </xf>
    <xf applyAlignment="true" applyBorder="true" applyFill="false" applyFont="false" applyNumberFormat="true" borderId="7860" fillId="0" fontId="1" numFmtId="1000" quotePrefix="false">
      <alignment horizontal="center" vertical="top"/>
    </xf>
    <xf applyAlignment="true" applyBorder="true" applyFill="false" applyFont="false" applyNumberFormat="true" borderId="7861" fillId="0" fontId="1" numFmtId="1000" quotePrefix="false">
      <alignment horizontal="center" vertical="top"/>
    </xf>
    <xf applyAlignment="true" applyBorder="true" applyFill="false" applyFont="false" applyNumberFormat="true" borderId="7862" fillId="0" fontId="1" numFmtId="1000" quotePrefix="false">
      <alignment horizontal="center" vertical="top"/>
    </xf>
    <xf applyAlignment="true" applyBorder="true" applyFill="false" applyFont="false" applyNumberFormat="true" borderId="7863" fillId="0" fontId="1" numFmtId="1000" quotePrefix="false">
      <alignment horizontal="center" vertical="top"/>
    </xf>
    <xf applyAlignment="true" applyBorder="true" applyFill="false" applyFont="false" applyNumberFormat="true" borderId="7864" fillId="0" fontId="1" numFmtId="1000" quotePrefix="false">
      <alignment horizontal="center" vertical="top"/>
    </xf>
    <xf applyAlignment="true" applyBorder="true" applyFill="false" applyFont="false" applyNumberFormat="true" borderId="7865" fillId="0" fontId="1" numFmtId="1000" quotePrefix="false">
      <alignment horizontal="center" vertical="top"/>
    </xf>
    <xf applyAlignment="true" applyBorder="true" applyFill="false" applyFont="false" applyNumberFormat="true" borderId="7866" fillId="0" fontId="1" numFmtId="1000" quotePrefix="false">
      <alignment horizontal="center" vertical="top"/>
    </xf>
    <xf applyAlignment="true" applyBorder="true" applyFill="false" applyFont="false" applyNumberFormat="true" borderId="7867" fillId="0" fontId="1" numFmtId="1000" quotePrefix="false">
      <alignment horizontal="center" vertical="top"/>
    </xf>
    <xf applyAlignment="true" applyBorder="true" applyFill="false" applyFont="false" applyNumberFormat="true" borderId="7868" fillId="0" fontId="1" numFmtId="1000" quotePrefix="false">
      <alignment horizontal="center" vertical="top"/>
    </xf>
    <xf applyAlignment="true" applyBorder="true" applyFill="false" applyFont="false" applyNumberFormat="true" borderId="7869" fillId="0" fontId="1" numFmtId="1000" quotePrefix="false">
      <alignment horizontal="center" vertical="top"/>
    </xf>
    <xf applyAlignment="true" applyBorder="true" applyFill="false" applyFont="false" applyNumberFormat="true" borderId="7870" fillId="0" fontId="1" numFmtId="1000" quotePrefix="false">
      <alignment horizontal="center" vertical="top"/>
    </xf>
    <xf applyAlignment="true" applyBorder="true" applyFill="false" applyFont="false" applyNumberFormat="true" borderId="7871" fillId="0" fontId="1" numFmtId="1000" quotePrefix="false">
      <alignment horizontal="center" vertical="top"/>
    </xf>
    <xf applyAlignment="true" applyBorder="true" applyFill="false" applyFont="false" applyNumberFormat="true" borderId="7872" fillId="0" fontId="1" numFmtId="1000" quotePrefix="false">
      <alignment horizontal="center" vertical="top"/>
    </xf>
    <xf applyAlignment="true" applyBorder="true" applyFill="false" applyFont="false" applyNumberFormat="true" borderId="7873" fillId="0" fontId="1" numFmtId="1000" quotePrefix="false">
      <alignment horizontal="center" vertical="top"/>
    </xf>
    <xf applyAlignment="true" applyBorder="true" applyFill="false" applyFont="false" applyNumberFormat="true" borderId="7874" fillId="0" fontId="1" numFmtId="1000" quotePrefix="false">
      <alignment horizontal="center" vertical="top"/>
    </xf>
    <xf applyAlignment="true" applyBorder="true" applyFill="false" applyFont="false" applyNumberFormat="true" borderId="7875" fillId="0" fontId="1" numFmtId="1000" quotePrefix="false">
      <alignment horizontal="center" vertical="top"/>
    </xf>
    <xf applyAlignment="true" applyBorder="true" applyFill="false" applyFont="false" applyNumberFormat="true" borderId="7876" fillId="0" fontId="1" numFmtId="1000" quotePrefix="false">
      <alignment horizontal="center" vertical="top"/>
    </xf>
    <xf applyAlignment="true" applyBorder="true" applyFill="false" applyFont="false" applyNumberFormat="true" borderId="7877" fillId="0" fontId="1" numFmtId="1000" quotePrefix="false">
      <alignment horizontal="center" vertical="top"/>
    </xf>
    <xf applyAlignment="true" applyBorder="true" applyFill="false" applyFont="false" applyNumberFormat="true" borderId="7878" fillId="0" fontId="1" numFmtId="1000" quotePrefix="false">
      <alignment horizontal="center" vertical="top"/>
    </xf>
    <xf applyAlignment="true" applyBorder="true" applyFill="false" applyFont="false" applyNumberFormat="true" borderId="7879" fillId="0" fontId="1" numFmtId="1000" quotePrefix="false">
      <alignment horizontal="center" vertical="top"/>
    </xf>
    <xf applyAlignment="true" applyBorder="true" applyFill="false" applyFont="false" applyNumberFormat="true" borderId="7880" fillId="0" fontId="1" numFmtId="1000" quotePrefix="false">
      <alignment horizontal="center" vertical="top"/>
    </xf>
    <xf applyAlignment="true" applyBorder="true" applyFill="false" applyFont="false" applyNumberFormat="true" borderId="7881" fillId="0" fontId="1" numFmtId="1000" quotePrefix="false">
      <alignment horizontal="center" vertical="top"/>
    </xf>
    <xf applyAlignment="true" applyBorder="true" applyFill="false" applyFont="false" applyNumberFormat="true" borderId="7882" fillId="0" fontId="1" numFmtId="1000" quotePrefix="false">
      <alignment horizontal="center" vertical="top"/>
    </xf>
    <xf applyAlignment="true" applyBorder="true" applyFill="false" applyFont="false" applyNumberFormat="true" borderId="7883" fillId="0" fontId="1" numFmtId="1000" quotePrefix="false">
      <alignment horizontal="center" vertical="top"/>
    </xf>
    <xf applyAlignment="true" applyBorder="true" applyFill="false" applyFont="false" applyNumberFormat="true" borderId="7884" fillId="0" fontId="1" numFmtId="1000" quotePrefix="false">
      <alignment horizontal="center" vertical="top"/>
    </xf>
    <xf applyAlignment="true" applyBorder="true" applyFill="false" applyFont="false" applyNumberFormat="true" borderId="7885" fillId="0" fontId="1" numFmtId="1000" quotePrefix="false">
      <alignment horizontal="center" vertical="top"/>
    </xf>
    <xf applyAlignment="true" applyBorder="true" applyFill="false" applyFont="false" applyNumberFormat="true" borderId="7886" fillId="0" fontId="1" numFmtId="1000" quotePrefix="false">
      <alignment horizontal="center" vertical="top"/>
    </xf>
    <xf applyAlignment="true" applyBorder="true" applyFill="false" applyFont="false" applyNumberFormat="true" borderId="7887" fillId="0" fontId="1" numFmtId="1000" quotePrefix="false">
      <alignment horizontal="center" vertical="top"/>
    </xf>
    <xf applyAlignment="true" applyBorder="true" applyFill="false" applyFont="false" applyNumberFormat="true" borderId="7888" fillId="0" fontId="1" numFmtId="1000" quotePrefix="false">
      <alignment horizontal="center" vertical="top"/>
    </xf>
    <xf applyAlignment="true" applyBorder="true" applyFill="false" applyFont="false" applyNumberFormat="true" borderId="7889" fillId="0" fontId="1" numFmtId="1000" quotePrefix="false">
      <alignment horizontal="center" vertical="top"/>
    </xf>
    <xf applyAlignment="true" applyBorder="true" applyFill="false" applyFont="false" applyNumberFormat="true" borderId="7890" fillId="0" fontId="1" numFmtId="1000" quotePrefix="false">
      <alignment horizontal="center" vertical="top"/>
    </xf>
    <xf applyAlignment="true" applyBorder="true" applyFill="false" applyFont="false" applyNumberFormat="true" borderId="7891" fillId="0" fontId="1" numFmtId="1000" quotePrefix="false">
      <alignment horizontal="center" vertical="top"/>
    </xf>
    <xf applyAlignment="true" applyBorder="true" applyFill="false" applyFont="true" applyNumberFormat="true" borderId="7892" fillId="0" fontId="2" numFmtId="1000" quotePrefix="false">
      <alignment horizontal="center" vertical="top"/>
    </xf>
    <xf applyAlignment="true" applyBorder="true" applyFill="false" applyFont="false" applyNumberFormat="true" borderId="7893" fillId="0" fontId="1" numFmtId="1000" quotePrefix="false">
      <alignment horizontal="left" vertical="top"/>
    </xf>
    <xf applyAlignment="true" applyBorder="true" applyFill="false" applyFont="false" applyNumberFormat="true" borderId="7894" fillId="0" fontId="1" numFmtId="1000" quotePrefix="false">
      <alignment horizontal="left" vertical="top"/>
    </xf>
    <xf applyAlignment="true" applyBorder="true" applyFill="false" applyFont="false" applyNumberFormat="true" borderId="7895" fillId="0" fontId="1" numFmtId="1000" quotePrefix="false">
      <alignment horizontal="left" vertical="top"/>
    </xf>
    <xf applyAlignment="true" applyBorder="true" applyFill="false" applyFont="false" applyNumberFormat="true" borderId="7896" fillId="0" fontId="1" numFmtId="1000" quotePrefix="false">
      <alignment horizontal="left" vertical="top"/>
    </xf>
    <xf applyAlignment="true" applyBorder="true" applyFill="false" applyFont="false" applyNumberFormat="true" borderId="7897" fillId="0" fontId="1" numFmtId="1000" quotePrefix="false">
      <alignment horizontal="left" vertical="top"/>
    </xf>
    <xf applyAlignment="true" applyBorder="true" applyFill="false" applyFont="false" applyNumberFormat="true" borderId="7898" fillId="0" fontId="1" numFmtId="1000" quotePrefix="false">
      <alignment horizontal="left" vertical="top"/>
    </xf>
    <xf applyAlignment="true" applyBorder="true" applyFill="false" applyFont="false" applyNumberFormat="true" borderId="7899" fillId="0" fontId="1" numFmtId="1000" quotePrefix="false">
      <alignment horizontal="left" vertical="top"/>
    </xf>
    <xf applyAlignment="true" applyBorder="true" applyFill="false" applyFont="false" applyNumberFormat="true" borderId="7900" fillId="0" fontId="1" numFmtId="1000" quotePrefix="false">
      <alignment horizontal="left" vertical="top"/>
    </xf>
    <xf applyAlignment="true" applyBorder="true" applyFill="false" applyFont="false" applyNumberFormat="true" borderId="7901" fillId="0" fontId="1" numFmtId="1000" quotePrefix="false">
      <alignment horizontal="left" vertical="top"/>
    </xf>
    <xf applyAlignment="true" applyBorder="true" applyFill="false" applyFont="false" applyNumberFormat="true" borderId="7902" fillId="0" fontId="1" numFmtId="1000" quotePrefix="false">
      <alignment horizontal="left" vertical="top"/>
    </xf>
    <xf applyAlignment="true" applyBorder="true" applyFill="false" applyFont="false" applyNumberFormat="true" borderId="7903" fillId="0" fontId="1" numFmtId="1000" quotePrefix="false">
      <alignment horizontal="left" vertical="top"/>
    </xf>
    <xf applyAlignment="true" applyBorder="true" applyFill="false" applyFont="false" applyNumberFormat="true" borderId="7904" fillId="0" fontId="1" numFmtId="1000" quotePrefix="false">
      <alignment horizontal="left" vertical="top"/>
    </xf>
    <xf applyAlignment="true" applyBorder="true" applyFill="false" applyFont="false" applyNumberFormat="true" borderId="7905" fillId="0" fontId="1" numFmtId="1000" quotePrefix="false">
      <alignment horizontal="left" vertical="top"/>
    </xf>
    <xf applyAlignment="true" applyBorder="true" applyFill="false" applyFont="false" applyNumberFormat="true" borderId="7906" fillId="0" fontId="1" numFmtId="1000" quotePrefix="false">
      <alignment horizontal="left" vertical="top"/>
    </xf>
    <xf applyAlignment="true" applyBorder="true" applyFill="false" applyFont="false" applyNumberFormat="true" borderId="7907" fillId="0" fontId="1" numFmtId="1000" quotePrefix="false">
      <alignment horizontal="left" vertical="top"/>
    </xf>
    <xf applyAlignment="true" applyBorder="true" applyFill="false" applyFont="false" applyNumberFormat="true" borderId="7908" fillId="0" fontId="1" numFmtId="1000" quotePrefix="false">
      <alignment horizontal="left" vertical="top"/>
    </xf>
    <xf applyAlignment="true" applyBorder="true" applyFill="false" applyFont="false" applyNumberFormat="true" borderId="7909" fillId="0" fontId="1" numFmtId="1000" quotePrefix="false">
      <alignment horizontal="left" vertical="top"/>
    </xf>
    <xf applyAlignment="true" applyBorder="true" applyFill="false" applyFont="false" applyNumberFormat="true" borderId="7910" fillId="0" fontId="1" numFmtId="1000" quotePrefix="false">
      <alignment horizontal="left" vertical="top"/>
    </xf>
    <xf applyAlignment="true" applyBorder="true" applyFill="false" applyFont="false" applyNumberFormat="true" borderId="7911" fillId="0" fontId="1" numFmtId="1000" quotePrefix="false">
      <alignment horizontal="left" vertical="top"/>
    </xf>
    <xf applyAlignment="true" applyBorder="true" applyFill="false" applyFont="true" applyNumberFormat="true" borderId="7912" fillId="0" fontId="2" numFmtId="1001" quotePrefix="false">
      <alignment horizontal="center"/>
    </xf>
    <xf applyAlignment="true" applyBorder="true" applyFill="false" applyFont="true" applyNumberFormat="true" borderId="7913" fillId="0" fontId="2" numFmtId="1001" quotePrefix="false">
      <alignment horizontal="center"/>
    </xf>
    <xf applyAlignment="true" applyBorder="true" applyFill="false" applyFont="true" applyNumberFormat="true" borderId="7914" fillId="0" fontId="2" numFmtId="1001" quotePrefix="false">
      <alignment horizontal="center"/>
    </xf>
    <xf applyAlignment="true" applyBorder="true" applyFill="false" applyFont="false" applyNumberFormat="true" borderId="7915" fillId="0" fontId="1" numFmtId="1000" quotePrefix="false">
      <alignment horizontal="center" vertical="top"/>
    </xf>
    <xf applyAlignment="true" applyBorder="true" applyFill="false" applyFont="false" applyNumberFormat="true" borderId="7916" fillId="0" fontId="1" numFmtId="1000" quotePrefix="false">
      <alignment horizontal="center" vertical="top"/>
    </xf>
    <xf applyAlignment="true" applyBorder="true" applyFill="false" applyFont="false" applyNumberFormat="true" borderId="7917" fillId="0" fontId="1" numFmtId="1000" quotePrefix="false">
      <alignment horizontal="center" vertical="top"/>
    </xf>
    <xf applyAlignment="true" applyBorder="true" applyFill="false" applyFont="false" applyNumberFormat="true" borderId="7918" fillId="0" fontId="1" numFmtId="1000" quotePrefix="false">
      <alignment horizontal="center" vertical="top"/>
    </xf>
    <xf applyAlignment="true" applyBorder="true" applyFill="false" applyFont="false" applyNumberFormat="true" borderId="7919" fillId="0" fontId="1" numFmtId="1000" quotePrefix="false">
      <alignment horizontal="center" vertical="top"/>
    </xf>
    <xf applyAlignment="true" applyBorder="true" applyFill="false" applyFont="false" applyNumberFormat="true" borderId="7920" fillId="0" fontId="1" numFmtId="1000" quotePrefix="false">
      <alignment horizontal="center" vertical="top"/>
    </xf>
    <xf applyAlignment="true" applyBorder="true" applyFill="false" applyFont="false" applyNumberFormat="true" borderId="7921" fillId="0" fontId="1" numFmtId="1000" quotePrefix="false">
      <alignment horizontal="center" vertical="top"/>
    </xf>
    <xf applyAlignment="true" applyBorder="true" applyFill="false" applyFont="false" applyNumberFormat="true" borderId="7922" fillId="0" fontId="1" numFmtId="1000" quotePrefix="false">
      <alignment horizontal="center" vertical="top"/>
    </xf>
    <xf applyAlignment="true" applyBorder="true" applyFill="false" applyFont="false" applyNumberFormat="true" borderId="7923" fillId="0" fontId="1" numFmtId="1000" quotePrefix="false">
      <alignment horizontal="center" vertical="top"/>
    </xf>
    <xf applyAlignment="true" applyBorder="true" applyFill="false" applyFont="false" applyNumberFormat="true" borderId="7924" fillId="0" fontId="1" numFmtId="1000" quotePrefix="false">
      <alignment horizontal="center" vertical="top"/>
    </xf>
    <xf applyAlignment="true" applyBorder="true" applyFill="false" applyFont="false" applyNumberFormat="true" borderId="7925" fillId="0" fontId="1" numFmtId="1000" quotePrefix="false">
      <alignment horizontal="center" vertical="top"/>
    </xf>
    <xf applyAlignment="true" applyBorder="true" applyFill="false" applyFont="false" applyNumberFormat="true" borderId="7926" fillId="0" fontId="1" numFmtId="1000" quotePrefix="false">
      <alignment horizontal="center" vertical="top"/>
    </xf>
    <xf applyAlignment="true" applyBorder="true" applyFill="false" applyFont="false" applyNumberFormat="true" borderId="7927" fillId="0" fontId="1" numFmtId="1000" quotePrefix="false">
      <alignment horizontal="center" vertical="top"/>
    </xf>
    <xf applyAlignment="true" applyBorder="true" applyFill="false" applyFont="false" applyNumberFormat="true" borderId="7928" fillId="0" fontId="1" numFmtId="1000" quotePrefix="false">
      <alignment horizontal="center" vertical="top"/>
    </xf>
    <xf applyAlignment="true" applyBorder="true" applyFill="false" applyFont="false" applyNumberFormat="true" borderId="7929" fillId="0" fontId="1" numFmtId="1000" quotePrefix="false">
      <alignment horizontal="center" vertical="top"/>
    </xf>
    <xf applyAlignment="true" applyBorder="true" applyFill="false" applyFont="false" applyNumberFormat="true" borderId="7930" fillId="0" fontId="1" numFmtId="1000" quotePrefix="false">
      <alignment horizontal="center" vertical="top"/>
    </xf>
    <xf applyAlignment="true" applyBorder="true" applyFill="false" applyFont="false" applyNumberFormat="true" borderId="7931" fillId="0" fontId="1" numFmtId="1000" quotePrefix="false">
      <alignment horizontal="center" vertical="top"/>
    </xf>
    <xf applyAlignment="true" applyBorder="true" applyFill="false" applyFont="false" applyNumberFormat="true" borderId="7932" fillId="0" fontId="1" numFmtId="1000" quotePrefix="false">
      <alignment horizontal="center" vertical="top"/>
    </xf>
    <xf applyAlignment="true" applyBorder="true" applyFill="false" applyFont="false" applyNumberFormat="true" borderId="7933" fillId="0" fontId="1" numFmtId="1000" quotePrefix="false">
      <alignment horizontal="center" vertical="top"/>
    </xf>
    <xf applyAlignment="true" applyBorder="true" applyFill="false" applyFont="false" applyNumberFormat="true" borderId="7934" fillId="0" fontId="1" numFmtId="1000" quotePrefix="false">
      <alignment horizontal="center" vertical="top"/>
    </xf>
    <xf applyAlignment="true" applyBorder="true" applyFill="false" applyFont="false" applyNumberFormat="true" borderId="7935" fillId="0" fontId="1" numFmtId="1000" quotePrefix="false">
      <alignment horizontal="center" vertical="top"/>
    </xf>
    <xf applyAlignment="true" applyBorder="true" applyFill="false" applyFont="false" applyNumberFormat="true" borderId="7936" fillId="0" fontId="1" numFmtId="1000" quotePrefix="false">
      <alignment horizontal="center" vertical="top"/>
    </xf>
    <xf applyAlignment="true" applyBorder="true" applyFill="false" applyFont="false" applyNumberFormat="true" borderId="7937" fillId="0" fontId="1" numFmtId="1000" quotePrefix="false">
      <alignment horizontal="center" vertical="top"/>
    </xf>
    <xf applyAlignment="true" applyBorder="true" applyFill="false" applyFont="false" applyNumberFormat="true" borderId="7938" fillId="0" fontId="1" numFmtId="1000" quotePrefix="false">
      <alignment horizontal="center" vertical="top"/>
    </xf>
    <xf applyAlignment="true" applyBorder="true" applyFill="false" applyFont="false" applyNumberFormat="true" borderId="7939" fillId="0" fontId="1" numFmtId="1000" quotePrefix="false">
      <alignment horizontal="center" vertical="top"/>
    </xf>
    <xf applyAlignment="true" applyBorder="true" applyFill="false" applyFont="false" applyNumberFormat="true" borderId="7940" fillId="0" fontId="1" numFmtId="1000" quotePrefix="false">
      <alignment horizontal="center" vertical="top"/>
    </xf>
    <xf applyAlignment="true" applyBorder="true" applyFill="false" applyFont="false" applyNumberFormat="true" borderId="7941" fillId="0" fontId="1" numFmtId="1000" quotePrefix="false">
      <alignment horizontal="center" vertical="top"/>
    </xf>
    <xf applyAlignment="true" applyBorder="true" applyFill="false" applyFont="false" applyNumberFormat="true" borderId="7942" fillId="0" fontId="1" numFmtId="1000" quotePrefix="false">
      <alignment horizontal="center" vertical="top"/>
    </xf>
    <xf applyAlignment="true" applyBorder="true" applyFill="false" applyFont="false" applyNumberFormat="true" borderId="7943" fillId="0" fontId="1" numFmtId="1000" quotePrefix="false">
      <alignment horizontal="center" vertical="top"/>
    </xf>
    <xf applyAlignment="true" applyBorder="true" applyFill="false" applyFont="false" applyNumberFormat="true" borderId="7944" fillId="0" fontId="1" numFmtId="1000" quotePrefix="false">
      <alignment horizontal="center" vertical="top"/>
    </xf>
    <xf applyAlignment="true" applyBorder="true" applyFill="false" applyFont="false" applyNumberFormat="true" borderId="7945" fillId="0" fontId="1" numFmtId="1000" quotePrefix="false">
      <alignment horizontal="center" vertical="top"/>
    </xf>
    <xf applyAlignment="true" applyBorder="true" applyFill="false" applyFont="false" applyNumberFormat="true" borderId="7946" fillId="0" fontId="1" numFmtId="1000" quotePrefix="false">
      <alignment horizontal="center" vertical="top"/>
    </xf>
    <xf applyAlignment="true" applyBorder="true" applyFill="false" applyFont="false" applyNumberFormat="true" borderId="7947" fillId="0" fontId="1" numFmtId="1000" quotePrefix="false">
      <alignment horizontal="center" vertical="top"/>
    </xf>
    <xf applyAlignment="true" applyBorder="true" applyFill="false" applyFont="true" applyNumberFormat="true" borderId="7948" fillId="0" fontId="2" numFmtId="1000" quotePrefix="false">
      <alignment horizontal="center" vertical="top"/>
    </xf>
    <xf applyAlignment="true" applyBorder="true" applyFill="false" applyFont="false" applyNumberFormat="true" borderId="7949" fillId="0" fontId="1" numFmtId="1000" quotePrefix="false">
      <alignment horizontal="left" vertical="top"/>
    </xf>
    <xf applyAlignment="true" applyBorder="true" applyFill="false" applyFont="false" applyNumberFormat="true" borderId="7950" fillId="0" fontId="1" numFmtId="1000" quotePrefix="false">
      <alignment horizontal="left" vertical="top"/>
    </xf>
    <xf applyAlignment="true" applyBorder="true" applyFill="false" applyFont="false" applyNumberFormat="true" borderId="7951" fillId="0" fontId="1" numFmtId="1000" quotePrefix="false">
      <alignment horizontal="left" vertical="top"/>
    </xf>
    <xf applyAlignment="true" applyBorder="true" applyFill="false" applyFont="false" applyNumberFormat="true" borderId="7952" fillId="0" fontId="1" numFmtId="1000" quotePrefix="false">
      <alignment horizontal="left" vertical="top"/>
    </xf>
    <xf applyAlignment="true" applyBorder="true" applyFill="false" applyFont="false" applyNumberFormat="true" borderId="7953" fillId="0" fontId="1" numFmtId="1000" quotePrefix="false">
      <alignment horizontal="left" vertical="top"/>
    </xf>
    <xf applyAlignment="true" applyBorder="true" applyFill="false" applyFont="false" applyNumberFormat="true" borderId="7954" fillId="0" fontId="1" numFmtId="1000" quotePrefix="false">
      <alignment horizontal="left" vertical="top"/>
    </xf>
    <xf applyAlignment="true" applyBorder="true" applyFill="false" applyFont="false" applyNumberFormat="true" borderId="7955" fillId="0" fontId="1" numFmtId="1000" quotePrefix="false">
      <alignment horizontal="left" vertical="top"/>
    </xf>
    <xf applyAlignment="true" applyBorder="true" applyFill="false" applyFont="false" applyNumberFormat="true" borderId="7956" fillId="0" fontId="1" numFmtId="1000" quotePrefix="false">
      <alignment horizontal="left" vertical="top"/>
    </xf>
    <xf applyAlignment="true" applyBorder="true" applyFill="false" applyFont="false" applyNumberFormat="true" borderId="7957" fillId="0" fontId="1" numFmtId="1000" quotePrefix="false">
      <alignment horizontal="left" vertical="top"/>
    </xf>
    <xf applyAlignment="true" applyBorder="true" applyFill="false" applyFont="false" applyNumberFormat="true" borderId="7958" fillId="0" fontId="1" numFmtId="1000" quotePrefix="false">
      <alignment horizontal="left" vertical="top"/>
    </xf>
    <xf applyAlignment="true" applyBorder="true" applyFill="false" applyFont="false" applyNumberFormat="true" borderId="7959" fillId="0" fontId="1" numFmtId="1000" quotePrefix="false">
      <alignment horizontal="left" vertical="top"/>
    </xf>
    <xf applyAlignment="true" applyBorder="true" applyFill="false" applyFont="false" applyNumberFormat="true" borderId="7960" fillId="0" fontId="1" numFmtId="1000" quotePrefix="false">
      <alignment horizontal="left" vertical="top"/>
    </xf>
    <xf applyAlignment="true" applyBorder="true" applyFill="false" applyFont="false" applyNumberFormat="true" borderId="7961" fillId="0" fontId="1" numFmtId="1000" quotePrefix="false">
      <alignment horizontal="left" vertical="top"/>
    </xf>
    <xf applyAlignment="true" applyBorder="true" applyFill="false" applyFont="false" applyNumberFormat="true" borderId="7962" fillId="0" fontId="1" numFmtId="1000" quotePrefix="false">
      <alignment horizontal="left" vertical="top"/>
    </xf>
    <xf applyAlignment="true" applyBorder="true" applyFill="false" applyFont="false" applyNumberFormat="true" borderId="7963" fillId="0" fontId="1" numFmtId="1000" quotePrefix="false">
      <alignment horizontal="left" vertical="top"/>
    </xf>
    <xf applyAlignment="true" applyBorder="true" applyFill="false" applyFont="false" applyNumberFormat="true" borderId="7964" fillId="0" fontId="1" numFmtId="1000" quotePrefix="false">
      <alignment horizontal="left" vertical="top"/>
    </xf>
    <xf applyAlignment="true" applyBorder="true" applyFill="false" applyFont="false" applyNumberFormat="true" borderId="7965" fillId="0" fontId="1" numFmtId="1000" quotePrefix="false">
      <alignment horizontal="left" vertical="top"/>
    </xf>
    <xf applyAlignment="true" applyBorder="true" applyFill="false" applyFont="false" applyNumberFormat="true" borderId="7966" fillId="0" fontId="1" numFmtId="1000" quotePrefix="false">
      <alignment horizontal="left" vertical="top"/>
    </xf>
    <xf applyAlignment="true" applyBorder="true" applyFill="false" applyFont="false" applyNumberFormat="true" borderId="7967" fillId="0" fontId="1" numFmtId="1000" quotePrefix="false">
      <alignment horizontal="left" vertical="top"/>
    </xf>
    <xf applyAlignment="true" applyBorder="true" applyFill="false" applyFont="true" applyNumberFormat="true" borderId="7968" fillId="0" fontId="2" numFmtId="1001" quotePrefix="false">
      <alignment horizontal="center"/>
    </xf>
    <xf applyAlignment="true" applyBorder="true" applyFill="false" applyFont="true" applyNumberFormat="true" borderId="7969" fillId="0" fontId="2" numFmtId="1001" quotePrefix="false">
      <alignment horizontal="center"/>
    </xf>
    <xf applyAlignment="true" applyBorder="true" applyFill="false" applyFont="true" applyNumberFormat="true" borderId="7970" fillId="0" fontId="2" numFmtId="1001" quotePrefix="false">
      <alignment horizontal="center"/>
    </xf>
    <xf applyAlignment="true" applyBorder="true" applyFill="false" applyFont="false" applyNumberFormat="true" borderId="7971" fillId="0" fontId="1" numFmtId="1000" quotePrefix="false">
      <alignment horizontal="center" vertical="top"/>
    </xf>
    <xf applyAlignment="true" applyBorder="true" applyFill="false" applyFont="false" applyNumberFormat="true" borderId="7972" fillId="0" fontId="1" numFmtId="1000" quotePrefix="false">
      <alignment horizontal="center" vertical="top"/>
    </xf>
    <xf applyAlignment="true" applyBorder="true" applyFill="false" applyFont="false" applyNumberFormat="true" borderId="7973" fillId="0" fontId="1" numFmtId="1000" quotePrefix="false">
      <alignment horizontal="center" vertical="top"/>
    </xf>
    <xf applyAlignment="true" applyBorder="true" applyFill="false" applyFont="false" applyNumberFormat="true" borderId="7974" fillId="0" fontId="1" numFmtId="1000" quotePrefix="false">
      <alignment horizontal="center" vertical="top"/>
    </xf>
    <xf applyAlignment="true" applyBorder="true" applyFill="false" applyFont="false" applyNumberFormat="true" borderId="7975" fillId="0" fontId="1" numFmtId="1000" quotePrefix="false">
      <alignment horizontal="center" vertical="top"/>
    </xf>
    <xf applyAlignment="true" applyBorder="true" applyFill="false" applyFont="false" applyNumberFormat="true" borderId="7976" fillId="0" fontId="1" numFmtId="1000" quotePrefix="false">
      <alignment horizontal="center" vertical="top"/>
    </xf>
    <xf applyAlignment="true" applyBorder="true" applyFill="false" applyFont="false" applyNumberFormat="true" borderId="7977" fillId="0" fontId="1" numFmtId="1000" quotePrefix="false">
      <alignment horizontal="center" vertical="top"/>
    </xf>
    <xf applyAlignment="true" applyBorder="true" applyFill="false" applyFont="false" applyNumberFormat="true" borderId="7978" fillId="0" fontId="1" numFmtId="1000" quotePrefix="false">
      <alignment horizontal="center" vertical="top"/>
    </xf>
    <xf applyAlignment="true" applyBorder="true" applyFill="false" applyFont="false" applyNumberFormat="true" borderId="7979" fillId="0" fontId="1" numFmtId="1000" quotePrefix="false">
      <alignment horizontal="center" vertical="top"/>
    </xf>
    <xf applyAlignment="true" applyBorder="true" applyFill="false" applyFont="false" applyNumberFormat="true" borderId="7980" fillId="0" fontId="1" numFmtId="1000" quotePrefix="false">
      <alignment horizontal="center" vertical="top"/>
    </xf>
    <xf applyAlignment="true" applyBorder="true" applyFill="false" applyFont="false" applyNumberFormat="true" borderId="7981" fillId="0" fontId="1" numFmtId="1000" quotePrefix="false">
      <alignment horizontal="center" vertical="top"/>
    </xf>
    <xf applyAlignment="true" applyBorder="true" applyFill="false" applyFont="false" applyNumberFormat="true" borderId="7982" fillId="0" fontId="1" numFmtId="1000" quotePrefix="false">
      <alignment horizontal="center" vertical="top"/>
    </xf>
    <xf applyAlignment="true" applyBorder="true" applyFill="false" applyFont="false" applyNumberFormat="true" borderId="7983" fillId="0" fontId="1" numFmtId="1000" quotePrefix="false">
      <alignment horizontal="center" vertical="top"/>
    </xf>
    <xf applyAlignment="true" applyBorder="true" applyFill="false" applyFont="false" applyNumberFormat="true" borderId="7984" fillId="0" fontId="1" numFmtId="1000" quotePrefix="false">
      <alignment horizontal="center" vertical="top"/>
    </xf>
    <xf applyAlignment="true" applyBorder="true" applyFill="false" applyFont="false" applyNumberFormat="true" borderId="7985" fillId="0" fontId="1" numFmtId="1000" quotePrefix="false">
      <alignment horizontal="center" vertical="top"/>
    </xf>
    <xf applyAlignment="true" applyBorder="true" applyFill="false" applyFont="false" applyNumberFormat="true" borderId="7986" fillId="0" fontId="1" numFmtId="1000" quotePrefix="false">
      <alignment horizontal="center" vertical="top"/>
    </xf>
    <xf applyAlignment="true" applyBorder="true" applyFill="false" applyFont="false" applyNumberFormat="true" borderId="7987" fillId="0" fontId="1" numFmtId="1000" quotePrefix="false">
      <alignment horizontal="center" vertical="top"/>
    </xf>
    <xf applyAlignment="true" applyBorder="true" applyFill="false" applyFont="false" applyNumberFormat="true" borderId="7988" fillId="0" fontId="1" numFmtId="1000" quotePrefix="false">
      <alignment horizontal="center" vertical="top"/>
    </xf>
    <xf applyAlignment="true" applyBorder="true" applyFill="false" applyFont="false" applyNumberFormat="true" borderId="7989" fillId="0" fontId="1" numFmtId="1000" quotePrefix="false">
      <alignment horizontal="center" vertical="top"/>
    </xf>
    <xf applyAlignment="true" applyBorder="true" applyFill="false" applyFont="false" applyNumberFormat="true" borderId="7990" fillId="0" fontId="1" numFmtId="1000" quotePrefix="false">
      <alignment horizontal="center" vertical="top"/>
    </xf>
    <xf applyAlignment="true" applyBorder="true" applyFill="false" applyFont="false" applyNumberFormat="true" borderId="7991" fillId="0" fontId="1" numFmtId="1000" quotePrefix="false">
      <alignment horizontal="center" vertical="top"/>
    </xf>
    <xf applyAlignment="true" applyBorder="true" applyFill="false" applyFont="false" applyNumberFormat="true" borderId="7992" fillId="0" fontId="1" numFmtId="1000" quotePrefix="false">
      <alignment horizontal="center" vertical="top"/>
    </xf>
    <xf applyAlignment="true" applyBorder="true" applyFill="false" applyFont="false" applyNumberFormat="true" borderId="7993" fillId="0" fontId="1" numFmtId="1000" quotePrefix="false">
      <alignment horizontal="center" vertical="top"/>
    </xf>
    <xf applyAlignment="true" applyBorder="true" applyFill="false" applyFont="false" applyNumberFormat="true" borderId="7994" fillId="0" fontId="1" numFmtId="1000" quotePrefix="false">
      <alignment horizontal="center" vertical="top"/>
    </xf>
    <xf applyAlignment="true" applyBorder="true" applyFill="false" applyFont="false" applyNumberFormat="true" borderId="7995" fillId="0" fontId="1" numFmtId="1000" quotePrefix="false">
      <alignment horizontal="center" vertical="top"/>
    </xf>
    <xf applyAlignment="true" applyBorder="true" applyFill="false" applyFont="false" applyNumberFormat="true" borderId="7996" fillId="0" fontId="1" numFmtId="1000" quotePrefix="false">
      <alignment horizontal="center" vertical="top"/>
    </xf>
    <xf applyAlignment="true" applyBorder="true" applyFill="false" applyFont="false" applyNumberFormat="true" borderId="7997" fillId="0" fontId="1" numFmtId="1000" quotePrefix="false">
      <alignment horizontal="center" vertical="top"/>
    </xf>
    <xf applyAlignment="true" applyBorder="true" applyFill="false" applyFont="false" applyNumberFormat="true" borderId="7998" fillId="0" fontId="1" numFmtId="1000" quotePrefix="false">
      <alignment horizontal="center" vertical="top"/>
    </xf>
    <xf applyAlignment="true" applyBorder="true" applyFill="false" applyFont="false" applyNumberFormat="true" borderId="7999" fillId="0" fontId="1" numFmtId="1000" quotePrefix="false">
      <alignment horizontal="center" vertical="top"/>
    </xf>
    <xf applyAlignment="true" applyBorder="true" applyFill="false" applyFont="false" applyNumberFormat="true" borderId="8000" fillId="0" fontId="1" numFmtId="1000" quotePrefix="false">
      <alignment horizontal="center" vertical="top"/>
    </xf>
    <xf applyAlignment="true" applyBorder="true" applyFill="false" applyFont="false" applyNumberFormat="true" borderId="8001" fillId="0" fontId="1" numFmtId="1000" quotePrefix="false">
      <alignment horizontal="center" vertical="top"/>
    </xf>
    <xf applyAlignment="true" applyBorder="true" applyFill="false" applyFont="false" applyNumberFormat="true" borderId="8002" fillId="0" fontId="1" numFmtId="1000" quotePrefix="false">
      <alignment horizontal="center" vertical="top"/>
    </xf>
    <xf applyAlignment="true" applyBorder="true" applyFill="false" applyFont="false" applyNumberFormat="true" borderId="8003" fillId="0" fontId="1" numFmtId="1000" quotePrefix="false">
      <alignment horizontal="center" vertical="top"/>
    </xf>
    <xf applyAlignment="true" applyBorder="true" applyFill="false" applyFont="true" applyNumberFormat="true" borderId="8004" fillId="0" fontId="2" numFmtId="1000" quotePrefix="false">
      <alignment horizontal="center" vertical="top"/>
    </xf>
    <xf applyAlignment="true" applyBorder="true" applyFill="false" applyFont="false" applyNumberFormat="true" borderId="8005" fillId="0" fontId="1" numFmtId="1000" quotePrefix="false">
      <alignment horizontal="left" vertical="top"/>
    </xf>
    <xf applyAlignment="true" applyBorder="true" applyFill="false" applyFont="false" applyNumberFormat="true" borderId="8006" fillId="0" fontId="1" numFmtId="1000" quotePrefix="false">
      <alignment horizontal="left" vertical="top"/>
    </xf>
    <xf applyAlignment="true" applyBorder="true" applyFill="false" applyFont="false" applyNumberFormat="true" borderId="8007" fillId="0" fontId="1" numFmtId="1000" quotePrefix="false">
      <alignment horizontal="left" vertical="top"/>
    </xf>
    <xf applyAlignment="true" applyBorder="true" applyFill="false" applyFont="false" applyNumberFormat="true" borderId="8008" fillId="0" fontId="1" numFmtId="1000" quotePrefix="false">
      <alignment horizontal="left" vertical="top"/>
    </xf>
    <xf applyAlignment="true" applyBorder="true" applyFill="false" applyFont="false" applyNumberFormat="true" borderId="8009" fillId="0" fontId="1" numFmtId="1000" quotePrefix="false">
      <alignment horizontal="left" vertical="top"/>
    </xf>
    <xf applyAlignment="true" applyBorder="true" applyFill="false" applyFont="false" applyNumberFormat="true" borderId="8010" fillId="0" fontId="1" numFmtId="1000" quotePrefix="false">
      <alignment horizontal="left" vertical="top"/>
    </xf>
    <xf applyAlignment="true" applyBorder="true" applyFill="false" applyFont="false" applyNumberFormat="true" borderId="8011" fillId="0" fontId="1" numFmtId="1000" quotePrefix="false">
      <alignment horizontal="left" vertical="top"/>
    </xf>
    <xf applyAlignment="true" applyBorder="true" applyFill="false" applyFont="false" applyNumberFormat="true" borderId="8012" fillId="0" fontId="1" numFmtId="1000" quotePrefix="false">
      <alignment horizontal="left" vertical="top"/>
    </xf>
    <xf applyAlignment="true" applyBorder="true" applyFill="false" applyFont="false" applyNumberFormat="true" borderId="8013" fillId="0" fontId="1" numFmtId="1000" quotePrefix="false">
      <alignment horizontal="left" vertical="top"/>
    </xf>
    <xf applyAlignment="true" applyBorder="true" applyFill="false" applyFont="false" applyNumberFormat="true" borderId="8014" fillId="0" fontId="1" numFmtId="1000" quotePrefix="false">
      <alignment horizontal="left" vertical="top"/>
    </xf>
    <xf applyAlignment="true" applyBorder="true" applyFill="false" applyFont="false" applyNumberFormat="true" borderId="8015" fillId="0" fontId="1" numFmtId="1000" quotePrefix="false">
      <alignment horizontal="left" vertical="top"/>
    </xf>
    <xf applyAlignment="true" applyBorder="true" applyFill="false" applyFont="false" applyNumberFormat="true" borderId="8016" fillId="0" fontId="1" numFmtId="1000" quotePrefix="false">
      <alignment horizontal="left" vertical="top"/>
    </xf>
    <xf applyAlignment="true" applyBorder="true" applyFill="false" applyFont="false" applyNumberFormat="true" borderId="8017" fillId="0" fontId="1" numFmtId="1000" quotePrefix="false">
      <alignment horizontal="left" vertical="top"/>
    </xf>
    <xf applyAlignment="true" applyBorder="true" applyFill="false" applyFont="false" applyNumberFormat="true" borderId="8018" fillId="0" fontId="1" numFmtId="1000" quotePrefix="false">
      <alignment horizontal="left" vertical="top"/>
    </xf>
    <xf applyAlignment="true" applyBorder="true" applyFill="false" applyFont="false" applyNumberFormat="true" borderId="8019" fillId="0" fontId="1" numFmtId="1000" quotePrefix="false">
      <alignment horizontal="left" vertical="top"/>
    </xf>
    <xf applyAlignment="true" applyBorder="true" applyFill="false" applyFont="false" applyNumberFormat="true" borderId="8020" fillId="0" fontId="1" numFmtId="1000" quotePrefix="false">
      <alignment horizontal="left" vertical="top"/>
    </xf>
    <xf applyAlignment="true" applyBorder="true" applyFill="false" applyFont="false" applyNumberFormat="true" borderId="8021" fillId="0" fontId="1" numFmtId="1000" quotePrefix="false">
      <alignment horizontal="left" vertical="top"/>
    </xf>
    <xf applyAlignment="true" applyBorder="true" applyFill="false" applyFont="false" applyNumberFormat="true" borderId="8022" fillId="0" fontId="1" numFmtId="1000" quotePrefix="false">
      <alignment horizontal="left" vertical="top"/>
    </xf>
    <xf applyAlignment="true" applyBorder="true" applyFill="false" applyFont="false" applyNumberFormat="true" borderId="8023" fillId="0" fontId="1" numFmtId="1000" quotePrefix="false">
      <alignment horizontal="left" vertical="top"/>
    </xf>
    <xf applyAlignment="true" applyBorder="true" applyFill="false" applyFont="true" applyNumberFormat="true" borderId="8024" fillId="0" fontId="2" numFmtId="1001" quotePrefix="false">
      <alignment horizontal="center"/>
    </xf>
    <xf applyAlignment="true" applyBorder="true" applyFill="false" applyFont="true" applyNumberFormat="true" borderId="8025" fillId="0" fontId="2" numFmtId="1001" quotePrefix="false">
      <alignment horizontal="center"/>
    </xf>
    <xf applyAlignment="true" applyBorder="true" applyFill="false" applyFont="true" applyNumberFormat="true" borderId="8026" fillId="0" fontId="2" numFmtId="1001" quotePrefix="false">
      <alignment horizontal="center"/>
    </xf>
    <xf applyAlignment="true" applyBorder="true" applyFill="false" applyFont="false" applyNumberFormat="true" borderId="8027" fillId="0" fontId="1" numFmtId="1000" quotePrefix="false">
      <alignment horizontal="center" vertical="top"/>
    </xf>
    <xf applyAlignment="true" applyBorder="true" applyFill="false" applyFont="false" applyNumberFormat="true" borderId="8028" fillId="0" fontId="1" numFmtId="1000" quotePrefix="false">
      <alignment horizontal="center" vertical="top"/>
    </xf>
    <xf applyAlignment="true" applyBorder="true" applyFill="false" applyFont="false" applyNumberFormat="true" borderId="8029" fillId="0" fontId="1" numFmtId="1000" quotePrefix="false">
      <alignment horizontal="center" vertical="top"/>
    </xf>
    <xf applyAlignment="true" applyBorder="true" applyFill="false" applyFont="false" applyNumberFormat="true" borderId="8030" fillId="0" fontId="1" numFmtId="1000" quotePrefix="false">
      <alignment horizontal="center" vertical="top"/>
    </xf>
    <xf applyAlignment="true" applyBorder="true" applyFill="false" applyFont="false" applyNumberFormat="true" borderId="8031" fillId="0" fontId="1" numFmtId="1000" quotePrefix="false">
      <alignment horizontal="center" vertical="top"/>
    </xf>
    <xf applyAlignment="true" applyBorder="true" applyFill="false" applyFont="false" applyNumberFormat="true" borderId="8032" fillId="0" fontId="1" numFmtId="1000" quotePrefix="false">
      <alignment horizontal="center" vertical="top"/>
    </xf>
    <xf applyAlignment="true" applyBorder="true" applyFill="false" applyFont="false" applyNumberFormat="true" borderId="8033" fillId="0" fontId="1" numFmtId="1000" quotePrefix="false">
      <alignment horizontal="center" vertical="top"/>
    </xf>
    <xf applyAlignment="true" applyBorder="true" applyFill="false" applyFont="false" applyNumberFormat="true" borderId="8034" fillId="0" fontId="1" numFmtId="1000" quotePrefix="false">
      <alignment horizontal="center" vertical="top"/>
    </xf>
    <xf applyAlignment="true" applyBorder="true" applyFill="false" applyFont="false" applyNumberFormat="true" borderId="8035" fillId="0" fontId="1" numFmtId="1000" quotePrefix="false">
      <alignment horizontal="center" vertical="top"/>
    </xf>
    <xf applyAlignment="true" applyBorder="true" applyFill="false" applyFont="false" applyNumberFormat="true" borderId="8036" fillId="0" fontId="1" numFmtId="1000" quotePrefix="false">
      <alignment horizontal="center" vertical="top"/>
    </xf>
    <xf applyAlignment="true" applyBorder="true" applyFill="false" applyFont="false" applyNumberFormat="true" borderId="8037" fillId="0" fontId="1" numFmtId="1000" quotePrefix="false">
      <alignment horizontal="center" vertical="top"/>
    </xf>
    <xf applyAlignment="true" applyBorder="true" applyFill="false" applyFont="false" applyNumberFormat="true" borderId="8038" fillId="0" fontId="1" numFmtId="1000" quotePrefix="false">
      <alignment horizontal="center" vertical="top"/>
    </xf>
    <xf applyAlignment="true" applyBorder="true" applyFill="false" applyFont="false" applyNumberFormat="true" borderId="8039" fillId="0" fontId="1" numFmtId="1000" quotePrefix="false">
      <alignment horizontal="center" vertical="top"/>
    </xf>
    <xf applyAlignment="true" applyBorder="true" applyFill="false" applyFont="false" applyNumberFormat="true" borderId="8040" fillId="0" fontId="1" numFmtId="1000" quotePrefix="false">
      <alignment horizontal="center" vertical="top"/>
    </xf>
    <xf applyAlignment="true" applyBorder="true" applyFill="false" applyFont="false" applyNumberFormat="true" borderId="8041" fillId="0" fontId="1" numFmtId="1000" quotePrefix="false">
      <alignment horizontal="center" vertical="top"/>
    </xf>
    <xf applyAlignment="true" applyBorder="true" applyFill="false" applyFont="false" applyNumberFormat="true" borderId="8042" fillId="0" fontId="1" numFmtId="1000" quotePrefix="false">
      <alignment horizontal="center" vertical="top"/>
    </xf>
    <xf applyAlignment="true" applyBorder="true" applyFill="false" applyFont="false" applyNumberFormat="true" borderId="8043" fillId="0" fontId="1" numFmtId="1000" quotePrefix="false">
      <alignment horizontal="center" vertical="top"/>
    </xf>
    <xf applyAlignment="true" applyBorder="true" applyFill="false" applyFont="false" applyNumberFormat="true" borderId="8044" fillId="0" fontId="1" numFmtId="1000" quotePrefix="false">
      <alignment horizontal="center" vertical="top"/>
    </xf>
    <xf applyAlignment="true" applyBorder="true" applyFill="false" applyFont="false" applyNumberFormat="true" borderId="8045" fillId="0" fontId="1" numFmtId="1000" quotePrefix="false">
      <alignment horizontal="center" vertical="top"/>
    </xf>
    <xf applyAlignment="true" applyBorder="true" applyFill="false" applyFont="false" applyNumberFormat="true" borderId="8046" fillId="0" fontId="1" numFmtId="1000" quotePrefix="false">
      <alignment horizontal="center" vertical="top"/>
    </xf>
    <xf applyAlignment="true" applyBorder="true" applyFill="false" applyFont="false" applyNumberFormat="true" borderId="8047" fillId="0" fontId="1" numFmtId="1000" quotePrefix="false">
      <alignment horizontal="center" vertical="top"/>
    </xf>
    <xf applyAlignment="true" applyBorder="true" applyFill="false" applyFont="false" applyNumberFormat="true" borderId="8048" fillId="0" fontId="1" numFmtId="1000" quotePrefix="false">
      <alignment horizontal="center" vertical="top"/>
    </xf>
    <xf applyAlignment="true" applyBorder="true" applyFill="false" applyFont="false" applyNumberFormat="true" borderId="8049" fillId="0" fontId="1" numFmtId="1000" quotePrefix="false">
      <alignment horizontal="center" vertical="top"/>
    </xf>
    <xf applyAlignment="true" applyBorder="true" applyFill="false" applyFont="false" applyNumberFormat="true" borderId="8050" fillId="0" fontId="1" numFmtId="1000" quotePrefix="false">
      <alignment horizontal="center" vertical="top"/>
    </xf>
    <xf applyAlignment="true" applyBorder="true" applyFill="false" applyFont="false" applyNumberFormat="true" borderId="8051" fillId="0" fontId="1" numFmtId="1000" quotePrefix="false">
      <alignment horizontal="center" vertical="top"/>
    </xf>
    <xf applyAlignment="true" applyBorder="true" applyFill="false" applyFont="false" applyNumberFormat="true" borderId="8052" fillId="0" fontId="1" numFmtId="1000" quotePrefix="false">
      <alignment horizontal="center" vertical="top"/>
    </xf>
    <xf applyAlignment="true" applyBorder="true" applyFill="false" applyFont="false" applyNumberFormat="true" borderId="8053" fillId="0" fontId="1" numFmtId="1000" quotePrefix="false">
      <alignment horizontal="center" vertical="top"/>
    </xf>
    <xf applyAlignment="true" applyBorder="true" applyFill="false" applyFont="false" applyNumberFormat="true" borderId="8054" fillId="0" fontId="1" numFmtId="1000" quotePrefix="false">
      <alignment horizontal="center" vertical="top"/>
    </xf>
    <xf applyAlignment="true" applyBorder="true" applyFill="false" applyFont="false" applyNumberFormat="true" borderId="8055" fillId="0" fontId="1" numFmtId="1000" quotePrefix="false">
      <alignment horizontal="center" vertical="top"/>
    </xf>
    <xf applyAlignment="true" applyBorder="true" applyFill="false" applyFont="false" applyNumberFormat="true" borderId="8056" fillId="0" fontId="1" numFmtId="1000" quotePrefix="false">
      <alignment horizontal="center" vertical="top"/>
    </xf>
    <xf applyAlignment="true" applyBorder="true" applyFill="false" applyFont="false" applyNumberFormat="true" borderId="8057" fillId="0" fontId="1" numFmtId="1000" quotePrefix="false">
      <alignment horizontal="center" vertical="top"/>
    </xf>
    <xf applyAlignment="true" applyBorder="true" applyFill="false" applyFont="false" applyNumberFormat="true" borderId="8058" fillId="0" fontId="1" numFmtId="1000" quotePrefix="false">
      <alignment horizontal="center" vertical="top"/>
    </xf>
    <xf applyAlignment="true" applyBorder="true" applyFill="false" applyFont="false" applyNumberFormat="true" borderId="8059" fillId="0" fontId="1" numFmtId="1000" quotePrefix="false">
      <alignment horizontal="center" vertical="top"/>
    </xf>
    <xf applyAlignment="true" applyBorder="true" applyFill="false" applyFont="true" applyNumberFormat="true" borderId="8060" fillId="0" fontId="2" numFmtId="1000" quotePrefix="false">
      <alignment horizontal="center" vertical="top"/>
    </xf>
    <xf applyAlignment="true" applyBorder="true" applyFill="false" applyFont="false" applyNumberFormat="true" borderId="8061" fillId="0" fontId="1" numFmtId="1000" quotePrefix="false">
      <alignment horizontal="left" vertical="top"/>
    </xf>
    <xf applyAlignment="true" applyBorder="true" applyFill="false" applyFont="false" applyNumberFormat="true" borderId="8062" fillId="0" fontId="1" numFmtId="1000" quotePrefix="false">
      <alignment horizontal="left" vertical="top"/>
    </xf>
    <xf applyAlignment="true" applyBorder="true" applyFill="false" applyFont="false" applyNumberFormat="true" borderId="8063" fillId="0" fontId="1" numFmtId="1000" quotePrefix="false">
      <alignment horizontal="left" vertical="top"/>
    </xf>
    <xf applyAlignment="true" applyBorder="true" applyFill="false" applyFont="false" applyNumberFormat="true" borderId="8064" fillId="0" fontId="1" numFmtId="1000" quotePrefix="false">
      <alignment horizontal="left" vertical="top"/>
    </xf>
    <xf applyAlignment="true" applyBorder="true" applyFill="false" applyFont="false" applyNumberFormat="true" borderId="8065" fillId="0" fontId="1" numFmtId="1000" quotePrefix="false">
      <alignment horizontal="left" vertical="top"/>
    </xf>
    <xf applyAlignment="true" applyBorder="true" applyFill="false" applyFont="false" applyNumberFormat="true" borderId="8066" fillId="0" fontId="1" numFmtId="1000" quotePrefix="false">
      <alignment horizontal="left" vertical="top"/>
    </xf>
    <xf applyAlignment="true" applyBorder="true" applyFill="false" applyFont="false" applyNumberFormat="true" borderId="8067" fillId="0" fontId="1" numFmtId="1000" quotePrefix="false">
      <alignment horizontal="left" vertical="top"/>
    </xf>
    <xf applyAlignment="true" applyBorder="true" applyFill="false" applyFont="false" applyNumberFormat="true" borderId="8068" fillId="0" fontId="1" numFmtId="1000" quotePrefix="false">
      <alignment horizontal="left" vertical="top"/>
    </xf>
    <xf applyAlignment="true" applyBorder="true" applyFill="false" applyFont="false" applyNumberFormat="true" borderId="8069" fillId="0" fontId="1" numFmtId="1000" quotePrefix="false">
      <alignment horizontal="left" vertical="top"/>
    </xf>
    <xf applyAlignment="true" applyBorder="true" applyFill="false" applyFont="false" applyNumberFormat="true" borderId="8070" fillId="0" fontId="1" numFmtId="1000" quotePrefix="false">
      <alignment horizontal="left" vertical="top"/>
    </xf>
    <xf applyAlignment="true" applyBorder="true" applyFill="false" applyFont="false" applyNumberFormat="true" borderId="8071" fillId="0" fontId="1" numFmtId="1000" quotePrefix="false">
      <alignment horizontal="left" vertical="top"/>
    </xf>
    <xf applyAlignment="true" applyBorder="true" applyFill="false" applyFont="false" applyNumberFormat="true" borderId="8072" fillId="0" fontId="1" numFmtId="1000" quotePrefix="false">
      <alignment horizontal="left" vertical="top"/>
    </xf>
    <xf applyAlignment="true" applyBorder="true" applyFill="false" applyFont="false" applyNumberFormat="true" borderId="8073" fillId="0" fontId="1" numFmtId="1000" quotePrefix="false">
      <alignment horizontal="left" vertical="top"/>
    </xf>
    <xf applyAlignment="true" applyBorder="true" applyFill="false" applyFont="false" applyNumberFormat="true" borderId="8074" fillId="0" fontId="1" numFmtId="1000" quotePrefix="false">
      <alignment horizontal="left" vertical="top"/>
    </xf>
    <xf applyAlignment="true" applyBorder="true" applyFill="false" applyFont="false" applyNumberFormat="true" borderId="8075" fillId="0" fontId="1" numFmtId="1000" quotePrefix="false">
      <alignment horizontal="left" vertical="top"/>
    </xf>
    <xf applyAlignment="true" applyBorder="true" applyFill="false" applyFont="false" applyNumberFormat="true" borderId="8076" fillId="0" fontId="1" numFmtId="1000" quotePrefix="false">
      <alignment horizontal="left" vertical="top"/>
    </xf>
    <xf applyAlignment="true" applyBorder="true" applyFill="false" applyFont="false" applyNumberFormat="true" borderId="8077" fillId="0" fontId="1" numFmtId="1000" quotePrefix="false">
      <alignment horizontal="left" vertical="top"/>
    </xf>
    <xf applyAlignment="true" applyBorder="true" applyFill="false" applyFont="false" applyNumberFormat="true" borderId="8078" fillId="0" fontId="1" numFmtId="1000" quotePrefix="false">
      <alignment horizontal="left" vertical="top"/>
    </xf>
    <xf applyAlignment="true" applyBorder="true" applyFill="false" applyFont="false" applyNumberFormat="true" borderId="8079" fillId="0" fontId="1" numFmtId="1000" quotePrefix="false">
      <alignment horizontal="left" vertical="top"/>
    </xf>
    <xf applyAlignment="true" applyBorder="true" applyFill="false" applyFont="true" applyNumberFormat="true" borderId="8080" fillId="0" fontId="2" numFmtId="1001" quotePrefix="false">
      <alignment horizontal="center"/>
    </xf>
    <xf applyAlignment="true" applyBorder="true" applyFill="false" applyFont="true" applyNumberFormat="true" borderId="8081" fillId="0" fontId="2" numFmtId="1001" quotePrefix="false">
      <alignment horizontal="center"/>
    </xf>
    <xf applyAlignment="true" applyBorder="true" applyFill="false" applyFont="true" applyNumberFormat="true" borderId="8082" fillId="0" fontId="2" numFmtId="1001" quotePrefix="false">
      <alignment horizontal="center"/>
    </xf>
    <xf applyAlignment="true" applyBorder="true" applyFill="false" applyFont="false" applyNumberFormat="true" borderId="8083" fillId="0" fontId="1" numFmtId="1000" quotePrefix="false">
      <alignment horizontal="center" vertical="top"/>
    </xf>
    <xf applyAlignment="true" applyBorder="true" applyFill="false" applyFont="false" applyNumberFormat="true" borderId="8084" fillId="0" fontId="1" numFmtId="1000" quotePrefix="false">
      <alignment horizontal="center" vertical="top"/>
    </xf>
    <xf applyAlignment="true" applyBorder="true" applyFill="false" applyFont="false" applyNumberFormat="true" borderId="8085" fillId="0" fontId="1" numFmtId="1000" quotePrefix="false">
      <alignment horizontal="center" vertical="top"/>
    </xf>
    <xf applyAlignment="true" applyBorder="true" applyFill="false" applyFont="false" applyNumberFormat="true" borderId="8086" fillId="0" fontId="1" numFmtId="1000" quotePrefix="false">
      <alignment horizontal="center" vertical="top"/>
    </xf>
    <xf applyAlignment="true" applyBorder="true" applyFill="false" applyFont="false" applyNumberFormat="true" borderId="8087" fillId="0" fontId="1" numFmtId="1000" quotePrefix="false">
      <alignment horizontal="center" vertical="top"/>
    </xf>
    <xf applyAlignment="true" applyBorder="true" applyFill="false" applyFont="false" applyNumberFormat="true" borderId="8088" fillId="0" fontId="1" numFmtId="1000" quotePrefix="false">
      <alignment horizontal="center" vertical="top"/>
    </xf>
    <xf applyAlignment="true" applyBorder="true" applyFill="false" applyFont="false" applyNumberFormat="true" borderId="8089" fillId="0" fontId="1" numFmtId="1000" quotePrefix="false">
      <alignment horizontal="center" vertical="top"/>
    </xf>
    <xf applyAlignment="true" applyBorder="true" applyFill="false" applyFont="false" applyNumberFormat="true" borderId="8090" fillId="0" fontId="1" numFmtId="1000" quotePrefix="false">
      <alignment horizontal="center" vertical="top"/>
    </xf>
    <xf applyAlignment="true" applyBorder="true" applyFill="false" applyFont="false" applyNumberFormat="true" borderId="8091" fillId="0" fontId="1" numFmtId="1000" quotePrefix="false">
      <alignment horizontal="center" vertical="top"/>
    </xf>
    <xf applyAlignment="true" applyBorder="true" applyFill="false" applyFont="false" applyNumberFormat="true" borderId="8092" fillId="0" fontId="1" numFmtId="1000" quotePrefix="false">
      <alignment horizontal="center" vertical="top"/>
    </xf>
    <xf applyAlignment="true" applyBorder="true" applyFill="false" applyFont="false" applyNumberFormat="true" borderId="8093" fillId="0" fontId="1" numFmtId="1000" quotePrefix="false">
      <alignment horizontal="center" vertical="top"/>
    </xf>
    <xf applyAlignment="true" applyBorder="true" applyFill="false" applyFont="false" applyNumberFormat="true" borderId="8094" fillId="0" fontId="1" numFmtId="1000" quotePrefix="false">
      <alignment horizontal="center" vertical="top"/>
    </xf>
    <xf applyAlignment="true" applyBorder="true" applyFill="false" applyFont="false" applyNumberFormat="true" borderId="8095" fillId="0" fontId="1" numFmtId="1000" quotePrefix="false">
      <alignment horizontal="center" vertical="top"/>
    </xf>
    <xf applyAlignment="true" applyBorder="true" applyFill="false" applyFont="false" applyNumberFormat="true" borderId="8096" fillId="0" fontId="1" numFmtId="1000" quotePrefix="false">
      <alignment horizontal="center" vertical="top"/>
    </xf>
    <xf applyAlignment="true" applyBorder="true" applyFill="false" applyFont="false" applyNumberFormat="true" borderId="8097" fillId="0" fontId="1" numFmtId="1000" quotePrefix="false">
      <alignment horizontal="center" vertical="top"/>
    </xf>
    <xf applyAlignment="true" applyBorder="true" applyFill="false" applyFont="false" applyNumberFormat="true" borderId="8098" fillId="0" fontId="1" numFmtId="1000" quotePrefix="false">
      <alignment horizontal="center" vertical="top"/>
    </xf>
    <xf applyAlignment="true" applyBorder="true" applyFill="false" applyFont="false" applyNumberFormat="true" borderId="8099" fillId="0" fontId="1" numFmtId="1000" quotePrefix="false">
      <alignment horizontal="center" vertical="top"/>
    </xf>
    <xf applyAlignment="true" applyBorder="true" applyFill="false" applyFont="false" applyNumberFormat="true" borderId="8100" fillId="0" fontId="1" numFmtId="1000" quotePrefix="false">
      <alignment horizontal="center" vertical="top"/>
    </xf>
    <xf applyAlignment="true" applyBorder="true" applyFill="false" applyFont="false" applyNumberFormat="true" borderId="8101" fillId="0" fontId="1" numFmtId="1000" quotePrefix="false">
      <alignment horizontal="center" vertical="top"/>
    </xf>
    <xf applyAlignment="true" applyBorder="true" applyFill="false" applyFont="false" applyNumberFormat="true" borderId="8102" fillId="0" fontId="1" numFmtId="1000" quotePrefix="false">
      <alignment horizontal="center" vertical="top"/>
    </xf>
    <xf applyAlignment="true" applyBorder="true" applyFill="false" applyFont="false" applyNumberFormat="true" borderId="8103" fillId="0" fontId="1" numFmtId="1000" quotePrefix="false">
      <alignment horizontal="center" vertical="top"/>
    </xf>
    <xf applyAlignment="true" applyBorder="true" applyFill="false" applyFont="false" applyNumberFormat="true" borderId="8104" fillId="0" fontId="1" numFmtId="1000" quotePrefix="false">
      <alignment horizontal="center" vertical="top"/>
    </xf>
    <xf applyAlignment="true" applyBorder="true" applyFill="false" applyFont="false" applyNumberFormat="true" borderId="8105" fillId="0" fontId="1" numFmtId="1000" quotePrefix="false">
      <alignment horizontal="center" vertical="top"/>
    </xf>
    <xf applyAlignment="true" applyBorder="true" applyFill="false" applyFont="false" applyNumberFormat="true" borderId="8106" fillId="0" fontId="1" numFmtId="1000" quotePrefix="false">
      <alignment horizontal="center" vertical="top"/>
    </xf>
    <xf applyAlignment="true" applyBorder="true" applyFill="false" applyFont="false" applyNumberFormat="true" borderId="8107" fillId="0" fontId="1" numFmtId="1000" quotePrefix="false">
      <alignment horizontal="center" vertical="top"/>
    </xf>
    <xf applyAlignment="true" applyBorder="true" applyFill="false" applyFont="false" applyNumberFormat="true" borderId="8108" fillId="0" fontId="1" numFmtId="1000" quotePrefix="false">
      <alignment horizontal="center" vertical="top"/>
    </xf>
    <xf applyAlignment="true" applyBorder="true" applyFill="false" applyFont="false" applyNumberFormat="true" borderId="8109" fillId="0" fontId="1" numFmtId="1000" quotePrefix="false">
      <alignment horizontal="center" vertical="top"/>
    </xf>
    <xf applyAlignment="true" applyBorder="true" applyFill="false" applyFont="false" applyNumberFormat="true" borderId="8110" fillId="0" fontId="1" numFmtId="1000" quotePrefix="false">
      <alignment horizontal="center" vertical="top"/>
    </xf>
    <xf applyAlignment="true" applyBorder="true" applyFill="false" applyFont="false" applyNumberFormat="true" borderId="8111" fillId="0" fontId="1" numFmtId="1000" quotePrefix="false">
      <alignment horizontal="center" vertical="top"/>
    </xf>
    <xf applyAlignment="true" applyBorder="true" applyFill="false" applyFont="false" applyNumberFormat="true" borderId="8112" fillId="0" fontId="1" numFmtId="1000" quotePrefix="false">
      <alignment horizontal="center" vertical="top"/>
    </xf>
    <xf applyAlignment="true" applyBorder="true" applyFill="false" applyFont="false" applyNumberFormat="true" borderId="8113" fillId="0" fontId="1" numFmtId="1000" quotePrefix="false">
      <alignment horizontal="center" vertical="top"/>
    </xf>
    <xf applyAlignment="true" applyBorder="true" applyFill="false" applyFont="false" applyNumberFormat="true" borderId="8114" fillId="0" fontId="1" numFmtId="1000" quotePrefix="false">
      <alignment horizontal="center" vertical="top"/>
    </xf>
    <xf applyAlignment="true" applyBorder="true" applyFill="false" applyFont="false" applyNumberFormat="true" borderId="8115" fillId="0" fontId="1" numFmtId="1000" quotePrefix="false">
      <alignment horizontal="center" vertical="top"/>
    </xf>
    <xf applyAlignment="true" applyBorder="true" applyFill="false" applyFont="true" applyNumberFormat="true" borderId="8116" fillId="0" fontId="2" numFmtId="1000" quotePrefix="false">
      <alignment horizontal="center" vertical="top"/>
    </xf>
    <xf applyAlignment="true" applyBorder="true" applyFill="false" applyFont="false" applyNumberFormat="true" borderId="8117" fillId="0" fontId="1" numFmtId="1000" quotePrefix="false">
      <alignment horizontal="left" vertical="top"/>
    </xf>
    <xf applyAlignment="true" applyBorder="true" applyFill="false" applyFont="false" applyNumberFormat="true" borderId="8118" fillId="0" fontId="1" numFmtId="1000" quotePrefix="false">
      <alignment horizontal="left" vertical="top"/>
    </xf>
    <xf applyAlignment="true" applyBorder="true" applyFill="false" applyFont="false" applyNumberFormat="true" borderId="8119" fillId="0" fontId="1" numFmtId="1000" quotePrefix="false">
      <alignment horizontal="left" vertical="top"/>
    </xf>
    <xf applyAlignment="true" applyBorder="true" applyFill="false" applyFont="false" applyNumberFormat="true" borderId="8120" fillId="0" fontId="1" numFmtId="1000" quotePrefix="false">
      <alignment horizontal="left" vertical="top"/>
    </xf>
    <xf applyAlignment="true" applyBorder="true" applyFill="false" applyFont="false" applyNumberFormat="true" borderId="8121" fillId="0" fontId="1" numFmtId="1000" quotePrefix="false">
      <alignment horizontal="left" vertical="top"/>
    </xf>
    <xf applyAlignment="true" applyBorder="true" applyFill="false" applyFont="false" applyNumberFormat="true" borderId="8122" fillId="0" fontId="1" numFmtId="1000" quotePrefix="false">
      <alignment horizontal="left" vertical="top"/>
    </xf>
    <xf applyAlignment="true" applyBorder="true" applyFill="false" applyFont="false" applyNumberFormat="true" borderId="8123" fillId="0" fontId="1" numFmtId="1000" quotePrefix="false">
      <alignment horizontal="left" vertical="top"/>
    </xf>
    <xf applyAlignment="true" applyBorder="true" applyFill="false" applyFont="false" applyNumberFormat="true" borderId="8124" fillId="0" fontId="1" numFmtId="1000" quotePrefix="false">
      <alignment horizontal="left" vertical="top"/>
    </xf>
    <xf applyAlignment="true" applyBorder="true" applyFill="false" applyFont="false" applyNumberFormat="true" borderId="8125" fillId="0" fontId="1" numFmtId="1000" quotePrefix="false">
      <alignment horizontal="left" vertical="top"/>
    </xf>
    <xf applyAlignment="true" applyBorder="true" applyFill="false" applyFont="false" applyNumberFormat="true" borderId="8126" fillId="0" fontId="1" numFmtId="1000" quotePrefix="false">
      <alignment horizontal="left" vertical="top"/>
    </xf>
    <xf applyAlignment="true" applyBorder="true" applyFill="false" applyFont="false" applyNumberFormat="true" borderId="8127" fillId="0" fontId="1" numFmtId="1000" quotePrefix="false">
      <alignment horizontal="left" vertical="top"/>
    </xf>
    <xf applyAlignment="true" applyBorder="true" applyFill="false" applyFont="false" applyNumberFormat="true" borderId="8128" fillId="0" fontId="1" numFmtId="1000" quotePrefix="false">
      <alignment horizontal="left" vertical="top"/>
    </xf>
    <xf applyAlignment="true" applyBorder="true" applyFill="false" applyFont="false" applyNumberFormat="true" borderId="8129" fillId="0" fontId="1" numFmtId="1000" quotePrefix="false">
      <alignment horizontal="left" vertical="top"/>
    </xf>
    <xf applyAlignment="true" applyBorder="true" applyFill="false" applyFont="false" applyNumberFormat="true" borderId="8130" fillId="0" fontId="1" numFmtId="1000" quotePrefix="false">
      <alignment horizontal="left" vertical="top"/>
    </xf>
    <xf applyAlignment="true" applyBorder="true" applyFill="false" applyFont="false" applyNumberFormat="true" borderId="8131" fillId="0" fontId="1" numFmtId="1000" quotePrefix="false">
      <alignment horizontal="left" vertical="top"/>
    </xf>
    <xf applyAlignment="true" applyBorder="true" applyFill="false" applyFont="false" applyNumberFormat="true" borderId="8132" fillId="0" fontId="1" numFmtId="1000" quotePrefix="false">
      <alignment horizontal="left" vertical="top"/>
    </xf>
    <xf applyAlignment="true" applyBorder="true" applyFill="false" applyFont="false" applyNumberFormat="true" borderId="8133" fillId="0" fontId="1" numFmtId="1000" quotePrefix="false">
      <alignment horizontal="left" vertical="top"/>
    </xf>
    <xf applyAlignment="true" applyBorder="true" applyFill="false" applyFont="false" applyNumberFormat="true" borderId="8134" fillId="0" fontId="1" numFmtId="1000" quotePrefix="false">
      <alignment horizontal="left" vertical="top"/>
    </xf>
    <xf applyAlignment="true" applyBorder="true" applyFill="false" applyFont="false" applyNumberFormat="true" borderId="8135" fillId="0" fontId="1" numFmtId="1000" quotePrefix="false">
      <alignment horizontal="left" vertical="top"/>
    </xf>
    <xf applyAlignment="true" applyBorder="true" applyFill="false" applyFont="true" applyNumberFormat="true" borderId="8136" fillId="0" fontId="2" numFmtId="1001" quotePrefix="false">
      <alignment horizontal="center"/>
    </xf>
    <xf applyAlignment="true" applyBorder="true" applyFill="false" applyFont="true" applyNumberFormat="true" borderId="8137" fillId="0" fontId="2" numFmtId="1001" quotePrefix="false">
      <alignment horizontal="center"/>
    </xf>
    <xf applyAlignment="true" applyBorder="true" applyFill="false" applyFont="true" applyNumberFormat="true" borderId="8138" fillId="0" fontId="2" numFmtId="1001" quotePrefix="false">
      <alignment horizontal="center"/>
    </xf>
    <xf applyAlignment="true" applyBorder="true" applyFill="false" applyFont="false" applyNumberFormat="true" borderId="8139" fillId="0" fontId="1" numFmtId="1000" quotePrefix="false">
      <alignment horizontal="center" vertical="top"/>
    </xf>
    <xf applyAlignment="true" applyBorder="true" applyFill="false" applyFont="false" applyNumberFormat="true" borderId="8140" fillId="0" fontId="1" numFmtId="1000" quotePrefix="false">
      <alignment horizontal="center" vertical="top"/>
    </xf>
    <xf applyAlignment="true" applyBorder="true" applyFill="false" applyFont="false" applyNumberFormat="true" borderId="8141" fillId="0" fontId="1" numFmtId="1000" quotePrefix="false">
      <alignment horizontal="center" vertical="top"/>
    </xf>
    <xf applyAlignment="true" applyBorder="true" applyFill="false" applyFont="false" applyNumberFormat="true" borderId="8142" fillId="0" fontId="1" numFmtId="1000" quotePrefix="false">
      <alignment horizontal="center" vertical="top"/>
    </xf>
    <xf applyAlignment="true" applyBorder="true" applyFill="false" applyFont="false" applyNumberFormat="true" borderId="8143" fillId="0" fontId="1" numFmtId="1000" quotePrefix="false">
      <alignment horizontal="center" vertical="top"/>
    </xf>
    <xf applyAlignment="true" applyBorder="true" applyFill="false" applyFont="false" applyNumberFormat="true" borderId="8144" fillId="0" fontId="1" numFmtId="1000" quotePrefix="false">
      <alignment horizontal="center" vertical="top"/>
    </xf>
    <xf applyAlignment="true" applyBorder="true" applyFill="false" applyFont="false" applyNumberFormat="true" borderId="8145" fillId="0" fontId="1" numFmtId="1000" quotePrefix="false">
      <alignment horizontal="center" vertical="top"/>
    </xf>
    <xf applyAlignment="true" applyBorder="true" applyFill="false" applyFont="false" applyNumberFormat="true" borderId="8146" fillId="0" fontId="1" numFmtId="1000" quotePrefix="false">
      <alignment horizontal="center" vertical="top"/>
    </xf>
    <xf applyAlignment="true" applyBorder="true" applyFill="false" applyFont="false" applyNumberFormat="true" borderId="8147" fillId="0" fontId="1" numFmtId="1000" quotePrefix="false">
      <alignment horizontal="center" vertical="top"/>
    </xf>
    <xf applyAlignment="true" applyBorder="true" applyFill="false" applyFont="false" applyNumberFormat="true" borderId="8148" fillId="0" fontId="1" numFmtId="1000" quotePrefix="false">
      <alignment horizontal="center" vertical="top"/>
    </xf>
    <xf applyAlignment="true" applyBorder="true" applyFill="false" applyFont="false" applyNumberFormat="true" borderId="8149" fillId="0" fontId="1" numFmtId="1000" quotePrefix="false">
      <alignment horizontal="center" vertical="top"/>
    </xf>
    <xf applyAlignment="true" applyBorder="true" applyFill="false" applyFont="false" applyNumberFormat="true" borderId="8150" fillId="0" fontId="1" numFmtId="1000" quotePrefix="false">
      <alignment horizontal="center" vertical="top"/>
    </xf>
    <xf applyAlignment="true" applyBorder="true" applyFill="false" applyFont="false" applyNumberFormat="true" borderId="8151" fillId="0" fontId="1" numFmtId="1000" quotePrefix="false">
      <alignment horizontal="center" vertical="top"/>
    </xf>
    <xf applyAlignment="true" applyBorder="true" applyFill="false" applyFont="false" applyNumberFormat="true" borderId="8152" fillId="0" fontId="1" numFmtId="1000" quotePrefix="false">
      <alignment horizontal="center" vertical="top"/>
    </xf>
    <xf applyAlignment="true" applyBorder="true" applyFill="false" applyFont="false" applyNumberFormat="true" borderId="8153" fillId="0" fontId="1" numFmtId="1000" quotePrefix="false">
      <alignment horizontal="center" vertical="top"/>
    </xf>
    <xf applyAlignment="true" applyBorder="true" applyFill="false" applyFont="false" applyNumberFormat="true" borderId="8154" fillId="0" fontId="1" numFmtId="1000" quotePrefix="false">
      <alignment horizontal="center" vertical="top"/>
    </xf>
    <xf applyAlignment="true" applyBorder="true" applyFill="false" applyFont="false" applyNumberFormat="true" borderId="8155" fillId="0" fontId="1" numFmtId="1000" quotePrefix="false">
      <alignment horizontal="center" vertical="top"/>
    </xf>
    <xf applyAlignment="true" applyBorder="true" applyFill="false" applyFont="false" applyNumberFormat="true" borderId="8156" fillId="0" fontId="1" numFmtId="1000" quotePrefix="false">
      <alignment horizontal="center" vertical="top"/>
    </xf>
    <xf applyAlignment="true" applyBorder="true" applyFill="false" applyFont="false" applyNumberFormat="true" borderId="8157" fillId="0" fontId="1" numFmtId="1000" quotePrefix="false">
      <alignment horizontal="center" vertical="top"/>
    </xf>
    <xf applyAlignment="true" applyBorder="true" applyFill="false" applyFont="false" applyNumberFormat="true" borderId="8158" fillId="0" fontId="1" numFmtId="1000" quotePrefix="false">
      <alignment horizontal="center" vertical="top"/>
    </xf>
    <xf applyAlignment="true" applyBorder="true" applyFill="false" applyFont="false" applyNumberFormat="true" borderId="8159" fillId="0" fontId="1" numFmtId="1000" quotePrefix="false">
      <alignment horizontal="center" vertical="top"/>
    </xf>
    <xf applyAlignment="true" applyBorder="true" applyFill="false" applyFont="false" applyNumberFormat="true" borderId="8160" fillId="0" fontId="1" numFmtId="1000" quotePrefix="false">
      <alignment horizontal="center" vertical="top"/>
    </xf>
    <xf applyAlignment="true" applyBorder="true" applyFill="false" applyFont="false" applyNumberFormat="true" borderId="8161" fillId="0" fontId="1" numFmtId="1000" quotePrefix="false">
      <alignment horizontal="center" vertical="top"/>
    </xf>
    <xf applyAlignment="true" applyBorder="true" applyFill="false" applyFont="false" applyNumberFormat="true" borderId="8162" fillId="0" fontId="1" numFmtId="1000" quotePrefix="false">
      <alignment horizontal="center" vertical="top"/>
    </xf>
    <xf applyAlignment="true" applyBorder="true" applyFill="false" applyFont="false" applyNumberFormat="true" borderId="8163" fillId="0" fontId="1" numFmtId="1000" quotePrefix="false">
      <alignment horizontal="center" vertical="top"/>
    </xf>
    <xf applyAlignment="true" applyBorder="true" applyFill="false" applyFont="false" applyNumberFormat="true" borderId="8164" fillId="0" fontId="1" numFmtId="1000" quotePrefix="false">
      <alignment horizontal="center" vertical="top"/>
    </xf>
    <xf applyAlignment="true" applyBorder="true" applyFill="false" applyFont="false" applyNumberFormat="true" borderId="8165" fillId="0" fontId="1" numFmtId="1000" quotePrefix="false">
      <alignment horizontal="center" vertical="top"/>
    </xf>
    <xf applyAlignment="true" applyBorder="true" applyFill="false" applyFont="false" applyNumberFormat="true" borderId="8166" fillId="0" fontId="1" numFmtId="1000" quotePrefix="false">
      <alignment horizontal="center" vertical="top"/>
    </xf>
    <xf applyAlignment="true" applyBorder="true" applyFill="false" applyFont="false" applyNumberFormat="true" borderId="8167" fillId="0" fontId="1" numFmtId="1000" quotePrefix="false">
      <alignment horizontal="center" vertical="top"/>
    </xf>
    <xf applyAlignment="true" applyBorder="true" applyFill="false" applyFont="false" applyNumberFormat="true" borderId="8168" fillId="0" fontId="1" numFmtId="1000" quotePrefix="false">
      <alignment horizontal="center" vertical="top"/>
    </xf>
    <xf applyAlignment="true" applyBorder="true" applyFill="false" applyFont="false" applyNumberFormat="true" borderId="8169" fillId="0" fontId="1" numFmtId="1000" quotePrefix="false">
      <alignment horizontal="center" vertical="top"/>
    </xf>
    <xf applyAlignment="true" applyBorder="true" applyFill="false" applyFont="false" applyNumberFormat="true" borderId="8170" fillId="0" fontId="1" numFmtId="1000" quotePrefix="false">
      <alignment horizontal="center" vertical="top"/>
    </xf>
    <xf applyAlignment="true" applyBorder="true" applyFill="false" applyFont="false" applyNumberFormat="true" borderId="8171" fillId="0" fontId="1" numFmtId="1000" quotePrefix="false">
      <alignment horizontal="center" vertical="top"/>
    </xf>
    <xf applyAlignment="true" applyBorder="true" applyFill="false" applyFont="true" applyNumberFormat="true" borderId="8172" fillId="0" fontId="2" numFmtId="1000" quotePrefix="false">
      <alignment horizontal="center" vertical="top"/>
    </xf>
    <xf applyAlignment="true" applyBorder="true" applyFill="false" applyFont="false" applyNumberFormat="true" borderId="8173" fillId="0" fontId="1" numFmtId="1000" quotePrefix="false">
      <alignment horizontal="left" vertical="top"/>
    </xf>
    <xf applyAlignment="true" applyBorder="true" applyFill="false" applyFont="false" applyNumberFormat="true" borderId="8174" fillId="0" fontId="1" numFmtId="1000" quotePrefix="false">
      <alignment horizontal="left" vertical="top"/>
    </xf>
    <xf applyAlignment="true" applyBorder="true" applyFill="false" applyFont="false" applyNumberFormat="true" borderId="8175" fillId="0" fontId="1" numFmtId="1000" quotePrefix="false">
      <alignment horizontal="left" vertical="top"/>
    </xf>
    <xf applyAlignment="true" applyBorder="true" applyFill="false" applyFont="false" applyNumberFormat="true" borderId="8176" fillId="0" fontId="1" numFmtId="1000" quotePrefix="false">
      <alignment horizontal="left" vertical="top"/>
    </xf>
    <xf applyAlignment="true" applyBorder="true" applyFill="false" applyFont="false" applyNumberFormat="true" borderId="8177" fillId="0" fontId="1" numFmtId="1000" quotePrefix="false">
      <alignment horizontal="left" vertical="top"/>
    </xf>
    <xf applyAlignment="true" applyBorder="true" applyFill="false" applyFont="false" applyNumberFormat="true" borderId="8178" fillId="0" fontId="1" numFmtId="1000" quotePrefix="false">
      <alignment horizontal="left" vertical="top"/>
    </xf>
    <xf applyAlignment="true" applyBorder="true" applyFill="false" applyFont="false" applyNumberFormat="true" borderId="8179" fillId="0" fontId="1" numFmtId="1000" quotePrefix="false">
      <alignment horizontal="left" vertical="top"/>
    </xf>
    <xf applyAlignment="true" applyBorder="true" applyFill="false" applyFont="false" applyNumberFormat="true" borderId="8180" fillId="0" fontId="1" numFmtId="1000" quotePrefix="false">
      <alignment horizontal="left" vertical="top"/>
    </xf>
    <xf applyAlignment="true" applyBorder="true" applyFill="false" applyFont="false" applyNumberFormat="true" borderId="8181" fillId="0" fontId="1" numFmtId="1000" quotePrefix="false">
      <alignment horizontal="left" vertical="top"/>
    </xf>
    <xf applyAlignment="true" applyBorder="true" applyFill="false" applyFont="false" applyNumberFormat="true" borderId="8182" fillId="0" fontId="1" numFmtId="1000" quotePrefix="false">
      <alignment horizontal="left" vertical="top"/>
    </xf>
    <xf applyAlignment="true" applyBorder="true" applyFill="false" applyFont="false" applyNumberFormat="true" borderId="8183" fillId="0" fontId="1" numFmtId="1000" quotePrefix="false">
      <alignment horizontal="left" vertical="top"/>
    </xf>
    <xf applyAlignment="true" applyBorder="true" applyFill="false" applyFont="false" applyNumberFormat="true" borderId="8184" fillId="0" fontId="1" numFmtId="1000" quotePrefix="false">
      <alignment horizontal="left" vertical="top"/>
    </xf>
    <xf applyAlignment="true" applyBorder="true" applyFill="false" applyFont="false" applyNumberFormat="true" borderId="8185" fillId="0" fontId="1" numFmtId="1000" quotePrefix="false">
      <alignment horizontal="left" vertical="top"/>
    </xf>
    <xf applyAlignment="true" applyBorder="true" applyFill="false" applyFont="false" applyNumberFormat="true" borderId="8186" fillId="0" fontId="1" numFmtId="1000" quotePrefix="false">
      <alignment horizontal="left" vertical="top"/>
    </xf>
    <xf applyAlignment="true" applyBorder="true" applyFill="false" applyFont="false" applyNumberFormat="true" borderId="8187" fillId="0" fontId="1" numFmtId="1000" quotePrefix="false">
      <alignment horizontal="left" vertical="top"/>
    </xf>
    <xf applyAlignment="true" applyBorder="true" applyFill="false" applyFont="false" applyNumberFormat="true" borderId="8188" fillId="0" fontId="1" numFmtId="1000" quotePrefix="false">
      <alignment horizontal="left" vertical="top"/>
    </xf>
    <xf applyAlignment="true" applyBorder="true" applyFill="false" applyFont="false" applyNumberFormat="true" borderId="8189" fillId="0" fontId="1" numFmtId="1000" quotePrefix="false">
      <alignment horizontal="left" vertical="top"/>
    </xf>
    <xf applyAlignment="true" applyBorder="true" applyFill="false" applyFont="false" applyNumberFormat="true" borderId="8190" fillId="0" fontId="1" numFmtId="1000" quotePrefix="false">
      <alignment horizontal="left" vertical="top"/>
    </xf>
    <xf applyAlignment="true" applyBorder="true" applyFill="false" applyFont="false" applyNumberFormat="true" borderId="8191" fillId="0" fontId="1" numFmtId="1000" quotePrefix="false">
      <alignment horizontal="left" vertical="top"/>
    </xf>
    <xf applyAlignment="true" applyBorder="true" applyFill="false" applyFont="true" applyNumberFormat="true" borderId="8192" fillId="0" fontId="2" numFmtId="1001" quotePrefix="false">
      <alignment horizontal="center"/>
    </xf>
    <xf applyAlignment="true" applyBorder="true" applyFill="false" applyFont="true" applyNumberFormat="true" borderId="8193" fillId="0" fontId="2" numFmtId="1001" quotePrefix="false">
      <alignment horizontal="center"/>
    </xf>
    <xf applyAlignment="true" applyBorder="true" applyFill="false" applyFont="true" applyNumberFormat="true" borderId="8194" fillId="0" fontId="2" numFmtId="1001" quotePrefix="false">
      <alignment horizontal="center"/>
    </xf>
    <xf applyAlignment="true" applyBorder="true" applyFill="false" applyFont="false" applyNumberFormat="true" borderId="8195" fillId="0" fontId="1" numFmtId="1000" quotePrefix="false">
      <alignment horizontal="center" vertical="top"/>
    </xf>
    <xf applyAlignment="true" applyBorder="true" applyFill="false" applyFont="false" applyNumberFormat="true" borderId="8196" fillId="0" fontId="1" numFmtId="1000" quotePrefix="false">
      <alignment horizontal="center" vertical="top"/>
    </xf>
    <xf applyAlignment="true" applyBorder="true" applyFill="false" applyFont="false" applyNumberFormat="true" borderId="8197" fillId="0" fontId="1" numFmtId="1000" quotePrefix="false">
      <alignment horizontal="center" vertical="top"/>
    </xf>
    <xf applyAlignment="true" applyBorder="true" applyFill="false" applyFont="false" applyNumberFormat="true" borderId="8198" fillId="0" fontId="1" numFmtId="1000" quotePrefix="false">
      <alignment horizontal="center" vertical="top"/>
    </xf>
    <xf applyAlignment="true" applyBorder="true" applyFill="false" applyFont="false" applyNumberFormat="true" borderId="8199" fillId="0" fontId="1" numFmtId="1000" quotePrefix="false">
      <alignment horizontal="center" vertical="top"/>
    </xf>
    <xf applyAlignment="true" applyBorder="true" applyFill="false" applyFont="false" applyNumberFormat="true" borderId="8200" fillId="0" fontId="1" numFmtId="1000" quotePrefix="false">
      <alignment horizontal="center" vertical="top"/>
    </xf>
    <xf applyAlignment="true" applyBorder="true" applyFill="false" applyFont="false" applyNumberFormat="true" borderId="8201" fillId="0" fontId="1" numFmtId="1000" quotePrefix="false">
      <alignment horizontal="center" vertical="top"/>
    </xf>
    <xf applyAlignment="true" applyBorder="true" applyFill="false" applyFont="false" applyNumberFormat="true" borderId="8202" fillId="0" fontId="1" numFmtId="1000" quotePrefix="false">
      <alignment horizontal="center" vertical="top"/>
    </xf>
    <xf applyAlignment="true" applyBorder="true" applyFill="false" applyFont="false" applyNumberFormat="true" borderId="8203" fillId="0" fontId="1" numFmtId="1000" quotePrefix="false">
      <alignment horizontal="center" vertical="top"/>
    </xf>
    <xf applyAlignment="true" applyBorder="true" applyFill="false" applyFont="false" applyNumberFormat="true" borderId="8204" fillId="0" fontId="1" numFmtId="1000" quotePrefix="false">
      <alignment horizontal="center" vertical="top"/>
    </xf>
    <xf applyAlignment="true" applyBorder="true" applyFill="false" applyFont="false" applyNumberFormat="true" borderId="8205" fillId="0" fontId="1" numFmtId="1000" quotePrefix="false">
      <alignment horizontal="center" vertical="top"/>
    </xf>
    <xf applyAlignment="true" applyBorder="true" applyFill="false" applyFont="false" applyNumberFormat="true" borderId="8206" fillId="0" fontId="1" numFmtId="1000" quotePrefix="false">
      <alignment horizontal="center" vertical="top"/>
    </xf>
    <xf applyAlignment="true" applyBorder="true" applyFill="false" applyFont="false" applyNumberFormat="true" borderId="8207" fillId="0" fontId="1" numFmtId="1000" quotePrefix="false">
      <alignment horizontal="center" vertical="top"/>
    </xf>
    <xf applyAlignment="true" applyBorder="true" applyFill="false" applyFont="false" applyNumberFormat="true" borderId="8208" fillId="0" fontId="1" numFmtId="1000" quotePrefix="false">
      <alignment horizontal="center" vertical="top"/>
    </xf>
    <xf applyAlignment="true" applyBorder="true" applyFill="false" applyFont="false" applyNumberFormat="true" borderId="8209" fillId="0" fontId="1" numFmtId="1000" quotePrefix="false">
      <alignment horizontal="center" vertical="top"/>
    </xf>
    <xf applyAlignment="true" applyBorder="true" applyFill="false" applyFont="false" applyNumberFormat="true" borderId="8210" fillId="0" fontId="1" numFmtId="1000" quotePrefix="false">
      <alignment horizontal="center" vertical="top"/>
    </xf>
    <xf applyAlignment="true" applyBorder="true" applyFill="false" applyFont="false" applyNumberFormat="true" borderId="8211" fillId="0" fontId="1" numFmtId="1000" quotePrefix="false">
      <alignment horizontal="center" vertical="top"/>
    </xf>
    <xf applyAlignment="true" applyBorder="true" applyFill="false" applyFont="false" applyNumberFormat="true" borderId="8212" fillId="0" fontId="1" numFmtId="1000" quotePrefix="false">
      <alignment horizontal="center" vertical="top"/>
    </xf>
    <xf applyAlignment="true" applyBorder="true" applyFill="false" applyFont="false" applyNumberFormat="true" borderId="8213" fillId="0" fontId="1" numFmtId="1000" quotePrefix="false">
      <alignment horizontal="center" vertical="top"/>
    </xf>
    <xf applyAlignment="true" applyBorder="true" applyFill="false" applyFont="false" applyNumberFormat="true" borderId="8214" fillId="0" fontId="1" numFmtId="1000" quotePrefix="false">
      <alignment horizontal="center" vertical="top"/>
    </xf>
    <xf applyAlignment="true" applyBorder="true" applyFill="false" applyFont="false" applyNumberFormat="true" borderId="8215" fillId="0" fontId="1" numFmtId="1000" quotePrefix="false">
      <alignment horizontal="center" vertical="top"/>
    </xf>
    <xf applyAlignment="true" applyBorder="true" applyFill="false" applyFont="false" applyNumberFormat="true" borderId="8216" fillId="0" fontId="1" numFmtId="1000" quotePrefix="false">
      <alignment horizontal="center" vertical="top"/>
    </xf>
    <xf applyAlignment="true" applyBorder="true" applyFill="false" applyFont="false" applyNumberFormat="true" borderId="8217" fillId="0" fontId="1" numFmtId="1000" quotePrefix="false">
      <alignment horizontal="center" vertical="top"/>
    </xf>
    <xf applyAlignment="true" applyBorder="true" applyFill="false" applyFont="false" applyNumberFormat="true" borderId="8218" fillId="0" fontId="1" numFmtId="1000" quotePrefix="false">
      <alignment horizontal="center" vertical="top"/>
    </xf>
    <xf applyAlignment="true" applyBorder="true" applyFill="false" applyFont="false" applyNumberFormat="true" borderId="8219" fillId="0" fontId="1" numFmtId="1000" quotePrefix="false">
      <alignment horizontal="center" vertical="top"/>
    </xf>
    <xf applyAlignment="true" applyBorder="true" applyFill="false" applyFont="false" applyNumberFormat="true" borderId="8220" fillId="0" fontId="1" numFmtId="1000" quotePrefix="false">
      <alignment horizontal="center" vertical="top"/>
    </xf>
    <xf applyAlignment="true" applyBorder="true" applyFill="false" applyFont="false" applyNumberFormat="true" borderId="8221" fillId="0" fontId="1" numFmtId="1000" quotePrefix="false">
      <alignment horizontal="center" vertical="top"/>
    </xf>
    <xf applyAlignment="true" applyBorder="true" applyFill="false" applyFont="false" applyNumberFormat="true" borderId="8222" fillId="0" fontId="1" numFmtId="1000" quotePrefix="false">
      <alignment horizontal="center" vertical="top"/>
    </xf>
    <xf applyAlignment="true" applyBorder="true" applyFill="false" applyFont="false" applyNumberFormat="true" borderId="8223" fillId="0" fontId="1" numFmtId="1000" quotePrefix="false">
      <alignment horizontal="center" vertical="top"/>
    </xf>
    <xf applyAlignment="true" applyBorder="true" applyFill="false" applyFont="false" applyNumberFormat="true" borderId="8224" fillId="0" fontId="1" numFmtId="1000" quotePrefix="false">
      <alignment horizontal="center" vertical="top"/>
    </xf>
    <xf applyAlignment="true" applyBorder="true" applyFill="false" applyFont="false" applyNumberFormat="true" borderId="8225" fillId="0" fontId="1" numFmtId="1000" quotePrefix="false">
      <alignment horizontal="center" vertical="top"/>
    </xf>
    <xf applyAlignment="true" applyBorder="true" applyFill="false" applyFont="false" applyNumberFormat="true" borderId="8226" fillId="0" fontId="1" numFmtId="1000" quotePrefix="false">
      <alignment horizontal="center" vertical="top"/>
    </xf>
    <xf applyAlignment="true" applyBorder="true" applyFill="false" applyFont="false" applyNumberFormat="true" borderId="8227" fillId="0" fontId="1" numFmtId="1000" quotePrefix="false">
      <alignment horizontal="center" vertical="top"/>
    </xf>
    <xf applyAlignment="true" applyBorder="true" applyFill="false" applyFont="true" applyNumberFormat="true" borderId="8228" fillId="0" fontId="2" numFmtId="1000" quotePrefix="false">
      <alignment horizontal="center" vertical="top"/>
    </xf>
    <xf applyAlignment="true" applyBorder="true" applyFill="false" applyFont="false" applyNumberFormat="true" borderId="8229" fillId="0" fontId="1" numFmtId="1000" quotePrefix="false">
      <alignment horizontal="left" vertical="top"/>
    </xf>
    <xf applyAlignment="true" applyBorder="true" applyFill="false" applyFont="false" applyNumberFormat="true" borderId="8230" fillId="0" fontId="1" numFmtId="1000" quotePrefix="false">
      <alignment horizontal="left" vertical="top"/>
    </xf>
    <xf applyAlignment="true" applyBorder="true" applyFill="false" applyFont="false" applyNumberFormat="true" borderId="8231" fillId="0" fontId="1" numFmtId="1000" quotePrefix="false">
      <alignment horizontal="left" vertical="top"/>
    </xf>
    <xf applyAlignment="true" applyBorder="true" applyFill="false" applyFont="false" applyNumberFormat="true" borderId="8232" fillId="0" fontId="1" numFmtId="1000" quotePrefix="false">
      <alignment horizontal="left" vertical="top"/>
    </xf>
    <xf applyAlignment="true" applyBorder="true" applyFill="false" applyFont="false" applyNumberFormat="true" borderId="8233" fillId="0" fontId="1" numFmtId="1000" quotePrefix="false">
      <alignment horizontal="left" vertical="top"/>
    </xf>
    <xf applyAlignment="true" applyBorder="true" applyFill="false" applyFont="false" applyNumberFormat="true" borderId="8234" fillId="0" fontId="1" numFmtId="1000" quotePrefix="false">
      <alignment horizontal="left" vertical="top"/>
    </xf>
    <xf applyAlignment="true" applyBorder="true" applyFill="false" applyFont="false" applyNumberFormat="true" borderId="8235" fillId="0" fontId="1" numFmtId="1000" quotePrefix="false">
      <alignment horizontal="left" vertical="top"/>
    </xf>
    <xf applyAlignment="true" applyBorder="true" applyFill="false" applyFont="false" applyNumberFormat="true" borderId="8236" fillId="0" fontId="1" numFmtId="1000" quotePrefix="false">
      <alignment horizontal="left" vertical="top"/>
    </xf>
    <xf applyAlignment="true" applyBorder="true" applyFill="false" applyFont="false" applyNumberFormat="true" borderId="8237" fillId="0" fontId="1" numFmtId="1000" quotePrefix="false">
      <alignment horizontal="left" vertical="top"/>
    </xf>
    <xf applyAlignment="true" applyBorder="true" applyFill="false" applyFont="false" applyNumberFormat="true" borderId="8238" fillId="0" fontId="1" numFmtId="1000" quotePrefix="false">
      <alignment horizontal="left" vertical="top"/>
    </xf>
    <xf applyAlignment="true" applyBorder="true" applyFill="false" applyFont="false" applyNumberFormat="true" borderId="8239" fillId="0" fontId="1" numFmtId="1000" quotePrefix="false">
      <alignment horizontal="left" vertical="top"/>
    </xf>
    <xf applyAlignment="true" applyBorder="true" applyFill="false" applyFont="false" applyNumberFormat="true" borderId="8240" fillId="0" fontId="1" numFmtId="1000" quotePrefix="false">
      <alignment horizontal="left" vertical="top"/>
    </xf>
    <xf applyAlignment="true" applyBorder="true" applyFill="false" applyFont="false" applyNumberFormat="true" borderId="8241" fillId="0" fontId="1" numFmtId="1000" quotePrefix="false">
      <alignment horizontal="left" vertical="top"/>
    </xf>
    <xf applyAlignment="true" applyBorder="true" applyFill="false" applyFont="false" applyNumberFormat="true" borderId="8242" fillId="0" fontId="1" numFmtId="1000" quotePrefix="false">
      <alignment horizontal="left" vertical="top"/>
    </xf>
    <xf applyAlignment="true" applyBorder="true" applyFill="false" applyFont="false" applyNumberFormat="true" borderId="8243" fillId="0" fontId="1" numFmtId="1000" quotePrefix="false">
      <alignment horizontal="left" vertical="top"/>
    </xf>
    <xf applyAlignment="true" applyBorder="true" applyFill="false" applyFont="false" applyNumberFormat="true" borderId="8244" fillId="0" fontId="1" numFmtId="1000" quotePrefix="false">
      <alignment horizontal="left" vertical="top"/>
    </xf>
    <xf applyAlignment="true" applyBorder="true" applyFill="false" applyFont="false" applyNumberFormat="true" borderId="8245" fillId="0" fontId="1" numFmtId="1000" quotePrefix="false">
      <alignment horizontal="left" vertical="top"/>
    </xf>
    <xf applyAlignment="true" applyBorder="true" applyFill="false" applyFont="false" applyNumberFormat="true" borderId="8246" fillId="0" fontId="1" numFmtId="1000" quotePrefix="false">
      <alignment horizontal="left" vertical="top"/>
    </xf>
    <xf applyAlignment="true" applyBorder="true" applyFill="false" applyFont="false" applyNumberFormat="true" borderId="8247" fillId="0" fontId="1" numFmtId="1000" quotePrefix="false">
      <alignment horizontal="left" vertical="top"/>
    </xf>
    <xf applyAlignment="true" applyBorder="true" applyFill="false" applyFont="true" applyNumberFormat="true" borderId="8248" fillId="0" fontId="2" numFmtId="1001" quotePrefix="false">
      <alignment horizontal="center"/>
    </xf>
    <xf applyAlignment="true" applyBorder="true" applyFill="false" applyFont="true" applyNumberFormat="true" borderId="8249" fillId="0" fontId="2" numFmtId="1001" quotePrefix="false">
      <alignment horizontal="center"/>
    </xf>
    <xf applyAlignment="true" applyBorder="true" applyFill="false" applyFont="true" applyNumberFormat="true" borderId="8250" fillId="0" fontId="2" numFmtId="1001" quotePrefix="false">
      <alignment horizontal="center"/>
    </xf>
    <xf applyAlignment="true" applyBorder="true" applyFill="false" applyFont="false" applyNumberFormat="true" borderId="8251" fillId="0" fontId="1" numFmtId="1000" quotePrefix="false">
      <alignment horizontal="center" vertical="top"/>
    </xf>
    <xf applyAlignment="true" applyBorder="true" applyFill="false" applyFont="false" applyNumberFormat="true" borderId="8252" fillId="0" fontId="1" numFmtId="1000" quotePrefix="false">
      <alignment horizontal="center" vertical="top"/>
    </xf>
    <xf applyAlignment="true" applyBorder="true" applyFill="false" applyFont="false" applyNumberFormat="true" borderId="8253" fillId="0" fontId="1" numFmtId="1000" quotePrefix="false">
      <alignment horizontal="center" vertical="top"/>
    </xf>
    <xf applyAlignment="true" applyBorder="true" applyFill="false" applyFont="false" applyNumberFormat="true" borderId="8254" fillId="0" fontId="1" numFmtId="1000" quotePrefix="false">
      <alignment horizontal="center" vertical="top"/>
    </xf>
    <xf applyAlignment="true" applyBorder="true" applyFill="false" applyFont="false" applyNumberFormat="true" borderId="8255" fillId="0" fontId="1" numFmtId="1000" quotePrefix="false">
      <alignment horizontal="center" vertical="top"/>
    </xf>
    <xf applyAlignment="true" applyBorder="true" applyFill="false" applyFont="false" applyNumberFormat="true" borderId="8256" fillId="0" fontId="1" numFmtId="1000" quotePrefix="false">
      <alignment horizontal="center" vertical="top"/>
    </xf>
    <xf applyAlignment="true" applyBorder="true" applyFill="false" applyFont="false" applyNumberFormat="true" borderId="8257" fillId="0" fontId="1" numFmtId="1000" quotePrefix="false">
      <alignment horizontal="center" vertical="top"/>
    </xf>
    <xf applyAlignment="true" applyBorder="true" applyFill="false" applyFont="false" applyNumberFormat="true" borderId="8258" fillId="0" fontId="1" numFmtId="1000" quotePrefix="false">
      <alignment horizontal="center" vertical="top"/>
    </xf>
    <xf applyAlignment="true" applyBorder="true" applyFill="false" applyFont="false" applyNumberFormat="true" borderId="8259" fillId="0" fontId="1" numFmtId="1000" quotePrefix="false">
      <alignment horizontal="center" vertical="top"/>
    </xf>
    <xf applyAlignment="true" applyBorder="true" applyFill="false" applyFont="false" applyNumberFormat="true" borderId="8260" fillId="0" fontId="1" numFmtId="1000" quotePrefix="false">
      <alignment horizontal="center" vertical="top"/>
    </xf>
    <xf applyAlignment="true" applyBorder="true" applyFill="false" applyFont="false" applyNumberFormat="true" borderId="8261" fillId="0" fontId="1" numFmtId="1000" quotePrefix="false">
      <alignment horizontal="center" vertical="top"/>
    </xf>
    <xf applyAlignment="true" applyBorder="true" applyFill="false" applyFont="false" applyNumberFormat="true" borderId="8262" fillId="0" fontId="1" numFmtId="1000" quotePrefix="false">
      <alignment horizontal="center" vertical="top"/>
    </xf>
    <xf applyAlignment="true" applyBorder="true" applyFill="false" applyFont="false" applyNumberFormat="true" borderId="8263" fillId="0" fontId="1" numFmtId="1000" quotePrefix="false">
      <alignment horizontal="center" vertical="top"/>
    </xf>
    <xf applyAlignment="true" applyBorder="true" applyFill="false" applyFont="false" applyNumberFormat="true" borderId="8264" fillId="0" fontId="1" numFmtId="1000" quotePrefix="false">
      <alignment horizontal="center" vertical="top"/>
    </xf>
    <xf applyAlignment="true" applyBorder="true" applyFill="false" applyFont="false" applyNumberFormat="true" borderId="8265" fillId="0" fontId="1" numFmtId="1000" quotePrefix="false">
      <alignment horizontal="center" vertical="top"/>
    </xf>
    <xf applyAlignment="true" applyBorder="true" applyFill="false" applyFont="false" applyNumberFormat="true" borderId="8266" fillId="0" fontId="1" numFmtId="1000" quotePrefix="false">
      <alignment horizontal="center" vertical="top"/>
    </xf>
    <xf applyAlignment="true" applyBorder="true" applyFill="false" applyFont="false" applyNumberFormat="true" borderId="8267" fillId="0" fontId="1" numFmtId="1000" quotePrefix="false">
      <alignment horizontal="center" vertical="top"/>
    </xf>
    <xf applyAlignment="true" applyBorder="true" applyFill="false" applyFont="false" applyNumberFormat="true" borderId="8268" fillId="0" fontId="1" numFmtId="1000" quotePrefix="false">
      <alignment horizontal="center" vertical="top"/>
    </xf>
    <xf applyAlignment="true" applyBorder="true" applyFill="false" applyFont="false" applyNumberFormat="true" borderId="8269" fillId="0" fontId="1" numFmtId="1000" quotePrefix="false">
      <alignment horizontal="center" vertical="top"/>
    </xf>
    <xf applyAlignment="true" applyBorder="true" applyFill="false" applyFont="false" applyNumberFormat="true" borderId="8270" fillId="0" fontId="1" numFmtId="1000" quotePrefix="false">
      <alignment horizontal="center" vertical="top"/>
    </xf>
    <xf applyAlignment="true" applyBorder="true" applyFill="false" applyFont="false" applyNumberFormat="true" borderId="8271" fillId="0" fontId="1" numFmtId="1000" quotePrefix="false">
      <alignment horizontal="center" vertical="top"/>
    </xf>
    <xf applyAlignment="true" applyBorder="true" applyFill="false" applyFont="false" applyNumberFormat="true" borderId="8272" fillId="0" fontId="1" numFmtId="1000" quotePrefix="false">
      <alignment horizontal="center" vertical="top"/>
    </xf>
    <xf applyAlignment="true" applyBorder="true" applyFill="false" applyFont="false" applyNumberFormat="true" borderId="8273" fillId="0" fontId="1" numFmtId="1000" quotePrefix="false">
      <alignment horizontal="center" vertical="top"/>
    </xf>
    <xf applyAlignment="true" applyBorder="true" applyFill="false" applyFont="false" applyNumberFormat="true" borderId="8274" fillId="0" fontId="1" numFmtId="1000" quotePrefix="false">
      <alignment horizontal="center" vertical="top"/>
    </xf>
    <xf applyAlignment="true" applyBorder="true" applyFill="false" applyFont="false" applyNumberFormat="true" borderId="8275" fillId="0" fontId="1" numFmtId="1000" quotePrefix="false">
      <alignment horizontal="center" vertical="top"/>
    </xf>
    <xf applyAlignment="true" applyBorder="true" applyFill="false" applyFont="false" applyNumberFormat="true" borderId="8276" fillId="0" fontId="1" numFmtId="1000" quotePrefix="false">
      <alignment horizontal="center" vertical="top"/>
    </xf>
    <xf applyAlignment="true" applyBorder="true" applyFill="false" applyFont="false" applyNumberFormat="true" borderId="8277" fillId="0" fontId="1" numFmtId="1000" quotePrefix="false">
      <alignment horizontal="center" vertical="top"/>
    </xf>
    <xf applyAlignment="true" applyBorder="true" applyFill="false" applyFont="false" applyNumberFormat="true" borderId="8278" fillId="0" fontId="1" numFmtId="1000" quotePrefix="false">
      <alignment horizontal="center" vertical="top"/>
    </xf>
    <xf applyAlignment="true" applyBorder="true" applyFill="false" applyFont="false" applyNumberFormat="true" borderId="8279" fillId="0" fontId="1" numFmtId="1000" quotePrefix="false">
      <alignment horizontal="center" vertical="top"/>
    </xf>
    <xf applyAlignment="true" applyBorder="true" applyFill="false" applyFont="false" applyNumberFormat="true" borderId="8280" fillId="0" fontId="1" numFmtId="1000" quotePrefix="false">
      <alignment horizontal="center" vertical="top"/>
    </xf>
    <xf applyAlignment="true" applyBorder="true" applyFill="false" applyFont="false" applyNumberFormat="true" borderId="8281" fillId="0" fontId="1" numFmtId="1000" quotePrefix="false">
      <alignment horizontal="center" vertical="top"/>
    </xf>
    <xf applyAlignment="true" applyBorder="true" applyFill="false" applyFont="false" applyNumberFormat="true" borderId="8282" fillId="0" fontId="1" numFmtId="1000" quotePrefix="false">
      <alignment horizontal="center" vertical="top"/>
    </xf>
    <xf applyAlignment="true" applyBorder="true" applyFill="false" applyFont="false" applyNumberFormat="true" borderId="8283" fillId="0" fontId="1" numFmtId="1000" quotePrefix="false">
      <alignment horizontal="center" vertical="top"/>
    </xf>
    <xf applyAlignment="true" applyBorder="true" applyFill="false" applyFont="true" applyNumberFormat="true" borderId="8284" fillId="0" fontId="2" numFmtId="1000" quotePrefix="false">
      <alignment horizontal="center" vertical="top"/>
    </xf>
    <xf applyAlignment="true" applyBorder="true" applyFill="false" applyFont="false" applyNumberFormat="true" borderId="8285" fillId="0" fontId="1" numFmtId="1000" quotePrefix="false">
      <alignment horizontal="left" vertical="top"/>
    </xf>
    <xf applyAlignment="true" applyBorder="true" applyFill="false" applyFont="false" applyNumberFormat="true" borderId="8286" fillId="0" fontId="1" numFmtId="1000" quotePrefix="false">
      <alignment horizontal="left" vertical="top"/>
    </xf>
    <xf applyAlignment="true" applyBorder="true" applyFill="false" applyFont="false" applyNumberFormat="true" borderId="8287" fillId="0" fontId="1" numFmtId="1000" quotePrefix="false">
      <alignment horizontal="left" vertical="top"/>
    </xf>
    <xf applyAlignment="true" applyBorder="true" applyFill="false" applyFont="false" applyNumberFormat="true" borderId="8288" fillId="0" fontId="1" numFmtId="1000" quotePrefix="false">
      <alignment horizontal="left" vertical="top"/>
    </xf>
    <xf applyAlignment="true" applyBorder="true" applyFill="false" applyFont="false" applyNumberFormat="true" borderId="8289" fillId="0" fontId="1" numFmtId="1000" quotePrefix="false">
      <alignment horizontal="left" vertical="top"/>
    </xf>
    <xf applyAlignment="true" applyBorder="true" applyFill="false" applyFont="false" applyNumberFormat="true" borderId="8290" fillId="0" fontId="1" numFmtId="1000" quotePrefix="false">
      <alignment horizontal="left" vertical="top"/>
    </xf>
    <xf applyAlignment="true" applyBorder="true" applyFill="false" applyFont="false" applyNumberFormat="true" borderId="8291" fillId="0" fontId="1" numFmtId="1000" quotePrefix="false">
      <alignment horizontal="left" vertical="top"/>
    </xf>
    <xf applyAlignment="true" applyBorder="true" applyFill="false" applyFont="false" applyNumberFormat="true" borderId="8292" fillId="0" fontId="1" numFmtId="1000" quotePrefix="false">
      <alignment horizontal="left" vertical="top"/>
    </xf>
    <xf applyAlignment="true" applyBorder="true" applyFill="false" applyFont="false" applyNumberFormat="true" borderId="8293" fillId="0" fontId="1" numFmtId="1000" quotePrefix="false">
      <alignment horizontal="left" vertical="top"/>
    </xf>
    <xf applyAlignment="true" applyBorder="true" applyFill="false" applyFont="false" applyNumberFormat="true" borderId="8294" fillId="0" fontId="1" numFmtId="1000" quotePrefix="false">
      <alignment horizontal="left" vertical="top"/>
    </xf>
    <xf applyAlignment="true" applyBorder="true" applyFill="false" applyFont="false" applyNumberFormat="true" borderId="8295" fillId="0" fontId="1" numFmtId="1000" quotePrefix="false">
      <alignment horizontal="left" vertical="top"/>
    </xf>
    <xf applyAlignment="true" applyBorder="true" applyFill="false" applyFont="false" applyNumberFormat="true" borderId="8296" fillId="0" fontId="1" numFmtId="1000" quotePrefix="false">
      <alignment horizontal="left" vertical="top"/>
    </xf>
    <xf applyAlignment="true" applyBorder="true" applyFill="false" applyFont="false" applyNumberFormat="true" borderId="8297" fillId="0" fontId="1" numFmtId="1000" quotePrefix="false">
      <alignment horizontal="left" vertical="top"/>
    </xf>
    <xf applyAlignment="true" applyBorder="true" applyFill="false" applyFont="false" applyNumberFormat="true" borderId="8298" fillId="0" fontId="1" numFmtId="1000" quotePrefix="false">
      <alignment horizontal="left" vertical="top"/>
    </xf>
    <xf applyAlignment="true" applyBorder="true" applyFill="false" applyFont="false" applyNumberFormat="true" borderId="8299" fillId="0" fontId="1" numFmtId="1000" quotePrefix="false">
      <alignment horizontal="left" vertical="top"/>
    </xf>
    <xf applyAlignment="true" applyBorder="true" applyFill="false" applyFont="false" applyNumberFormat="true" borderId="8300" fillId="0" fontId="1" numFmtId="1000" quotePrefix="false">
      <alignment horizontal="left" vertical="top"/>
    </xf>
    <xf applyAlignment="true" applyBorder="true" applyFill="false" applyFont="false" applyNumberFormat="true" borderId="8301" fillId="0" fontId="1" numFmtId="1000" quotePrefix="false">
      <alignment horizontal="left" vertical="top"/>
    </xf>
    <xf applyAlignment="true" applyBorder="true" applyFill="false" applyFont="false" applyNumberFormat="true" borderId="8302" fillId="0" fontId="1" numFmtId="1000" quotePrefix="false">
      <alignment horizontal="left" vertical="top"/>
    </xf>
    <xf applyAlignment="true" applyBorder="true" applyFill="false" applyFont="false" applyNumberFormat="true" borderId="8303" fillId="0" fontId="1" numFmtId="1000" quotePrefix="false">
      <alignment horizontal="left" vertical="top"/>
    </xf>
    <xf applyAlignment="true" applyBorder="true" applyFill="false" applyFont="true" applyNumberFormat="true" borderId="8304" fillId="0" fontId="2" numFmtId="1001" quotePrefix="false">
      <alignment horizontal="center"/>
    </xf>
    <xf applyAlignment="true" applyBorder="true" applyFill="false" applyFont="true" applyNumberFormat="true" borderId="8305" fillId="0" fontId="2" numFmtId="1001" quotePrefix="false">
      <alignment horizontal="center"/>
    </xf>
    <xf applyAlignment="true" applyBorder="true" applyFill="false" applyFont="true" applyNumberFormat="true" borderId="8306" fillId="0" fontId="2" numFmtId="1001" quotePrefix="false">
      <alignment horizontal="center"/>
    </xf>
    <xf applyAlignment="true" applyBorder="true" applyFill="false" applyFont="false" applyNumberFormat="true" borderId="8307" fillId="0" fontId="1" numFmtId="1000" quotePrefix="false">
      <alignment horizontal="center" vertical="top"/>
    </xf>
    <xf applyAlignment="true" applyBorder="true" applyFill="false" applyFont="false" applyNumberFormat="true" borderId="8308" fillId="0" fontId="1" numFmtId="1000" quotePrefix="false">
      <alignment horizontal="center" vertical="top"/>
    </xf>
    <xf applyAlignment="true" applyBorder="true" applyFill="false" applyFont="false" applyNumberFormat="true" borderId="8309" fillId="0" fontId="1" numFmtId="1000" quotePrefix="false">
      <alignment horizontal="center" vertical="top"/>
    </xf>
    <xf applyAlignment="true" applyBorder="true" applyFill="false" applyFont="false" applyNumberFormat="true" borderId="8310" fillId="0" fontId="1" numFmtId="1000" quotePrefix="false">
      <alignment horizontal="center" vertical="top"/>
    </xf>
    <xf applyAlignment="true" applyBorder="true" applyFill="false" applyFont="false" applyNumberFormat="true" borderId="8311" fillId="0" fontId="1" numFmtId="1000" quotePrefix="false">
      <alignment horizontal="center" vertical="top"/>
    </xf>
    <xf applyAlignment="true" applyBorder="true" applyFill="false" applyFont="false" applyNumberFormat="true" borderId="8312" fillId="0" fontId="1" numFmtId="1000" quotePrefix="false">
      <alignment horizontal="center" vertical="top"/>
    </xf>
    <xf applyAlignment="true" applyBorder="true" applyFill="false" applyFont="false" applyNumberFormat="true" borderId="8313" fillId="0" fontId="1" numFmtId="1000" quotePrefix="false">
      <alignment horizontal="center" vertical="top"/>
    </xf>
    <xf applyAlignment="true" applyBorder="true" applyFill="false" applyFont="false" applyNumberFormat="true" borderId="8314" fillId="0" fontId="1" numFmtId="1000" quotePrefix="false">
      <alignment horizontal="center" vertical="top"/>
    </xf>
    <xf applyAlignment="true" applyBorder="true" applyFill="false" applyFont="false" applyNumberFormat="true" borderId="8315" fillId="0" fontId="1" numFmtId="1000" quotePrefix="false">
      <alignment horizontal="center" vertical="top"/>
    </xf>
    <xf applyAlignment="true" applyBorder="true" applyFill="false" applyFont="false" applyNumberFormat="true" borderId="8316" fillId="0" fontId="1" numFmtId="1000" quotePrefix="false">
      <alignment horizontal="center" vertical="top"/>
    </xf>
    <xf applyAlignment="true" applyBorder="true" applyFill="false" applyFont="false" applyNumberFormat="true" borderId="8317" fillId="0" fontId="1" numFmtId="1000" quotePrefix="false">
      <alignment horizontal="center" vertical="top"/>
    </xf>
    <xf applyAlignment="true" applyBorder="true" applyFill="false" applyFont="false" applyNumberFormat="true" borderId="8318" fillId="0" fontId="1" numFmtId="1000" quotePrefix="false">
      <alignment horizontal="center" vertical="top"/>
    </xf>
    <xf applyAlignment="true" applyBorder="true" applyFill="false" applyFont="false" applyNumberFormat="true" borderId="8319" fillId="0" fontId="1" numFmtId="1000" quotePrefix="false">
      <alignment horizontal="center" vertical="top"/>
    </xf>
    <xf applyAlignment="true" applyBorder="true" applyFill="false" applyFont="false" applyNumberFormat="true" borderId="8320" fillId="0" fontId="1" numFmtId="1000" quotePrefix="false">
      <alignment horizontal="center" vertical="top"/>
    </xf>
    <xf applyAlignment="true" applyBorder="true" applyFill="false" applyFont="false" applyNumberFormat="true" borderId="8321" fillId="0" fontId="1" numFmtId="1000" quotePrefix="false">
      <alignment horizontal="center" vertical="top"/>
    </xf>
    <xf applyAlignment="true" applyBorder="true" applyFill="false" applyFont="false" applyNumberFormat="true" borderId="8322" fillId="0" fontId="1" numFmtId="1000" quotePrefix="false">
      <alignment horizontal="center" vertical="top"/>
    </xf>
    <xf applyAlignment="true" applyBorder="true" applyFill="false" applyFont="false" applyNumberFormat="true" borderId="8323" fillId="0" fontId="1" numFmtId="1000" quotePrefix="false">
      <alignment horizontal="center" vertical="top"/>
    </xf>
    <xf applyAlignment="true" applyBorder="true" applyFill="false" applyFont="false" applyNumberFormat="true" borderId="8324" fillId="0" fontId="1" numFmtId="1000" quotePrefix="false">
      <alignment horizontal="center" vertical="top"/>
    </xf>
    <xf applyAlignment="true" applyBorder="true" applyFill="false" applyFont="false" applyNumberFormat="true" borderId="8325" fillId="0" fontId="1" numFmtId="1000" quotePrefix="false">
      <alignment horizontal="center" vertical="top"/>
    </xf>
    <xf applyAlignment="true" applyBorder="true" applyFill="false" applyFont="false" applyNumberFormat="true" borderId="8326" fillId="0" fontId="1" numFmtId="1000" quotePrefix="false">
      <alignment horizontal="center" vertical="top"/>
    </xf>
    <xf applyAlignment="true" applyBorder="true" applyFill="false" applyFont="false" applyNumberFormat="true" borderId="8327" fillId="0" fontId="1" numFmtId="1000" quotePrefix="false">
      <alignment horizontal="center" vertical="top"/>
    </xf>
    <xf applyAlignment="true" applyBorder="true" applyFill="false" applyFont="false" applyNumberFormat="true" borderId="8328" fillId="0" fontId="1" numFmtId="1000" quotePrefix="false">
      <alignment horizontal="center" vertical="top"/>
    </xf>
    <xf applyAlignment="true" applyBorder="true" applyFill="false" applyFont="false" applyNumberFormat="true" borderId="8329" fillId="0" fontId="1" numFmtId="1000" quotePrefix="false">
      <alignment horizontal="center" vertical="top"/>
    </xf>
    <xf applyAlignment="true" applyBorder="true" applyFill="false" applyFont="false" applyNumberFormat="true" borderId="8330" fillId="0" fontId="1" numFmtId="1000" quotePrefix="false">
      <alignment horizontal="center" vertical="top"/>
    </xf>
    <xf applyAlignment="true" applyBorder="true" applyFill="false" applyFont="false" applyNumberFormat="true" borderId="8331" fillId="0" fontId="1" numFmtId="1000" quotePrefix="false">
      <alignment horizontal="center" vertical="top"/>
    </xf>
    <xf applyAlignment="true" applyBorder="true" applyFill="false" applyFont="false" applyNumberFormat="true" borderId="8332" fillId="0" fontId="1" numFmtId="1000" quotePrefix="false">
      <alignment horizontal="center" vertical="top"/>
    </xf>
    <xf applyAlignment="true" applyBorder="true" applyFill="false" applyFont="false" applyNumberFormat="true" borderId="8333" fillId="0" fontId="1" numFmtId="1000" quotePrefix="false">
      <alignment horizontal="center" vertical="top"/>
    </xf>
    <xf applyAlignment="true" applyBorder="true" applyFill="false" applyFont="false" applyNumberFormat="true" borderId="8334" fillId="0" fontId="1" numFmtId="1000" quotePrefix="false">
      <alignment horizontal="center" vertical="top"/>
    </xf>
    <xf applyAlignment="true" applyBorder="true" applyFill="false" applyFont="false" applyNumberFormat="true" borderId="8335" fillId="0" fontId="1" numFmtId="1000" quotePrefix="false">
      <alignment horizontal="center" vertical="top"/>
    </xf>
    <xf applyAlignment="true" applyBorder="true" applyFill="false" applyFont="false" applyNumberFormat="true" borderId="8336" fillId="0" fontId="1" numFmtId="1000" quotePrefix="false">
      <alignment horizontal="center" vertical="top"/>
    </xf>
    <xf applyAlignment="true" applyBorder="true" applyFill="false" applyFont="false" applyNumberFormat="true" borderId="8337" fillId="0" fontId="1" numFmtId="1000" quotePrefix="false">
      <alignment horizontal="center" vertical="top"/>
    </xf>
    <xf applyAlignment="true" applyBorder="true" applyFill="false" applyFont="false" applyNumberFormat="true" borderId="8338" fillId="0" fontId="1" numFmtId="1000" quotePrefix="false">
      <alignment horizontal="center" vertical="top"/>
    </xf>
    <xf applyAlignment="true" applyBorder="true" applyFill="false" applyFont="false" applyNumberFormat="true" borderId="8339" fillId="0" fontId="1" numFmtId="1000" quotePrefix="false">
      <alignment horizontal="center" vertical="top"/>
    </xf>
    <xf applyAlignment="true" applyBorder="true" applyFill="false" applyFont="true" applyNumberFormat="true" borderId="8340" fillId="0" fontId="2" numFmtId="1000" quotePrefix="false">
      <alignment horizontal="center" vertical="top"/>
    </xf>
    <xf applyAlignment="true" applyBorder="true" applyFill="false" applyFont="false" applyNumberFormat="true" borderId="8341" fillId="0" fontId="1" numFmtId="1000" quotePrefix="false">
      <alignment horizontal="left" vertical="top"/>
    </xf>
    <xf applyAlignment="true" applyBorder="true" applyFill="false" applyFont="false" applyNumberFormat="true" borderId="8342" fillId="0" fontId="1" numFmtId="1000" quotePrefix="false">
      <alignment horizontal="left" vertical="top"/>
    </xf>
    <xf applyAlignment="true" applyBorder="true" applyFill="false" applyFont="false" applyNumberFormat="true" borderId="8343" fillId="0" fontId="1" numFmtId="1000" quotePrefix="false">
      <alignment horizontal="left" vertical="top"/>
    </xf>
    <xf applyAlignment="true" applyBorder="true" applyFill="false" applyFont="false" applyNumberFormat="true" borderId="8344" fillId="0" fontId="1" numFmtId="1000" quotePrefix="false">
      <alignment horizontal="left" vertical="top"/>
    </xf>
    <xf applyAlignment="true" applyBorder="true" applyFill="false" applyFont="false" applyNumberFormat="true" borderId="8345" fillId="0" fontId="1" numFmtId="1000" quotePrefix="false">
      <alignment horizontal="left" vertical="top"/>
    </xf>
    <xf applyAlignment="true" applyBorder="true" applyFill="false" applyFont="false" applyNumberFormat="true" borderId="8346" fillId="0" fontId="1" numFmtId="1000" quotePrefix="false">
      <alignment horizontal="left" vertical="top"/>
    </xf>
    <xf applyAlignment="true" applyBorder="true" applyFill="false" applyFont="false" applyNumberFormat="true" borderId="8347" fillId="0" fontId="1" numFmtId="1000" quotePrefix="false">
      <alignment horizontal="left" vertical="top"/>
    </xf>
    <xf applyAlignment="true" applyBorder="true" applyFill="false" applyFont="false" applyNumberFormat="true" borderId="8348" fillId="0" fontId="1" numFmtId="1000" quotePrefix="false">
      <alignment horizontal="left" vertical="top"/>
    </xf>
    <xf applyAlignment="true" applyBorder="true" applyFill="false" applyFont="false" applyNumberFormat="true" borderId="8349" fillId="0" fontId="1" numFmtId="1000" quotePrefix="false">
      <alignment horizontal="left" vertical="top"/>
    </xf>
    <xf applyAlignment="true" applyBorder="true" applyFill="false" applyFont="false" applyNumberFormat="true" borderId="8350" fillId="0" fontId="1" numFmtId="1000" quotePrefix="false">
      <alignment horizontal="left" vertical="top"/>
    </xf>
    <xf applyAlignment="true" applyBorder="true" applyFill="false" applyFont="false" applyNumberFormat="true" borderId="8351" fillId="0" fontId="1" numFmtId="1000" quotePrefix="false">
      <alignment horizontal="left" vertical="top"/>
    </xf>
    <xf applyAlignment="true" applyBorder="true" applyFill="false" applyFont="false" applyNumberFormat="true" borderId="8352" fillId="0" fontId="1" numFmtId="1000" quotePrefix="false">
      <alignment horizontal="left" vertical="top"/>
    </xf>
    <xf applyAlignment="true" applyBorder="true" applyFill="false" applyFont="false" applyNumberFormat="true" borderId="8353" fillId="0" fontId="1" numFmtId="1000" quotePrefix="false">
      <alignment horizontal="left" vertical="top"/>
    </xf>
    <xf applyAlignment="true" applyBorder="true" applyFill="false" applyFont="false" applyNumberFormat="true" borderId="8354" fillId="0" fontId="1" numFmtId="1000" quotePrefix="false">
      <alignment horizontal="left" vertical="top"/>
    </xf>
    <xf applyAlignment="true" applyBorder="true" applyFill="false" applyFont="false" applyNumberFormat="true" borderId="8355" fillId="0" fontId="1" numFmtId="1000" quotePrefix="false">
      <alignment horizontal="left" vertical="top"/>
    </xf>
    <xf applyAlignment="true" applyBorder="true" applyFill="false" applyFont="false" applyNumberFormat="true" borderId="8356" fillId="0" fontId="1" numFmtId="1000" quotePrefix="false">
      <alignment horizontal="left" vertical="top"/>
    </xf>
    <xf applyAlignment="true" applyBorder="true" applyFill="false" applyFont="false" applyNumberFormat="true" borderId="8357" fillId="0" fontId="1" numFmtId="1000" quotePrefix="false">
      <alignment horizontal="left" vertical="top"/>
    </xf>
    <xf applyAlignment="true" applyBorder="true" applyFill="false" applyFont="false" applyNumberFormat="true" borderId="8358" fillId="0" fontId="1" numFmtId="1000" quotePrefix="false">
      <alignment horizontal="left" vertical="top"/>
    </xf>
    <xf applyAlignment="true" applyBorder="true" applyFill="false" applyFont="false" applyNumberFormat="true" borderId="8359" fillId="0" fontId="1" numFmtId="1000" quotePrefix="false">
      <alignment horizontal="left" vertical="top"/>
    </xf>
    <xf applyAlignment="true" applyBorder="true" applyFill="false" applyFont="true" applyNumberFormat="true" borderId="8360" fillId="0" fontId="2" numFmtId="1001" quotePrefix="false">
      <alignment horizontal="center"/>
    </xf>
    <xf applyAlignment="true" applyBorder="true" applyFill="false" applyFont="true" applyNumberFormat="true" borderId="8361" fillId="0" fontId="2" numFmtId="1001" quotePrefix="false">
      <alignment horizontal="center"/>
    </xf>
    <xf applyAlignment="true" applyBorder="true" applyFill="false" applyFont="true" applyNumberFormat="true" borderId="8362" fillId="0" fontId="2" numFmtId="1001" quotePrefix="false">
      <alignment horizontal="center"/>
    </xf>
    <xf applyAlignment="true" applyBorder="true" applyFill="false" applyFont="false" applyNumberFormat="true" borderId="8363" fillId="0" fontId="1" numFmtId="1000" quotePrefix="false">
      <alignment horizontal="center" vertical="top"/>
    </xf>
    <xf applyAlignment="true" applyBorder="true" applyFill="false" applyFont="false" applyNumberFormat="true" borderId="8364" fillId="0" fontId="1" numFmtId="1000" quotePrefix="false">
      <alignment horizontal="center" vertical="top"/>
    </xf>
    <xf applyAlignment="true" applyBorder="true" applyFill="false" applyFont="false" applyNumberFormat="true" borderId="8365" fillId="0" fontId="1" numFmtId="1000" quotePrefix="false">
      <alignment horizontal="center" vertical="top"/>
    </xf>
    <xf applyAlignment="true" applyBorder="true" applyFill="false" applyFont="false" applyNumberFormat="true" borderId="8366" fillId="0" fontId="1" numFmtId="1000" quotePrefix="false">
      <alignment horizontal="center" vertical="top"/>
    </xf>
    <xf applyAlignment="true" applyBorder="true" applyFill="false" applyFont="false" applyNumberFormat="true" borderId="8367" fillId="0" fontId="1" numFmtId="1000" quotePrefix="false">
      <alignment horizontal="center" vertical="top"/>
    </xf>
    <xf applyAlignment="true" applyBorder="true" applyFill="false" applyFont="false" applyNumberFormat="true" borderId="8368" fillId="0" fontId="1" numFmtId="1000" quotePrefix="false">
      <alignment horizontal="center" vertical="top"/>
    </xf>
    <xf applyAlignment="true" applyBorder="true" applyFill="false" applyFont="false" applyNumberFormat="true" borderId="8369" fillId="0" fontId="1" numFmtId="1000" quotePrefix="false">
      <alignment horizontal="center" vertical="top"/>
    </xf>
    <xf applyAlignment="true" applyBorder="true" applyFill="false" applyFont="false" applyNumberFormat="true" borderId="8370" fillId="0" fontId="1" numFmtId="1000" quotePrefix="false">
      <alignment horizontal="center" vertical="top"/>
    </xf>
    <xf applyAlignment="true" applyBorder="true" applyFill="false" applyFont="false" applyNumberFormat="true" borderId="8371" fillId="0" fontId="1" numFmtId="1000" quotePrefix="false">
      <alignment horizontal="center" vertical="top"/>
    </xf>
    <xf applyAlignment="true" applyBorder="true" applyFill="false" applyFont="false" applyNumberFormat="true" borderId="8372" fillId="0" fontId="1" numFmtId="1000" quotePrefix="false">
      <alignment horizontal="center" vertical="top"/>
    </xf>
    <xf applyAlignment="true" applyBorder="true" applyFill="false" applyFont="false" applyNumberFormat="true" borderId="8373" fillId="0" fontId="1" numFmtId="1000" quotePrefix="false">
      <alignment horizontal="center" vertical="top"/>
    </xf>
    <xf applyAlignment="true" applyBorder="true" applyFill="false" applyFont="false" applyNumberFormat="true" borderId="8374" fillId="0" fontId="1" numFmtId="1000" quotePrefix="false">
      <alignment horizontal="center" vertical="top"/>
    </xf>
    <xf applyAlignment="true" applyBorder="true" applyFill="false" applyFont="false" applyNumberFormat="true" borderId="8375" fillId="0" fontId="1" numFmtId="1000" quotePrefix="false">
      <alignment horizontal="center" vertical="top"/>
    </xf>
    <xf applyAlignment="true" applyBorder="true" applyFill="false" applyFont="false" applyNumberFormat="true" borderId="8376" fillId="0" fontId="1" numFmtId="1000" quotePrefix="false">
      <alignment horizontal="center" vertical="top"/>
    </xf>
    <xf applyAlignment="true" applyBorder="true" applyFill="false" applyFont="false" applyNumberFormat="true" borderId="8377" fillId="0" fontId="1" numFmtId="1000" quotePrefix="false">
      <alignment horizontal="center" vertical="top"/>
    </xf>
    <xf applyAlignment="true" applyBorder="true" applyFill="false" applyFont="false" applyNumberFormat="true" borderId="8378" fillId="0" fontId="1" numFmtId="1000" quotePrefix="false">
      <alignment horizontal="center" vertical="top"/>
    </xf>
    <xf applyAlignment="true" applyBorder="true" applyFill="false" applyFont="false" applyNumberFormat="true" borderId="8379" fillId="0" fontId="1" numFmtId="1000" quotePrefix="false">
      <alignment horizontal="center" vertical="top"/>
    </xf>
    <xf applyAlignment="true" applyBorder="true" applyFill="false" applyFont="false" applyNumberFormat="true" borderId="8380" fillId="0" fontId="1" numFmtId="1000" quotePrefix="false">
      <alignment horizontal="center" vertical="top"/>
    </xf>
    <xf applyAlignment="true" applyBorder="true" applyFill="false" applyFont="false" applyNumberFormat="true" borderId="8381" fillId="0" fontId="1" numFmtId="1000" quotePrefix="false">
      <alignment horizontal="center" vertical="top"/>
    </xf>
    <xf applyAlignment="true" applyBorder="true" applyFill="false" applyFont="false" applyNumberFormat="true" borderId="8382" fillId="0" fontId="1" numFmtId="1000" quotePrefix="false">
      <alignment horizontal="center" vertical="top"/>
    </xf>
    <xf applyAlignment="true" applyBorder="true" applyFill="false" applyFont="false" applyNumberFormat="true" borderId="8383" fillId="0" fontId="1" numFmtId="1000" quotePrefix="false">
      <alignment horizontal="center" vertical="top"/>
    </xf>
    <xf applyAlignment="true" applyBorder="true" applyFill="false" applyFont="false" applyNumberFormat="true" borderId="8384" fillId="0" fontId="1" numFmtId="1000" quotePrefix="false">
      <alignment horizontal="center" vertical="top"/>
    </xf>
    <xf applyAlignment="true" applyBorder="true" applyFill="false" applyFont="false" applyNumberFormat="true" borderId="8385" fillId="0" fontId="1" numFmtId="1000" quotePrefix="false">
      <alignment horizontal="center" vertical="top"/>
    </xf>
    <xf applyAlignment="true" applyBorder="true" applyFill="false" applyFont="false" applyNumberFormat="true" borderId="8386" fillId="0" fontId="1" numFmtId="1000" quotePrefix="false">
      <alignment horizontal="center" vertical="top"/>
    </xf>
    <xf applyAlignment="true" applyBorder="true" applyFill="false" applyFont="false" applyNumberFormat="true" borderId="8387" fillId="0" fontId="1" numFmtId="1000" quotePrefix="false">
      <alignment horizontal="center" vertical="top"/>
    </xf>
    <xf applyAlignment="true" applyBorder="true" applyFill="false" applyFont="false" applyNumberFormat="true" borderId="8388" fillId="0" fontId="1" numFmtId="1000" quotePrefix="false">
      <alignment horizontal="center" vertical="top"/>
    </xf>
    <xf applyAlignment="true" applyBorder="true" applyFill="false" applyFont="false" applyNumberFormat="true" borderId="8389" fillId="0" fontId="1" numFmtId="1000" quotePrefix="false">
      <alignment horizontal="center" vertical="top"/>
    </xf>
    <xf applyAlignment="true" applyBorder="true" applyFill="false" applyFont="false" applyNumberFormat="true" borderId="8390" fillId="0" fontId="1" numFmtId="1000" quotePrefix="false">
      <alignment horizontal="center" vertical="top"/>
    </xf>
    <xf applyAlignment="true" applyBorder="true" applyFill="false" applyFont="false" applyNumberFormat="true" borderId="8391" fillId="0" fontId="1" numFmtId="1000" quotePrefix="false">
      <alignment horizontal="center" vertical="top"/>
    </xf>
    <xf applyAlignment="true" applyBorder="true" applyFill="false" applyFont="false" applyNumberFormat="true" borderId="8392" fillId="0" fontId="1" numFmtId="1000" quotePrefix="false">
      <alignment horizontal="center" vertical="top"/>
    </xf>
    <xf applyAlignment="true" applyBorder="true" applyFill="false" applyFont="false" applyNumberFormat="true" borderId="8393" fillId="0" fontId="1" numFmtId="1000" quotePrefix="false">
      <alignment horizontal="center" vertical="top"/>
    </xf>
    <xf applyAlignment="true" applyBorder="true" applyFill="false" applyFont="false" applyNumberFormat="true" borderId="8394" fillId="0" fontId="1" numFmtId="1000" quotePrefix="false">
      <alignment horizontal="center" vertical="top"/>
    </xf>
    <xf applyAlignment="true" applyBorder="true" applyFill="false" applyFont="false" applyNumberFormat="true" borderId="8395" fillId="0" fontId="1" numFmtId="1000" quotePrefix="false">
      <alignment horizontal="center" vertical="top"/>
    </xf>
    <xf applyAlignment="true" applyBorder="true" applyFill="false" applyFont="true" applyNumberFormat="true" borderId="8396" fillId="0" fontId="2" numFmtId="1000" quotePrefix="false">
      <alignment horizontal="center" vertical="top"/>
    </xf>
    <xf applyAlignment="true" applyBorder="true" applyFill="false" applyFont="false" applyNumberFormat="true" borderId="8397" fillId="0" fontId="1" numFmtId="1000" quotePrefix="false">
      <alignment horizontal="left" vertical="top"/>
    </xf>
    <xf applyAlignment="true" applyBorder="true" applyFill="false" applyFont="false" applyNumberFormat="true" borderId="8398" fillId="0" fontId="1" numFmtId="1000" quotePrefix="false">
      <alignment horizontal="left" vertical="top"/>
    </xf>
    <xf applyAlignment="true" applyBorder="true" applyFill="false" applyFont="false" applyNumberFormat="true" borderId="8399" fillId="0" fontId="1" numFmtId="1000" quotePrefix="false">
      <alignment horizontal="left" vertical="top"/>
    </xf>
    <xf applyAlignment="true" applyBorder="true" applyFill="false" applyFont="false" applyNumberFormat="true" borderId="8400" fillId="0" fontId="1" numFmtId="1000" quotePrefix="false">
      <alignment horizontal="left" vertical="top"/>
    </xf>
    <xf applyAlignment="true" applyBorder="true" applyFill="false" applyFont="false" applyNumberFormat="true" borderId="8401" fillId="0" fontId="1" numFmtId="1000" quotePrefix="false">
      <alignment horizontal="left" vertical="top"/>
    </xf>
    <xf applyAlignment="true" applyBorder="true" applyFill="false" applyFont="false" applyNumberFormat="true" borderId="8402" fillId="0" fontId="1" numFmtId="1000" quotePrefix="false">
      <alignment horizontal="left" vertical="top"/>
    </xf>
    <xf applyAlignment="true" applyBorder="true" applyFill="false" applyFont="false" applyNumberFormat="true" borderId="8403" fillId="0" fontId="1" numFmtId="1000" quotePrefix="false">
      <alignment horizontal="left" vertical="top"/>
    </xf>
    <xf applyAlignment="true" applyBorder="true" applyFill="false" applyFont="false" applyNumberFormat="true" borderId="8404" fillId="0" fontId="1" numFmtId="1000" quotePrefix="false">
      <alignment horizontal="left" vertical="top"/>
    </xf>
    <xf applyAlignment="true" applyBorder="true" applyFill="false" applyFont="false" applyNumberFormat="true" borderId="8405" fillId="0" fontId="1" numFmtId="1000" quotePrefix="false">
      <alignment horizontal="left" vertical="top"/>
    </xf>
    <xf applyAlignment="true" applyBorder="true" applyFill="false" applyFont="false" applyNumberFormat="true" borderId="8406" fillId="0" fontId="1" numFmtId="1000" quotePrefix="false">
      <alignment horizontal="left" vertical="top"/>
    </xf>
    <xf applyAlignment="true" applyBorder="true" applyFill="false" applyFont="false" applyNumberFormat="true" borderId="8407" fillId="0" fontId="1" numFmtId="1000" quotePrefix="false">
      <alignment horizontal="left" vertical="top"/>
    </xf>
    <xf applyAlignment="true" applyBorder="true" applyFill="false" applyFont="false" applyNumberFormat="true" borderId="8408" fillId="0" fontId="1" numFmtId="1000" quotePrefix="false">
      <alignment horizontal="left" vertical="top"/>
    </xf>
    <xf applyAlignment="true" applyBorder="true" applyFill="false" applyFont="false" applyNumberFormat="true" borderId="8409" fillId="0" fontId="1" numFmtId="1000" quotePrefix="false">
      <alignment horizontal="left" vertical="top"/>
    </xf>
    <xf applyAlignment="true" applyBorder="true" applyFill="false" applyFont="false" applyNumberFormat="true" borderId="8410" fillId="0" fontId="1" numFmtId="1000" quotePrefix="false">
      <alignment horizontal="left" vertical="top"/>
    </xf>
    <xf applyAlignment="true" applyBorder="true" applyFill="false" applyFont="false" applyNumberFormat="true" borderId="8411" fillId="0" fontId="1" numFmtId="1000" quotePrefix="false">
      <alignment horizontal="left" vertical="top"/>
    </xf>
    <xf applyAlignment="true" applyBorder="true" applyFill="false" applyFont="false" applyNumberFormat="true" borderId="8412" fillId="0" fontId="1" numFmtId="1000" quotePrefix="false">
      <alignment horizontal="left" vertical="top"/>
    </xf>
    <xf applyAlignment="true" applyBorder="true" applyFill="false" applyFont="false" applyNumberFormat="true" borderId="8413" fillId="0" fontId="1" numFmtId="1000" quotePrefix="false">
      <alignment horizontal="left" vertical="top"/>
    </xf>
    <xf applyAlignment="true" applyBorder="true" applyFill="false" applyFont="false" applyNumberFormat="true" borderId="8414" fillId="0" fontId="1" numFmtId="1000" quotePrefix="false">
      <alignment horizontal="left" vertical="top"/>
    </xf>
    <xf applyAlignment="true" applyBorder="true" applyFill="false" applyFont="false" applyNumberFormat="true" borderId="8415" fillId="0" fontId="1" numFmtId="1000" quotePrefix="false">
      <alignment horizontal="left" vertical="top"/>
    </xf>
    <xf applyAlignment="true" applyBorder="true" applyFill="false" applyFont="true" applyNumberFormat="true" borderId="8416" fillId="0" fontId="2" numFmtId="1001" quotePrefix="false">
      <alignment horizontal="center"/>
    </xf>
    <xf applyAlignment="true" applyBorder="true" applyFill="false" applyFont="true" applyNumberFormat="true" borderId="8417" fillId="0" fontId="2" numFmtId="1001" quotePrefix="false">
      <alignment horizontal="center"/>
    </xf>
    <xf applyAlignment="true" applyBorder="true" applyFill="false" applyFont="true" applyNumberFormat="true" borderId="8418" fillId="0" fontId="2" numFmtId="1001" quotePrefix="false">
      <alignment horizontal="center"/>
    </xf>
    <xf applyAlignment="true" applyBorder="true" applyFill="false" applyFont="false" applyNumberFormat="true" borderId="8419" fillId="0" fontId="1" numFmtId="1000" quotePrefix="false">
      <alignment horizontal="center" vertical="top"/>
    </xf>
    <xf applyAlignment="true" applyBorder="true" applyFill="false" applyFont="false" applyNumberFormat="true" borderId="8420" fillId="0" fontId="1" numFmtId="1000" quotePrefix="false">
      <alignment horizontal="center" vertical="top"/>
    </xf>
    <xf applyAlignment="true" applyBorder="true" applyFill="false" applyFont="false" applyNumberFormat="true" borderId="8421" fillId="0" fontId="1" numFmtId="1000" quotePrefix="false">
      <alignment horizontal="center" vertical="top"/>
    </xf>
    <xf applyAlignment="true" applyBorder="true" applyFill="false" applyFont="false" applyNumberFormat="true" borderId="8422" fillId="0" fontId="1" numFmtId="1000" quotePrefix="false">
      <alignment horizontal="center" vertical="top"/>
    </xf>
    <xf applyAlignment="true" applyBorder="true" applyFill="false" applyFont="false" applyNumberFormat="true" borderId="8423" fillId="0" fontId="1" numFmtId="1000" quotePrefix="false">
      <alignment horizontal="center" vertical="top"/>
    </xf>
    <xf applyAlignment="true" applyBorder="true" applyFill="false" applyFont="false" applyNumberFormat="true" borderId="8424" fillId="0" fontId="1" numFmtId="1000" quotePrefix="false">
      <alignment horizontal="center" vertical="top"/>
    </xf>
    <xf applyAlignment="true" applyBorder="true" applyFill="false" applyFont="false" applyNumberFormat="true" borderId="8425" fillId="0" fontId="1" numFmtId="1000" quotePrefix="false">
      <alignment horizontal="center" vertical="top"/>
    </xf>
    <xf applyAlignment="true" applyBorder="true" applyFill="false" applyFont="false" applyNumberFormat="true" borderId="8426" fillId="0" fontId="1" numFmtId="1000" quotePrefix="false">
      <alignment horizontal="center" vertical="top"/>
    </xf>
    <xf applyAlignment="true" applyBorder="true" applyFill="false" applyFont="false" applyNumberFormat="true" borderId="8427" fillId="0" fontId="1" numFmtId="1000" quotePrefix="false">
      <alignment horizontal="center" vertical="top"/>
    </xf>
    <xf applyAlignment="true" applyBorder="true" applyFill="false" applyFont="false" applyNumberFormat="true" borderId="8428" fillId="0" fontId="1" numFmtId="1000" quotePrefix="false">
      <alignment horizontal="center" vertical="top"/>
    </xf>
    <xf applyAlignment="true" applyBorder="true" applyFill="false" applyFont="false" applyNumberFormat="true" borderId="8429" fillId="0" fontId="1" numFmtId="1000" quotePrefix="false">
      <alignment horizontal="center" vertical="top"/>
    </xf>
    <xf applyAlignment="true" applyBorder="true" applyFill="false" applyFont="false" applyNumberFormat="true" borderId="8430" fillId="0" fontId="1" numFmtId="1000" quotePrefix="false">
      <alignment horizontal="center" vertical="top"/>
    </xf>
    <xf applyAlignment="true" applyBorder="true" applyFill="false" applyFont="false" applyNumberFormat="true" borderId="8431" fillId="0" fontId="1" numFmtId="1000" quotePrefix="false">
      <alignment horizontal="center" vertical="top"/>
    </xf>
    <xf applyAlignment="true" applyBorder="true" applyFill="false" applyFont="false" applyNumberFormat="true" borderId="8432" fillId="0" fontId="1" numFmtId="1000" quotePrefix="false">
      <alignment horizontal="center" vertical="top"/>
    </xf>
    <xf applyAlignment="true" applyBorder="true" applyFill="false" applyFont="false" applyNumberFormat="true" borderId="8433" fillId="0" fontId="1" numFmtId="1000" quotePrefix="false">
      <alignment horizontal="center" vertical="top"/>
    </xf>
    <xf applyAlignment="true" applyBorder="true" applyFill="false" applyFont="false" applyNumberFormat="true" borderId="8434" fillId="0" fontId="1" numFmtId="1000" quotePrefix="false">
      <alignment horizontal="center" vertical="top"/>
    </xf>
    <xf applyAlignment="true" applyBorder="true" applyFill="false" applyFont="false" applyNumberFormat="true" borderId="8435" fillId="0" fontId="1" numFmtId="1000" quotePrefix="false">
      <alignment horizontal="center" vertical="top"/>
    </xf>
    <xf applyAlignment="true" applyBorder="true" applyFill="false" applyFont="false" applyNumberFormat="true" borderId="8436" fillId="0" fontId="1" numFmtId="1000" quotePrefix="false">
      <alignment horizontal="center" vertical="top"/>
    </xf>
    <xf applyAlignment="true" applyBorder="true" applyFill="false" applyFont="false" applyNumberFormat="true" borderId="8437" fillId="0" fontId="1" numFmtId="1000" quotePrefix="false">
      <alignment horizontal="center" vertical="top"/>
    </xf>
    <xf applyAlignment="true" applyBorder="true" applyFill="false" applyFont="false" applyNumberFormat="true" borderId="8438" fillId="0" fontId="1" numFmtId="1000" quotePrefix="false">
      <alignment horizontal="center" vertical="top"/>
    </xf>
    <xf applyAlignment="true" applyBorder="true" applyFill="false" applyFont="false" applyNumberFormat="true" borderId="8439" fillId="0" fontId="1" numFmtId="1000" quotePrefix="false">
      <alignment horizontal="center" vertical="top"/>
    </xf>
    <xf applyAlignment="true" applyBorder="true" applyFill="false" applyFont="false" applyNumberFormat="true" borderId="8440" fillId="0" fontId="1" numFmtId="1000" quotePrefix="false">
      <alignment horizontal="center" vertical="top"/>
    </xf>
    <xf applyAlignment="true" applyBorder="true" applyFill="false" applyFont="false" applyNumberFormat="true" borderId="8441" fillId="0" fontId="1" numFmtId="1000" quotePrefix="false">
      <alignment horizontal="center" vertical="top"/>
    </xf>
    <xf applyAlignment="true" applyBorder="true" applyFill="false" applyFont="false" applyNumberFormat="true" borderId="8442" fillId="0" fontId="1" numFmtId="1000" quotePrefix="false">
      <alignment horizontal="center" vertical="top"/>
    </xf>
    <xf applyAlignment="true" applyBorder="true" applyFill="false" applyFont="false" applyNumberFormat="true" borderId="8443" fillId="0" fontId="1" numFmtId="1000" quotePrefix="false">
      <alignment horizontal="center" vertical="top"/>
    </xf>
    <xf applyAlignment="true" applyBorder="true" applyFill="false" applyFont="false" applyNumberFormat="true" borderId="8444" fillId="0" fontId="1" numFmtId="1000" quotePrefix="false">
      <alignment horizontal="center" vertical="top"/>
    </xf>
    <xf applyAlignment="true" applyBorder="true" applyFill="false" applyFont="false" applyNumberFormat="true" borderId="8445" fillId="0" fontId="1" numFmtId="1000" quotePrefix="false">
      <alignment horizontal="center" vertical="top"/>
    </xf>
    <xf applyAlignment="true" applyBorder="true" applyFill="false" applyFont="false" applyNumberFormat="true" borderId="8446" fillId="0" fontId="1" numFmtId="1000" quotePrefix="false">
      <alignment horizontal="center" vertical="top"/>
    </xf>
    <xf applyAlignment="true" applyBorder="true" applyFill="false" applyFont="false" applyNumberFormat="true" borderId="8447" fillId="0" fontId="1" numFmtId="1000" quotePrefix="false">
      <alignment horizontal="center" vertical="top"/>
    </xf>
    <xf applyAlignment="true" applyBorder="true" applyFill="false" applyFont="false" applyNumberFormat="true" borderId="8448" fillId="0" fontId="1" numFmtId="1000" quotePrefix="false">
      <alignment horizontal="center" vertical="top"/>
    </xf>
    <xf applyAlignment="true" applyBorder="true" applyFill="false" applyFont="false" applyNumberFormat="true" borderId="8449" fillId="0" fontId="1" numFmtId="1000" quotePrefix="false">
      <alignment horizontal="center" vertical="top"/>
    </xf>
    <xf applyAlignment="true" applyBorder="true" applyFill="false" applyFont="false" applyNumberFormat="true" borderId="8450" fillId="0" fontId="1" numFmtId="1000" quotePrefix="false">
      <alignment horizontal="center" vertical="top"/>
    </xf>
    <xf applyAlignment="true" applyBorder="true" applyFill="false" applyFont="false" applyNumberFormat="true" borderId="8451" fillId="0" fontId="1" numFmtId="1000" quotePrefix="false">
      <alignment horizontal="center" vertical="top"/>
    </xf>
    <xf applyAlignment="true" applyBorder="true" applyFill="false" applyFont="true" applyNumberFormat="true" borderId="8452" fillId="0" fontId="2" numFmtId="1000" quotePrefix="false">
      <alignment horizontal="center" vertical="top"/>
    </xf>
    <xf applyAlignment="true" applyBorder="true" applyFill="false" applyFont="false" applyNumberFormat="true" borderId="8453" fillId="0" fontId="1" numFmtId="1000" quotePrefix="false">
      <alignment horizontal="left" vertical="top"/>
    </xf>
    <xf applyAlignment="true" applyBorder="true" applyFill="false" applyFont="false" applyNumberFormat="true" borderId="8454" fillId="0" fontId="1" numFmtId="1000" quotePrefix="false">
      <alignment horizontal="left" vertical="top"/>
    </xf>
    <xf applyAlignment="true" applyBorder="true" applyFill="false" applyFont="false" applyNumberFormat="true" borderId="8455" fillId="0" fontId="1" numFmtId="1000" quotePrefix="false">
      <alignment horizontal="left" vertical="top"/>
    </xf>
    <xf applyAlignment="true" applyBorder="true" applyFill="false" applyFont="false" applyNumberFormat="true" borderId="8456" fillId="0" fontId="1" numFmtId="1000" quotePrefix="false">
      <alignment horizontal="left" vertical="top"/>
    </xf>
    <xf applyAlignment="true" applyBorder="true" applyFill="false" applyFont="false" applyNumberFormat="true" borderId="8457" fillId="0" fontId="1" numFmtId="1000" quotePrefix="false">
      <alignment horizontal="left" vertical="top"/>
    </xf>
    <xf applyAlignment="true" applyBorder="true" applyFill="false" applyFont="false" applyNumberFormat="true" borderId="8458" fillId="0" fontId="1" numFmtId="1000" quotePrefix="false">
      <alignment horizontal="left" vertical="top"/>
    </xf>
    <xf applyAlignment="true" applyBorder="true" applyFill="false" applyFont="false" applyNumberFormat="true" borderId="8459" fillId="0" fontId="1" numFmtId="1000" quotePrefix="false">
      <alignment horizontal="left" vertical="top"/>
    </xf>
    <xf applyAlignment="true" applyBorder="true" applyFill="false" applyFont="false" applyNumberFormat="true" borderId="8460" fillId="0" fontId="1" numFmtId="1000" quotePrefix="false">
      <alignment horizontal="left" vertical="top"/>
    </xf>
    <xf applyAlignment="true" applyBorder="true" applyFill="false" applyFont="false" applyNumberFormat="true" borderId="8461" fillId="0" fontId="1" numFmtId="1000" quotePrefix="false">
      <alignment horizontal="left" vertical="top"/>
    </xf>
    <xf applyAlignment="true" applyBorder="true" applyFill="false" applyFont="false" applyNumberFormat="true" borderId="8462" fillId="0" fontId="1" numFmtId="1000" quotePrefix="false">
      <alignment horizontal="left" vertical="top"/>
    </xf>
    <xf applyAlignment="true" applyBorder="true" applyFill="false" applyFont="false" applyNumberFormat="true" borderId="8463" fillId="0" fontId="1" numFmtId="1000" quotePrefix="false">
      <alignment horizontal="left" vertical="top"/>
    </xf>
    <xf applyAlignment="true" applyBorder="true" applyFill="false" applyFont="false" applyNumberFormat="true" borderId="8464" fillId="0" fontId="1" numFmtId="1000" quotePrefix="false">
      <alignment horizontal="left" vertical="top"/>
    </xf>
    <xf applyAlignment="true" applyBorder="true" applyFill="false" applyFont="false" applyNumberFormat="true" borderId="8465" fillId="0" fontId="1" numFmtId="1000" quotePrefix="false">
      <alignment horizontal="left" vertical="top"/>
    </xf>
    <xf applyAlignment="true" applyBorder="true" applyFill="false" applyFont="false" applyNumberFormat="true" borderId="8466" fillId="0" fontId="1" numFmtId="1000" quotePrefix="false">
      <alignment horizontal="left" vertical="top"/>
    </xf>
    <xf applyAlignment="true" applyBorder="true" applyFill="false" applyFont="false" applyNumberFormat="true" borderId="8467" fillId="0" fontId="1" numFmtId="1000" quotePrefix="false">
      <alignment horizontal="left" vertical="top"/>
    </xf>
    <xf applyAlignment="true" applyBorder="true" applyFill="false" applyFont="false" applyNumberFormat="true" borderId="8468" fillId="0" fontId="1" numFmtId="1000" quotePrefix="false">
      <alignment horizontal="left" vertical="top"/>
    </xf>
    <xf applyAlignment="true" applyBorder="true" applyFill="false" applyFont="false" applyNumberFormat="true" borderId="8469" fillId="0" fontId="1" numFmtId="1000" quotePrefix="false">
      <alignment horizontal="left" vertical="top"/>
    </xf>
    <xf applyAlignment="true" applyBorder="true" applyFill="false" applyFont="false" applyNumberFormat="true" borderId="8470" fillId="0" fontId="1" numFmtId="1000" quotePrefix="false">
      <alignment horizontal="left" vertical="top"/>
    </xf>
    <xf applyAlignment="true" applyBorder="true" applyFill="false" applyFont="false" applyNumberFormat="true" borderId="8471" fillId="0" fontId="1" numFmtId="1000" quotePrefix="false">
      <alignment horizontal="left" vertical="top"/>
    </xf>
    <xf applyAlignment="true" applyBorder="true" applyFill="false" applyFont="true" applyNumberFormat="true" borderId="8472" fillId="0" fontId="2" numFmtId="1001" quotePrefix="false">
      <alignment horizontal="center"/>
    </xf>
    <xf applyAlignment="true" applyBorder="true" applyFill="false" applyFont="true" applyNumberFormat="true" borderId="8473" fillId="0" fontId="2" numFmtId="1001" quotePrefix="false">
      <alignment horizontal="center"/>
    </xf>
    <xf applyAlignment="true" applyBorder="true" applyFill="false" applyFont="true" applyNumberFormat="true" borderId="8474" fillId="0" fontId="2" numFmtId="1001" quotePrefix="false">
      <alignment horizontal="center"/>
    </xf>
    <xf applyAlignment="true" applyBorder="true" applyFill="false" applyFont="false" applyNumberFormat="true" borderId="8475" fillId="0" fontId="1" numFmtId="1000" quotePrefix="false">
      <alignment horizontal="center" vertical="top"/>
    </xf>
    <xf applyAlignment="true" applyBorder="true" applyFill="false" applyFont="false" applyNumberFormat="true" borderId="8476" fillId="0" fontId="1" numFmtId="1000" quotePrefix="false">
      <alignment horizontal="center" vertical="top"/>
    </xf>
    <xf applyAlignment="true" applyBorder="true" applyFill="false" applyFont="false" applyNumberFormat="true" borderId="8477" fillId="0" fontId="1" numFmtId="1000" quotePrefix="false">
      <alignment horizontal="center" vertical="top"/>
    </xf>
    <xf applyAlignment="true" applyBorder="true" applyFill="false" applyFont="false" applyNumberFormat="true" borderId="8478" fillId="0" fontId="1" numFmtId="1000" quotePrefix="false">
      <alignment horizontal="center" vertical="top"/>
    </xf>
    <xf applyAlignment="true" applyBorder="true" applyFill="false" applyFont="false" applyNumberFormat="true" borderId="8479" fillId="0" fontId="1" numFmtId="1000" quotePrefix="false">
      <alignment horizontal="center" vertical="top"/>
    </xf>
    <xf applyAlignment="true" applyBorder="true" applyFill="false" applyFont="false" applyNumberFormat="true" borderId="8480" fillId="0" fontId="1" numFmtId="1000" quotePrefix="false">
      <alignment horizontal="center" vertical="top"/>
    </xf>
    <xf applyAlignment="true" applyBorder="true" applyFill="false" applyFont="false" applyNumberFormat="true" borderId="8481" fillId="0" fontId="1" numFmtId="1000" quotePrefix="false">
      <alignment horizontal="center" vertical="top"/>
    </xf>
    <xf applyAlignment="true" applyBorder="true" applyFill="false" applyFont="false" applyNumberFormat="true" borderId="8482" fillId="0" fontId="1" numFmtId="1000" quotePrefix="false">
      <alignment horizontal="center" vertical="top"/>
    </xf>
    <xf applyAlignment="true" applyBorder="true" applyFill="false" applyFont="false" applyNumberFormat="true" borderId="8483" fillId="0" fontId="1" numFmtId="1000" quotePrefix="false">
      <alignment horizontal="center" vertical="top"/>
    </xf>
    <xf applyAlignment="true" applyBorder="true" applyFill="false" applyFont="false" applyNumberFormat="true" borderId="8484" fillId="0" fontId="1" numFmtId="1000" quotePrefix="false">
      <alignment horizontal="center" vertical="top"/>
    </xf>
    <xf applyAlignment="true" applyBorder="true" applyFill="false" applyFont="false" applyNumberFormat="true" borderId="8485" fillId="0" fontId="1" numFmtId="1000" quotePrefix="false">
      <alignment horizontal="center" vertical="top"/>
    </xf>
    <xf applyAlignment="true" applyBorder="true" applyFill="false" applyFont="false" applyNumberFormat="true" borderId="8486" fillId="0" fontId="1" numFmtId="1000" quotePrefix="false">
      <alignment horizontal="center" vertical="top"/>
    </xf>
    <xf applyAlignment="true" applyBorder="true" applyFill="false" applyFont="false" applyNumberFormat="true" borderId="8487" fillId="0" fontId="1" numFmtId="1000" quotePrefix="false">
      <alignment horizontal="center" vertical="top"/>
    </xf>
    <xf applyAlignment="true" applyBorder="true" applyFill="false" applyFont="false" applyNumberFormat="true" borderId="8488" fillId="0" fontId="1" numFmtId="1000" quotePrefix="false">
      <alignment horizontal="center" vertical="top"/>
    </xf>
    <xf applyAlignment="true" applyBorder="true" applyFill="false" applyFont="false" applyNumberFormat="true" borderId="8489" fillId="0" fontId="1" numFmtId="1000" quotePrefix="false">
      <alignment horizontal="center" vertical="top"/>
    </xf>
    <xf applyAlignment="true" applyBorder="true" applyFill="false" applyFont="false" applyNumberFormat="true" borderId="8490" fillId="0" fontId="1" numFmtId="1000" quotePrefix="false">
      <alignment horizontal="center" vertical="top"/>
    </xf>
    <xf applyAlignment="true" applyBorder="true" applyFill="false" applyFont="false" applyNumberFormat="true" borderId="8491" fillId="0" fontId="1" numFmtId="1000" quotePrefix="false">
      <alignment horizontal="center" vertical="top"/>
    </xf>
    <xf applyAlignment="true" applyBorder="true" applyFill="false" applyFont="false" applyNumberFormat="true" borderId="8492" fillId="0" fontId="1" numFmtId="1000" quotePrefix="false">
      <alignment horizontal="center" vertical="top"/>
    </xf>
    <xf applyAlignment="true" applyBorder="true" applyFill="false" applyFont="false" applyNumberFormat="true" borderId="8493" fillId="0" fontId="1" numFmtId="1000" quotePrefix="false">
      <alignment horizontal="center" vertical="top"/>
    </xf>
    <xf applyAlignment="true" applyBorder="true" applyFill="false" applyFont="false" applyNumberFormat="true" borderId="8494" fillId="0" fontId="1" numFmtId="1000" quotePrefix="false">
      <alignment horizontal="center" vertical="top"/>
    </xf>
    <xf applyAlignment="true" applyBorder="true" applyFill="false" applyFont="false" applyNumberFormat="true" borderId="8495" fillId="0" fontId="1" numFmtId="1000" quotePrefix="false">
      <alignment horizontal="center" vertical="top"/>
    </xf>
    <xf applyAlignment="true" applyBorder="true" applyFill="false" applyFont="false" applyNumberFormat="true" borderId="8496" fillId="0" fontId="1" numFmtId="1000" quotePrefix="false">
      <alignment horizontal="center" vertical="top"/>
    </xf>
    <xf applyAlignment="true" applyBorder="true" applyFill="false" applyFont="false" applyNumberFormat="true" borderId="8497" fillId="0" fontId="1" numFmtId="1000" quotePrefix="false">
      <alignment horizontal="center" vertical="top"/>
    </xf>
    <xf applyAlignment="true" applyBorder="true" applyFill="false" applyFont="false" applyNumberFormat="true" borderId="8498" fillId="0" fontId="1" numFmtId="1000" quotePrefix="false">
      <alignment horizontal="center" vertical="top"/>
    </xf>
    <xf applyAlignment="true" applyBorder="true" applyFill="false" applyFont="false" applyNumberFormat="true" borderId="8499" fillId="0" fontId="1" numFmtId="1000" quotePrefix="false">
      <alignment horizontal="center" vertical="top"/>
    </xf>
    <xf applyAlignment="true" applyBorder="true" applyFill="false" applyFont="false" applyNumberFormat="true" borderId="8500" fillId="0" fontId="1" numFmtId="1000" quotePrefix="false">
      <alignment horizontal="center" vertical="top"/>
    </xf>
    <xf applyAlignment="true" applyBorder="true" applyFill="false" applyFont="false" applyNumberFormat="true" borderId="8501" fillId="0" fontId="1" numFmtId="1000" quotePrefix="false">
      <alignment horizontal="center" vertical="top"/>
    </xf>
    <xf applyAlignment="true" applyBorder="true" applyFill="false" applyFont="false" applyNumberFormat="true" borderId="8502" fillId="0" fontId="1" numFmtId="1000" quotePrefix="false">
      <alignment horizontal="center" vertical="top"/>
    </xf>
    <xf applyAlignment="true" applyBorder="true" applyFill="false" applyFont="false" applyNumberFormat="true" borderId="8503" fillId="0" fontId="1" numFmtId="1000" quotePrefix="false">
      <alignment horizontal="center" vertical="top"/>
    </xf>
    <xf applyAlignment="true" applyBorder="true" applyFill="false" applyFont="false" applyNumberFormat="true" borderId="8504" fillId="0" fontId="1" numFmtId="1000" quotePrefix="false">
      <alignment horizontal="center" vertical="top"/>
    </xf>
    <xf applyAlignment="true" applyBorder="true" applyFill="false" applyFont="false" applyNumberFormat="true" borderId="8505" fillId="0" fontId="1" numFmtId="1000" quotePrefix="false">
      <alignment horizontal="center" vertical="top"/>
    </xf>
    <xf applyAlignment="true" applyBorder="true" applyFill="false" applyFont="false" applyNumberFormat="true" borderId="8506" fillId="0" fontId="1" numFmtId="1000" quotePrefix="false">
      <alignment horizontal="center" vertical="top"/>
    </xf>
    <xf applyAlignment="true" applyBorder="true" applyFill="false" applyFont="false" applyNumberFormat="true" borderId="8507" fillId="0" fontId="1" numFmtId="1000" quotePrefix="false">
      <alignment horizontal="center" vertical="top"/>
    </xf>
    <xf applyAlignment="true" applyBorder="true" applyFill="false" applyFont="true" applyNumberFormat="true" borderId="8508" fillId="0" fontId="2" numFmtId="1000" quotePrefix="false">
      <alignment horizontal="center" vertical="top"/>
    </xf>
    <xf applyAlignment="true" applyBorder="true" applyFill="false" applyFont="false" applyNumberFormat="true" borderId="8509" fillId="0" fontId="1" numFmtId="1000" quotePrefix="false">
      <alignment horizontal="left" vertical="top"/>
    </xf>
    <xf applyAlignment="true" applyBorder="true" applyFill="false" applyFont="false" applyNumberFormat="true" borderId="8510" fillId="0" fontId="1" numFmtId="1000" quotePrefix="false">
      <alignment horizontal="left" vertical="top"/>
    </xf>
    <xf applyAlignment="true" applyBorder="true" applyFill="false" applyFont="false" applyNumberFormat="true" borderId="8511" fillId="0" fontId="1" numFmtId="1000" quotePrefix="false">
      <alignment horizontal="left" vertical="top"/>
    </xf>
    <xf applyAlignment="true" applyBorder="true" applyFill="false" applyFont="false" applyNumberFormat="true" borderId="8512" fillId="0" fontId="1" numFmtId="1000" quotePrefix="false">
      <alignment horizontal="left" vertical="top"/>
    </xf>
    <xf applyAlignment="true" applyBorder="true" applyFill="false" applyFont="false" applyNumberFormat="true" borderId="8513" fillId="0" fontId="1" numFmtId="1000" quotePrefix="false">
      <alignment horizontal="left" vertical="top"/>
    </xf>
    <xf applyAlignment="true" applyBorder="true" applyFill="false" applyFont="false" applyNumberFormat="true" borderId="8514" fillId="0" fontId="1" numFmtId="1000" quotePrefix="false">
      <alignment horizontal="left" vertical="top"/>
    </xf>
    <xf applyAlignment="true" applyBorder="true" applyFill="false" applyFont="false" applyNumberFormat="true" borderId="8515" fillId="0" fontId="1" numFmtId="1000" quotePrefix="false">
      <alignment horizontal="left" vertical="top"/>
    </xf>
    <xf applyAlignment="true" applyBorder="true" applyFill="false" applyFont="false" applyNumberFormat="true" borderId="8516" fillId="0" fontId="1" numFmtId="1000" quotePrefix="false">
      <alignment horizontal="left" vertical="top"/>
    </xf>
    <xf applyAlignment="true" applyBorder="true" applyFill="false" applyFont="false" applyNumberFormat="true" borderId="8517" fillId="0" fontId="1" numFmtId="1000" quotePrefix="false">
      <alignment horizontal="left" vertical="top"/>
    </xf>
    <xf applyAlignment="true" applyBorder="true" applyFill="false" applyFont="false" applyNumberFormat="true" borderId="8518" fillId="0" fontId="1" numFmtId="1000" quotePrefix="false">
      <alignment horizontal="left" vertical="top"/>
    </xf>
    <xf applyAlignment="true" applyBorder="true" applyFill="false" applyFont="false" applyNumberFormat="true" borderId="8519" fillId="0" fontId="1" numFmtId="1000" quotePrefix="false">
      <alignment horizontal="left" vertical="top"/>
    </xf>
    <xf applyAlignment="true" applyBorder="true" applyFill="false" applyFont="false" applyNumberFormat="true" borderId="8520" fillId="0" fontId="1" numFmtId="1000" quotePrefix="false">
      <alignment horizontal="left" vertical="top"/>
    </xf>
    <xf applyAlignment="true" applyBorder="true" applyFill="false" applyFont="false" applyNumberFormat="true" borderId="8521" fillId="0" fontId="1" numFmtId="1000" quotePrefix="false">
      <alignment horizontal="left" vertical="top"/>
    </xf>
    <xf applyAlignment="true" applyBorder="true" applyFill="false" applyFont="false" applyNumberFormat="true" borderId="8522" fillId="0" fontId="1" numFmtId="1000" quotePrefix="false">
      <alignment horizontal="left" vertical="top"/>
    </xf>
    <xf applyAlignment="true" applyBorder="true" applyFill="false" applyFont="false" applyNumberFormat="true" borderId="8523" fillId="0" fontId="1" numFmtId="1000" quotePrefix="false">
      <alignment horizontal="left" vertical="top"/>
    </xf>
    <xf applyAlignment="true" applyBorder="true" applyFill="false" applyFont="false" applyNumberFormat="true" borderId="8524" fillId="0" fontId="1" numFmtId="1000" quotePrefix="false">
      <alignment horizontal="left" vertical="top"/>
    </xf>
    <xf applyAlignment="true" applyBorder="true" applyFill="false" applyFont="false" applyNumberFormat="true" borderId="8525" fillId="0" fontId="1" numFmtId="1000" quotePrefix="false">
      <alignment horizontal="left" vertical="top"/>
    </xf>
    <xf applyAlignment="true" applyBorder="true" applyFill="false" applyFont="false" applyNumberFormat="true" borderId="8526" fillId="0" fontId="1" numFmtId="1000" quotePrefix="false">
      <alignment horizontal="left" vertical="top"/>
    </xf>
    <xf applyAlignment="true" applyBorder="true" applyFill="false" applyFont="false" applyNumberFormat="true" borderId="8527" fillId="0" fontId="1" numFmtId="1000" quotePrefix="false">
      <alignment horizontal="left" vertical="top"/>
    </xf>
    <xf applyAlignment="true" applyBorder="true" applyFill="false" applyFont="true" applyNumberFormat="true" borderId="8528" fillId="0" fontId="2" numFmtId="1001" quotePrefix="false">
      <alignment horizontal="center"/>
    </xf>
    <xf applyAlignment="true" applyBorder="true" applyFill="false" applyFont="true" applyNumberFormat="true" borderId="8529" fillId="0" fontId="2" numFmtId="1001" quotePrefix="false">
      <alignment horizontal="center"/>
    </xf>
    <xf applyAlignment="true" applyBorder="true" applyFill="false" applyFont="true" applyNumberFormat="true" borderId="8530" fillId="0" fontId="2" numFmtId="1001" quotePrefix="false">
      <alignment horizontal="center"/>
    </xf>
    <xf applyAlignment="true" applyBorder="true" applyFill="false" applyFont="false" applyNumberFormat="true" borderId="8531" fillId="0" fontId="1" numFmtId="1000" quotePrefix="false">
      <alignment horizontal="center" vertical="top"/>
    </xf>
    <xf applyAlignment="true" applyBorder="true" applyFill="false" applyFont="false" applyNumberFormat="true" borderId="8532" fillId="0" fontId="1" numFmtId="1000" quotePrefix="false">
      <alignment horizontal="center" vertical="top"/>
    </xf>
    <xf applyAlignment="true" applyBorder="true" applyFill="false" applyFont="false" applyNumberFormat="true" borderId="8533" fillId="0" fontId="1" numFmtId="1000" quotePrefix="false">
      <alignment horizontal="center" vertical="top"/>
    </xf>
    <xf applyAlignment="true" applyBorder="true" applyFill="false" applyFont="false" applyNumberFormat="true" borderId="8534" fillId="0" fontId="1" numFmtId="1000" quotePrefix="false">
      <alignment horizontal="center" vertical="top"/>
    </xf>
    <xf applyAlignment="true" applyBorder="true" applyFill="false" applyFont="false" applyNumberFormat="true" borderId="8535" fillId="0" fontId="1" numFmtId="1000" quotePrefix="false">
      <alignment horizontal="center" vertical="top"/>
    </xf>
    <xf applyAlignment="true" applyBorder="true" applyFill="false" applyFont="false" applyNumberFormat="true" borderId="8536" fillId="0" fontId="1" numFmtId="1000" quotePrefix="false">
      <alignment horizontal="center" vertical="top"/>
    </xf>
    <xf applyAlignment="true" applyBorder="true" applyFill="false" applyFont="false" applyNumberFormat="true" borderId="8537" fillId="0" fontId="1" numFmtId="1000" quotePrefix="false">
      <alignment horizontal="center" vertical="top"/>
    </xf>
    <xf applyAlignment="true" applyBorder="true" applyFill="false" applyFont="false" applyNumberFormat="true" borderId="8538" fillId="0" fontId="1" numFmtId="1000" quotePrefix="false">
      <alignment horizontal="center" vertical="top"/>
    </xf>
    <xf applyAlignment="true" applyBorder="true" applyFill="false" applyFont="false" applyNumberFormat="true" borderId="8539" fillId="0" fontId="1" numFmtId="1000" quotePrefix="false">
      <alignment horizontal="center" vertical="top"/>
    </xf>
    <xf applyAlignment="true" applyBorder="true" applyFill="false" applyFont="false" applyNumberFormat="true" borderId="8540" fillId="0" fontId="1" numFmtId="1000" quotePrefix="false">
      <alignment horizontal="center" vertical="top"/>
    </xf>
    <xf applyAlignment="true" applyBorder="true" applyFill="false" applyFont="false" applyNumberFormat="true" borderId="8541" fillId="0" fontId="1" numFmtId="1000" quotePrefix="false">
      <alignment horizontal="center" vertical="top"/>
    </xf>
    <xf applyAlignment="true" applyBorder="true" applyFill="false" applyFont="false" applyNumberFormat="true" borderId="8542" fillId="0" fontId="1" numFmtId="1000" quotePrefix="false">
      <alignment horizontal="center" vertical="top"/>
    </xf>
    <xf applyAlignment="true" applyBorder="true" applyFill="false" applyFont="false" applyNumberFormat="true" borderId="8543" fillId="0" fontId="1" numFmtId="1000" quotePrefix="false">
      <alignment horizontal="center" vertical="top"/>
    </xf>
    <xf applyAlignment="true" applyBorder="true" applyFill="false" applyFont="false" applyNumberFormat="true" borderId="8544" fillId="0" fontId="1" numFmtId="1000" quotePrefix="false">
      <alignment horizontal="center" vertical="top"/>
    </xf>
    <xf applyAlignment="true" applyBorder="true" applyFill="false" applyFont="false" applyNumberFormat="true" borderId="8545" fillId="0" fontId="1" numFmtId="1000" quotePrefix="false">
      <alignment horizontal="center" vertical="top"/>
    </xf>
    <xf applyAlignment="true" applyBorder="true" applyFill="false" applyFont="false" applyNumberFormat="true" borderId="8546" fillId="0" fontId="1" numFmtId="1000" quotePrefix="false">
      <alignment horizontal="center" vertical="top"/>
    </xf>
    <xf applyAlignment="true" applyBorder="true" applyFill="false" applyFont="false" applyNumberFormat="true" borderId="8547" fillId="0" fontId="1" numFmtId="1000" quotePrefix="false">
      <alignment horizontal="center" vertical="top"/>
    </xf>
    <xf applyAlignment="true" applyBorder="true" applyFill="false" applyFont="false" applyNumberFormat="true" borderId="8548" fillId="0" fontId="1" numFmtId="1000" quotePrefix="false">
      <alignment horizontal="center" vertical="top"/>
    </xf>
    <xf applyAlignment="true" applyBorder="true" applyFill="false" applyFont="false" applyNumberFormat="true" borderId="8549" fillId="0" fontId="1" numFmtId="1000" quotePrefix="false">
      <alignment horizontal="center" vertical="top"/>
    </xf>
    <xf applyAlignment="true" applyBorder="true" applyFill="false" applyFont="false" applyNumberFormat="true" borderId="8550" fillId="0" fontId="1" numFmtId="1000" quotePrefix="false">
      <alignment horizontal="center" vertical="top"/>
    </xf>
    <xf applyAlignment="true" applyBorder="true" applyFill="false" applyFont="false" applyNumberFormat="true" borderId="8551" fillId="0" fontId="1" numFmtId="1000" quotePrefix="false">
      <alignment horizontal="center" vertical="top"/>
    </xf>
    <xf applyAlignment="true" applyBorder="true" applyFill="false" applyFont="false" applyNumberFormat="true" borderId="8552" fillId="0" fontId="1" numFmtId="1000" quotePrefix="false">
      <alignment horizontal="center" vertical="top"/>
    </xf>
    <xf applyAlignment="true" applyBorder="true" applyFill="false" applyFont="false" applyNumberFormat="true" borderId="8553" fillId="0" fontId="1" numFmtId="1000" quotePrefix="false">
      <alignment horizontal="center" vertical="top"/>
    </xf>
    <xf applyAlignment="true" applyBorder="true" applyFill="false" applyFont="false" applyNumberFormat="true" borderId="8554" fillId="0" fontId="1" numFmtId="1000" quotePrefix="false">
      <alignment horizontal="center" vertical="top"/>
    </xf>
    <xf applyAlignment="true" applyBorder="true" applyFill="false" applyFont="false" applyNumberFormat="true" borderId="8555" fillId="0" fontId="1" numFmtId="1000" quotePrefix="false">
      <alignment horizontal="center" vertical="top"/>
    </xf>
    <xf applyAlignment="true" applyBorder="true" applyFill="false" applyFont="false" applyNumberFormat="true" borderId="8556" fillId="0" fontId="1" numFmtId="1000" quotePrefix="false">
      <alignment horizontal="center" vertical="top"/>
    </xf>
    <xf applyAlignment="true" applyBorder="true" applyFill="false" applyFont="false" applyNumberFormat="true" borderId="8557" fillId="0" fontId="1" numFmtId="1000" quotePrefix="false">
      <alignment horizontal="center" vertical="top"/>
    </xf>
    <xf applyAlignment="true" applyBorder="true" applyFill="false" applyFont="false" applyNumberFormat="true" borderId="8558" fillId="0" fontId="1" numFmtId="1000" quotePrefix="false">
      <alignment horizontal="center" vertical="top"/>
    </xf>
    <xf applyAlignment="true" applyBorder="true" applyFill="false" applyFont="false" applyNumberFormat="true" borderId="8559" fillId="0" fontId="1" numFmtId="1000" quotePrefix="false">
      <alignment horizontal="center" vertical="top"/>
    </xf>
    <xf applyAlignment="true" applyBorder="true" applyFill="false" applyFont="false" applyNumberFormat="true" borderId="8560" fillId="0" fontId="1" numFmtId="1000" quotePrefix="false">
      <alignment horizontal="center" vertical="top"/>
    </xf>
    <xf applyAlignment="true" applyBorder="true" applyFill="false" applyFont="false" applyNumberFormat="true" borderId="8561" fillId="0" fontId="1" numFmtId="1000" quotePrefix="false">
      <alignment horizontal="center" vertical="top"/>
    </xf>
    <xf applyAlignment="true" applyBorder="true" applyFill="false" applyFont="false" applyNumberFormat="true" borderId="8562" fillId="0" fontId="1" numFmtId="1000" quotePrefix="false">
      <alignment horizontal="center" vertical="top"/>
    </xf>
    <xf applyAlignment="true" applyBorder="true" applyFill="false" applyFont="false" applyNumberFormat="true" borderId="8563" fillId="0" fontId="1" numFmtId="1000" quotePrefix="false">
      <alignment horizontal="center" vertical="top"/>
    </xf>
    <xf applyAlignment="true" applyBorder="true" applyFill="false" applyFont="true" applyNumberFormat="true" borderId="8564" fillId="0" fontId="2" numFmtId="1000" quotePrefix="false">
      <alignment horizontal="center" vertical="top"/>
    </xf>
    <xf applyAlignment="true" applyBorder="true" applyFill="false" applyFont="false" applyNumberFormat="true" borderId="8565" fillId="0" fontId="1" numFmtId="1000" quotePrefix="false">
      <alignment horizontal="left" vertical="top"/>
    </xf>
    <xf applyAlignment="true" applyBorder="true" applyFill="false" applyFont="false" applyNumberFormat="true" borderId="8566" fillId="0" fontId="1" numFmtId="1000" quotePrefix="false">
      <alignment horizontal="left" vertical="top"/>
    </xf>
    <xf applyAlignment="true" applyBorder="true" applyFill="false" applyFont="false" applyNumberFormat="true" borderId="8567" fillId="0" fontId="1" numFmtId="1000" quotePrefix="false">
      <alignment horizontal="left" vertical="top"/>
    </xf>
    <xf applyAlignment="true" applyBorder="true" applyFill="false" applyFont="false" applyNumberFormat="true" borderId="8568" fillId="0" fontId="1" numFmtId="1000" quotePrefix="false">
      <alignment horizontal="left" vertical="top"/>
    </xf>
    <xf applyAlignment="true" applyBorder="true" applyFill="false" applyFont="false" applyNumberFormat="true" borderId="8569" fillId="0" fontId="1" numFmtId="1000" quotePrefix="false">
      <alignment horizontal="left" vertical="top"/>
    </xf>
    <xf applyAlignment="true" applyBorder="true" applyFill="false" applyFont="false" applyNumberFormat="true" borderId="8570" fillId="0" fontId="1" numFmtId="1000" quotePrefix="false">
      <alignment horizontal="left" vertical="top"/>
    </xf>
    <xf applyAlignment="true" applyBorder="true" applyFill="false" applyFont="false" applyNumberFormat="true" borderId="8571" fillId="0" fontId="1" numFmtId="1000" quotePrefix="false">
      <alignment horizontal="left" vertical="top"/>
    </xf>
    <xf applyAlignment="true" applyBorder="true" applyFill="false" applyFont="false" applyNumberFormat="true" borderId="8572" fillId="0" fontId="1" numFmtId="1000" quotePrefix="false">
      <alignment horizontal="left" vertical="top"/>
    </xf>
    <xf applyAlignment="true" applyBorder="true" applyFill="false" applyFont="false" applyNumberFormat="true" borderId="8573" fillId="0" fontId="1" numFmtId="1000" quotePrefix="false">
      <alignment horizontal="left" vertical="top"/>
    </xf>
    <xf applyAlignment="true" applyBorder="true" applyFill="false" applyFont="false" applyNumberFormat="true" borderId="8574" fillId="0" fontId="1" numFmtId="1000" quotePrefix="false">
      <alignment horizontal="left" vertical="top"/>
    </xf>
    <xf applyAlignment="true" applyBorder="true" applyFill="false" applyFont="false" applyNumberFormat="true" borderId="8575" fillId="0" fontId="1" numFmtId="1000" quotePrefix="false">
      <alignment horizontal="left" vertical="top"/>
    </xf>
    <xf applyAlignment="true" applyBorder="true" applyFill="false" applyFont="false" applyNumberFormat="true" borderId="8576" fillId="0" fontId="1" numFmtId="1000" quotePrefix="false">
      <alignment horizontal="left" vertical="top"/>
    </xf>
    <xf applyAlignment="true" applyBorder="true" applyFill="false" applyFont="false" applyNumberFormat="true" borderId="8577" fillId="0" fontId="1" numFmtId="1000" quotePrefix="false">
      <alignment horizontal="left" vertical="top"/>
    </xf>
    <xf applyAlignment="true" applyBorder="true" applyFill="false" applyFont="false" applyNumberFormat="true" borderId="8578" fillId="0" fontId="1" numFmtId="1000" quotePrefix="false">
      <alignment horizontal="left" vertical="top"/>
    </xf>
    <xf applyAlignment="true" applyBorder="true" applyFill="false" applyFont="false" applyNumberFormat="true" borderId="8579" fillId="0" fontId="1" numFmtId="1000" quotePrefix="false">
      <alignment horizontal="left" vertical="top"/>
    </xf>
    <xf applyAlignment="true" applyBorder="true" applyFill="false" applyFont="false" applyNumberFormat="true" borderId="8580" fillId="0" fontId="1" numFmtId="1000" quotePrefix="false">
      <alignment horizontal="left" vertical="top"/>
    </xf>
    <xf applyAlignment="true" applyBorder="true" applyFill="false" applyFont="false" applyNumberFormat="true" borderId="8581" fillId="0" fontId="1" numFmtId="1000" quotePrefix="false">
      <alignment horizontal="left" vertical="top"/>
    </xf>
    <xf applyAlignment="true" applyBorder="true" applyFill="false" applyFont="false" applyNumberFormat="true" borderId="8582" fillId="0" fontId="1" numFmtId="1000" quotePrefix="false">
      <alignment horizontal="left" vertical="top"/>
    </xf>
    <xf applyAlignment="true" applyBorder="true" applyFill="false" applyFont="false" applyNumberFormat="true" borderId="8583" fillId="0" fontId="1" numFmtId="1000" quotePrefix="false">
      <alignment horizontal="left" vertical="top"/>
    </xf>
    <xf applyAlignment="true" applyBorder="true" applyFill="false" applyFont="true" applyNumberFormat="true" borderId="8584" fillId="0" fontId="2" numFmtId="1001" quotePrefix="false">
      <alignment horizontal="center"/>
    </xf>
    <xf applyAlignment="true" applyBorder="true" applyFill="false" applyFont="true" applyNumberFormat="true" borderId="8585" fillId="0" fontId="2" numFmtId="1001" quotePrefix="false">
      <alignment horizontal="center"/>
    </xf>
    <xf applyAlignment="true" applyBorder="true" applyFill="false" applyFont="true" applyNumberFormat="true" borderId="8586" fillId="0" fontId="2" numFmtId="1001" quotePrefix="false">
      <alignment horizontal="center"/>
    </xf>
    <xf applyAlignment="true" applyBorder="true" applyFill="false" applyFont="false" applyNumberFormat="true" borderId="8587" fillId="0" fontId="1" numFmtId="1000" quotePrefix="false">
      <alignment horizontal="center" vertical="top"/>
    </xf>
    <xf applyAlignment="true" applyBorder="true" applyFill="false" applyFont="false" applyNumberFormat="true" borderId="8588" fillId="0" fontId="1" numFmtId="1000" quotePrefix="false">
      <alignment horizontal="center" vertical="top"/>
    </xf>
    <xf applyAlignment="true" applyBorder="true" applyFill="false" applyFont="false" applyNumberFormat="true" borderId="8589" fillId="0" fontId="1" numFmtId="1000" quotePrefix="false">
      <alignment horizontal="center" vertical="top"/>
    </xf>
    <xf applyAlignment="true" applyBorder="true" applyFill="false" applyFont="false" applyNumberFormat="true" borderId="8590" fillId="0" fontId="1" numFmtId="1000" quotePrefix="false">
      <alignment horizontal="center" vertical="top"/>
    </xf>
    <xf applyAlignment="true" applyBorder="true" applyFill="false" applyFont="false" applyNumberFormat="true" borderId="8591" fillId="0" fontId="1" numFmtId="1000" quotePrefix="false">
      <alignment horizontal="center" vertical="top"/>
    </xf>
    <xf applyAlignment="true" applyBorder="true" applyFill="false" applyFont="false" applyNumberFormat="true" borderId="8592" fillId="0" fontId="1" numFmtId="1000" quotePrefix="false">
      <alignment horizontal="center" vertical="top"/>
    </xf>
    <xf applyAlignment="true" applyBorder="true" applyFill="false" applyFont="false" applyNumberFormat="true" borderId="8593" fillId="0" fontId="1" numFmtId="1000" quotePrefix="false">
      <alignment horizontal="center" vertical="top"/>
    </xf>
    <xf applyAlignment="true" applyBorder="true" applyFill="false" applyFont="false" applyNumberFormat="true" borderId="8594" fillId="0" fontId="1" numFmtId="1000" quotePrefix="false">
      <alignment horizontal="center" vertical="top"/>
    </xf>
    <xf applyAlignment="true" applyBorder="true" applyFill="false" applyFont="false" applyNumberFormat="true" borderId="8595" fillId="0" fontId="1" numFmtId="1000" quotePrefix="false">
      <alignment horizontal="center" vertical="top"/>
    </xf>
    <xf applyAlignment="true" applyBorder="true" applyFill="false" applyFont="false" applyNumberFormat="true" borderId="8596" fillId="0" fontId="1" numFmtId="1000" quotePrefix="false">
      <alignment horizontal="center" vertical="top"/>
    </xf>
    <xf applyAlignment="true" applyBorder="true" applyFill="false" applyFont="false" applyNumberFormat="true" borderId="8597" fillId="0" fontId="1" numFmtId="1000" quotePrefix="false">
      <alignment horizontal="center" vertical="top"/>
    </xf>
    <xf applyAlignment="true" applyBorder="true" applyFill="false" applyFont="false" applyNumberFormat="true" borderId="8598" fillId="0" fontId="1" numFmtId="1000" quotePrefix="false">
      <alignment horizontal="center" vertical="top"/>
    </xf>
    <xf applyAlignment="true" applyBorder="true" applyFill="false" applyFont="false" applyNumberFormat="true" borderId="8599" fillId="0" fontId="1" numFmtId="1000" quotePrefix="false">
      <alignment horizontal="center" vertical="top"/>
    </xf>
    <xf applyAlignment="true" applyBorder="true" applyFill="false" applyFont="false" applyNumberFormat="true" borderId="8600" fillId="0" fontId="1" numFmtId="1000" quotePrefix="false">
      <alignment horizontal="center" vertical="top"/>
    </xf>
    <xf applyAlignment="true" applyBorder="true" applyFill="false" applyFont="false" applyNumberFormat="true" borderId="8601" fillId="0" fontId="1" numFmtId="1000" quotePrefix="false">
      <alignment horizontal="center" vertical="top"/>
    </xf>
    <xf applyAlignment="true" applyBorder="true" applyFill="false" applyFont="false" applyNumberFormat="true" borderId="8602" fillId="0" fontId="1" numFmtId="1000" quotePrefix="false">
      <alignment horizontal="center" vertical="top"/>
    </xf>
    <xf applyAlignment="true" applyBorder="true" applyFill="false" applyFont="false" applyNumberFormat="true" borderId="8603" fillId="0" fontId="1" numFmtId="1000" quotePrefix="false">
      <alignment horizontal="center" vertical="top"/>
    </xf>
    <xf applyAlignment="true" applyBorder="true" applyFill="false" applyFont="false" applyNumberFormat="true" borderId="8604" fillId="0" fontId="1" numFmtId="1000" quotePrefix="false">
      <alignment horizontal="center" vertical="top"/>
    </xf>
    <xf applyAlignment="true" applyBorder="true" applyFill="false" applyFont="false" applyNumberFormat="true" borderId="8605" fillId="0" fontId="1" numFmtId="1000" quotePrefix="false">
      <alignment horizontal="center" vertical="top"/>
    </xf>
    <xf applyAlignment="true" applyBorder="true" applyFill="false" applyFont="false" applyNumberFormat="true" borderId="8606" fillId="0" fontId="1" numFmtId="1000" quotePrefix="false">
      <alignment horizontal="center" vertical="top"/>
    </xf>
    <xf applyAlignment="true" applyBorder="true" applyFill="false" applyFont="false" applyNumberFormat="true" borderId="8607" fillId="0" fontId="1" numFmtId="1000" quotePrefix="false">
      <alignment horizontal="center" vertical="top"/>
    </xf>
    <xf applyAlignment="true" applyBorder="true" applyFill="false" applyFont="false" applyNumberFormat="true" borderId="8608" fillId="0" fontId="1" numFmtId="1000" quotePrefix="false">
      <alignment horizontal="center" vertical="top"/>
    </xf>
    <xf applyAlignment="true" applyBorder="true" applyFill="false" applyFont="false" applyNumberFormat="true" borderId="8609" fillId="0" fontId="1" numFmtId="1000" quotePrefix="false">
      <alignment horizontal="center" vertical="top"/>
    </xf>
    <xf applyAlignment="true" applyBorder="true" applyFill="false" applyFont="false" applyNumberFormat="true" borderId="8610" fillId="0" fontId="1" numFmtId="1000" quotePrefix="false">
      <alignment horizontal="center" vertical="top"/>
    </xf>
    <xf applyAlignment="true" applyBorder="true" applyFill="false" applyFont="false" applyNumberFormat="true" borderId="8611" fillId="0" fontId="1" numFmtId="1000" quotePrefix="false">
      <alignment horizontal="center" vertical="top"/>
    </xf>
    <xf applyAlignment="true" applyBorder="true" applyFill="false" applyFont="false" applyNumberFormat="true" borderId="8612" fillId="0" fontId="1" numFmtId="1000" quotePrefix="false">
      <alignment horizontal="center" vertical="top"/>
    </xf>
    <xf applyAlignment="true" applyBorder="true" applyFill="false" applyFont="false" applyNumberFormat="true" borderId="8613" fillId="0" fontId="1" numFmtId="1000" quotePrefix="false">
      <alignment horizontal="center" vertical="top"/>
    </xf>
    <xf applyAlignment="true" applyBorder="true" applyFill="false" applyFont="false" applyNumberFormat="true" borderId="8614" fillId="0" fontId="1" numFmtId="1000" quotePrefix="false">
      <alignment horizontal="center" vertical="top"/>
    </xf>
    <xf applyAlignment="true" applyBorder="true" applyFill="false" applyFont="false" applyNumberFormat="true" borderId="8615" fillId="0" fontId="1" numFmtId="1000" quotePrefix="false">
      <alignment horizontal="center" vertical="top"/>
    </xf>
    <xf applyAlignment="true" applyBorder="true" applyFill="false" applyFont="false" applyNumberFormat="true" borderId="8616" fillId="0" fontId="1" numFmtId="1000" quotePrefix="false">
      <alignment horizontal="center" vertical="top"/>
    </xf>
    <xf applyAlignment="true" applyBorder="true" applyFill="false" applyFont="false" applyNumberFormat="true" borderId="8617" fillId="0" fontId="1" numFmtId="1000" quotePrefix="false">
      <alignment horizontal="center" vertical="top"/>
    </xf>
    <xf applyAlignment="true" applyBorder="true" applyFill="false" applyFont="false" applyNumberFormat="true" borderId="8618" fillId="0" fontId="1" numFmtId="1000" quotePrefix="false">
      <alignment horizontal="center" vertical="top"/>
    </xf>
    <xf applyAlignment="true" applyBorder="true" applyFill="false" applyFont="false" applyNumberFormat="true" borderId="8619" fillId="0" fontId="1" numFmtId="1000" quotePrefix="false">
      <alignment horizontal="center" vertical="top"/>
    </xf>
    <xf applyAlignment="true" applyBorder="true" applyFill="false" applyFont="true" applyNumberFormat="true" borderId="8620" fillId="0" fontId="2" numFmtId="1000" quotePrefix="false">
      <alignment horizontal="center" vertical="top"/>
    </xf>
    <xf applyAlignment="true" applyBorder="true" applyFill="false" applyFont="false" applyNumberFormat="true" borderId="8621" fillId="0" fontId="1" numFmtId="1000" quotePrefix="false">
      <alignment horizontal="left" vertical="top"/>
    </xf>
    <xf applyAlignment="true" applyBorder="true" applyFill="false" applyFont="false" applyNumberFormat="true" borderId="8622" fillId="0" fontId="1" numFmtId="1000" quotePrefix="false">
      <alignment horizontal="left" vertical="top"/>
    </xf>
    <xf applyAlignment="true" applyBorder="true" applyFill="false" applyFont="false" applyNumberFormat="true" borderId="8623" fillId="0" fontId="1" numFmtId="1000" quotePrefix="false">
      <alignment horizontal="left" vertical="top"/>
    </xf>
    <xf applyAlignment="true" applyBorder="true" applyFill="false" applyFont="false" applyNumberFormat="true" borderId="8624" fillId="0" fontId="1" numFmtId="1000" quotePrefix="false">
      <alignment horizontal="left" vertical="top"/>
    </xf>
    <xf applyAlignment="true" applyBorder="true" applyFill="false" applyFont="false" applyNumberFormat="true" borderId="8625" fillId="0" fontId="1" numFmtId="1000" quotePrefix="false">
      <alignment horizontal="left" vertical="top"/>
    </xf>
    <xf applyAlignment="true" applyBorder="true" applyFill="false" applyFont="false" applyNumberFormat="true" borderId="8626" fillId="0" fontId="1" numFmtId="1000" quotePrefix="false">
      <alignment horizontal="left" vertical="top"/>
    </xf>
    <xf applyAlignment="true" applyBorder="true" applyFill="false" applyFont="false" applyNumberFormat="true" borderId="8627" fillId="0" fontId="1" numFmtId="1000" quotePrefix="false">
      <alignment horizontal="left" vertical="top"/>
    </xf>
    <xf applyAlignment="true" applyBorder="true" applyFill="false" applyFont="false" applyNumberFormat="true" borderId="8628" fillId="0" fontId="1" numFmtId="1000" quotePrefix="false">
      <alignment horizontal="left" vertical="top"/>
    </xf>
    <xf applyAlignment="true" applyBorder="true" applyFill="false" applyFont="false" applyNumberFormat="true" borderId="8629" fillId="0" fontId="1" numFmtId="1000" quotePrefix="false">
      <alignment horizontal="left" vertical="top"/>
    </xf>
    <xf applyAlignment="true" applyBorder="true" applyFill="false" applyFont="false" applyNumberFormat="true" borderId="8630" fillId="0" fontId="1" numFmtId="1000" quotePrefix="false">
      <alignment horizontal="left" vertical="top"/>
    </xf>
    <xf applyAlignment="true" applyBorder="true" applyFill="false" applyFont="false" applyNumberFormat="true" borderId="8631" fillId="0" fontId="1" numFmtId="1000" quotePrefix="false">
      <alignment horizontal="left" vertical="top"/>
    </xf>
    <xf applyAlignment="true" applyBorder="true" applyFill="false" applyFont="false" applyNumberFormat="true" borderId="8632" fillId="0" fontId="1" numFmtId="1000" quotePrefix="false">
      <alignment horizontal="left" vertical="top"/>
    </xf>
    <xf applyAlignment="true" applyBorder="true" applyFill="false" applyFont="false" applyNumberFormat="true" borderId="8633" fillId="0" fontId="1" numFmtId="1000" quotePrefix="false">
      <alignment horizontal="left" vertical="top"/>
    </xf>
    <xf applyAlignment="true" applyBorder="true" applyFill="false" applyFont="false" applyNumberFormat="true" borderId="8634" fillId="0" fontId="1" numFmtId="1000" quotePrefix="false">
      <alignment horizontal="left" vertical="top"/>
    </xf>
    <xf applyAlignment="true" applyBorder="true" applyFill="false" applyFont="false" applyNumberFormat="true" borderId="8635" fillId="0" fontId="1" numFmtId="1000" quotePrefix="false">
      <alignment horizontal="left" vertical="top"/>
    </xf>
    <xf applyAlignment="true" applyBorder="true" applyFill="false" applyFont="false" applyNumberFormat="true" borderId="8636" fillId="0" fontId="1" numFmtId="1000" quotePrefix="false">
      <alignment horizontal="left" vertical="top"/>
    </xf>
    <xf applyAlignment="true" applyBorder="true" applyFill="false" applyFont="false" applyNumberFormat="true" borderId="8637" fillId="0" fontId="1" numFmtId="1000" quotePrefix="false">
      <alignment horizontal="left" vertical="top"/>
    </xf>
    <xf applyAlignment="true" applyBorder="true" applyFill="false" applyFont="false" applyNumberFormat="true" borderId="8638" fillId="0" fontId="1" numFmtId="1000" quotePrefix="false">
      <alignment horizontal="left" vertical="top"/>
    </xf>
    <xf applyAlignment="true" applyBorder="true" applyFill="false" applyFont="false" applyNumberFormat="true" borderId="8639" fillId="0" fontId="1" numFmtId="1000" quotePrefix="false">
      <alignment horizontal="left" vertical="top"/>
    </xf>
    <xf applyAlignment="true" applyBorder="true" applyFill="false" applyFont="true" applyNumberFormat="true" borderId="8640" fillId="0" fontId="2" numFmtId="1001" quotePrefix="false">
      <alignment horizontal="center"/>
    </xf>
    <xf applyAlignment="true" applyBorder="true" applyFill="false" applyFont="true" applyNumberFormat="true" borderId="8641" fillId="0" fontId="2" numFmtId="1001" quotePrefix="false">
      <alignment horizontal="center"/>
    </xf>
    <xf applyAlignment="true" applyBorder="true" applyFill="false" applyFont="true" applyNumberFormat="true" borderId="8642" fillId="0" fontId="2" numFmtId="1001" quotePrefix="false">
      <alignment horizontal="center"/>
    </xf>
    <xf applyAlignment="true" applyBorder="true" applyFill="false" applyFont="false" applyNumberFormat="true" borderId="8643" fillId="0" fontId="1" numFmtId="1000" quotePrefix="false">
      <alignment horizontal="center" vertical="top"/>
    </xf>
    <xf applyAlignment="true" applyBorder="true" applyFill="false" applyFont="false" applyNumberFormat="true" borderId="8644" fillId="0" fontId="1" numFmtId="1000" quotePrefix="false">
      <alignment horizontal="center" vertical="top"/>
    </xf>
    <xf applyAlignment="true" applyBorder="true" applyFill="false" applyFont="false" applyNumberFormat="true" borderId="8645" fillId="0" fontId="1" numFmtId="1000" quotePrefix="false">
      <alignment horizontal="center" vertical="top"/>
    </xf>
    <xf applyAlignment="true" applyBorder="true" applyFill="false" applyFont="false" applyNumberFormat="true" borderId="8646" fillId="0" fontId="1" numFmtId="1000" quotePrefix="false">
      <alignment horizontal="center" vertical="top"/>
    </xf>
    <xf applyAlignment="true" applyBorder="true" applyFill="false" applyFont="false" applyNumberFormat="true" borderId="8647" fillId="0" fontId="1" numFmtId="1000" quotePrefix="false">
      <alignment horizontal="center" vertical="top"/>
    </xf>
    <xf applyAlignment="true" applyBorder="true" applyFill="false" applyFont="false" applyNumberFormat="true" borderId="8648" fillId="0" fontId="1" numFmtId="1000" quotePrefix="false">
      <alignment horizontal="center" vertical="top"/>
    </xf>
    <xf applyAlignment="true" applyBorder="true" applyFill="false" applyFont="false" applyNumberFormat="true" borderId="8649" fillId="0" fontId="1" numFmtId="1000" quotePrefix="false">
      <alignment horizontal="center" vertical="top"/>
    </xf>
    <xf applyAlignment="true" applyBorder="true" applyFill="false" applyFont="false" applyNumberFormat="true" borderId="8650" fillId="0" fontId="1" numFmtId="1000" quotePrefix="false">
      <alignment horizontal="center" vertical="top"/>
    </xf>
    <xf applyAlignment="true" applyBorder="true" applyFill="false" applyFont="false" applyNumberFormat="true" borderId="8651" fillId="0" fontId="1" numFmtId="1000" quotePrefix="false">
      <alignment horizontal="center" vertical="top"/>
    </xf>
    <xf applyAlignment="true" applyBorder="true" applyFill="false" applyFont="false" applyNumberFormat="true" borderId="8652" fillId="0" fontId="1" numFmtId="1000" quotePrefix="false">
      <alignment horizontal="center" vertical="top"/>
    </xf>
    <xf applyAlignment="true" applyBorder="true" applyFill="false" applyFont="false" applyNumberFormat="true" borderId="8653" fillId="0" fontId="1" numFmtId="1000" quotePrefix="false">
      <alignment horizontal="center" vertical="top"/>
    </xf>
    <xf applyAlignment="true" applyBorder="true" applyFill="false" applyFont="false" applyNumberFormat="true" borderId="8654" fillId="0" fontId="1" numFmtId="1000" quotePrefix="false">
      <alignment horizontal="center" vertical="top"/>
    </xf>
    <xf applyAlignment="true" applyBorder="true" applyFill="false" applyFont="false" applyNumberFormat="true" borderId="8655" fillId="0" fontId="1" numFmtId="1000" quotePrefix="false">
      <alignment horizontal="center" vertical="top"/>
    </xf>
    <xf applyAlignment="true" applyBorder="true" applyFill="false" applyFont="false" applyNumberFormat="true" borderId="8656" fillId="0" fontId="1" numFmtId="1000" quotePrefix="false">
      <alignment horizontal="center" vertical="top"/>
    </xf>
    <xf applyAlignment="true" applyBorder="true" applyFill="false" applyFont="false" applyNumberFormat="true" borderId="8657" fillId="0" fontId="1" numFmtId="1000" quotePrefix="false">
      <alignment horizontal="center" vertical="top"/>
    </xf>
    <xf applyAlignment="true" applyBorder="true" applyFill="false" applyFont="false" applyNumberFormat="true" borderId="8658" fillId="0" fontId="1" numFmtId="1000" quotePrefix="false">
      <alignment horizontal="center" vertical="top"/>
    </xf>
    <xf applyAlignment="true" applyBorder="true" applyFill="false" applyFont="false" applyNumberFormat="true" borderId="8659" fillId="0" fontId="1" numFmtId="1000" quotePrefix="false">
      <alignment horizontal="center" vertical="top"/>
    </xf>
    <xf applyAlignment="true" applyBorder="true" applyFill="false" applyFont="false" applyNumberFormat="true" borderId="8660" fillId="0" fontId="1" numFmtId="1000" quotePrefix="false">
      <alignment horizontal="center" vertical="top"/>
    </xf>
    <xf applyAlignment="true" applyBorder="true" applyFill="false" applyFont="false" applyNumberFormat="true" borderId="8661" fillId="0" fontId="1" numFmtId="1000" quotePrefix="false">
      <alignment horizontal="center" vertical="top"/>
    </xf>
    <xf applyAlignment="true" applyBorder="true" applyFill="false" applyFont="false" applyNumberFormat="true" borderId="8662" fillId="0" fontId="1" numFmtId="1000" quotePrefix="false">
      <alignment horizontal="center" vertical="top"/>
    </xf>
    <xf applyAlignment="true" applyBorder="true" applyFill="false" applyFont="false" applyNumberFormat="true" borderId="8663" fillId="0" fontId="1" numFmtId="1000" quotePrefix="false">
      <alignment horizontal="center" vertical="top"/>
    </xf>
    <xf applyAlignment="true" applyBorder="true" applyFill="false" applyFont="false" applyNumberFormat="true" borderId="8664" fillId="0" fontId="1" numFmtId="1000" quotePrefix="false">
      <alignment horizontal="center" vertical="top"/>
    </xf>
    <xf applyAlignment="true" applyBorder="true" applyFill="false" applyFont="false" applyNumberFormat="true" borderId="8665" fillId="0" fontId="1" numFmtId="1000" quotePrefix="false">
      <alignment horizontal="center" vertical="top"/>
    </xf>
    <xf applyAlignment="true" applyBorder="true" applyFill="false" applyFont="false" applyNumberFormat="true" borderId="8666" fillId="0" fontId="1" numFmtId="1000" quotePrefix="false">
      <alignment horizontal="center" vertical="top"/>
    </xf>
    <xf applyAlignment="true" applyBorder="true" applyFill="false" applyFont="false" applyNumberFormat="true" borderId="8667" fillId="0" fontId="1" numFmtId="1000" quotePrefix="false">
      <alignment horizontal="center" vertical="top"/>
    </xf>
    <xf applyAlignment="true" applyBorder="true" applyFill="false" applyFont="false" applyNumberFormat="true" borderId="8668" fillId="0" fontId="1" numFmtId="1000" quotePrefix="false">
      <alignment horizontal="center" vertical="top"/>
    </xf>
    <xf applyAlignment="true" applyBorder="true" applyFill="false" applyFont="false" applyNumberFormat="true" borderId="8669" fillId="0" fontId="1" numFmtId="1000" quotePrefix="false">
      <alignment horizontal="center" vertical="top"/>
    </xf>
    <xf applyAlignment="true" applyBorder="true" applyFill="false" applyFont="false" applyNumberFormat="true" borderId="8670" fillId="0" fontId="1" numFmtId="1000" quotePrefix="false">
      <alignment horizontal="center" vertical="top"/>
    </xf>
    <xf applyAlignment="true" applyBorder="true" applyFill="false" applyFont="false" applyNumberFormat="true" borderId="8671" fillId="0" fontId="1" numFmtId="1000" quotePrefix="false">
      <alignment horizontal="center" vertical="top"/>
    </xf>
    <xf applyAlignment="true" applyBorder="true" applyFill="false" applyFont="false" applyNumberFormat="true" borderId="8672" fillId="0" fontId="1" numFmtId="1000" quotePrefix="false">
      <alignment horizontal="center" vertical="top"/>
    </xf>
    <xf applyAlignment="true" applyBorder="true" applyFill="false" applyFont="false" applyNumberFormat="true" borderId="8673" fillId="0" fontId="1" numFmtId="1000" quotePrefix="false">
      <alignment horizontal="center" vertical="top"/>
    </xf>
    <xf applyAlignment="true" applyBorder="true" applyFill="false" applyFont="false" applyNumberFormat="true" borderId="8674" fillId="0" fontId="1" numFmtId="1000" quotePrefix="false">
      <alignment horizontal="center" vertical="top"/>
    </xf>
    <xf applyAlignment="true" applyBorder="true" applyFill="false" applyFont="false" applyNumberFormat="true" borderId="8675" fillId="0" fontId="1" numFmtId="1000" quotePrefix="false">
      <alignment horizontal="center" vertical="top"/>
    </xf>
    <xf applyAlignment="true" applyBorder="true" applyFill="false" applyFont="true" applyNumberFormat="true" borderId="8676" fillId="0" fontId="2" numFmtId="1000" quotePrefix="false">
      <alignment horizontal="center" vertical="top"/>
    </xf>
    <xf applyAlignment="true" applyBorder="true" applyFill="false" applyFont="false" applyNumberFormat="true" borderId="8677" fillId="0" fontId="1" numFmtId="1000" quotePrefix="false">
      <alignment horizontal="left" vertical="top"/>
    </xf>
    <xf applyAlignment="true" applyBorder="true" applyFill="false" applyFont="false" applyNumberFormat="true" borderId="8678" fillId="0" fontId="1" numFmtId="1000" quotePrefix="false">
      <alignment horizontal="left" vertical="top"/>
    </xf>
    <xf applyAlignment="true" applyBorder="true" applyFill="false" applyFont="false" applyNumberFormat="true" borderId="8679" fillId="0" fontId="1" numFmtId="1000" quotePrefix="false">
      <alignment horizontal="left" vertical="top"/>
    </xf>
    <xf applyAlignment="true" applyBorder="true" applyFill="false" applyFont="false" applyNumberFormat="true" borderId="8680" fillId="0" fontId="1" numFmtId="1000" quotePrefix="false">
      <alignment horizontal="left" vertical="top"/>
    </xf>
    <xf applyAlignment="true" applyBorder="true" applyFill="false" applyFont="false" applyNumberFormat="true" borderId="8681" fillId="0" fontId="1" numFmtId="1000" quotePrefix="false">
      <alignment horizontal="left" vertical="top"/>
    </xf>
    <xf applyAlignment="true" applyBorder="true" applyFill="false" applyFont="false" applyNumberFormat="true" borderId="8682" fillId="0" fontId="1" numFmtId="1000" quotePrefix="false">
      <alignment horizontal="left" vertical="top"/>
    </xf>
    <xf applyAlignment="true" applyBorder="true" applyFill="false" applyFont="false" applyNumberFormat="true" borderId="8683" fillId="0" fontId="1" numFmtId="1000" quotePrefix="false">
      <alignment horizontal="left" vertical="top"/>
    </xf>
    <xf applyAlignment="true" applyBorder="true" applyFill="false" applyFont="false" applyNumberFormat="true" borderId="8684" fillId="0" fontId="1" numFmtId="1000" quotePrefix="false">
      <alignment horizontal="left" vertical="top"/>
    </xf>
    <xf applyAlignment="true" applyBorder="true" applyFill="false" applyFont="false" applyNumberFormat="true" borderId="8685" fillId="0" fontId="1" numFmtId="1000" quotePrefix="false">
      <alignment horizontal="left" vertical="top"/>
    </xf>
    <xf applyAlignment="true" applyBorder="true" applyFill="false" applyFont="false" applyNumberFormat="true" borderId="8686" fillId="0" fontId="1" numFmtId="1000" quotePrefix="false">
      <alignment horizontal="left" vertical="top"/>
    </xf>
    <xf applyAlignment="true" applyBorder="true" applyFill="false" applyFont="false" applyNumberFormat="true" borderId="8687" fillId="0" fontId="1" numFmtId="1000" quotePrefix="false">
      <alignment horizontal="left" vertical="top"/>
    </xf>
    <xf applyAlignment="true" applyBorder="true" applyFill="false" applyFont="false" applyNumberFormat="true" borderId="8688" fillId="0" fontId="1" numFmtId="1000" quotePrefix="false">
      <alignment horizontal="left" vertical="top"/>
    </xf>
    <xf applyAlignment="true" applyBorder="true" applyFill="false" applyFont="false" applyNumberFormat="true" borderId="8689" fillId="0" fontId="1" numFmtId="1000" quotePrefix="false">
      <alignment horizontal="left" vertical="top"/>
    </xf>
    <xf applyAlignment="true" applyBorder="true" applyFill="false" applyFont="false" applyNumberFormat="true" borderId="8690" fillId="0" fontId="1" numFmtId="1000" quotePrefix="false">
      <alignment horizontal="left" vertical="top"/>
    </xf>
    <xf applyAlignment="true" applyBorder="true" applyFill="false" applyFont="false" applyNumberFormat="true" borderId="8691" fillId="0" fontId="1" numFmtId="1000" quotePrefix="false">
      <alignment horizontal="left" vertical="top"/>
    </xf>
    <xf applyAlignment="true" applyBorder="true" applyFill="false" applyFont="false" applyNumberFormat="true" borderId="8692" fillId="0" fontId="1" numFmtId="1000" quotePrefix="false">
      <alignment horizontal="left" vertical="top"/>
    </xf>
    <xf applyAlignment="true" applyBorder="true" applyFill="false" applyFont="false" applyNumberFormat="true" borderId="8693" fillId="0" fontId="1" numFmtId="1000" quotePrefix="false">
      <alignment horizontal="left" vertical="top"/>
    </xf>
    <xf applyAlignment="true" applyBorder="true" applyFill="false" applyFont="false" applyNumberFormat="true" borderId="8694" fillId="0" fontId="1" numFmtId="1000" quotePrefix="false">
      <alignment horizontal="left" vertical="top"/>
    </xf>
    <xf applyAlignment="true" applyBorder="true" applyFill="false" applyFont="false" applyNumberFormat="true" borderId="8695" fillId="0" fontId="1" numFmtId="1000" quotePrefix="false">
      <alignment horizontal="left" vertical="top"/>
    </xf>
    <xf applyAlignment="true" applyBorder="true" applyFill="false" applyFont="true" applyNumberFormat="true" borderId="8696" fillId="0" fontId="2" numFmtId="1001" quotePrefix="false">
      <alignment horizontal="center"/>
    </xf>
    <xf applyAlignment="true" applyBorder="true" applyFill="false" applyFont="true" applyNumberFormat="true" borderId="8697" fillId="0" fontId="2" numFmtId="1001" quotePrefix="false">
      <alignment horizontal="center"/>
    </xf>
    <xf applyAlignment="true" applyBorder="true" applyFill="false" applyFont="true" applyNumberFormat="true" borderId="8698" fillId="0" fontId="2" numFmtId="1001" quotePrefix="false">
      <alignment horizontal="center"/>
    </xf>
    <xf applyAlignment="true" applyBorder="true" applyFill="false" applyFont="false" applyNumberFormat="true" borderId="8699" fillId="0" fontId="1" numFmtId="1000" quotePrefix="false">
      <alignment horizontal="center" vertical="top"/>
    </xf>
    <xf applyAlignment="true" applyBorder="true" applyFill="false" applyFont="false" applyNumberFormat="true" borderId="8700" fillId="0" fontId="1" numFmtId="1000" quotePrefix="false">
      <alignment horizontal="center" vertical="top"/>
    </xf>
    <xf applyAlignment="true" applyBorder="true" applyFill="false" applyFont="false" applyNumberFormat="true" borderId="8701" fillId="0" fontId="1" numFmtId="1000" quotePrefix="false">
      <alignment horizontal="center" vertical="top"/>
    </xf>
    <xf applyAlignment="true" applyBorder="true" applyFill="false" applyFont="false" applyNumberFormat="true" borderId="8702" fillId="0" fontId="1" numFmtId="1000" quotePrefix="false">
      <alignment horizontal="center" vertical="top"/>
    </xf>
    <xf applyAlignment="true" applyBorder="true" applyFill="false" applyFont="false" applyNumberFormat="true" borderId="8703" fillId="0" fontId="1" numFmtId="1000" quotePrefix="false">
      <alignment horizontal="center" vertical="top"/>
    </xf>
    <xf applyAlignment="true" applyBorder="true" applyFill="false" applyFont="false" applyNumberFormat="true" borderId="8704" fillId="0" fontId="1" numFmtId="1000" quotePrefix="false">
      <alignment horizontal="center" vertical="top"/>
    </xf>
    <xf applyAlignment="true" applyBorder="true" applyFill="false" applyFont="false" applyNumberFormat="true" borderId="8705" fillId="0" fontId="1" numFmtId="1000" quotePrefix="false">
      <alignment horizontal="center" vertical="top"/>
    </xf>
    <xf applyAlignment="true" applyBorder="true" applyFill="false" applyFont="false" applyNumberFormat="true" borderId="8706" fillId="0" fontId="1" numFmtId="1000" quotePrefix="false">
      <alignment horizontal="center" vertical="top"/>
    </xf>
    <xf applyAlignment="true" applyBorder="true" applyFill="false" applyFont="false" applyNumberFormat="true" borderId="8707" fillId="0" fontId="1" numFmtId="1000" quotePrefix="false">
      <alignment horizontal="center" vertical="top"/>
    </xf>
    <xf applyAlignment="true" applyBorder="true" applyFill="false" applyFont="false" applyNumberFormat="true" borderId="8708" fillId="0" fontId="1" numFmtId="1000" quotePrefix="false">
      <alignment horizontal="center" vertical="top"/>
    </xf>
    <xf applyAlignment="true" applyBorder="true" applyFill="false" applyFont="false" applyNumberFormat="true" borderId="8709" fillId="0" fontId="1" numFmtId="1000" quotePrefix="false">
      <alignment horizontal="center" vertical="top"/>
    </xf>
    <xf applyAlignment="true" applyBorder="true" applyFill="false" applyFont="false" applyNumberFormat="true" borderId="8710" fillId="0" fontId="1" numFmtId="1000" quotePrefix="false">
      <alignment horizontal="center" vertical="top"/>
    </xf>
    <xf applyAlignment="true" applyBorder="true" applyFill="false" applyFont="false" applyNumberFormat="true" borderId="8711" fillId="0" fontId="1" numFmtId="1000" quotePrefix="false">
      <alignment horizontal="center" vertical="top"/>
    </xf>
    <xf applyAlignment="true" applyBorder="true" applyFill="false" applyFont="false" applyNumberFormat="true" borderId="8712" fillId="0" fontId="1" numFmtId="1000" quotePrefix="false">
      <alignment horizontal="center" vertical="top"/>
    </xf>
    <xf applyAlignment="true" applyBorder="true" applyFill="false" applyFont="false" applyNumberFormat="true" borderId="8713" fillId="0" fontId="1" numFmtId="1000" quotePrefix="false">
      <alignment horizontal="center" vertical="top"/>
    </xf>
    <xf applyAlignment="true" applyBorder="true" applyFill="false" applyFont="false" applyNumberFormat="true" borderId="8714" fillId="0" fontId="1" numFmtId="1000" quotePrefix="false">
      <alignment horizontal="center" vertical="top"/>
    </xf>
    <xf applyAlignment="true" applyBorder="true" applyFill="false" applyFont="false" applyNumberFormat="true" borderId="8715" fillId="0" fontId="1" numFmtId="1000" quotePrefix="false">
      <alignment horizontal="center" vertical="top"/>
    </xf>
    <xf applyAlignment="true" applyBorder="true" applyFill="false" applyFont="false" applyNumberFormat="true" borderId="8716" fillId="0" fontId="1" numFmtId="1000" quotePrefix="false">
      <alignment horizontal="center" vertical="top"/>
    </xf>
    <xf applyAlignment="true" applyBorder="true" applyFill="false" applyFont="false" applyNumberFormat="true" borderId="8717" fillId="0" fontId="1" numFmtId="1000" quotePrefix="false">
      <alignment horizontal="center" vertical="top"/>
    </xf>
    <xf applyAlignment="true" applyBorder="true" applyFill="false" applyFont="false" applyNumberFormat="true" borderId="8718" fillId="0" fontId="1" numFmtId="1000" quotePrefix="false">
      <alignment horizontal="center" vertical="top"/>
    </xf>
    <xf applyAlignment="true" applyBorder="true" applyFill="false" applyFont="false" applyNumberFormat="true" borderId="8719" fillId="0" fontId="1" numFmtId="1000" quotePrefix="false">
      <alignment horizontal="center" vertical="top"/>
    </xf>
    <xf applyAlignment="true" applyBorder="true" applyFill="false" applyFont="false" applyNumberFormat="true" borderId="8720" fillId="0" fontId="1" numFmtId="1000" quotePrefix="false">
      <alignment horizontal="center" vertical="top"/>
    </xf>
    <xf applyAlignment="true" applyBorder="true" applyFill="false" applyFont="false" applyNumberFormat="true" borderId="8721" fillId="0" fontId="1" numFmtId="1000" quotePrefix="false">
      <alignment horizontal="center" vertical="top"/>
    </xf>
    <xf applyAlignment="true" applyBorder="true" applyFill="false" applyFont="false" applyNumberFormat="true" borderId="8722" fillId="0" fontId="1" numFmtId="1000" quotePrefix="false">
      <alignment horizontal="center" vertical="top"/>
    </xf>
    <xf applyAlignment="true" applyBorder="true" applyFill="false" applyFont="false" applyNumberFormat="true" borderId="8723" fillId="0" fontId="1" numFmtId="1000" quotePrefix="false">
      <alignment horizontal="center" vertical="top"/>
    </xf>
    <xf applyAlignment="true" applyBorder="true" applyFill="false" applyFont="false" applyNumberFormat="true" borderId="8724" fillId="0" fontId="1" numFmtId="1000" quotePrefix="false">
      <alignment horizontal="center" vertical="top"/>
    </xf>
    <xf applyAlignment="true" applyBorder="true" applyFill="false" applyFont="false" applyNumberFormat="true" borderId="8725" fillId="0" fontId="1" numFmtId="1000" quotePrefix="false">
      <alignment horizontal="center" vertical="top"/>
    </xf>
    <xf applyAlignment="true" applyBorder="true" applyFill="false" applyFont="false" applyNumberFormat="true" borderId="8726" fillId="0" fontId="1" numFmtId="1000" quotePrefix="false">
      <alignment horizontal="center" vertical="top"/>
    </xf>
    <xf applyAlignment="true" applyBorder="true" applyFill="false" applyFont="false" applyNumberFormat="true" borderId="8727" fillId="0" fontId="1" numFmtId="1000" quotePrefix="false">
      <alignment horizontal="center" vertical="top"/>
    </xf>
    <xf applyAlignment="true" applyBorder="true" applyFill="false" applyFont="false" applyNumberFormat="true" borderId="8728" fillId="0" fontId="1" numFmtId="1000" quotePrefix="false">
      <alignment horizontal="center" vertical="top"/>
    </xf>
    <xf applyAlignment="true" applyBorder="true" applyFill="false" applyFont="false" applyNumberFormat="true" borderId="8729" fillId="0" fontId="1" numFmtId="1000" quotePrefix="false">
      <alignment horizontal="center" vertical="top"/>
    </xf>
    <xf applyAlignment="true" applyBorder="true" applyFill="false" applyFont="false" applyNumberFormat="true" borderId="8730" fillId="0" fontId="1" numFmtId="1000" quotePrefix="false">
      <alignment horizontal="center" vertical="top"/>
    </xf>
    <xf applyAlignment="true" applyBorder="true" applyFill="false" applyFont="false" applyNumberFormat="true" borderId="8731" fillId="0" fontId="1" numFmtId="1000" quotePrefix="false">
      <alignment horizontal="center" vertical="top"/>
    </xf>
    <xf applyAlignment="true" applyBorder="true" applyFill="false" applyFont="true" applyNumberFormat="true" borderId="8732" fillId="0" fontId="2" numFmtId="1000" quotePrefix="false">
      <alignment horizontal="center" vertical="top"/>
    </xf>
    <xf applyAlignment="true" applyBorder="true" applyFill="false" applyFont="false" applyNumberFormat="true" borderId="8733" fillId="0" fontId="1" numFmtId="1000" quotePrefix="false">
      <alignment horizontal="left" vertical="top"/>
    </xf>
    <xf applyAlignment="true" applyBorder="true" applyFill="false" applyFont="false" applyNumberFormat="true" borderId="8734" fillId="0" fontId="1" numFmtId="1000" quotePrefix="false">
      <alignment horizontal="left" vertical="top"/>
    </xf>
    <xf applyAlignment="true" applyBorder="true" applyFill="false" applyFont="false" applyNumberFormat="true" borderId="8735" fillId="0" fontId="1" numFmtId="1000" quotePrefix="false">
      <alignment horizontal="left" vertical="top"/>
    </xf>
    <xf applyAlignment="true" applyBorder="true" applyFill="false" applyFont="false" applyNumberFormat="true" borderId="8736" fillId="0" fontId="1" numFmtId="1000" quotePrefix="false">
      <alignment horizontal="left" vertical="top"/>
    </xf>
    <xf applyAlignment="true" applyBorder="true" applyFill="false" applyFont="false" applyNumberFormat="true" borderId="8737" fillId="0" fontId="1" numFmtId="1000" quotePrefix="false">
      <alignment horizontal="left" vertical="top"/>
    </xf>
    <xf applyAlignment="true" applyBorder="true" applyFill="false" applyFont="false" applyNumberFormat="true" borderId="8738" fillId="0" fontId="1" numFmtId="1000" quotePrefix="false">
      <alignment horizontal="left" vertical="top"/>
    </xf>
    <xf applyAlignment="true" applyBorder="true" applyFill="false" applyFont="false" applyNumberFormat="true" borderId="8739" fillId="0" fontId="1" numFmtId="1000" quotePrefix="false">
      <alignment horizontal="left" vertical="top"/>
    </xf>
    <xf applyAlignment="true" applyBorder="true" applyFill="false" applyFont="false" applyNumberFormat="true" borderId="8740" fillId="0" fontId="1" numFmtId="1000" quotePrefix="false">
      <alignment horizontal="left" vertical="top"/>
    </xf>
    <xf applyAlignment="true" applyBorder="true" applyFill="false" applyFont="false" applyNumberFormat="true" borderId="8741" fillId="0" fontId="1" numFmtId="1000" quotePrefix="false">
      <alignment horizontal="left" vertical="top"/>
    </xf>
    <xf applyAlignment="true" applyBorder="true" applyFill="false" applyFont="false" applyNumberFormat="true" borderId="8742" fillId="0" fontId="1" numFmtId="1000" quotePrefix="false">
      <alignment horizontal="left" vertical="top"/>
    </xf>
    <xf applyAlignment="true" applyBorder="true" applyFill="false" applyFont="false" applyNumberFormat="true" borderId="8743" fillId="0" fontId="1" numFmtId="1000" quotePrefix="false">
      <alignment horizontal="left" vertical="top"/>
    </xf>
    <xf applyAlignment="true" applyBorder="true" applyFill="false" applyFont="false" applyNumberFormat="true" borderId="8744" fillId="0" fontId="1" numFmtId="1000" quotePrefix="false">
      <alignment horizontal="left" vertical="top"/>
    </xf>
    <xf applyAlignment="true" applyBorder="true" applyFill="false" applyFont="false" applyNumberFormat="true" borderId="8745" fillId="0" fontId="1" numFmtId="1000" quotePrefix="false">
      <alignment horizontal="left" vertical="top"/>
    </xf>
    <xf applyAlignment="true" applyBorder="true" applyFill="false" applyFont="false" applyNumberFormat="true" borderId="8746" fillId="0" fontId="1" numFmtId="1000" quotePrefix="false">
      <alignment horizontal="left" vertical="top"/>
    </xf>
    <xf applyAlignment="true" applyBorder="true" applyFill="false" applyFont="false" applyNumberFormat="true" borderId="8747" fillId="0" fontId="1" numFmtId="1000" quotePrefix="false">
      <alignment horizontal="left" vertical="top"/>
    </xf>
    <xf applyAlignment="true" applyBorder="true" applyFill="false" applyFont="false" applyNumberFormat="true" borderId="8748" fillId="0" fontId="1" numFmtId="1000" quotePrefix="false">
      <alignment horizontal="left" vertical="top"/>
    </xf>
    <xf applyAlignment="true" applyBorder="true" applyFill="false" applyFont="false" applyNumberFormat="true" borderId="8749" fillId="0" fontId="1" numFmtId="1000" quotePrefix="false">
      <alignment horizontal="left" vertical="top"/>
    </xf>
    <xf applyAlignment="true" applyBorder="true" applyFill="false" applyFont="false" applyNumberFormat="true" borderId="8750" fillId="0" fontId="1" numFmtId="1000" quotePrefix="false">
      <alignment horizontal="left" vertical="top"/>
    </xf>
    <xf applyAlignment="true" applyBorder="true" applyFill="false" applyFont="false" applyNumberFormat="true" borderId="8751" fillId="0" fontId="1" numFmtId="1000" quotePrefix="false">
      <alignment horizontal="left" vertical="top"/>
    </xf>
    <xf applyAlignment="true" applyBorder="true" applyFill="false" applyFont="true" applyNumberFormat="true" borderId="8752" fillId="0" fontId="2" numFmtId="1001" quotePrefix="false">
      <alignment horizontal="center"/>
    </xf>
    <xf applyAlignment="true" applyBorder="true" applyFill="false" applyFont="true" applyNumberFormat="true" borderId="8753" fillId="0" fontId="2" numFmtId="1001" quotePrefix="false">
      <alignment horizontal="center"/>
    </xf>
    <xf applyAlignment="true" applyBorder="true" applyFill="false" applyFont="true" applyNumberFormat="true" borderId="8754" fillId="0" fontId="2" numFmtId="1001" quotePrefix="false">
      <alignment horizontal="center"/>
    </xf>
    <xf applyAlignment="true" applyBorder="true" applyFill="false" applyFont="false" applyNumberFormat="true" borderId="8755" fillId="0" fontId="1" numFmtId="1000" quotePrefix="false">
      <alignment horizontal="center" vertical="top"/>
    </xf>
    <xf applyAlignment="true" applyBorder="true" applyFill="false" applyFont="false" applyNumberFormat="true" borderId="8756" fillId="0" fontId="1" numFmtId="1000" quotePrefix="false">
      <alignment horizontal="center" vertical="top"/>
    </xf>
    <xf applyAlignment="true" applyBorder="true" applyFill="false" applyFont="false" applyNumberFormat="true" borderId="8757" fillId="0" fontId="1" numFmtId="1000" quotePrefix="false">
      <alignment horizontal="center" vertical="top"/>
    </xf>
    <xf applyAlignment="true" applyBorder="true" applyFill="false" applyFont="false" applyNumberFormat="true" borderId="8758" fillId="0" fontId="1" numFmtId="1000" quotePrefix="false">
      <alignment horizontal="center" vertical="top"/>
    </xf>
    <xf applyAlignment="true" applyBorder="true" applyFill="false" applyFont="false" applyNumberFormat="true" borderId="8759" fillId="0" fontId="1" numFmtId="1000" quotePrefix="false">
      <alignment horizontal="center" vertical="top"/>
    </xf>
    <xf applyAlignment="true" applyBorder="true" applyFill="false" applyFont="false" applyNumberFormat="true" borderId="8760" fillId="0" fontId="1" numFmtId="1000" quotePrefix="false">
      <alignment horizontal="center" vertical="top"/>
    </xf>
    <xf applyAlignment="true" applyBorder="true" applyFill="false" applyFont="false" applyNumberFormat="true" borderId="8761" fillId="0" fontId="1" numFmtId="1000" quotePrefix="false">
      <alignment horizontal="center" vertical="top"/>
    </xf>
    <xf applyAlignment="true" applyBorder="true" applyFill="false" applyFont="false" applyNumberFormat="true" borderId="8762" fillId="0" fontId="1" numFmtId="1000" quotePrefix="false">
      <alignment horizontal="center" vertical="top"/>
    </xf>
    <xf applyAlignment="true" applyBorder="true" applyFill="false" applyFont="false" applyNumberFormat="true" borderId="8763" fillId="0" fontId="1" numFmtId="1000" quotePrefix="false">
      <alignment horizontal="center" vertical="top"/>
    </xf>
    <xf applyAlignment="true" applyBorder="true" applyFill="false" applyFont="false" applyNumberFormat="true" borderId="8764" fillId="0" fontId="1" numFmtId="1000" quotePrefix="false">
      <alignment horizontal="center" vertical="top"/>
    </xf>
    <xf applyAlignment="true" applyBorder="true" applyFill="false" applyFont="false" applyNumberFormat="true" borderId="8765" fillId="0" fontId="1" numFmtId="1000" quotePrefix="false">
      <alignment horizontal="center" vertical="top"/>
    </xf>
    <xf applyAlignment="true" applyBorder="true" applyFill="false" applyFont="false" applyNumberFormat="true" borderId="8766" fillId="0" fontId="1" numFmtId="1000" quotePrefix="false">
      <alignment horizontal="center" vertical="top"/>
    </xf>
    <xf applyAlignment="true" applyBorder="true" applyFill="false" applyFont="false" applyNumberFormat="true" borderId="8767" fillId="0" fontId="1" numFmtId="1000" quotePrefix="false">
      <alignment horizontal="center" vertical="top"/>
    </xf>
    <xf applyAlignment="true" applyBorder="true" applyFill="false" applyFont="false" applyNumberFormat="true" borderId="8768" fillId="0" fontId="1" numFmtId="1000" quotePrefix="false">
      <alignment horizontal="center" vertical="top"/>
    </xf>
    <xf applyAlignment="true" applyBorder="true" applyFill="false" applyFont="false" applyNumberFormat="true" borderId="8769" fillId="0" fontId="1" numFmtId="1000" quotePrefix="false">
      <alignment horizontal="center" vertical="top"/>
    </xf>
    <xf applyAlignment="true" applyBorder="true" applyFill="false" applyFont="false" applyNumberFormat="true" borderId="8770" fillId="0" fontId="1" numFmtId="1000" quotePrefix="false">
      <alignment horizontal="center" vertical="top"/>
    </xf>
    <xf applyAlignment="true" applyBorder="true" applyFill="false" applyFont="false" applyNumberFormat="true" borderId="8771" fillId="0" fontId="1" numFmtId="1000" quotePrefix="false">
      <alignment horizontal="center" vertical="top"/>
    </xf>
    <xf applyAlignment="true" applyBorder="true" applyFill="false" applyFont="false" applyNumberFormat="true" borderId="8772" fillId="0" fontId="1" numFmtId="1000" quotePrefix="false">
      <alignment horizontal="center" vertical="top"/>
    </xf>
    <xf applyAlignment="true" applyBorder="true" applyFill="false" applyFont="false" applyNumberFormat="true" borderId="8773" fillId="0" fontId="1" numFmtId="1000" quotePrefix="false">
      <alignment horizontal="center" vertical="top"/>
    </xf>
    <xf applyAlignment="true" applyBorder="true" applyFill="false" applyFont="false" applyNumberFormat="true" borderId="8774" fillId="0" fontId="1" numFmtId="1000" quotePrefix="false">
      <alignment horizontal="center" vertical="top"/>
    </xf>
    <xf applyAlignment="true" applyBorder="true" applyFill="false" applyFont="false" applyNumberFormat="true" borderId="8775" fillId="0" fontId="1" numFmtId="1000" quotePrefix="false">
      <alignment horizontal="center" vertical="top"/>
    </xf>
    <xf applyAlignment="true" applyBorder="true" applyFill="false" applyFont="false" applyNumberFormat="true" borderId="8776" fillId="0" fontId="1" numFmtId="1000" quotePrefix="false">
      <alignment horizontal="center" vertical="top"/>
    </xf>
    <xf applyAlignment="true" applyBorder="true" applyFill="false" applyFont="false" applyNumberFormat="true" borderId="8777" fillId="0" fontId="1" numFmtId="1000" quotePrefix="false">
      <alignment horizontal="center" vertical="top"/>
    </xf>
    <xf applyAlignment="true" applyBorder="true" applyFill="false" applyFont="false" applyNumberFormat="true" borderId="8778" fillId="0" fontId="1" numFmtId="1000" quotePrefix="false">
      <alignment horizontal="center" vertical="top"/>
    </xf>
    <xf applyAlignment="true" applyBorder="true" applyFill="false" applyFont="false" applyNumberFormat="true" borderId="8779" fillId="0" fontId="1" numFmtId="1000" quotePrefix="false">
      <alignment horizontal="center" vertical="top"/>
    </xf>
    <xf applyAlignment="true" applyBorder="true" applyFill="false" applyFont="false" applyNumberFormat="true" borderId="8780" fillId="0" fontId="1" numFmtId="1000" quotePrefix="false">
      <alignment horizontal="center" vertical="top"/>
    </xf>
    <xf applyAlignment="true" applyBorder="true" applyFill="false" applyFont="false" applyNumberFormat="true" borderId="8781" fillId="0" fontId="1" numFmtId="1000" quotePrefix="false">
      <alignment horizontal="center" vertical="top"/>
    </xf>
    <xf applyAlignment="true" applyBorder="true" applyFill="false" applyFont="false" applyNumberFormat="true" borderId="8782" fillId="0" fontId="1" numFmtId="1000" quotePrefix="false">
      <alignment horizontal="center" vertical="top"/>
    </xf>
    <xf applyAlignment="true" applyBorder="true" applyFill="false" applyFont="false" applyNumberFormat="true" borderId="8783" fillId="0" fontId="1" numFmtId="1000" quotePrefix="false">
      <alignment horizontal="center" vertical="top"/>
    </xf>
    <xf applyAlignment="true" applyBorder="true" applyFill="false" applyFont="false" applyNumberFormat="true" borderId="8784" fillId="0" fontId="1" numFmtId="1000" quotePrefix="false">
      <alignment horizontal="center" vertical="top"/>
    </xf>
    <xf applyAlignment="true" applyBorder="true" applyFill="false" applyFont="false" applyNumberFormat="true" borderId="8785" fillId="0" fontId="1" numFmtId="1000" quotePrefix="false">
      <alignment horizontal="center" vertical="top"/>
    </xf>
    <xf applyAlignment="true" applyBorder="true" applyFill="false" applyFont="false" applyNumberFormat="true" borderId="8786" fillId="0" fontId="1" numFmtId="1000" quotePrefix="false">
      <alignment horizontal="center" vertical="top"/>
    </xf>
    <xf applyAlignment="true" applyBorder="true" applyFill="false" applyFont="false" applyNumberFormat="true" borderId="8787" fillId="0" fontId="1" numFmtId="1000" quotePrefix="false">
      <alignment horizontal="center" vertical="top"/>
    </xf>
    <xf applyAlignment="true" applyBorder="true" applyFill="false" applyFont="true" applyNumberFormat="true" borderId="8788" fillId="0" fontId="2" numFmtId="1000" quotePrefix="false">
      <alignment horizontal="center" vertical="top"/>
    </xf>
    <xf applyAlignment="true" applyBorder="true" applyFill="false" applyFont="false" applyNumberFormat="true" borderId="8789" fillId="0" fontId="1" numFmtId="1000" quotePrefix="false">
      <alignment horizontal="left" vertical="top"/>
    </xf>
    <xf applyAlignment="true" applyBorder="true" applyFill="false" applyFont="false" applyNumberFormat="true" borderId="8790" fillId="0" fontId="1" numFmtId="1000" quotePrefix="false">
      <alignment horizontal="left" vertical="top"/>
    </xf>
    <xf applyAlignment="true" applyBorder="true" applyFill="false" applyFont="false" applyNumberFormat="true" borderId="8791" fillId="0" fontId="1" numFmtId="1000" quotePrefix="false">
      <alignment horizontal="left" vertical="top"/>
    </xf>
    <xf applyAlignment="true" applyBorder="true" applyFill="false" applyFont="false" applyNumberFormat="true" borderId="8792" fillId="0" fontId="1" numFmtId="1000" quotePrefix="false">
      <alignment horizontal="left" vertical="top"/>
    </xf>
    <xf applyAlignment="true" applyBorder="true" applyFill="false" applyFont="false" applyNumberFormat="true" borderId="8793" fillId="0" fontId="1" numFmtId="1000" quotePrefix="false">
      <alignment horizontal="left" vertical="top"/>
    </xf>
    <xf applyAlignment="true" applyBorder="true" applyFill="false" applyFont="false" applyNumberFormat="true" borderId="8794" fillId="0" fontId="1" numFmtId="1000" quotePrefix="false">
      <alignment horizontal="left" vertical="top"/>
    </xf>
    <xf applyAlignment="true" applyBorder="true" applyFill="false" applyFont="false" applyNumberFormat="true" borderId="8795" fillId="0" fontId="1" numFmtId="1000" quotePrefix="false">
      <alignment horizontal="left" vertical="top"/>
    </xf>
    <xf applyAlignment="true" applyBorder="true" applyFill="false" applyFont="false" applyNumberFormat="true" borderId="8796" fillId="0" fontId="1" numFmtId="1000" quotePrefix="false">
      <alignment horizontal="left" vertical="top"/>
    </xf>
    <xf applyAlignment="true" applyBorder="true" applyFill="false" applyFont="false" applyNumberFormat="true" borderId="8797" fillId="0" fontId="1" numFmtId="1000" quotePrefix="false">
      <alignment horizontal="left" vertical="top"/>
    </xf>
    <xf applyAlignment="true" applyBorder="true" applyFill="false" applyFont="false" applyNumberFormat="true" borderId="8798" fillId="0" fontId="1" numFmtId="1000" quotePrefix="false">
      <alignment horizontal="left" vertical="top"/>
    </xf>
    <xf applyAlignment="true" applyBorder="true" applyFill="false" applyFont="false" applyNumberFormat="true" borderId="8799" fillId="0" fontId="1" numFmtId="1000" quotePrefix="false">
      <alignment horizontal="left" vertical="top"/>
    </xf>
    <xf applyAlignment="true" applyBorder="true" applyFill="false" applyFont="false" applyNumberFormat="true" borderId="8800" fillId="0" fontId="1" numFmtId="1000" quotePrefix="false">
      <alignment horizontal="left" vertical="top"/>
    </xf>
    <xf applyAlignment="true" applyBorder="true" applyFill="false" applyFont="false" applyNumberFormat="true" borderId="8801" fillId="0" fontId="1" numFmtId="1000" quotePrefix="false">
      <alignment horizontal="left" vertical="top"/>
    </xf>
    <xf applyAlignment="true" applyBorder="true" applyFill="false" applyFont="false" applyNumberFormat="true" borderId="8802" fillId="0" fontId="1" numFmtId="1000" quotePrefix="false">
      <alignment horizontal="left" vertical="top"/>
    </xf>
    <xf applyAlignment="true" applyBorder="true" applyFill="false" applyFont="false" applyNumberFormat="true" borderId="8803" fillId="0" fontId="1" numFmtId="1000" quotePrefix="false">
      <alignment horizontal="left" vertical="top"/>
    </xf>
    <xf applyAlignment="true" applyBorder="true" applyFill="false" applyFont="false" applyNumberFormat="true" borderId="8804" fillId="0" fontId="1" numFmtId="1000" quotePrefix="false">
      <alignment horizontal="left" vertical="top"/>
    </xf>
    <xf applyAlignment="true" applyBorder="true" applyFill="false" applyFont="false" applyNumberFormat="true" borderId="8805" fillId="0" fontId="1" numFmtId="1000" quotePrefix="false">
      <alignment horizontal="left" vertical="top"/>
    </xf>
    <xf applyAlignment="true" applyBorder="true" applyFill="false" applyFont="false" applyNumberFormat="true" borderId="8806" fillId="0" fontId="1" numFmtId="1000" quotePrefix="false">
      <alignment horizontal="left" vertical="top"/>
    </xf>
    <xf applyAlignment="true" applyBorder="true" applyFill="false" applyFont="false" applyNumberFormat="true" borderId="8807" fillId="0" fontId="1" numFmtId="1000" quotePrefix="false">
      <alignment horizontal="left" vertical="top"/>
    </xf>
    <xf applyAlignment="true" applyBorder="true" applyFill="false" applyFont="true" applyNumberFormat="true" borderId="8808" fillId="0" fontId="2" numFmtId="1001" quotePrefix="false">
      <alignment horizontal="center"/>
    </xf>
    <xf applyAlignment="true" applyBorder="true" applyFill="false" applyFont="true" applyNumberFormat="true" borderId="8809" fillId="0" fontId="2" numFmtId="1001" quotePrefix="false">
      <alignment horizontal="center"/>
    </xf>
    <xf applyAlignment="true" applyBorder="true" applyFill="false" applyFont="true" applyNumberFormat="true" borderId="8810" fillId="0" fontId="2" numFmtId="1001" quotePrefix="false">
      <alignment horizontal="center"/>
    </xf>
    <xf applyAlignment="true" applyBorder="true" applyFill="false" applyFont="false" applyNumberFormat="true" borderId="8811" fillId="0" fontId="1" numFmtId="1000" quotePrefix="false">
      <alignment horizontal="center" vertical="top"/>
    </xf>
    <xf applyAlignment="true" applyBorder="true" applyFill="false" applyFont="false" applyNumberFormat="true" borderId="8812" fillId="0" fontId="1" numFmtId="1000" quotePrefix="false">
      <alignment horizontal="center" vertical="top"/>
    </xf>
    <xf applyAlignment="true" applyBorder="true" applyFill="false" applyFont="false" applyNumberFormat="true" borderId="8813" fillId="0" fontId="1" numFmtId="1000" quotePrefix="false">
      <alignment horizontal="center" vertical="top"/>
    </xf>
    <xf applyAlignment="true" applyBorder="true" applyFill="false" applyFont="false" applyNumberFormat="true" borderId="8814" fillId="0" fontId="1" numFmtId="1000" quotePrefix="false">
      <alignment horizontal="center" vertical="top"/>
    </xf>
    <xf applyAlignment="true" applyBorder="true" applyFill="false" applyFont="false" applyNumberFormat="true" borderId="8815" fillId="0" fontId="1" numFmtId="1000" quotePrefix="false">
      <alignment horizontal="center" vertical="top"/>
    </xf>
    <xf applyAlignment="true" applyBorder="true" applyFill="false" applyFont="false" applyNumberFormat="true" borderId="8816" fillId="0" fontId="1" numFmtId="1000" quotePrefix="false">
      <alignment horizontal="center" vertical="top"/>
    </xf>
    <xf applyAlignment="true" applyBorder="true" applyFill="false" applyFont="false" applyNumberFormat="true" borderId="8817" fillId="0" fontId="1" numFmtId="1000" quotePrefix="false">
      <alignment horizontal="center" vertical="top"/>
    </xf>
    <xf applyAlignment="true" applyBorder="true" applyFill="false" applyFont="false" applyNumberFormat="true" borderId="8818" fillId="0" fontId="1" numFmtId="1000" quotePrefix="false">
      <alignment horizontal="center" vertical="top"/>
    </xf>
    <xf applyAlignment="true" applyBorder="true" applyFill="false" applyFont="false" applyNumberFormat="true" borderId="8819" fillId="0" fontId="1" numFmtId="1000" quotePrefix="false">
      <alignment horizontal="center" vertical="top"/>
    </xf>
    <xf applyAlignment="true" applyBorder="true" applyFill="false" applyFont="false" applyNumberFormat="true" borderId="8820" fillId="0" fontId="1" numFmtId="1000" quotePrefix="false">
      <alignment horizontal="center" vertical="top"/>
    </xf>
    <xf applyAlignment="true" applyBorder="true" applyFill="false" applyFont="false" applyNumberFormat="true" borderId="8821" fillId="0" fontId="1" numFmtId="1000" quotePrefix="false">
      <alignment horizontal="center" vertical="top"/>
    </xf>
    <xf applyAlignment="true" applyBorder="true" applyFill="false" applyFont="false" applyNumberFormat="true" borderId="8822" fillId="0" fontId="1" numFmtId="1000" quotePrefix="false">
      <alignment horizontal="center" vertical="top"/>
    </xf>
    <xf applyAlignment="true" applyBorder="true" applyFill="false" applyFont="false" applyNumberFormat="true" borderId="8823" fillId="0" fontId="1" numFmtId="1000" quotePrefix="false">
      <alignment horizontal="center" vertical="top"/>
    </xf>
    <xf applyAlignment="true" applyBorder="true" applyFill="false" applyFont="false" applyNumberFormat="true" borderId="8824" fillId="0" fontId="1" numFmtId="1000" quotePrefix="false">
      <alignment horizontal="center" vertical="top"/>
    </xf>
    <xf applyAlignment="true" applyBorder="true" applyFill="false" applyFont="false" applyNumberFormat="true" borderId="8825" fillId="0" fontId="1" numFmtId="1000" quotePrefix="false">
      <alignment horizontal="center" vertical="top"/>
    </xf>
    <xf applyAlignment="true" applyBorder="true" applyFill="false" applyFont="false" applyNumberFormat="true" borderId="8826" fillId="0" fontId="1" numFmtId="1000" quotePrefix="false">
      <alignment horizontal="center" vertical="top"/>
    </xf>
    <xf applyAlignment="true" applyBorder="true" applyFill="false" applyFont="false" applyNumberFormat="true" borderId="8827" fillId="0" fontId="1" numFmtId="1000" quotePrefix="false">
      <alignment horizontal="center" vertical="top"/>
    </xf>
    <xf applyAlignment="true" applyBorder="true" applyFill="false" applyFont="false" applyNumberFormat="true" borderId="8828" fillId="0" fontId="1" numFmtId="1000" quotePrefix="false">
      <alignment horizontal="center" vertical="top"/>
    </xf>
    <xf applyAlignment="true" applyBorder="true" applyFill="false" applyFont="false" applyNumberFormat="true" borderId="8829" fillId="0" fontId="1" numFmtId="1000" quotePrefix="false">
      <alignment horizontal="center" vertical="top"/>
    </xf>
    <xf applyAlignment="true" applyBorder="true" applyFill="false" applyFont="false" applyNumberFormat="true" borderId="8830" fillId="0" fontId="1" numFmtId="1000" quotePrefix="false">
      <alignment horizontal="center" vertical="top"/>
    </xf>
    <xf applyAlignment="true" applyBorder="true" applyFill="false" applyFont="false" applyNumberFormat="true" borderId="8831" fillId="0" fontId="1" numFmtId="1000" quotePrefix="false">
      <alignment horizontal="center" vertical="top"/>
    </xf>
    <xf applyAlignment="true" applyBorder="true" applyFill="false" applyFont="false" applyNumberFormat="true" borderId="8832" fillId="0" fontId="1" numFmtId="1000" quotePrefix="false">
      <alignment horizontal="center" vertical="top"/>
    </xf>
    <xf applyAlignment="true" applyBorder="true" applyFill="false" applyFont="false" applyNumberFormat="true" borderId="8833" fillId="0" fontId="1" numFmtId="1000" quotePrefix="false">
      <alignment horizontal="center" vertical="top"/>
    </xf>
    <xf applyAlignment="true" applyBorder="true" applyFill="false" applyFont="false" applyNumberFormat="true" borderId="8834" fillId="0" fontId="1" numFmtId="1000" quotePrefix="false">
      <alignment horizontal="center" vertical="top"/>
    </xf>
    <xf applyAlignment="true" applyBorder="true" applyFill="false" applyFont="false" applyNumberFormat="true" borderId="8835" fillId="0" fontId="1" numFmtId="1000" quotePrefix="false">
      <alignment horizontal="center" vertical="top"/>
    </xf>
    <xf applyAlignment="true" applyBorder="true" applyFill="false" applyFont="false" applyNumberFormat="true" borderId="8836" fillId="0" fontId="1" numFmtId="1000" quotePrefix="false">
      <alignment horizontal="center" vertical="top"/>
    </xf>
    <xf applyAlignment="true" applyBorder="true" applyFill="false" applyFont="false" applyNumberFormat="true" borderId="8837" fillId="0" fontId="1" numFmtId="1000" quotePrefix="false">
      <alignment horizontal="center" vertical="top"/>
    </xf>
    <xf applyAlignment="true" applyBorder="true" applyFill="false" applyFont="false" applyNumberFormat="true" borderId="8838" fillId="0" fontId="1" numFmtId="1000" quotePrefix="false">
      <alignment horizontal="center" vertical="top"/>
    </xf>
    <xf applyAlignment="true" applyBorder="true" applyFill="false" applyFont="false" applyNumberFormat="true" borderId="8839" fillId="0" fontId="1" numFmtId="1000" quotePrefix="false">
      <alignment horizontal="center" vertical="top"/>
    </xf>
    <xf applyAlignment="true" applyBorder="true" applyFill="false" applyFont="false" applyNumberFormat="true" borderId="8840" fillId="0" fontId="1" numFmtId="1000" quotePrefix="false">
      <alignment horizontal="center" vertical="top"/>
    </xf>
    <xf applyAlignment="true" applyBorder="true" applyFill="false" applyFont="false" applyNumberFormat="true" borderId="8841" fillId="0" fontId="1" numFmtId="1000" quotePrefix="false">
      <alignment horizontal="center" vertical="top"/>
    </xf>
    <xf applyAlignment="true" applyBorder="true" applyFill="false" applyFont="false" applyNumberFormat="true" borderId="8842" fillId="0" fontId="1" numFmtId="1000" quotePrefix="false">
      <alignment horizontal="center" vertical="top"/>
    </xf>
    <xf applyAlignment="true" applyBorder="true" applyFill="false" applyFont="false" applyNumberFormat="true" borderId="8843" fillId="0" fontId="1" numFmtId="1000" quotePrefix="false">
      <alignment horizontal="center" vertical="top"/>
    </xf>
    <xf applyAlignment="true" applyBorder="true" applyFill="false" applyFont="true" applyNumberFormat="true" borderId="8844" fillId="0" fontId="2" numFmtId="1000" quotePrefix="false">
      <alignment horizontal="center" vertical="top"/>
    </xf>
    <xf applyAlignment="true" applyBorder="true" applyFill="false" applyFont="false" applyNumberFormat="true" borderId="8845" fillId="0" fontId="1" numFmtId="1000" quotePrefix="false">
      <alignment horizontal="left" vertical="top"/>
    </xf>
    <xf applyAlignment="true" applyBorder="true" applyFill="false" applyFont="false" applyNumberFormat="true" borderId="8846" fillId="0" fontId="1" numFmtId="1000" quotePrefix="false">
      <alignment horizontal="left" vertical="top"/>
    </xf>
    <xf applyAlignment="true" applyBorder="true" applyFill="false" applyFont="false" applyNumberFormat="true" borderId="8847" fillId="0" fontId="1" numFmtId="1000" quotePrefix="false">
      <alignment horizontal="left" vertical="top"/>
    </xf>
    <xf applyAlignment="true" applyBorder="true" applyFill="false" applyFont="false" applyNumberFormat="true" borderId="8848" fillId="0" fontId="1" numFmtId="1000" quotePrefix="false">
      <alignment horizontal="left" vertical="top"/>
    </xf>
    <xf applyAlignment="true" applyBorder="true" applyFill="false" applyFont="false" applyNumberFormat="true" borderId="8849" fillId="0" fontId="1" numFmtId="1000" quotePrefix="false">
      <alignment horizontal="left" vertical="top"/>
    </xf>
    <xf applyAlignment="true" applyBorder="true" applyFill="false" applyFont="false" applyNumberFormat="true" borderId="8850" fillId="0" fontId="1" numFmtId="1000" quotePrefix="false">
      <alignment horizontal="left" vertical="top"/>
    </xf>
    <xf applyAlignment="true" applyBorder="true" applyFill="false" applyFont="false" applyNumberFormat="true" borderId="8851" fillId="0" fontId="1" numFmtId="1000" quotePrefix="false">
      <alignment horizontal="left" vertical="top"/>
    </xf>
    <xf applyAlignment="true" applyBorder="true" applyFill="false" applyFont="false" applyNumberFormat="true" borderId="8852" fillId="0" fontId="1" numFmtId="1000" quotePrefix="false">
      <alignment horizontal="left" vertical="top"/>
    </xf>
    <xf applyAlignment="true" applyBorder="true" applyFill="false" applyFont="false" applyNumberFormat="true" borderId="8853" fillId="0" fontId="1" numFmtId="1000" quotePrefix="false">
      <alignment horizontal="left" vertical="top"/>
    </xf>
    <xf applyAlignment="true" applyBorder="true" applyFill="false" applyFont="false" applyNumberFormat="true" borderId="8854" fillId="0" fontId="1" numFmtId="1000" quotePrefix="false">
      <alignment horizontal="left" vertical="top"/>
    </xf>
    <xf applyAlignment="true" applyBorder="true" applyFill="false" applyFont="false" applyNumberFormat="true" borderId="8855" fillId="0" fontId="1" numFmtId="1000" quotePrefix="false">
      <alignment horizontal="left" vertical="top"/>
    </xf>
    <xf applyAlignment="true" applyBorder="true" applyFill="false" applyFont="false" applyNumberFormat="true" borderId="8856" fillId="0" fontId="1" numFmtId="1000" quotePrefix="false">
      <alignment horizontal="left" vertical="top"/>
    </xf>
    <xf applyAlignment="true" applyBorder="true" applyFill="false" applyFont="false" applyNumberFormat="true" borderId="8857" fillId="0" fontId="1" numFmtId="1000" quotePrefix="false">
      <alignment horizontal="left" vertical="top"/>
    </xf>
    <xf applyAlignment="true" applyBorder="true" applyFill="false" applyFont="false" applyNumberFormat="true" borderId="8858" fillId="0" fontId="1" numFmtId="1000" quotePrefix="false">
      <alignment horizontal="left" vertical="top"/>
    </xf>
    <xf applyAlignment="true" applyBorder="true" applyFill="false" applyFont="false" applyNumberFormat="true" borderId="8859" fillId="0" fontId="1" numFmtId="1000" quotePrefix="false">
      <alignment horizontal="left" vertical="top"/>
    </xf>
    <xf applyAlignment="true" applyBorder="true" applyFill="false" applyFont="false" applyNumberFormat="true" borderId="8860" fillId="0" fontId="1" numFmtId="1000" quotePrefix="false">
      <alignment horizontal="left" vertical="top"/>
    </xf>
    <xf applyAlignment="true" applyBorder="true" applyFill="false" applyFont="false" applyNumberFormat="true" borderId="8861" fillId="0" fontId="1" numFmtId="1000" quotePrefix="false">
      <alignment horizontal="left" vertical="top"/>
    </xf>
    <xf applyAlignment="true" applyBorder="true" applyFill="false" applyFont="false" applyNumberFormat="true" borderId="8862" fillId="0" fontId="1" numFmtId="1000" quotePrefix="false">
      <alignment horizontal="left" vertical="top"/>
    </xf>
    <xf applyAlignment="true" applyBorder="true" applyFill="false" applyFont="false" applyNumberFormat="true" borderId="8863" fillId="0" fontId="1" numFmtId="1000" quotePrefix="false">
      <alignment horizontal="left" vertical="top"/>
    </xf>
    <xf applyAlignment="true" applyBorder="true" applyFill="false" applyFont="true" applyNumberFormat="true" borderId="8864" fillId="0" fontId="2" numFmtId="1001" quotePrefix="false">
      <alignment horizontal="center"/>
    </xf>
    <xf applyAlignment="true" applyBorder="true" applyFill="false" applyFont="true" applyNumberFormat="true" borderId="8865" fillId="0" fontId="2" numFmtId="1001" quotePrefix="false">
      <alignment horizontal="center"/>
    </xf>
    <xf applyAlignment="true" applyBorder="true" applyFill="false" applyFont="true" applyNumberFormat="true" borderId="8866" fillId="0" fontId="2" numFmtId="1001" quotePrefix="false">
      <alignment horizontal="center"/>
    </xf>
    <xf applyAlignment="true" applyBorder="true" applyFill="false" applyFont="false" applyNumberFormat="true" borderId="8867" fillId="0" fontId="1" numFmtId="1000" quotePrefix="false">
      <alignment horizontal="center" vertical="top"/>
    </xf>
    <xf applyAlignment="true" applyBorder="true" applyFill="false" applyFont="false" applyNumberFormat="true" borderId="8868" fillId="0" fontId="1" numFmtId="1000" quotePrefix="false">
      <alignment horizontal="center" vertical="top"/>
    </xf>
    <xf applyAlignment="true" applyBorder="true" applyFill="false" applyFont="false" applyNumberFormat="true" borderId="8869" fillId="0" fontId="1" numFmtId="1000" quotePrefix="false">
      <alignment horizontal="center" vertical="top"/>
    </xf>
    <xf applyAlignment="true" applyBorder="true" applyFill="false" applyFont="false" applyNumberFormat="true" borderId="8870" fillId="0" fontId="1" numFmtId="1000" quotePrefix="false">
      <alignment horizontal="center" vertical="top"/>
    </xf>
    <xf applyAlignment="true" applyBorder="true" applyFill="false" applyFont="false" applyNumberFormat="true" borderId="8871" fillId="0" fontId="1" numFmtId="1000" quotePrefix="false">
      <alignment horizontal="center" vertical="top"/>
    </xf>
    <xf applyAlignment="true" applyBorder="true" applyFill="false" applyFont="false" applyNumberFormat="true" borderId="8872" fillId="0" fontId="1" numFmtId="1000" quotePrefix="false">
      <alignment horizontal="center" vertical="top"/>
    </xf>
    <xf applyAlignment="true" applyBorder="true" applyFill="false" applyFont="false" applyNumberFormat="true" borderId="8873" fillId="0" fontId="1" numFmtId="1000" quotePrefix="false">
      <alignment horizontal="center" vertical="top"/>
    </xf>
    <xf applyAlignment="true" applyBorder="true" applyFill="false" applyFont="false" applyNumberFormat="true" borderId="8874" fillId="0" fontId="1" numFmtId="1000" quotePrefix="false">
      <alignment horizontal="center" vertical="top"/>
    </xf>
    <xf applyAlignment="true" applyBorder="true" applyFill="false" applyFont="false" applyNumberFormat="true" borderId="8875" fillId="0" fontId="1" numFmtId="1000" quotePrefix="false">
      <alignment horizontal="center" vertical="top"/>
    </xf>
    <xf applyAlignment="true" applyBorder="true" applyFill="false" applyFont="false" applyNumberFormat="true" borderId="8876" fillId="0" fontId="1" numFmtId="1000" quotePrefix="false">
      <alignment horizontal="center" vertical="top"/>
    </xf>
    <xf applyAlignment="true" applyBorder="true" applyFill="false" applyFont="false" applyNumberFormat="true" borderId="8877" fillId="0" fontId="1" numFmtId="1000" quotePrefix="false">
      <alignment horizontal="center" vertical="top"/>
    </xf>
    <xf applyAlignment="true" applyBorder="true" applyFill="false" applyFont="false" applyNumberFormat="true" borderId="8878" fillId="0" fontId="1" numFmtId="1000" quotePrefix="false">
      <alignment horizontal="center" vertical="top"/>
    </xf>
    <xf applyAlignment="true" applyBorder="true" applyFill="false" applyFont="false" applyNumberFormat="true" borderId="8879" fillId="0" fontId="1" numFmtId="1000" quotePrefix="false">
      <alignment horizontal="center" vertical="top"/>
    </xf>
    <xf applyAlignment="true" applyBorder="true" applyFill="false" applyFont="false" applyNumberFormat="true" borderId="8880" fillId="0" fontId="1" numFmtId="1000" quotePrefix="false">
      <alignment horizontal="center" vertical="top"/>
    </xf>
    <xf applyAlignment="true" applyBorder="true" applyFill="false" applyFont="false" applyNumberFormat="true" borderId="8881" fillId="0" fontId="1" numFmtId="1000" quotePrefix="false">
      <alignment horizontal="center" vertical="top"/>
    </xf>
    <xf applyAlignment="true" applyBorder="true" applyFill="false" applyFont="false" applyNumberFormat="true" borderId="8882" fillId="0" fontId="1" numFmtId="1000" quotePrefix="false">
      <alignment horizontal="center" vertical="top"/>
    </xf>
    <xf applyAlignment="true" applyBorder="true" applyFill="false" applyFont="false" applyNumberFormat="true" borderId="8883" fillId="0" fontId="1" numFmtId="1000" quotePrefix="false">
      <alignment horizontal="center" vertical="top"/>
    </xf>
    <xf applyAlignment="true" applyBorder="true" applyFill="false" applyFont="false" applyNumberFormat="true" borderId="8884" fillId="0" fontId="1" numFmtId="1000" quotePrefix="false">
      <alignment horizontal="center" vertical="top"/>
    </xf>
    <xf applyAlignment="true" applyBorder="true" applyFill="false" applyFont="false" applyNumberFormat="true" borderId="8885" fillId="0" fontId="1" numFmtId="1000" quotePrefix="false">
      <alignment horizontal="center" vertical="top"/>
    </xf>
    <xf applyAlignment="true" applyBorder="true" applyFill="false" applyFont="false" applyNumberFormat="true" borderId="8886" fillId="0" fontId="1" numFmtId="1000" quotePrefix="false">
      <alignment horizontal="center" vertical="top"/>
    </xf>
    <xf applyAlignment="true" applyBorder="true" applyFill="false" applyFont="false" applyNumberFormat="true" borderId="8887" fillId="0" fontId="1" numFmtId="1000" quotePrefix="false">
      <alignment horizontal="center" vertical="top"/>
    </xf>
    <xf applyAlignment="true" applyBorder="true" applyFill="false" applyFont="false" applyNumberFormat="true" borderId="8888" fillId="0" fontId="1" numFmtId="1000" quotePrefix="false">
      <alignment horizontal="center" vertical="top"/>
    </xf>
    <xf applyAlignment="true" applyBorder="true" applyFill="false" applyFont="false" applyNumberFormat="true" borderId="8889" fillId="0" fontId="1" numFmtId="1000" quotePrefix="false">
      <alignment horizontal="center" vertical="top"/>
    </xf>
    <xf applyAlignment="true" applyBorder="true" applyFill="false" applyFont="false" applyNumberFormat="true" borderId="8890" fillId="0" fontId="1" numFmtId="1000" quotePrefix="false">
      <alignment horizontal="center" vertical="top"/>
    </xf>
    <xf applyAlignment="true" applyBorder="true" applyFill="false" applyFont="false" applyNumberFormat="true" borderId="8891" fillId="0" fontId="1" numFmtId="1000" quotePrefix="false">
      <alignment horizontal="center" vertical="top"/>
    </xf>
    <xf applyAlignment="true" applyBorder="true" applyFill="false" applyFont="false" applyNumberFormat="true" borderId="8892" fillId="0" fontId="1" numFmtId="1000" quotePrefix="false">
      <alignment horizontal="center" vertical="top"/>
    </xf>
    <xf applyAlignment="true" applyBorder="true" applyFill="false" applyFont="false" applyNumberFormat="true" borderId="8893" fillId="0" fontId="1" numFmtId="1000" quotePrefix="false">
      <alignment horizontal="center" vertical="top"/>
    </xf>
    <xf applyAlignment="true" applyBorder="true" applyFill="false" applyFont="false" applyNumberFormat="true" borderId="8894" fillId="0" fontId="1" numFmtId="1000" quotePrefix="false">
      <alignment horizontal="center" vertical="top"/>
    </xf>
    <xf applyAlignment="true" applyBorder="true" applyFill="false" applyFont="false" applyNumberFormat="true" borderId="8895" fillId="0" fontId="1" numFmtId="1000" quotePrefix="false">
      <alignment horizontal="center" vertical="top"/>
    </xf>
    <xf applyAlignment="true" applyBorder="true" applyFill="false" applyFont="false" applyNumberFormat="true" borderId="8896" fillId="0" fontId="1" numFmtId="1000" quotePrefix="false">
      <alignment horizontal="center" vertical="top"/>
    </xf>
    <xf applyAlignment="true" applyBorder="true" applyFill="false" applyFont="false" applyNumberFormat="true" borderId="8897" fillId="0" fontId="1" numFmtId="1000" quotePrefix="false">
      <alignment horizontal="center" vertical="top"/>
    </xf>
    <xf applyAlignment="true" applyBorder="true" applyFill="false" applyFont="false" applyNumberFormat="true" borderId="8898" fillId="0" fontId="1" numFmtId="1000" quotePrefix="false">
      <alignment horizontal="center" vertical="top"/>
    </xf>
    <xf applyAlignment="true" applyBorder="true" applyFill="false" applyFont="false" applyNumberFormat="true" borderId="8899" fillId="0" fontId="1" numFmtId="1000" quotePrefix="false">
      <alignment horizontal="center" vertical="top"/>
    </xf>
    <xf applyAlignment="true" applyBorder="true" applyFill="false" applyFont="true" applyNumberFormat="true" borderId="8900" fillId="0" fontId="2" numFmtId="1000" quotePrefix="false">
      <alignment horizontal="center" vertical="top"/>
    </xf>
    <xf applyAlignment="true" applyBorder="true" applyFill="false" applyFont="false" applyNumberFormat="true" borderId="8901" fillId="0" fontId="1" numFmtId="1000" quotePrefix="false">
      <alignment horizontal="left" vertical="top"/>
    </xf>
    <xf applyAlignment="true" applyBorder="true" applyFill="false" applyFont="false" applyNumberFormat="true" borderId="8902" fillId="0" fontId="1" numFmtId="1000" quotePrefix="false">
      <alignment horizontal="left" vertical="top"/>
    </xf>
    <xf applyAlignment="true" applyBorder="true" applyFill="false" applyFont="false" applyNumberFormat="true" borderId="8903" fillId="0" fontId="1" numFmtId="1000" quotePrefix="false">
      <alignment horizontal="left" vertical="top"/>
    </xf>
    <xf applyAlignment="true" applyBorder="true" applyFill="false" applyFont="false" applyNumberFormat="true" borderId="8904" fillId="0" fontId="1" numFmtId="1000" quotePrefix="false">
      <alignment horizontal="left" vertical="top"/>
    </xf>
    <xf applyAlignment="true" applyBorder="true" applyFill="false" applyFont="false" applyNumberFormat="true" borderId="8905" fillId="0" fontId="1" numFmtId="1000" quotePrefix="false">
      <alignment horizontal="left" vertical="top"/>
    </xf>
    <xf applyAlignment="true" applyBorder="true" applyFill="false" applyFont="false" applyNumberFormat="true" borderId="8906" fillId="0" fontId="1" numFmtId="1000" quotePrefix="false">
      <alignment horizontal="left" vertical="top"/>
    </xf>
    <xf applyAlignment="true" applyBorder="true" applyFill="false" applyFont="false" applyNumberFormat="true" borderId="8907" fillId="0" fontId="1" numFmtId="1000" quotePrefix="false">
      <alignment horizontal="left" vertical="top"/>
    </xf>
    <xf applyAlignment="true" applyBorder="true" applyFill="false" applyFont="false" applyNumberFormat="true" borderId="8908" fillId="0" fontId="1" numFmtId="1000" quotePrefix="false">
      <alignment horizontal="left" vertical="top"/>
    </xf>
    <xf applyAlignment="true" applyBorder="true" applyFill="false" applyFont="false" applyNumberFormat="true" borderId="8909" fillId="0" fontId="1" numFmtId="1000" quotePrefix="false">
      <alignment horizontal="left" vertical="top"/>
    </xf>
    <xf applyAlignment="true" applyBorder="true" applyFill="false" applyFont="false" applyNumberFormat="true" borderId="8910" fillId="0" fontId="1" numFmtId="1000" quotePrefix="false">
      <alignment horizontal="left" vertical="top"/>
    </xf>
    <xf applyAlignment="true" applyBorder="true" applyFill="false" applyFont="false" applyNumberFormat="true" borderId="8911" fillId="0" fontId="1" numFmtId="1000" quotePrefix="false">
      <alignment horizontal="left" vertical="top"/>
    </xf>
    <xf applyAlignment="true" applyBorder="true" applyFill="false" applyFont="false" applyNumberFormat="true" borderId="8912" fillId="0" fontId="1" numFmtId="1000" quotePrefix="false">
      <alignment horizontal="left" vertical="top"/>
    </xf>
    <xf applyAlignment="true" applyBorder="true" applyFill="false" applyFont="false" applyNumberFormat="true" borderId="8913" fillId="0" fontId="1" numFmtId="1000" quotePrefix="false">
      <alignment horizontal="left" vertical="top"/>
    </xf>
    <xf applyAlignment="true" applyBorder="true" applyFill="false" applyFont="false" applyNumberFormat="true" borderId="8914" fillId="0" fontId="1" numFmtId="1000" quotePrefix="false">
      <alignment horizontal="left" vertical="top"/>
    </xf>
    <xf applyAlignment="true" applyBorder="true" applyFill="false" applyFont="false" applyNumberFormat="true" borderId="8915" fillId="0" fontId="1" numFmtId="1000" quotePrefix="false">
      <alignment horizontal="left" vertical="top"/>
    </xf>
    <xf applyAlignment="true" applyBorder="true" applyFill="false" applyFont="false" applyNumberFormat="true" borderId="8916" fillId="0" fontId="1" numFmtId="1000" quotePrefix="false">
      <alignment horizontal="left" vertical="top"/>
    </xf>
    <xf applyAlignment="true" applyBorder="true" applyFill="false" applyFont="false" applyNumberFormat="true" borderId="8917" fillId="0" fontId="1" numFmtId="1000" quotePrefix="false">
      <alignment horizontal="left" vertical="top"/>
    </xf>
    <xf applyAlignment="true" applyBorder="true" applyFill="false" applyFont="false" applyNumberFormat="true" borderId="8918" fillId="0" fontId="1" numFmtId="1000" quotePrefix="false">
      <alignment horizontal="left" vertical="top"/>
    </xf>
    <xf applyAlignment="true" applyBorder="true" applyFill="false" applyFont="false" applyNumberFormat="true" borderId="8919" fillId="0" fontId="1" numFmtId="1000" quotePrefix="false">
      <alignment horizontal="left" vertical="top"/>
    </xf>
    <xf applyAlignment="true" applyBorder="true" applyFill="false" applyFont="true" applyNumberFormat="true" borderId="8920" fillId="0" fontId="2" numFmtId="1001" quotePrefix="false">
      <alignment horizontal="center"/>
    </xf>
    <xf applyAlignment="true" applyBorder="true" applyFill="false" applyFont="true" applyNumberFormat="true" borderId="8921" fillId="0" fontId="2" numFmtId="1001" quotePrefix="false">
      <alignment horizontal="center"/>
    </xf>
    <xf applyAlignment="true" applyBorder="true" applyFill="false" applyFont="true" applyNumberFormat="true" borderId="8922" fillId="0" fontId="2" numFmtId="1001" quotePrefix="false">
      <alignment horizontal="center"/>
    </xf>
    <xf applyAlignment="true" applyBorder="true" applyFill="false" applyFont="false" applyNumberFormat="true" borderId="8923" fillId="0" fontId="1" numFmtId="1000" quotePrefix="false">
      <alignment horizontal="center" vertical="top"/>
    </xf>
    <xf applyAlignment="true" applyBorder="true" applyFill="false" applyFont="false" applyNumberFormat="true" borderId="8924" fillId="0" fontId="1" numFmtId="1000" quotePrefix="false">
      <alignment horizontal="center" vertical="top"/>
    </xf>
    <xf applyAlignment="true" applyBorder="true" applyFill="false" applyFont="false" applyNumberFormat="true" borderId="8925" fillId="0" fontId="1" numFmtId="1000" quotePrefix="false">
      <alignment horizontal="center" vertical="top"/>
    </xf>
    <xf applyAlignment="true" applyBorder="true" applyFill="false" applyFont="false" applyNumberFormat="true" borderId="8926" fillId="0" fontId="1" numFmtId="1000" quotePrefix="false">
      <alignment horizontal="center" vertical="top"/>
    </xf>
    <xf applyAlignment="true" applyBorder="true" applyFill="false" applyFont="false" applyNumberFormat="true" borderId="8927" fillId="0" fontId="1" numFmtId="1000" quotePrefix="false">
      <alignment horizontal="center" vertical="top"/>
    </xf>
    <xf applyAlignment="true" applyBorder="true" applyFill="false" applyFont="false" applyNumberFormat="true" borderId="8928" fillId="0" fontId="1" numFmtId="1000" quotePrefix="false">
      <alignment horizontal="center" vertical="top"/>
    </xf>
    <xf applyAlignment="true" applyBorder="true" applyFill="false" applyFont="false" applyNumberFormat="true" borderId="8929" fillId="0" fontId="1" numFmtId="1000" quotePrefix="false">
      <alignment horizontal="center" vertical="top"/>
    </xf>
    <xf applyAlignment="true" applyBorder="true" applyFill="false" applyFont="false" applyNumberFormat="true" borderId="8930" fillId="0" fontId="1" numFmtId="1000" quotePrefix="false">
      <alignment horizontal="center" vertical="top"/>
    </xf>
    <xf applyAlignment="true" applyBorder="true" applyFill="false" applyFont="false" applyNumberFormat="true" borderId="8931" fillId="0" fontId="1" numFmtId="1000" quotePrefix="false">
      <alignment horizontal="center" vertical="top"/>
    </xf>
    <xf applyAlignment="true" applyBorder="true" applyFill="false" applyFont="false" applyNumberFormat="true" borderId="8932" fillId="0" fontId="1" numFmtId="1000" quotePrefix="false">
      <alignment horizontal="center" vertical="top"/>
    </xf>
    <xf applyAlignment="true" applyBorder="true" applyFill="false" applyFont="false" applyNumberFormat="true" borderId="8933" fillId="0" fontId="1" numFmtId="1000" quotePrefix="false">
      <alignment horizontal="center" vertical="top"/>
    </xf>
    <xf applyAlignment="true" applyBorder="true" applyFill="false" applyFont="false" applyNumberFormat="true" borderId="8934" fillId="0" fontId="1" numFmtId="1000" quotePrefix="false">
      <alignment horizontal="center" vertical="top"/>
    </xf>
    <xf applyAlignment="true" applyBorder="true" applyFill="false" applyFont="false" applyNumberFormat="true" borderId="8935" fillId="0" fontId="1" numFmtId="1000" quotePrefix="false">
      <alignment horizontal="center" vertical="top"/>
    </xf>
    <xf applyAlignment="true" applyBorder="true" applyFill="false" applyFont="false" applyNumberFormat="true" borderId="8936" fillId="0" fontId="1" numFmtId="1000" quotePrefix="false">
      <alignment horizontal="center" vertical="top"/>
    </xf>
    <xf applyAlignment="true" applyBorder="true" applyFill="false" applyFont="false" applyNumberFormat="true" borderId="8937" fillId="0" fontId="1" numFmtId="1000" quotePrefix="false">
      <alignment horizontal="center" vertical="top"/>
    </xf>
    <xf applyAlignment="true" applyBorder="true" applyFill="false" applyFont="false" applyNumberFormat="true" borderId="8938" fillId="0" fontId="1" numFmtId="1000" quotePrefix="false">
      <alignment horizontal="center" vertical="top"/>
    </xf>
    <xf applyAlignment="true" applyBorder="true" applyFill="false" applyFont="false" applyNumberFormat="true" borderId="8939" fillId="0" fontId="1" numFmtId="1000" quotePrefix="false">
      <alignment horizontal="center" vertical="top"/>
    </xf>
    <xf applyAlignment="true" applyBorder="true" applyFill="false" applyFont="false" applyNumberFormat="true" borderId="8940" fillId="0" fontId="1" numFmtId="1000" quotePrefix="false">
      <alignment horizontal="center" vertical="top"/>
    </xf>
    <xf applyAlignment="true" applyBorder="true" applyFill="false" applyFont="false" applyNumberFormat="true" borderId="8941" fillId="0" fontId="1" numFmtId="1000" quotePrefix="false">
      <alignment horizontal="center" vertical="top"/>
    </xf>
    <xf applyAlignment="true" applyBorder="true" applyFill="false" applyFont="false" applyNumberFormat="true" borderId="8942" fillId="0" fontId="1" numFmtId="1000" quotePrefix="false">
      <alignment horizontal="center" vertical="top"/>
    </xf>
    <xf applyAlignment="true" applyBorder="true" applyFill="false" applyFont="false" applyNumberFormat="true" borderId="8943" fillId="0" fontId="1" numFmtId="1000" quotePrefix="false">
      <alignment horizontal="center" vertical="top"/>
    </xf>
    <xf applyAlignment="true" applyBorder="true" applyFill="false" applyFont="false" applyNumberFormat="true" borderId="8944" fillId="0" fontId="1" numFmtId="1000" quotePrefix="false">
      <alignment horizontal="center" vertical="top"/>
    </xf>
    <xf applyAlignment="true" applyBorder="true" applyFill="false" applyFont="false" applyNumberFormat="true" borderId="8945" fillId="0" fontId="1" numFmtId="1000" quotePrefix="false">
      <alignment horizontal="center" vertical="top"/>
    </xf>
    <xf applyAlignment="true" applyBorder="true" applyFill="false" applyFont="false" applyNumberFormat="true" borderId="8946" fillId="0" fontId="1" numFmtId="1000" quotePrefix="false">
      <alignment horizontal="center" vertical="top"/>
    </xf>
    <xf applyAlignment="true" applyBorder="true" applyFill="false" applyFont="false" applyNumberFormat="true" borderId="8947" fillId="0" fontId="1" numFmtId="1000" quotePrefix="false">
      <alignment horizontal="center" vertical="top"/>
    </xf>
    <xf applyAlignment="true" applyBorder="true" applyFill="false" applyFont="false" applyNumberFormat="true" borderId="8948" fillId="0" fontId="1" numFmtId="1000" quotePrefix="false">
      <alignment horizontal="center" vertical="top"/>
    </xf>
    <xf applyAlignment="true" applyBorder="true" applyFill="false" applyFont="false" applyNumberFormat="true" borderId="8949" fillId="0" fontId="1" numFmtId="1000" quotePrefix="false">
      <alignment horizontal="center" vertical="top"/>
    </xf>
    <xf applyAlignment="true" applyBorder="true" applyFill="false" applyFont="false" applyNumberFormat="true" borderId="8950" fillId="0" fontId="1" numFmtId="1000" quotePrefix="false">
      <alignment horizontal="center" vertical="top"/>
    </xf>
    <xf applyAlignment="true" applyBorder="true" applyFill="false" applyFont="false" applyNumberFormat="true" borderId="8951" fillId="0" fontId="1" numFmtId="1000" quotePrefix="false">
      <alignment horizontal="center" vertical="top"/>
    </xf>
    <xf applyAlignment="true" applyBorder="true" applyFill="false" applyFont="false" applyNumberFormat="true" borderId="8952" fillId="0" fontId="1" numFmtId="1000" quotePrefix="false">
      <alignment horizontal="center" vertical="top"/>
    </xf>
    <xf applyAlignment="true" applyBorder="true" applyFill="false" applyFont="false" applyNumberFormat="true" borderId="8953" fillId="0" fontId="1" numFmtId="1000" quotePrefix="false">
      <alignment horizontal="center" vertical="top"/>
    </xf>
    <xf applyAlignment="true" applyBorder="true" applyFill="false" applyFont="false" applyNumberFormat="true" borderId="8954" fillId="0" fontId="1" numFmtId="1000" quotePrefix="false">
      <alignment horizontal="center" vertical="top"/>
    </xf>
    <xf applyAlignment="true" applyBorder="true" applyFill="false" applyFont="false" applyNumberFormat="true" borderId="8955" fillId="0" fontId="1" numFmtId="1000" quotePrefix="false">
      <alignment horizontal="center" vertical="top"/>
    </xf>
    <xf applyAlignment="true" applyBorder="true" applyFill="false" applyFont="true" applyNumberFormat="true" borderId="8956" fillId="0" fontId="2" numFmtId="1000" quotePrefix="false">
      <alignment horizontal="center" vertical="top"/>
    </xf>
    <xf applyAlignment="true" applyBorder="true" applyFill="false" applyFont="false" applyNumberFormat="true" borderId="8957" fillId="0" fontId="1" numFmtId="1000" quotePrefix="false">
      <alignment horizontal="left" vertical="top"/>
    </xf>
    <xf applyAlignment="true" applyBorder="true" applyFill="false" applyFont="false" applyNumberFormat="true" borderId="8958" fillId="0" fontId="1" numFmtId="1000" quotePrefix="false">
      <alignment horizontal="left" vertical="top"/>
    </xf>
    <xf applyAlignment="true" applyBorder="true" applyFill="false" applyFont="false" applyNumberFormat="true" borderId="8959" fillId="0" fontId="1" numFmtId="1000" quotePrefix="false">
      <alignment horizontal="left" vertical="top"/>
    </xf>
    <xf applyAlignment="true" applyBorder="true" applyFill="false" applyFont="false" applyNumberFormat="true" borderId="8960" fillId="0" fontId="1" numFmtId="1000" quotePrefix="false">
      <alignment horizontal="left" vertical="top"/>
    </xf>
    <xf applyAlignment="true" applyBorder="true" applyFill="false" applyFont="false" applyNumberFormat="true" borderId="8961" fillId="0" fontId="1" numFmtId="1000" quotePrefix="false">
      <alignment horizontal="left" vertical="top"/>
    </xf>
    <xf applyAlignment="true" applyBorder="true" applyFill="false" applyFont="false" applyNumberFormat="true" borderId="8962" fillId="0" fontId="1" numFmtId="1000" quotePrefix="false">
      <alignment horizontal="left" vertical="top"/>
    </xf>
    <xf applyAlignment="true" applyBorder="true" applyFill="false" applyFont="false" applyNumberFormat="true" borderId="8963" fillId="0" fontId="1" numFmtId="1000" quotePrefix="false">
      <alignment horizontal="left" vertical="top"/>
    </xf>
    <xf applyAlignment="true" applyBorder="true" applyFill="false" applyFont="false" applyNumberFormat="true" borderId="8964" fillId="0" fontId="1" numFmtId="1000" quotePrefix="false">
      <alignment horizontal="left" vertical="top"/>
    </xf>
    <xf applyAlignment="true" applyBorder="true" applyFill="false" applyFont="false" applyNumberFormat="true" borderId="8965" fillId="0" fontId="1" numFmtId="1000" quotePrefix="false">
      <alignment horizontal="left" vertical="top"/>
    </xf>
    <xf applyAlignment="true" applyBorder="true" applyFill="false" applyFont="false" applyNumberFormat="true" borderId="8966" fillId="0" fontId="1" numFmtId="1000" quotePrefix="false">
      <alignment horizontal="left" vertical="top"/>
    </xf>
    <xf applyAlignment="true" applyBorder="true" applyFill="false" applyFont="false" applyNumberFormat="true" borderId="8967" fillId="0" fontId="1" numFmtId="1000" quotePrefix="false">
      <alignment horizontal="left" vertical="top"/>
    </xf>
    <xf applyAlignment="true" applyBorder="true" applyFill="false" applyFont="false" applyNumberFormat="true" borderId="8968" fillId="0" fontId="1" numFmtId="1000" quotePrefix="false">
      <alignment horizontal="left" vertical="top"/>
    </xf>
    <xf applyAlignment="true" applyBorder="true" applyFill="false" applyFont="false" applyNumberFormat="true" borderId="8969" fillId="0" fontId="1" numFmtId="1000" quotePrefix="false">
      <alignment horizontal="left" vertical="top"/>
    </xf>
    <xf applyAlignment="true" applyBorder="true" applyFill="false" applyFont="false" applyNumberFormat="true" borderId="8970" fillId="0" fontId="1" numFmtId="1000" quotePrefix="false">
      <alignment horizontal="left" vertical="top"/>
    </xf>
    <xf applyAlignment="true" applyBorder="true" applyFill="false" applyFont="false" applyNumberFormat="true" borderId="8971" fillId="0" fontId="1" numFmtId="1000" quotePrefix="false">
      <alignment horizontal="left" vertical="top"/>
    </xf>
    <xf applyAlignment="true" applyBorder="true" applyFill="false" applyFont="false" applyNumberFormat="true" borderId="8972" fillId="0" fontId="1" numFmtId="1000" quotePrefix="false">
      <alignment horizontal="left" vertical="top"/>
    </xf>
    <xf applyAlignment="true" applyBorder="true" applyFill="false" applyFont="false" applyNumberFormat="true" borderId="8973" fillId="0" fontId="1" numFmtId="1000" quotePrefix="false">
      <alignment horizontal="left" vertical="top"/>
    </xf>
    <xf applyAlignment="true" applyBorder="true" applyFill="false" applyFont="false" applyNumberFormat="true" borderId="8974" fillId="0" fontId="1" numFmtId="1000" quotePrefix="false">
      <alignment horizontal="left" vertical="top"/>
    </xf>
    <xf applyAlignment="true" applyBorder="true" applyFill="false" applyFont="false" applyNumberFormat="true" borderId="8975" fillId="0" fontId="1" numFmtId="1000" quotePrefix="false">
      <alignment horizontal="left" vertical="top"/>
    </xf>
    <xf applyAlignment="true" applyBorder="true" applyFill="false" applyFont="true" applyNumberFormat="true" borderId="8976" fillId="0" fontId="2" numFmtId="1001" quotePrefix="false">
      <alignment horizontal="center"/>
    </xf>
    <xf applyAlignment="true" applyBorder="true" applyFill="false" applyFont="true" applyNumberFormat="true" borderId="8977" fillId="0" fontId="2" numFmtId="1001" quotePrefix="false">
      <alignment horizontal="center"/>
    </xf>
    <xf applyAlignment="true" applyBorder="true" applyFill="false" applyFont="true" applyNumberFormat="true" borderId="8978" fillId="0" fontId="2" numFmtId="1001" quotePrefix="false">
      <alignment horizontal="center"/>
    </xf>
    <xf applyAlignment="true" applyBorder="true" applyFill="false" applyFont="false" applyNumberFormat="true" borderId="8979" fillId="0" fontId="1" numFmtId="1000" quotePrefix="false">
      <alignment horizontal="center" vertical="top"/>
    </xf>
    <xf applyAlignment="true" applyBorder="true" applyFill="false" applyFont="false" applyNumberFormat="true" borderId="8980" fillId="0" fontId="1" numFmtId="1000" quotePrefix="false">
      <alignment horizontal="center" vertical="top"/>
    </xf>
    <xf applyAlignment="true" applyBorder="true" applyFill="false" applyFont="false" applyNumberFormat="true" borderId="8981" fillId="0" fontId="1" numFmtId="1000" quotePrefix="false">
      <alignment horizontal="center" vertical="top"/>
    </xf>
    <xf applyAlignment="true" applyBorder="true" applyFill="false" applyFont="false" applyNumberFormat="true" borderId="8982" fillId="0" fontId="1" numFmtId="1000" quotePrefix="false">
      <alignment horizontal="center" vertical="top"/>
    </xf>
    <xf applyAlignment="true" applyBorder="true" applyFill="false" applyFont="false" applyNumberFormat="true" borderId="8983" fillId="0" fontId="1" numFmtId="1000" quotePrefix="false">
      <alignment horizontal="center" vertical="top"/>
    </xf>
    <xf applyAlignment="true" applyBorder="true" applyFill="false" applyFont="false" applyNumberFormat="true" borderId="8984" fillId="0" fontId="1" numFmtId="1000" quotePrefix="false">
      <alignment horizontal="center" vertical="top"/>
    </xf>
    <xf applyAlignment="true" applyBorder="true" applyFill="false" applyFont="false" applyNumberFormat="true" borderId="8985" fillId="0" fontId="1" numFmtId="1000" quotePrefix="false">
      <alignment horizontal="center" vertical="top"/>
    </xf>
    <xf applyAlignment="true" applyBorder="true" applyFill="false" applyFont="false" applyNumberFormat="true" borderId="8986" fillId="0" fontId="1" numFmtId="1000" quotePrefix="false">
      <alignment horizontal="center" vertical="top"/>
    </xf>
    <xf applyAlignment="true" applyBorder="true" applyFill="false" applyFont="false" applyNumberFormat="true" borderId="8987" fillId="0" fontId="1" numFmtId="1000" quotePrefix="false">
      <alignment horizontal="center" vertical="top"/>
    </xf>
    <xf applyAlignment="true" applyBorder="true" applyFill="false" applyFont="false" applyNumberFormat="true" borderId="8988" fillId="0" fontId="1" numFmtId="1000" quotePrefix="false">
      <alignment horizontal="center" vertical="top"/>
    </xf>
    <xf applyAlignment="true" applyBorder="true" applyFill="false" applyFont="false" applyNumberFormat="true" borderId="8989" fillId="0" fontId="1" numFmtId="1000" quotePrefix="false">
      <alignment horizontal="center" vertical="top"/>
    </xf>
    <xf applyAlignment="true" applyBorder="true" applyFill="false" applyFont="false" applyNumberFormat="true" borderId="8990" fillId="0" fontId="1" numFmtId="1000" quotePrefix="false">
      <alignment horizontal="center" vertical="top"/>
    </xf>
    <xf applyAlignment="true" applyBorder="true" applyFill="false" applyFont="false" applyNumberFormat="true" borderId="8991" fillId="0" fontId="1" numFmtId="1000" quotePrefix="false">
      <alignment horizontal="center" vertical="top"/>
    </xf>
    <xf applyAlignment="true" applyBorder="true" applyFill="false" applyFont="false" applyNumberFormat="true" borderId="8992" fillId="0" fontId="1" numFmtId="1000" quotePrefix="false">
      <alignment horizontal="center" vertical="top"/>
    </xf>
    <xf applyAlignment="true" applyBorder="true" applyFill="false" applyFont="false" applyNumberFormat="true" borderId="8993" fillId="0" fontId="1" numFmtId="1000" quotePrefix="false">
      <alignment horizontal="center" vertical="top"/>
    </xf>
    <xf applyAlignment="true" applyBorder="true" applyFill="false" applyFont="false" applyNumberFormat="true" borderId="8994" fillId="0" fontId="1" numFmtId="1000" quotePrefix="false">
      <alignment horizontal="center" vertical="top"/>
    </xf>
    <xf applyAlignment="true" applyBorder="true" applyFill="false" applyFont="false" applyNumberFormat="true" borderId="8995" fillId="0" fontId="1" numFmtId="1000" quotePrefix="false">
      <alignment horizontal="center" vertical="top"/>
    </xf>
    <xf applyAlignment="true" applyBorder="true" applyFill="false" applyFont="false" applyNumberFormat="true" borderId="8996" fillId="0" fontId="1" numFmtId="1000" quotePrefix="false">
      <alignment horizontal="center" vertical="top"/>
    </xf>
    <xf applyAlignment="true" applyBorder="true" applyFill="false" applyFont="false" applyNumberFormat="true" borderId="8997" fillId="0" fontId="1" numFmtId="1000" quotePrefix="false">
      <alignment horizontal="center" vertical="top"/>
    </xf>
    <xf applyAlignment="true" applyBorder="true" applyFill="false" applyFont="false" applyNumberFormat="true" borderId="8998" fillId="0" fontId="1" numFmtId="1000" quotePrefix="false">
      <alignment horizontal="center" vertical="top"/>
    </xf>
    <xf applyAlignment="true" applyBorder="true" applyFill="false" applyFont="false" applyNumberFormat="true" borderId="8999" fillId="0" fontId="1" numFmtId="1000" quotePrefix="false">
      <alignment horizontal="center" vertical="top"/>
    </xf>
    <xf applyAlignment="true" applyBorder="true" applyFill="false" applyFont="false" applyNumberFormat="true" borderId="9000" fillId="0" fontId="1" numFmtId="1000" quotePrefix="false">
      <alignment horizontal="center" vertical="top"/>
    </xf>
    <xf applyAlignment="true" applyBorder="true" applyFill="false" applyFont="false" applyNumberFormat="true" borderId="9001" fillId="0" fontId="1" numFmtId="1000" quotePrefix="false">
      <alignment horizontal="center" vertical="top"/>
    </xf>
    <xf applyAlignment="true" applyBorder="true" applyFill="false" applyFont="false" applyNumberFormat="true" borderId="9002" fillId="0" fontId="1" numFmtId="1000" quotePrefix="false">
      <alignment horizontal="center" vertical="top"/>
    </xf>
    <xf applyAlignment="true" applyBorder="true" applyFill="false" applyFont="false" applyNumberFormat="true" borderId="9003" fillId="0" fontId="1" numFmtId="1000" quotePrefix="false">
      <alignment horizontal="center" vertical="top"/>
    </xf>
    <xf applyAlignment="true" applyBorder="true" applyFill="false" applyFont="false" applyNumberFormat="true" borderId="9004" fillId="0" fontId="1" numFmtId="1000" quotePrefix="false">
      <alignment horizontal="center" vertical="top"/>
    </xf>
    <xf applyAlignment="true" applyBorder="true" applyFill="false" applyFont="false" applyNumberFormat="true" borderId="9005" fillId="0" fontId="1" numFmtId="1000" quotePrefix="false">
      <alignment horizontal="center" vertical="top"/>
    </xf>
    <xf applyAlignment="true" applyBorder="true" applyFill="false" applyFont="false" applyNumberFormat="true" borderId="9006" fillId="0" fontId="1" numFmtId="1000" quotePrefix="false">
      <alignment horizontal="center" vertical="top"/>
    </xf>
    <xf applyAlignment="true" applyBorder="true" applyFill="false" applyFont="false" applyNumberFormat="true" borderId="9007" fillId="0" fontId="1" numFmtId="1000" quotePrefix="false">
      <alignment horizontal="center" vertical="top"/>
    </xf>
    <xf applyAlignment="true" applyBorder="true" applyFill="false" applyFont="false" applyNumberFormat="true" borderId="9008" fillId="0" fontId="1" numFmtId="1000" quotePrefix="false">
      <alignment horizontal="center" vertical="top"/>
    </xf>
    <xf applyAlignment="true" applyBorder="true" applyFill="false" applyFont="false" applyNumberFormat="true" borderId="9009" fillId="0" fontId="1" numFmtId="1000" quotePrefix="false">
      <alignment horizontal="center" vertical="top"/>
    </xf>
    <xf applyAlignment="true" applyBorder="true" applyFill="false" applyFont="false" applyNumberFormat="true" borderId="9010" fillId="0" fontId="1" numFmtId="1000" quotePrefix="false">
      <alignment horizontal="center" vertical="top"/>
    </xf>
    <xf applyAlignment="true" applyBorder="true" applyFill="false" applyFont="false" applyNumberFormat="true" borderId="9011" fillId="0" fontId="1" numFmtId="1000" quotePrefix="false">
      <alignment horizontal="center" vertical="top"/>
    </xf>
    <xf applyAlignment="true" applyBorder="true" applyFill="false" applyFont="true" applyNumberFormat="true" borderId="9012" fillId="0" fontId="2" numFmtId="1000" quotePrefix="false">
      <alignment horizontal="center" vertical="top"/>
    </xf>
    <xf applyAlignment="true" applyBorder="true" applyFill="false" applyFont="false" applyNumberFormat="true" borderId="9013" fillId="0" fontId="1" numFmtId="1000" quotePrefix="false">
      <alignment horizontal="left" vertical="top"/>
    </xf>
    <xf applyAlignment="true" applyBorder="true" applyFill="false" applyFont="false" applyNumberFormat="true" borderId="9014" fillId="0" fontId="1" numFmtId="1000" quotePrefix="false">
      <alignment horizontal="left" vertical="top"/>
    </xf>
    <xf applyAlignment="true" applyBorder="true" applyFill="false" applyFont="false" applyNumberFormat="true" borderId="9015" fillId="0" fontId="1" numFmtId="1000" quotePrefix="false">
      <alignment horizontal="left" vertical="top"/>
    </xf>
    <xf applyAlignment="true" applyBorder="true" applyFill="false" applyFont="false" applyNumberFormat="true" borderId="9016" fillId="0" fontId="1" numFmtId="1000" quotePrefix="false">
      <alignment horizontal="left" vertical="top"/>
    </xf>
    <xf applyAlignment="true" applyBorder="true" applyFill="false" applyFont="false" applyNumberFormat="true" borderId="9017" fillId="0" fontId="1" numFmtId="1000" quotePrefix="false">
      <alignment horizontal="left" vertical="top"/>
    </xf>
    <xf applyAlignment="true" applyBorder="true" applyFill="false" applyFont="false" applyNumberFormat="true" borderId="9018" fillId="0" fontId="1" numFmtId="1000" quotePrefix="false">
      <alignment horizontal="left" vertical="top"/>
    </xf>
    <xf applyAlignment="true" applyBorder="true" applyFill="false" applyFont="false" applyNumberFormat="true" borderId="9019" fillId="0" fontId="1" numFmtId="1000" quotePrefix="false">
      <alignment horizontal="left" vertical="top"/>
    </xf>
    <xf applyAlignment="true" applyBorder="true" applyFill="false" applyFont="false" applyNumberFormat="true" borderId="9020" fillId="0" fontId="1" numFmtId="1000" quotePrefix="false">
      <alignment horizontal="left" vertical="top"/>
    </xf>
    <xf applyAlignment="true" applyBorder="true" applyFill="false" applyFont="false" applyNumberFormat="true" borderId="9021" fillId="0" fontId="1" numFmtId="1000" quotePrefix="false">
      <alignment horizontal="left" vertical="top"/>
    </xf>
    <xf applyAlignment="true" applyBorder="true" applyFill="false" applyFont="false" applyNumberFormat="true" borderId="9022" fillId="0" fontId="1" numFmtId="1000" quotePrefix="false">
      <alignment horizontal="left" vertical="top"/>
    </xf>
    <xf applyAlignment="true" applyBorder="true" applyFill="false" applyFont="false" applyNumberFormat="true" borderId="9023" fillId="0" fontId="1" numFmtId="1000" quotePrefix="false">
      <alignment horizontal="left" vertical="top"/>
    </xf>
    <xf applyAlignment="true" applyBorder="true" applyFill="false" applyFont="false" applyNumberFormat="true" borderId="9024" fillId="0" fontId="1" numFmtId="1000" quotePrefix="false">
      <alignment horizontal="left" vertical="top"/>
    </xf>
    <xf applyAlignment="true" applyBorder="true" applyFill="false" applyFont="false" applyNumberFormat="true" borderId="9025" fillId="0" fontId="1" numFmtId="1000" quotePrefix="false">
      <alignment horizontal="left" vertical="top"/>
    </xf>
    <xf applyAlignment="true" applyBorder="true" applyFill="false" applyFont="false" applyNumberFormat="true" borderId="9026" fillId="0" fontId="1" numFmtId="1000" quotePrefix="false">
      <alignment horizontal="left" vertical="top"/>
    </xf>
    <xf applyAlignment="true" applyBorder="true" applyFill="false" applyFont="false" applyNumberFormat="true" borderId="9027" fillId="0" fontId="1" numFmtId="1000" quotePrefix="false">
      <alignment horizontal="left" vertical="top"/>
    </xf>
    <xf applyAlignment="true" applyBorder="true" applyFill="false" applyFont="false" applyNumberFormat="true" borderId="9028" fillId="0" fontId="1" numFmtId="1000" quotePrefix="false">
      <alignment horizontal="left" vertical="top"/>
    </xf>
    <xf applyAlignment="true" applyBorder="true" applyFill="false" applyFont="false" applyNumberFormat="true" borderId="9029" fillId="0" fontId="1" numFmtId="1000" quotePrefix="false">
      <alignment horizontal="left" vertical="top"/>
    </xf>
    <xf applyAlignment="true" applyBorder="true" applyFill="false" applyFont="false" applyNumberFormat="true" borderId="9030" fillId="0" fontId="1" numFmtId="1000" quotePrefix="false">
      <alignment horizontal="left" vertical="top"/>
    </xf>
    <xf applyAlignment="true" applyBorder="true" applyFill="false" applyFont="false" applyNumberFormat="true" borderId="9031" fillId="0" fontId="1" numFmtId="1000" quotePrefix="false">
      <alignment horizontal="left" vertical="top"/>
    </xf>
    <xf applyAlignment="true" applyBorder="true" applyFill="false" applyFont="true" applyNumberFormat="true" borderId="9032" fillId="0" fontId="2" numFmtId="1001" quotePrefix="false">
      <alignment horizontal="center"/>
    </xf>
    <xf applyAlignment="true" applyBorder="true" applyFill="false" applyFont="true" applyNumberFormat="true" borderId="9033" fillId="0" fontId="2" numFmtId="1001" quotePrefix="false">
      <alignment horizontal="center"/>
    </xf>
    <xf applyAlignment="true" applyBorder="true" applyFill="false" applyFont="true" applyNumberFormat="true" borderId="9034" fillId="0" fontId="2" numFmtId="1001" quotePrefix="false">
      <alignment horizontal="center"/>
    </xf>
    <xf applyAlignment="true" applyBorder="true" applyFill="false" applyFont="false" applyNumberFormat="true" borderId="9035" fillId="0" fontId="1" numFmtId="1000" quotePrefix="false">
      <alignment horizontal="center" vertical="top"/>
    </xf>
    <xf applyAlignment="true" applyBorder="true" applyFill="false" applyFont="false" applyNumberFormat="true" borderId="9036" fillId="0" fontId="1" numFmtId="1000" quotePrefix="false">
      <alignment horizontal="center" vertical="top"/>
    </xf>
    <xf applyAlignment="true" applyBorder="true" applyFill="false" applyFont="false" applyNumberFormat="true" borderId="9037" fillId="0" fontId="1" numFmtId="1000" quotePrefix="false">
      <alignment horizontal="center" vertical="top"/>
    </xf>
    <xf applyAlignment="true" applyBorder="true" applyFill="false" applyFont="false" applyNumberFormat="true" borderId="9038" fillId="0" fontId="1" numFmtId="1000" quotePrefix="false">
      <alignment horizontal="center" vertical="top"/>
    </xf>
    <xf applyAlignment="true" applyBorder="true" applyFill="false" applyFont="false" applyNumberFormat="true" borderId="9039" fillId="0" fontId="1" numFmtId="1000" quotePrefix="false">
      <alignment horizontal="center" vertical="top"/>
    </xf>
    <xf applyAlignment="true" applyBorder="true" applyFill="false" applyFont="false" applyNumberFormat="true" borderId="9040" fillId="0" fontId="1" numFmtId="1000" quotePrefix="false">
      <alignment horizontal="center" vertical="top"/>
    </xf>
    <xf applyAlignment="true" applyBorder="true" applyFill="false" applyFont="false" applyNumberFormat="true" borderId="9041" fillId="0" fontId="1" numFmtId="1000" quotePrefix="false">
      <alignment horizontal="center" vertical="top"/>
    </xf>
    <xf applyAlignment="true" applyBorder="true" applyFill="false" applyFont="false" applyNumberFormat="true" borderId="9042" fillId="0" fontId="1" numFmtId="1000" quotePrefix="false">
      <alignment horizontal="center" vertical="top"/>
    </xf>
    <xf applyAlignment="true" applyBorder="true" applyFill="false" applyFont="false" applyNumberFormat="true" borderId="9043" fillId="0" fontId="1" numFmtId="1000" quotePrefix="false">
      <alignment horizontal="center" vertical="top"/>
    </xf>
    <xf applyAlignment="true" applyBorder="true" applyFill="false" applyFont="false" applyNumberFormat="true" borderId="9044" fillId="0" fontId="1" numFmtId="1000" quotePrefix="false">
      <alignment horizontal="center" vertical="top"/>
    </xf>
    <xf applyAlignment="true" applyBorder="true" applyFill="false" applyFont="false" applyNumberFormat="true" borderId="9045" fillId="0" fontId="1" numFmtId="1000" quotePrefix="false">
      <alignment horizontal="center" vertical="top"/>
    </xf>
    <xf applyAlignment="true" applyBorder="true" applyFill="false" applyFont="false" applyNumberFormat="true" borderId="9046" fillId="0" fontId="1" numFmtId="1000" quotePrefix="false">
      <alignment horizontal="center" vertical="top"/>
    </xf>
    <xf applyAlignment="true" applyBorder="true" applyFill="false" applyFont="false" applyNumberFormat="true" borderId="9047" fillId="0" fontId="1" numFmtId="1000" quotePrefix="false">
      <alignment horizontal="center" vertical="top"/>
    </xf>
    <xf applyAlignment="true" applyBorder="true" applyFill="false" applyFont="false" applyNumberFormat="true" borderId="9048" fillId="0" fontId="1" numFmtId="1000" quotePrefix="false">
      <alignment horizontal="center" vertical="top"/>
    </xf>
    <xf applyAlignment="true" applyBorder="true" applyFill="false" applyFont="false" applyNumberFormat="true" borderId="9049" fillId="0" fontId="1" numFmtId="1000" quotePrefix="false">
      <alignment horizontal="center" vertical="top"/>
    </xf>
    <xf applyAlignment="true" applyBorder="true" applyFill="false" applyFont="false" applyNumberFormat="true" borderId="9050" fillId="0" fontId="1" numFmtId="1000" quotePrefix="false">
      <alignment horizontal="center" vertical="top"/>
    </xf>
    <xf applyAlignment="true" applyBorder="true" applyFill="false" applyFont="false" applyNumberFormat="true" borderId="9051" fillId="0" fontId="1" numFmtId="1000" quotePrefix="false">
      <alignment horizontal="center" vertical="top"/>
    </xf>
    <xf applyAlignment="true" applyBorder="true" applyFill="false" applyFont="false" applyNumberFormat="true" borderId="9052" fillId="0" fontId="1" numFmtId="1000" quotePrefix="false">
      <alignment horizontal="center" vertical="top"/>
    </xf>
    <xf applyAlignment="true" applyBorder="true" applyFill="false" applyFont="false" applyNumberFormat="true" borderId="9053" fillId="0" fontId="1" numFmtId="1000" quotePrefix="false">
      <alignment horizontal="center" vertical="top"/>
    </xf>
    <xf applyAlignment="true" applyBorder="true" applyFill="false" applyFont="false" applyNumberFormat="true" borderId="9054" fillId="0" fontId="1" numFmtId="1000" quotePrefix="false">
      <alignment horizontal="center" vertical="top"/>
    </xf>
    <xf applyAlignment="true" applyBorder="true" applyFill="false" applyFont="false" applyNumberFormat="true" borderId="9055" fillId="0" fontId="1" numFmtId="1000" quotePrefix="false">
      <alignment horizontal="center" vertical="top"/>
    </xf>
    <xf applyAlignment="true" applyBorder="true" applyFill="false" applyFont="false" applyNumberFormat="true" borderId="9056" fillId="0" fontId="1" numFmtId="1000" quotePrefix="false">
      <alignment horizontal="center" vertical="top"/>
    </xf>
    <xf applyAlignment="true" applyBorder="true" applyFill="false" applyFont="false" applyNumberFormat="true" borderId="9057" fillId="0" fontId="1" numFmtId="1000" quotePrefix="false">
      <alignment horizontal="center" vertical="top"/>
    </xf>
    <xf applyAlignment="true" applyBorder="true" applyFill="false" applyFont="false" applyNumberFormat="true" borderId="9058" fillId="0" fontId="1" numFmtId="1000" quotePrefix="false">
      <alignment horizontal="center" vertical="top"/>
    </xf>
    <xf applyAlignment="true" applyBorder="true" applyFill="false" applyFont="false" applyNumberFormat="true" borderId="9059" fillId="0" fontId="1" numFmtId="1000" quotePrefix="false">
      <alignment horizontal="center" vertical="top"/>
    </xf>
    <xf applyAlignment="true" applyBorder="true" applyFill="false" applyFont="false" applyNumberFormat="true" borderId="9060" fillId="0" fontId="1" numFmtId="1000" quotePrefix="false">
      <alignment horizontal="center" vertical="top"/>
    </xf>
    <xf applyAlignment="true" applyBorder="true" applyFill="false" applyFont="false" applyNumberFormat="true" borderId="9061" fillId="0" fontId="1" numFmtId="1000" quotePrefix="false">
      <alignment horizontal="center" vertical="top"/>
    </xf>
    <xf applyAlignment="true" applyBorder="true" applyFill="false" applyFont="false" applyNumberFormat="true" borderId="9062" fillId="0" fontId="1" numFmtId="1000" quotePrefix="false">
      <alignment horizontal="center" vertical="top"/>
    </xf>
    <xf applyAlignment="true" applyBorder="true" applyFill="false" applyFont="false" applyNumberFormat="true" borderId="9063" fillId="0" fontId="1" numFmtId="1000" quotePrefix="false">
      <alignment horizontal="center" vertical="top"/>
    </xf>
    <xf applyAlignment="true" applyBorder="true" applyFill="false" applyFont="false" applyNumberFormat="true" borderId="9064" fillId="0" fontId="1" numFmtId="1000" quotePrefix="false">
      <alignment horizontal="center" vertical="top"/>
    </xf>
    <xf applyAlignment="true" applyBorder="true" applyFill="false" applyFont="false" applyNumberFormat="true" borderId="9065" fillId="0" fontId="1" numFmtId="1000" quotePrefix="false">
      <alignment horizontal="center" vertical="top"/>
    </xf>
    <xf applyAlignment="true" applyBorder="true" applyFill="false" applyFont="false" applyNumberFormat="true" borderId="9066" fillId="0" fontId="1" numFmtId="1000" quotePrefix="false">
      <alignment horizontal="center" vertical="top"/>
    </xf>
    <xf applyAlignment="true" applyBorder="true" applyFill="false" applyFont="false" applyNumberFormat="true" borderId="9067" fillId="0" fontId="1" numFmtId="1000" quotePrefix="false">
      <alignment horizontal="center" vertical="top"/>
    </xf>
    <xf applyAlignment="true" applyBorder="true" applyFill="false" applyFont="true" applyNumberFormat="true" borderId="9068" fillId="0" fontId="2" numFmtId="1000" quotePrefix="false">
      <alignment horizontal="center" vertical="top"/>
    </xf>
    <xf applyAlignment="true" applyBorder="true" applyFill="false" applyFont="false" applyNumberFormat="true" borderId="9069" fillId="0" fontId="1" numFmtId="1000" quotePrefix="false">
      <alignment horizontal="left" vertical="top"/>
    </xf>
    <xf applyAlignment="true" applyBorder="true" applyFill="false" applyFont="false" applyNumberFormat="true" borderId="9070" fillId="0" fontId="1" numFmtId="1000" quotePrefix="false">
      <alignment horizontal="left" vertical="top"/>
    </xf>
    <xf applyAlignment="true" applyBorder="true" applyFill="false" applyFont="false" applyNumberFormat="true" borderId="9071" fillId="0" fontId="1" numFmtId="1000" quotePrefix="false">
      <alignment horizontal="left" vertical="top"/>
    </xf>
    <xf applyAlignment="true" applyBorder="true" applyFill="false" applyFont="false" applyNumberFormat="true" borderId="9072" fillId="0" fontId="1" numFmtId="1000" quotePrefix="false">
      <alignment horizontal="left" vertical="top"/>
    </xf>
    <xf applyAlignment="true" applyBorder="true" applyFill="false" applyFont="false" applyNumberFormat="true" borderId="9073" fillId="0" fontId="1" numFmtId="1000" quotePrefix="false">
      <alignment horizontal="left" vertical="top"/>
    </xf>
    <xf applyAlignment="true" applyBorder="true" applyFill="false" applyFont="false" applyNumberFormat="true" borderId="9074" fillId="0" fontId="1" numFmtId="1000" quotePrefix="false">
      <alignment horizontal="left" vertical="top"/>
    </xf>
    <xf applyAlignment="true" applyBorder="true" applyFill="false" applyFont="false" applyNumberFormat="true" borderId="9075" fillId="0" fontId="1" numFmtId="1000" quotePrefix="false">
      <alignment horizontal="left" vertical="top"/>
    </xf>
    <xf applyAlignment="true" applyBorder="true" applyFill="false" applyFont="false" applyNumberFormat="true" borderId="9076" fillId="0" fontId="1" numFmtId="1000" quotePrefix="false">
      <alignment horizontal="left" vertical="top"/>
    </xf>
    <xf applyAlignment="true" applyBorder="true" applyFill="false" applyFont="false" applyNumberFormat="true" borderId="9077" fillId="0" fontId="1" numFmtId="1000" quotePrefix="false">
      <alignment horizontal="left" vertical="top"/>
    </xf>
    <xf applyAlignment="true" applyBorder="true" applyFill="false" applyFont="false" applyNumberFormat="true" borderId="9078" fillId="0" fontId="1" numFmtId="1000" quotePrefix="false">
      <alignment horizontal="left" vertical="top"/>
    </xf>
    <xf applyAlignment="true" applyBorder="true" applyFill="false" applyFont="false" applyNumberFormat="true" borderId="9079" fillId="0" fontId="1" numFmtId="1000" quotePrefix="false">
      <alignment horizontal="left" vertical="top"/>
    </xf>
    <xf applyAlignment="true" applyBorder="true" applyFill="false" applyFont="false" applyNumberFormat="true" borderId="9080" fillId="0" fontId="1" numFmtId="1000" quotePrefix="false">
      <alignment horizontal="left" vertical="top"/>
    </xf>
    <xf applyAlignment="true" applyBorder="true" applyFill="false" applyFont="false" applyNumberFormat="true" borderId="9081" fillId="0" fontId="1" numFmtId="1000" quotePrefix="false">
      <alignment horizontal="left" vertical="top"/>
    </xf>
    <xf applyAlignment="true" applyBorder="true" applyFill="false" applyFont="false" applyNumberFormat="true" borderId="9082" fillId="0" fontId="1" numFmtId="1000" quotePrefix="false">
      <alignment horizontal="left" vertical="top"/>
    </xf>
    <xf applyAlignment="true" applyBorder="true" applyFill="false" applyFont="false" applyNumberFormat="true" borderId="9083" fillId="0" fontId="1" numFmtId="1000" quotePrefix="false">
      <alignment horizontal="left" vertical="top"/>
    </xf>
    <xf applyAlignment="true" applyBorder="true" applyFill="false" applyFont="false" applyNumberFormat="true" borderId="9084" fillId="0" fontId="1" numFmtId="1000" quotePrefix="false">
      <alignment horizontal="left" vertical="top"/>
    </xf>
    <xf applyAlignment="true" applyBorder="true" applyFill="false" applyFont="false" applyNumberFormat="true" borderId="9085" fillId="0" fontId="1" numFmtId="1000" quotePrefix="false">
      <alignment horizontal="left" vertical="top"/>
    </xf>
    <xf applyAlignment="true" applyBorder="true" applyFill="false" applyFont="false" applyNumberFormat="true" borderId="9086" fillId="0" fontId="1" numFmtId="1000" quotePrefix="false">
      <alignment horizontal="left" vertical="top"/>
    </xf>
    <xf applyAlignment="true" applyBorder="true" applyFill="false" applyFont="false" applyNumberFormat="true" borderId="9087" fillId="0" fontId="1" numFmtId="1000" quotePrefix="false">
      <alignment horizontal="left" vertical="top"/>
    </xf>
    <xf applyAlignment="true" applyBorder="true" applyFill="false" applyFont="true" applyNumberFormat="true" borderId="9088" fillId="0" fontId="2" numFmtId="1001" quotePrefix="false">
      <alignment horizontal="center"/>
    </xf>
    <xf applyAlignment="true" applyBorder="true" applyFill="false" applyFont="true" applyNumberFormat="true" borderId="9089" fillId="0" fontId="2" numFmtId="1001" quotePrefix="false">
      <alignment horizontal="center"/>
    </xf>
    <xf applyAlignment="true" applyBorder="true" applyFill="false" applyFont="true" applyNumberFormat="true" borderId="9090" fillId="0" fontId="2" numFmtId="1001" quotePrefix="false">
      <alignment horizontal="center"/>
    </xf>
    <xf applyAlignment="true" applyBorder="true" applyFill="false" applyFont="false" applyNumberFormat="true" borderId="9091" fillId="0" fontId="1" numFmtId="1000" quotePrefix="false">
      <alignment horizontal="center" vertical="top"/>
    </xf>
    <xf applyAlignment="true" applyBorder="true" applyFill="false" applyFont="false" applyNumberFormat="true" borderId="9092" fillId="0" fontId="1" numFmtId="1000" quotePrefix="false">
      <alignment horizontal="center" vertical="top"/>
    </xf>
    <xf applyAlignment="true" applyBorder="true" applyFill="false" applyFont="false" applyNumberFormat="true" borderId="9093" fillId="0" fontId="1" numFmtId="1000" quotePrefix="false">
      <alignment horizontal="center" vertical="top"/>
    </xf>
    <xf applyAlignment="true" applyBorder="true" applyFill="false" applyFont="false" applyNumberFormat="true" borderId="9094" fillId="0" fontId="1" numFmtId="1000" quotePrefix="false">
      <alignment horizontal="center" vertical="top"/>
    </xf>
    <xf applyAlignment="true" applyBorder="true" applyFill="false" applyFont="false" applyNumberFormat="true" borderId="9095" fillId="0" fontId="1" numFmtId="1000" quotePrefix="false">
      <alignment horizontal="center" vertical="top"/>
    </xf>
    <xf applyAlignment="true" applyBorder="true" applyFill="false" applyFont="false" applyNumberFormat="true" borderId="9096" fillId="0" fontId="1" numFmtId="1000" quotePrefix="false">
      <alignment horizontal="center" vertical="top"/>
    </xf>
    <xf applyAlignment="true" applyBorder="true" applyFill="false" applyFont="false" applyNumberFormat="true" borderId="9097" fillId="0" fontId="1" numFmtId="1000" quotePrefix="false">
      <alignment horizontal="center" vertical="top"/>
    </xf>
    <xf applyAlignment="true" applyBorder="true" applyFill="false" applyFont="false" applyNumberFormat="true" borderId="9098" fillId="0" fontId="1" numFmtId="1000" quotePrefix="false">
      <alignment horizontal="center" vertical="top"/>
    </xf>
    <xf applyAlignment="true" applyBorder="true" applyFill="false" applyFont="false" applyNumberFormat="true" borderId="9099" fillId="0" fontId="1" numFmtId="1000" quotePrefix="false">
      <alignment horizontal="center" vertical="top"/>
    </xf>
    <xf applyAlignment="true" applyBorder="true" applyFill="false" applyFont="false" applyNumberFormat="true" borderId="9100" fillId="0" fontId="1" numFmtId="1000" quotePrefix="false">
      <alignment horizontal="center" vertical="top"/>
    </xf>
    <xf applyAlignment="true" applyBorder="true" applyFill="false" applyFont="false" applyNumberFormat="true" borderId="9101" fillId="0" fontId="1" numFmtId="1000" quotePrefix="false">
      <alignment horizontal="center" vertical="top"/>
    </xf>
    <xf applyAlignment="true" applyBorder="true" applyFill="false" applyFont="false" applyNumberFormat="true" borderId="9102" fillId="0" fontId="1" numFmtId="1000" quotePrefix="false">
      <alignment horizontal="center" vertical="top"/>
    </xf>
    <xf applyAlignment="true" applyBorder="true" applyFill="false" applyFont="false" applyNumberFormat="true" borderId="9103" fillId="0" fontId="1" numFmtId="1000" quotePrefix="false">
      <alignment horizontal="center" vertical="top"/>
    </xf>
    <xf applyAlignment="true" applyBorder="true" applyFill="false" applyFont="false" applyNumberFormat="true" borderId="9104" fillId="0" fontId="1" numFmtId="1000" quotePrefix="false">
      <alignment horizontal="center" vertical="top"/>
    </xf>
    <xf applyAlignment="true" applyBorder="true" applyFill="false" applyFont="false" applyNumberFormat="true" borderId="9105" fillId="0" fontId="1" numFmtId="1000" quotePrefix="false">
      <alignment horizontal="center" vertical="top"/>
    </xf>
    <xf applyAlignment="true" applyBorder="true" applyFill="false" applyFont="false" applyNumberFormat="true" borderId="9106" fillId="0" fontId="1" numFmtId="1000" quotePrefix="false">
      <alignment horizontal="center" vertical="top"/>
    </xf>
    <xf applyAlignment="true" applyBorder="true" applyFill="false" applyFont="false" applyNumberFormat="true" borderId="9107" fillId="0" fontId="1" numFmtId="1000" quotePrefix="false">
      <alignment horizontal="center" vertical="top"/>
    </xf>
    <xf applyAlignment="true" applyBorder="true" applyFill="false" applyFont="false" applyNumberFormat="true" borderId="9108" fillId="0" fontId="1" numFmtId="1000" quotePrefix="false">
      <alignment horizontal="center" vertical="top"/>
    </xf>
    <xf applyAlignment="true" applyBorder="true" applyFill="false" applyFont="false" applyNumberFormat="true" borderId="9109" fillId="0" fontId="1" numFmtId="1000" quotePrefix="false">
      <alignment horizontal="center" vertical="top"/>
    </xf>
    <xf applyAlignment="true" applyBorder="true" applyFill="false" applyFont="false" applyNumberFormat="true" borderId="9110" fillId="0" fontId="1" numFmtId="1000" quotePrefix="false">
      <alignment horizontal="center" vertical="top"/>
    </xf>
    <xf applyAlignment="true" applyBorder="true" applyFill="false" applyFont="false" applyNumberFormat="true" borderId="9111" fillId="0" fontId="1" numFmtId="1000" quotePrefix="false">
      <alignment horizontal="center" vertical="top"/>
    </xf>
    <xf applyAlignment="true" applyBorder="true" applyFill="false" applyFont="false" applyNumberFormat="true" borderId="9112" fillId="0" fontId="1" numFmtId="1000" quotePrefix="false">
      <alignment horizontal="center" vertical="top"/>
    </xf>
    <xf applyAlignment="true" applyBorder="true" applyFill="false" applyFont="false" applyNumberFormat="true" borderId="9113" fillId="0" fontId="1" numFmtId="1000" quotePrefix="false">
      <alignment horizontal="center" vertical="top"/>
    </xf>
    <xf applyAlignment="true" applyBorder="true" applyFill="false" applyFont="false" applyNumberFormat="true" borderId="9114" fillId="0" fontId="1" numFmtId="1000" quotePrefix="false">
      <alignment horizontal="center" vertical="top"/>
    </xf>
    <xf applyAlignment="true" applyBorder="true" applyFill="false" applyFont="false" applyNumberFormat="true" borderId="9115" fillId="0" fontId="1" numFmtId="1000" quotePrefix="false">
      <alignment horizontal="center" vertical="top"/>
    </xf>
    <xf applyAlignment="true" applyBorder="true" applyFill="false" applyFont="false" applyNumberFormat="true" borderId="9116" fillId="0" fontId="1" numFmtId="1000" quotePrefix="false">
      <alignment horizontal="center" vertical="top"/>
    </xf>
    <xf applyAlignment="true" applyBorder="true" applyFill="false" applyFont="false" applyNumberFormat="true" borderId="9117" fillId="0" fontId="1" numFmtId="1000" quotePrefix="false">
      <alignment horizontal="center" vertical="top"/>
    </xf>
    <xf applyAlignment="true" applyBorder="true" applyFill="false" applyFont="false" applyNumberFormat="true" borderId="9118" fillId="0" fontId="1" numFmtId="1000" quotePrefix="false">
      <alignment horizontal="center" vertical="top"/>
    </xf>
    <xf applyAlignment="true" applyBorder="true" applyFill="false" applyFont="false" applyNumberFormat="true" borderId="9119" fillId="0" fontId="1" numFmtId="1000" quotePrefix="false">
      <alignment horizontal="center" vertical="top"/>
    </xf>
    <xf applyAlignment="true" applyBorder="true" applyFill="false" applyFont="false" applyNumberFormat="true" borderId="9120" fillId="0" fontId="1" numFmtId="1000" quotePrefix="false">
      <alignment horizontal="center" vertical="top"/>
    </xf>
    <xf applyAlignment="true" applyBorder="true" applyFill="false" applyFont="false" applyNumberFormat="true" borderId="9121" fillId="0" fontId="1" numFmtId="1000" quotePrefix="false">
      <alignment horizontal="center" vertical="top"/>
    </xf>
    <xf applyAlignment="true" applyBorder="true" applyFill="false" applyFont="false" applyNumberFormat="true" borderId="9122" fillId="0" fontId="1" numFmtId="1000" quotePrefix="false">
      <alignment horizontal="center" vertical="top"/>
    </xf>
    <xf applyAlignment="true" applyBorder="true" applyFill="false" applyFont="false" applyNumberFormat="true" borderId="9123" fillId="0" fontId="1" numFmtId="1000" quotePrefix="false">
      <alignment horizontal="center" vertical="top"/>
    </xf>
    <xf applyAlignment="true" applyBorder="true" applyFill="false" applyFont="true" applyNumberFormat="true" borderId="28" fillId="0" fontId="2" numFmtId="1000" quotePrefix="false">
      <alignment horizontal="left" vertical="top"/>
    </xf>
    <xf applyAlignment="true" applyBorder="true" applyFill="false" applyFont="true" applyNumberFormat="true" borderId="9124" fillId="0" fontId="2" numFmtId="1000" quotePrefix="false">
      <alignment horizontal="left" vertical="top"/>
    </xf>
    <xf applyAlignment="true" applyBorder="true" applyFill="false" applyFont="true" applyNumberFormat="true" borderId="9125" fillId="0" fontId="2" numFmtId="1000" quotePrefix="false">
      <alignment horizontal="left" vertical="top"/>
    </xf>
    <xf applyAlignment="true" applyBorder="true" applyFill="false" applyFont="true" applyNumberFormat="true" borderId="9126" fillId="0" fontId="2" numFmtId="1000" quotePrefix="false">
      <alignment horizontal="left" vertical="top"/>
    </xf>
    <xf applyAlignment="true" applyBorder="true" applyFill="false" applyFont="true" applyNumberFormat="true" borderId="9127" fillId="0" fontId="2" numFmtId="1000" quotePrefix="false">
      <alignment horizontal="left" vertical="top"/>
    </xf>
    <xf applyAlignment="true" applyBorder="true" applyFill="false" applyFont="true" applyNumberFormat="true" borderId="9128" fillId="0" fontId="2" numFmtId="1000" quotePrefix="false">
      <alignment horizontal="left" vertical="top"/>
    </xf>
    <xf applyAlignment="true" applyBorder="true" applyFill="false" applyFont="true" applyNumberFormat="true" borderId="9129" fillId="0" fontId="2" numFmtId="1000" quotePrefix="false">
      <alignment horizontal="left" vertical="top"/>
    </xf>
    <xf applyAlignment="true" applyBorder="true" applyFill="false" applyFont="true" applyNumberFormat="true" borderId="9130" fillId="0" fontId="2" numFmtId="1000" quotePrefix="false">
      <alignment horizontal="left" vertical="top"/>
    </xf>
    <xf applyAlignment="true" applyBorder="true" applyFill="false" applyFont="true" applyNumberFormat="true" borderId="9131" fillId="0" fontId="2" numFmtId="1000" quotePrefix="false">
      <alignment horizontal="left" vertical="top"/>
    </xf>
    <xf applyAlignment="true" applyBorder="true" applyFill="false" applyFont="true" applyNumberFormat="true" borderId="9132" fillId="0" fontId="2" numFmtId="1000" quotePrefix="false">
      <alignment horizontal="left" vertical="top"/>
    </xf>
    <xf applyAlignment="true" applyBorder="true" applyFill="false" applyFont="true" applyNumberFormat="true" borderId="9133" fillId="0" fontId="2" numFmtId="1000" quotePrefix="false">
      <alignment horizontal="left" vertical="top"/>
    </xf>
    <xf applyAlignment="true" applyBorder="true" applyFill="false" applyFont="true" applyNumberFormat="true" borderId="9134" fillId="0" fontId="2" numFmtId="1000" quotePrefix="false">
      <alignment horizontal="left" vertical="top"/>
    </xf>
    <xf applyAlignment="true" applyBorder="true" applyFill="false" applyFont="true" applyNumberFormat="true" borderId="9135" fillId="0" fontId="2" numFmtId="1000" quotePrefix="false">
      <alignment horizontal="left" vertical="top"/>
    </xf>
    <xf applyAlignment="true" applyBorder="true" applyFill="false" applyFont="true" applyNumberFormat="true" borderId="9136" fillId="0" fontId="2" numFmtId="1000" quotePrefix="false">
      <alignment horizontal="left" vertical="top"/>
    </xf>
    <xf applyAlignment="true" applyBorder="true" applyFill="false" applyFont="true" applyNumberFormat="true" borderId="9137" fillId="0" fontId="2" numFmtId="1000" quotePrefix="false">
      <alignment horizontal="left" vertical="top"/>
    </xf>
    <xf applyAlignment="true" applyBorder="true" applyFill="false" applyFont="true" applyNumberFormat="true" borderId="9138" fillId="0" fontId="2" numFmtId="1000" quotePrefix="false">
      <alignment horizontal="left" vertical="top"/>
    </xf>
    <xf applyAlignment="true" applyBorder="true" applyFill="false" applyFont="true" applyNumberFormat="true" borderId="9139" fillId="0" fontId="2" numFmtId="1000" quotePrefix="false">
      <alignment horizontal="left" vertical="top"/>
    </xf>
    <xf applyAlignment="true" applyBorder="true" applyFill="false" applyFont="true" applyNumberFormat="true" borderId="9140" fillId="0" fontId="2" numFmtId="1000" quotePrefix="false">
      <alignment horizontal="left" vertical="top"/>
    </xf>
    <xf applyAlignment="true" applyBorder="true" applyFill="false" applyFont="true" applyNumberFormat="true" borderId="9141" fillId="0" fontId="2" numFmtId="1000" quotePrefix="false">
      <alignment horizontal="left" vertical="top"/>
    </xf>
    <xf applyAlignment="true" applyBorder="true" applyFill="false" applyFont="true" applyNumberFormat="true" borderId="9142" fillId="0" fontId="2" numFmtId="1000" quotePrefix="false">
      <alignment horizontal="left" vertical="top"/>
    </xf>
    <xf applyAlignment="true" applyBorder="true" applyFill="false" applyFont="true" applyNumberFormat="true" borderId="9143" fillId="0" fontId="2" numFmtId="1000" quotePrefix="false">
      <alignment horizontal="left" vertical="top"/>
    </xf>
    <xf applyAlignment="true" applyBorder="true" applyFill="false" applyFont="true" applyNumberFormat="true" borderId="9144" fillId="0" fontId="2" numFmtId="1000" quotePrefix="false">
      <alignment horizontal="left" vertical="top"/>
    </xf>
    <xf applyAlignment="true" applyBorder="true" applyFill="false" applyFont="true" applyNumberFormat="true" borderId="9145" fillId="0" fontId="2" numFmtId="1001" quotePrefix="false">
      <alignment horizontal="center"/>
    </xf>
    <xf applyAlignment="true" applyBorder="true" applyFill="false" applyFont="true" applyNumberFormat="true" borderId="9146" fillId="0" fontId="2" numFmtId="1001" quotePrefix="false">
      <alignment horizontal="center"/>
    </xf>
    <xf applyAlignment="true" applyBorder="true" applyFill="false" applyFont="true" applyNumberFormat="true" borderId="9147" fillId="0" fontId="2" numFmtId="1001" quotePrefix="false">
      <alignment horizontal="center"/>
    </xf>
    <xf applyAlignment="true" applyBorder="true" applyFill="false" applyFont="false" applyNumberFormat="true" borderId="9148" fillId="0" fontId="1" numFmtId="1000" quotePrefix="false">
      <alignment horizontal="center" vertical="top"/>
    </xf>
    <xf applyAlignment="true" applyBorder="true" applyFill="false" applyFont="false" applyNumberFormat="true" borderId="9149" fillId="0" fontId="1" numFmtId="1000" quotePrefix="false">
      <alignment horizontal="center" vertical="top"/>
    </xf>
    <xf applyAlignment="true" applyBorder="true" applyFill="false" applyFont="false" applyNumberFormat="true" borderId="9150" fillId="0" fontId="1" numFmtId="1000" quotePrefix="false">
      <alignment horizontal="center" vertical="top"/>
    </xf>
    <xf applyAlignment="true" applyBorder="true" applyFill="false" applyFont="false" applyNumberFormat="true" borderId="9151" fillId="0" fontId="1" numFmtId="1000" quotePrefix="false">
      <alignment horizontal="center" vertical="top"/>
    </xf>
    <xf applyAlignment="true" applyBorder="true" applyFill="false" applyFont="false" applyNumberFormat="true" borderId="9152" fillId="0" fontId="1" numFmtId="1000" quotePrefix="false">
      <alignment horizontal="center" vertical="top"/>
    </xf>
    <xf applyAlignment="true" applyBorder="true" applyFill="false" applyFont="false" applyNumberFormat="true" borderId="9153" fillId="0" fontId="1" numFmtId="1000" quotePrefix="false">
      <alignment horizontal="center" vertical="top"/>
    </xf>
    <xf applyAlignment="true" applyBorder="true" applyFill="false" applyFont="false" applyNumberFormat="true" borderId="9154" fillId="0" fontId="1" numFmtId="1000" quotePrefix="false">
      <alignment horizontal="center" vertical="top"/>
    </xf>
    <xf applyAlignment="true" applyBorder="true" applyFill="false" applyFont="false" applyNumberFormat="true" borderId="9155" fillId="0" fontId="1" numFmtId="1000" quotePrefix="false">
      <alignment horizontal="center" vertical="top"/>
    </xf>
    <xf applyAlignment="true" applyBorder="true" applyFill="false" applyFont="false" applyNumberFormat="true" borderId="9156" fillId="0" fontId="1" numFmtId="1000" quotePrefix="false">
      <alignment horizontal="center" vertical="top"/>
    </xf>
    <xf applyAlignment="true" applyBorder="true" applyFill="false" applyFont="false" applyNumberFormat="true" borderId="9157" fillId="0" fontId="1" numFmtId="1000" quotePrefix="false">
      <alignment horizontal="center" vertical="top"/>
    </xf>
    <xf applyAlignment="true" applyBorder="true" applyFill="false" applyFont="false" applyNumberFormat="true" borderId="9158" fillId="0" fontId="1" numFmtId="1000" quotePrefix="false">
      <alignment horizontal="center" vertical="top"/>
    </xf>
    <xf applyAlignment="true" applyBorder="true" applyFill="false" applyFont="false" applyNumberFormat="true" borderId="9159" fillId="0" fontId="1" numFmtId="1000" quotePrefix="false">
      <alignment horizontal="center" vertical="top"/>
    </xf>
    <xf applyAlignment="true" applyBorder="true" applyFill="false" applyFont="false" applyNumberFormat="true" borderId="9160" fillId="0" fontId="1" numFmtId="1000" quotePrefix="false">
      <alignment horizontal="center" vertical="top"/>
    </xf>
    <xf applyAlignment="true" applyBorder="true" applyFill="false" applyFont="false" applyNumberFormat="true" borderId="9161" fillId="0" fontId="1" numFmtId="1000" quotePrefix="false">
      <alignment horizontal="center" vertical="top"/>
    </xf>
    <xf applyAlignment="true" applyBorder="true" applyFill="false" applyFont="false" applyNumberFormat="true" borderId="9162" fillId="0" fontId="1" numFmtId="1000" quotePrefix="false">
      <alignment horizontal="center" vertical="top"/>
    </xf>
    <xf applyAlignment="true" applyBorder="true" applyFill="false" applyFont="false" applyNumberFormat="true" borderId="9163" fillId="0" fontId="1" numFmtId="1000" quotePrefix="false">
      <alignment horizontal="center" vertical="top"/>
    </xf>
    <xf applyAlignment="true" applyBorder="true" applyFill="false" applyFont="false" applyNumberFormat="true" borderId="9164" fillId="0" fontId="1" numFmtId="1000" quotePrefix="false">
      <alignment horizontal="center" vertical="top"/>
    </xf>
    <xf applyAlignment="true" applyBorder="true" applyFill="false" applyFont="false" applyNumberFormat="true" borderId="9165" fillId="0" fontId="1" numFmtId="1000" quotePrefix="false">
      <alignment horizontal="center" vertical="top"/>
    </xf>
    <xf applyAlignment="true" applyBorder="true" applyFill="false" applyFont="false" applyNumberFormat="true" borderId="9166" fillId="0" fontId="1" numFmtId="1000" quotePrefix="false">
      <alignment horizontal="center" vertical="top"/>
    </xf>
    <xf applyAlignment="true" applyBorder="true" applyFill="false" applyFont="false" applyNumberFormat="true" borderId="9167" fillId="0" fontId="1" numFmtId="1000" quotePrefix="false">
      <alignment horizontal="center" vertical="top"/>
    </xf>
    <xf applyAlignment="true" applyBorder="true" applyFill="false" applyFont="false" applyNumberFormat="true" borderId="9168" fillId="0" fontId="1" numFmtId="1000" quotePrefix="false">
      <alignment horizontal="center" vertical="top"/>
    </xf>
    <xf applyAlignment="true" applyBorder="true" applyFill="false" applyFont="false" applyNumberFormat="true" borderId="9169" fillId="0" fontId="1" numFmtId="1000" quotePrefix="false">
      <alignment horizontal="center" vertical="top"/>
    </xf>
    <xf applyAlignment="true" applyBorder="true" applyFill="false" applyFont="false" applyNumberFormat="true" borderId="9170" fillId="0" fontId="1" numFmtId="1000" quotePrefix="false">
      <alignment horizontal="center" vertical="top"/>
    </xf>
    <xf applyAlignment="true" applyBorder="true" applyFill="false" applyFont="false" applyNumberFormat="true" borderId="9171" fillId="0" fontId="1" numFmtId="1000" quotePrefix="false">
      <alignment horizontal="center" vertical="top"/>
    </xf>
    <xf applyAlignment="true" applyBorder="true" applyFill="false" applyFont="false" applyNumberFormat="true" borderId="9172" fillId="0" fontId="1" numFmtId="1000" quotePrefix="false">
      <alignment horizontal="center" vertical="top"/>
    </xf>
    <xf applyAlignment="true" applyBorder="true" applyFill="false" applyFont="false" applyNumberFormat="true" borderId="9173" fillId="0" fontId="1" numFmtId="1000" quotePrefix="false">
      <alignment horizontal="center" vertical="top"/>
    </xf>
    <xf applyAlignment="true" applyBorder="true" applyFill="false" applyFont="false" applyNumberFormat="true" borderId="9174" fillId="0" fontId="1" numFmtId="1000" quotePrefix="false">
      <alignment horizontal="center" vertical="top"/>
    </xf>
    <xf applyAlignment="true" applyBorder="true" applyFill="false" applyFont="false" applyNumberFormat="true" borderId="9175" fillId="0" fontId="1" numFmtId="1000" quotePrefix="false">
      <alignment horizontal="center" vertical="top"/>
    </xf>
    <xf applyAlignment="true" applyBorder="true" applyFill="false" applyFont="false" applyNumberFormat="true" borderId="9176" fillId="0" fontId="1" numFmtId="1000" quotePrefix="false">
      <alignment horizontal="center" vertical="top"/>
    </xf>
    <xf applyAlignment="true" applyBorder="true" applyFill="false" applyFont="false" applyNumberFormat="true" borderId="9177" fillId="0" fontId="1" numFmtId="1000" quotePrefix="false">
      <alignment horizontal="center" vertical="top"/>
    </xf>
    <xf applyAlignment="true" applyBorder="true" applyFill="false" applyFont="false" applyNumberFormat="true" borderId="9178" fillId="0" fontId="1" numFmtId="1000" quotePrefix="false">
      <alignment horizontal="center" vertical="top"/>
    </xf>
    <xf applyAlignment="true" applyBorder="true" applyFill="false" applyFont="false" applyNumberFormat="true" borderId="9179" fillId="0" fontId="1" numFmtId="1000" quotePrefix="false">
      <alignment horizontal="center" vertical="top"/>
    </xf>
    <xf applyAlignment="true" applyBorder="true" applyFill="false" applyFont="false" applyNumberFormat="true" borderId="9180" fillId="0" fontId="1" numFmtId="1000" quotePrefix="false">
      <alignment horizontal="center" vertical="top"/>
    </xf>
    <xf applyAlignment="true" applyBorder="true" applyFill="false" applyFont="true" applyNumberFormat="true" borderId="9181" fillId="0" fontId="2" numFmtId="1000" quotePrefix="false">
      <alignment horizontal="center" vertical="top"/>
    </xf>
    <xf applyAlignment="true" applyBorder="true" applyFill="false" applyFont="false" applyNumberFormat="true" borderId="9182" fillId="0" fontId="1" numFmtId="1000" quotePrefix="false">
      <alignment horizontal="left" vertical="top"/>
    </xf>
    <xf applyAlignment="true" applyBorder="true" applyFill="false" applyFont="false" applyNumberFormat="true" borderId="9183" fillId="0" fontId="1" numFmtId="1000" quotePrefix="false">
      <alignment horizontal="left" vertical="top"/>
    </xf>
    <xf applyAlignment="true" applyBorder="true" applyFill="false" applyFont="false" applyNumberFormat="true" borderId="9184" fillId="0" fontId="1" numFmtId="1000" quotePrefix="false">
      <alignment horizontal="left" vertical="top"/>
    </xf>
    <xf applyAlignment="true" applyBorder="true" applyFill="false" applyFont="false" applyNumberFormat="true" borderId="9185" fillId="0" fontId="1" numFmtId="1000" quotePrefix="false">
      <alignment horizontal="left" vertical="top"/>
    </xf>
    <xf applyAlignment="true" applyBorder="true" applyFill="false" applyFont="false" applyNumberFormat="true" borderId="9186" fillId="0" fontId="1" numFmtId="1000" quotePrefix="false">
      <alignment horizontal="left" vertical="top"/>
    </xf>
    <xf applyAlignment="true" applyBorder="true" applyFill="false" applyFont="false" applyNumberFormat="true" borderId="9187" fillId="0" fontId="1" numFmtId="1000" quotePrefix="false">
      <alignment horizontal="left" vertical="top"/>
    </xf>
    <xf applyAlignment="true" applyBorder="true" applyFill="false" applyFont="false" applyNumberFormat="true" borderId="9188" fillId="0" fontId="1" numFmtId="1000" quotePrefix="false">
      <alignment horizontal="left" vertical="top"/>
    </xf>
    <xf applyAlignment="true" applyBorder="true" applyFill="false" applyFont="false" applyNumberFormat="true" borderId="9189" fillId="0" fontId="1" numFmtId="1000" quotePrefix="false">
      <alignment horizontal="left" vertical="top"/>
    </xf>
    <xf applyAlignment="true" applyBorder="true" applyFill="false" applyFont="false" applyNumberFormat="true" borderId="9190" fillId="0" fontId="1" numFmtId="1000" quotePrefix="false">
      <alignment horizontal="left" vertical="top"/>
    </xf>
    <xf applyAlignment="true" applyBorder="true" applyFill="false" applyFont="false" applyNumberFormat="true" borderId="9191" fillId="0" fontId="1" numFmtId="1000" quotePrefix="false">
      <alignment horizontal="left" vertical="top"/>
    </xf>
    <xf applyAlignment="true" applyBorder="true" applyFill="false" applyFont="false" applyNumberFormat="true" borderId="9192" fillId="0" fontId="1" numFmtId="1000" quotePrefix="false">
      <alignment horizontal="left" vertical="top"/>
    </xf>
    <xf applyAlignment="true" applyBorder="true" applyFill="false" applyFont="false" applyNumberFormat="true" borderId="9193" fillId="0" fontId="1" numFmtId="1000" quotePrefix="false">
      <alignment horizontal="left" vertical="top"/>
    </xf>
    <xf applyAlignment="true" applyBorder="true" applyFill="false" applyFont="false" applyNumberFormat="true" borderId="9194" fillId="0" fontId="1" numFmtId="1000" quotePrefix="false">
      <alignment horizontal="left" vertical="top"/>
    </xf>
    <xf applyAlignment="true" applyBorder="true" applyFill="false" applyFont="false" applyNumberFormat="true" borderId="9195" fillId="0" fontId="1" numFmtId="1000" quotePrefix="false">
      <alignment horizontal="left" vertical="top"/>
    </xf>
    <xf applyAlignment="true" applyBorder="true" applyFill="false" applyFont="false" applyNumberFormat="true" borderId="9196" fillId="0" fontId="1" numFmtId="1000" quotePrefix="false">
      <alignment horizontal="left" vertical="top"/>
    </xf>
    <xf applyAlignment="true" applyBorder="true" applyFill="false" applyFont="false" applyNumberFormat="true" borderId="9197" fillId="0" fontId="1" numFmtId="1000" quotePrefix="false">
      <alignment horizontal="left" vertical="top"/>
    </xf>
    <xf applyAlignment="true" applyBorder="true" applyFill="false" applyFont="false" applyNumberFormat="true" borderId="9198" fillId="0" fontId="1" numFmtId="1000" quotePrefix="false">
      <alignment horizontal="left" vertical="top"/>
    </xf>
    <xf applyAlignment="true" applyBorder="true" applyFill="false" applyFont="false" applyNumberFormat="true" borderId="9199" fillId="0" fontId="1" numFmtId="1000" quotePrefix="false">
      <alignment horizontal="left" vertical="top"/>
    </xf>
    <xf applyAlignment="true" applyBorder="true" applyFill="false" applyFont="false" applyNumberFormat="true" borderId="9200" fillId="0" fontId="1" numFmtId="1000" quotePrefix="false">
      <alignment horizontal="left" vertical="top"/>
    </xf>
    <xf applyAlignment="true" applyBorder="true" applyFill="false" applyFont="true" applyNumberFormat="true" borderId="9201" fillId="0" fontId="2" numFmtId="1001" quotePrefix="false">
      <alignment horizontal="center"/>
    </xf>
    <xf applyAlignment="true" applyBorder="true" applyFill="false" applyFont="true" applyNumberFormat="true" borderId="9202" fillId="0" fontId="2" numFmtId="1001" quotePrefix="false">
      <alignment horizontal="center"/>
    </xf>
    <xf applyAlignment="true" applyBorder="true" applyFill="false" applyFont="true" applyNumberFormat="true" borderId="9203" fillId="0" fontId="2" numFmtId="1001" quotePrefix="false">
      <alignment horizontal="center"/>
    </xf>
    <xf applyAlignment="true" applyBorder="true" applyFill="false" applyFont="false" applyNumberFormat="true" borderId="9204" fillId="0" fontId="1" numFmtId="1000" quotePrefix="false">
      <alignment horizontal="center" vertical="top"/>
    </xf>
    <xf applyAlignment="true" applyBorder="true" applyFill="false" applyFont="false" applyNumberFormat="true" borderId="9205" fillId="0" fontId="1" numFmtId="1000" quotePrefix="false">
      <alignment horizontal="center" vertical="top"/>
    </xf>
    <xf applyAlignment="true" applyBorder="true" applyFill="false" applyFont="false" applyNumberFormat="true" borderId="9206" fillId="0" fontId="1" numFmtId="1000" quotePrefix="false">
      <alignment horizontal="center" vertical="top"/>
    </xf>
    <xf applyAlignment="true" applyBorder="true" applyFill="false" applyFont="false" applyNumberFormat="true" borderId="9207" fillId="0" fontId="1" numFmtId="1000" quotePrefix="false">
      <alignment horizontal="center" vertical="top"/>
    </xf>
    <xf applyAlignment="true" applyBorder="true" applyFill="false" applyFont="false" applyNumberFormat="true" borderId="9208" fillId="0" fontId="1" numFmtId="1000" quotePrefix="false">
      <alignment horizontal="center" vertical="top"/>
    </xf>
    <xf applyAlignment="true" applyBorder="true" applyFill="false" applyFont="false" applyNumberFormat="true" borderId="9209" fillId="0" fontId="1" numFmtId="1000" quotePrefix="false">
      <alignment horizontal="center" vertical="top"/>
    </xf>
    <xf applyAlignment="true" applyBorder="true" applyFill="false" applyFont="false" applyNumberFormat="true" borderId="9210" fillId="0" fontId="1" numFmtId="1000" quotePrefix="false">
      <alignment horizontal="center" vertical="top"/>
    </xf>
    <xf applyAlignment="true" applyBorder="true" applyFill="false" applyFont="false" applyNumberFormat="true" borderId="9211" fillId="0" fontId="1" numFmtId="1000" quotePrefix="false">
      <alignment horizontal="center" vertical="top"/>
    </xf>
    <xf applyAlignment="true" applyBorder="true" applyFill="false" applyFont="false" applyNumberFormat="true" borderId="9212" fillId="0" fontId="1" numFmtId="1000" quotePrefix="false">
      <alignment horizontal="center" vertical="top"/>
    </xf>
    <xf applyAlignment="true" applyBorder="true" applyFill="false" applyFont="false" applyNumberFormat="true" borderId="9213" fillId="0" fontId="1" numFmtId="1000" quotePrefix="false">
      <alignment horizontal="center" vertical="top"/>
    </xf>
    <xf applyAlignment="true" applyBorder="true" applyFill="false" applyFont="false" applyNumberFormat="true" borderId="9214" fillId="0" fontId="1" numFmtId="1000" quotePrefix="false">
      <alignment horizontal="center" vertical="top"/>
    </xf>
    <xf applyAlignment="true" applyBorder="true" applyFill="false" applyFont="false" applyNumberFormat="true" borderId="9215" fillId="0" fontId="1" numFmtId="1000" quotePrefix="false">
      <alignment horizontal="center" vertical="top"/>
    </xf>
    <xf applyAlignment="true" applyBorder="true" applyFill="false" applyFont="false" applyNumberFormat="true" borderId="9216" fillId="0" fontId="1" numFmtId="1000" quotePrefix="false">
      <alignment horizontal="center" vertical="top"/>
    </xf>
    <xf applyAlignment="true" applyBorder="true" applyFill="false" applyFont="false" applyNumberFormat="true" borderId="9217" fillId="0" fontId="1" numFmtId="1000" quotePrefix="false">
      <alignment horizontal="center" vertical="top"/>
    </xf>
    <xf applyAlignment="true" applyBorder="true" applyFill="false" applyFont="false" applyNumberFormat="true" borderId="9218" fillId="0" fontId="1" numFmtId="1000" quotePrefix="false">
      <alignment horizontal="center" vertical="top"/>
    </xf>
    <xf applyAlignment="true" applyBorder="true" applyFill="false" applyFont="false" applyNumberFormat="true" borderId="9219" fillId="0" fontId="1" numFmtId="1000" quotePrefix="false">
      <alignment horizontal="center" vertical="top"/>
    </xf>
    <xf applyAlignment="true" applyBorder="true" applyFill="false" applyFont="false" applyNumberFormat="true" borderId="9220" fillId="0" fontId="1" numFmtId="1000" quotePrefix="false">
      <alignment horizontal="center" vertical="top"/>
    </xf>
    <xf applyAlignment="true" applyBorder="true" applyFill="false" applyFont="false" applyNumberFormat="true" borderId="9221" fillId="0" fontId="1" numFmtId="1000" quotePrefix="false">
      <alignment horizontal="center" vertical="top"/>
    </xf>
    <xf applyAlignment="true" applyBorder="true" applyFill="false" applyFont="false" applyNumberFormat="true" borderId="9222" fillId="0" fontId="1" numFmtId="1000" quotePrefix="false">
      <alignment horizontal="center" vertical="top"/>
    </xf>
    <xf applyAlignment="true" applyBorder="true" applyFill="false" applyFont="false" applyNumberFormat="true" borderId="9223" fillId="0" fontId="1" numFmtId="1000" quotePrefix="false">
      <alignment horizontal="center" vertical="top"/>
    </xf>
    <xf applyAlignment="true" applyBorder="true" applyFill="false" applyFont="false" applyNumberFormat="true" borderId="9224" fillId="0" fontId="1" numFmtId="1000" quotePrefix="false">
      <alignment horizontal="center" vertical="top"/>
    </xf>
    <xf applyAlignment="true" applyBorder="true" applyFill="false" applyFont="false" applyNumberFormat="true" borderId="9225" fillId="0" fontId="1" numFmtId="1000" quotePrefix="false">
      <alignment horizontal="center" vertical="top"/>
    </xf>
    <xf applyAlignment="true" applyBorder="true" applyFill="false" applyFont="false" applyNumberFormat="true" borderId="9226" fillId="0" fontId="1" numFmtId="1000" quotePrefix="false">
      <alignment horizontal="center" vertical="top"/>
    </xf>
    <xf applyAlignment="true" applyBorder="true" applyFill="false" applyFont="false" applyNumberFormat="true" borderId="9227" fillId="0" fontId="1" numFmtId="1000" quotePrefix="false">
      <alignment horizontal="center" vertical="top"/>
    </xf>
    <xf applyAlignment="true" applyBorder="true" applyFill="false" applyFont="false" applyNumberFormat="true" borderId="9228" fillId="0" fontId="1" numFmtId="1000" quotePrefix="false">
      <alignment horizontal="center" vertical="top"/>
    </xf>
    <xf applyAlignment="true" applyBorder="true" applyFill="false" applyFont="false" applyNumberFormat="true" borderId="9229" fillId="0" fontId="1" numFmtId="1000" quotePrefix="false">
      <alignment horizontal="center" vertical="top"/>
    </xf>
    <xf applyAlignment="true" applyBorder="true" applyFill="false" applyFont="false" applyNumberFormat="true" borderId="9230" fillId="0" fontId="1" numFmtId="1000" quotePrefix="false">
      <alignment horizontal="center" vertical="top"/>
    </xf>
    <xf applyAlignment="true" applyBorder="true" applyFill="false" applyFont="false" applyNumberFormat="true" borderId="9231" fillId="0" fontId="1" numFmtId="1000" quotePrefix="false">
      <alignment horizontal="center" vertical="top"/>
    </xf>
    <xf applyAlignment="true" applyBorder="true" applyFill="false" applyFont="false" applyNumberFormat="true" borderId="9232" fillId="0" fontId="1" numFmtId="1000" quotePrefix="false">
      <alignment horizontal="center" vertical="top"/>
    </xf>
    <xf applyAlignment="true" applyBorder="true" applyFill="false" applyFont="false" applyNumberFormat="true" borderId="9233" fillId="0" fontId="1" numFmtId="1000" quotePrefix="false">
      <alignment horizontal="center" vertical="top"/>
    </xf>
    <xf applyAlignment="true" applyBorder="true" applyFill="false" applyFont="false" applyNumberFormat="true" borderId="9234" fillId="0" fontId="1" numFmtId="1000" quotePrefix="false">
      <alignment horizontal="center" vertical="top"/>
    </xf>
    <xf applyAlignment="true" applyBorder="true" applyFill="false" applyFont="false" applyNumberFormat="true" borderId="9235" fillId="0" fontId="1" numFmtId="1000" quotePrefix="false">
      <alignment horizontal="center" vertical="top"/>
    </xf>
    <xf applyAlignment="true" applyBorder="true" applyFill="false" applyFont="false" applyNumberFormat="true" borderId="9236" fillId="0" fontId="1" numFmtId="1000" quotePrefix="false">
      <alignment horizontal="center" vertical="top"/>
    </xf>
    <xf applyAlignment="true" applyBorder="true" applyFill="false" applyFont="true" applyNumberFormat="true" borderId="9237" fillId="0" fontId="2" numFmtId="1000" quotePrefix="false">
      <alignment horizontal="center" vertical="top"/>
    </xf>
    <xf applyAlignment="true" applyBorder="true" applyFill="false" applyFont="false" applyNumberFormat="true" borderId="9238" fillId="0" fontId="1" numFmtId="1000" quotePrefix="false">
      <alignment horizontal="left" vertical="top"/>
    </xf>
    <xf applyAlignment="true" applyBorder="true" applyFill="false" applyFont="false" applyNumberFormat="true" borderId="9239" fillId="0" fontId="1" numFmtId="1000" quotePrefix="false">
      <alignment horizontal="left" vertical="top"/>
    </xf>
    <xf applyAlignment="true" applyBorder="true" applyFill="false" applyFont="false" applyNumberFormat="true" borderId="9240" fillId="0" fontId="1" numFmtId="1000" quotePrefix="false">
      <alignment horizontal="left" vertical="top"/>
    </xf>
    <xf applyAlignment="true" applyBorder="true" applyFill="false" applyFont="false" applyNumberFormat="true" borderId="9241" fillId="0" fontId="1" numFmtId="1000" quotePrefix="false">
      <alignment horizontal="left" vertical="top"/>
    </xf>
    <xf applyAlignment="true" applyBorder="true" applyFill="false" applyFont="false" applyNumberFormat="true" borderId="9242" fillId="0" fontId="1" numFmtId="1000" quotePrefix="false">
      <alignment horizontal="left" vertical="top"/>
    </xf>
    <xf applyAlignment="true" applyBorder="true" applyFill="false" applyFont="false" applyNumberFormat="true" borderId="9243" fillId="0" fontId="1" numFmtId="1000" quotePrefix="false">
      <alignment horizontal="left" vertical="top"/>
    </xf>
    <xf applyAlignment="true" applyBorder="true" applyFill="false" applyFont="false" applyNumberFormat="true" borderId="9244" fillId="0" fontId="1" numFmtId="1000" quotePrefix="false">
      <alignment horizontal="left" vertical="top"/>
    </xf>
    <xf applyAlignment="true" applyBorder="true" applyFill="false" applyFont="false" applyNumberFormat="true" borderId="9245" fillId="0" fontId="1" numFmtId="1000" quotePrefix="false">
      <alignment horizontal="left" vertical="top"/>
    </xf>
    <xf applyAlignment="true" applyBorder="true" applyFill="false" applyFont="false" applyNumberFormat="true" borderId="9246" fillId="0" fontId="1" numFmtId="1000" quotePrefix="false">
      <alignment horizontal="left" vertical="top"/>
    </xf>
    <xf applyAlignment="true" applyBorder="true" applyFill="false" applyFont="false" applyNumberFormat="true" borderId="9247" fillId="0" fontId="1" numFmtId="1000" quotePrefix="false">
      <alignment horizontal="left" vertical="top"/>
    </xf>
    <xf applyAlignment="true" applyBorder="true" applyFill="false" applyFont="false" applyNumberFormat="true" borderId="9248" fillId="0" fontId="1" numFmtId="1000" quotePrefix="false">
      <alignment horizontal="left" vertical="top"/>
    </xf>
    <xf applyAlignment="true" applyBorder="true" applyFill="false" applyFont="false" applyNumberFormat="true" borderId="9249" fillId="0" fontId="1" numFmtId="1000" quotePrefix="false">
      <alignment horizontal="left" vertical="top"/>
    </xf>
    <xf applyAlignment="true" applyBorder="true" applyFill="false" applyFont="false" applyNumberFormat="true" borderId="9250" fillId="0" fontId="1" numFmtId="1000" quotePrefix="false">
      <alignment horizontal="left" vertical="top"/>
    </xf>
    <xf applyAlignment="true" applyBorder="true" applyFill="false" applyFont="false" applyNumberFormat="true" borderId="9251" fillId="0" fontId="1" numFmtId="1000" quotePrefix="false">
      <alignment horizontal="left" vertical="top"/>
    </xf>
    <xf applyAlignment="true" applyBorder="true" applyFill="false" applyFont="false" applyNumberFormat="true" borderId="9252" fillId="0" fontId="1" numFmtId="1000" quotePrefix="false">
      <alignment horizontal="left" vertical="top"/>
    </xf>
    <xf applyAlignment="true" applyBorder="true" applyFill="false" applyFont="false" applyNumberFormat="true" borderId="9253" fillId="0" fontId="1" numFmtId="1000" quotePrefix="false">
      <alignment horizontal="left" vertical="top"/>
    </xf>
    <xf applyAlignment="true" applyBorder="true" applyFill="false" applyFont="false" applyNumberFormat="true" borderId="9254" fillId="0" fontId="1" numFmtId="1000" quotePrefix="false">
      <alignment horizontal="left" vertical="top"/>
    </xf>
    <xf applyAlignment="true" applyBorder="true" applyFill="false" applyFont="false" applyNumberFormat="true" borderId="9255" fillId="0" fontId="1" numFmtId="1000" quotePrefix="false">
      <alignment horizontal="left" vertical="top"/>
    </xf>
    <xf applyAlignment="true" applyBorder="true" applyFill="false" applyFont="false" applyNumberFormat="true" borderId="9256" fillId="0" fontId="1" numFmtId="1000" quotePrefix="false">
      <alignment horizontal="left" vertical="top"/>
    </xf>
    <xf applyAlignment="true" applyBorder="true" applyFill="false" applyFont="true" applyNumberFormat="true" borderId="9257" fillId="0" fontId="2" numFmtId="1001" quotePrefix="false">
      <alignment horizontal="center"/>
    </xf>
    <xf applyAlignment="true" applyBorder="true" applyFill="false" applyFont="true" applyNumberFormat="true" borderId="9258" fillId="0" fontId="2" numFmtId="1001" quotePrefix="false">
      <alignment horizontal="center"/>
    </xf>
    <xf applyAlignment="true" applyBorder="true" applyFill="false" applyFont="true" applyNumberFormat="true" borderId="9259" fillId="0" fontId="2" numFmtId="1001" quotePrefix="false">
      <alignment horizontal="center"/>
    </xf>
    <xf applyAlignment="true" applyBorder="true" applyFill="false" applyFont="false" applyNumberFormat="true" borderId="9260" fillId="0" fontId="1" numFmtId="1000" quotePrefix="false">
      <alignment horizontal="center" vertical="top"/>
    </xf>
    <xf applyAlignment="true" applyBorder="true" applyFill="false" applyFont="false" applyNumberFormat="true" borderId="9261" fillId="0" fontId="1" numFmtId="1000" quotePrefix="false">
      <alignment horizontal="center" vertical="top"/>
    </xf>
    <xf applyAlignment="true" applyBorder="true" applyFill="false" applyFont="false" applyNumberFormat="true" borderId="9262" fillId="0" fontId="1" numFmtId="1000" quotePrefix="false">
      <alignment horizontal="center" vertical="top"/>
    </xf>
    <xf applyAlignment="true" applyBorder="true" applyFill="false" applyFont="false" applyNumberFormat="true" borderId="9263" fillId="0" fontId="1" numFmtId="1000" quotePrefix="false">
      <alignment horizontal="center" vertical="top"/>
    </xf>
    <xf applyAlignment="true" applyBorder="true" applyFill="false" applyFont="false" applyNumberFormat="true" borderId="9264" fillId="0" fontId="1" numFmtId="1000" quotePrefix="false">
      <alignment horizontal="center" vertical="top"/>
    </xf>
    <xf applyAlignment="true" applyBorder="true" applyFill="false" applyFont="false" applyNumberFormat="true" borderId="9265" fillId="0" fontId="1" numFmtId="1000" quotePrefix="false">
      <alignment horizontal="center" vertical="top"/>
    </xf>
    <xf applyAlignment="true" applyBorder="true" applyFill="false" applyFont="false" applyNumberFormat="true" borderId="9266" fillId="0" fontId="1" numFmtId="1000" quotePrefix="false">
      <alignment horizontal="center" vertical="top"/>
    </xf>
    <xf applyAlignment="true" applyBorder="true" applyFill="false" applyFont="false" applyNumberFormat="true" borderId="9267" fillId="0" fontId="1" numFmtId="1000" quotePrefix="false">
      <alignment horizontal="center" vertical="top"/>
    </xf>
    <xf applyAlignment="true" applyBorder="true" applyFill="false" applyFont="false" applyNumberFormat="true" borderId="9268" fillId="0" fontId="1" numFmtId="1000" quotePrefix="false">
      <alignment horizontal="center" vertical="top"/>
    </xf>
    <xf applyAlignment="true" applyBorder="true" applyFill="false" applyFont="false" applyNumberFormat="true" borderId="9269" fillId="0" fontId="1" numFmtId="1000" quotePrefix="false">
      <alignment horizontal="center" vertical="top"/>
    </xf>
    <xf applyAlignment="true" applyBorder="true" applyFill="false" applyFont="false" applyNumberFormat="true" borderId="9270" fillId="0" fontId="1" numFmtId="1000" quotePrefix="false">
      <alignment horizontal="center" vertical="top"/>
    </xf>
    <xf applyAlignment="true" applyBorder="true" applyFill="false" applyFont="false" applyNumberFormat="true" borderId="9271" fillId="0" fontId="1" numFmtId="1000" quotePrefix="false">
      <alignment horizontal="center" vertical="top"/>
    </xf>
    <xf applyAlignment="true" applyBorder="true" applyFill="false" applyFont="false" applyNumberFormat="true" borderId="9272" fillId="0" fontId="1" numFmtId="1000" quotePrefix="false">
      <alignment horizontal="center" vertical="top"/>
    </xf>
    <xf applyAlignment="true" applyBorder="true" applyFill="false" applyFont="false" applyNumberFormat="true" borderId="9273" fillId="0" fontId="1" numFmtId="1000" quotePrefix="false">
      <alignment horizontal="center" vertical="top"/>
    </xf>
    <xf applyAlignment="true" applyBorder="true" applyFill="false" applyFont="false" applyNumberFormat="true" borderId="9274" fillId="0" fontId="1" numFmtId="1000" quotePrefix="false">
      <alignment horizontal="center" vertical="top"/>
    </xf>
    <xf applyAlignment="true" applyBorder="true" applyFill="false" applyFont="false" applyNumberFormat="true" borderId="9275" fillId="0" fontId="1" numFmtId="1000" quotePrefix="false">
      <alignment horizontal="center" vertical="top"/>
    </xf>
    <xf applyAlignment="true" applyBorder="true" applyFill="false" applyFont="false" applyNumberFormat="true" borderId="9276" fillId="0" fontId="1" numFmtId="1000" quotePrefix="false">
      <alignment horizontal="center" vertical="top"/>
    </xf>
    <xf applyAlignment="true" applyBorder="true" applyFill="false" applyFont="false" applyNumberFormat="true" borderId="9277" fillId="0" fontId="1" numFmtId="1000" quotePrefix="false">
      <alignment horizontal="center" vertical="top"/>
    </xf>
    <xf applyAlignment="true" applyBorder="true" applyFill="false" applyFont="false" applyNumberFormat="true" borderId="9278" fillId="0" fontId="1" numFmtId="1000" quotePrefix="false">
      <alignment horizontal="center" vertical="top"/>
    </xf>
    <xf applyAlignment="true" applyBorder="true" applyFill="false" applyFont="false" applyNumberFormat="true" borderId="9279" fillId="0" fontId="1" numFmtId="1000" quotePrefix="false">
      <alignment horizontal="center" vertical="top"/>
    </xf>
    <xf applyAlignment="true" applyBorder="true" applyFill="false" applyFont="false" applyNumberFormat="true" borderId="9280" fillId="0" fontId="1" numFmtId="1000" quotePrefix="false">
      <alignment horizontal="center" vertical="top"/>
    </xf>
    <xf applyAlignment="true" applyBorder="true" applyFill="false" applyFont="false" applyNumberFormat="true" borderId="9281" fillId="0" fontId="1" numFmtId="1000" quotePrefix="false">
      <alignment horizontal="center" vertical="top"/>
    </xf>
    <xf applyAlignment="true" applyBorder="true" applyFill="false" applyFont="false" applyNumberFormat="true" borderId="9282" fillId="0" fontId="1" numFmtId="1000" quotePrefix="false">
      <alignment horizontal="center" vertical="top"/>
    </xf>
    <xf applyAlignment="true" applyBorder="true" applyFill="false" applyFont="false" applyNumberFormat="true" borderId="9283" fillId="0" fontId="1" numFmtId="1000" quotePrefix="false">
      <alignment horizontal="center" vertical="top"/>
    </xf>
    <xf applyAlignment="true" applyBorder="true" applyFill="false" applyFont="false" applyNumberFormat="true" borderId="9284" fillId="0" fontId="1" numFmtId="1000" quotePrefix="false">
      <alignment horizontal="center" vertical="top"/>
    </xf>
    <xf applyAlignment="true" applyBorder="true" applyFill="false" applyFont="false" applyNumberFormat="true" borderId="9285" fillId="0" fontId="1" numFmtId="1000" quotePrefix="false">
      <alignment horizontal="center" vertical="top"/>
    </xf>
    <xf applyAlignment="true" applyBorder="true" applyFill="false" applyFont="false" applyNumberFormat="true" borderId="9286" fillId="0" fontId="1" numFmtId="1000" quotePrefix="false">
      <alignment horizontal="center" vertical="top"/>
    </xf>
    <xf applyAlignment="true" applyBorder="true" applyFill="false" applyFont="false" applyNumberFormat="true" borderId="9287" fillId="0" fontId="1" numFmtId="1000" quotePrefix="false">
      <alignment horizontal="center" vertical="top"/>
    </xf>
    <xf applyAlignment="true" applyBorder="true" applyFill="false" applyFont="false" applyNumberFormat="true" borderId="9288" fillId="0" fontId="1" numFmtId="1000" quotePrefix="false">
      <alignment horizontal="center" vertical="top"/>
    </xf>
    <xf applyAlignment="true" applyBorder="true" applyFill="false" applyFont="false" applyNumberFormat="true" borderId="9289" fillId="0" fontId="1" numFmtId="1000" quotePrefix="false">
      <alignment horizontal="center" vertical="top"/>
    </xf>
    <xf applyAlignment="true" applyBorder="true" applyFill="false" applyFont="false" applyNumberFormat="true" borderId="9290" fillId="0" fontId="1" numFmtId="1000" quotePrefix="false">
      <alignment horizontal="center" vertical="top"/>
    </xf>
    <xf applyAlignment="true" applyBorder="true" applyFill="false" applyFont="false" applyNumberFormat="true" borderId="9291" fillId="0" fontId="1" numFmtId="1000" quotePrefix="false">
      <alignment horizontal="center" vertical="top"/>
    </xf>
    <xf applyAlignment="true" applyBorder="true" applyFill="false" applyFont="false" applyNumberFormat="true" borderId="9292" fillId="0" fontId="1" numFmtId="1000" quotePrefix="false">
      <alignment horizontal="center" vertical="top"/>
    </xf>
    <xf applyAlignment="true" applyBorder="true" applyFill="false" applyFont="true" applyNumberFormat="true" borderId="9293" fillId="0" fontId="2" numFmtId="1000" quotePrefix="false">
      <alignment horizontal="center" vertical="top"/>
    </xf>
    <xf applyAlignment="true" applyBorder="true" applyFill="false" applyFont="false" applyNumberFormat="true" borderId="9294" fillId="0" fontId="1" numFmtId="1000" quotePrefix="false">
      <alignment horizontal="left" vertical="top"/>
    </xf>
    <xf applyAlignment="true" applyBorder="true" applyFill="false" applyFont="false" applyNumberFormat="true" borderId="9295" fillId="0" fontId="1" numFmtId="1000" quotePrefix="false">
      <alignment horizontal="left" vertical="top"/>
    </xf>
    <xf applyAlignment="true" applyBorder="true" applyFill="false" applyFont="false" applyNumberFormat="true" borderId="9296" fillId="0" fontId="1" numFmtId="1000" quotePrefix="false">
      <alignment horizontal="left" vertical="top"/>
    </xf>
    <xf applyAlignment="true" applyBorder="true" applyFill="false" applyFont="false" applyNumberFormat="true" borderId="9297" fillId="0" fontId="1" numFmtId="1000" quotePrefix="false">
      <alignment horizontal="left" vertical="top"/>
    </xf>
    <xf applyAlignment="true" applyBorder="true" applyFill="false" applyFont="false" applyNumberFormat="true" borderId="9298" fillId="0" fontId="1" numFmtId="1000" quotePrefix="false">
      <alignment horizontal="left" vertical="top"/>
    </xf>
    <xf applyAlignment="true" applyBorder="true" applyFill="false" applyFont="false" applyNumberFormat="true" borderId="9299" fillId="0" fontId="1" numFmtId="1000" quotePrefix="false">
      <alignment horizontal="left" vertical="top"/>
    </xf>
    <xf applyAlignment="true" applyBorder="true" applyFill="false" applyFont="false" applyNumberFormat="true" borderId="9300" fillId="0" fontId="1" numFmtId="1000" quotePrefix="false">
      <alignment horizontal="left" vertical="top"/>
    </xf>
    <xf applyAlignment="true" applyBorder="true" applyFill="false" applyFont="false" applyNumberFormat="true" borderId="9301" fillId="0" fontId="1" numFmtId="1000" quotePrefix="false">
      <alignment horizontal="left" vertical="top"/>
    </xf>
    <xf applyAlignment="true" applyBorder="true" applyFill="false" applyFont="false" applyNumberFormat="true" borderId="9302" fillId="0" fontId="1" numFmtId="1000" quotePrefix="false">
      <alignment horizontal="left" vertical="top"/>
    </xf>
    <xf applyAlignment="true" applyBorder="true" applyFill="false" applyFont="false" applyNumberFormat="true" borderId="9303" fillId="0" fontId="1" numFmtId="1000" quotePrefix="false">
      <alignment horizontal="left" vertical="top"/>
    </xf>
    <xf applyAlignment="true" applyBorder="true" applyFill="false" applyFont="false" applyNumberFormat="true" borderId="9304" fillId="0" fontId="1" numFmtId="1000" quotePrefix="false">
      <alignment horizontal="left" vertical="top"/>
    </xf>
    <xf applyAlignment="true" applyBorder="true" applyFill="false" applyFont="false" applyNumberFormat="true" borderId="9305" fillId="0" fontId="1" numFmtId="1000" quotePrefix="false">
      <alignment horizontal="left" vertical="top"/>
    </xf>
    <xf applyAlignment="true" applyBorder="true" applyFill="false" applyFont="false" applyNumberFormat="true" borderId="9306" fillId="0" fontId="1" numFmtId="1000" quotePrefix="false">
      <alignment horizontal="left" vertical="top"/>
    </xf>
    <xf applyAlignment="true" applyBorder="true" applyFill="false" applyFont="false" applyNumberFormat="true" borderId="9307" fillId="0" fontId="1" numFmtId="1000" quotePrefix="false">
      <alignment horizontal="left" vertical="top"/>
    </xf>
    <xf applyAlignment="true" applyBorder="true" applyFill="false" applyFont="false" applyNumberFormat="true" borderId="9308" fillId="0" fontId="1" numFmtId="1000" quotePrefix="false">
      <alignment horizontal="left" vertical="top"/>
    </xf>
    <xf applyAlignment="true" applyBorder="true" applyFill="false" applyFont="false" applyNumberFormat="true" borderId="9309" fillId="0" fontId="1" numFmtId="1000" quotePrefix="false">
      <alignment horizontal="left" vertical="top"/>
    </xf>
    <xf applyAlignment="true" applyBorder="true" applyFill="false" applyFont="false" applyNumberFormat="true" borderId="9310" fillId="0" fontId="1" numFmtId="1000" quotePrefix="false">
      <alignment horizontal="left" vertical="top"/>
    </xf>
    <xf applyAlignment="true" applyBorder="true" applyFill="false" applyFont="false" applyNumberFormat="true" borderId="9311" fillId="0" fontId="1" numFmtId="1000" quotePrefix="false">
      <alignment horizontal="left" vertical="top"/>
    </xf>
    <xf applyAlignment="true" applyBorder="true" applyFill="false" applyFont="false" applyNumberFormat="true" borderId="9312" fillId="0" fontId="1" numFmtId="1000" quotePrefix="false">
      <alignment horizontal="left" vertical="top"/>
    </xf>
    <xf applyAlignment="true" applyBorder="true" applyFill="false" applyFont="true" applyNumberFormat="true" borderId="9313" fillId="0" fontId="2" numFmtId="1001" quotePrefix="false">
      <alignment horizontal="center"/>
    </xf>
    <xf applyAlignment="true" applyBorder="true" applyFill="false" applyFont="true" applyNumberFormat="true" borderId="9314" fillId="0" fontId="2" numFmtId="1001" quotePrefix="false">
      <alignment horizontal="center"/>
    </xf>
    <xf applyAlignment="true" applyBorder="true" applyFill="false" applyFont="true" applyNumberFormat="true" borderId="9315" fillId="0" fontId="2" numFmtId="1001" quotePrefix="false">
      <alignment horizontal="center"/>
    </xf>
    <xf applyAlignment="true" applyBorder="true" applyFill="false" applyFont="false" applyNumberFormat="true" borderId="9316" fillId="0" fontId="1" numFmtId="1000" quotePrefix="false">
      <alignment horizontal="center" vertical="top"/>
    </xf>
    <xf applyAlignment="true" applyBorder="true" applyFill="false" applyFont="false" applyNumberFormat="true" borderId="9317" fillId="0" fontId="1" numFmtId="1000" quotePrefix="false">
      <alignment horizontal="center" vertical="top"/>
    </xf>
    <xf applyAlignment="true" applyBorder="true" applyFill="false" applyFont="false" applyNumberFormat="true" borderId="9318" fillId="0" fontId="1" numFmtId="1000" quotePrefix="false">
      <alignment horizontal="center" vertical="top"/>
    </xf>
    <xf applyAlignment="true" applyBorder="true" applyFill="false" applyFont="false" applyNumberFormat="true" borderId="9319" fillId="0" fontId="1" numFmtId="1000" quotePrefix="false">
      <alignment horizontal="center" vertical="top"/>
    </xf>
    <xf applyAlignment="true" applyBorder="true" applyFill="false" applyFont="false" applyNumberFormat="true" borderId="9320" fillId="0" fontId="1" numFmtId="1000" quotePrefix="false">
      <alignment horizontal="center" vertical="top"/>
    </xf>
    <xf applyAlignment="true" applyBorder="true" applyFill="false" applyFont="false" applyNumberFormat="true" borderId="9321" fillId="0" fontId="1" numFmtId="1000" quotePrefix="false">
      <alignment horizontal="center" vertical="top"/>
    </xf>
    <xf applyAlignment="true" applyBorder="true" applyFill="false" applyFont="false" applyNumberFormat="true" borderId="9322" fillId="0" fontId="1" numFmtId="1000" quotePrefix="false">
      <alignment horizontal="center" vertical="top"/>
    </xf>
    <xf applyAlignment="true" applyBorder="true" applyFill="false" applyFont="false" applyNumberFormat="true" borderId="9323" fillId="0" fontId="1" numFmtId="1000" quotePrefix="false">
      <alignment horizontal="center" vertical="top"/>
    </xf>
    <xf applyAlignment="true" applyBorder="true" applyFill="false" applyFont="false" applyNumberFormat="true" borderId="9324" fillId="0" fontId="1" numFmtId="1000" quotePrefix="false">
      <alignment horizontal="center" vertical="top"/>
    </xf>
    <xf applyAlignment="true" applyBorder="true" applyFill="false" applyFont="false" applyNumberFormat="true" borderId="9325" fillId="0" fontId="1" numFmtId="1000" quotePrefix="false">
      <alignment horizontal="center" vertical="top"/>
    </xf>
    <xf applyAlignment="true" applyBorder="true" applyFill="false" applyFont="false" applyNumberFormat="true" borderId="9326" fillId="0" fontId="1" numFmtId="1000" quotePrefix="false">
      <alignment horizontal="center" vertical="top"/>
    </xf>
    <xf applyAlignment="true" applyBorder="true" applyFill="false" applyFont="false" applyNumberFormat="true" borderId="9327" fillId="0" fontId="1" numFmtId="1000" quotePrefix="false">
      <alignment horizontal="center" vertical="top"/>
    </xf>
    <xf applyAlignment="true" applyBorder="true" applyFill="false" applyFont="false" applyNumberFormat="true" borderId="9328" fillId="0" fontId="1" numFmtId="1000" quotePrefix="false">
      <alignment horizontal="center" vertical="top"/>
    </xf>
    <xf applyAlignment="true" applyBorder="true" applyFill="false" applyFont="false" applyNumberFormat="true" borderId="9329" fillId="0" fontId="1" numFmtId="1000" quotePrefix="false">
      <alignment horizontal="center" vertical="top"/>
    </xf>
    <xf applyAlignment="true" applyBorder="true" applyFill="false" applyFont="false" applyNumberFormat="true" borderId="9330" fillId="0" fontId="1" numFmtId="1000" quotePrefix="false">
      <alignment horizontal="center" vertical="top"/>
    </xf>
    <xf applyAlignment="true" applyBorder="true" applyFill="false" applyFont="false" applyNumberFormat="true" borderId="9331" fillId="0" fontId="1" numFmtId="1000" quotePrefix="false">
      <alignment horizontal="center" vertical="top"/>
    </xf>
    <xf applyAlignment="true" applyBorder="true" applyFill="false" applyFont="false" applyNumberFormat="true" borderId="9332" fillId="0" fontId="1" numFmtId="1000" quotePrefix="false">
      <alignment horizontal="center" vertical="top"/>
    </xf>
    <xf applyAlignment="true" applyBorder="true" applyFill="false" applyFont="false" applyNumberFormat="true" borderId="9333" fillId="0" fontId="1" numFmtId="1000" quotePrefix="false">
      <alignment horizontal="center" vertical="top"/>
    </xf>
    <xf applyAlignment="true" applyBorder="true" applyFill="false" applyFont="false" applyNumberFormat="true" borderId="9334" fillId="0" fontId="1" numFmtId="1000" quotePrefix="false">
      <alignment horizontal="center" vertical="top"/>
    </xf>
    <xf applyAlignment="true" applyBorder="true" applyFill="false" applyFont="false" applyNumberFormat="true" borderId="9335" fillId="0" fontId="1" numFmtId="1000" quotePrefix="false">
      <alignment horizontal="center" vertical="top"/>
    </xf>
    <xf applyAlignment="true" applyBorder="true" applyFill="false" applyFont="false" applyNumberFormat="true" borderId="9336" fillId="0" fontId="1" numFmtId="1000" quotePrefix="false">
      <alignment horizontal="center" vertical="top"/>
    </xf>
    <xf applyAlignment="true" applyBorder="true" applyFill="false" applyFont="false" applyNumberFormat="true" borderId="9337" fillId="0" fontId="1" numFmtId="1000" quotePrefix="false">
      <alignment horizontal="center" vertical="top"/>
    </xf>
    <xf applyAlignment="true" applyBorder="true" applyFill="false" applyFont="false" applyNumberFormat="true" borderId="9338" fillId="0" fontId="1" numFmtId="1000" quotePrefix="false">
      <alignment horizontal="center" vertical="top"/>
    </xf>
    <xf applyAlignment="true" applyBorder="true" applyFill="false" applyFont="false" applyNumberFormat="true" borderId="9339" fillId="0" fontId="1" numFmtId="1000" quotePrefix="false">
      <alignment horizontal="center" vertical="top"/>
    </xf>
    <xf applyAlignment="true" applyBorder="true" applyFill="false" applyFont="false" applyNumberFormat="true" borderId="9340" fillId="0" fontId="1" numFmtId="1000" quotePrefix="false">
      <alignment horizontal="center" vertical="top"/>
    </xf>
    <xf applyAlignment="true" applyBorder="true" applyFill="false" applyFont="false" applyNumberFormat="true" borderId="9341" fillId="0" fontId="1" numFmtId="1000" quotePrefix="false">
      <alignment horizontal="center" vertical="top"/>
    </xf>
    <xf applyAlignment="true" applyBorder="true" applyFill="false" applyFont="false" applyNumberFormat="true" borderId="9342" fillId="0" fontId="1" numFmtId="1000" quotePrefix="false">
      <alignment horizontal="center" vertical="top"/>
    </xf>
    <xf applyAlignment="true" applyBorder="true" applyFill="false" applyFont="false" applyNumberFormat="true" borderId="9343" fillId="0" fontId="1" numFmtId="1000" quotePrefix="false">
      <alignment horizontal="center" vertical="top"/>
    </xf>
    <xf applyAlignment="true" applyBorder="true" applyFill="false" applyFont="false" applyNumberFormat="true" borderId="9344" fillId="0" fontId="1" numFmtId="1000" quotePrefix="false">
      <alignment horizontal="center" vertical="top"/>
    </xf>
    <xf applyAlignment="true" applyBorder="true" applyFill="false" applyFont="false" applyNumberFormat="true" borderId="9345" fillId="0" fontId="1" numFmtId="1000" quotePrefix="false">
      <alignment horizontal="center" vertical="top"/>
    </xf>
    <xf applyAlignment="true" applyBorder="true" applyFill="false" applyFont="false" applyNumberFormat="true" borderId="9346" fillId="0" fontId="1" numFmtId="1000" quotePrefix="false">
      <alignment horizontal="center" vertical="top"/>
    </xf>
    <xf applyAlignment="true" applyBorder="true" applyFill="false" applyFont="false" applyNumberFormat="true" borderId="9347" fillId="0" fontId="1" numFmtId="1000" quotePrefix="false">
      <alignment horizontal="center" vertical="top"/>
    </xf>
    <xf applyAlignment="true" applyBorder="true" applyFill="false" applyFont="false" applyNumberFormat="true" borderId="9348" fillId="0" fontId="1" numFmtId="1000" quotePrefix="false">
      <alignment horizontal="center" vertical="top"/>
    </xf>
    <xf applyAlignment="true" applyBorder="true" applyFill="false" applyFont="true" applyNumberFormat="true" borderId="9349" fillId="0" fontId="2" numFmtId="1000" quotePrefix="false">
      <alignment horizontal="center" vertical="top"/>
    </xf>
    <xf applyAlignment="true" applyBorder="true" applyFill="false" applyFont="false" applyNumberFormat="true" borderId="9350" fillId="0" fontId="1" numFmtId="1000" quotePrefix="false">
      <alignment horizontal="left" vertical="top"/>
    </xf>
    <xf applyAlignment="true" applyBorder="true" applyFill="false" applyFont="false" applyNumberFormat="true" borderId="9351" fillId="0" fontId="1" numFmtId="1000" quotePrefix="false">
      <alignment horizontal="left" vertical="top"/>
    </xf>
    <xf applyAlignment="true" applyBorder="true" applyFill="false" applyFont="false" applyNumberFormat="true" borderId="9352" fillId="0" fontId="1" numFmtId="1000" quotePrefix="false">
      <alignment horizontal="left" vertical="top"/>
    </xf>
    <xf applyAlignment="true" applyBorder="true" applyFill="false" applyFont="false" applyNumberFormat="true" borderId="9353" fillId="0" fontId="1" numFmtId="1000" quotePrefix="false">
      <alignment horizontal="left" vertical="top"/>
    </xf>
    <xf applyAlignment="true" applyBorder="true" applyFill="false" applyFont="false" applyNumberFormat="true" borderId="9354" fillId="0" fontId="1" numFmtId="1000" quotePrefix="false">
      <alignment horizontal="left" vertical="top"/>
    </xf>
    <xf applyAlignment="true" applyBorder="true" applyFill="false" applyFont="false" applyNumberFormat="true" borderId="9355" fillId="0" fontId="1" numFmtId="1000" quotePrefix="false">
      <alignment horizontal="left" vertical="top"/>
    </xf>
    <xf applyAlignment="true" applyBorder="true" applyFill="false" applyFont="false" applyNumberFormat="true" borderId="9356" fillId="0" fontId="1" numFmtId="1000" quotePrefix="false">
      <alignment horizontal="left" vertical="top"/>
    </xf>
    <xf applyAlignment="true" applyBorder="true" applyFill="false" applyFont="false" applyNumberFormat="true" borderId="9357" fillId="0" fontId="1" numFmtId="1000" quotePrefix="false">
      <alignment horizontal="left" vertical="top"/>
    </xf>
    <xf applyAlignment="true" applyBorder="true" applyFill="false" applyFont="false" applyNumberFormat="true" borderId="9358" fillId="0" fontId="1" numFmtId="1000" quotePrefix="false">
      <alignment horizontal="left" vertical="top"/>
    </xf>
    <xf applyAlignment="true" applyBorder="true" applyFill="false" applyFont="false" applyNumberFormat="true" borderId="9359" fillId="0" fontId="1" numFmtId="1000" quotePrefix="false">
      <alignment horizontal="left" vertical="top"/>
    </xf>
    <xf applyAlignment="true" applyBorder="true" applyFill="false" applyFont="false" applyNumberFormat="true" borderId="9360" fillId="0" fontId="1" numFmtId="1000" quotePrefix="false">
      <alignment horizontal="left" vertical="top"/>
    </xf>
    <xf applyAlignment="true" applyBorder="true" applyFill="false" applyFont="false" applyNumberFormat="true" borderId="9361" fillId="0" fontId="1" numFmtId="1000" quotePrefix="false">
      <alignment horizontal="left" vertical="top"/>
    </xf>
    <xf applyAlignment="true" applyBorder="true" applyFill="false" applyFont="false" applyNumberFormat="true" borderId="9362" fillId="0" fontId="1" numFmtId="1000" quotePrefix="false">
      <alignment horizontal="left" vertical="top"/>
    </xf>
    <xf applyAlignment="true" applyBorder="true" applyFill="false" applyFont="false" applyNumberFormat="true" borderId="9363" fillId="0" fontId="1" numFmtId="1000" quotePrefix="false">
      <alignment horizontal="left" vertical="top"/>
    </xf>
    <xf applyAlignment="true" applyBorder="true" applyFill="false" applyFont="false" applyNumberFormat="true" borderId="9364" fillId="0" fontId="1" numFmtId="1000" quotePrefix="false">
      <alignment horizontal="left" vertical="top"/>
    </xf>
    <xf applyAlignment="true" applyBorder="true" applyFill="false" applyFont="false" applyNumberFormat="true" borderId="9365" fillId="0" fontId="1" numFmtId="1000" quotePrefix="false">
      <alignment horizontal="left" vertical="top"/>
    </xf>
    <xf applyAlignment="true" applyBorder="true" applyFill="false" applyFont="false" applyNumberFormat="true" borderId="9366" fillId="0" fontId="1" numFmtId="1000" quotePrefix="false">
      <alignment horizontal="left" vertical="top"/>
    </xf>
    <xf applyAlignment="true" applyBorder="true" applyFill="false" applyFont="false" applyNumberFormat="true" borderId="9367" fillId="0" fontId="1" numFmtId="1000" quotePrefix="false">
      <alignment horizontal="left" vertical="top"/>
    </xf>
    <xf applyAlignment="true" applyBorder="true" applyFill="false" applyFont="false" applyNumberFormat="true" borderId="9368" fillId="0" fontId="1" numFmtId="1000" quotePrefix="false">
      <alignment horizontal="left" vertical="top"/>
    </xf>
    <xf applyAlignment="true" applyBorder="true" applyFill="false" applyFont="true" applyNumberFormat="true" borderId="9369" fillId="0" fontId="2" numFmtId="1001" quotePrefix="false">
      <alignment horizontal="center"/>
    </xf>
    <xf applyAlignment="true" applyBorder="true" applyFill="false" applyFont="true" applyNumberFormat="true" borderId="9370" fillId="0" fontId="2" numFmtId="1001" quotePrefix="false">
      <alignment horizontal="center"/>
    </xf>
    <xf applyAlignment="true" applyBorder="true" applyFill="false" applyFont="true" applyNumberFormat="true" borderId="9371" fillId="0" fontId="2" numFmtId="1001" quotePrefix="false">
      <alignment horizontal="center"/>
    </xf>
    <xf applyAlignment="true" applyBorder="true" applyFill="false" applyFont="false" applyNumberFormat="true" borderId="9372" fillId="0" fontId="1" numFmtId="1000" quotePrefix="false">
      <alignment horizontal="center" vertical="top"/>
    </xf>
    <xf applyAlignment="true" applyBorder="true" applyFill="false" applyFont="false" applyNumberFormat="true" borderId="9373" fillId="0" fontId="1" numFmtId="1000" quotePrefix="false">
      <alignment horizontal="center" vertical="top"/>
    </xf>
    <xf applyAlignment="true" applyBorder="true" applyFill="false" applyFont="false" applyNumberFormat="true" borderId="9374" fillId="0" fontId="1" numFmtId="1000" quotePrefix="false">
      <alignment horizontal="center" vertical="top"/>
    </xf>
    <xf applyAlignment="true" applyBorder="true" applyFill="false" applyFont="false" applyNumberFormat="true" borderId="9375" fillId="0" fontId="1" numFmtId="1000" quotePrefix="false">
      <alignment horizontal="center" vertical="top"/>
    </xf>
    <xf applyAlignment="true" applyBorder="true" applyFill="false" applyFont="false" applyNumberFormat="true" borderId="9376" fillId="0" fontId="1" numFmtId="1000" quotePrefix="false">
      <alignment horizontal="center" vertical="top"/>
    </xf>
    <xf applyAlignment="true" applyBorder="true" applyFill="false" applyFont="false" applyNumberFormat="true" borderId="9377" fillId="0" fontId="1" numFmtId="1000" quotePrefix="false">
      <alignment horizontal="center" vertical="top"/>
    </xf>
    <xf applyAlignment="true" applyBorder="true" applyFill="false" applyFont="false" applyNumberFormat="true" borderId="9378" fillId="0" fontId="1" numFmtId="1000" quotePrefix="false">
      <alignment horizontal="center" vertical="top"/>
    </xf>
    <xf applyAlignment="true" applyBorder="true" applyFill="false" applyFont="false" applyNumberFormat="true" borderId="9379" fillId="0" fontId="1" numFmtId="1000" quotePrefix="false">
      <alignment horizontal="center" vertical="top"/>
    </xf>
    <xf applyAlignment="true" applyBorder="true" applyFill="false" applyFont="false" applyNumberFormat="true" borderId="9380" fillId="0" fontId="1" numFmtId="1000" quotePrefix="false">
      <alignment horizontal="center" vertical="top"/>
    </xf>
    <xf applyAlignment="true" applyBorder="true" applyFill="false" applyFont="false" applyNumberFormat="true" borderId="9381" fillId="0" fontId="1" numFmtId="1000" quotePrefix="false">
      <alignment horizontal="center" vertical="top"/>
    </xf>
    <xf applyAlignment="true" applyBorder="true" applyFill="false" applyFont="false" applyNumberFormat="true" borderId="9382" fillId="0" fontId="1" numFmtId="1000" quotePrefix="false">
      <alignment horizontal="center" vertical="top"/>
    </xf>
    <xf applyAlignment="true" applyBorder="true" applyFill="false" applyFont="false" applyNumberFormat="true" borderId="9383" fillId="0" fontId="1" numFmtId="1000" quotePrefix="false">
      <alignment horizontal="center" vertical="top"/>
    </xf>
    <xf applyAlignment="true" applyBorder="true" applyFill="false" applyFont="false" applyNumberFormat="true" borderId="9384" fillId="0" fontId="1" numFmtId="1000" quotePrefix="false">
      <alignment horizontal="center" vertical="top"/>
    </xf>
    <xf applyAlignment="true" applyBorder="true" applyFill="false" applyFont="false" applyNumberFormat="true" borderId="9385" fillId="0" fontId="1" numFmtId="1000" quotePrefix="false">
      <alignment horizontal="center" vertical="top"/>
    </xf>
    <xf applyAlignment="true" applyBorder="true" applyFill="false" applyFont="false" applyNumberFormat="true" borderId="9386" fillId="0" fontId="1" numFmtId="1000" quotePrefix="false">
      <alignment horizontal="center" vertical="top"/>
    </xf>
    <xf applyAlignment="true" applyBorder="true" applyFill="false" applyFont="false" applyNumberFormat="true" borderId="9387" fillId="0" fontId="1" numFmtId="1000" quotePrefix="false">
      <alignment horizontal="center" vertical="top"/>
    </xf>
    <xf applyAlignment="true" applyBorder="true" applyFill="false" applyFont="false" applyNumberFormat="true" borderId="9388" fillId="0" fontId="1" numFmtId="1000" quotePrefix="false">
      <alignment horizontal="center" vertical="top"/>
    </xf>
    <xf applyAlignment="true" applyBorder="true" applyFill="false" applyFont="false" applyNumberFormat="true" borderId="9389" fillId="0" fontId="1" numFmtId="1000" quotePrefix="false">
      <alignment horizontal="center" vertical="top"/>
    </xf>
    <xf applyAlignment="true" applyBorder="true" applyFill="false" applyFont="false" applyNumberFormat="true" borderId="9390" fillId="0" fontId="1" numFmtId="1000" quotePrefix="false">
      <alignment horizontal="center" vertical="top"/>
    </xf>
    <xf applyAlignment="true" applyBorder="true" applyFill="false" applyFont="false" applyNumberFormat="true" borderId="9391" fillId="0" fontId="1" numFmtId="1000" quotePrefix="false">
      <alignment horizontal="center" vertical="top"/>
    </xf>
    <xf applyAlignment="true" applyBorder="true" applyFill="false" applyFont="false" applyNumberFormat="true" borderId="9392" fillId="0" fontId="1" numFmtId="1000" quotePrefix="false">
      <alignment horizontal="center" vertical="top"/>
    </xf>
    <xf applyAlignment="true" applyBorder="true" applyFill="false" applyFont="false" applyNumberFormat="true" borderId="9393" fillId="0" fontId="1" numFmtId="1000" quotePrefix="false">
      <alignment horizontal="center" vertical="top"/>
    </xf>
    <xf applyAlignment="true" applyBorder="true" applyFill="false" applyFont="false" applyNumberFormat="true" borderId="9394" fillId="0" fontId="1" numFmtId="1000" quotePrefix="false">
      <alignment horizontal="center" vertical="top"/>
    </xf>
    <xf applyAlignment="true" applyBorder="true" applyFill="false" applyFont="false" applyNumberFormat="true" borderId="9395" fillId="0" fontId="1" numFmtId="1000" quotePrefix="false">
      <alignment horizontal="center" vertical="top"/>
    </xf>
    <xf applyAlignment="true" applyBorder="true" applyFill="false" applyFont="false" applyNumberFormat="true" borderId="9396" fillId="0" fontId="1" numFmtId="1000" quotePrefix="false">
      <alignment horizontal="center" vertical="top"/>
    </xf>
    <xf applyAlignment="true" applyBorder="true" applyFill="false" applyFont="false" applyNumberFormat="true" borderId="9397" fillId="0" fontId="1" numFmtId="1000" quotePrefix="false">
      <alignment horizontal="center" vertical="top"/>
    </xf>
    <xf applyAlignment="true" applyBorder="true" applyFill="false" applyFont="false" applyNumberFormat="true" borderId="9398" fillId="0" fontId="1" numFmtId="1000" quotePrefix="false">
      <alignment horizontal="center" vertical="top"/>
    </xf>
    <xf applyAlignment="true" applyBorder="true" applyFill="false" applyFont="false" applyNumberFormat="true" borderId="9399" fillId="0" fontId="1" numFmtId="1000" quotePrefix="false">
      <alignment horizontal="center" vertical="top"/>
    </xf>
    <xf applyAlignment="true" applyBorder="true" applyFill="false" applyFont="false" applyNumberFormat="true" borderId="9400" fillId="0" fontId="1" numFmtId="1000" quotePrefix="false">
      <alignment horizontal="center" vertical="top"/>
    </xf>
    <xf applyAlignment="true" applyBorder="true" applyFill="false" applyFont="false" applyNumberFormat="true" borderId="9401" fillId="0" fontId="1" numFmtId="1000" quotePrefix="false">
      <alignment horizontal="center" vertical="top"/>
    </xf>
    <xf applyAlignment="true" applyBorder="true" applyFill="false" applyFont="false" applyNumberFormat="true" borderId="9402" fillId="0" fontId="1" numFmtId="1000" quotePrefix="false">
      <alignment horizontal="center" vertical="top"/>
    </xf>
    <xf applyAlignment="true" applyBorder="true" applyFill="false" applyFont="false" applyNumberFormat="true" borderId="9403" fillId="0" fontId="1" numFmtId="1000" quotePrefix="false">
      <alignment horizontal="center" vertical="top"/>
    </xf>
    <xf applyAlignment="true" applyBorder="true" applyFill="false" applyFont="false" applyNumberFormat="true" borderId="9404" fillId="0" fontId="1" numFmtId="1000" quotePrefix="false">
      <alignment horizontal="center" vertical="top"/>
    </xf>
    <xf applyAlignment="true" applyBorder="true" applyFill="false" applyFont="true" applyNumberFormat="true" borderId="9405" fillId="0" fontId="2" numFmtId="1000" quotePrefix="false">
      <alignment horizontal="center" vertical="top"/>
    </xf>
    <xf applyAlignment="true" applyBorder="true" applyFill="false" applyFont="false" applyNumberFormat="true" borderId="9406" fillId="0" fontId="1" numFmtId="1000" quotePrefix="false">
      <alignment horizontal="left" vertical="top"/>
    </xf>
    <xf applyAlignment="true" applyBorder="true" applyFill="false" applyFont="false" applyNumberFormat="true" borderId="9407" fillId="0" fontId="1" numFmtId="1000" quotePrefix="false">
      <alignment horizontal="left" vertical="top"/>
    </xf>
    <xf applyAlignment="true" applyBorder="true" applyFill="false" applyFont="false" applyNumberFormat="true" borderId="9408" fillId="0" fontId="1" numFmtId="1000" quotePrefix="false">
      <alignment horizontal="left" vertical="top"/>
    </xf>
    <xf applyAlignment="true" applyBorder="true" applyFill="false" applyFont="false" applyNumberFormat="true" borderId="9409" fillId="0" fontId="1" numFmtId="1000" quotePrefix="false">
      <alignment horizontal="left" vertical="top"/>
    </xf>
    <xf applyAlignment="true" applyBorder="true" applyFill="false" applyFont="false" applyNumberFormat="true" borderId="9410" fillId="0" fontId="1" numFmtId="1000" quotePrefix="false">
      <alignment horizontal="left" vertical="top"/>
    </xf>
    <xf applyAlignment="true" applyBorder="true" applyFill="false" applyFont="false" applyNumberFormat="true" borderId="9411" fillId="0" fontId="1" numFmtId="1000" quotePrefix="false">
      <alignment horizontal="left" vertical="top"/>
    </xf>
    <xf applyAlignment="true" applyBorder="true" applyFill="false" applyFont="false" applyNumberFormat="true" borderId="9412" fillId="0" fontId="1" numFmtId="1000" quotePrefix="false">
      <alignment horizontal="left" vertical="top"/>
    </xf>
    <xf applyAlignment="true" applyBorder="true" applyFill="false" applyFont="false" applyNumberFormat="true" borderId="9413" fillId="0" fontId="1" numFmtId="1000" quotePrefix="false">
      <alignment horizontal="left" vertical="top"/>
    </xf>
    <xf applyAlignment="true" applyBorder="true" applyFill="false" applyFont="false" applyNumberFormat="true" borderId="9414" fillId="0" fontId="1" numFmtId="1000" quotePrefix="false">
      <alignment horizontal="left" vertical="top"/>
    </xf>
    <xf applyAlignment="true" applyBorder="true" applyFill="false" applyFont="false" applyNumberFormat="true" borderId="9415" fillId="0" fontId="1" numFmtId="1000" quotePrefix="false">
      <alignment horizontal="left" vertical="top"/>
    </xf>
    <xf applyAlignment="true" applyBorder="true" applyFill="false" applyFont="false" applyNumberFormat="true" borderId="9416" fillId="0" fontId="1" numFmtId="1000" quotePrefix="false">
      <alignment horizontal="left" vertical="top"/>
    </xf>
    <xf applyAlignment="true" applyBorder="true" applyFill="false" applyFont="false" applyNumberFormat="true" borderId="9417" fillId="0" fontId="1" numFmtId="1000" quotePrefix="false">
      <alignment horizontal="left" vertical="top"/>
    </xf>
    <xf applyAlignment="true" applyBorder="true" applyFill="false" applyFont="false" applyNumberFormat="true" borderId="9418" fillId="0" fontId="1" numFmtId="1000" quotePrefix="false">
      <alignment horizontal="left" vertical="top"/>
    </xf>
    <xf applyAlignment="true" applyBorder="true" applyFill="false" applyFont="false" applyNumberFormat="true" borderId="9419" fillId="0" fontId="1" numFmtId="1000" quotePrefix="false">
      <alignment horizontal="left" vertical="top"/>
    </xf>
    <xf applyAlignment="true" applyBorder="true" applyFill="false" applyFont="false" applyNumberFormat="true" borderId="9420" fillId="0" fontId="1" numFmtId="1000" quotePrefix="false">
      <alignment horizontal="left" vertical="top"/>
    </xf>
    <xf applyAlignment="true" applyBorder="true" applyFill="false" applyFont="false" applyNumberFormat="true" borderId="9421" fillId="0" fontId="1" numFmtId="1000" quotePrefix="false">
      <alignment horizontal="left" vertical="top"/>
    </xf>
    <xf applyAlignment="true" applyBorder="true" applyFill="false" applyFont="false" applyNumberFormat="true" borderId="9422" fillId="0" fontId="1" numFmtId="1000" quotePrefix="false">
      <alignment horizontal="left" vertical="top"/>
    </xf>
    <xf applyAlignment="true" applyBorder="true" applyFill="false" applyFont="false" applyNumberFormat="true" borderId="9423" fillId="0" fontId="1" numFmtId="1000" quotePrefix="false">
      <alignment horizontal="left" vertical="top"/>
    </xf>
    <xf applyAlignment="true" applyBorder="true" applyFill="false" applyFont="false" applyNumberFormat="true" borderId="9424" fillId="0" fontId="1" numFmtId="1000" quotePrefix="false">
      <alignment horizontal="left" vertical="top"/>
    </xf>
    <xf applyAlignment="true" applyBorder="true" applyFill="false" applyFont="true" applyNumberFormat="true" borderId="9425" fillId="0" fontId="2" numFmtId="1001" quotePrefix="false">
      <alignment horizontal="center"/>
    </xf>
    <xf applyAlignment="true" applyBorder="true" applyFill="false" applyFont="true" applyNumberFormat="true" borderId="9426" fillId="0" fontId="2" numFmtId="1001" quotePrefix="false">
      <alignment horizontal="center"/>
    </xf>
    <xf applyAlignment="true" applyBorder="true" applyFill="false" applyFont="true" applyNumberFormat="true" borderId="9427" fillId="0" fontId="2" numFmtId="1001" quotePrefix="false">
      <alignment horizontal="center"/>
    </xf>
    <xf applyAlignment="true" applyBorder="true" applyFill="false" applyFont="false" applyNumberFormat="true" borderId="9428" fillId="0" fontId="1" numFmtId="1000" quotePrefix="false">
      <alignment horizontal="center" vertical="top"/>
    </xf>
    <xf applyAlignment="true" applyBorder="true" applyFill="false" applyFont="false" applyNumberFormat="true" borderId="9429" fillId="0" fontId="1" numFmtId="1000" quotePrefix="false">
      <alignment horizontal="center" vertical="top"/>
    </xf>
    <xf applyAlignment="true" applyBorder="true" applyFill="false" applyFont="false" applyNumberFormat="true" borderId="9430" fillId="0" fontId="1" numFmtId="1000" quotePrefix="false">
      <alignment horizontal="center" vertical="top"/>
    </xf>
    <xf applyAlignment="true" applyBorder="true" applyFill="false" applyFont="false" applyNumberFormat="true" borderId="9431" fillId="0" fontId="1" numFmtId="1000" quotePrefix="false">
      <alignment horizontal="center" vertical="top"/>
    </xf>
    <xf applyAlignment="true" applyBorder="true" applyFill="false" applyFont="false" applyNumberFormat="true" borderId="9432" fillId="0" fontId="1" numFmtId="1000" quotePrefix="false">
      <alignment horizontal="center" vertical="top"/>
    </xf>
    <xf applyAlignment="true" applyBorder="true" applyFill="false" applyFont="false" applyNumberFormat="true" borderId="9433" fillId="0" fontId="1" numFmtId="1000" quotePrefix="false">
      <alignment horizontal="center" vertical="top"/>
    </xf>
    <xf applyAlignment="true" applyBorder="true" applyFill="false" applyFont="false" applyNumberFormat="true" borderId="9434" fillId="0" fontId="1" numFmtId="1000" quotePrefix="false">
      <alignment horizontal="center" vertical="top"/>
    </xf>
    <xf applyAlignment="true" applyBorder="true" applyFill="false" applyFont="false" applyNumberFormat="true" borderId="9435" fillId="0" fontId="1" numFmtId="1000" quotePrefix="false">
      <alignment horizontal="center" vertical="top"/>
    </xf>
    <xf applyAlignment="true" applyBorder="true" applyFill="false" applyFont="false" applyNumberFormat="true" borderId="9436" fillId="0" fontId="1" numFmtId="1000" quotePrefix="false">
      <alignment horizontal="center" vertical="top"/>
    </xf>
    <xf applyAlignment="true" applyBorder="true" applyFill="false" applyFont="false" applyNumberFormat="true" borderId="9437" fillId="0" fontId="1" numFmtId="1000" quotePrefix="false">
      <alignment horizontal="center" vertical="top"/>
    </xf>
    <xf applyAlignment="true" applyBorder="true" applyFill="false" applyFont="false" applyNumberFormat="true" borderId="9438" fillId="0" fontId="1" numFmtId="1000" quotePrefix="false">
      <alignment horizontal="center" vertical="top"/>
    </xf>
    <xf applyAlignment="true" applyBorder="true" applyFill="false" applyFont="false" applyNumberFormat="true" borderId="9439" fillId="0" fontId="1" numFmtId="1000" quotePrefix="false">
      <alignment horizontal="center" vertical="top"/>
    </xf>
    <xf applyAlignment="true" applyBorder="true" applyFill="false" applyFont="false" applyNumberFormat="true" borderId="9440" fillId="0" fontId="1" numFmtId="1000" quotePrefix="false">
      <alignment horizontal="center" vertical="top"/>
    </xf>
    <xf applyAlignment="true" applyBorder="true" applyFill="false" applyFont="false" applyNumberFormat="true" borderId="9441" fillId="0" fontId="1" numFmtId="1000" quotePrefix="false">
      <alignment horizontal="center" vertical="top"/>
    </xf>
    <xf applyAlignment="true" applyBorder="true" applyFill="false" applyFont="false" applyNumberFormat="true" borderId="9442" fillId="0" fontId="1" numFmtId="1000" quotePrefix="false">
      <alignment horizontal="center" vertical="top"/>
    </xf>
    <xf applyAlignment="true" applyBorder="true" applyFill="false" applyFont="false" applyNumberFormat="true" borderId="9443" fillId="0" fontId="1" numFmtId="1000" quotePrefix="false">
      <alignment horizontal="center" vertical="top"/>
    </xf>
    <xf applyAlignment="true" applyBorder="true" applyFill="false" applyFont="false" applyNumberFormat="true" borderId="9444" fillId="0" fontId="1" numFmtId="1000" quotePrefix="false">
      <alignment horizontal="center" vertical="top"/>
    </xf>
    <xf applyAlignment="true" applyBorder="true" applyFill="false" applyFont="false" applyNumberFormat="true" borderId="9445" fillId="0" fontId="1" numFmtId="1000" quotePrefix="false">
      <alignment horizontal="center" vertical="top"/>
    </xf>
    <xf applyAlignment="true" applyBorder="true" applyFill="false" applyFont="false" applyNumberFormat="true" borderId="9446" fillId="0" fontId="1" numFmtId="1000" quotePrefix="false">
      <alignment horizontal="center" vertical="top"/>
    </xf>
    <xf applyAlignment="true" applyBorder="true" applyFill="false" applyFont="false" applyNumberFormat="true" borderId="9447" fillId="0" fontId="1" numFmtId="1000" quotePrefix="false">
      <alignment horizontal="center" vertical="top"/>
    </xf>
    <xf applyAlignment="true" applyBorder="true" applyFill="false" applyFont="false" applyNumberFormat="true" borderId="9448" fillId="0" fontId="1" numFmtId="1000" quotePrefix="false">
      <alignment horizontal="center" vertical="top"/>
    </xf>
    <xf applyAlignment="true" applyBorder="true" applyFill="false" applyFont="false" applyNumberFormat="true" borderId="9449" fillId="0" fontId="1" numFmtId="1000" quotePrefix="false">
      <alignment horizontal="center" vertical="top"/>
    </xf>
    <xf applyAlignment="true" applyBorder="true" applyFill="false" applyFont="false" applyNumberFormat="true" borderId="9450" fillId="0" fontId="1" numFmtId="1000" quotePrefix="false">
      <alignment horizontal="center" vertical="top"/>
    </xf>
    <xf applyAlignment="true" applyBorder="true" applyFill="false" applyFont="false" applyNumberFormat="true" borderId="9451" fillId="0" fontId="1" numFmtId="1000" quotePrefix="false">
      <alignment horizontal="center" vertical="top"/>
    </xf>
    <xf applyAlignment="true" applyBorder="true" applyFill="false" applyFont="false" applyNumberFormat="true" borderId="9452" fillId="0" fontId="1" numFmtId="1000" quotePrefix="false">
      <alignment horizontal="center" vertical="top"/>
    </xf>
    <xf applyAlignment="true" applyBorder="true" applyFill="false" applyFont="false" applyNumberFormat="true" borderId="9453" fillId="0" fontId="1" numFmtId="1000" quotePrefix="false">
      <alignment horizontal="center" vertical="top"/>
    </xf>
    <xf applyAlignment="true" applyBorder="true" applyFill="false" applyFont="false" applyNumberFormat="true" borderId="9454" fillId="0" fontId="1" numFmtId="1000" quotePrefix="false">
      <alignment horizontal="center" vertical="top"/>
    </xf>
    <xf applyAlignment="true" applyBorder="true" applyFill="false" applyFont="false" applyNumberFormat="true" borderId="9455" fillId="0" fontId="1" numFmtId="1000" quotePrefix="false">
      <alignment horizontal="center" vertical="top"/>
    </xf>
    <xf applyAlignment="true" applyBorder="true" applyFill="false" applyFont="false" applyNumberFormat="true" borderId="9456" fillId="0" fontId="1" numFmtId="1000" quotePrefix="false">
      <alignment horizontal="center" vertical="top"/>
    </xf>
    <xf applyAlignment="true" applyBorder="true" applyFill="false" applyFont="false" applyNumberFormat="true" borderId="9457" fillId="0" fontId="1" numFmtId="1000" quotePrefix="false">
      <alignment horizontal="center" vertical="top"/>
    </xf>
    <xf applyAlignment="true" applyBorder="true" applyFill="false" applyFont="false" applyNumberFormat="true" borderId="9458" fillId="0" fontId="1" numFmtId="1000" quotePrefix="false">
      <alignment horizontal="center" vertical="top"/>
    </xf>
    <xf applyAlignment="true" applyBorder="true" applyFill="false" applyFont="false" applyNumberFormat="true" borderId="9459" fillId="0" fontId="1" numFmtId="1000" quotePrefix="false">
      <alignment horizontal="center" vertical="top"/>
    </xf>
    <xf applyAlignment="true" applyBorder="true" applyFill="false" applyFont="false" applyNumberFormat="true" borderId="9460" fillId="0" fontId="1" numFmtId="1000" quotePrefix="false">
      <alignment horizontal="center" vertical="top"/>
    </xf>
    <xf applyAlignment="true" applyBorder="true" applyFill="false" applyFont="true" applyNumberFormat="true" borderId="9461" fillId="0" fontId="2" numFmtId="1000" quotePrefix="false">
      <alignment horizontal="center" vertical="top"/>
    </xf>
    <xf applyAlignment="true" applyBorder="true" applyFill="false" applyFont="false" applyNumberFormat="true" borderId="9462" fillId="0" fontId="1" numFmtId="1000" quotePrefix="false">
      <alignment horizontal="left" vertical="top"/>
    </xf>
    <xf applyAlignment="true" applyBorder="true" applyFill="false" applyFont="false" applyNumberFormat="true" borderId="9463" fillId="0" fontId="1" numFmtId="1000" quotePrefix="false">
      <alignment horizontal="left" vertical="top"/>
    </xf>
    <xf applyAlignment="true" applyBorder="true" applyFill="false" applyFont="false" applyNumberFormat="true" borderId="9464" fillId="0" fontId="1" numFmtId="1000" quotePrefix="false">
      <alignment horizontal="left" vertical="top"/>
    </xf>
    <xf applyAlignment="true" applyBorder="true" applyFill="false" applyFont="false" applyNumberFormat="true" borderId="9465" fillId="0" fontId="1" numFmtId="1000" quotePrefix="false">
      <alignment horizontal="left" vertical="top"/>
    </xf>
    <xf applyAlignment="true" applyBorder="true" applyFill="false" applyFont="false" applyNumberFormat="true" borderId="9466" fillId="0" fontId="1" numFmtId="1000" quotePrefix="false">
      <alignment horizontal="left" vertical="top"/>
    </xf>
    <xf applyAlignment="true" applyBorder="true" applyFill="false" applyFont="false" applyNumberFormat="true" borderId="9467" fillId="0" fontId="1" numFmtId="1000" quotePrefix="false">
      <alignment horizontal="left" vertical="top"/>
    </xf>
    <xf applyAlignment="true" applyBorder="true" applyFill="false" applyFont="false" applyNumberFormat="true" borderId="9468" fillId="0" fontId="1" numFmtId="1000" quotePrefix="false">
      <alignment horizontal="left" vertical="top"/>
    </xf>
    <xf applyAlignment="true" applyBorder="true" applyFill="false" applyFont="false" applyNumberFormat="true" borderId="9469" fillId="0" fontId="1" numFmtId="1000" quotePrefix="false">
      <alignment horizontal="left" vertical="top"/>
    </xf>
    <xf applyAlignment="true" applyBorder="true" applyFill="false" applyFont="false" applyNumberFormat="true" borderId="9470" fillId="0" fontId="1" numFmtId="1000" quotePrefix="false">
      <alignment horizontal="left" vertical="top"/>
    </xf>
    <xf applyAlignment="true" applyBorder="true" applyFill="false" applyFont="false" applyNumberFormat="true" borderId="9471" fillId="0" fontId="1" numFmtId="1000" quotePrefix="false">
      <alignment horizontal="left" vertical="top"/>
    </xf>
    <xf applyAlignment="true" applyBorder="true" applyFill="false" applyFont="false" applyNumberFormat="true" borderId="9472" fillId="0" fontId="1" numFmtId="1000" quotePrefix="false">
      <alignment horizontal="left" vertical="top"/>
    </xf>
    <xf applyAlignment="true" applyBorder="true" applyFill="false" applyFont="false" applyNumberFormat="true" borderId="9473" fillId="0" fontId="1" numFmtId="1000" quotePrefix="false">
      <alignment horizontal="left" vertical="top"/>
    </xf>
    <xf applyAlignment="true" applyBorder="true" applyFill="false" applyFont="false" applyNumberFormat="true" borderId="9474" fillId="0" fontId="1" numFmtId="1000" quotePrefix="false">
      <alignment horizontal="left" vertical="top"/>
    </xf>
    <xf applyAlignment="true" applyBorder="true" applyFill="false" applyFont="false" applyNumberFormat="true" borderId="9475" fillId="0" fontId="1" numFmtId="1000" quotePrefix="false">
      <alignment horizontal="left" vertical="top"/>
    </xf>
    <xf applyAlignment="true" applyBorder="true" applyFill="false" applyFont="false" applyNumberFormat="true" borderId="9476" fillId="0" fontId="1" numFmtId="1000" quotePrefix="false">
      <alignment horizontal="left" vertical="top"/>
    </xf>
    <xf applyAlignment="true" applyBorder="true" applyFill="false" applyFont="false" applyNumberFormat="true" borderId="9477" fillId="0" fontId="1" numFmtId="1000" quotePrefix="false">
      <alignment horizontal="left" vertical="top"/>
    </xf>
    <xf applyAlignment="true" applyBorder="true" applyFill="false" applyFont="false" applyNumberFormat="true" borderId="9478" fillId="0" fontId="1" numFmtId="1000" quotePrefix="false">
      <alignment horizontal="left" vertical="top"/>
    </xf>
    <xf applyAlignment="true" applyBorder="true" applyFill="false" applyFont="false" applyNumberFormat="true" borderId="9479" fillId="0" fontId="1" numFmtId="1000" quotePrefix="false">
      <alignment horizontal="left" vertical="top"/>
    </xf>
    <xf applyAlignment="true" applyBorder="true" applyFill="false" applyFont="false" applyNumberFormat="true" borderId="9480" fillId="0" fontId="1" numFmtId="1000" quotePrefix="false">
      <alignment horizontal="left" vertical="top"/>
    </xf>
    <xf applyAlignment="true" applyBorder="true" applyFill="false" applyFont="true" applyNumberFormat="true" borderId="9481" fillId="0" fontId="2" numFmtId="1001" quotePrefix="false">
      <alignment horizontal="center"/>
    </xf>
    <xf applyAlignment="true" applyBorder="true" applyFill="false" applyFont="true" applyNumberFormat="true" borderId="9482" fillId="0" fontId="2" numFmtId="1001" quotePrefix="false">
      <alignment horizontal="center"/>
    </xf>
    <xf applyAlignment="true" applyBorder="true" applyFill="false" applyFont="true" applyNumberFormat="true" borderId="9483" fillId="0" fontId="2" numFmtId="1001" quotePrefix="false">
      <alignment horizontal="center"/>
    </xf>
    <xf applyAlignment="true" applyBorder="true" applyFill="false" applyFont="false" applyNumberFormat="true" borderId="9484" fillId="0" fontId="1" numFmtId="1000" quotePrefix="false">
      <alignment horizontal="center" vertical="top"/>
    </xf>
    <xf applyAlignment="true" applyBorder="true" applyFill="false" applyFont="false" applyNumberFormat="true" borderId="9485" fillId="0" fontId="1" numFmtId="1000" quotePrefix="false">
      <alignment horizontal="center" vertical="top"/>
    </xf>
    <xf applyAlignment="true" applyBorder="true" applyFill="false" applyFont="false" applyNumberFormat="true" borderId="9486" fillId="0" fontId="1" numFmtId="1000" quotePrefix="false">
      <alignment horizontal="center" vertical="top"/>
    </xf>
    <xf applyAlignment="true" applyBorder="true" applyFill="false" applyFont="false" applyNumberFormat="true" borderId="9487" fillId="0" fontId="1" numFmtId="1000" quotePrefix="false">
      <alignment horizontal="center" vertical="top"/>
    </xf>
    <xf applyAlignment="true" applyBorder="true" applyFill="false" applyFont="false" applyNumberFormat="true" borderId="9488" fillId="0" fontId="1" numFmtId="1000" quotePrefix="false">
      <alignment horizontal="center" vertical="top"/>
    </xf>
    <xf applyAlignment="true" applyBorder="true" applyFill="false" applyFont="false" applyNumberFormat="true" borderId="9489" fillId="0" fontId="1" numFmtId="1000" quotePrefix="false">
      <alignment horizontal="center" vertical="top"/>
    </xf>
    <xf applyAlignment="true" applyBorder="true" applyFill="false" applyFont="false" applyNumberFormat="true" borderId="9490" fillId="0" fontId="1" numFmtId="1000" quotePrefix="false">
      <alignment horizontal="center" vertical="top"/>
    </xf>
    <xf applyAlignment="true" applyBorder="true" applyFill="false" applyFont="false" applyNumberFormat="true" borderId="9491" fillId="0" fontId="1" numFmtId="1000" quotePrefix="false">
      <alignment horizontal="center" vertical="top"/>
    </xf>
    <xf applyAlignment="true" applyBorder="true" applyFill="false" applyFont="false" applyNumberFormat="true" borderId="9492" fillId="0" fontId="1" numFmtId="1000" quotePrefix="false">
      <alignment horizontal="center" vertical="top"/>
    </xf>
    <xf applyAlignment="true" applyBorder="true" applyFill="false" applyFont="false" applyNumberFormat="true" borderId="9493" fillId="0" fontId="1" numFmtId="1000" quotePrefix="false">
      <alignment horizontal="center" vertical="top"/>
    </xf>
    <xf applyAlignment="true" applyBorder="true" applyFill="false" applyFont="false" applyNumberFormat="true" borderId="9494" fillId="0" fontId="1" numFmtId="1000" quotePrefix="false">
      <alignment horizontal="center" vertical="top"/>
    </xf>
    <xf applyAlignment="true" applyBorder="true" applyFill="false" applyFont="false" applyNumberFormat="true" borderId="9495" fillId="0" fontId="1" numFmtId="1000" quotePrefix="false">
      <alignment horizontal="center" vertical="top"/>
    </xf>
    <xf applyAlignment="true" applyBorder="true" applyFill="false" applyFont="false" applyNumberFormat="true" borderId="9496" fillId="0" fontId="1" numFmtId="1000" quotePrefix="false">
      <alignment horizontal="center" vertical="top"/>
    </xf>
    <xf applyAlignment="true" applyBorder="true" applyFill="false" applyFont="false" applyNumberFormat="true" borderId="9497" fillId="0" fontId="1" numFmtId="1000" quotePrefix="false">
      <alignment horizontal="center" vertical="top"/>
    </xf>
    <xf applyAlignment="true" applyBorder="true" applyFill="false" applyFont="false" applyNumberFormat="true" borderId="9498" fillId="0" fontId="1" numFmtId="1000" quotePrefix="false">
      <alignment horizontal="center" vertical="top"/>
    </xf>
    <xf applyAlignment="true" applyBorder="true" applyFill="false" applyFont="false" applyNumberFormat="true" borderId="9499" fillId="0" fontId="1" numFmtId="1000" quotePrefix="false">
      <alignment horizontal="center" vertical="top"/>
    </xf>
    <xf applyAlignment="true" applyBorder="true" applyFill="false" applyFont="false" applyNumberFormat="true" borderId="9500" fillId="0" fontId="1" numFmtId="1000" quotePrefix="false">
      <alignment horizontal="center" vertical="top"/>
    </xf>
    <xf applyAlignment="true" applyBorder="true" applyFill="false" applyFont="false" applyNumberFormat="true" borderId="9501" fillId="0" fontId="1" numFmtId="1000" quotePrefix="false">
      <alignment horizontal="center" vertical="top"/>
    </xf>
    <xf applyAlignment="true" applyBorder="true" applyFill="false" applyFont="false" applyNumberFormat="true" borderId="9502" fillId="0" fontId="1" numFmtId="1000" quotePrefix="false">
      <alignment horizontal="center" vertical="top"/>
    </xf>
    <xf applyAlignment="true" applyBorder="true" applyFill="false" applyFont="false" applyNumberFormat="true" borderId="9503" fillId="0" fontId="1" numFmtId="1000" quotePrefix="false">
      <alignment horizontal="center" vertical="top"/>
    </xf>
    <xf applyAlignment="true" applyBorder="true" applyFill="false" applyFont="false" applyNumberFormat="true" borderId="9504" fillId="0" fontId="1" numFmtId="1000" quotePrefix="false">
      <alignment horizontal="center" vertical="top"/>
    </xf>
    <xf applyAlignment="true" applyBorder="true" applyFill="false" applyFont="false" applyNumberFormat="true" borderId="9505" fillId="0" fontId="1" numFmtId="1000" quotePrefix="false">
      <alignment horizontal="center" vertical="top"/>
    </xf>
    <xf applyAlignment="true" applyBorder="true" applyFill="false" applyFont="false" applyNumberFormat="true" borderId="9506" fillId="0" fontId="1" numFmtId="1000" quotePrefix="false">
      <alignment horizontal="center" vertical="top"/>
    </xf>
    <xf applyAlignment="true" applyBorder="true" applyFill="false" applyFont="false" applyNumberFormat="true" borderId="9507" fillId="0" fontId="1" numFmtId="1000" quotePrefix="false">
      <alignment horizontal="center" vertical="top"/>
    </xf>
    <xf applyAlignment="true" applyBorder="true" applyFill="false" applyFont="false" applyNumberFormat="true" borderId="9508" fillId="0" fontId="1" numFmtId="1000" quotePrefix="false">
      <alignment horizontal="center" vertical="top"/>
    </xf>
    <xf applyAlignment="true" applyBorder="true" applyFill="false" applyFont="false" applyNumberFormat="true" borderId="9509" fillId="0" fontId="1" numFmtId="1000" quotePrefix="false">
      <alignment horizontal="center" vertical="top"/>
    </xf>
    <xf applyAlignment="true" applyBorder="true" applyFill="false" applyFont="false" applyNumberFormat="true" borderId="9510" fillId="0" fontId="1" numFmtId="1000" quotePrefix="false">
      <alignment horizontal="center" vertical="top"/>
    </xf>
    <xf applyAlignment="true" applyBorder="true" applyFill="false" applyFont="false" applyNumberFormat="true" borderId="9511" fillId="0" fontId="1" numFmtId="1000" quotePrefix="false">
      <alignment horizontal="center" vertical="top"/>
    </xf>
    <xf applyAlignment="true" applyBorder="true" applyFill="false" applyFont="false" applyNumberFormat="true" borderId="9512" fillId="0" fontId="1" numFmtId="1000" quotePrefix="false">
      <alignment horizontal="center" vertical="top"/>
    </xf>
    <xf applyAlignment="true" applyBorder="true" applyFill="false" applyFont="false" applyNumberFormat="true" borderId="9513" fillId="0" fontId="1" numFmtId="1000" quotePrefix="false">
      <alignment horizontal="center" vertical="top"/>
    </xf>
    <xf applyAlignment="true" applyBorder="true" applyFill="false" applyFont="false" applyNumberFormat="true" borderId="9514" fillId="0" fontId="1" numFmtId="1000" quotePrefix="false">
      <alignment horizontal="center" vertical="top"/>
    </xf>
    <xf applyAlignment="true" applyBorder="true" applyFill="false" applyFont="false" applyNumberFormat="true" borderId="9515" fillId="0" fontId="1" numFmtId="1000" quotePrefix="false">
      <alignment horizontal="center" vertical="top"/>
    </xf>
    <xf applyAlignment="true" applyBorder="true" applyFill="false" applyFont="false" applyNumberFormat="true" borderId="9516" fillId="0" fontId="1" numFmtId="1000" quotePrefix="false">
      <alignment horizontal="center" vertical="top"/>
    </xf>
    <xf applyAlignment="true" applyBorder="true" applyFill="false" applyFont="true" applyNumberFormat="true" borderId="9517" fillId="0" fontId="2" numFmtId="1000" quotePrefix="false">
      <alignment horizontal="center" vertical="top"/>
    </xf>
    <xf applyAlignment="true" applyBorder="true" applyFill="false" applyFont="false" applyNumberFormat="true" borderId="9518" fillId="0" fontId="1" numFmtId="1000" quotePrefix="false">
      <alignment horizontal="left" vertical="top"/>
    </xf>
    <xf applyAlignment="true" applyBorder="true" applyFill="false" applyFont="false" applyNumberFormat="true" borderId="9519" fillId="0" fontId="1" numFmtId="1000" quotePrefix="false">
      <alignment horizontal="left" vertical="top"/>
    </xf>
    <xf applyAlignment="true" applyBorder="true" applyFill="false" applyFont="false" applyNumberFormat="true" borderId="9520" fillId="0" fontId="1" numFmtId="1000" quotePrefix="false">
      <alignment horizontal="left" vertical="top"/>
    </xf>
    <xf applyAlignment="true" applyBorder="true" applyFill="false" applyFont="false" applyNumberFormat="true" borderId="9521" fillId="0" fontId="1" numFmtId="1000" quotePrefix="false">
      <alignment horizontal="left" vertical="top"/>
    </xf>
    <xf applyAlignment="true" applyBorder="true" applyFill="false" applyFont="false" applyNumberFormat="true" borderId="9522" fillId="0" fontId="1" numFmtId="1000" quotePrefix="false">
      <alignment horizontal="left" vertical="top"/>
    </xf>
    <xf applyAlignment="true" applyBorder="true" applyFill="false" applyFont="false" applyNumberFormat="true" borderId="9523" fillId="0" fontId="1" numFmtId="1000" quotePrefix="false">
      <alignment horizontal="left" vertical="top"/>
    </xf>
    <xf applyAlignment="true" applyBorder="true" applyFill="false" applyFont="false" applyNumberFormat="true" borderId="9524" fillId="0" fontId="1" numFmtId="1000" quotePrefix="false">
      <alignment horizontal="left" vertical="top"/>
    </xf>
    <xf applyAlignment="true" applyBorder="true" applyFill="false" applyFont="false" applyNumberFormat="true" borderId="9525" fillId="0" fontId="1" numFmtId="1000" quotePrefix="false">
      <alignment horizontal="left" vertical="top"/>
    </xf>
    <xf applyAlignment="true" applyBorder="true" applyFill="false" applyFont="false" applyNumberFormat="true" borderId="9526" fillId="0" fontId="1" numFmtId="1000" quotePrefix="false">
      <alignment horizontal="left" vertical="top"/>
    </xf>
    <xf applyAlignment="true" applyBorder="true" applyFill="false" applyFont="false" applyNumberFormat="true" borderId="9527" fillId="0" fontId="1" numFmtId="1000" quotePrefix="false">
      <alignment horizontal="left" vertical="top"/>
    </xf>
    <xf applyAlignment="true" applyBorder="true" applyFill="false" applyFont="false" applyNumberFormat="true" borderId="9528" fillId="0" fontId="1" numFmtId="1000" quotePrefix="false">
      <alignment horizontal="left" vertical="top"/>
    </xf>
    <xf applyAlignment="true" applyBorder="true" applyFill="false" applyFont="false" applyNumberFormat="true" borderId="9529" fillId="0" fontId="1" numFmtId="1000" quotePrefix="false">
      <alignment horizontal="left" vertical="top"/>
    </xf>
    <xf applyAlignment="true" applyBorder="true" applyFill="false" applyFont="false" applyNumberFormat="true" borderId="9530" fillId="0" fontId="1" numFmtId="1000" quotePrefix="false">
      <alignment horizontal="left" vertical="top"/>
    </xf>
    <xf applyAlignment="true" applyBorder="true" applyFill="false" applyFont="false" applyNumberFormat="true" borderId="9531" fillId="0" fontId="1" numFmtId="1000" quotePrefix="false">
      <alignment horizontal="left" vertical="top"/>
    </xf>
    <xf applyAlignment="true" applyBorder="true" applyFill="false" applyFont="false" applyNumberFormat="true" borderId="9532" fillId="0" fontId="1" numFmtId="1000" quotePrefix="false">
      <alignment horizontal="left" vertical="top"/>
    </xf>
    <xf applyAlignment="true" applyBorder="true" applyFill="false" applyFont="false" applyNumberFormat="true" borderId="9533" fillId="0" fontId="1" numFmtId="1000" quotePrefix="false">
      <alignment horizontal="left" vertical="top"/>
    </xf>
    <xf applyAlignment="true" applyBorder="true" applyFill="false" applyFont="false" applyNumberFormat="true" borderId="9534" fillId="0" fontId="1" numFmtId="1000" quotePrefix="false">
      <alignment horizontal="left" vertical="top"/>
    </xf>
    <xf applyAlignment="true" applyBorder="true" applyFill="false" applyFont="false" applyNumberFormat="true" borderId="9535" fillId="0" fontId="1" numFmtId="1000" quotePrefix="false">
      <alignment horizontal="left" vertical="top"/>
    </xf>
    <xf applyAlignment="true" applyBorder="true" applyFill="false" applyFont="false" applyNumberFormat="true" borderId="9536" fillId="0" fontId="1" numFmtId="1000" quotePrefix="false">
      <alignment horizontal="left" vertical="top"/>
    </xf>
    <xf applyAlignment="true" applyBorder="true" applyFill="false" applyFont="true" applyNumberFormat="true" borderId="9537" fillId="0" fontId="2" numFmtId="1001" quotePrefix="false">
      <alignment horizontal="center"/>
    </xf>
    <xf applyAlignment="true" applyBorder="true" applyFill="false" applyFont="true" applyNumberFormat="true" borderId="9538" fillId="0" fontId="2" numFmtId="1001" quotePrefix="false">
      <alignment horizontal="center"/>
    </xf>
    <xf applyAlignment="true" applyBorder="true" applyFill="false" applyFont="true" applyNumberFormat="true" borderId="9539" fillId="0" fontId="2" numFmtId="1001" quotePrefix="false">
      <alignment horizontal="center"/>
    </xf>
    <xf applyAlignment="true" applyBorder="true" applyFill="false" applyFont="false" applyNumberFormat="true" borderId="9540" fillId="0" fontId="1" numFmtId="1000" quotePrefix="false">
      <alignment horizontal="center" vertical="top"/>
    </xf>
    <xf applyAlignment="true" applyBorder="true" applyFill="false" applyFont="false" applyNumberFormat="true" borderId="9541" fillId="0" fontId="1" numFmtId="1000" quotePrefix="false">
      <alignment horizontal="center" vertical="top"/>
    </xf>
    <xf applyAlignment="true" applyBorder="true" applyFill="false" applyFont="false" applyNumberFormat="true" borderId="9542" fillId="0" fontId="1" numFmtId="1000" quotePrefix="false">
      <alignment horizontal="center" vertical="top"/>
    </xf>
    <xf applyAlignment="true" applyBorder="true" applyFill="false" applyFont="false" applyNumberFormat="true" borderId="9543" fillId="0" fontId="1" numFmtId="1000" quotePrefix="false">
      <alignment horizontal="center" vertical="top"/>
    </xf>
    <xf applyAlignment="true" applyBorder="true" applyFill="false" applyFont="false" applyNumberFormat="true" borderId="9544" fillId="0" fontId="1" numFmtId="1000" quotePrefix="false">
      <alignment horizontal="center" vertical="top"/>
    </xf>
    <xf applyAlignment="true" applyBorder="true" applyFill="false" applyFont="false" applyNumberFormat="true" borderId="9545" fillId="0" fontId="1" numFmtId="1000" quotePrefix="false">
      <alignment horizontal="center" vertical="top"/>
    </xf>
    <xf applyAlignment="true" applyBorder="true" applyFill="false" applyFont="false" applyNumberFormat="true" borderId="9546" fillId="0" fontId="1" numFmtId="1000" quotePrefix="false">
      <alignment horizontal="center" vertical="top"/>
    </xf>
    <xf applyAlignment="true" applyBorder="true" applyFill="false" applyFont="false" applyNumberFormat="true" borderId="9547" fillId="0" fontId="1" numFmtId="1000" quotePrefix="false">
      <alignment horizontal="center" vertical="top"/>
    </xf>
    <xf applyAlignment="true" applyBorder="true" applyFill="false" applyFont="false" applyNumberFormat="true" borderId="9548" fillId="0" fontId="1" numFmtId="1000" quotePrefix="false">
      <alignment horizontal="center" vertical="top"/>
    </xf>
    <xf applyAlignment="true" applyBorder="true" applyFill="false" applyFont="false" applyNumberFormat="true" borderId="9549" fillId="0" fontId="1" numFmtId="1000" quotePrefix="false">
      <alignment horizontal="center" vertical="top"/>
    </xf>
    <xf applyAlignment="true" applyBorder="true" applyFill="false" applyFont="false" applyNumberFormat="true" borderId="9550" fillId="0" fontId="1" numFmtId="1000" quotePrefix="false">
      <alignment horizontal="center" vertical="top"/>
    </xf>
    <xf applyAlignment="true" applyBorder="true" applyFill="false" applyFont="false" applyNumberFormat="true" borderId="9551" fillId="0" fontId="1" numFmtId="1000" quotePrefix="false">
      <alignment horizontal="center" vertical="top"/>
    </xf>
    <xf applyAlignment="true" applyBorder="true" applyFill="false" applyFont="false" applyNumberFormat="true" borderId="9552" fillId="0" fontId="1" numFmtId="1000" quotePrefix="false">
      <alignment horizontal="center" vertical="top"/>
    </xf>
    <xf applyAlignment="true" applyBorder="true" applyFill="false" applyFont="false" applyNumberFormat="true" borderId="9553" fillId="0" fontId="1" numFmtId="1000" quotePrefix="false">
      <alignment horizontal="center" vertical="top"/>
    </xf>
    <xf applyAlignment="true" applyBorder="true" applyFill="false" applyFont="false" applyNumberFormat="true" borderId="9554" fillId="0" fontId="1" numFmtId="1000" quotePrefix="false">
      <alignment horizontal="center" vertical="top"/>
    </xf>
    <xf applyAlignment="true" applyBorder="true" applyFill="false" applyFont="false" applyNumberFormat="true" borderId="9555" fillId="0" fontId="1" numFmtId="1000" quotePrefix="false">
      <alignment horizontal="center" vertical="top"/>
    </xf>
    <xf applyAlignment="true" applyBorder="true" applyFill="false" applyFont="false" applyNumberFormat="true" borderId="9556" fillId="0" fontId="1" numFmtId="1000" quotePrefix="false">
      <alignment horizontal="center" vertical="top"/>
    </xf>
    <xf applyAlignment="true" applyBorder="true" applyFill="false" applyFont="false" applyNumberFormat="true" borderId="9557" fillId="0" fontId="1" numFmtId="1000" quotePrefix="false">
      <alignment horizontal="center" vertical="top"/>
    </xf>
    <xf applyAlignment="true" applyBorder="true" applyFill="false" applyFont="false" applyNumberFormat="true" borderId="9558" fillId="0" fontId="1" numFmtId="1000" quotePrefix="false">
      <alignment horizontal="center" vertical="top"/>
    </xf>
    <xf applyAlignment="true" applyBorder="true" applyFill="false" applyFont="false" applyNumberFormat="true" borderId="9559" fillId="0" fontId="1" numFmtId="1000" quotePrefix="false">
      <alignment horizontal="center" vertical="top"/>
    </xf>
    <xf applyAlignment="true" applyBorder="true" applyFill="false" applyFont="false" applyNumberFormat="true" borderId="9560" fillId="0" fontId="1" numFmtId="1000" quotePrefix="false">
      <alignment horizontal="center" vertical="top"/>
    </xf>
    <xf applyAlignment="true" applyBorder="true" applyFill="false" applyFont="false" applyNumberFormat="true" borderId="9561" fillId="0" fontId="1" numFmtId="1000" quotePrefix="false">
      <alignment horizontal="center" vertical="top"/>
    </xf>
    <xf applyAlignment="true" applyBorder="true" applyFill="false" applyFont="false" applyNumberFormat="true" borderId="9562" fillId="0" fontId="1" numFmtId="1000" quotePrefix="false">
      <alignment horizontal="center" vertical="top"/>
    </xf>
    <xf applyAlignment="true" applyBorder="true" applyFill="false" applyFont="false" applyNumberFormat="true" borderId="9563" fillId="0" fontId="1" numFmtId="1000" quotePrefix="false">
      <alignment horizontal="center" vertical="top"/>
    </xf>
    <xf applyAlignment="true" applyBorder="true" applyFill="false" applyFont="false" applyNumberFormat="true" borderId="9564" fillId="0" fontId="1" numFmtId="1000" quotePrefix="false">
      <alignment horizontal="center" vertical="top"/>
    </xf>
    <xf applyAlignment="true" applyBorder="true" applyFill="false" applyFont="false" applyNumberFormat="true" borderId="9565" fillId="0" fontId="1" numFmtId="1000" quotePrefix="false">
      <alignment horizontal="center" vertical="top"/>
    </xf>
    <xf applyAlignment="true" applyBorder="true" applyFill="false" applyFont="false" applyNumberFormat="true" borderId="9566" fillId="0" fontId="1" numFmtId="1000" quotePrefix="false">
      <alignment horizontal="center" vertical="top"/>
    </xf>
    <xf applyAlignment="true" applyBorder="true" applyFill="false" applyFont="false" applyNumberFormat="true" borderId="9567" fillId="0" fontId="1" numFmtId="1000" quotePrefix="false">
      <alignment horizontal="center" vertical="top"/>
    </xf>
    <xf applyAlignment="true" applyBorder="true" applyFill="false" applyFont="false" applyNumberFormat="true" borderId="9568" fillId="0" fontId="1" numFmtId="1000" quotePrefix="false">
      <alignment horizontal="center" vertical="top"/>
    </xf>
    <xf applyAlignment="true" applyBorder="true" applyFill="false" applyFont="false" applyNumberFormat="true" borderId="9569" fillId="0" fontId="1" numFmtId="1000" quotePrefix="false">
      <alignment horizontal="center" vertical="top"/>
    </xf>
    <xf applyAlignment="true" applyBorder="true" applyFill="false" applyFont="false" applyNumberFormat="true" borderId="9570" fillId="0" fontId="1" numFmtId="1000" quotePrefix="false">
      <alignment horizontal="center" vertical="top"/>
    </xf>
    <xf applyAlignment="true" applyBorder="true" applyFill="false" applyFont="false" applyNumberFormat="true" borderId="9571" fillId="0" fontId="1" numFmtId="1000" quotePrefix="false">
      <alignment horizontal="center" vertical="top"/>
    </xf>
    <xf applyAlignment="true" applyBorder="true" applyFill="false" applyFont="false" applyNumberFormat="true" borderId="9572" fillId="0" fontId="1" numFmtId="1000" quotePrefix="false">
      <alignment horizontal="center" vertical="top"/>
    </xf>
    <xf applyAlignment="true" applyBorder="true" applyFill="false" applyFont="true" applyNumberFormat="true" borderId="9573" fillId="0" fontId="2" numFmtId="1000" quotePrefix="false">
      <alignment horizontal="center" vertical="top"/>
    </xf>
    <xf applyAlignment="true" applyBorder="true" applyFill="false" applyFont="false" applyNumberFormat="true" borderId="9574" fillId="0" fontId="1" numFmtId="1000" quotePrefix="false">
      <alignment horizontal="left" vertical="top"/>
    </xf>
    <xf applyAlignment="true" applyBorder="true" applyFill="false" applyFont="false" applyNumberFormat="true" borderId="9575" fillId="0" fontId="1" numFmtId="1000" quotePrefix="false">
      <alignment horizontal="left" vertical="top"/>
    </xf>
    <xf applyAlignment="true" applyBorder="true" applyFill="false" applyFont="false" applyNumberFormat="true" borderId="9576" fillId="0" fontId="1" numFmtId="1000" quotePrefix="false">
      <alignment horizontal="left" vertical="top"/>
    </xf>
    <xf applyAlignment="true" applyBorder="true" applyFill="false" applyFont="false" applyNumberFormat="true" borderId="9577" fillId="0" fontId="1" numFmtId="1000" quotePrefix="false">
      <alignment horizontal="left" vertical="top"/>
    </xf>
    <xf applyAlignment="true" applyBorder="true" applyFill="false" applyFont="false" applyNumberFormat="true" borderId="9578" fillId="0" fontId="1" numFmtId="1000" quotePrefix="false">
      <alignment horizontal="left" vertical="top"/>
    </xf>
    <xf applyAlignment="true" applyBorder="true" applyFill="false" applyFont="false" applyNumberFormat="true" borderId="9579" fillId="0" fontId="1" numFmtId="1000" quotePrefix="false">
      <alignment horizontal="left" vertical="top"/>
    </xf>
    <xf applyAlignment="true" applyBorder="true" applyFill="false" applyFont="false" applyNumberFormat="true" borderId="9580" fillId="0" fontId="1" numFmtId="1000" quotePrefix="false">
      <alignment horizontal="left" vertical="top"/>
    </xf>
    <xf applyAlignment="true" applyBorder="true" applyFill="false" applyFont="false" applyNumberFormat="true" borderId="9581" fillId="0" fontId="1" numFmtId="1000" quotePrefix="false">
      <alignment horizontal="left" vertical="top"/>
    </xf>
    <xf applyAlignment="true" applyBorder="true" applyFill="false" applyFont="false" applyNumberFormat="true" borderId="9582" fillId="0" fontId="1" numFmtId="1000" quotePrefix="false">
      <alignment horizontal="left" vertical="top"/>
    </xf>
    <xf applyAlignment="true" applyBorder="true" applyFill="false" applyFont="false" applyNumberFormat="true" borderId="9583" fillId="0" fontId="1" numFmtId="1000" quotePrefix="false">
      <alignment horizontal="left" vertical="top"/>
    </xf>
    <xf applyAlignment="true" applyBorder="true" applyFill="false" applyFont="false" applyNumberFormat="true" borderId="9584" fillId="0" fontId="1" numFmtId="1000" quotePrefix="false">
      <alignment horizontal="left" vertical="top"/>
    </xf>
    <xf applyAlignment="true" applyBorder="true" applyFill="false" applyFont="false" applyNumberFormat="true" borderId="9585" fillId="0" fontId="1" numFmtId="1000" quotePrefix="false">
      <alignment horizontal="left" vertical="top"/>
    </xf>
    <xf applyAlignment="true" applyBorder="true" applyFill="false" applyFont="false" applyNumberFormat="true" borderId="9586" fillId="0" fontId="1" numFmtId="1000" quotePrefix="false">
      <alignment horizontal="left" vertical="top"/>
    </xf>
    <xf applyAlignment="true" applyBorder="true" applyFill="false" applyFont="false" applyNumberFormat="true" borderId="9587" fillId="0" fontId="1" numFmtId="1000" quotePrefix="false">
      <alignment horizontal="left" vertical="top"/>
    </xf>
    <xf applyAlignment="true" applyBorder="true" applyFill="false" applyFont="false" applyNumberFormat="true" borderId="9588" fillId="0" fontId="1" numFmtId="1000" quotePrefix="false">
      <alignment horizontal="left" vertical="top"/>
    </xf>
    <xf applyAlignment="true" applyBorder="true" applyFill="false" applyFont="false" applyNumberFormat="true" borderId="9589" fillId="0" fontId="1" numFmtId="1000" quotePrefix="false">
      <alignment horizontal="left" vertical="top"/>
    </xf>
    <xf applyAlignment="true" applyBorder="true" applyFill="false" applyFont="false" applyNumberFormat="true" borderId="9590" fillId="0" fontId="1" numFmtId="1000" quotePrefix="false">
      <alignment horizontal="left" vertical="top"/>
    </xf>
    <xf applyAlignment="true" applyBorder="true" applyFill="false" applyFont="false" applyNumberFormat="true" borderId="9591" fillId="0" fontId="1" numFmtId="1000" quotePrefix="false">
      <alignment horizontal="left" vertical="top"/>
    </xf>
    <xf applyAlignment="true" applyBorder="true" applyFill="false" applyFont="false" applyNumberFormat="true" borderId="9592" fillId="0" fontId="1" numFmtId="1000" quotePrefix="false">
      <alignment horizontal="left" vertical="top"/>
    </xf>
    <xf applyAlignment="true" applyBorder="true" applyFill="false" applyFont="true" applyNumberFormat="true" borderId="9593" fillId="0" fontId="2" numFmtId="1001" quotePrefix="false">
      <alignment horizontal="center"/>
    </xf>
    <xf applyAlignment="true" applyBorder="true" applyFill="false" applyFont="true" applyNumberFormat="true" borderId="9594" fillId="0" fontId="2" numFmtId="1001" quotePrefix="false">
      <alignment horizontal="center"/>
    </xf>
    <xf applyAlignment="true" applyBorder="true" applyFill="false" applyFont="true" applyNumberFormat="true" borderId="9595" fillId="0" fontId="2" numFmtId="1001" quotePrefix="false">
      <alignment horizontal="center"/>
    </xf>
    <xf applyAlignment="true" applyBorder="true" applyFill="false" applyFont="false" applyNumberFormat="true" borderId="9596" fillId="0" fontId="1" numFmtId="1000" quotePrefix="false">
      <alignment horizontal="center" vertical="top"/>
    </xf>
    <xf applyAlignment="true" applyBorder="true" applyFill="false" applyFont="false" applyNumberFormat="true" borderId="9597" fillId="0" fontId="1" numFmtId="1000" quotePrefix="false">
      <alignment horizontal="center" vertical="top"/>
    </xf>
    <xf applyAlignment="true" applyBorder="true" applyFill="false" applyFont="false" applyNumberFormat="true" borderId="9598" fillId="0" fontId="1" numFmtId="1000" quotePrefix="false">
      <alignment horizontal="center" vertical="top"/>
    </xf>
    <xf applyAlignment="true" applyBorder="true" applyFill="false" applyFont="false" applyNumberFormat="true" borderId="9599" fillId="0" fontId="1" numFmtId="1000" quotePrefix="false">
      <alignment horizontal="center" vertical="top"/>
    </xf>
    <xf applyAlignment="true" applyBorder="true" applyFill="false" applyFont="false" applyNumberFormat="true" borderId="9600" fillId="0" fontId="1" numFmtId="1000" quotePrefix="false">
      <alignment horizontal="center" vertical="top"/>
    </xf>
    <xf applyAlignment="true" applyBorder="true" applyFill="false" applyFont="false" applyNumberFormat="true" borderId="9601" fillId="0" fontId="1" numFmtId="1000" quotePrefix="false">
      <alignment horizontal="center" vertical="top"/>
    </xf>
    <xf applyAlignment="true" applyBorder="true" applyFill="false" applyFont="false" applyNumberFormat="true" borderId="9602" fillId="0" fontId="1" numFmtId="1000" quotePrefix="false">
      <alignment horizontal="center" vertical="top"/>
    </xf>
    <xf applyAlignment="true" applyBorder="true" applyFill="false" applyFont="false" applyNumberFormat="true" borderId="9603" fillId="0" fontId="1" numFmtId="1000" quotePrefix="false">
      <alignment horizontal="center" vertical="top"/>
    </xf>
    <xf applyAlignment="true" applyBorder="true" applyFill="false" applyFont="false" applyNumberFormat="true" borderId="9604" fillId="0" fontId="1" numFmtId="1000" quotePrefix="false">
      <alignment horizontal="center" vertical="top"/>
    </xf>
    <xf applyAlignment="true" applyBorder="true" applyFill="false" applyFont="false" applyNumberFormat="true" borderId="9605" fillId="0" fontId="1" numFmtId="1000" quotePrefix="false">
      <alignment horizontal="center" vertical="top"/>
    </xf>
    <xf applyAlignment="true" applyBorder="true" applyFill="false" applyFont="false" applyNumberFormat="true" borderId="9606" fillId="0" fontId="1" numFmtId="1000" quotePrefix="false">
      <alignment horizontal="center" vertical="top"/>
    </xf>
    <xf applyAlignment="true" applyBorder="true" applyFill="false" applyFont="false" applyNumberFormat="true" borderId="9607" fillId="0" fontId="1" numFmtId="1000" quotePrefix="false">
      <alignment horizontal="center" vertical="top"/>
    </xf>
    <xf applyAlignment="true" applyBorder="true" applyFill="false" applyFont="false" applyNumberFormat="true" borderId="9608" fillId="0" fontId="1" numFmtId="1000" quotePrefix="false">
      <alignment horizontal="center" vertical="top"/>
    </xf>
    <xf applyAlignment="true" applyBorder="true" applyFill="false" applyFont="false" applyNumberFormat="true" borderId="9609" fillId="0" fontId="1" numFmtId="1000" quotePrefix="false">
      <alignment horizontal="center" vertical="top"/>
    </xf>
    <xf applyAlignment="true" applyBorder="true" applyFill="false" applyFont="false" applyNumberFormat="true" borderId="9610" fillId="0" fontId="1" numFmtId="1000" quotePrefix="false">
      <alignment horizontal="center" vertical="top"/>
    </xf>
    <xf applyAlignment="true" applyBorder="true" applyFill="false" applyFont="false" applyNumberFormat="true" borderId="9611" fillId="0" fontId="1" numFmtId="1000" quotePrefix="false">
      <alignment horizontal="center" vertical="top"/>
    </xf>
    <xf applyAlignment="true" applyBorder="true" applyFill="false" applyFont="false" applyNumberFormat="true" borderId="9612" fillId="0" fontId="1" numFmtId="1000" quotePrefix="false">
      <alignment horizontal="center" vertical="top"/>
    </xf>
    <xf applyAlignment="true" applyBorder="true" applyFill="false" applyFont="false" applyNumberFormat="true" borderId="9613" fillId="0" fontId="1" numFmtId="1000" quotePrefix="false">
      <alignment horizontal="center" vertical="top"/>
    </xf>
    <xf applyAlignment="true" applyBorder="true" applyFill="false" applyFont="false" applyNumberFormat="true" borderId="9614" fillId="0" fontId="1" numFmtId="1000" quotePrefix="false">
      <alignment horizontal="center" vertical="top"/>
    </xf>
    <xf applyAlignment="true" applyBorder="true" applyFill="false" applyFont="false" applyNumberFormat="true" borderId="9615" fillId="0" fontId="1" numFmtId="1000" quotePrefix="false">
      <alignment horizontal="center" vertical="top"/>
    </xf>
    <xf applyAlignment="true" applyBorder="true" applyFill="false" applyFont="false" applyNumberFormat="true" borderId="9616" fillId="0" fontId="1" numFmtId="1000" quotePrefix="false">
      <alignment horizontal="center" vertical="top"/>
    </xf>
    <xf applyAlignment="true" applyBorder="true" applyFill="false" applyFont="false" applyNumberFormat="true" borderId="9617" fillId="0" fontId="1" numFmtId="1000" quotePrefix="false">
      <alignment horizontal="center" vertical="top"/>
    </xf>
    <xf applyAlignment="true" applyBorder="true" applyFill="false" applyFont="false" applyNumberFormat="true" borderId="9618" fillId="0" fontId="1" numFmtId="1000" quotePrefix="false">
      <alignment horizontal="center" vertical="top"/>
    </xf>
    <xf applyAlignment="true" applyBorder="true" applyFill="false" applyFont="false" applyNumberFormat="true" borderId="9619" fillId="0" fontId="1" numFmtId="1000" quotePrefix="false">
      <alignment horizontal="center" vertical="top"/>
    </xf>
    <xf applyAlignment="true" applyBorder="true" applyFill="false" applyFont="false" applyNumberFormat="true" borderId="9620" fillId="0" fontId="1" numFmtId="1000" quotePrefix="false">
      <alignment horizontal="center" vertical="top"/>
    </xf>
    <xf applyAlignment="true" applyBorder="true" applyFill="false" applyFont="false" applyNumberFormat="true" borderId="9621" fillId="0" fontId="1" numFmtId="1000" quotePrefix="false">
      <alignment horizontal="center" vertical="top"/>
    </xf>
    <xf applyAlignment="true" applyBorder="true" applyFill="false" applyFont="false" applyNumberFormat="true" borderId="9622" fillId="0" fontId="1" numFmtId="1000" quotePrefix="false">
      <alignment horizontal="center" vertical="top"/>
    </xf>
    <xf applyAlignment="true" applyBorder="true" applyFill="false" applyFont="false" applyNumberFormat="true" borderId="9623" fillId="0" fontId="1" numFmtId="1000" quotePrefix="false">
      <alignment horizontal="center" vertical="top"/>
    </xf>
    <xf applyAlignment="true" applyBorder="true" applyFill="false" applyFont="false" applyNumberFormat="true" borderId="9624" fillId="0" fontId="1" numFmtId="1000" quotePrefix="false">
      <alignment horizontal="center" vertical="top"/>
    </xf>
    <xf applyAlignment="true" applyBorder="true" applyFill="false" applyFont="false" applyNumberFormat="true" borderId="9625" fillId="0" fontId="1" numFmtId="1000" quotePrefix="false">
      <alignment horizontal="center" vertical="top"/>
    </xf>
    <xf applyAlignment="true" applyBorder="true" applyFill="false" applyFont="false" applyNumberFormat="true" borderId="9626" fillId="0" fontId="1" numFmtId="1000" quotePrefix="false">
      <alignment horizontal="center" vertical="top"/>
    </xf>
    <xf applyAlignment="true" applyBorder="true" applyFill="false" applyFont="false" applyNumberFormat="true" borderId="9627" fillId="0" fontId="1" numFmtId="1000" quotePrefix="false">
      <alignment horizontal="center" vertical="top"/>
    </xf>
    <xf applyAlignment="true" applyBorder="true" applyFill="false" applyFont="false" applyNumberFormat="true" borderId="9628" fillId="0" fontId="1" numFmtId="1000" quotePrefix="false">
      <alignment horizontal="center" vertical="top"/>
    </xf>
    <xf applyAlignment="true" applyBorder="true" applyFill="false" applyFont="true" applyNumberFormat="true" borderId="9629" fillId="0" fontId="2" numFmtId="1000" quotePrefix="false">
      <alignment horizontal="center" vertical="top"/>
    </xf>
    <xf applyAlignment="true" applyBorder="true" applyFill="false" applyFont="false" applyNumberFormat="true" borderId="9630" fillId="0" fontId="1" numFmtId="1000" quotePrefix="false">
      <alignment horizontal="left" vertical="top"/>
    </xf>
    <xf applyAlignment="true" applyBorder="true" applyFill="false" applyFont="false" applyNumberFormat="true" borderId="9631" fillId="0" fontId="1" numFmtId="1000" quotePrefix="false">
      <alignment horizontal="left" vertical="top"/>
    </xf>
    <xf applyAlignment="true" applyBorder="true" applyFill="false" applyFont="false" applyNumberFormat="true" borderId="9632" fillId="0" fontId="1" numFmtId="1000" quotePrefix="false">
      <alignment horizontal="left" vertical="top"/>
    </xf>
    <xf applyAlignment="true" applyBorder="true" applyFill="false" applyFont="false" applyNumberFormat="true" borderId="9633" fillId="0" fontId="1" numFmtId="1000" quotePrefix="false">
      <alignment horizontal="left" vertical="top"/>
    </xf>
    <xf applyAlignment="true" applyBorder="true" applyFill="false" applyFont="false" applyNumberFormat="true" borderId="9634" fillId="0" fontId="1" numFmtId="1000" quotePrefix="false">
      <alignment horizontal="left" vertical="top"/>
    </xf>
    <xf applyAlignment="true" applyBorder="true" applyFill="false" applyFont="false" applyNumberFormat="true" borderId="9635" fillId="0" fontId="1" numFmtId="1000" quotePrefix="false">
      <alignment horizontal="left" vertical="top"/>
    </xf>
    <xf applyAlignment="true" applyBorder="true" applyFill="false" applyFont="false" applyNumberFormat="true" borderId="9636" fillId="0" fontId="1" numFmtId="1000" quotePrefix="false">
      <alignment horizontal="left" vertical="top"/>
    </xf>
    <xf applyAlignment="true" applyBorder="true" applyFill="false" applyFont="false" applyNumberFormat="true" borderId="9637" fillId="0" fontId="1" numFmtId="1000" quotePrefix="false">
      <alignment horizontal="left" vertical="top"/>
    </xf>
    <xf applyAlignment="true" applyBorder="true" applyFill="false" applyFont="false" applyNumberFormat="true" borderId="9638" fillId="0" fontId="1" numFmtId="1000" quotePrefix="false">
      <alignment horizontal="left" vertical="top"/>
    </xf>
    <xf applyAlignment="true" applyBorder="true" applyFill="false" applyFont="false" applyNumberFormat="true" borderId="9639" fillId="0" fontId="1" numFmtId="1000" quotePrefix="false">
      <alignment horizontal="left" vertical="top"/>
    </xf>
    <xf applyAlignment="true" applyBorder="true" applyFill="false" applyFont="false" applyNumberFormat="true" borderId="9640" fillId="0" fontId="1" numFmtId="1000" quotePrefix="false">
      <alignment horizontal="left" vertical="top"/>
    </xf>
    <xf applyAlignment="true" applyBorder="true" applyFill="false" applyFont="false" applyNumberFormat="true" borderId="9641" fillId="0" fontId="1" numFmtId="1000" quotePrefix="false">
      <alignment horizontal="left" vertical="top"/>
    </xf>
    <xf applyAlignment="true" applyBorder="true" applyFill="false" applyFont="false" applyNumberFormat="true" borderId="9642" fillId="0" fontId="1" numFmtId="1000" quotePrefix="false">
      <alignment horizontal="left" vertical="top"/>
    </xf>
    <xf applyAlignment="true" applyBorder="true" applyFill="false" applyFont="false" applyNumberFormat="true" borderId="9643" fillId="0" fontId="1" numFmtId="1000" quotePrefix="false">
      <alignment horizontal="left" vertical="top"/>
    </xf>
    <xf applyAlignment="true" applyBorder="true" applyFill="false" applyFont="false" applyNumberFormat="true" borderId="9644" fillId="0" fontId="1" numFmtId="1000" quotePrefix="false">
      <alignment horizontal="left" vertical="top"/>
    </xf>
    <xf applyAlignment="true" applyBorder="true" applyFill="false" applyFont="false" applyNumberFormat="true" borderId="9645" fillId="0" fontId="1" numFmtId="1000" quotePrefix="false">
      <alignment horizontal="left" vertical="top"/>
    </xf>
    <xf applyAlignment="true" applyBorder="true" applyFill="false" applyFont="false" applyNumberFormat="true" borderId="9646" fillId="0" fontId="1" numFmtId="1000" quotePrefix="false">
      <alignment horizontal="left" vertical="top"/>
    </xf>
    <xf applyAlignment="true" applyBorder="true" applyFill="false" applyFont="false" applyNumberFormat="true" borderId="9647" fillId="0" fontId="1" numFmtId="1000" quotePrefix="false">
      <alignment horizontal="left" vertical="top"/>
    </xf>
    <xf applyAlignment="true" applyBorder="true" applyFill="false" applyFont="false" applyNumberFormat="true" borderId="9648" fillId="0" fontId="1" numFmtId="1000" quotePrefix="false">
      <alignment horizontal="left" vertical="top"/>
    </xf>
    <xf applyAlignment="true" applyBorder="true" applyFill="false" applyFont="true" applyNumberFormat="true" borderId="9649" fillId="0" fontId="2" numFmtId="1001" quotePrefix="false">
      <alignment horizontal="center"/>
    </xf>
    <xf applyAlignment="true" applyBorder="true" applyFill="false" applyFont="true" applyNumberFormat="true" borderId="9650" fillId="0" fontId="2" numFmtId="1001" quotePrefix="false">
      <alignment horizontal="center"/>
    </xf>
    <xf applyAlignment="true" applyBorder="true" applyFill="false" applyFont="true" applyNumberFormat="true" borderId="9651" fillId="0" fontId="2" numFmtId="1001" quotePrefix="false">
      <alignment horizontal="center"/>
    </xf>
    <xf applyAlignment="true" applyBorder="true" applyFill="false" applyFont="false" applyNumberFormat="true" borderId="9652" fillId="0" fontId="1" numFmtId="1000" quotePrefix="false">
      <alignment horizontal="center" vertical="top"/>
    </xf>
    <xf applyAlignment="true" applyBorder="true" applyFill="false" applyFont="false" applyNumberFormat="true" borderId="9653" fillId="0" fontId="1" numFmtId="1000" quotePrefix="false">
      <alignment horizontal="center" vertical="top"/>
    </xf>
    <xf applyAlignment="true" applyBorder="true" applyFill="false" applyFont="false" applyNumberFormat="true" borderId="9654" fillId="0" fontId="1" numFmtId="1000" quotePrefix="false">
      <alignment horizontal="center" vertical="top"/>
    </xf>
    <xf applyAlignment="true" applyBorder="true" applyFill="false" applyFont="false" applyNumberFormat="true" borderId="9655" fillId="0" fontId="1" numFmtId="1000" quotePrefix="false">
      <alignment horizontal="center" vertical="top"/>
    </xf>
    <xf applyAlignment="true" applyBorder="true" applyFill="false" applyFont="false" applyNumberFormat="true" borderId="9656" fillId="0" fontId="1" numFmtId="1000" quotePrefix="false">
      <alignment horizontal="center" vertical="top"/>
    </xf>
    <xf applyAlignment="true" applyBorder="true" applyFill="false" applyFont="false" applyNumberFormat="true" borderId="9657" fillId="0" fontId="1" numFmtId="1000" quotePrefix="false">
      <alignment horizontal="center" vertical="top"/>
    </xf>
    <xf applyAlignment="true" applyBorder="true" applyFill="false" applyFont="false" applyNumberFormat="true" borderId="9658" fillId="0" fontId="1" numFmtId="1000" quotePrefix="false">
      <alignment horizontal="center" vertical="top"/>
    </xf>
    <xf applyAlignment="true" applyBorder="true" applyFill="false" applyFont="false" applyNumberFormat="true" borderId="9659" fillId="0" fontId="1" numFmtId="1000" quotePrefix="false">
      <alignment horizontal="center" vertical="top"/>
    </xf>
    <xf applyAlignment="true" applyBorder="true" applyFill="false" applyFont="false" applyNumberFormat="true" borderId="9660" fillId="0" fontId="1" numFmtId="1000" quotePrefix="false">
      <alignment horizontal="center" vertical="top"/>
    </xf>
    <xf applyAlignment="true" applyBorder="true" applyFill="false" applyFont="false" applyNumberFormat="true" borderId="9661" fillId="0" fontId="1" numFmtId="1000" quotePrefix="false">
      <alignment horizontal="center" vertical="top"/>
    </xf>
    <xf applyAlignment="true" applyBorder="true" applyFill="false" applyFont="false" applyNumberFormat="true" borderId="9662" fillId="0" fontId="1" numFmtId="1000" quotePrefix="false">
      <alignment horizontal="center" vertical="top"/>
    </xf>
    <xf applyAlignment="true" applyBorder="true" applyFill="false" applyFont="false" applyNumberFormat="true" borderId="9663" fillId="0" fontId="1" numFmtId="1000" quotePrefix="false">
      <alignment horizontal="center" vertical="top"/>
    </xf>
    <xf applyAlignment="true" applyBorder="true" applyFill="false" applyFont="false" applyNumberFormat="true" borderId="9664" fillId="0" fontId="1" numFmtId="1000" quotePrefix="false">
      <alignment horizontal="center" vertical="top"/>
    </xf>
    <xf applyAlignment="true" applyBorder="true" applyFill="false" applyFont="false" applyNumberFormat="true" borderId="9665" fillId="0" fontId="1" numFmtId="1000" quotePrefix="false">
      <alignment horizontal="center" vertical="top"/>
    </xf>
    <xf applyAlignment="true" applyBorder="true" applyFill="false" applyFont="false" applyNumberFormat="true" borderId="9666" fillId="0" fontId="1" numFmtId="1000" quotePrefix="false">
      <alignment horizontal="center" vertical="top"/>
    </xf>
    <xf applyAlignment="true" applyBorder="true" applyFill="false" applyFont="false" applyNumberFormat="true" borderId="9667" fillId="0" fontId="1" numFmtId="1000" quotePrefix="false">
      <alignment horizontal="center" vertical="top"/>
    </xf>
    <xf applyAlignment="true" applyBorder="true" applyFill="false" applyFont="false" applyNumberFormat="true" borderId="9668" fillId="0" fontId="1" numFmtId="1000" quotePrefix="false">
      <alignment horizontal="center" vertical="top"/>
    </xf>
    <xf applyAlignment="true" applyBorder="true" applyFill="false" applyFont="false" applyNumberFormat="true" borderId="9669" fillId="0" fontId="1" numFmtId="1000" quotePrefix="false">
      <alignment horizontal="center" vertical="top"/>
    </xf>
    <xf applyAlignment="true" applyBorder="true" applyFill="false" applyFont="false" applyNumberFormat="true" borderId="9670" fillId="0" fontId="1" numFmtId="1000" quotePrefix="false">
      <alignment horizontal="center" vertical="top"/>
    </xf>
    <xf applyAlignment="true" applyBorder="true" applyFill="false" applyFont="false" applyNumberFormat="true" borderId="9671" fillId="0" fontId="1" numFmtId="1000" quotePrefix="false">
      <alignment horizontal="center" vertical="top"/>
    </xf>
    <xf applyAlignment="true" applyBorder="true" applyFill="false" applyFont="false" applyNumberFormat="true" borderId="9672" fillId="0" fontId="1" numFmtId="1000" quotePrefix="false">
      <alignment horizontal="center" vertical="top"/>
    </xf>
    <xf applyAlignment="true" applyBorder="true" applyFill="false" applyFont="false" applyNumberFormat="true" borderId="9673" fillId="0" fontId="1" numFmtId="1000" quotePrefix="false">
      <alignment horizontal="center" vertical="top"/>
    </xf>
    <xf applyAlignment="true" applyBorder="true" applyFill="false" applyFont="false" applyNumberFormat="true" borderId="9674" fillId="0" fontId="1" numFmtId="1000" quotePrefix="false">
      <alignment horizontal="center" vertical="top"/>
    </xf>
    <xf applyAlignment="true" applyBorder="true" applyFill="false" applyFont="false" applyNumberFormat="true" borderId="9675" fillId="0" fontId="1" numFmtId="1000" quotePrefix="false">
      <alignment horizontal="center" vertical="top"/>
    </xf>
    <xf applyAlignment="true" applyBorder="true" applyFill="false" applyFont="false" applyNumberFormat="true" borderId="9676" fillId="0" fontId="1" numFmtId="1000" quotePrefix="false">
      <alignment horizontal="center" vertical="top"/>
    </xf>
    <xf applyAlignment="true" applyBorder="true" applyFill="false" applyFont="false" applyNumberFormat="true" borderId="9677" fillId="0" fontId="1" numFmtId="1000" quotePrefix="false">
      <alignment horizontal="center" vertical="top"/>
    </xf>
    <xf applyAlignment="true" applyBorder="true" applyFill="false" applyFont="false" applyNumberFormat="true" borderId="9678" fillId="0" fontId="1" numFmtId="1000" quotePrefix="false">
      <alignment horizontal="center" vertical="top"/>
    </xf>
    <xf applyAlignment="true" applyBorder="true" applyFill="false" applyFont="false" applyNumberFormat="true" borderId="9679" fillId="0" fontId="1" numFmtId="1000" quotePrefix="false">
      <alignment horizontal="center" vertical="top"/>
    </xf>
    <xf applyAlignment="true" applyBorder="true" applyFill="false" applyFont="false" applyNumberFormat="true" borderId="9680" fillId="0" fontId="1" numFmtId="1000" quotePrefix="false">
      <alignment horizontal="center" vertical="top"/>
    </xf>
    <xf applyAlignment="true" applyBorder="true" applyFill="false" applyFont="false" applyNumberFormat="true" borderId="9681" fillId="0" fontId="1" numFmtId="1000" quotePrefix="false">
      <alignment horizontal="center" vertical="top"/>
    </xf>
    <xf applyAlignment="true" applyBorder="true" applyFill="false" applyFont="false" applyNumberFormat="true" borderId="9682" fillId="0" fontId="1" numFmtId="1000" quotePrefix="false">
      <alignment horizontal="center" vertical="top"/>
    </xf>
    <xf applyAlignment="true" applyBorder="true" applyFill="false" applyFont="false" applyNumberFormat="true" borderId="9683" fillId="0" fontId="1" numFmtId="1000" quotePrefix="false">
      <alignment horizontal="center" vertical="top"/>
    </xf>
    <xf applyAlignment="true" applyBorder="true" applyFill="false" applyFont="false" applyNumberFormat="true" borderId="9684" fillId="0" fontId="1" numFmtId="1000" quotePrefix="false">
      <alignment horizontal="center" vertical="top"/>
    </xf>
    <xf applyAlignment="true" applyBorder="true" applyFill="false" applyFont="true" applyNumberFormat="true" borderId="9685" fillId="0" fontId="2" numFmtId="1000" quotePrefix="false">
      <alignment horizontal="center" vertical="top"/>
    </xf>
    <xf applyAlignment="true" applyBorder="true" applyFill="false" applyFont="false" applyNumberFormat="true" borderId="9686" fillId="0" fontId="1" numFmtId="1000" quotePrefix="false">
      <alignment horizontal="left" vertical="top"/>
    </xf>
    <xf applyAlignment="true" applyBorder="true" applyFill="false" applyFont="false" applyNumberFormat="true" borderId="9687" fillId="0" fontId="1" numFmtId="1000" quotePrefix="false">
      <alignment horizontal="left" vertical="top"/>
    </xf>
    <xf applyAlignment="true" applyBorder="true" applyFill="false" applyFont="false" applyNumberFormat="true" borderId="9688" fillId="0" fontId="1" numFmtId="1000" quotePrefix="false">
      <alignment horizontal="left" vertical="top"/>
    </xf>
    <xf applyAlignment="true" applyBorder="true" applyFill="false" applyFont="false" applyNumberFormat="true" borderId="9689" fillId="0" fontId="1" numFmtId="1000" quotePrefix="false">
      <alignment horizontal="left" vertical="top"/>
    </xf>
    <xf applyAlignment="true" applyBorder="true" applyFill="false" applyFont="false" applyNumberFormat="true" borderId="9690" fillId="0" fontId="1" numFmtId="1000" quotePrefix="false">
      <alignment horizontal="left" vertical="top"/>
    </xf>
    <xf applyAlignment="true" applyBorder="true" applyFill="false" applyFont="false" applyNumberFormat="true" borderId="9691" fillId="0" fontId="1" numFmtId="1000" quotePrefix="false">
      <alignment horizontal="left" vertical="top"/>
    </xf>
    <xf applyAlignment="true" applyBorder="true" applyFill="false" applyFont="false" applyNumberFormat="true" borderId="9692" fillId="0" fontId="1" numFmtId="1000" quotePrefix="false">
      <alignment horizontal="left" vertical="top"/>
    </xf>
    <xf applyAlignment="true" applyBorder="true" applyFill="false" applyFont="false" applyNumberFormat="true" borderId="9693" fillId="0" fontId="1" numFmtId="1000" quotePrefix="false">
      <alignment horizontal="left" vertical="top"/>
    </xf>
    <xf applyAlignment="true" applyBorder="true" applyFill="false" applyFont="false" applyNumberFormat="true" borderId="9694" fillId="0" fontId="1" numFmtId="1000" quotePrefix="false">
      <alignment horizontal="left" vertical="top"/>
    </xf>
    <xf applyAlignment="true" applyBorder="true" applyFill="false" applyFont="false" applyNumberFormat="true" borderId="9695" fillId="0" fontId="1" numFmtId="1000" quotePrefix="false">
      <alignment horizontal="left" vertical="top"/>
    </xf>
    <xf applyAlignment="true" applyBorder="true" applyFill="false" applyFont="false" applyNumberFormat="true" borderId="9696" fillId="0" fontId="1" numFmtId="1000" quotePrefix="false">
      <alignment horizontal="left" vertical="top"/>
    </xf>
    <xf applyAlignment="true" applyBorder="true" applyFill="false" applyFont="false" applyNumberFormat="true" borderId="9697" fillId="0" fontId="1" numFmtId="1000" quotePrefix="false">
      <alignment horizontal="left" vertical="top"/>
    </xf>
    <xf applyAlignment="true" applyBorder="true" applyFill="false" applyFont="false" applyNumberFormat="true" borderId="9698" fillId="0" fontId="1" numFmtId="1000" quotePrefix="false">
      <alignment horizontal="left" vertical="top"/>
    </xf>
    <xf applyAlignment="true" applyBorder="true" applyFill="false" applyFont="false" applyNumberFormat="true" borderId="9699" fillId="0" fontId="1" numFmtId="1000" quotePrefix="false">
      <alignment horizontal="left" vertical="top"/>
    </xf>
    <xf applyAlignment="true" applyBorder="true" applyFill="false" applyFont="false" applyNumberFormat="true" borderId="9700" fillId="0" fontId="1" numFmtId="1000" quotePrefix="false">
      <alignment horizontal="left" vertical="top"/>
    </xf>
    <xf applyAlignment="true" applyBorder="true" applyFill="false" applyFont="false" applyNumberFormat="true" borderId="9701" fillId="0" fontId="1" numFmtId="1000" quotePrefix="false">
      <alignment horizontal="left" vertical="top"/>
    </xf>
    <xf applyAlignment="true" applyBorder="true" applyFill="false" applyFont="false" applyNumberFormat="true" borderId="9702" fillId="0" fontId="1" numFmtId="1000" quotePrefix="false">
      <alignment horizontal="left" vertical="top"/>
    </xf>
    <xf applyAlignment="true" applyBorder="true" applyFill="false" applyFont="false" applyNumberFormat="true" borderId="9703" fillId="0" fontId="1" numFmtId="1000" quotePrefix="false">
      <alignment horizontal="left" vertical="top"/>
    </xf>
    <xf applyAlignment="true" applyBorder="true" applyFill="false" applyFont="false" applyNumberFormat="true" borderId="9704" fillId="0" fontId="1" numFmtId="1000" quotePrefix="false">
      <alignment horizontal="left" vertical="top"/>
    </xf>
    <xf applyAlignment="true" applyBorder="true" applyFill="false" applyFont="true" applyNumberFormat="true" borderId="9705" fillId="0" fontId="2" numFmtId="1001" quotePrefix="false">
      <alignment horizontal="center"/>
    </xf>
    <xf applyAlignment="true" applyBorder="true" applyFill="false" applyFont="true" applyNumberFormat="true" borderId="9706" fillId="0" fontId="2" numFmtId="1001" quotePrefix="false">
      <alignment horizontal="center"/>
    </xf>
    <xf applyAlignment="true" applyBorder="true" applyFill="false" applyFont="true" applyNumberFormat="true" borderId="9707" fillId="0" fontId="2" numFmtId="1001" quotePrefix="false">
      <alignment horizontal="center"/>
    </xf>
    <xf applyAlignment="true" applyBorder="true" applyFill="false" applyFont="false" applyNumberFormat="true" borderId="9708" fillId="0" fontId="1" numFmtId="1000" quotePrefix="false">
      <alignment horizontal="center" vertical="top"/>
    </xf>
    <xf applyAlignment="true" applyBorder="true" applyFill="false" applyFont="false" applyNumberFormat="true" borderId="9709" fillId="0" fontId="1" numFmtId="1000" quotePrefix="false">
      <alignment horizontal="center" vertical="top"/>
    </xf>
    <xf applyAlignment="true" applyBorder="true" applyFill="false" applyFont="false" applyNumberFormat="true" borderId="9710" fillId="0" fontId="1" numFmtId="1000" quotePrefix="false">
      <alignment horizontal="center" vertical="top"/>
    </xf>
    <xf applyAlignment="true" applyBorder="true" applyFill="false" applyFont="false" applyNumberFormat="true" borderId="9711" fillId="0" fontId="1" numFmtId="1000" quotePrefix="false">
      <alignment horizontal="center" vertical="top"/>
    </xf>
    <xf applyAlignment="true" applyBorder="true" applyFill="false" applyFont="false" applyNumberFormat="true" borderId="9712" fillId="0" fontId="1" numFmtId="1000" quotePrefix="false">
      <alignment horizontal="center" vertical="top"/>
    </xf>
    <xf applyAlignment="true" applyBorder="true" applyFill="false" applyFont="false" applyNumberFormat="true" borderId="9713" fillId="0" fontId="1" numFmtId="1000" quotePrefix="false">
      <alignment horizontal="center" vertical="top"/>
    </xf>
    <xf applyAlignment="true" applyBorder="true" applyFill="false" applyFont="false" applyNumberFormat="true" borderId="9714" fillId="0" fontId="1" numFmtId="1000" quotePrefix="false">
      <alignment horizontal="center" vertical="top"/>
    </xf>
    <xf applyAlignment="true" applyBorder="true" applyFill="false" applyFont="false" applyNumberFormat="true" borderId="9715" fillId="0" fontId="1" numFmtId="1000" quotePrefix="false">
      <alignment horizontal="center" vertical="top"/>
    </xf>
    <xf applyAlignment="true" applyBorder="true" applyFill="false" applyFont="false" applyNumberFormat="true" borderId="9716" fillId="0" fontId="1" numFmtId="1000" quotePrefix="false">
      <alignment horizontal="center" vertical="top"/>
    </xf>
    <xf applyAlignment="true" applyBorder="true" applyFill="false" applyFont="false" applyNumberFormat="true" borderId="9717" fillId="0" fontId="1" numFmtId="1000" quotePrefix="false">
      <alignment horizontal="center" vertical="top"/>
    </xf>
    <xf applyAlignment="true" applyBorder="true" applyFill="false" applyFont="false" applyNumberFormat="true" borderId="9718" fillId="0" fontId="1" numFmtId="1000" quotePrefix="false">
      <alignment horizontal="center" vertical="top"/>
    </xf>
    <xf applyAlignment="true" applyBorder="true" applyFill="false" applyFont="false" applyNumberFormat="true" borderId="9719" fillId="0" fontId="1" numFmtId="1000" quotePrefix="false">
      <alignment horizontal="center" vertical="top"/>
    </xf>
    <xf applyAlignment="true" applyBorder="true" applyFill="false" applyFont="false" applyNumberFormat="true" borderId="9720" fillId="0" fontId="1" numFmtId="1000" quotePrefix="false">
      <alignment horizontal="center" vertical="top"/>
    </xf>
    <xf applyAlignment="true" applyBorder="true" applyFill="false" applyFont="false" applyNumberFormat="true" borderId="9721" fillId="0" fontId="1" numFmtId="1000" quotePrefix="false">
      <alignment horizontal="center" vertical="top"/>
    </xf>
    <xf applyAlignment="true" applyBorder="true" applyFill="false" applyFont="false" applyNumberFormat="true" borderId="9722" fillId="0" fontId="1" numFmtId="1000" quotePrefix="false">
      <alignment horizontal="center" vertical="top"/>
    </xf>
    <xf applyAlignment="true" applyBorder="true" applyFill="false" applyFont="false" applyNumberFormat="true" borderId="9723" fillId="0" fontId="1" numFmtId="1000" quotePrefix="false">
      <alignment horizontal="center" vertical="top"/>
    </xf>
    <xf applyAlignment="true" applyBorder="true" applyFill="false" applyFont="false" applyNumberFormat="true" borderId="9724" fillId="0" fontId="1" numFmtId="1000" quotePrefix="false">
      <alignment horizontal="center" vertical="top"/>
    </xf>
    <xf applyAlignment="true" applyBorder="true" applyFill="false" applyFont="false" applyNumberFormat="true" borderId="9725" fillId="0" fontId="1" numFmtId="1000" quotePrefix="false">
      <alignment horizontal="center" vertical="top"/>
    </xf>
    <xf applyAlignment="true" applyBorder="true" applyFill="false" applyFont="false" applyNumberFormat="true" borderId="9726" fillId="0" fontId="1" numFmtId="1000" quotePrefix="false">
      <alignment horizontal="center" vertical="top"/>
    </xf>
    <xf applyAlignment="true" applyBorder="true" applyFill="false" applyFont="false" applyNumberFormat="true" borderId="9727" fillId="0" fontId="1" numFmtId="1000" quotePrefix="false">
      <alignment horizontal="center" vertical="top"/>
    </xf>
    <xf applyAlignment="true" applyBorder="true" applyFill="false" applyFont="false" applyNumberFormat="true" borderId="9728" fillId="0" fontId="1" numFmtId="1000" quotePrefix="false">
      <alignment horizontal="center" vertical="top"/>
    </xf>
    <xf applyAlignment="true" applyBorder="true" applyFill="false" applyFont="false" applyNumberFormat="true" borderId="9729" fillId="0" fontId="1" numFmtId="1000" quotePrefix="false">
      <alignment horizontal="center" vertical="top"/>
    </xf>
    <xf applyAlignment="true" applyBorder="true" applyFill="false" applyFont="false" applyNumberFormat="true" borderId="9730" fillId="0" fontId="1" numFmtId="1000" quotePrefix="false">
      <alignment horizontal="center" vertical="top"/>
    </xf>
    <xf applyAlignment="true" applyBorder="true" applyFill="false" applyFont="false" applyNumberFormat="true" borderId="9731" fillId="0" fontId="1" numFmtId="1000" quotePrefix="false">
      <alignment horizontal="center" vertical="top"/>
    </xf>
    <xf applyAlignment="true" applyBorder="true" applyFill="false" applyFont="false" applyNumberFormat="true" borderId="9732" fillId="0" fontId="1" numFmtId="1000" quotePrefix="false">
      <alignment horizontal="center" vertical="top"/>
    </xf>
    <xf applyAlignment="true" applyBorder="true" applyFill="false" applyFont="false" applyNumberFormat="true" borderId="9733" fillId="0" fontId="1" numFmtId="1000" quotePrefix="false">
      <alignment horizontal="center" vertical="top"/>
    </xf>
    <xf applyAlignment="true" applyBorder="true" applyFill="false" applyFont="false" applyNumberFormat="true" borderId="9734" fillId="0" fontId="1" numFmtId="1000" quotePrefix="false">
      <alignment horizontal="center" vertical="top"/>
    </xf>
    <xf applyAlignment="true" applyBorder="true" applyFill="false" applyFont="false" applyNumberFormat="true" borderId="9735" fillId="0" fontId="1" numFmtId="1000" quotePrefix="false">
      <alignment horizontal="center" vertical="top"/>
    </xf>
    <xf applyAlignment="true" applyBorder="true" applyFill="false" applyFont="false" applyNumberFormat="true" borderId="9736" fillId="0" fontId="1" numFmtId="1000" quotePrefix="false">
      <alignment horizontal="center" vertical="top"/>
    </xf>
    <xf applyAlignment="true" applyBorder="true" applyFill="false" applyFont="false" applyNumberFormat="true" borderId="9737" fillId="0" fontId="1" numFmtId="1000" quotePrefix="false">
      <alignment horizontal="center" vertical="top"/>
    </xf>
    <xf applyAlignment="true" applyBorder="true" applyFill="false" applyFont="false" applyNumberFormat="true" borderId="9738" fillId="0" fontId="1" numFmtId="1000" quotePrefix="false">
      <alignment horizontal="center" vertical="top"/>
    </xf>
    <xf applyAlignment="true" applyBorder="true" applyFill="false" applyFont="false" applyNumberFormat="true" borderId="9739" fillId="0" fontId="1" numFmtId="1000" quotePrefix="false">
      <alignment horizontal="center" vertical="top"/>
    </xf>
    <xf applyAlignment="true" applyBorder="true" applyFill="false" applyFont="false" applyNumberFormat="true" borderId="9740" fillId="0" fontId="1" numFmtId="1000" quotePrefix="false">
      <alignment horizontal="center" vertical="top"/>
    </xf>
    <xf applyAlignment="true" applyBorder="true" applyFill="false" applyFont="true" applyNumberFormat="true" borderId="9741" fillId="0" fontId="2" numFmtId="1000" quotePrefix="false">
      <alignment horizontal="center" vertical="top"/>
    </xf>
    <xf applyAlignment="true" applyBorder="true" applyFill="false" applyFont="false" applyNumberFormat="true" borderId="9742" fillId="0" fontId="1" numFmtId="1000" quotePrefix="false">
      <alignment horizontal="left" vertical="top"/>
    </xf>
    <xf applyAlignment="true" applyBorder="true" applyFill="false" applyFont="false" applyNumberFormat="true" borderId="9743" fillId="0" fontId="1" numFmtId="1000" quotePrefix="false">
      <alignment horizontal="left" vertical="top"/>
    </xf>
    <xf applyAlignment="true" applyBorder="true" applyFill="false" applyFont="false" applyNumberFormat="true" borderId="9744" fillId="0" fontId="1" numFmtId="1000" quotePrefix="false">
      <alignment horizontal="left" vertical="top"/>
    </xf>
    <xf applyAlignment="true" applyBorder="true" applyFill="false" applyFont="false" applyNumberFormat="true" borderId="9745" fillId="0" fontId="1" numFmtId="1000" quotePrefix="false">
      <alignment horizontal="left" vertical="top"/>
    </xf>
    <xf applyAlignment="true" applyBorder="true" applyFill="false" applyFont="false" applyNumberFormat="true" borderId="9746" fillId="0" fontId="1" numFmtId="1000" quotePrefix="false">
      <alignment horizontal="left" vertical="top"/>
    </xf>
    <xf applyAlignment="true" applyBorder="true" applyFill="false" applyFont="false" applyNumberFormat="true" borderId="9747" fillId="0" fontId="1" numFmtId="1000" quotePrefix="false">
      <alignment horizontal="left" vertical="top"/>
    </xf>
    <xf applyAlignment="true" applyBorder="true" applyFill="false" applyFont="false" applyNumberFormat="true" borderId="9748" fillId="0" fontId="1" numFmtId="1000" quotePrefix="false">
      <alignment horizontal="left" vertical="top"/>
    </xf>
    <xf applyAlignment="true" applyBorder="true" applyFill="false" applyFont="false" applyNumberFormat="true" borderId="9749" fillId="0" fontId="1" numFmtId="1000" quotePrefix="false">
      <alignment horizontal="left" vertical="top"/>
    </xf>
    <xf applyAlignment="true" applyBorder="true" applyFill="false" applyFont="false" applyNumberFormat="true" borderId="9750" fillId="0" fontId="1" numFmtId="1000" quotePrefix="false">
      <alignment horizontal="left" vertical="top"/>
    </xf>
    <xf applyAlignment="true" applyBorder="true" applyFill="false" applyFont="false" applyNumberFormat="true" borderId="9751" fillId="0" fontId="1" numFmtId="1000" quotePrefix="false">
      <alignment horizontal="left" vertical="top"/>
    </xf>
    <xf applyAlignment="true" applyBorder="true" applyFill="false" applyFont="false" applyNumberFormat="true" borderId="9752" fillId="0" fontId="1" numFmtId="1000" quotePrefix="false">
      <alignment horizontal="left" vertical="top"/>
    </xf>
    <xf applyAlignment="true" applyBorder="true" applyFill="false" applyFont="false" applyNumberFormat="true" borderId="9753" fillId="0" fontId="1" numFmtId="1000" quotePrefix="false">
      <alignment horizontal="left" vertical="top"/>
    </xf>
    <xf applyAlignment="true" applyBorder="true" applyFill="false" applyFont="false" applyNumberFormat="true" borderId="9754" fillId="0" fontId="1" numFmtId="1000" quotePrefix="false">
      <alignment horizontal="left" vertical="top"/>
    </xf>
    <xf applyAlignment="true" applyBorder="true" applyFill="false" applyFont="false" applyNumberFormat="true" borderId="9755" fillId="0" fontId="1" numFmtId="1000" quotePrefix="false">
      <alignment horizontal="left" vertical="top"/>
    </xf>
    <xf applyAlignment="true" applyBorder="true" applyFill="false" applyFont="false" applyNumberFormat="true" borderId="9756" fillId="0" fontId="1" numFmtId="1000" quotePrefix="false">
      <alignment horizontal="left" vertical="top"/>
    </xf>
    <xf applyAlignment="true" applyBorder="true" applyFill="false" applyFont="false" applyNumberFormat="true" borderId="9757" fillId="0" fontId="1" numFmtId="1000" quotePrefix="false">
      <alignment horizontal="left" vertical="top"/>
    </xf>
    <xf applyAlignment="true" applyBorder="true" applyFill="false" applyFont="false" applyNumberFormat="true" borderId="9758" fillId="0" fontId="1" numFmtId="1000" quotePrefix="false">
      <alignment horizontal="left" vertical="top"/>
    </xf>
    <xf applyAlignment="true" applyBorder="true" applyFill="false" applyFont="false" applyNumberFormat="true" borderId="9759" fillId="0" fontId="1" numFmtId="1000" quotePrefix="false">
      <alignment horizontal="left" vertical="top"/>
    </xf>
    <xf applyAlignment="true" applyBorder="true" applyFill="false" applyFont="false" applyNumberFormat="true" borderId="9760" fillId="0" fontId="1" numFmtId="1000" quotePrefix="false">
      <alignment horizontal="left" vertical="top"/>
    </xf>
    <xf applyAlignment="true" applyBorder="true" applyFill="false" applyFont="true" applyNumberFormat="true" borderId="9761" fillId="0" fontId="2" numFmtId="1001" quotePrefix="false">
      <alignment horizontal="center"/>
    </xf>
    <xf applyAlignment="true" applyBorder="true" applyFill="false" applyFont="true" applyNumberFormat="true" borderId="9762" fillId="0" fontId="2" numFmtId="1001" quotePrefix="false">
      <alignment horizontal="center"/>
    </xf>
    <xf applyAlignment="true" applyBorder="true" applyFill="false" applyFont="true" applyNumberFormat="true" borderId="9763" fillId="0" fontId="2" numFmtId="1001" quotePrefix="false">
      <alignment horizontal="center"/>
    </xf>
    <xf applyAlignment="true" applyBorder="true" applyFill="false" applyFont="false" applyNumberFormat="true" borderId="9764" fillId="0" fontId="1" numFmtId="1000" quotePrefix="false">
      <alignment horizontal="center" vertical="top"/>
    </xf>
    <xf applyAlignment="true" applyBorder="true" applyFill="false" applyFont="false" applyNumberFormat="true" borderId="9765" fillId="0" fontId="1" numFmtId="1000" quotePrefix="false">
      <alignment horizontal="center" vertical="top"/>
    </xf>
    <xf applyAlignment="true" applyBorder="true" applyFill="false" applyFont="false" applyNumberFormat="true" borderId="9766" fillId="0" fontId="1" numFmtId="1000" quotePrefix="false">
      <alignment horizontal="center" vertical="top"/>
    </xf>
    <xf applyAlignment="true" applyBorder="true" applyFill="false" applyFont="false" applyNumberFormat="true" borderId="9767" fillId="0" fontId="1" numFmtId="1000" quotePrefix="false">
      <alignment horizontal="center" vertical="top"/>
    </xf>
    <xf applyAlignment="true" applyBorder="true" applyFill="false" applyFont="false" applyNumberFormat="true" borderId="9768" fillId="0" fontId="1" numFmtId="1000" quotePrefix="false">
      <alignment horizontal="center" vertical="top"/>
    </xf>
    <xf applyAlignment="true" applyBorder="true" applyFill="false" applyFont="false" applyNumberFormat="true" borderId="9769" fillId="0" fontId="1" numFmtId="1000" quotePrefix="false">
      <alignment horizontal="center" vertical="top"/>
    </xf>
    <xf applyAlignment="true" applyBorder="true" applyFill="false" applyFont="false" applyNumberFormat="true" borderId="9770" fillId="0" fontId="1" numFmtId="1000" quotePrefix="false">
      <alignment horizontal="center" vertical="top"/>
    </xf>
    <xf applyAlignment="true" applyBorder="true" applyFill="false" applyFont="false" applyNumberFormat="true" borderId="9771" fillId="0" fontId="1" numFmtId="1000" quotePrefix="false">
      <alignment horizontal="center" vertical="top"/>
    </xf>
    <xf applyAlignment="true" applyBorder="true" applyFill="false" applyFont="false" applyNumberFormat="true" borderId="9772" fillId="0" fontId="1" numFmtId="1000" quotePrefix="false">
      <alignment horizontal="center" vertical="top"/>
    </xf>
    <xf applyAlignment="true" applyBorder="true" applyFill="false" applyFont="false" applyNumberFormat="true" borderId="9773" fillId="0" fontId="1" numFmtId="1000" quotePrefix="false">
      <alignment horizontal="center" vertical="top"/>
    </xf>
    <xf applyAlignment="true" applyBorder="true" applyFill="false" applyFont="false" applyNumberFormat="true" borderId="9774" fillId="0" fontId="1" numFmtId="1000" quotePrefix="false">
      <alignment horizontal="center" vertical="top"/>
    </xf>
    <xf applyAlignment="true" applyBorder="true" applyFill="false" applyFont="false" applyNumberFormat="true" borderId="9775" fillId="0" fontId="1" numFmtId="1000" quotePrefix="false">
      <alignment horizontal="center" vertical="top"/>
    </xf>
    <xf applyAlignment="true" applyBorder="true" applyFill="false" applyFont="false" applyNumberFormat="true" borderId="9776" fillId="0" fontId="1" numFmtId="1000" quotePrefix="false">
      <alignment horizontal="center" vertical="top"/>
    </xf>
    <xf applyAlignment="true" applyBorder="true" applyFill="false" applyFont="false" applyNumberFormat="true" borderId="9777" fillId="0" fontId="1" numFmtId="1000" quotePrefix="false">
      <alignment horizontal="center" vertical="top"/>
    </xf>
    <xf applyAlignment="true" applyBorder="true" applyFill="false" applyFont="false" applyNumberFormat="true" borderId="9778" fillId="0" fontId="1" numFmtId="1000" quotePrefix="false">
      <alignment horizontal="center" vertical="top"/>
    </xf>
    <xf applyAlignment="true" applyBorder="true" applyFill="false" applyFont="false" applyNumberFormat="true" borderId="9779" fillId="0" fontId="1" numFmtId="1000" quotePrefix="false">
      <alignment horizontal="center" vertical="top"/>
    </xf>
    <xf applyAlignment="true" applyBorder="true" applyFill="false" applyFont="false" applyNumberFormat="true" borderId="9780" fillId="0" fontId="1" numFmtId="1000" quotePrefix="false">
      <alignment horizontal="center" vertical="top"/>
    </xf>
    <xf applyAlignment="true" applyBorder="true" applyFill="false" applyFont="false" applyNumberFormat="true" borderId="9781" fillId="0" fontId="1" numFmtId="1000" quotePrefix="false">
      <alignment horizontal="center" vertical="top"/>
    </xf>
    <xf applyAlignment="true" applyBorder="true" applyFill="false" applyFont="false" applyNumberFormat="true" borderId="9782" fillId="0" fontId="1" numFmtId="1000" quotePrefix="false">
      <alignment horizontal="center" vertical="top"/>
    </xf>
    <xf applyAlignment="true" applyBorder="true" applyFill="false" applyFont="false" applyNumberFormat="true" borderId="9783" fillId="0" fontId="1" numFmtId="1000" quotePrefix="false">
      <alignment horizontal="center" vertical="top"/>
    </xf>
    <xf applyAlignment="true" applyBorder="true" applyFill="false" applyFont="false" applyNumberFormat="true" borderId="9784" fillId="0" fontId="1" numFmtId="1000" quotePrefix="false">
      <alignment horizontal="center" vertical="top"/>
    </xf>
    <xf applyAlignment="true" applyBorder="true" applyFill="false" applyFont="false" applyNumberFormat="true" borderId="9785" fillId="0" fontId="1" numFmtId="1000" quotePrefix="false">
      <alignment horizontal="center" vertical="top"/>
    </xf>
    <xf applyAlignment="true" applyBorder="true" applyFill="false" applyFont="false" applyNumberFormat="true" borderId="9786" fillId="0" fontId="1" numFmtId="1000" quotePrefix="false">
      <alignment horizontal="center" vertical="top"/>
    </xf>
    <xf applyAlignment="true" applyBorder="true" applyFill="false" applyFont="false" applyNumberFormat="true" borderId="9787" fillId="0" fontId="1" numFmtId="1000" quotePrefix="false">
      <alignment horizontal="center" vertical="top"/>
    </xf>
    <xf applyAlignment="true" applyBorder="true" applyFill="false" applyFont="false" applyNumberFormat="true" borderId="9788" fillId="0" fontId="1" numFmtId="1000" quotePrefix="false">
      <alignment horizontal="center" vertical="top"/>
    </xf>
    <xf applyAlignment="true" applyBorder="true" applyFill="false" applyFont="false" applyNumberFormat="true" borderId="9789" fillId="0" fontId="1" numFmtId="1000" quotePrefix="false">
      <alignment horizontal="center" vertical="top"/>
    </xf>
    <xf applyAlignment="true" applyBorder="true" applyFill="false" applyFont="false" applyNumberFormat="true" borderId="9790" fillId="0" fontId="1" numFmtId="1000" quotePrefix="false">
      <alignment horizontal="center" vertical="top"/>
    </xf>
    <xf applyAlignment="true" applyBorder="true" applyFill="false" applyFont="false" applyNumberFormat="true" borderId="9791" fillId="0" fontId="1" numFmtId="1000" quotePrefix="false">
      <alignment horizontal="center" vertical="top"/>
    </xf>
    <xf applyAlignment="true" applyBorder="true" applyFill="false" applyFont="false" applyNumberFormat="true" borderId="9792" fillId="0" fontId="1" numFmtId="1000" quotePrefix="false">
      <alignment horizontal="center" vertical="top"/>
    </xf>
    <xf applyAlignment="true" applyBorder="true" applyFill="false" applyFont="false" applyNumberFormat="true" borderId="9793" fillId="0" fontId="1" numFmtId="1000" quotePrefix="false">
      <alignment horizontal="center" vertical="top"/>
    </xf>
    <xf applyAlignment="true" applyBorder="true" applyFill="false" applyFont="false" applyNumberFormat="true" borderId="9794" fillId="0" fontId="1" numFmtId="1000" quotePrefix="false">
      <alignment horizontal="center" vertical="top"/>
    </xf>
    <xf applyAlignment="true" applyBorder="true" applyFill="false" applyFont="false" applyNumberFormat="true" borderId="9795" fillId="0" fontId="1" numFmtId="1000" quotePrefix="false">
      <alignment horizontal="center" vertical="top"/>
    </xf>
    <xf applyAlignment="true" applyBorder="true" applyFill="false" applyFont="false" applyNumberFormat="true" borderId="9796" fillId="0" fontId="1" numFmtId="1000" quotePrefix="false">
      <alignment horizontal="center" vertical="top"/>
    </xf>
    <xf applyAlignment="true" applyBorder="true" applyFill="false" applyFont="true" applyNumberFormat="true" borderId="9797" fillId="0" fontId="2" numFmtId="1000" quotePrefix="false">
      <alignment horizontal="center" vertical="top"/>
    </xf>
    <xf applyAlignment="true" applyBorder="true" applyFill="false" applyFont="false" applyNumberFormat="true" borderId="9798" fillId="0" fontId="1" numFmtId="1000" quotePrefix="false">
      <alignment horizontal="left" vertical="top"/>
    </xf>
    <xf applyAlignment="true" applyBorder="true" applyFill="false" applyFont="false" applyNumberFormat="true" borderId="9799" fillId="0" fontId="1" numFmtId="1000" quotePrefix="false">
      <alignment horizontal="left" vertical="top"/>
    </xf>
    <xf applyAlignment="true" applyBorder="true" applyFill="false" applyFont="false" applyNumberFormat="true" borderId="9800" fillId="0" fontId="1" numFmtId="1000" quotePrefix="false">
      <alignment horizontal="left" vertical="top"/>
    </xf>
    <xf applyAlignment="true" applyBorder="true" applyFill="false" applyFont="false" applyNumberFormat="true" borderId="9801" fillId="0" fontId="1" numFmtId="1000" quotePrefix="false">
      <alignment horizontal="left" vertical="top"/>
    </xf>
    <xf applyAlignment="true" applyBorder="true" applyFill="false" applyFont="false" applyNumberFormat="true" borderId="9802" fillId="0" fontId="1" numFmtId="1000" quotePrefix="false">
      <alignment horizontal="left" vertical="top"/>
    </xf>
    <xf applyAlignment="true" applyBorder="true" applyFill="false" applyFont="false" applyNumberFormat="true" borderId="9803" fillId="0" fontId="1" numFmtId="1000" quotePrefix="false">
      <alignment horizontal="left" vertical="top"/>
    </xf>
    <xf applyAlignment="true" applyBorder="true" applyFill="false" applyFont="false" applyNumberFormat="true" borderId="9804" fillId="0" fontId="1" numFmtId="1000" quotePrefix="false">
      <alignment horizontal="left" vertical="top"/>
    </xf>
    <xf applyAlignment="true" applyBorder="true" applyFill="false" applyFont="false" applyNumberFormat="true" borderId="9805" fillId="0" fontId="1" numFmtId="1000" quotePrefix="false">
      <alignment horizontal="left" vertical="top"/>
    </xf>
    <xf applyAlignment="true" applyBorder="true" applyFill="false" applyFont="false" applyNumberFormat="true" borderId="9806" fillId="0" fontId="1" numFmtId="1000" quotePrefix="false">
      <alignment horizontal="left" vertical="top"/>
    </xf>
    <xf applyAlignment="true" applyBorder="true" applyFill="false" applyFont="false" applyNumberFormat="true" borderId="9807" fillId="0" fontId="1" numFmtId="1000" quotePrefix="false">
      <alignment horizontal="left" vertical="top"/>
    </xf>
    <xf applyAlignment="true" applyBorder="true" applyFill="false" applyFont="false" applyNumberFormat="true" borderId="9808" fillId="0" fontId="1" numFmtId="1000" quotePrefix="false">
      <alignment horizontal="left" vertical="top"/>
    </xf>
    <xf applyAlignment="true" applyBorder="true" applyFill="false" applyFont="false" applyNumberFormat="true" borderId="9809" fillId="0" fontId="1" numFmtId="1000" quotePrefix="false">
      <alignment horizontal="left" vertical="top"/>
    </xf>
    <xf applyAlignment="true" applyBorder="true" applyFill="false" applyFont="false" applyNumberFormat="true" borderId="9810" fillId="0" fontId="1" numFmtId="1000" quotePrefix="false">
      <alignment horizontal="left" vertical="top"/>
    </xf>
    <xf applyAlignment="true" applyBorder="true" applyFill="false" applyFont="false" applyNumberFormat="true" borderId="9811" fillId="0" fontId="1" numFmtId="1000" quotePrefix="false">
      <alignment horizontal="left" vertical="top"/>
    </xf>
    <xf applyAlignment="true" applyBorder="true" applyFill="false" applyFont="false" applyNumberFormat="true" borderId="9812" fillId="0" fontId="1" numFmtId="1000" quotePrefix="false">
      <alignment horizontal="left" vertical="top"/>
    </xf>
    <xf applyAlignment="true" applyBorder="true" applyFill="false" applyFont="false" applyNumberFormat="true" borderId="9813" fillId="0" fontId="1" numFmtId="1000" quotePrefix="false">
      <alignment horizontal="left" vertical="top"/>
    </xf>
    <xf applyAlignment="true" applyBorder="true" applyFill="false" applyFont="false" applyNumberFormat="true" borderId="9814" fillId="0" fontId="1" numFmtId="1000" quotePrefix="false">
      <alignment horizontal="left" vertical="top"/>
    </xf>
    <xf applyAlignment="true" applyBorder="true" applyFill="false" applyFont="false" applyNumberFormat="true" borderId="9815" fillId="0" fontId="1" numFmtId="1000" quotePrefix="false">
      <alignment horizontal="left" vertical="top"/>
    </xf>
    <xf applyAlignment="true" applyBorder="true" applyFill="false" applyFont="false" applyNumberFormat="true" borderId="9816" fillId="0" fontId="1" numFmtId="1000" quotePrefix="false">
      <alignment horizontal="left" vertical="top"/>
    </xf>
    <xf applyAlignment="true" applyBorder="true" applyFill="false" applyFont="true" applyNumberFormat="true" borderId="9817" fillId="0" fontId="2" numFmtId="1001" quotePrefix="false">
      <alignment horizontal="center"/>
    </xf>
    <xf applyAlignment="true" applyBorder="true" applyFill="false" applyFont="true" applyNumberFormat="true" borderId="9818" fillId="0" fontId="2" numFmtId="1001" quotePrefix="false">
      <alignment horizontal="center"/>
    </xf>
    <xf applyAlignment="true" applyBorder="true" applyFill="false" applyFont="true" applyNumberFormat="true" borderId="9819" fillId="0" fontId="2" numFmtId="1001" quotePrefix="false">
      <alignment horizontal="center"/>
    </xf>
    <xf applyAlignment="true" applyBorder="true" applyFill="false" applyFont="false" applyNumberFormat="true" borderId="9820" fillId="0" fontId="1" numFmtId="1000" quotePrefix="false">
      <alignment horizontal="center" vertical="top"/>
    </xf>
    <xf applyAlignment="true" applyBorder="true" applyFill="false" applyFont="false" applyNumberFormat="true" borderId="9821" fillId="0" fontId="1" numFmtId="1000" quotePrefix="false">
      <alignment horizontal="center" vertical="top"/>
    </xf>
    <xf applyAlignment="true" applyBorder="true" applyFill="false" applyFont="false" applyNumberFormat="true" borderId="9822" fillId="0" fontId="1" numFmtId="1000" quotePrefix="false">
      <alignment horizontal="center" vertical="top"/>
    </xf>
    <xf applyAlignment="true" applyBorder="true" applyFill="false" applyFont="false" applyNumberFormat="true" borderId="9823" fillId="0" fontId="1" numFmtId="1000" quotePrefix="false">
      <alignment horizontal="center" vertical="top"/>
    </xf>
    <xf applyAlignment="true" applyBorder="true" applyFill="false" applyFont="false" applyNumberFormat="true" borderId="9824" fillId="0" fontId="1" numFmtId="1000" quotePrefix="false">
      <alignment horizontal="center" vertical="top"/>
    </xf>
    <xf applyAlignment="true" applyBorder="true" applyFill="false" applyFont="false" applyNumberFormat="true" borderId="9825" fillId="0" fontId="1" numFmtId="1000" quotePrefix="false">
      <alignment horizontal="center" vertical="top"/>
    </xf>
    <xf applyAlignment="true" applyBorder="true" applyFill="false" applyFont="false" applyNumberFormat="true" borderId="9826" fillId="0" fontId="1" numFmtId="1000" quotePrefix="false">
      <alignment horizontal="center" vertical="top"/>
    </xf>
    <xf applyAlignment="true" applyBorder="true" applyFill="false" applyFont="false" applyNumberFormat="true" borderId="9827" fillId="0" fontId="1" numFmtId="1000" quotePrefix="false">
      <alignment horizontal="center" vertical="top"/>
    </xf>
    <xf applyAlignment="true" applyBorder="true" applyFill="false" applyFont="false" applyNumberFormat="true" borderId="9828" fillId="0" fontId="1" numFmtId="1000" quotePrefix="false">
      <alignment horizontal="center" vertical="top"/>
    </xf>
    <xf applyAlignment="true" applyBorder="true" applyFill="false" applyFont="false" applyNumberFormat="true" borderId="9829" fillId="0" fontId="1" numFmtId="1000" quotePrefix="false">
      <alignment horizontal="center" vertical="top"/>
    </xf>
    <xf applyAlignment="true" applyBorder="true" applyFill="false" applyFont="false" applyNumberFormat="true" borderId="9830" fillId="0" fontId="1" numFmtId="1000" quotePrefix="false">
      <alignment horizontal="center" vertical="top"/>
    </xf>
    <xf applyAlignment="true" applyBorder="true" applyFill="false" applyFont="false" applyNumberFormat="true" borderId="9831" fillId="0" fontId="1" numFmtId="1000" quotePrefix="false">
      <alignment horizontal="center" vertical="top"/>
    </xf>
    <xf applyAlignment="true" applyBorder="true" applyFill="false" applyFont="false" applyNumberFormat="true" borderId="9832" fillId="0" fontId="1" numFmtId="1000" quotePrefix="false">
      <alignment horizontal="center" vertical="top"/>
    </xf>
    <xf applyAlignment="true" applyBorder="true" applyFill="false" applyFont="false" applyNumberFormat="true" borderId="9833" fillId="0" fontId="1" numFmtId="1000" quotePrefix="false">
      <alignment horizontal="center" vertical="top"/>
    </xf>
    <xf applyAlignment="true" applyBorder="true" applyFill="false" applyFont="false" applyNumberFormat="true" borderId="9834" fillId="0" fontId="1" numFmtId="1000" quotePrefix="false">
      <alignment horizontal="center" vertical="top"/>
    </xf>
    <xf applyAlignment="true" applyBorder="true" applyFill="false" applyFont="false" applyNumberFormat="true" borderId="9835" fillId="0" fontId="1" numFmtId="1000" quotePrefix="false">
      <alignment horizontal="center" vertical="top"/>
    </xf>
    <xf applyAlignment="true" applyBorder="true" applyFill="false" applyFont="false" applyNumberFormat="true" borderId="9836" fillId="0" fontId="1" numFmtId="1000" quotePrefix="false">
      <alignment horizontal="center" vertical="top"/>
    </xf>
    <xf applyAlignment="true" applyBorder="true" applyFill="false" applyFont="false" applyNumberFormat="true" borderId="9837" fillId="0" fontId="1" numFmtId="1000" quotePrefix="false">
      <alignment horizontal="center" vertical="top"/>
    </xf>
    <xf applyAlignment="true" applyBorder="true" applyFill="false" applyFont="false" applyNumberFormat="true" borderId="9838" fillId="0" fontId="1" numFmtId="1000" quotePrefix="false">
      <alignment horizontal="center" vertical="top"/>
    </xf>
    <xf applyAlignment="true" applyBorder="true" applyFill="false" applyFont="false" applyNumberFormat="true" borderId="9839" fillId="0" fontId="1" numFmtId="1000" quotePrefix="false">
      <alignment horizontal="center" vertical="top"/>
    </xf>
    <xf applyAlignment="true" applyBorder="true" applyFill="false" applyFont="false" applyNumberFormat="true" borderId="9840" fillId="0" fontId="1" numFmtId="1000" quotePrefix="false">
      <alignment horizontal="center" vertical="top"/>
    </xf>
    <xf applyAlignment="true" applyBorder="true" applyFill="false" applyFont="false" applyNumberFormat="true" borderId="9841" fillId="0" fontId="1" numFmtId="1000" quotePrefix="false">
      <alignment horizontal="center" vertical="top"/>
    </xf>
    <xf applyAlignment="true" applyBorder="true" applyFill="false" applyFont="false" applyNumberFormat="true" borderId="9842" fillId="0" fontId="1" numFmtId="1000" quotePrefix="false">
      <alignment horizontal="center" vertical="top"/>
    </xf>
    <xf applyAlignment="true" applyBorder="true" applyFill="false" applyFont="false" applyNumberFormat="true" borderId="9843" fillId="0" fontId="1" numFmtId="1000" quotePrefix="false">
      <alignment horizontal="center" vertical="top"/>
    </xf>
    <xf applyAlignment="true" applyBorder="true" applyFill="false" applyFont="false" applyNumberFormat="true" borderId="9844" fillId="0" fontId="1" numFmtId="1000" quotePrefix="false">
      <alignment horizontal="center" vertical="top"/>
    </xf>
    <xf applyAlignment="true" applyBorder="true" applyFill="false" applyFont="false" applyNumberFormat="true" borderId="9845" fillId="0" fontId="1" numFmtId="1000" quotePrefix="false">
      <alignment horizontal="center" vertical="top"/>
    </xf>
    <xf applyAlignment="true" applyBorder="true" applyFill="false" applyFont="false" applyNumberFormat="true" borderId="9846" fillId="0" fontId="1" numFmtId="1000" quotePrefix="false">
      <alignment horizontal="center" vertical="top"/>
    </xf>
    <xf applyAlignment="true" applyBorder="true" applyFill="false" applyFont="false" applyNumberFormat="true" borderId="9847" fillId="0" fontId="1" numFmtId="1000" quotePrefix="false">
      <alignment horizontal="center" vertical="top"/>
    </xf>
    <xf applyAlignment="true" applyBorder="true" applyFill="false" applyFont="false" applyNumberFormat="true" borderId="9848" fillId="0" fontId="1" numFmtId="1000" quotePrefix="false">
      <alignment horizontal="center" vertical="top"/>
    </xf>
    <xf applyAlignment="true" applyBorder="true" applyFill="false" applyFont="false" applyNumberFormat="true" borderId="9849" fillId="0" fontId="1" numFmtId="1000" quotePrefix="false">
      <alignment horizontal="center" vertical="top"/>
    </xf>
    <xf applyAlignment="true" applyBorder="true" applyFill="false" applyFont="false" applyNumberFormat="true" borderId="9850" fillId="0" fontId="1" numFmtId="1000" quotePrefix="false">
      <alignment horizontal="center" vertical="top"/>
    </xf>
    <xf applyAlignment="true" applyBorder="true" applyFill="false" applyFont="false" applyNumberFormat="true" borderId="9851" fillId="0" fontId="1" numFmtId="1000" quotePrefix="false">
      <alignment horizontal="center" vertical="top"/>
    </xf>
    <xf applyAlignment="true" applyBorder="true" applyFill="false" applyFont="false" applyNumberFormat="true" borderId="9852" fillId="0" fontId="1" numFmtId="1000" quotePrefix="false">
      <alignment horizontal="center" vertical="top"/>
    </xf>
    <xf applyAlignment="true" applyBorder="true" applyFill="false" applyFont="true" applyNumberFormat="true" borderId="9853" fillId="0" fontId="2" numFmtId="1000" quotePrefix="false">
      <alignment horizontal="center" vertical="top"/>
    </xf>
    <xf applyAlignment="true" applyBorder="true" applyFill="false" applyFont="false" applyNumberFormat="true" borderId="9854" fillId="0" fontId="1" numFmtId="1000" quotePrefix="false">
      <alignment horizontal="left" vertical="top"/>
    </xf>
    <xf applyAlignment="true" applyBorder="true" applyFill="false" applyFont="false" applyNumberFormat="true" borderId="9855" fillId="0" fontId="1" numFmtId="1000" quotePrefix="false">
      <alignment horizontal="left" vertical="top"/>
    </xf>
    <xf applyAlignment="true" applyBorder="true" applyFill="false" applyFont="false" applyNumberFormat="true" borderId="9856" fillId="0" fontId="1" numFmtId="1000" quotePrefix="false">
      <alignment horizontal="left" vertical="top"/>
    </xf>
    <xf applyAlignment="true" applyBorder="true" applyFill="false" applyFont="false" applyNumberFormat="true" borderId="9857" fillId="0" fontId="1" numFmtId="1000" quotePrefix="false">
      <alignment horizontal="left" vertical="top"/>
    </xf>
    <xf applyAlignment="true" applyBorder="true" applyFill="false" applyFont="false" applyNumberFormat="true" borderId="9858" fillId="0" fontId="1" numFmtId="1000" quotePrefix="false">
      <alignment horizontal="left" vertical="top"/>
    </xf>
    <xf applyAlignment="true" applyBorder="true" applyFill="false" applyFont="false" applyNumberFormat="true" borderId="9859" fillId="0" fontId="1" numFmtId="1000" quotePrefix="false">
      <alignment horizontal="left" vertical="top"/>
    </xf>
    <xf applyAlignment="true" applyBorder="true" applyFill="false" applyFont="false" applyNumberFormat="true" borderId="9860" fillId="0" fontId="1" numFmtId="1000" quotePrefix="false">
      <alignment horizontal="left" vertical="top"/>
    </xf>
    <xf applyAlignment="true" applyBorder="true" applyFill="false" applyFont="false" applyNumberFormat="true" borderId="9861" fillId="0" fontId="1" numFmtId="1000" quotePrefix="false">
      <alignment horizontal="left" vertical="top"/>
    </xf>
    <xf applyAlignment="true" applyBorder="true" applyFill="false" applyFont="false" applyNumberFormat="true" borderId="9862" fillId="0" fontId="1" numFmtId="1000" quotePrefix="false">
      <alignment horizontal="left" vertical="top"/>
    </xf>
    <xf applyAlignment="true" applyBorder="true" applyFill="false" applyFont="false" applyNumberFormat="true" borderId="9863" fillId="0" fontId="1" numFmtId="1000" quotePrefix="false">
      <alignment horizontal="left" vertical="top"/>
    </xf>
    <xf applyAlignment="true" applyBorder="true" applyFill="false" applyFont="false" applyNumberFormat="true" borderId="9864" fillId="0" fontId="1" numFmtId="1000" quotePrefix="false">
      <alignment horizontal="left" vertical="top"/>
    </xf>
    <xf applyAlignment="true" applyBorder="true" applyFill="false" applyFont="false" applyNumberFormat="true" borderId="9865" fillId="0" fontId="1" numFmtId="1000" quotePrefix="false">
      <alignment horizontal="left" vertical="top"/>
    </xf>
    <xf applyAlignment="true" applyBorder="true" applyFill="false" applyFont="false" applyNumberFormat="true" borderId="9866" fillId="0" fontId="1" numFmtId="1000" quotePrefix="false">
      <alignment horizontal="left" vertical="top"/>
    </xf>
    <xf applyAlignment="true" applyBorder="true" applyFill="false" applyFont="false" applyNumberFormat="true" borderId="9867" fillId="0" fontId="1" numFmtId="1000" quotePrefix="false">
      <alignment horizontal="left" vertical="top"/>
    </xf>
    <xf applyAlignment="true" applyBorder="true" applyFill="false" applyFont="false" applyNumberFormat="true" borderId="9868" fillId="0" fontId="1" numFmtId="1000" quotePrefix="false">
      <alignment horizontal="left" vertical="top"/>
    </xf>
    <xf applyAlignment="true" applyBorder="true" applyFill="false" applyFont="false" applyNumberFormat="true" borderId="9869" fillId="0" fontId="1" numFmtId="1000" quotePrefix="false">
      <alignment horizontal="left" vertical="top"/>
    </xf>
    <xf applyAlignment="true" applyBorder="true" applyFill="false" applyFont="false" applyNumberFormat="true" borderId="9870" fillId="0" fontId="1" numFmtId="1000" quotePrefix="false">
      <alignment horizontal="left" vertical="top"/>
    </xf>
    <xf applyAlignment="true" applyBorder="true" applyFill="false" applyFont="false" applyNumberFormat="true" borderId="9871" fillId="0" fontId="1" numFmtId="1000" quotePrefix="false">
      <alignment horizontal="left" vertical="top"/>
    </xf>
    <xf applyAlignment="true" applyBorder="true" applyFill="false" applyFont="false" applyNumberFormat="true" borderId="9872" fillId="0" fontId="1" numFmtId="1000" quotePrefix="false">
      <alignment horizontal="left" vertical="top"/>
    </xf>
    <xf applyAlignment="true" applyBorder="true" applyFill="false" applyFont="true" applyNumberFormat="true" borderId="9873" fillId="0" fontId="2" numFmtId="1001" quotePrefix="false">
      <alignment horizontal="center"/>
    </xf>
    <xf applyAlignment="true" applyBorder="true" applyFill="false" applyFont="true" applyNumberFormat="true" borderId="9874" fillId="0" fontId="2" numFmtId="1001" quotePrefix="false">
      <alignment horizontal="center"/>
    </xf>
    <xf applyAlignment="true" applyBorder="true" applyFill="false" applyFont="true" applyNumberFormat="true" borderId="9875" fillId="0" fontId="2" numFmtId="1001" quotePrefix="false">
      <alignment horizontal="center"/>
    </xf>
    <xf applyAlignment="true" applyBorder="true" applyFill="false" applyFont="false" applyNumberFormat="true" borderId="9876" fillId="0" fontId="1" numFmtId="1000" quotePrefix="false">
      <alignment horizontal="center" vertical="top"/>
    </xf>
    <xf applyAlignment="true" applyBorder="true" applyFill="false" applyFont="false" applyNumberFormat="true" borderId="9877" fillId="0" fontId="1" numFmtId="1000" quotePrefix="false">
      <alignment horizontal="center" vertical="top"/>
    </xf>
    <xf applyAlignment="true" applyBorder="true" applyFill="false" applyFont="false" applyNumberFormat="true" borderId="9878" fillId="0" fontId="1" numFmtId="1000" quotePrefix="false">
      <alignment horizontal="center" vertical="top"/>
    </xf>
    <xf applyAlignment="true" applyBorder="true" applyFill="false" applyFont="false" applyNumberFormat="true" borderId="9879" fillId="0" fontId="1" numFmtId="1000" quotePrefix="false">
      <alignment horizontal="center" vertical="top"/>
    </xf>
    <xf applyAlignment="true" applyBorder="true" applyFill="false" applyFont="false" applyNumberFormat="true" borderId="9880" fillId="0" fontId="1" numFmtId="1000" quotePrefix="false">
      <alignment horizontal="center" vertical="top"/>
    </xf>
    <xf applyAlignment="true" applyBorder="true" applyFill="false" applyFont="false" applyNumberFormat="true" borderId="9881" fillId="0" fontId="1" numFmtId="1000" quotePrefix="false">
      <alignment horizontal="center" vertical="top"/>
    </xf>
    <xf applyAlignment="true" applyBorder="true" applyFill="false" applyFont="false" applyNumberFormat="true" borderId="9882" fillId="0" fontId="1" numFmtId="1000" quotePrefix="false">
      <alignment horizontal="center" vertical="top"/>
    </xf>
    <xf applyAlignment="true" applyBorder="true" applyFill="false" applyFont="false" applyNumberFormat="true" borderId="9883" fillId="0" fontId="1" numFmtId="1000" quotePrefix="false">
      <alignment horizontal="center" vertical="top"/>
    </xf>
    <xf applyAlignment="true" applyBorder="true" applyFill="false" applyFont="false" applyNumberFormat="true" borderId="9884" fillId="0" fontId="1" numFmtId="1000" quotePrefix="false">
      <alignment horizontal="center" vertical="top"/>
    </xf>
    <xf applyAlignment="true" applyBorder="true" applyFill="false" applyFont="false" applyNumberFormat="true" borderId="9885" fillId="0" fontId="1" numFmtId="1000" quotePrefix="false">
      <alignment horizontal="center" vertical="top"/>
    </xf>
    <xf applyAlignment="true" applyBorder="true" applyFill="false" applyFont="false" applyNumberFormat="true" borderId="9886" fillId="0" fontId="1" numFmtId="1000" quotePrefix="false">
      <alignment horizontal="center" vertical="top"/>
    </xf>
    <xf applyAlignment="true" applyBorder="true" applyFill="false" applyFont="false" applyNumberFormat="true" borderId="9887" fillId="0" fontId="1" numFmtId="1000" quotePrefix="false">
      <alignment horizontal="center" vertical="top"/>
    </xf>
    <xf applyAlignment="true" applyBorder="true" applyFill="false" applyFont="false" applyNumberFormat="true" borderId="9888" fillId="0" fontId="1" numFmtId="1000" quotePrefix="false">
      <alignment horizontal="center" vertical="top"/>
    </xf>
    <xf applyAlignment="true" applyBorder="true" applyFill="false" applyFont="false" applyNumberFormat="true" borderId="9889" fillId="0" fontId="1" numFmtId="1000" quotePrefix="false">
      <alignment horizontal="center" vertical="top"/>
    </xf>
    <xf applyAlignment="true" applyBorder="true" applyFill="false" applyFont="false" applyNumberFormat="true" borderId="9890" fillId="0" fontId="1" numFmtId="1000" quotePrefix="false">
      <alignment horizontal="center" vertical="top"/>
    </xf>
    <xf applyAlignment="true" applyBorder="true" applyFill="false" applyFont="false" applyNumberFormat="true" borderId="9891" fillId="0" fontId="1" numFmtId="1000" quotePrefix="false">
      <alignment horizontal="center" vertical="top"/>
    </xf>
    <xf applyAlignment="true" applyBorder="true" applyFill="false" applyFont="false" applyNumberFormat="true" borderId="9892" fillId="0" fontId="1" numFmtId="1000" quotePrefix="false">
      <alignment horizontal="center" vertical="top"/>
    </xf>
    <xf applyAlignment="true" applyBorder="true" applyFill="false" applyFont="false" applyNumberFormat="true" borderId="9893" fillId="0" fontId="1" numFmtId="1000" quotePrefix="false">
      <alignment horizontal="center" vertical="top"/>
    </xf>
    <xf applyAlignment="true" applyBorder="true" applyFill="false" applyFont="false" applyNumberFormat="true" borderId="9894" fillId="0" fontId="1" numFmtId="1000" quotePrefix="false">
      <alignment horizontal="center" vertical="top"/>
    </xf>
    <xf applyAlignment="true" applyBorder="true" applyFill="false" applyFont="false" applyNumberFormat="true" borderId="9895" fillId="0" fontId="1" numFmtId="1000" quotePrefix="false">
      <alignment horizontal="center" vertical="top"/>
    </xf>
    <xf applyAlignment="true" applyBorder="true" applyFill="false" applyFont="false" applyNumberFormat="true" borderId="9896" fillId="0" fontId="1" numFmtId="1000" quotePrefix="false">
      <alignment horizontal="center" vertical="top"/>
    </xf>
    <xf applyAlignment="true" applyBorder="true" applyFill="false" applyFont="false" applyNumberFormat="true" borderId="9897" fillId="0" fontId="1" numFmtId="1000" quotePrefix="false">
      <alignment horizontal="center" vertical="top"/>
    </xf>
    <xf applyAlignment="true" applyBorder="true" applyFill="false" applyFont="false" applyNumberFormat="true" borderId="9898" fillId="0" fontId="1" numFmtId="1000" quotePrefix="false">
      <alignment horizontal="center" vertical="top"/>
    </xf>
    <xf applyAlignment="true" applyBorder="true" applyFill="false" applyFont="false" applyNumberFormat="true" borderId="9899" fillId="0" fontId="1" numFmtId="1000" quotePrefix="false">
      <alignment horizontal="center" vertical="top"/>
    </xf>
    <xf applyAlignment="true" applyBorder="true" applyFill="false" applyFont="false" applyNumberFormat="true" borderId="9900" fillId="0" fontId="1" numFmtId="1000" quotePrefix="false">
      <alignment horizontal="center" vertical="top"/>
    </xf>
    <xf applyAlignment="true" applyBorder="true" applyFill="false" applyFont="false" applyNumberFormat="true" borderId="9901" fillId="0" fontId="1" numFmtId="1000" quotePrefix="false">
      <alignment horizontal="center" vertical="top"/>
    </xf>
    <xf applyAlignment="true" applyBorder="true" applyFill="false" applyFont="false" applyNumberFormat="true" borderId="9902" fillId="0" fontId="1" numFmtId="1000" quotePrefix="false">
      <alignment horizontal="center" vertical="top"/>
    </xf>
    <xf applyAlignment="true" applyBorder="true" applyFill="false" applyFont="false" applyNumberFormat="true" borderId="9903" fillId="0" fontId="1" numFmtId="1000" quotePrefix="false">
      <alignment horizontal="center" vertical="top"/>
    </xf>
    <xf applyAlignment="true" applyBorder="true" applyFill="false" applyFont="false" applyNumberFormat="true" borderId="9904" fillId="0" fontId="1" numFmtId="1000" quotePrefix="false">
      <alignment horizontal="center" vertical="top"/>
    </xf>
    <xf applyAlignment="true" applyBorder="true" applyFill="false" applyFont="false" applyNumberFormat="true" borderId="9905" fillId="0" fontId="1" numFmtId="1000" quotePrefix="false">
      <alignment horizontal="center" vertical="top"/>
    </xf>
    <xf applyAlignment="true" applyBorder="true" applyFill="false" applyFont="false" applyNumberFormat="true" borderId="9906" fillId="0" fontId="1" numFmtId="1000" quotePrefix="false">
      <alignment horizontal="center" vertical="top"/>
    </xf>
    <xf applyAlignment="true" applyBorder="true" applyFill="false" applyFont="false" applyNumberFormat="true" borderId="9907" fillId="0" fontId="1" numFmtId="1000" quotePrefix="false">
      <alignment horizontal="center" vertical="top"/>
    </xf>
    <xf applyAlignment="true" applyBorder="true" applyFill="false" applyFont="false" applyNumberFormat="true" borderId="9908" fillId="0" fontId="1" numFmtId="1000" quotePrefix="false">
      <alignment horizontal="center" vertical="top"/>
    </xf>
    <xf applyAlignment="true" applyBorder="true" applyFill="false" applyFont="true" applyNumberFormat="true" borderId="9909" fillId="0" fontId="2" numFmtId="1000" quotePrefix="false">
      <alignment horizontal="center" vertical="top"/>
    </xf>
    <xf applyAlignment="true" applyBorder="true" applyFill="false" applyFont="false" applyNumberFormat="true" borderId="9910" fillId="0" fontId="1" numFmtId="1000" quotePrefix="false">
      <alignment horizontal="left" vertical="top"/>
    </xf>
    <xf applyAlignment="true" applyBorder="true" applyFill="false" applyFont="false" applyNumberFormat="true" borderId="9911" fillId="0" fontId="1" numFmtId="1000" quotePrefix="false">
      <alignment horizontal="left" vertical="top"/>
    </xf>
    <xf applyAlignment="true" applyBorder="true" applyFill="false" applyFont="false" applyNumberFormat="true" borderId="9912" fillId="0" fontId="1" numFmtId="1000" quotePrefix="false">
      <alignment horizontal="left" vertical="top"/>
    </xf>
    <xf applyAlignment="true" applyBorder="true" applyFill="false" applyFont="false" applyNumberFormat="true" borderId="9913" fillId="0" fontId="1" numFmtId="1000" quotePrefix="false">
      <alignment horizontal="left" vertical="top"/>
    </xf>
    <xf applyAlignment="true" applyBorder="true" applyFill="false" applyFont="false" applyNumberFormat="true" borderId="9914" fillId="0" fontId="1" numFmtId="1000" quotePrefix="false">
      <alignment horizontal="left" vertical="top"/>
    </xf>
    <xf applyAlignment="true" applyBorder="true" applyFill="false" applyFont="false" applyNumberFormat="true" borderId="9915" fillId="0" fontId="1" numFmtId="1000" quotePrefix="false">
      <alignment horizontal="left" vertical="top"/>
    </xf>
    <xf applyAlignment="true" applyBorder="true" applyFill="false" applyFont="false" applyNumberFormat="true" borderId="9916" fillId="0" fontId="1" numFmtId="1000" quotePrefix="false">
      <alignment horizontal="left" vertical="top"/>
    </xf>
    <xf applyAlignment="true" applyBorder="true" applyFill="false" applyFont="false" applyNumberFormat="true" borderId="9917" fillId="0" fontId="1" numFmtId="1000" quotePrefix="false">
      <alignment horizontal="left" vertical="top"/>
    </xf>
    <xf applyAlignment="true" applyBorder="true" applyFill="false" applyFont="false" applyNumberFormat="true" borderId="9918" fillId="0" fontId="1" numFmtId="1000" quotePrefix="false">
      <alignment horizontal="left" vertical="top"/>
    </xf>
    <xf applyAlignment="true" applyBorder="true" applyFill="false" applyFont="false" applyNumberFormat="true" borderId="9919" fillId="0" fontId="1" numFmtId="1000" quotePrefix="false">
      <alignment horizontal="left" vertical="top"/>
    </xf>
    <xf applyAlignment="true" applyBorder="true" applyFill="false" applyFont="false" applyNumberFormat="true" borderId="9920" fillId="0" fontId="1" numFmtId="1000" quotePrefix="false">
      <alignment horizontal="left" vertical="top"/>
    </xf>
    <xf applyAlignment="true" applyBorder="true" applyFill="false" applyFont="false" applyNumberFormat="true" borderId="9921" fillId="0" fontId="1" numFmtId="1000" quotePrefix="false">
      <alignment horizontal="left" vertical="top"/>
    </xf>
    <xf applyAlignment="true" applyBorder="true" applyFill="false" applyFont="false" applyNumberFormat="true" borderId="9922" fillId="0" fontId="1" numFmtId="1000" quotePrefix="false">
      <alignment horizontal="left" vertical="top"/>
    </xf>
    <xf applyAlignment="true" applyBorder="true" applyFill="false" applyFont="false" applyNumberFormat="true" borderId="9923" fillId="0" fontId="1" numFmtId="1000" quotePrefix="false">
      <alignment horizontal="left" vertical="top"/>
    </xf>
    <xf applyAlignment="true" applyBorder="true" applyFill="false" applyFont="false" applyNumberFormat="true" borderId="9924" fillId="0" fontId="1" numFmtId="1000" quotePrefix="false">
      <alignment horizontal="left" vertical="top"/>
    </xf>
    <xf applyAlignment="true" applyBorder="true" applyFill="false" applyFont="false" applyNumberFormat="true" borderId="9925" fillId="0" fontId="1" numFmtId="1000" quotePrefix="false">
      <alignment horizontal="left" vertical="top"/>
    </xf>
    <xf applyAlignment="true" applyBorder="true" applyFill="false" applyFont="false" applyNumberFormat="true" borderId="9926" fillId="0" fontId="1" numFmtId="1000" quotePrefix="false">
      <alignment horizontal="left" vertical="top"/>
    </xf>
    <xf applyAlignment="true" applyBorder="true" applyFill="false" applyFont="false" applyNumberFormat="true" borderId="9927" fillId="0" fontId="1" numFmtId="1000" quotePrefix="false">
      <alignment horizontal="left" vertical="top"/>
    </xf>
    <xf applyAlignment="true" applyBorder="true" applyFill="false" applyFont="false" applyNumberFormat="true" borderId="9928" fillId="0" fontId="1" numFmtId="1000" quotePrefix="false">
      <alignment horizontal="left" vertical="top"/>
    </xf>
    <xf applyAlignment="true" applyBorder="true" applyFill="false" applyFont="true" applyNumberFormat="true" borderId="9929" fillId="0" fontId="2" numFmtId="1001" quotePrefix="false">
      <alignment horizontal="center"/>
    </xf>
    <xf applyAlignment="true" applyBorder="true" applyFill="false" applyFont="true" applyNumberFormat="true" borderId="9930" fillId="0" fontId="2" numFmtId="1001" quotePrefix="false">
      <alignment horizontal="center"/>
    </xf>
    <xf applyAlignment="true" applyBorder="true" applyFill="false" applyFont="true" applyNumberFormat="true" borderId="9931" fillId="0" fontId="2" numFmtId="1001" quotePrefix="false">
      <alignment horizontal="center"/>
    </xf>
    <xf applyAlignment="true" applyBorder="true" applyFill="false" applyFont="false" applyNumberFormat="true" borderId="9932" fillId="0" fontId="1" numFmtId="1000" quotePrefix="false">
      <alignment horizontal="center" vertical="top"/>
    </xf>
    <xf applyAlignment="true" applyBorder="true" applyFill="false" applyFont="false" applyNumberFormat="true" borderId="9933" fillId="0" fontId="1" numFmtId="1000" quotePrefix="false">
      <alignment horizontal="center" vertical="top"/>
    </xf>
    <xf applyAlignment="true" applyBorder="true" applyFill="false" applyFont="false" applyNumberFormat="true" borderId="9934" fillId="0" fontId="1" numFmtId="1000" quotePrefix="false">
      <alignment horizontal="center" vertical="top"/>
    </xf>
    <xf applyAlignment="true" applyBorder="true" applyFill="false" applyFont="false" applyNumberFormat="true" borderId="9935" fillId="0" fontId="1" numFmtId="1000" quotePrefix="false">
      <alignment horizontal="center" vertical="top"/>
    </xf>
    <xf applyAlignment="true" applyBorder="true" applyFill="false" applyFont="false" applyNumberFormat="true" borderId="9936" fillId="0" fontId="1" numFmtId="1000" quotePrefix="false">
      <alignment horizontal="center" vertical="top"/>
    </xf>
    <xf applyAlignment="true" applyBorder="true" applyFill="false" applyFont="false" applyNumberFormat="true" borderId="9937" fillId="0" fontId="1" numFmtId="1000" quotePrefix="false">
      <alignment horizontal="center" vertical="top"/>
    </xf>
    <xf applyAlignment="true" applyBorder="true" applyFill="false" applyFont="false" applyNumberFormat="true" borderId="9938" fillId="0" fontId="1" numFmtId="1000" quotePrefix="false">
      <alignment horizontal="center" vertical="top"/>
    </xf>
    <xf applyAlignment="true" applyBorder="true" applyFill="false" applyFont="false" applyNumberFormat="true" borderId="9939" fillId="0" fontId="1" numFmtId="1000" quotePrefix="false">
      <alignment horizontal="center" vertical="top"/>
    </xf>
    <xf applyAlignment="true" applyBorder="true" applyFill="false" applyFont="false" applyNumberFormat="true" borderId="9940" fillId="0" fontId="1" numFmtId="1000" quotePrefix="false">
      <alignment horizontal="center" vertical="top"/>
    </xf>
    <xf applyAlignment="true" applyBorder="true" applyFill="false" applyFont="false" applyNumberFormat="true" borderId="9941" fillId="0" fontId="1" numFmtId="1000" quotePrefix="false">
      <alignment horizontal="center" vertical="top"/>
    </xf>
    <xf applyAlignment="true" applyBorder="true" applyFill="false" applyFont="false" applyNumberFormat="true" borderId="9942" fillId="0" fontId="1" numFmtId="1000" quotePrefix="false">
      <alignment horizontal="center" vertical="top"/>
    </xf>
    <xf applyAlignment="true" applyBorder="true" applyFill="false" applyFont="false" applyNumberFormat="true" borderId="9943" fillId="0" fontId="1" numFmtId="1000" quotePrefix="false">
      <alignment horizontal="center" vertical="top"/>
    </xf>
    <xf applyAlignment="true" applyBorder="true" applyFill="false" applyFont="false" applyNumberFormat="true" borderId="9944" fillId="0" fontId="1" numFmtId="1000" quotePrefix="false">
      <alignment horizontal="center" vertical="top"/>
    </xf>
    <xf applyAlignment="true" applyBorder="true" applyFill="false" applyFont="false" applyNumberFormat="true" borderId="9945" fillId="0" fontId="1" numFmtId="1000" quotePrefix="false">
      <alignment horizontal="center" vertical="top"/>
    </xf>
    <xf applyAlignment="true" applyBorder="true" applyFill="false" applyFont="false" applyNumberFormat="true" borderId="9946" fillId="0" fontId="1" numFmtId="1000" quotePrefix="false">
      <alignment horizontal="center" vertical="top"/>
    </xf>
    <xf applyAlignment="true" applyBorder="true" applyFill="false" applyFont="false" applyNumberFormat="true" borderId="9947" fillId="0" fontId="1" numFmtId="1000" quotePrefix="false">
      <alignment horizontal="center" vertical="top"/>
    </xf>
    <xf applyAlignment="true" applyBorder="true" applyFill="false" applyFont="false" applyNumberFormat="true" borderId="9948" fillId="0" fontId="1" numFmtId="1000" quotePrefix="false">
      <alignment horizontal="center" vertical="top"/>
    </xf>
    <xf applyAlignment="true" applyBorder="true" applyFill="false" applyFont="false" applyNumberFormat="true" borderId="9949" fillId="0" fontId="1" numFmtId="1000" quotePrefix="false">
      <alignment horizontal="center" vertical="top"/>
    </xf>
    <xf applyAlignment="true" applyBorder="true" applyFill="false" applyFont="false" applyNumberFormat="true" borderId="9950" fillId="0" fontId="1" numFmtId="1000" quotePrefix="false">
      <alignment horizontal="center" vertical="top"/>
    </xf>
    <xf applyAlignment="true" applyBorder="true" applyFill="false" applyFont="false" applyNumberFormat="true" borderId="9951" fillId="0" fontId="1" numFmtId="1000" quotePrefix="false">
      <alignment horizontal="center" vertical="top"/>
    </xf>
    <xf applyAlignment="true" applyBorder="true" applyFill="false" applyFont="false" applyNumberFormat="true" borderId="9952" fillId="0" fontId="1" numFmtId="1000" quotePrefix="false">
      <alignment horizontal="center" vertical="top"/>
    </xf>
    <xf applyAlignment="true" applyBorder="true" applyFill="false" applyFont="false" applyNumberFormat="true" borderId="9953" fillId="0" fontId="1" numFmtId="1000" quotePrefix="false">
      <alignment horizontal="center" vertical="top"/>
    </xf>
    <xf applyAlignment="true" applyBorder="true" applyFill="false" applyFont="false" applyNumberFormat="true" borderId="9954" fillId="0" fontId="1" numFmtId="1000" quotePrefix="false">
      <alignment horizontal="center" vertical="top"/>
    </xf>
    <xf applyAlignment="true" applyBorder="true" applyFill="false" applyFont="false" applyNumberFormat="true" borderId="9955" fillId="0" fontId="1" numFmtId="1000" quotePrefix="false">
      <alignment horizontal="center" vertical="top"/>
    </xf>
    <xf applyAlignment="true" applyBorder="true" applyFill="false" applyFont="false" applyNumberFormat="true" borderId="9956" fillId="0" fontId="1" numFmtId="1000" quotePrefix="false">
      <alignment horizontal="center" vertical="top"/>
    </xf>
    <xf applyAlignment="true" applyBorder="true" applyFill="false" applyFont="false" applyNumberFormat="true" borderId="9957" fillId="0" fontId="1" numFmtId="1000" quotePrefix="false">
      <alignment horizontal="center" vertical="top"/>
    </xf>
    <xf applyAlignment="true" applyBorder="true" applyFill="false" applyFont="false" applyNumberFormat="true" borderId="9958" fillId="0" fontId="1" numFmtId="1000" quotePrefix="false">
      <alignment horizontal="center" vertical="top"/>
    </xf>
    <xf applyAlignment="true" applyBorder="true" applyFill="false" applyFont="false" applyNumberFormat="true" borderId="9959" fillId="0" fontId="1" numFmtId="1000" quotePrefix="false">
      <alignment horizontal="center" vertical="top"/>
    </xf>
    <xf applyAlignment="true" applyBorder="true" applyFill="false" applyFont="false" applyNumberFormat="true" borderId="9960" fillId="0" fontId="1" numFmtId="1000" quotePrefix="false">
      <alignment horizontal="center" vertical="top"/>
    </xf>
    <xf applyAlignment="true" applyBorder="true" applyFill="false" applyFont="false" applyNumberFormat="true" borderId="9961" fillId="0" fontId="1" numFmtId="1000" quotePrefix="false">
      <alignment horizontal="center" vertical="top"/>
    </xf>
    <xf applyAlignment="true" applyBorder="true" applyFill="false" applyFont="false" applyNumberFormat="true" borderId="9962" fillId="0" fontId="1" numFmtId="1000" quotePrefix="false">
      <alignment horizontal="center" vertical="top"/>
    </xf>
    <xf applyAlignment="true" applyBorder="true" applyFill="false" applyFont="false" applyNumberFormat="true" borderId="9963" fillId="0" fontId="1" numFmtId="1000" quotePrefix="false">
      <alignment horizontal="center" vertical="top"/>
    </xf>
    <xf applyAlignment="true" applyBorder="true" applyFill="false" applyFont="false" applyNumberFormat="true" borderId="9964" fillId="0" fontId="1" numFmtId="1000" quotePrefix="false">
      <alignment horizontal="center" vertical="top"/>
    </xf>
    <xf applyAlignment="true" applyBorder="true" applyFill="false" applyFont="true" applyNumberFormat="true" borderId="9965" fillId="0" fontId="2" numFmtId="1000" quotePrefix="false">
      <alignment horizontal="center" vertical="top"/>
    </xf>
    <xf applyAlignment="true" applyBorder="true" applyFill="false" applyFont="false" applyNumberFormat="true" borderId="9966" fillId="0" fontId="1" numFmtId="1000" quotePrefix="false">
      <alignment horizontal="left" vertical="top"/>
    </xf>
    <xf applyAlignment="true" applyBorder="true" applyFill="false" applyFont="false" applyNumberFormat="true" borderId="9967" fillId="0" fontId="1" numFmtId="1000" quotePrefix="false">
      <alignment horizontal="left" vertical="top"/>
    </xf>
    <xf applyAlignment="true" applyBorder="true" applyFill="false" applyFont="false" applyNumberFormat="true" borderId="9968" fillId="0" fontId="1" numFmtId="1000" quotePrefix="false">
      <alignment horizontal="left" vertical="top"/>
    </xf>
    <xf applyAlignment="true" applyBorder="true" applyFill="false" applyFont="false" applyNumberFormat="true" borderId="9969" fillId="0" fontId="1" numFmtId="1000" quotePrefix="false">
      <alignment horizontal="left" vertical="top"/>
    </xf>
    <xf applyAlignment="true" applyBorder="true" applyFill="false" applyFont="false" applyNumberFormat="true" borderId="9970" fillId="0" fontId="1" numFmtId="1000" quotePrefix="false">
      <alignment horizontal="left" vertical="top"/>
    </xf>
    <xf applyAlignment="true" applyBorder="true" applyFill="false" applyFont="false" applyNumberFormat="true" borderId="9971" fillId="0" fontId="1" numFmtId="1000" quotePrefix="false">
      <alignment horizontal="left" vertical="top"/>
    </xf>
    <xf applyAlignment="true" applyBorder="true" applyFill="false" applyFont="false" applyNumberFormat="true" borderId="9972" fillId="0" fontId="1" numFmtId="1000" quotePrefix="false">
      <alignment horizontal="left" vertical="top"/>
    </xf>
    <xf applyAlignment="true" applyBorder="true" applyFill="false" applyFont="false" applyNumberFormat="true" borderId="9973" fillId="0" fontId="1" numFmtId="1000" quotePrefix="false">
      <alignment horizontal="left" vertical="top"/>
    </xf>
    <xf applyAlignment="true" applyBorder="true" applyFill="false" applyFont="false" applyNumberFormat="true" borderId="9974" fillId="0" fontId="1" numFmtId="1000" quotePrefix="false">
      <alignment horizontal="left" vertical="top"/>
    </xf>
    <xf applyAlignment="true" applyBorder="true" applyFill="false" applyFont="false" applyNumberFormat="true" borderId="9975" fillId="0" fontId="1" numFmtId="1000" quotePrefix="false">
      <alignment horizontal="left" vertical="top"/>
    </xf>
    <xf applyAlignment="true" applyBorder="true" applyFill="false" applyFont="false" applyNumberFormat="true" borderId="9976" fillId="0" fontId="1" numFmtId="1000" quotePrefix="false">
      <alignment horizontal="left" vertical="top"/>
    </xf>
    <xf applyAlignment="true" applyBorder="true" applyFill="false" applyFont="false" applyNumberFormat="true" borderId="9977" fillId="0" fontId="1" numFmtId="1000" quotePrefix="false">
      <alignment horizontal="left" vertical="top"/>
    </xf>
    <xf applyAlignment="true" applyBorder="true" applyFill="false" applyFont="false" applyNumberFormat="true" borderId="9978" fillId="0" fontId="1" numFmtId="1000" quotePrefix="false">
      <alignment horizontal="left" vertical="top"/>
    </xf>
    <xf applyAlignment="true" applyBorder="true" applyFill="false" applyFont="false" applyNumberFormat="true" borderId="9979" fillId="0" fontId="1" numFmtId="1000" quotePrefix="false">
      <alignment horizontal="left" vertical="top"/>
    </xf>
    <xf applyAlignment="true" applyBorder="true" applyFill="false" applyFont="false" applyNumberFormat="true" borderId="9980" fillId="0" fontId="1" numFmtId="1000" quotePrefix="false">
      <alignment horizontal="left" vertical="top"/>
    </xf>
    <xf applyAlignment="true" applyBorder="true" applyFill="false" applyFont="false" applyNumberFormat="true" borderId="9981" fillId="0" fontId="1" numFmtId="1000" quotePrefix="false">
      <alignment horizontal="left" vertical="top"/>
    </xf>
    <xf applyAlignment="true" applyBorder="true" applyFill="false" applyFont="false" applyNumberFormat="true" borderId="9982" fillId="0" fontId="1" numFmtId="1000" quotePrefix="false">
      <alignment horizontal="left" vertical="top"/>
    </xf>
    <xf applyAlignment="true" applyBorder="true" applyFill="false" applyFont="false" applyNumberFormat="true" borderId="9983" fillId="0" fontId="1" numFmtId="1000" quotePrefix="false">
      <alignment horizontal="left" vertical="top"/>
    </xf>
    <xf applyAlignment="true" applyBorder="true" applyFill="false" applyFont="false" applyNumberFormat="true" borderId="9984" fillId="0" fontId="1" numFmtId="1000" quotePrefix="false">
      <alignment horizontal="left" vertical="top"/>
    </xf>
    <xf applyAlignment="true" applyBorder="true" applyFill="false" applyFont="true" applyNumberFormat="true" borderId="9985" fillId="0" fontId="2" numFmtId="1001" quotePrefix="false">
      <alignment horizontal="center"/>
    </xf>
    <xf applyAlignment="true" applyBorder="true" applyFill="false" applyFont="true" applyNumberFormat="true" borderId="9986" fillId="0" fontId="2" numFmtId="1001" quotePrefix="false">
      <alignment horizontal="center"/>
    </xf>
    <xf applyAlignment="true" applyBorder="true" applyFill="false" applyFont="true" applyNumberFormat="true" borderId="9987" fillId="0" fontId="2" numFmtId="1001" quotePrefix="false">
      <alignment horizontal="center"/>
    </xf>
    <xf applyAlignment="true" applyBorder="true" applyFill="false" applyFont="false" applyNumberFormat="true" borderId="9988" fillId="0" fontId="1" numFmtId="1000" quotePrefix="false">
      <alignment horizontal="center" vertical="top"/>
    </xf>
    <xf applyAlignment="true" applyBorder="true" applyFill="false" applyFont="false" applyNumberFormat="true" borderId="9989" fillId="0" fontId="1" numFmtId="1000" quotePrefix="false">
      <alignment horizontal="center" vertical="top"/>
    </xf>
    <xf applyAlignment="true" applyBorder="true" applyFill="false" applyFont="false" applyNumberFormat="true" borderId="9990" fillId="0" fontId="1" numFmtId="1000" quotePrefix="false">
      <alignment horizontal="center" vertical="top"/>
    </xf>
    <xf applyAlignment="true" applyBorder="true" applyFill="false" applyFont="false" applyNumberFormat="true" borderId="9991" fillId="0" fontId="1" numFmtId="1000" quotePrefix="false">
      <alignment horizontal="center" vertical="top"/>
    </xf>
    <xf applyAlignment="true" applyBorder="true" applyFill="false" applyFont="false" applyNumberFormat="true" borderId="9992" fillId="0" fontId="1" numFmtId="1000" quotePrefix="false">
      <alignment horizontal="center" vertical="top"/>
    </xf>
    <xf applyAlignment="true" applyBorder="true" applyFill="false" applyFont="false" applyNumberFormat="true" borderId="9993" fillId="0" fontId="1" numFmtId="1000" quotePrefix="false">
      <alignment horizontal="center" vertical="top"/>
    </xf>
    <xf applyAlignment="true" applyBorder="true" applyFill="false" applyFont="false" applyNumberFormat="true" borderId="9994" fillId="0" fontId="1" numFmtId="1000" quotePrefix="false">
      <alignment horizontal="center" vertical="top"/>
    </xf>
    <xf applyAlignment="true" applyBorder="true" applyFill="false" applyFont="false" applyNumberFormat="true" borderId="9995" fillId="0" fontId="1" numFmtId="1000" quotePrefix="false">
      <alignment horizontal="center" vertical="top"/>
    </xf>
    <xf applyAlignment="true" applyBorder="true" applyFill="false" applyFont="false" applyNumberFormat="true" borderId="9996" fillId="0" fontId="1" numFmtId="1000" quotePrefix="false">
      <alignment horizontal="center" vertical="top"/>
    </xf>
    <xf applyAlignment="true" applyBorder="true" applyFill="false" applyFont="false" applyNumberFormat="true" borderId="9997" fillId="0" fontId="1" numFmtId="1000" quotePrefix="false">
      <alignment horizontal="center" vertical="top"/>
    </xf>
    <xf applyAlignment="true" applyBorder="true" applyFill="false" applyFont="false" applyNumberFormat="true" borderId="9998" fillId="0" fontId="1" numFmtId="1000" quotePrefix="false">
      <alignment horizontal="center" vertical="top"/>
    </xf>
    <xf applyAlignment="true" applyBorder="true" applyFill="false" applyFont="false" applyNumberFormat="true" borderId="9999" fillId="0" fontId="1" numFmtId="1000" quotePrefix="false">
      <alignment horizontal="center" vertical="top"/>
    </xf>
    <xf applyAlignment="true" applyBorder="true" applyFill="false" applyFont="false" applyNumberFormat="true" borderId="10000" fillId="0" fontId="1" numFmtId="1000" quotePrefix="false">
      <alignment horizontal="center" vertical="top"/>
    </xf>
    <xf applyAlignment="true" applyBorder="true" applyFill="false" applyFont="false" applyNumberFormat="true" borderId="10001" fillId="0" fontId="1" numFmtId="1000" quotePrefix="false">
      <alignment horizontal="center" vertical="top"/>
    </xf>
    <xf applyAlignment="true" applyBorder="true" applyFill="false" applyFont="false" applyNumberFormat="true" borderId="10002" fillId="0" fontId="1" numFmtId="1000" quotePrefix="false">
      <alignment horizontal="center" vertical="top"/>
    </xf>
    <xf applyAlignment="true" applyBorder="true" applyFill="false" applyFont="false" applyNumberFormat="true" borderId="10003" fillId="0" fontId="1" numFmtId="1000" quotePrefix="false">
      <alignment horizontal="center" vertical="top"/>
    </xf>
    <xf applyAlignment="true" applyBorder="true" applyFill="false" applyFont="false" applyNumberFormat="true" borderId="10004" fillId="0" fontId="1" numFmtId="1000" quotePrefix="false">
      <alignment horizontal="center" vertical="top"/>
    </xf>
    <xf applyAlignment="true" applyBorder="true" applyFill="false" applyFont="false" applyNumberFormat="true" borderId="10005" fillId="0" fontId="1" numFmtId="1000" quotePrefix="false">
      <alignment horizontal="center" vertical="top"/>
    </xf>
    <xf applyAlignment="true" applyBorder="true" applyFill="false" applyFont="false" applyNumberFormat="true" borderId="10006" fillId="0" fontId="1" numFmtId="1000" quotePrefix="false">
      <alignment horizontal="center" vertical="top"/>
    </xf>
    <xf applyAlignment="true" applyBorder="true" applyFill="false" applyFont="false" applyNumberFormat="true" borderId="10007" fillId="0" fontId="1" numFmtId="1000" quotePrefix="false">
      <alignment horizontal="center" vertical="top"/>
    </xf>
    <xf applyAlignment="true" applyBorder="true" applyFill="false" applyFont="false" applyNumberFormat="true" borderId="10008" fillId="0" fontId="1" numFmtId="1000" quotePrefix="false">
      <alignment horizontal="center" vertical="top"/>
    </xf>
    <xf applyAlignment="true" applyBorder="true" applyFill="false" applyFont="false" applyNumberFormat="true" borderId="10009" fillId="0" fontId="1" numFmtId="1000" quotePrefix="false">
      <alignment horizontal="center" vertical="top"/>
    </xf>
    <xf applyAlignment="true" applyBorder="true" applyFill="false" applyFont="false" applyNumberFormat="true" borderId="10010" fillId="0" fontId="1" numFmtId="1000" quotePrefix="false">
      <alignment horizontal="center" vertical="top"/>
    </xf>
    <xf applyAlignment="true" applyBorder="true" applyFill="false" applyFont="false" applyNumberFormat="true" borderId="10011" fillId="0" fontId="1" numFmtId="1000" quotePrefix="false">
      <alignment horizontal="center" vertical="top"/>
    </xf>
    <xf applyAlignment="true" applyBorder="true" applyFill="false" applyFont="false" applyNumberFormat="true" borderId="10012" fillId="0" fontId="1" numFmtId="1000" quotePrefix="false">
      <alignment horizontal="center" vertical="top"/>
    </xf>
    <xf applyAlignment="true" applyBorder="true" applyFill="false" applyFont="false" applyNumberFormat="true" borderId="10013" fillId="0" fontId="1" numFmtId="1000" quotePrefix="false">
      <alignment horizontal="center" vertical="top"/>
    </xf>
    <xf applyAlignment="true" applyBorder="true" applyFill="false" applyFont="false" applyNumberFormat="true" borderId="10014" fillId="0" fontId="1" numFmtId="1000" quotePrefix="false">
      <alignment horizontal="center" vertical="top"/>
    </xf>
    <xf applyAlignment="true" applyBorder="true" applyFill="false" applyFont="false" applyNumberFormat="true" borderId="10015" fillId="0" fontId="1" numFmtId="1000" quotePrefix="false">
      <alignment horizontal="center" vertical="top"/>
    </xf>
    <xf applyAlignment="true" applyBorder="true" applyFill="false" applyFont="false" applyNumberFormat="true" borderId="10016" fillId="0" fontId="1" numFmtId="1000" quotePrefix="false">
      <alignment horizontal="center" vertical="top"/>
    </xf>
    <xf applyAlignment="true" applyBorder="true" applyFill="false" applyFont="false" applyNumberFormat="true" borderId="10017" fillId="0" fontId="1" numFmtId="1000" quotePrefix="false">
      <alignment horizontal="center" vertical="top"/>
    </xf>
    <xf applyAlignment="true" applyBorder="true" applyFill="false" applyFont="false" applyNumberFormat="true" borderId="10018" fillId="0" fontId="1" numFmtId="1000" quotePrefix="false">
      <alignment horizontal="center" vertical="top"/>
    </xf>
    <xf applyAlignment="true" applyBorder="true" applyFill="false" applyFont="false" applyNumberFormat="true" borderId="10019" fillId="0" fontId="1" numFmtId="1000" quotePrefix="false">
      <alignment horizontal="center" vertical="top"/>
    </xf>
    <xf applyAlignment="true" applyBorder="true" applyFill="false" applyFont="false" applyNumberFormat="true" borderId="10020" fillId="0" fontId="1" numFmtId="1000" quotePrefix="false">
      <alignment horizontal="center" vertical="top"/>
    </xf>
    <xf applyAlignment="true" applyBorder="true" applyFill="false" applyFont="true" applyNumberFormat="true" borderId="10021" fillId="0" fontId="2" numFmtId="1000" quotePrefix="false">
      <alignment horizontal="center" vertical="top"/>
    </xf>
    <xf applyAlignment="true" applyBorder="true" applyFill="false" applyFont="false" applyNumberFormat="true" borderId="10022" fillId="0" fontId="1" numFmtId="1000" quotePrefix="false">
      <alignment horizontal="left" vertical="top"/>
    </xf>
    <xf applyAlignment="true" applyBorder="true" applyFill="false" applyFont="false" applyNumberFormat="true" borderId="10023" fillId="0" fontId="1" numFmtId="1000" quotePrefix="false">
      <alignment horizontal="left" vertical="top"/>
    </xf>
    <xf applyAlignment="true" applyBorder="true" applyFill="false" applyFont="false" applyNumberFormat="true" borderId="10024" fillId="0" fontId="1" numFmtId="1000" quotePrefix="false">
      <alignment horizontal="left" vertical="top"/>
    </xf>
    <xf applyAlignment="true" applyBorder="true" applyFill="false" applyFont="false" applyNumberFormat="true" borderId="10025" fillId="0" fontId="1" numFmtId="1000" quotePrefix="false">
      <alignment horizontal="left" vertical="top"/>
    </xf>
    <xf applyAlignment="true" applyBorder="true" applyFill="false" applyFont="false" applyNumberFormat="true" borderId="10026" fillId="0" fontId="1" numFmtId="1000" quotePrefix="false">
      <alignment horizontal="left" vertical="top"/>
    </xf>
    <xf applyAlignment="true" applyBorder="true" applyFill="false" applyFont="false" applyNumberFormat="true" borderId="10027" fillId="0" fontId="1" numFmtId="1000" quotePrefix="false">
      <alignment horizontal="left" vertical="top"/>
    </xf>
    <xf applyAlignment="true" applyBorder="true" applyFill="false" applyFont="false" applyNumberFormat="true" borderId="10028" fillId="0" fontId="1" numFmtId="1000" quotePrefix="false">
      <alignment horizontal="left" vertical="top"/>
    </xf>
    <xf applyAlignment="true" applyBorder="true" applyFill="false" applyFont="false" applyNumberFormat="true" borderId="10029" fillId="0" fontId="1" numFmtId="1000" quotePrefix="false">
      <alignment horizontal="left" vertical="top"/>
    </xf>
    <xf applyAlignment="true" applyBorder="true" applyFill="false" applyFont="false" applyNumberFormat="true" borderId="10030" fillId="0" fontId="1" numFmtId="1000" quotePrefix="false">
      <alignment horizontal="left" vertical="top"/>
    </xf>
    <xf applyAlignment="true" applyBorder="true" applyFill="false" applyFont="false" applyNumberFormat="true" borderId="10031" fillId="0" fontId="1" numFmtId="1000" quotePrefix="false">
      <alignment horizontal="left" vertical="top"/>
    </xf>
    <xf applyAlignment="true" applyBorder="true" applyFill="false" applyFont="false" applyNumberFormat="true" borderId="10032" fillId="0" fontId="1" numFmtId="1000" quotePrefix="false">
      <alignment horizontal="left" vertical="top"/>
    </xf>
    <xf applyAlignment="true" applyBorder="true" applyFill="false" applyFont="false" applyNumberFormat="true" borderId="10033" fillId="0" fontId="1" numFmtId="1000" quotePrefix="false">
      <alignment horizontal="left" vertical="top"/>
    </xf>
    <xf applyAlignment="true" applyBorder="true" applyFill="false" applyFont="false" applyNumberFormat="true" borderId="10034" fillId="0" fontId="1" numFmtId="1000" quotePrefix="false">
      <alignment horizontal="left" vertical="top"/>
    </xf>
    <xf applyAlignment="true" applyBorder="true" applyFill="false" applyFont="false" applyNumberFormat="true" borderId="10035" fillId="0" fontId="1" numFmtId="1000" quotePrefix="false">
      <alignment horizontal="left" vertical="top"/>
    </xf>
    <xf applyAlignment="true" applyBorder="true" applyFill="false" applyFont="false" applyNumberFormat="true" borderId="10036" fillId="0" fontId="1" numFmtId="1000" quotePrefix="false">
      <alignment horizontal="left" vertical="top"/>
    </xf>
    <xf applyAlignment="true" applyBorder="true" applyFill="false" applyFont="false" applyNumberFormat="true" borderId="10037" fillId="0" fontId="1" numFmtId="1000" quotePrefix="false">
      <alignment horizontal="left" vertical="top"/>
    </xf>
    <xf applyAlignment="true" applyBorder="true" applyFill="false" applyFont="false" applyNumberFormat="true" borderId="10038" fillId="0" fontId="1" numFmtId="1000" quotePrefix="false">
      <alignment horizontal="left" vertical="top"/>
    </xf>
    <xf applyAlignment="true" applyBorder="true" applyFill="false" applyFont="false" applyNumberFormat="true" borderId="10039" fillId="0" fontId="1" numFmtId="1000" quotePrefix="false">
      <alignment horizontal="left" vertical="top"/>
    </xf>
    <xf applyAlignment="true" applyBorder="true" applyFill="false" applyFont="false" applyNumberFormat="true" borderId="10040" fillId="0" fontId="1" numFmtId="1000" quotePrefix="false">
      <alignment horizontal="left" vertical="top"/>
    </xf>
    <xf applyAlignment="true" applyBorder="true" applyFill="false" applyFont="true" applyNumberFormat="true" borderId="10041" fillId="0" fontId="2" numFmtId="1001" quotePrefix="false">
      <alignment horizontal="center"/>
    </xf>
    <xf applyAlignment="true" applyBorder="true" applyFill="false" applyFont="true" applyNumberFormat="true" borderId="10042" fillId="0" fontId="2" numFmtId="1001" quotePrefix="false">
      <alignment horizontal="center"/>
    </xf>
    <xf applyAlignment="true" applyBorder="true" applyFill="false" applyFont="true" applyNumberFormat="true" borderId="10043" fillId="0" fontId="2" numFmtId="1001" quotePrefix="false">
      <alignment horizontal="center"/>
    </xf>
    <xf applyAlignment="true" applyBorder="true" applyFill="false" applyFont="false" applyNumberFormat="true" borderId="10044" fillId="0" fontId="1" numFmtId="1000" quotePrefix="false">
      <alignment horizontal="center" vertical="top"/>
    </xf>
    <xf applyAlignment="true" applyBorder="true" applyFill="false" applyFont="false" applyNumberFormat="true" borderId="10045" fillId="0" fontId="1" numFmtId="1000" quotePrefix="false">
      <alignment horizontal="center" vertical="top"/>
    </xf>
    <xf applyAlignment="true" applyBorder="true" applyFill="false" applyFont="false" applyNumberFormat="true" borderId="10046" fillId="0" fontId="1" numFmtId="1000" quotePrefix="false">
      <alignment horizontal="center" vertical="top"/>
    </xf>
    <xf applyAlignment="true" applyBorder="true" applyFill="false" applyFont="false" applyNumberFormat="true" borderId="10047" fillId="0" fontId="1" numFmtId="1000" quotePrefix="false">
      <alignment horizontal="center" vertical="top"/>
    </xf>
    <xf applyAlignment="true" applyBorder="true" applyFill="false" applyFont="false" applyNumberFormat="true" borderId="10048" fillId="0" fontId="1" numFmtId="1000" quotePrefix="false">
      <alignment horizontal="center" vertical="top"/>
    </xf>
    <xf applyAlignment="true" applyBorder="true" applyFill="false" applyFont="false" applyNumberFormat="true" borderId="10049" fillId="0" fontId="1" numFmtId="1000" quotePrefix="false">
      <alignment horizontal="center" vertical="top"/>
    </xf>
    <xf applyAlignment="true" applyBorder="true" applyFill="false" applyFont="false" applyNumberFormat="true" borderId="10050" fillId="0" fontId="1" numFmtId="1000" quotePrefix="false">
      <alignment horizontal="center" vertical="top"/>
    </xf>
    <xf applyAlignment="true" applyBorder="true" applyFill="false" applyFont="false" applyNumberFormat="true" borderId="10051" fillId="0" fontId="1" numFmtId="1000" quotePrefix="false">
      <alignment horizontal="center" vertical="top"/>
    </xf>
    <xf applyAlignment="true" applyBorder="true" applyFill="false" applyFont="false" applyNumberFormat="true" borderId="10052" fillId="0" fontId="1" numFmtId="1000" quotePrefix="false">
      <alignment horizontal="center" vertical="top"/>
    </xf>
    <xf applyAlignment="true" applyBorder="true" applyFill="false" applyFont="false" applyNumberFormat="true" borderId="10053" fillId="0" fontId="1" numFmtId="1000" quotePrefix="false">
      <alignment horizontal="center" vertical="top"/>
    </xf>
    <xf applyAlignment="true" applyBorder="true" applyFill="false" applyFont="false" applyNumberFormat="true" borderId="10054" fillId="0" fontId="1" numFmtId="1000" quotePrefix="false">
      <alignment horizontal="center" vertical="top"/>
    </xf>
    <xf applyAlignment="true" applyBorder="true" applyFill="false" applyFont="false" applyNumberFormat="true" borderId="10055" fillId="0" fontId="1" numFmtId="1000" quotePrefix="false">
      <alignment horizontal="center" vertical="top"/>
    </xf>
    <xf applyAlignment="true" applyBorder="true" applyFill="false" applyFont="false" applyNumberFormat="true" borderId="10056" fillId="0" fontId="1" numFmtId="1000" quotePrefix="false">
      <alignment horizontal="center" vertical="top"/>
    </xf>
    <xf applyAlignment="true" applyBorder="true" applyFill="false" applyFont="false" applyNumberFormat="true" borderId="10057" fillId="0" fontId="1" numFmtId="1000" quotePrefix="false">
      <alignment horizontal="center" vertical="top"/>
    </xf>
    <xf applyAlignment="true" applyBorder="true" applyFill="false" applyFont="false" applyNumberFormat="true" borderId="10058" fillId="0" fontId="1" numFmtId="1000" quotePrefix="false">
      <alignment horizontal="center" vertical="top"/>
    </xf>
    <xf applyAlignment="true" applyBorder="true" applyFill="false" applyFont="false" applyNumberFormat="true" borderId="10059" fillId="0" fontId="1" numFmtId="1000" quotePrefix="false">
      <alignment horizontal="center" vertical="top"/>
    </xf>
    <xf applyAlignment="true" applyBorder="true" applyFill="false" applyFont="false" applyNumberFormat="true" borderId="10060" fillId="0" fontId="1" numFmtId="1000" quotePrefix="false">
      <alignment horizontal="center" vertical="top"/>
    </xf>
    <xf applyAlignment="true" applyBorder="true" applyFill="false" applyFont="false" applyNumberFormat="true" borderId="10061" fillId="0" fontId="1" numFmtId="1000" quotePrefix="false">
      <alignment horizontal="center" vertical="top"/>
    </xf>
    <xf applyAlignment="true" applyBorder="true" applyFill="false" applyFont="false" applyNumberFormat="true" borderId="10062" fillId="0" fontId="1" numFmtId="1000" quotePrefix="false">
      <alignment horizontal="center" vertical="top"/>
    </xf>
    <xf applyAlignment="true" applyBorder="true" applyFill="false" applyFont="false" applyNumberFormat="true" borderId="10063" fillId="0" fontId="1" numFmtId="1000" quotePrefix="false">
      <alignment horizontal="center" vertical="top"/>
    </xf>
    <xf applyAlignment="true" applyBorder="true" applyFill="false" applyFont="false" applyNumberFormat="true" borderId="10064" fillId="0" fontId="1" numFmtId="1000" quotePrefix="false">
      <alignment horizontal="center" vertical="top"/>
    </xf>
    <xf applyAlignment="true" applyBorder="true" applyFill="false" applyFont="false" applyNumberFormat="true" borderId="10065" fillId="0" fontId="1" numFmtId="1000" quotePrefix="false">
      <alignment horizontal="center" vertical="top"/>
    </xf>
    <xf applyAlignment="true" applyBorder="true" applyFill="false" applyFont="false" applyNumberFormat="true" borderId="10066" fillId="0" fontId="1" numFmtId="1000" quotePrefix="false">
      <alignment horizontal="center" vertical="top"/>
    </xf>
    <xf applyAlignment="true" applyBorder="true" applyFill="false" applyFont="false" applyNumberFormat="true" borderId="10067" fillId="0" fontId="1" numFmtId="1000" quotePrefix="false">
      <alignment horizontal="center" vertical="top"/>
    </xf>
    <xf applyAlignment="true" applyBorder="true" applyFill="false" applyFont="false" applyNumberFormat="true" borderId="10068" fillId="0" fontId="1" numFmtId="1000" quotePrefix="false">
      <alignment horizontal="center" vertical="top"/>
    </xf>
    <xf applyAlignment="true" applyBorder="true" applyFill="false" applyFont="false" applyNumberFormat="true" borderId="10069" fillId="0" fontId="1" numFmtId="1000" quotePrefix="false">
      <alignment horizontal="center" vertical="top"/>
    </xf>
    <xf applyAlignment="true" applyBorder="true" applyFill="false" applyFont="false" applyNumberFormat="true" borderId="10070" fillId="0" fontId="1" numFmtId="1000" quotePrefix="false">
      <alignment horizontal="center" vertical="top"/>
    </xf>
    <xf applyAlignment="true" applyBorder="true" applyFill="false" applyFont="false" applyNumberFormat="true" borderId="10071" fillId="0" fontId="1" numFmtId="1000" quotePrefix="false">
      <alignment horizontal="center" vertical="top"/>
    </xf>
    <xf applyAlignment="true" applyBorder="true" applyFill="false" applyFont="false" applyNumberFormat="true" borderId="10072" fillId="0" fontId="1" numFmtId="1000" quotePrefix="false">
      <alignment horizontal="center" vertical="top"/>
    </xf>
    <xf applyAlignment="true" applyBorder="true" applyFill="false" applyFont="false" applyNumberFormat="true" borderId="10073" fillId="0" fontId="1" numFmtId="1000" quotePrefix="false">
      <alignment horizontal="center" vertical="top"/>
    </xf>
    <xf applyAlignment="true" applyBorder="true" applyFill="false" applyFont="false" applyNumberFormat="true" borderId="10074" fillId="0" fontId="1" numFmtId="1000" quotePrefix="false">
      <alignment horizontal="center" vertical="top"/>
    </xf>
    <xf applyAlignment="true" applyBorder="true" applyFill="false" applyFont="false" applyNumberFormat="true" borderId="10075" fillId="0" fontId="1" numFmtId="1000" quotePrefix="false">
      <alignment horizontal="center" vertical="top"/>
    </xf>
    <xf applyAlignment="true" applyBorder="true" applyFill="false" applyFont="false" applyNumberFormat="true" borderId="10076" fillId="0" fontId="1" numFmtId="1000" quotePrefix="false">
      <alignment horizontal="center" vertical="top"/>
    </xf>
    <xf applyAlignment="true" applyBorder="true" applyFill="false" applyFont="true" applyNumberFormat="true" borderId="10077" fillId="0" fontId="2" numFmtId="1000" quotePrefix="false">
      <alignment horizontal="center" vertical="top"/>
    </xf>
    <xf applyAlignment="true" applyBorder="true" applyFill="false" applyFont="false" applyNumberFormat="true" borderId="10078" fillId="0" fontId="1" numFmtId="1000" quotePrefix="false">
      <alignment horizontal="left" vertical="top"/>
    </xf>
    <xf applyAlignment="true" applyBorder="true" applyFill="false" applyFont="false" applyNumberFormat="true" borderId="10079" fillId="0" fontId="1" numFmtId="1000" quotePrefix="false">
      <alignment horizontal="left" vertical="top"/>
    </xf>
    <xf applyAlignment="true" applyBorder="true" applyFill="false" applyFont="false" applyNumberFormat="true" borderId="10080" fillId="0" fontId="1" numFmtId="1000" quotePrefix="false">
      <alignment horizontal="left" vertical="top"/>
    </xf>
    <xf applyAlignment="true" applyBorder="true" applyFill="false" applyFont="false" applyNumberFormat="true" borderId="10081" fillId="0" fontId="1" numFmtId="1000" quotePrefix="false">
      <alignment horizontal="left" vertical="top"/>
    </xf>
    <xf applyAlignment="true" applyBorder="true" applyFill="false" applyFont="false" applyNumberFormat="true" borderId="10082" fillId="0" fontId="1" numFmtId="1000" quotePrefix="false">
      <alignment horizontal="left" vertical="top"/>
    </xf>
    <xf applyAlignment="true" applyBorder="true" applyFill="false" applyFont="false" applyNumberFormat="true" borderId="10083" fillId="0" fontId="1" numFmtId="1000" quotePrefix="false">
      <alignment horizontal="left" vertical="top"/>
    </xf>
    <xf applyAlignment="true" applyBorder="true" applyFill="false" applyFont="false" applyNumberFormat="true" borderId="10084" fillId="0" fontId="1" numFmtId="1000" quotePrefix="false">
      <alignment horizontal="left" vertical="top"/>
    </xf>
    <xf applyAlignment="true" applyBorder="true" applyFill="false" applyFont="false" applyNumberFormat="true" borderId="10085" fillId="0" fontId="1" numFmtId="1000" quotePrefix="false">
      <alignment horizontal="left" vertical="top"/>
    </xf>
    <xf applyAlignment="true" applyBorder="true" applyFill="false" applyFont="false" applyNumberFormat="true" borderId="10086" fillId="0" fontId="1" numFmtId="1000" quotePrefix="false">
      <alignment horizontal="left" vertical="top"/>
    </xf>
    <xf applyAlignment="true" applyBorder="true" applyFill="false" applyFont="false" applyNumberFormat="true" borderId="10087" fillId="0" fontId="1" numFmtId="1000" quotePrefix="false">
      <alignment horizontal="left" vertical="top"/>
    </xf>
    <xf applyAlignment="true" applyBorder="true" applyFill="false" applyFont="false" applyNumberFormat="true" borderId="10088" fillId="0" fontId="1" numFmtId="1000" quotePrefix="false">
      <alignment horizontal="left" vertical="top"/>
    </xf>
    <xf applyAlignment="true" applyBorder="true" applyFill="false" applyFont="false" applyNumberFormat="true" borderId="10089" fillId="0" fontId="1" numFmtId="1000" quotePrefix="false">
      <alignment horizontal="left" vertical="top"/>
    </xf>
    <xf applyAlignment="true" applyBorder="true" applyFill="false" applyFont="false" applyNumberFormat="true" borderId="10090" fillId="0" fontId="1" numFmtId="1000" quotePrefix="false">
      <alignment horizontal="left" vertical="top"/>
    </xf>
    <xf applyAlignment="true" applyBorder="true" applyFill="false" applyFont="false" applyNumberFormat="true" borderId="10091" fillId="0" fontId="1" numFmtId="1000" quotePrefix="false">
      <alignment horizontal="left" vertical="top"/>
    </xf>
    <xf applyAlignment="true" applyBorder="true" applyFill="false" applyFont="false" applyNumberFormat="true" borderId="10092" fillId="0" fontId="1" numFmtId="1000" quotePrefix="false">
      <alignment horizontal="left" vertical="top"/>
    </xf>
    <xf applyAlignment="true" applyBorder="true" applyFill="false" applyFont="false" applyNumberFormat="true" borderId="10093" fillId="0" fontId="1" numFmtId="1000" quotePrefix="false">
      <alignment horizontal="left" vertical="top"/>
    </xf>
    <xf applyAlignment="true" applyBorder="true" applyFill="false" applyFont="false" applyNumberFormat="true" borderId="10094" fillId="0" fontId="1" numFmtId="1000" quotePrefix="false">
      <alignment horizontal="left" vertical="top"/>
    </xf>
    <xf applyAlignment="true" applyBorder="true" applyFill="false" applyFont="false" applyNumberFormat="true" borderId="10095" fillId="0" fontId="1" numFmtId="1000" quotePrefix="false">
      <alignment horizontal="left" vertical="top"/>
    </xf>
    <xf applyAlignment="true" applyBorder="true" applyFill="false" applyFont="false" applyNumberFormat="true" borderId="10096" fillId="0" fontId="1" numFmtId="1000" quotePrefix="false">
      <alignment horizontal="left" vertical="top"/>
    </xf>
    <xf applyAlignment="true" applyBorder="true" applyFill="false" applyFont="true" applyNumberFormat="true" borderId="10097" fillId="0" fontId="2" numFmtId="1001" quotePrefix="false">
      <alignment horizontal="center"/>
    </xf>
    <xf applyAlignment="true" applyBorder="true" applyFill="false" applyFont="true" applyNumberFormat="true" borderId="10098" fillId="0" fontId="2" numFmtId="1001" quotePrefix="false">
      <alignment horizontal="center"/>
    </xf>
    <xf applyAlignment="true" applyBorder="true" applyFill="false" applyFont="true" applyNumberFormat="true" borderId="10099" fillId="0" fontId="2" numFmtId="1001" quotePrefix="false">
      <alignment horizontal="center"/>
    </xf>
    <xf applyAlignment="true" applyBorder="true" applyFill="false" applyFont="false" applyNumberFormat="true" borderId="10100" fillId="0" fontId="1" numFmtId="1000" quotePrefix="false">
      <alignment horizontal="center" vertical="top"/>
    </xf>
    <xf applyAlignment="true" applyBorder="true" applyFill="false" applyFont="false" applyNumberFormat="true" borderId="10101" fillId="0" fontId="1" numFmtId="1000" quotePrefix="false">
      <alignment horizontal="center" vertical="top"/>
    </xf>
    <xf applyAlignment="true" applyBorder="true" applyFill="false" applyFont="false" applyNumberFormat="true" borderId="10102" fillId="0" fontId="1" numFmtId="1000" quotePrefix="false">
      <alignment horizontal="center" vertical="top"/>
    </xf>
    <xf applyAlignment="true" applyBorder="true" applyFill="false" applyFont="false" applyNumberFormat="true" borderId="10103" fillId="0" fontId="1" numFmtId="1000" quotePrefix="false">
      <alignment horizontal="center" vertical="top"/>
    </xf>
    <xf applyAlignment="true" applyBorder="true" applyFill="false" applyFont="false" applyNumberFormat="true" borderId="10104" fillId="0" fontId="1" numFmtId="1000" quotePrefix="false">
      <alignment horizontal="center" vertical="top"/>
    </xf>
    <xf applyAlignment="true" applyBorder="true" applyFill="false" applyFont="false" applyNumberFormat="true" borderId="10105" fillId="0" fontId="1" numFmtId="1000" quotePrefix="false">
      <alignment horizontal="center" vertical="top"/>
    </xf>
    <xf applyAlignment="true" applyBorder="true" applyFill="false" applyFont="false" applyNumberFormat="true" borderId="10106" fillId="0" fontId="1" numFmtId="1000" quotePrefix="false">
      <alignment horizontal="center" vertical="top"/>
    </xf>
    <xf applyAlignment="true" applyBorder="true" applyFill="false" applyFont="false" applyNumberFormat="true" borderId="10107" fillId="0" fontId="1" numFmtId="1000" quotePrefix="false">
      <alignment horizontal="center" vertical="top"/>
    </xf>
    <xf applyAlignment="true" applyBorder="true" applyFill="false" applyFont="false" applyNumberFormat="true" borderId="10108" fillId="0" fontId="1" numFmtId="1000" quotePrefix="false">
      <alignment horizontal="center" vertical="top"/>
    </xf>
    <xf applyAlignment="true" applyBorder="true" applyFill="false" applyFont="false" applyNumberFormat="true" borderId="10109" fillId="0" fontId="1" numFmtId="1000" quotePrefix="false">
      <alignment horizontal="center" vertical="top"/>
    </xf>
    <xf applyAlignment="true" applyBorder="true" applyFill="false" applyFont="false" applyNumberFormat="true" borderId="10110" fillId="0" fontId="1" numFmtId="1000" quotePrefix="false">
      <alignment horizontal="center" vertical="top"/>
    </xf>
    <xf applyAlignment="true" applyBorder="true" applyFill="false" applyFont="false" applyNumberFormat="true" borderId="10111" fillId="0" fontId="1" numFmtId="1000" quotePrefix="false">
      <alignment horizontal="center" vertical="top"/>
    </xf>
    <xf applyAlignment="true" applyBorder="true" applyFill="false" applyFont="false" applyNumberFormat="true" borderId="10112" fillId="0" fontId="1" numFmtId="1000" quotePrefix="false">
      <alignment horizontal="center" vertical="top"/>
    </xf>
    <xf applyAlignment="true" applyBorder="true" applyFill="false" applyFont="false" applyNumberFormat="true" borderId="10113" fillId="0" fontId="1" numFmtId="1000" quotePrefix="false">
      <alignment horizontal="center" vertical="top"/>
    </xf>
    <xf applyAlignment="true" applyBorder="true" applyFill="false" applyFont="false" applyNumberFormat="true" borderId="10114" fillId="0" fontId="1" numFmtId="1000" quotePrefix="false">
      <alignment horizontal="center" vertical="top"/>
    </xf>
    <xf applyAlignment="true" applyBorder="true" applyFill="false" applyFont="false" applyNumberFormat="true" borderId="10115" fillId="0" fontId="1" numFmtId="1000" quotePrefix="false">
      <alignment horizontal="center" vertical="top"/>
    </xf>
    <xf applyAlignment="true" applyBorder="true" applyFill="false" applyFont="false" applyNumberFormat="true" borderId="10116" fillId="0" fontId="1" numFmtId="1000" quotePrefix="false">
      <alignment horizontal="center" vertical="top"/>
    </xf>
    <xf applyAlignment="true" applyBorder="true" applyFill="false" applyFont="false" applyNumberFormat="true" borderId="10117" fillId="0" fontId="1" numFmtId="1000" quotePrefix="false">
      <alignment horizontal="center" vertical="top"/>
    </xf>
    <xf applyAlignment="true" applyBorder="true" applyFill="false" applyFont="false" applyNumberFormat="true" borderId="10118" fillId="0" fontId="1" numFmtId="1000" quotePrefix="false">
      <alignment horizontal="center" vertical="top"/>
    </xf>
    <xf applyAlignment="true" applyBorder="true" applyFill="false" applyFont="false" applyNumberFormat="true" borderId="10119" fillId="0" fontId="1" numFmtId="1000" quotePrefix="false">
      <alignment horizontal="center" vertical="top"/>
    </xf>
    <xf applyAlignment="true" applyBorder="true" applyFill="false" applyFont="false" applyNumberFormat="true" borderId="10120" fillId="0" fontId="1" numFmtId="1000" quotePrefix="false">
      <alignment horizontal="center" vertical="top"/>
    </xf>
    <xf applyAlignment="true" applyBorder="true" applyFill="false" applyFont="false" applyNumberFormat="true" borderId="10121" fillId="0" fontId="1" numFmtId="1000" quotePrefix="false">
      <alignment horizontal="center" vertical="top"/>
    </xf>
    <xf applyAlignment="true" applyBorder="true" applyFill="false" applyFont="false" applyNumberFormat="true" borderId="10122" fillId="0" fontId="1" numFmtId="1000" quotePrefix="false">
      <alignment horizontal="center" vertical="top"/>
    </xf>
    <xf applyAlignment="true" applyBorder="true" applyFill="false" applyFont="false" applyNumberFormat="true" borderId="10123" fillId="0" fontId="1" numFmtId="1000" quotePrefix="false">
      <alignment horizontal="center" vertical="top"/>
    </xf>
    <xf applyAlignment="true" applyBorder="true" applyFill="false" applyFont="false" applyNumberFormat="true" borderId="10124" fillId="0" fontId="1" numFmtId="1000" quotePrefix="false">
      <alignment horizontal="center" vertical="top"/>
    </xf>
    <xf applyAlignment="true" applyBorder="true" applyFill="false" applyFont="false" applyNumberFormat="true" borderId="10125" fillId="0" fontId="1" numFmtId="1000" quotePrefix="false">
      <alignment horizontal="center" vertical="top"/>
    </xf>
    <xf applyAlignment="true" applyBorder="true" applyFill="false" applyFont="false" applyNumberFormat="true" borderId="10126" fillId="0" fontId="1" numFmtId="1000" quotePrefix="false">
      <alignment horizontal="center" vertical="top"/>
    </xf>
    <xf applyAlignment="true" applyBorder="true" applyFill="false" applyFont="false" applyNumberFormat="true" borderId="10127" fillId="0" fontId="1" numFmtId="1000" quotePrefix="false">
      <alignment horizontal="center" vertical="top"/>
    </xf>
    <xf applyAlignment="true" applyBorder="true" applyFill="false" applyFont="false" applyNumberFormat="true" borderId="10128" fillId="0" fontId="1" numFmtId="1000" quotePrefix="false">
      <alignment horizontal="center" vertical="top"/>
    </xf>
    <xf applyAlignment="true" applyBorder="true" applyFill="false" applyFont="false" applyNumberFormat="true" borderId="10129" fillId="0" fontId="1" numFmtId="1000" quotePrefix="false">
      <alignment horizontal="center" vertical="top"/>
    </xf>
    <xf applyAlignment="true" applyBorder="true" applyFill="false" applyFont="false" applyNumberFormat="true" borderId="10130" fillId="0" fontId="1" numFmtId="1000" quotePrefix="false">
      <alignment horizontal="center" vertical="top"/>
    </xf>
    <xf applyAlignment="true" applyBorder="true" applyFill="false" applyFont="false" applyNumberFormat="true" borderId="10131" fillId="0" fontId="1" numFmtId="1000" quotePrefix="false">
      <alignment horizontal="center" vertical="top"/>
    </xf>
    <xf applyAlignment="true" applyBorder="true" applyFill="false" applyFont="false" applyNumberFormat="true" borderId="10132" fillId="0" fontId="1" numFmtId="1000" quotePrefix="false">
      <alignment horizontal="center" vertical="top"/>
    </xf>
    <xf applyAlignment="true" applyBorder="true" applyFill="false" applyFont="true" applyNumberFormat="true" borderId="10133" fillId="0" fontId="2" numFmtId="1000" quotePrefix="false">
      <alignment horizontal="center" vertical="top"/>
    </xf>
    <xf applyAlignment="true" applyBorder="true" applyFill="false" applyFont="false" applyNumberFormat="true" borderId="10134" fillId="0" fontId="1" numFmtId="1000" quotePrefix="false">
      <alignment horizontal="left" vertical="top"/>
    </xf>
    <xf applyAlignment="true" applyBorder="true" applyFill="false" applyFont="false" applyNumberFormat="true" borderId="10135" fillId="0" fontId="1" numFmtId="1000" quotePrefix="false">
      <alignment horizontal="left" vertical="top"/>
    </xf>
    <xf applyAlignment="true" applyBorder="true" applyFill="false" applyFont="false" applyNumberFormat="true" borderId="10136" fillId="0" fontId="1" numFmtId="1000" quotePrefix="false">
      <alignment horizontal="left" vertical="top"/>
    </xf>
    <xf applyAlignment="true" applyBorder="true" applyFill="false" applyFont="false" applyNumberFormat="true" borderId="10137" fillId="0" fontId="1" numFmtId="1000" quotePrefix="false">
      <alignment horizontal="left" vertical="top"/>
    </xf>
    <xf applyAlignment="true" applyBorder="true" applyFill="false" applyFont="false" applyNumberFormat="true" borderId="10138" fillId="0" fontId="1" numFmtId="1000" quotePrefix="false">
      <alignment horizontal="left" vertical="top"/>
    </xf>
    <xf applyAlignment="true" applyBorder="true" applyFill="false" applyFont="false" applyNumberFormat="true" borderId="10139" fillId="0" fontId="1" numFmtId="1000" quotePrefix="false">
      <alignment horizontal="left" vertical="top"/>
    </xf>
    <xf applyAlignment="true" applyBorder="true" applyFill="false" applyFont="false" applyNumberFormat="true" borderId="10140" fillId="0" fontId="1" numFmtId="1000" quotePrefix="false">
      <alignment horizontal="left" vertical="top"/>
    </xf>
    <xf applyAlignment="true" applyBorder="true" applyFill="false" applyFont="false" applyNumberFormat="true" borderId="10141" fillId="0" fontId="1" numFmtId="1000" quotePrefix="false">
      <alignment horizontal="left" vertical="top"/>
    </xf>
    <xf applyAlignment="true" applyBorder="true" applyFill="false" applyFont="false" applyNumberFormat="true" borderId="10142" fillId="0" fontId="1" numFmtId="1000" quotePrefix="false">
      <alignment horizontal="left" vertical="top"/>
    </xf>
    <xf applyAlignment="true" applyBorder="true" applyFill="false" applyFont="false" applyNumberFormat="true" borderId="10143" fillId="0" fontId="1" numFmtId="1000" quotePrefix="false">
      <alignment horizontal="left" vertical="top"/>
    </xf>
    <xf applyAlignment="true" applyBorder="true" applyFill="false" applyFont="false" applyNumberFormat="true" borderId="10144" fillId="0" fontId="1" numFmtId="1000" quotePrefix="false">
      <alignment horizontal="left" vertical="top"/>
    </xf>
    <xf applyAlignment="true" applyBorder="true" applyFill="false" applyFont="false" applyNumberFormat="true" borderId="10145" fillId="0" fontId="1" numFmtId="1000" quotePrefix="false">
      <alignment horizontal="left" vertical="top"/>
    </xf>
    <xf applyAlignment="true" applyBorder="true" applyFill="false" applyFont="false" applyNumberFormat="true" borderId="10146" fillId="0" fontId="1" numFmtId="1000" quotePrefix="false">
      <alignment horizontal="left" vertical="top"/>
    </xf>
    <xf applyAlignment="true" applyBorder="true" applyFill="false" applyFont="false" applyNumberFormat="true" borderId="10147" fillId="0" fontId="1" numFmtId="1000" quotePrefix="false">
      <alignment horizontal="left" vertical="top"/>
    </xf>
    <xf applyAlignment="true" applyBorder="true" applyFill="false" applyFont="false" applyNumberFormat="true" borderId="10148" fillId="0" fontId="1" numFmtId="1000" quotePrefix="false">
      <alignment horizontal="left" vertical="top"/>
    </xf>
    <xf applyAlignment="true" applyBorder="true" applyFill="false" applyFont="false" applyNumberFormat="true" borderId="10149" fillId="0" fontId="1" numFmtId="1000" quotePrefix="false">
      <alignment horizontal="left" vertical="top"/>
    </xf>
    <xf applyAlignment="true" applyBorder="true" applyFill="false" applyFont="false" applyNumberFormat="true" borderId="10150" fillId="0" fontId="1" numFmtId="1000" quotePrefix="false">
      <alignment horizontal="left" vertical="top"/>
    </xf>
    <xf applyAlignment="true" applyBorder="true" applyFill="false" applyFont="false" applyNumberFormat="true" borderId="10151" fillId="0" fontId="1" numFmtId="1000" quotePrefix="false">
      <alignment horizontal="left" vertical="top"/>
    </xf>
    <xf applyAlignment="true" applyBorder="true" applyFill="false" applyFont="false" applyNumberFormat="true" borderId="10152" fillId="0" fontId="1" numFmtId="1000" quotePrefix="false">
      <alignment horizontal="left" vertical="top"/>
    </xf>
    <xf applyAlignment="true" applyBorder="true" applyFill="false" applyFont="true" applyNumberFormat="true" borderId="10153" fillId="0" fontId="2" numFmtId="1001" quotePrefix="false">
      <alignment horizontal="center"/>
    </xf>
    <xf applyAlignment="true" applyBorder="true" applyFill="false" applyFont="true" applyNumberFormat="true" borderId="10154" fillId="0" fontId="2" numFmtId="1001" quotePrefix="false">
      <alignment horizontal="center"/>
    </xf>
    <xf applyAlignment="true" applyBorder="true" applyFill="false" applyFont="true" applyNumberFormat="true" borderId="10155" fillId="0" fontId="2" numFmtId="1001" quotePrefix="false">
      <alignment horizontal="center"/>
    </xf>
    <xf applyAlignment="true" applyBorder="true" applyFill="false" applyFont="false" applyNumberFormat="true" borderId="10156" fillId="0" fontId="1" numFmtId="1000" quotePrefix="false">
      <alignment horizontal="center" vertical="top"/>
    </xf>
    <xf applyAlignment="true" applyBorder="true" applyFill="false" applyFont="false" applyNumberFormat="true" borderId="10157" fillId="0" fontId="1" numFmtId="1000" quotePrefix="false">
      <alignment horizontal="center" vertical="top"/>
    </xf>
    <xf applyAlignment="true" applyBorder="true" applyFill="false" applyFont="false" applyNumberFormat="true" borderId="10158" fillId="0" fontId="1" numFmtId="1000" quotePrefix="false">
      <alignment horizontal="center" vertical="top"/>
    </xf>
    <xf applyAlignment="true" applyBorder="true" applyFill="false" applyFont="false" applyNumberFormat="true" borderId="10159" fillId="0" fontId="1" numFmtId="1000" quotePrefix="false">
      <alignment horizontal="center" vertical="top"/>
    </xf>
    <xf applyAlignment="true" applyBorder="true" applyFill="false" applyFont="false" applyNumberFormat="true" borderId="10160" fillId="0" fontId="1" numFmtId="1000" quotePrefix="false">
      <alignment horizontal="center" vertical="top"/>
    </xf>
    <xf applyAlignment="true" applyBorder="true" applyFill="false" applyFont="false" applyNumberFormat="true" borderId="10161" fillId="0" fontId="1" numFmtId="1000" quotePrefix="false">
      <alignment horizontal="center" vertical="top"/>
    </xf>
    <xf applyAlignment="true" applyBorder="true" applyFill="false" applyFont="false" applyNumberFormat="true" borderId="10162" fillId="0" fontId="1" numFmtId="1000" quotePrefix="false">
      <alignment horizontal="center" vertical="top"/>
    </xf>
    <xf applyAlignment="true" applyBorder="true" applyFill="false" applyFont="false" applyNumberFormat="true" borderId="10163" fillId="0" fontId="1" numFmtId="1000" quotePrefix="false">
      <alignment horizontal="center" vertical="top"/>
    </xf>
    <xf applyAlignment="true" applyBorder="true" applyFill="false" applyFont="false" applyNumberFormat="true" borderId="10164" fillId="0" fontId="1" numFmtId="1000" quotePrefix="false">
      <alignment horizontal="center" vertical="top"/>
    </xf>
    <xf applyAlignment="true" applyBorder="true" applyFill="false" applyFont="false" applyNumberFormat="true" borderId="10165" fillId="0" fontId="1" numFmtId="1000" quotePrefix="false">
      <alignment horizontal="center" vertical="top"/>
    </xf>
    <xf applyAlignment="true" applyBorder="true" applyFill="false" applyFont="false" applyNumberFormat="true" borderId="10166" fillId="0" fontId="1" numFmtId="1000" quotePrefix="false">
      <alignment horizontal="center" vertical="top"/>
    </xf>
    <xf applyAlignment="true" applyBorder="true" applyFill="false" applyFont="false" applyNumberFormat="true" borderId="10167" fillId="0" fontId="1" numFmtId="1000" quotePrefix="false">
      <alignment horizontal="center" vertical="top"/>
    </xf>
    <xf applyAlignment="true" applyBorder="true" applyFill="false" applyFont="false" applyNumberFormat="true" borderId="10168" fillId="0" fontId="1" numFmtId="1000" quotePrefix="false">
      <alignment horizontal="center" vertical="top"/>
    </xf>
    <xf applyAlignment="true" applyBorder="true" applyFill="false" applyFont="false" applyNumberFormat="true" borderId="10169" fillId="0" fontId="1" numFmtId="1000" quotePrefix="false">
      <alignment horizontal="center" vertical="top"/>
    </xf>
    <xf applyAlignment="true" applyBorder="true" applyFill="false" applyFont="false" applyNumberFormat="true" borderId="10170" fillId="0" fontId="1" numFmtId="1000" quotePrefix="false">
      <alignment horizontal="center" vertical="top"/>
    </xf>
    <xf applyAlignment="true" applyBorder="true" applyFill="false" applyFont="false" applyNumberFormat="true" borderId="10171" fillId="0" fontId="1" numFmtId="1000" quotePrefix="false">
      <alignment horizontal="center" vertical="top"/>
    </xf>
    <xf applyAlignment="true" applyBorder="true" applyFill="false" applyFont="false" applyNumberFormat="true" borderId="10172" fillId="0" fontId="1" numFmtId="1000" quotePrefix="false">
      <alignment horizontal="center" vertical="top"/>
    </xf>
    <xf applyAlignment="true" applyBorder="true" applyFill="false" applyFont="false" applyNumberFormat="true" borderId="10173" fillId="0" fontId="1" numFmtId="1000" quotePrefix="false">
      <alignment horizontal="center" vertical="top"/>
    </xf>
    <xf applyAlignment="true" applyBorder="true" applyFill="false" applyFont="false" applyNumberFormat="true" borderId="10174" fillId="0" fontId="1" numFmtId="1000" quotePrefix="false">
      <alignment horizontal="center" vertical="top"/>
    </xf>
    <xf applyAlignment="true" applyBorder="true" applyFill="false" applyFont="false" applyNumberFormat="true" borderId="10175" fillId="0" fontId="1" numFmtId="1000" quotePrefix="false">
      <alignment horizontal="center" vertical="top"/>
    </xf>
    <xf applyAlignment="true" applyBorder="true" applyFill="false" applyFont="false" applyNumberFormat="true" borderId="10176" fillId="0" fontId="1" numFmtId="1000" quotePrefix="false">
      <alignment horizontal="center" vertical="top"/>
    </xf>
    <xf applyAlignment="true" applyBorder="true" applyFill="false" applyFont="false" applyNumberFormat="true" borderId="10177" fillId="0" fontId="1" numFmtId="1000" quotePrefix="false">
      <alignment horizontal="center" vertical="top"/>
    </xf>
    <xf applyAlignment="true" applyBorder="true" applyFill="false" applyFont="false" applyNumberFormat="true" borderId="10178" fillId="0" fontId="1" numFmtId="1000" quotePrefix="false">
      <alignment horizontal="center" vertical="top"/>
    </xf>
    <xf applyAlignment="true" applyBorder="true" applyFill="false" applyFont="false" applyNumberFormat="true" borderId="10179" fillId="0" fontId="1" numFmtId="1000" quotePrefix="false">
      <alignment horizontal="center" vertical="top"/>
    </xf>
    <xf applyAlignment="true" applyBorder="true" applyFill="false" applyFont="false" applyNumberFormat="true" borderId="10180" fillId="0" fontId="1" numFmtId="1000" quotePrefix="false">
      <alignment horizontal="center" vertical="top"/>
    </xf>
    <xf applyAlignment="true" applyBorder="true" applyFill="false" applyFont="false" applyNumberFormat="true" borderId="10181" fillId="0" fontId="1" numFmtId="1000" quotePrefix="false">
      <alignment horizontal="center" vertical="top"/>
    </xf>
    <xf applyAlignment="true" applyBorder="true" applyFill="false" applyFont="false" applyNumberFormat="true" borderId="10182" fillId="0" fontId="1" numFmtId="1000" quotePrefix="false">
      <alignment horizontal="center" vertical="top"/>
    </xf>
    <xf applyAlignment="true" applyBorder="true" applyFill="false" applyFont="false" applyNumberFormat="true" borderId="10183" fillId="0" fontId="1" numFmtId="1000" quotePrefix="false">
      <alignment horizontal="center" vertical="top"/>
    </xf>
    <xf applyAlignment="true" applyBorder="true" applyFill="false" applyFont="false" applyNumberFormat="true" borderId="10184" fillId="0" fontId="1" numFmtId="1000" quotePrefix="false">
      <alignment horizontal="center" vertical="top"/>
    </xf>
    <xf applyAlignment="true" applyBorder="true" applyFill="false" applyFont="false" applyNumberFormat="true" borderId="10185" fillId="0" fontId="1" numFmtId="1000" quotePrefix="false">
      <alignment horizontal="center" vertical="top"/>
    </xf>
    <xf applyAlignment="true" applyBorder="true" applyFill="false" applyFont="false" applyNumberFormat="true" borderId="10186" fillId="0" fontId="1" numFmtId="1000" quotePrefix="false">
      <alignment horizontal="center" vertical="top"/>
    </xf>
    <xf applyAlignment="true" applyBorder="true" applyFill="false" applyFont="false" applyNumberFormat="true" borderId="10187" fillId="0" fontId="1" numFmtId="1000" quotePrefix="false">
      <alignment horizontal="center" vertical="top"/>
    </xf>
    <xf applyAlignment="true" applyBorder="true" applyFill="false" applyFont="false" applyNumberFormat="true" borderId="10188" fillId="0" fontId="1" numFmtId="1000" quotePrefix="false">
      <alignment horizontal="center" vertical="top"/>
    </xf>
    <xf applyAlignment="true" applyBorder="true" applyFill="false" applyFont="true" applyNumberFormat="true" borderId="10189" fillId="0" fontId="2" numFmtId="1000" quotePrefix="false">
      <alignment horizontal="center" vertical="top"/>
    </xf>
    <xf applyAlignment="true" applyBorder="true" applyFill="false" applyFont="true" applyNumberFormat="true" borderId="10190" fillId="0" fontId="2" numFmtId="1001" quotePrefix="false">
      <alignment horizontal="center"/>
    </xf>
    <xf applyAlignment="true" applyBorder="true" applyFill="false" applyFont="true" applyNumberFormat="true" borderId="10191" fillId="0" fontId="2" numFmtId="1001" quotePrefix="false">
      <alignment horizontal="center"/>
    </xf>
    <xf applyAlignment="true" applyBorder="true" applyFill="false" applyFont="true" applyNumberFormat="true" borderId="10192" fillId="0" fontId="2" numFmtId="1001" quotePrefix="false">
      <alignment horizontal="center"/>
    </xf>
    <xf applyAlignment="true" applyBorder="true" applyFill="false" applyFont="false" applyNumberFormat="true" borderId="10193" fillId="0" fontId="1" numFmtId="1000" quotePrefix="false">
      <alignment horizontal="center" vertical="top"/>
    </xf>
    <xf applyAlignment="true" applyBorder="true" applyFill="false" applyFont="false" applyNumberFormat="true" borderId="10194" fillId="0" fontId="1" numFmtId="1000" quotePrefix="false">
      <alignment horizontal="center" vertical="top"/>
    </xf>
    <xf applyAlignment="true" applyBorder="true" applyFill="false" applyFont="false" applyNumberFormat="true" borderId="10195" fillId="0" fontId="1" numFmtId="1000" quotePrefix="false">
      <alignment horizontal="center" vertical="top"/>
    </xf>
    <xf applyAlignment="true" applyBorder="true" applyFill="false" applyFont="false" applyNumberFormat="true" borderId="10196" fillId="0" fontId="1" numFmtId="1000" quotePrefix="false">
      <alignment horizontal="center" vertical="top"/>
    </xf>
    <xf applyAlignment="true" applyBorder="true" applyFill="false" applyFont="false" applyNumberFormat="true" borderId="10197" fillId="0" fontId="1" numFmtId="1000" quotePrefix="false">
      <alignment horizontal="center" vertical="top"/>
    </xf>
    <xf applyAlignment="true" applyBorder="true" applyFill="false" applyFont="false" applyNumberFormat="true" borderId="10198" fillId="0" fontId="1" numFmtId="1000" quotePrefix="false">
      <alignment horizontal="center" vertical="top"/>
    </xf>
    <xf applyAlignment="true" applyBorder="true" applyFill="false" applyFont="false" applyNumberFormat="true" borderId="10199" fillId="0" fontId="1" numFmtId="1000" quotePrefix="false">
      <alignment horizontal="center" vertical="top"/>
    </xf>
    <xf applyAlignment="true" applyBorder="true" applyFill="false" applyFont="false" applyNumberFormat="true" borderId="10200" fillId="0" fontId="1" numFmtId="1000" quotePrefix="false">
      <alignment horizontal="center" vertical="top"/>
    </xf>
    <xf applyAlignment="true" applyBorder="true" applyFill="false" applyFont="false" applyNumberFormat="true" borderId="10201" fillId="0" fontId="1" numFmtId="1000" quotePrefix="false">
      <alignment horizontal="center" vertical="top"/>
    </xf>
    <xf applyAlignment="true" applyBorder="true" applyFill="false" applyFont="false" applyNumberFormat="true" borderId="10202" fillId="0" fontId="1" numFmtId="1000" quotePrefix="false">
      <alignment horizontal="center" vertical="top"/>
    </xf>
    <xf applyAlignment="true" applyBorder="true" applyFill="false" applyFont="false" applyNumberFormat="true" borderId="10203" fillId="0" fontId="1" numFmtId="1000" quotePrefix="false">
      <alignment horizontal="center" vertical="top"/>
    </xf>
    <xf applyAlignment="true" applyBorder="true" applyFill="false" applyFont="false" applyNumberFormat="true" borderId="10204" fillId="0" fontId="1" numFmtId="1000" quotePrefix="false">
      <alignment horizontal="center" vertical="top"/>
    </xf>
    <xf applyAlignment="true" applyBorder="true" applyFill="false" applyFont="false" applyNumberFormat="true" borderId="10205" fillId="0" fontId="1" numFmtId="1000" quotePrefix="false">
      <alignment horizontal="center" vertical="top"/>
    </xf>
    <xf applyAlignment="true" applyBorder="true" applyFill="false" applyFont="false" applyNumberFormat="true" borderId="10206" fillId="0" fontId="1" numFmtId="1000" quotePrefix="false">
      <alignment horizontal="center" vertical="top"/>
    </xf>
    <xf applyAlignment="true" applyBorder="true" applyFill="false" applyFont="false" applyNumberFormat="true" borderId="10207" fillId="0" fontId="1" numFmtId="1000" quotePrefix="false">
      <alignment horizontal="center" vertical="top"/>
    </xf>
    <xf applyAlignment="true" applyBorder="true" applyFill="true" applyFont="false" applyNumberFormat="true" borderId="77" fillId="8" fontId="1" numFmtId="1000" quotePrefix="false">
      <alignment horizontal="center"/>
    </xf>
    <xf applyAlignment="true" applyBorder="true" applyFill="false" applyFont="false" applyNumberFormat="true" borderId="10208" fillId="0" fontId="1" numFmtId="1000" quotePrefix="false">
      <alignment horizontal="center" vertical="top"/>
    </xf>
    <xf applyAlignment="true" applyBorder="true" applyFill="false" applyFont="false" applyNumberFormat="true" borderId="10209" fillId="0" fontId="1" numFmtId="1000" quotePrefix="false">
      <alignment horizontal="center" vertical="top"/>
    </xf>
    <xf applyAlignment="true" applyBorder="true" applyFill="false" applyFont="false" applyNumberFormat="true" borderId="10210" fillId="0" fontId="1" numFmtId="1000" quotePrefix="false">
      <alignment horizontal="center" vertical="top"/>
    </xf>
    <xf applyAlignment="true" applyBorder="true" applyFill="false" applyFont="false" applyNumberFormat="true" borderId="10211" fillId="0" fontId="1" numFmtId="1000" quotePrefix="false">
      <alignment horizontal="center" vertical="top"/>
    </xf>
    <xf applyAlignment="true" applyBorder="true" applyFill="false" applyFont="false" applyNumberFormat="true" borderId="10212" fillId="0" fontId="1" numFmtId="1000" quotePrefix="false">
      <alignment horizontal="center" vertical="top"/>
    </xf>
    <xf applyAlignment="true" applyBorder="true" applyFill="false" applyFont="false" applyNumberFormat="true" borderId="10213" fillId="0" fontId="1" numFmtId="1000" quotePrefix="false">
      <alignment horizontal="center" vertical="top"/>
    </xf>
    <xf applyAlignment="true" applyBorder="true" applyFill="false" applyFont="false" applyNumberFormat="true" borderId="10214" fillId="0" fontId="1" numFmtId="1000" quotePrefix="false">
      <alignment horizontal="center" vertical="top"/>
    </xf>
    <xf applyAlignment="true" applyBorder="true" applyFill="false" applyFont="false" applyNumberFormat="true" borderId="10215" fillId="0" fontId="1" numFmtId="1000" quotePrefix="false">
      <alignment horizontal="center" vertical="top"/>
    </xf>
    <xf applyAlignment="true" applyBorder="true" applyFill="false" applyFont="false" applyNumberFormat="true" borderId="10216" fillId="0" fontId="1" numFmtId="1000" quotePrefix="false">
      <alignment horizontal="center" vertical="top"/>
    </xf>
    <xf applyAlignment="true" applyBorder="true" applyFill="false" applyFont="false" applyNumberFormat="true" borderId="10217" fillId="0" fontId="1" numFmtId="1000" quotePrefix="false">
      <alignment horizontal="center" vertical="top"/>
    </xf>
    <xf applyAlignment="true" applyBorder="true" applyFill="false" applyFont="false" applyNumberFormat="true" borderId="10218" fillId="0" fontId="1" numFmtId="1000" quotePrefix="false">
      <alignment horizontal="center" vertical="top"/>
    </xf>
    <xf applyAlignment="true" applyBorder="true" applyFill="false" applyFont="false" applyNumberFormat="true" borderId="10219" fillId="0" fontId="1" numFmtId="1000" quotePrefix="false">
      <alignment horizontal="center" vertical="top"/>
    </xf>
    <xf applyAlignment="true" applyBorder="true" applyFill="false" applyFont="false" applyNumberFormat="true" borderId="10220" fillId="0" fontId="1" numFmtId="1000" quotePrefix="false">
      <alignment horizontal="center" vertical="top"/>
    </xf>
    <xf applyAlignment="true" applyBorder="true" applyFill="false" applyFont="false" applyNumberFormat="true" borderId="10221" fillId="0" fontId="1" numFmtId="1000" quotePrefix="false">
      <alignment horizontal="center" vertical="top"/>
    </xf>
    <xf applyAlignment="true" applyBorder="true" applyFill="false" applyFont="false" applyNumberFormat="true" borderId="10222" fillId="0" fontId="1" numFmtId="1000" quotePrefix="false">
      <alignment horizontal="center" vertical="top"/>
    </xf>
    <xf applyAlignment="true" applyBorder="true" applyFill="false" applyFont="false" applyNumberFormat="true" borderId="10223" fillId="0" fontId="1" numFmtId="1000" quotePrefix="false">
      <alignment horizontal="center" vertical="top"/>
    </xf>
    <xf applyAlignment="true" applyBorder="true" applyFill="false" applyFont="false" applyNumberFormat="true" borderId="10224" fillId="0" fontId="1" numFmtId="1000" quotePrefix="false">
      <alignment horizontal="center" vertical="top"/>
    </xf>
    <xf applyAlignment="true" applyBorder="true" applyFill="false" applyFont="false" applyNumberFormat="true" borderId="10225" fillId="0" fontId="1" numFmtId="1000" quotePrefix="false">
      <alignment horizontal="center" vertical="top"/>
    </xf>
    <xf applyAlignment="true" applyBorder="true" applyFill="false" applyFont="false" applyNumberFormat="true" borderId="10226" fillId="0" fontId="1" numFmtId="1000" quotePrefix="false">
      <alignment horizontal="center" vertical="top"/>
    </xf>
    <xf applyAlignment="true" applyBorder="true" applyFill="false" applyFont="false" applyNumberFormat="true" borderId="10227" fillId="0" fontId="1" numFmtId="1000" quotePrefix="false">
      <alignment horizontal="center" vertical="top"/>
    </xf>
    <xf applyAlignment="true" applyBorder="true" applyFill="false" applyFont="false" applyNumberFormat="true" borderId="10228" fillId="0" fontId="1" numFmtId="1000" quotePrefix="false">
      <alignment horizontal="center" vertical="top"/>
    </xf>
    <xf applyAlignment="true" applyBorder="true" applyFill="false" applyFont="false" applyNumberFormat="true" borderId="10229" fillId="0" fontId="1" numFmtId="1000" quotePrefix="false">
      <alignment horizontal="center"/>
    </xf>
    <xf applyAlignment="true" applyBorder="true" applyFill="true" applyFont="false" applyNumberFormat="true" borderId="10230" fillId="8" fontId="1" numFmtId="1000" quotePrefix="false">
      <alignment horizontal="center"/>
    </xf>
    <xf applyAlignment="true" applyBorder="true" applyFill="true" applyFont="false" applyNumberFormat="true" borderId="10231" fillId="8" fontId="1" numFmtId="1000" quotePrefix="false">
      <alignment horizontal="center"/>
    </xf>
    <xf applyAlignment="true" applyBorder="true" applyFill="false" applyFont="true" applyNumberFormat="true" borderId="10232" fillId="0" fontId="6" numFmtId="1000" quotePrefix="false">
      <alignment horizontal="center"/>
    </xf>
    <xf applyAlignment="true" applyBorder="true" applyFill="false" applyFont="true" applyNumberFormat="true" borderId="10233" fillId="0" fontId="6" numFmtId="1000" quotePrefix="false">
      <alignment horizontal="center"/>
    </xf>
    <xf applyAlignment="true" applyBorder="true" applyFill="false" applyFont="true" applyNumberFormat="true" borderId="10234" fillId="0" fontId="6" numFmtId="1000" quotePrefix="false">
      <alignment horizontal="center"/>
    </xf>
    <xf applyAlignment="true" applyBorder="true" applyFill="false" applyFont="true" applyNumberFormat="true" borderId="10235" fillId="0" fontId="6" numFmtId="1000" quotePrefix="false">
      <alignment horizontal="center"/>
    </xf>
    <xf applyAlignment="true" applyBorder="true" applyFill="false" applyFont="true" applyNumberFormat="true" borderId="10236" fillId="0" fontId="6" numFmtId="1000" quotePrefix="false">
      <alignment horizontal="center"/>
    </xf>
    <xf applyAlignment="true" applyBorder="true" applyFill="false" applyFont="true" applyNumberFormat="true" borderId="10237" fillId="0" fontId="6" numFmtId="1000" quotePrefix="false">
      <alignment horizontal="center"/>
    </xf>
    <xf applyAlignment="true" applyBorder="true" applyFill="false" applyFont="true" applyNumberFormat="true" borderId="10238" fillId="0" fontId="2" numFmtId="1000" quotePrefix="false">
      <alignment horizontal="center" vertical="top"/>
    </xf>
    <xf applyAlignment="true" applyBorder="true" applyFill="false" applyFont="false" applyNumberFormat="true" borderId="10239" fillId="0" fontId="1" numFmtId="1000" quotePrefix="false">
      <alignment horizontal="left" vertical="top"/>
    </xf>
    <xf applyAlignment="true" applyBorder="true" applyFill="false" applyFont="false" applyNumberFormat="true" borderId="10240" fillId="0" fontId="1" numFmtId="1000" quotePrefix="false">
      <alignment horizontal="left" vertical="top"/>
    </xf>
    <xf applyAlignment="true" applyBorder="true" applyFill="false" applyFont="false" applyNumberFormat="true" borderId="10241" fillId="0" fontId="1" numFmtId="1000" quotePrefix="false">
      <alignment horizontal="left" vertical="top"/>
    </xf>
    <xf applyAlignment="true" applyBorder="true" applyFill="false" applyFont="false" applyNumberFormat="true" borderId="10242" fillId="0" fontId="1" numFmtId="1000" quotePrefix="false">
      <alignment horizontal="left" vertical="top"/>
    </xf>
    <xf applyAlignment="true" applyBorder="true" applyFill="false" applyFont="false" applyNumberFormat="true" borderId="10243" fillId="0" fontId="1" numFmtId="1000" quotePrefix="false">
      <alignment horizontal="left" vertical="top"/>
    </xf>
    <xf applyAlignment="true" applyBorder="true" applyFill="false" applyFont="false" applyNumberFormat="true" borderId="10244" fillId="0" fontId="1" numFmtId="1000" quotePrefix="false">
      <alignment horizontal="left" vertical="top"/>
    </xf>
    <xf applyAlignment="true" applyBorder="true" applyFill="false" applyFont="false" applyNumberFormat="true" borderId="10245" fillId="0" fontId="1" numFmtId="1000" quotePrefix="false">
      <alignment horizontal="left" vertical="top"/>
    </xf>
    <xf applyAlignment="true" applyBorder="true" applyFill="false" applyFont="false" applyNumberFormat="true" borderId="10246" fillId="0" fontId="1" numFmtId="1000" quotePrefix="false">
      <alignment horizontal="left" vertical="top"/>
    </xf>
    <xf applyAlignment="true" applyBorder="true" applyFill="false" applyFont="false" applyNumberFormat="true" borderId="10247" fillId="0" fontId="1" numFmtId="1000" quotePrefix="false">
      <alignment horizontal="left" vertical="top"/>
    </xf>
    <xf applyAlignment="true" applyBorder="true" applyFill="false" applyFont="false" applyNumberFormat="true" borderId="10248" fillId="0" fontId="1" numFmtId="1000" quotePrefix="false">
      <alignment horizontal="left" vertical="top"/>
    </xf>
    <xf applyAlignment="true" applyBorder="true" applyFill="false" applyFont="false" applyNumberFormat="true" borderId="10249" fillId="0" fontId="1" numFmtId="1000" quotePrefix="false">
      <alignment horizontal="left" vertical="top"/>
    </xf>
    <xf applyAlignment="true" applyBorder="true" applyFill="false" applyFont="false" applyNumberFormat="true" borderId="10250" fillId="0" fontId="1" numFmtId="1000" quotePrefix="false">
      <alignment horizontal="left" vertical="top"/>
    </xf>
    <xf applyAlignment="true" applyBorder="true" applyFill="false" applyFont="false" applyNumberFormat="true" borderId="10251" fillId="0" fontId="1" numFmtId="1000" quotePrefix="false">
      <alignment horizontal="left" vertical="top"/>
    </xf>
    <xf applyAlignment="true" applyBorder="true" applyFill="false" applyFont="false" applyNumberFormat="true" borderId="10252" fillId="0" fontId="1" numFmtId="1000" quotePrefix="false">
      <alignment horizontal="left" vertical="top"/>
    </xf>
    <xf applyAlignment="true" applyBorder="true" applyFill="false" applyFont="false" applyNumberFormat="true" borderId="10253" fillId="0" fontId="1" numFmtId="1000" quotePrefix="false">
      <alignment horizontal="left" vertical="top"/>
    </xf>
    <xf applyAlignment="true" applyBorder="true" applyFill="false" applyFont="false" applyNumberFormat="true" borderId="10254" fillId="0" fontId="1" numFmtId="1000" quotePrefix="false">
      <alignment horizontal="left" vertical="top"/>
    </xf>
    <xf applyAlignment="true" applyBorder="true" applyFill="false" applyFont="false" applyNumberFormat="true" borderId="10255" fillId="0" fontId="1" numFmtId="1000" quotePrefix="false">
      <alignment horizontal="left" vertical="top"/>
    </xf>
    <xf applyAlignment="true" applyBorder="true" applyFill="false" applyFont="false" applyNumberFormat="true" borderId="10256" fillId="0" fontId="1" numFmtId="1000" quotePrefix="false">
      <alignment horizontal="left" vertical="top"/>
    </xf>
    <xf applyAlignment="true" applyBorder="true" applyFill="false" applyFont="false" applyNumberFormat="true" borderId="10257" fillId="0" fontId="1" numFmtId="1000" quotePrefix="false">
      <alignment horizontal="left" vertical="top"/>
    </xf>
    <xf applyAlignment="true" applyBorder="true" applyFill="false" applyFont="true" applyNumberFormat="true" borderId="10258" fillId="0" fontId="2" numFmtId="1001" quotePrefix="false">
      <alignment horizontal="center"/>
    </xf>
    <xf applyAlignment="true" applyBorder="true" applyFill="false" applyFont="true" applyNumberFormat="true" borderId="10259" fillId="0" fontId="2" numFmtId="1001" quotePrefix="false">
      <alignment horizontal="center"/>
    </xf>
    <xf applyAlignment="true" applyBorder="true" applyFill="false" applyFont="true" applyNumberFormat="true" borderId="10260" fillId="0" fontId="2" numFmtId="1001" quotePrefix="false">
      <alignment horizontal="center"/>
    </xf>
    <xf applyAlignment="true" applyBorder="true" applyFill="false" applyFont="false" applyNumberFormat="true" borderId="10261" fillId="0" fontId="1" numFmtId="1000" quotePrefix="false">
      <alignment horizontal="center" vertical="top"/>
    </xf>
    <xf applyAlignment="true" applyBorder="true" applyFill="false" applyFont="false" applyNumberFormat="true" borderId="10262" fillId="0" fontId="1" numFmtId="1000" quotePrefix="false">
      <alignment horizontal="center" vertical="top"/>
    </xf>
    <xf applyAlignment="true" applyBorder="true" applyFill="false" applyFont="false" applyNumberFormat="true" borderId="10263" fillId="0" fontId="1" numFmtId="1000" quotePrefix="false">
      <alignment horizontal="center" vertical="top"/>
    </xf>
    <xf applyAlignment="true" applyBorder="true" applyFill="false" applyFont="false" applyNumberFormat="true" borderId="10264" fillId="0" fontId="1" numFmtId="1000" quotePrefix="false">
      <alignment horizontal="center" vertical="top"/>
    </xf>
    <xf applyAlignment="true" applyBorder="true" applyFill="false" applyFont="false" applyNumberFormat="true" borderId="10265" fillId="0" fontId="1" numFmtId="1000" quotePrefix="false">
      <alignment horizontal="center" vertical="top"/>
    </xf>
    <xf applyAlignment="true" applyBorder="true" applyFill="false" applyFont="false" applyNumberFormat="true" borderId="10266" fillId="0" fontId="1" numFmtId="1000" quotePrefix="false">
      <alignment horizontal="center" vertical="top"/>
    </xf>
    <xf applyAlignment="true" applyBorder="true" applyFill="false" applyFont="false" applyNumberFormat="true" borderId="10267" fillId="0" fontId="1" numFmtId="1000" quotePrefix="false">
      <alignment horizontal="center" vertical="top"/>
    </xf>
    <xf applyAlignment="true" applyBorder="true" applyFill="false" applyFont="false" applyNumberFormat="true" borderId="10268" fillId="0" fontId="1" numFmtId="1000" quotePrefix="false">
      <alignment horizontal="center" vertical="top"/>
    </xf>
    <xf applyAlignment="true" applyBorder="true" applyFill="false" applyFont="false" applyNumberFormat="true" borderId="10269" fillId="0" fontId="1" numFmtId="1000" quotePrefix="false">
      <alignment horizontal="center" vertical="top"/>
    </xf>
    <xf applyAlignment="true" applyBorder="true" applyFill="false" applyFont="false" applyNumberFormat="true" borderId="10270" fillId="0" fontId="1" numFmtId="1000" quotePrefix="false">
      <alignment horizontal="center" vertical="top"/>
    </xf>
    <xf applyAlignment="true" applyBorder="true" applyFill="false" applyFont="false" applyNumberFormat="true" borderId="10271" fillId="0" fontId="1" numFmtId="1000" quotePrefix="false">
      <alignment horizontal="center" vertical="top"/>
    </xf>
    <xf applyAlignment="true" applyBorder="true" applyFill="false" applyFont="false" applyNumberFormat="true" borderId="10272" fillId="0" fontId="1" numFmtId="1000" quotePrefix="false">
      <alignment horizontal="center" vertical="top"/>
    </xf>
    <xf applyAlignment="true" applyBorder="true" applyFill="false" applyFont="false" applyNumberFormat="true" borderId="10273" fillId="0" fontId="1" numFmtId="1000" quotePrefix="false">
      <alignment horizontal="center" vertical="top"/>
    </xf>
    <xf applyAlignment="true" applyBorder="true" applyFill="false" applyFont="false" applyNumberFormat="true" borderId="10274" fillId="0" fontId="1" numFmtId="1000" quotePrefix="false">
      <alignment horizontal="center" vertical="top"/>
    </xf>
    <xf applyAlignment="true" applyBorder="true" applyFill="false" applyFont="false" applyNumberFormat="true" borderId="10275" fillId="0" fontId="1" numFmtId="1000" quotePrefix="false">
      <alignment horizontal="center" vertical="top"/>
    </xf>
    <xf applyAlignment="true" applyBorder="true" applyFill="false" applyFont="false" applyNumberFormat="true" borderId="10276" fillId="0" fontId="1" numFmtId="1000" quotePrefix="false">
      <alignment horizontal="center" vertical="top"/>
    </xf>
    <xf applyAlignment="true" applyBorder="true" applyFill="false" applyFont="false" applyNumberFormat="true" borderId="10277" fillId="0" fontId="1" numFmtId="1000" quotePrefix="false">
      <alignment horizontal="center" vertical="top"/>
    </xf>
    <xf applyAlignment="true" applyBorder="true" applyFill="false" applyFont="false" applyNumberFormat="true" borderId="10278" fillId="0" fontId="1" numFmtId="1000" quotePrefix="false">
      <alignment horizontal="center" vertical="top"/>
    </xf>
    <xf applyAlignment="true" applyBorder="true" applyFill="false" applyFont="false" applyNumberFormat="true" borderId="10279" fillId="0" fontId="1" numFmtId="1000" quotePrefix="false">
      <alignment horizontal="center" vertical="top"/>
    </xf>
    <xf applyAlignment="true" applyBorder="true" applyFill="false" applyFont="false" applyNumberFormat="true" borderId="10280" fillId="0" fontId="1" numFmtId="1000" quotePrefix="false">
      <alignment horizontal="center" vertical="top"/>
    </xf>
    <xf applyAlignment="true" applyBorder="true" applyFill="false" applyFont="false" applyNumberFormat="true" borderId="10281" fillId="0" fontId="1" numFmtId="1000" quotePrefix="false">
      <alignment horizontal="center" vertical="top"/>
    </xf>
    <xf applyAlignment="true" applyBorder="true" applyFill="false" applyFont="false" applyNumberFormat="true" borderId="10282" fillId="0" fontId="1" numFmtId="1000" quotePrefix="false">
      <alignment horizontal="center" vertical="top"/>
    </xf>
    <xf applyAlignment="true" applyBorder="true" applyFill="false" applyFont="false" applyNumberFormat="true" borderId="10283" fillId="0" fontId="1" numFmtId="1000" quotePrefix="false">
      <alignment horizontal="center" vertical="top"/>
    </xf>
    <xf applyAlignment="true" applyBorder="true" applyFill="false" applyFont="false" applyNumberFormat="true" borderId="10284" fillId="0" fontId="1" numFmtId="1000" quotePrefix="false">
      <alignment horizontal="center" vertical="top"/>
    </xf>
    <xf applyAlignment="true" applyBorder="true" applyFill="false" applyFont="false" applyNumberFormat="true" borderId="10285" fillId="0" fontId="1" numFmtId="1000" quotePrefix="false">
      <alignment horizontal="center" vertical="top"/>
    </xf>
    <xf applyAlignment="true" applyBorder="true" applyFill="false" applyFont="false" applyNumberFormat="true" borderId="10286" fillId="0" fontId="1" numFmtId="1000" quotePrefix="false">
      <alignment horizontal="center" vertical="top"/>
    </xf>
    <xf applyAlignment="true" applyBorder="true" applyFill="false" applyFont="false" applyNumberFormat="true" borderId="10287" fillId="0" fontId="1" numFmtId="1000" quotePrefix="false">
      <alignment horizontal="center" vertical="top"/>
    </xf>
    <xf applyAlignment="true" applyBorder="true" applyFill="false" applyFont="false" applyNumberFormat="true" borderId="10288" fillId="0" fontId="1" numFmtId="1000" quotePrefix="false">
      <alignment horizontal="center" vertical="top"/>
    </xf>
    <xf applyAlignment="true" applyBorder="true" applyFill="false" applyFont="false" applyNumberFormat="true" borderId="10289" fillId="0" fontId="1" numFmtId="1000" quotePrefix="false">
      <alignment horizontal="center" vertical="top"/>
    </xf>
    <xf applyAlignment="true" applyBorder="true" applyFill="false" applyFont="false" applyNumberFormat="true" borderId="10290" fillId="0" fontId="1" numFmtId="1000" quotePrefix="false">
      <alignment horizontal="center" vertical="top"/>
    </xf>
    <xf applyAlignment="true" applyBorder="true" applyFill="false" applyFont="false" applyNumberFormat="true" borderId="10291" fillId="0" fontId="1" numFmtId="1000" quotePrefix="false">
      <alignment horizontal="center" vertical="top"/>
    </xf>
    <xf applyAlignment="true" applyBorder="true" applyFill="false" applyFont="false" applyNumberFormat="true" borderId="10292" fillId="0" fontId="1" numFmtId="1000" quotePrefix="false">
      <alignment horizontal="center" vertical="top"/>
    </xf>
    <xf applyAlignment="true" applyBorder="true" applyFill="false" applyFont="false" applyNumberFormat="true" borderId="10293" fillId="0" fontId="1" numFmtId="1000" quotePrefix="false">
      <alignment horizontal="center" vertical="top"/>
    </xf>
    <xf applyAlignment="true" applyBorder="true" applyFill="false" applyFont="true" applyNumberFormat="true" borderId="10294" fillId="0" fontId="2" numFmtId="1000" quotePrefix="false">
      <alignment horizontal="center" vertical="top"/>
    </xf>
    <xf applyAlignment="true" applyBorder="true" applyFill="false" applyFont="false" applyNumberFormat="true" borderId="10295" fillId="0" fontId="1" numFmtId="1000" quotePrefix="false">
      <alignment horizontal="left" vertical="top"/>
    </xf>
    <xf applyAlignment="true" applyBorder="true" applyFill="false" applyFont="false" applyNumberFormat="true" borderId="10296" fillId="0" fontId="1" numFmtId="1000" quotePrefix="false">
      <alignment horizontal="left" vertical="top"/>
    </xf>
    <xf applyAlignment="true" applyBorder="true" applyFill="false" applyFont="false" applyNumberFormat="true" borderId="10297" fillId="0" fontId="1" numFmtId="1000" quotePrefix="false">
      <alignment horizontal="left" vertical="top"/>
    </xf>
    <xf applyAlignment="true" applyBorder="true" applyFill="false" applyFont="false" applyNumberFormat="true" borderId="10298" fillId="0" fontId="1" numFmtId="1000" quotePrefix="false">
      <alignment horizontal="left" vertical="top"/>
    </xf>
    <xf applyAlignment="true" applyBorder="true" applyFill="false" applyFont="false" applyNumberFormat="true" borderId="10299" fillId="0" fontId="1" numFmtId="1000" quotePrefix="false">
      <alignment horizontal="left" vertical="top"/>
    </xf>
    <xf applyAlignment="true" applyBorder="true" applyFill="false" applyFont="false" applyNumberFormat="true" borderId="10300" fillId="0" fontId="1" numFmtId="1000" quotePrefix="false">
      <alignment horizontal="left" vertical="top"/>
    </xf>
    <xf applyAlignment="true" applyBorder="true" applyFill="false" applyFont="false" applyNumberFormat="true" borderId="10301" fillId="0" fontId="1" numFmtId="1000" quotePrefix="false">
      <alignment horizontal="left" vertical="top"/>
    </xf>
    <xf applyAlignment="true" applyBorder="true" applyFill="false" applyFont="false" applyNumberFormat="true" borderId="10302" fillId="0" fontId="1" numFmtId="1000" quotePrefix="false">
      <alignment horizontal="left" vertical="top"/>
    </xf>
    <xf applyAlignment="true" applyBorder="true" applyFill="false" applyFont="false" applyNumberFormat="true" borderId="10303" fillId="0" fontId="1" numFmtId="1000" quotePrefix="false">
      <alignment horizontal="left" vertical="top"/>
    </xf>
    <xf applyAlignment="true" applyBorder="true" applyFill="false" applyFont="false" applyNumberFormat="true" borderId="10304" fillId="0" fontId="1" numFmtId="1000" quotePrefix="false">
      <alignment horizontal="left" vertical="top"/>
    </xf>
    <xf applyAlignment="true" applyBorder="true" applyFill="false" applyFont="false" applyNumberFormat="true" borderId="10305" fillId="0" fontId="1" numFmtId="1000" quotePrefix="false">
      <alignment horizontal="left" vertical="top"/>
    </xf>
    <xf applyAlignment="true" applyBorder="true" applyFill="false" applyFont="false" applyNumberFormat="true" borderId="10306" fillId="0" fontId="1" numFmtId="1000" quotePrefix="false">
      <alignment horizontal="left" vertical="top"/>
    </xf>
    <xf applyAlignment="true" applyBorder="true" applyFill="false" applyFont="false" applyNumberFormat="true" borderId="10307" fillId="0" fontId="1" numFmtId="1000" quotePrefix="false">
      <alignment horizontal="left" vertical="top"/>
    </xf>
    <xf applyAlignment="true" applyBorder="true" applyFill="false" applyFont="false" applyNumberFormat="true" borderId="10308" fillId="0" fontId="1" numFmtId="1000" quotePrefix="false">
      <alignment horizontal="left" vertical="top"/>
    </xf>
    <xf applyAlignment="true" applyBorder="true" applyFill="false" applyFont="false" applyNumberFormat="true" borderId="10309" fillId="0" fontId="1" numFmtId="1000" quotePrefix="false">
      <alignment horizontal="left" vertical="top"/>
    </xf>
    <xf applyAlignment="true" applyBorder="true" applyFill="false" applyFont="false" applyNumberFormat="true" borderId="10310" fillId="0" fontId="1" numFmtId="1000" quotePrefix="false">
      <alignment horizontal="left" vertical="top"/>
    </xf>
    <xf applyAlignment="true" applyBorder="true" applyFill="false" applyFont="false" applyNumberFormat="true" borderId="10311" fillId="0" fontId="1" numFmtId="1000" quotePrefix="false">
      <alignment horizontal="left" vertical="top"/>
    </xf>
    <xf applyAlignment="true" applyBorder="true" applyFill="false" applyFont="false" applyNumberFormat="true" borderId="10312" fillId="0" fontId="1" numFmtId="1000" quotePrefix="false">
      <alignment horizontal="left" vertical="top"/>
    </xf>
    <xf applyAlignment="true" applyBorder="true" applyFill="false" applyFont="false" applyNumberFormat="true" borderId="10313" fillId="0" fontId="1" numFmtId="1000" quotePrefix="false">
      <alignment horizontal="left" vertical="top"/>
    </xf>
    <xf applyAlignment="true" applyBorder="true" applyFill="false" applyFont="true" applyNumberFormat="true" borderId="10314" fillId="0" fontId="2" numFmtId="1001" quotePrefix="false">
      <alignment horizontal="center"/>
    </xf>
    <xf applyAlignment="true" applyBorder="true" applyFill="false" applyFont="true" applyNumberFormat="true" borderId="10315" fillId="0" fontId="2" numFmtId="1001" quotePrefix="false">
      <alignment horizontal="center"/>
    </xf>
    <xf applyAlignment="true" applyBorder="true" applyFill="false" applyFont="true" applyNumberFormat="true" borderId="10316" fillId="0" fontId="2" numFmtId="1001" quotePrefix="false">
      <alignment horizontal="center"/>
    </xf>
    <xf applyAlignment="true" applyBorder="true" applyFill="false" applyFont="false" applyNumberFormat="true" borderId="10317" fillId="0" fontId="1" numFmtId="1000" quotePrefix="false">
      <alignment horizontal="center" vertical="top"/>
    </xf>
    <xf applyAlignment="true" applyBorder="true" applyFill="false" applyFont="false" applyNumberFormat="true" borderId="10318" fillId="0" fontId="1" numFmtId="1000" quotePrefix="false">
      <alignment horizontal="center" vertical="top"/>
    </xf>
    <xf applyAlignment="true" applyBorder="true" applyFill="false" applyFont="false" applyNumberFormat="true" borderId="10319" fillId="0" fontId="1" numFmtId="1000" quotePrefix="false">
      <alignment horizontal="center" vertical="top"/>
    </xf>
    <xf applyAlignment="true" applyBorder="true" applyFill="false" applyFont="false" applyNumberFormat="true" borderId="10320" fillId="0" fontId="1" numFmtId="1000" quotePrefix="false">
      <alignment horizontal="center" vertical="top"/>
    </xf>
    <xf applyAlignment="true" applyBorder="true" applyFill="false" applyFont="false" applyNumberFormat="true" borderId="10321" fillId="0" fontId="1" numFmtId="1000" quotePrefix="false">
      <alignment horizontal="center" vertical="top"/>
    </xf>
    <xf applyAlignment="true" applyBorder="true" applyFill="false" applyFont="false" applyNumberFormat="true" borderId="10322" fillId="0" fontId="1" numFmtId="1000" quotePrefix="false">
      <alignment horizontal="center" vertical="top"/>
    </xf>
    <xf applyAlignment="true" applyBorder="true" applyFill="false" applyFont="false" applyNumberFormat="true" borderId="10323" fillId="0" fontId="1" numFmtId="1000" quotePrefix="false">
      <alignment horizontal="center" vertical="top"/>
    </xf>
    <xf applyAlignment="true" applyBorder="true" applyFill="false" applyFont="false" applyNumberFormat="true" borderId="10324" fillId="0" fontId="1" numFmtId="1000" quotePrefix="false">
      <alignment horizontal="center" vertical="top"/>
    </xf>
    <xf applyAlignment="true" applyBorder="true" applyFill="false" applyFont="false" applyNumberFormat="true" borderId="10325" fillId="0" fontId="1" numFmtId="1000" quotePrefix="false">
      <alignment horizontal="center" vertical="top"/>
    </xf>
    <xf applyAlignment="true" applyBorder="true" applyFill="false" applyFont="false" applyNumberFormat="true" borderId="10326" fillId="0" fontId="1" numFmtId="1000" quotePrefix="false">
      <alignment horizontal="center" vertical="top"/>
    </xf>
    <xf applyAlignment="true" applyBorder="true" applyFill="false" applyFont="false" applyNumberFormat="true" borderId="10327" fillId="0" fontId="1" numFmtId="1000" quotePrefix="false">
      <alignment horizontal="center" vertical="top"/>
    </xf>
    <xf applyAlignment="true" applyBorder="true" applyFill="false" applyFont="false" applyNumberFormat="true" borderId="10328" fillId="0" fontId="1" numFmtId="1000" quotePrefix="false">
      <alignment horizontal="center" vertical="top"/>
    </xf>
    <xf applyAlignment="true" applyBorder="true" applyFill="false" applyFont="false" applyNumberFormat="true" borderId="10329" fillId="0" fontId="1" numFmtId="1000" quotePrefix="false">
      <alignment horizontal="center" vertical="top"/>
    </xf>
    <xf applyAlignment="true" applyBorder="true" applyFill="false" applyFont="false" applyNumberFormat="true" borderId="10330" fillId="0" fontId="1" numFmtId="1000" quotePrefix="false">
      <alignment horizontal="center" vertical="top"/>
    </xf>
    <xf applyAlignment="true" applyBorder="true" applyFill="false" applyFont="false" applyNumberFormat="true" borderId="10331" fillId="0" fontId="1" numFmtId="1000" quotePrefix="false">
      <alignment horizontal="center" vertical="top"/>
    </xf>
    <xf applyAlignment="true" applyBorder="true" applyFill="false" applyFont="false" applyNumberFormat="true" borderId="10332" fillId="0" fontId="1" numFmtId="1000" quotePrefix="false">
      <alignment horizontal="center" vertical="top"/>
    </xf>
    <xf applyAlignment="true" applyBorder="true" applyFill="false" applyFont="false" applyNumberFormat="true" borderId="10333" fillId="0" fontId="1" numFmtId="1000" quotePrefix="false">
      <alignment horizontal="center" vertical="top"/>
    </xf>
    <xf applyAlignment="true" applyBorder="true" applyFill="false" applyFont="false" applyNumberFormat="true" borderId="10334" fillId="0" fontId="1" numFmtId="1000" quotePrefix="false">
      <alignment horizontal="center" vertical="top"/>
    </xf>
    <xf applyAlignment="true" applyBorder="true" applyFill="false" applyFont="false" applyNumberFormat="true" borderId="10335" fillId="0" fontId="1" numFmtId="1000" quotePrefix="false">
      <alignment horizontal="center" vertical="top"/>
    </xf>
    <xf applyAlignment="true" applyBorder="true" applyFill="false" applyFont="false" applyNumberFormat="true" borderId="10336" fillId="0" fontId="1" numFmtId="1000" quotePrefix="false">
      <alignment horizontal="center" vertical="top"/>
    </xf>
    <xf applyAlignment="true" applyBorder="true" applyFill="false" applyFont="false" applyNumberFormat="true" borderId="10337" fillId="0" fontId="1" numFmtId="1000" quotePrefix="false">
      <alignment horizontal="center" vertical="top"/>
    </xf>
    <xf applyAlignment="true" applyBorder="true" applyFill="false" applyFont="false" applyNumberFormat="true" borderId="10338" fillId="0" fontId="1" numFmtId="1000" quotePrefix="false">
      <alignment horizontal="center" vertical="top"/>
    </xf>
    <xf applyAlignment="true" applyBorder="true" applyFill="false" applyFont="false" applyNumberFormat="true" borderId="10339" fillId="0" fontId="1" numFmtId="1000" quotePrefix="false">
      <alignment horizontal="center" vertical="top"/>
    </xf>
    <xf applyAlignment="true" applyBorder="true" applyFill="false" applyFont="false" applyNumberFormat="true" borderId="10340" fillId="0" fontId="1" numFmtId="1000" quotePrefix="false">
      <alignment horizontal="center" vertical="top"/>
    </xf>
    <xf applyAlignment="true" applyBorder="true" applyFill="false" applyFont="false" applyNumberFormat="true" borderId="10341" fillId="0" fontId="1" numFmtId="1000" quotePrefix="false">
      <alignment horizontal="center" vertical="top"/>
    </xf>
    <xf applyAlignment="true" applyBorder="true" applyFill="false" applyFont="false" applyNumberFormat="true" borderId="10342" fillId="0" fontId="1" numFmtId="1000" quotePrefix="false">
      <alignment horizontal="center" vertical="top"/>
    </xf>
    <xf applyAlignment="true" applyBorder="true" applyFill="false" applyFont="false" applyNumberFormat="true" borderId="10343" fillId="0" fontId="1" numFmtId="1000" quotePrefix="false">
      <alignment horizontal="center" vertical="top"/>
    </xf>
    <xf applyAlignment="true" applyBorder="true" applyFill="false" applyFont="false" applyNumberFormat="true" borderId="10344" fillId="0" fontId="1" numFmtId="1000" quotePrefix="false">
      <alignment horizontal="center" vertical="top"/>
    </xf>
    <xf applyAlignment="true" applyBorder="true" applyFill="false" applyFont="false" applyNumberFormat="true" borderId="10345" fillId="0" fontId="1" numFmtId="1000" quotePrefix="false">
      <alignment horizontal="center" vertical="top"/>
    </xf>
    <xf applyAlignment="true" applyBorder="true" applyFill="false" applyFont="false" applyNumberFormat="true" borderId="10346" fillId="0" fontId="1" numFmtId="1000" quotePrefix="false">
      <alignment horizontal="center" vertical="top"/>
    </xf>
    <xf applyAlignment="true" applyBorder="true" applyFill="false" applyFont="false" applyNumberFormat="true" borderId="10347" fillId="0" fontId="1" numFmtId="1000" quotePrefix="false">
      <alignment horizontal="center" vertical="top"/>
    </xf>
    <xf applyAlignment="true" applyBorder="true" applyFill="false" applyFont="false" applyNumberFormat="true" borderId="10348" fillId="0" fontId="1" numFmtId="1000" quotePrefix="false">
      <alignment horizontal="center" vertical="top"/>
    </xf>
    <xf applyAlignment="true" applyBorder="true" applyFill="false" applyFont="false" applyNumberFormat="true" borderId="10349" fillId="0" fontId="1" numFmtId="1000" quotePrefix="false">
      <alignment horizontal="center" vertical="top"/>
    </xf>
    <xf applyAlignment="true" applyBorder="true" applyFill="false" applyFont="true" applyNumberFormat="true" borderId="10350" fillId="0" fontId="2" numFmtId="1000" quotePrefix="false">
      <alignment horizontal="center" vertical="top"/>
    </xf>
    <xf applyAlignment="true" applyBorder="true" applyFill="false" applyFont="false" applyNumberFormat="true" borderId="10351" fillId="0" fontId="1" numFmtId="1000" quotePrefix="false">
      <alignment horizontal="left" vertical="top"/>
    </xf>
    <xf applyAlignment="true" applyBorder="true" applyFill="false" applyFont="false" applyNumberFormat="true" borderId="10352" fillId="0" fontId="1" numFmtId="1000" quotePrefix="false">
      <alignment horizontal="left" vertical="top"/>
    </xf>
    <xf applyAlignment="true" applyBorder="true" applyFill="false" applyFont="false" applyNumberFormat="true" borderId="10353" fillId="0" fontId="1" numFmtId="1000" quotePrefix="false">
      <alignment horizontal="left" vertical="top"/>
    </xf>
    <xf applyAlignment="true" applyBorder="true" applyFill="false" applyFont="false" applyNumberFormat="true" borderId="10354" fillId="0" fontId="1" numFmtId="1000" quotePrefix="false">
      <alignment horizontal="left" vertical="top"/>
    </xf>
    <xf applyAlignment="true" applyBorder="true" applyFill="false" applyFont="false" applyNumberFormat="true" borderId="10355" fillId="0" fontId="1" numFmtId="1000" quotePrefix="false">
      <alignment horizontal="left" vertical="top"/>
    </xf>
    <xf applyAlignment="true" applyBorder="true" applyFill="false" applyFont="false" applyNumberFormat="true" borderId="10356" fillId="0" fontId="1" numFmtId="1000" quotePrefix="false">
      <alignment horizontal="left" vertical="top"/>
    </xf>
    <xf applyAlignment="true" applyBorder="true" applyFill="false" applyFont="false" applyNumberFormat="true" borderId="10357" fillId="0" fontId="1" numFmtId="1000" quotePrefix="false">
      <alignment horizontal="left" vertical="top"/>
    </xf>
    <xf applyAlignment="true" applyBorder="true" applyFill="false" applyFont="false" applyNumberFormat="true" borderId="10358" fillId="0" fontId="1" numFmtId="1000" quotePrefix="false">
      <alignment horizontal="left" vertical="top"/>
    </xf>
    <xf applyAlignment="true" applyBorder="true" applyFill="false" applyFont="false" applyNumberFormat="true" borderId="10359" fillId="0" fontId="1" numFmtId="1000" quotePrefix="false">
      <alignment horizontal="left" vertical="top"/>
    </xf>
    <xf applyAlignment="true" applyBorder="true" applyFill="false" applyFont="false" applyNumberFormat="true" borderId="10360" fillId="0" fontId="1" numFmtId="1000" quotePrefix="false">
      <alignment horizontal="left" vertical="top"/>
    </xf>
    <xf applyAlignment="true" applyBorder="true" applyFill="false" applyFont="false" applyNumberFormat="true" borderId="10361" fillId="0" fontId="1" numFmtId="1000" quotePrefix="false">
      <alignment horizontal="left" vertical="top"/>
    </xf>
    <xf applyAlignment="true" applyBorder="true" applyFill="false" applyFont="false" applyNumberFormat="true" borderId="10362" fillId="0" fontId="1" numFmtId="1000" quotePrefix="false">
      <alignment horizontal="left" vertical="top"/>
    </xf>
    <xf applyAlignment="true" applyBorder="true" applyFill="false" applyFont="false" applyNumberFormat="true" borderId="10363" fillId="0" fontId="1" numFmtId="1000" quotePrefix="false">
      <alignment horizontal="left" vertical="top"/>
    </xf>
    <xf applyAlignment="true" applyBorder="true" applyFill="false" applyFont="false" applyNumberFormat="true" borderId="10364" fillId="0" fontId="1" numFmtId="1000" quotePrefix="false">
      <alignment horizontal="left" vertical="top"/>
    </xf>
    <xf applyAlignment="true" applyBorder="true" applyFill="false" applyFont="false" applyNumberFormat="true" borderId="10365" fillId="0" fontId="1" numFmtId="1000" quotePrefix="false">
      <alignment horizontal="left" vertical="top"/>
    </xf>
    <xf applyAlignment="true" applyBorder="true" applyFill="false" applyFont="false" applyNumberFormat="true" borderId="10366" fillId="0" fontId="1" numFmtId="1000" quotePrefix="false">
      <alignment horizontal="left" vertical="top"/>
    </xf>
    <xf applyAlignment="true" applyBorder="true" applyFill="false" applyFont="false" applyNumberFormat="true" borderId="10367" fillId="0" fontId="1" numFmtId="1000" quotePrefix="false">
      <alignment horizontal="left" vertical="top"/>
    </xf>
    <xf applyAlignment="true" applyBorder="true" applyFill="false" applyFont="false" applyNumberFormat="true" borderId="10368" fillId="0" fontId="1" numFmtId="1000" quotePrefix="false">
      <alignment horizontal="left" vertical="top"/>
    </xf>
    <xf applyAlignment="true" applyBorder="true" applyFill="false" applyFont="false" applyNumberFormat="true" borderId="10369" fillId="0" fontId="1" numFmtId="1000" quotePrefix="false">
      <alignment horizontal="left" vertical="top"/>
    </xf>
    <xf applyAlignment="true" applyBorder="true" applyFill="false" applyFont="true" applyNumberFormat="true" borderId="10370" fillId="0" fontId="2" numFmtId="1001" quotePrefix="false">
      <alignment horizontal="center"/>
    </xf>
    <xf applyAlignment="true" applyBorder="true" applyFill="false" applyFont="true" applyNumberFormat="true" borderId="10371" fillId="0" fontId="2" numFmtId="1001" quotePrefix="false">
      <alignment horizontal="center"/>
    </xf>
    <xf applyAlignment="true" applyBorder="true" applyFill="false" applyFont="true" applyNumberFormat="true" borderId="10372" fillId="0" fontId="2" numFmtId="1001" quotePrefix="false">
      <alignment horizontal="center"/>
    </xf>
    <xf applyAlignment="true" applyBorder="true" applyFill="false" applyFont="false" applyNumberFormat="true" borderId="10373" fillId="0" fontId="1" numFmtId="1000" quotePrefix="false">
      <alignment horizontal="center" vertical="top"/>
    </xf>
    <xf applyAlignment="true" applyBorder="true" applyFill="false" applyFont="false" applyNumberFormat="true" borderId="10374" fillId="0" fontId="1" numFmtId="1000" quotePrefix="false">
      <alignment horizontal="center" vertical="top"/>
    </xf>
    <xf applyAlignment="true" applyBorder="true" applyFill="false" applyFont="false" applyNumberFormat="true" borderId="10375" fillId="0" fontId="1" numFmtId="1000" quotePrefix="false">
      <alignment horizontal="center" vertical="top"/>
    </xf>
    <xf applyAlignment="true" applyBorder="true" applyFill="false" applyFont="false" applyNumberFormat="true" borderId="10376" fillId="0" fontId="1" numFmtId="1000" quotePrefix="false">
      <alignment horizontal="center" vertical="top"/>
    </xf>
    <xf applyAlignment="true" applyBorder="true" applyFill="false" applyFont="false" applyNumberFormat="true" borderId="10377" fillId="0" fontId="1" numFmtId="1000" quotePrefix="false">
      <alignment horizontal="center" vertical="top"/>
    </xf>
    <xf applyAlignment="true" applyBorder="true" applyFill="false" applyFont="false" applyNumberFormat="true" borderId="10378" fillId="0" fontId="1" numFmtId="1000" quotePrefix="false">
      <alignment horizontal="center" vertical="top"/>
    </xf>
    <xf applyAlignment="true" applyBorder="true" applyFill="false" applyFont="false" applyNumberFormat="true" borderId="10379" fillId="0" fontId="1" numFmtId="1000" quotePrefix="false">
      <alignment horizontal="center" vertical="top"/>
    </xf>
    <xf applyAlignment="true" applyBorder="true" applyFill="false" applyFont="false" applyNumberFormat="true" borderId="10380" fillId="0" fontId="1" numFmtId="1000" quotePrefix="false">
      <alignment horizontal="center" vertical="top"/>
    </xf>
    <xf applyAlignment="true" applyBorder="true" applyFill="false" applyFont="false" applyNumberFormat="true" borderId="10381" fillId="0" fontId="1" numFmtId="1000" quotePrefix="false">
      <alignment horizontal="center" vertical="top"/>
    </xf>
    <xf applyAlignment="true" applyBorder="true" applyFill="false" applyFont="false" applyNumberFormat="true" borderId="10382" fillId="0" fontId="1" numFmtId="1000" quotePrefix="false">
      <alignment horizontal="center" vertical="top"/>
    </xf>
    <xf applyAlignment="true" applyBorder="true" applyFill="false" applyFont="false" applyNumberFormat="true" borderId="10383" fillId="0" fontId="1" numFmtId="1000" quotePrefix="false">
      <alignment horizontal="center" vertical="top"/>
    </xf>
    <xf applyAlignment="true" applyBorder="true" applyFill="false" applyFont="false" applyNumberFormat="true" borderId="10384" fillId="0" fontId="1" numFmtId="1000" quotePrefix="false">
      <alignment horizontal="center" vertical="top"/>
    </xf>
    <xf applyAlignment="true" applyBorder="true" applyFill="false" applyFont="false" applyNumberFormat="true" borderId="10385" fillId="0" fontId="1" numFmtId="1000" quotePrefix="false">
      <alignment horizontal="center" vertical="top"/>
    </xf>
    <xf applyAlignment="true" applyBorder="true" applyFill="false" applyFont="false" applyNumberFormat="true" borderId="10386" fillId="0" fontId="1" numFmtId="1000" quotePrefix="false">
      <alignment horizontal="center" vertical="top"/>
    </xf>
    <xf applyAlignment="true" applyBorder="true" applyFill="false" applyFont="false" applyNumberFormat="true" borderId="10387" fillId="0" fontId="1" numFmtId="1000" quotePrefix="false">
      <alignment horizontal="center" vertical="top"/>
    </xf>
    <xf applyAlignment="true" applyBorder="true" applyFill="false" applyFont="false" applyNumberFormat="true" borderId="10388" fillId="0" fontId="1" numFmtId="1000" quotePrefix="false">
      <alignment horizontal="center" vertical="top"/>
    </xf>
    <xf applyAlignment="true" applyBorder="true" applyFill="false" applyFont="false" applyNumberFormat="true" borderId="10389" fillId="0" fontId="1" numFmtId="1000" quotePrefix="false">
      <alignment horizontal="center" vertical="top"/>
    </xf>
    <xf applyAlignment="true" applyBorder="true" applyFill="false" applyFont="false" applyNumberFormat="true" borderId="10390" fillId="0" fontId="1" numFmtId="1000" quotePrefix="false">
      <alignment horizontal="center" vertical="top"/>
    </xf>
    <xf applyAlignment="true" applyBorder="true" applyFill="false" applyFont="false" applyNumberFormat="true" borderId="10391" fillId="0" fontId="1" numFmtId="1000" quotePrefix="false">
      <alignment horizontal="center" vertical="top"/>
    </xf>
    <xf applyAlignment="true" applyBorder="true" applyFill="false" applyFont="false" applyNumberFormat="true" borderId="10392" fillId="0" fontId="1" numFmtId="1000" quotePrefix="false">
      <alignment horizontal="center" vertical="top"/>
    </xf>
    <xf applyAlignment="true" applyBorder="true" applyFill="false" applyFont="false" applyNumberFormat="true" borderId="10393" fillId="0" fontId="1" numFmtId="1000" quotePrefix="false">
      <alignment horizontal="center" vertical="top"/>
    </xf>
    <xf applyAlignment="true" applyBorder="true" applyFill="false" applyFont="false" applyNumberFormat="true" borderId="10394" fillId="0" fontId="1" numFmtId="1000" quotePrefix="false">
      <alignment horizontal="center" vertical="top"/>
    </xf>
    <xf applyAlignment="true" applyBorder="true" applyFill="false" applyFont="false" applyNumberFormat="true" borderId="10395" fillId="0" fontId="1" numFmtId="1000" quotePrefix="false">
      <alignment horizontal="center" vertical="top"/>
    </xf>
    <xf applyAlignment="true" applyBorder="true" applyFill="false" applyFont="false" applyNumberFormat="true" borderId="10396" fillId="0" fontId="1" numFmtId="1000" quotePrefix="false">
      <alignment horizontal="center" vertical="top"/>
    </xf>
    <xf applyAlignment="true" applyBorder="true" applyFill="false" applyFont="false" applyNumberFormat="true" borderId="10397" fillId="0" fontId="1" numFmtId="1000" quotePrefix="false">
      <alignment horizontal="center" vertical="top"/>
    </xf>
    <xf applyAlignment="true" applyBorder="true" applyFill="false" applyFont="false" applyNumberFormat="true" borderId="10398" fillId="0" fontId="1" numFmtId="1000" quotePrefix="false">
      <alignment horizontal="center" vertical="top"/>
    </xf>
    <xf applyAlignment="true" applyBorder="true" applyFill="false" applyFont="false" applyNumberFormat="true" borderId="10399" fillId="0" fontId="1" numFmtId="1000" quotePrefix="false">
      <alignment horizontal="center" vertical="top"/>
    </xf>
    <xf applyAlignment="true" applyBorder="true" applyFill="false" applyFont="false" applyNumberFormat="true" borderId="10400" fillId="0" fontId="1" numFmtId="1000" quotePrefix="false">
      <alignment horizontal="center" vertical="top"/>
    </xf>
    <xf applyAlignment="true" applyBorder="true" applyFill="false" applyFont="false" applyNumberFormat="true" borderId="10401" fillId="0" fontId="1" numFmtId="1000" quotePrefix="false">
      <alignment horizontal="center" vertical="top"/>
    </xf>
    <xf applyAlignment="true" applyBorder="true" applyFill="false" applyFont="false" applyNumberFormat="true" borderId="10402" fillId="0" fontId="1" numFmtId="1000" quotePrefix="false">
      <alignment horizontal="center" vertical="top"/>
    </xf>
    <xf applyAlignment="true" applyBorder="true" applyFill="false" applyFont="false" applyNumberFormat="true" borderId="10403" fillId="0" fontId="1" numFmtId="1000" quotePrefix="false">
      <alignment horizontal="center" vertical="top"/>
    </xf>
    <xf applyAlignment="true" applyBorder="true" applyFill="false" applyFont="false" applyNumberFormat="true" borderId="10404" fillId="0" fontId="1" numFmtId="1000" quotePrefix="false">
      <alignment horizontal="center" vertical="top"/>
    </xf>
    <xf applyAlignment="true" applyBorder="true" applyFill="false" applyFont="false" applyNumberFormat="true" borderId="10405" fillId="0" fontId="1" numFmtId="1000" quotePrefix="false">
      <alignment horizontal="center" vertical="top"/>
    </xf>
    <xf applyAlignment="true" applyBorder="true" applyFill="false" applyFont="true" applyNumberFormat="true" borderId="10406" fillId="0" fontId="2" numFmtId="1000" quotePrefix="false">
      <alignment horizontal="center" vertical="top"/>
    </xf>
    <xf applyAlignment="true" applyBorder="true" applyFill="false" applyFont="false" applyNumberFormat="true" borderId="10407" fillId="0" fontId="1" numFmtId="1000" quotePrefix="false">
      <alignment horizontal="left" vertical="top"/>
    </xf>
    <xf applyAlignment="true" applyBorder="true" applyFill="false" applyFont="false" applyNumberFormat="true" borderId="10408" fillId="0" fontId="1" numFmtId="1000" quotePrefix="false">
      <alignment horizontal="left" vertical="top"/>
    </xf>
    <xf applyAlignment="true" applyBorder="true" applyFill="false" applyFont="false" applyNumberFormat="true" borderId="10409" fillId="0" fontId="1" numFmtId="1000" quotePrefix="false">
      <alignment horizontal="left" vertical="top"/>
    </xf>
    <xf applyAlignment="true" applyBorder="true" applyFill="false" applyFont="false" applyNumberFormat="true" borderId="10410" fillId="0" fontId="1" numFmtId="1000" quotePrefix="false">
      <alignment horizontal="left" vertical="top"/>
    </xf>
    <xf applyAlignment="true" applyBorder="true" applyFill="false" applyFont="false" applyNumberFormat="true" borderId="10411" fillId="0" fontId="1" numFmtId="1000" quotePrefix="false">
      <alignment horizontal="left" vertical="top"/>
    </xf>
    <xf applyAlignment="true" applyBorder="true" applyFill="false" applyFont="false" applyNumberFormat="true" borderId="10412" fillId="0" fontId="1" numFmtId="1000" quotePrefix="false">
      <alignment horizontal="left" vertical="top"/>
    </xf>
    <xf applyAlignment="true" applyBorder="true" applyFill="false" applyFont="false" applyNumberFormat="true" borderId="10413" fillId="0" fontId="1" numFmtId="1000" quotePrefix="false">
      <alignment horizontal="left" vertical="top"/>
    </xf>
    <xf applyAlignment="true" applyBorder="true" applyFill="false" applyFont="false" applyNumberFormat="true" borderId="10414" fillId="0" fontId="1" numFmtId="1000" quotePrefix="false">
      <alignment horizontal="left" vertical="top"/>
    </xf>
    <xf applyAlignment="true" applyBorder="true" applyFill="false" applyFont="false" applyNumberFormat="true" borderId="10415" fillId="0" fontId="1" numFmtId="1000" quotePrefix="false">
      <alignment horizontal="left" vertical="top"/>
    </xf>
    <xf applyAlignment="true" applyBorder="true" applyFill="false" applyFont="false" applyNumberFormat="true" borderId="10416" fillId="0" fontId="1" numFmtId="1000" quotePrefix="false">
      <alignment horizontal="left" vertical="top"/>
    </xf>
    <xf applyAlignment="true" applyBorder="true" applyFill="false" applyFont="false" applyNumberFormat="true" borderId="10417" fillId="0" fontId="1" numFmtId="1000" quotePrefix="false">
      <alignment horizontal="left" vertical="top"/>
    </xf>
    <xf applyAlignment="true" applyBorder="true" applyFill="false" applyFont="false" applyNumberFormat="true" borderId="10418" fillId="0" fontId="1" numFmtId="1000" quotePrefix="false">
      <alignment horizontal="left" vertical="top"/>
    </xf>
    <xf applyAlignment="true" applyBorder="true" applyFill="false" applyFont="false" applyNumberFormat="true" borderId="10419" fillId="0" fontId="1" numFmtId="1000" quotePrefix="false">
      <alignment horizontal="left" vertical="top"/>
    </xf>
    <xf applyAlignment="true" applyBorder="true" applyFill="false" applyFont="false" applyNumberFormat="true" borderId="10420" fillId="0" fontId="1" numFmtId="1000" quotePrefix="false">
      <alignment horizontal="left" vertical="top"/>
    </xf>
    <xf applyAlignment="true" applyBorder="true" applyFill="false" applyFont="false" applyNumberFormat="true" borderId="10421" fillId="0" fontId="1" numFmtId="1000" quotePrefix="false">
      <alignment horizontal="left" vertical="top"/>
    </xf>
    <xf applyAlignment="true" applyBorder="true" applyFill="false" applyFont="false" applyNumberFormat="true" borderId="10422" fillId="0" fontId="1" numFmtId="1000" quotePrefix="false">
      <alignment horizontal="left" vertical="top"/>
    </xf>
    <xf applyAlignment="true" applyBorder="true" applyFill="false" applyFont="false" applyNumberFormat="true" borderId="10423" fillId="0" fontId="1" numFmtId="1000" quotePrefix="false">
      <alignment horizontal="left" vertical="top"/>
    </xf>
    <xf applyAlignment="true" applyBorder="true" applyFill="false" applyFont="false" applyNumberFormat="true" borderId="10424" fillId="0" fontId="1" numFmtId="1000" quotePrefix="false">
      <alignment horizontal="left" vertical="top"/>
    </xf>
    <xf applyAlignment="true" applyBorder="true" applyFill="false" applyFont="false" applyNumberFormat="true" borderId="10425" fillId="0" fontId="1" numFmtId="1000" quotePrefix="false">
      <alignment horizontal="left" vertical="top"/>
    </xf>
    <xf applyAlignment="true" applyBorder="true" applyFill="false" applyFont="true" applyNumberFormat="true" borderId="10426" fillId="0" fontId="2" numFmtId="1001" quotePrefix="false">
      <alignment horizontal="center"/>
    </xf>
    <xf applyAlignment="true" applyBorder="true" applyFill="false" applyFont="true" applyNumberFormat="true" borderId="10427" fillId="0" fontId="2" numFmtId="1001" quotePrefix="false">
      <alignment horizontal="center"/>
    </xf>
    <xf applyAlignment="true" applyBorder="true" applyFill="false" applyFont="true" applyNumberFormat="true" borderId="10428" fillId="0" fontId="2" numFmtId="1001" quotePrefix="false">
      <alignment horizontal="center"/>
    </xf>
    <xf applyAlignment="true" applyBorder="true" applyFill="false" applyFont="false" applyNumberFormat="true" borderId="10429" fillId="0" fontId="1" numFmtId="1000" quotePrefix="false">
      <alignment horizontal="center" vertical="top"/>
    </xf>
    <xf applyAlignment="true" applyBorder="true" applyFill="false" applyFont="false" applyNumberFormat="true" borderId="10430" fillId="0" fontId="1" numFmtId="1000" quotePrefix="false">
      <alignment horizontal="center" vertical="top"/>
    </xf>
    <xf applyAlignment="true" applyBorder="true" applyFill="false" applyFont="false" applyNumberFormat="true" borderId="10431" fillId="0" fontId="1" numFmtId="1000" quotePrefix="false">
      <alignment horizontal="center" vertical="top"/>
    </xf>
    <xf applyAlignment="true" applyBorder="true" applyFill="false" applyFont="false" applyNumberFormat="true" borderId="10432" fillId="0" fontId="1" numFmtId="1000" quotePrefix="false">
      <alignment horizontal="center" vertical="top"/>
    </xf>
    <xf applyAlignment="true" applyBorder="true" applyFill="false" applyFont="false" applyNumberFormat="true" borderId="10433" fillId="0" fontId="1" numFmtId="1000" quotePrefix="false">
      <alignment horizontal="center" vertical="top"/>
    </xf>
    <xf applyAlignment="true" applyBorder="true" applyFill="false" applyFont="false" applyNumberFormat="true" borderId="10434" fillId="0" fontId="1" numFmtId="1000" quotePrefix="false">
      <alignment horizontal="center" vertical="top"/>
    </xf>
    <xf applyAlignment="true" applyBorder="true" applyFill="false" applyFont="false" applyNumberFormat="true" borderId="10435" fillId="0" fontId="1" numFmtId="1000" quotePrefix="false">
      <alignment horizontal="center" vertical="top"/>
    </xf>
    <xf applyAlignment="true" applyBorder="true" applyFill="false" applyFont="false" applyNumberFormat="true" borderId="10436" fillId="0" fontId="1" numFmtId="1000" quotePrefix="false">
      <alignment horizontal="center" vertical="top"/>
    </xf>
    <xf applyAlignment="true" applyBorder="true" applyFill="false" applyFont="false" applyNumberFormat="true" borderId="10437" fillId="0" fontId="1" numFmtId="1000" quotePrefix="false">
      <alignment horizontal="center" vertical="top"/>
    </xf>
    <xf applyAlignment="true" applyBorder="true" applyFill="false" applyFont="false" applyNumberFormat="true" borderId="10438" fillId="0" fontId="1" numFmtId="1000" quotePrefix="false">
      <alignment horizontal="center" vertical="top"/>
    </xf>
    <xf applyAlignment="true" applyBorder="true" applyFill="false" applyFont="false" applyNumberFormat="true" borderId="10439" fillId="0" fontId="1" numFmtId="1000" quotePrefix="false">
      <alignment horizontal="center" vertical="top"/>
    </xf>
    <xf applyAlignment="true" applyBorder="true" applyFill="false" applyFont="false" applyNumberFormat="true" borderId="10440" fillId="0" fontId="1" numFmtId="1000" quotePrefix="false">
      <alignment horizontal="center" vertical="top"/>
    </xf>
    <xf applyAlignment="true" applyBorder="true" applyFill="false" applyFont="false" applyNumberFormat="true" borderId="10441" fillId="0" fontId="1" numFmtId="1000" quotePrefix="false">
      <alignment horizontal="center" vertical="top"/>
    </xf>
    <xf applyAlignment="true" applyBorder="true" applyFill="false" applyFont="false" applyNumberFormat="true" borderId="10442" fillId="0" fontId="1" numFmtId="1000" quotePrefix="false">
      <alignment horizontal="center" vertical="top"/>
    </xf>
    <xf applyAlignment="true" applyBorder="true" applyFill="false" applyFont="false" applyNumberFormat="true" borderId="10443" fillId="0" fontId="1" numFmtId="1000" quotePrefix="false">
      <alignment horizontal="center" vertical="top"/>
    </xf>
    <xf applyAlignment="true" applyBorder="true" applyFill="false" applyFont="false" applyNumberFormat="true" borderId="10444" fillId="0" fontId="1" numFmtId="1000" quotePrefix="false">
      <alignment horizontal="center" vertical="top"/>
    </xf>
    <xf applyAlignment="true" applyBorder="true" applyFill="false" applyFont="false" applyNumberFormat="true" borderId="10445" fillId="0" fontId="1" numFmtId="1000" quotePrefix="false">
      <alignment horizontal="center" vertical="top"/>
    </xf>
    <xf applyAlignment="true" applyBorder="true" applyFill="false" applyFont="false" applyNumberFormat="true" borderId="10446" fillId="0" fontId="1" numFmtId="1000" quotePrefix="false">
      <alignment horizontal="center" vertical="top"/>
    </xf>
    <xf applyAlignment="true" applyBorder="true" applyFill="false" applyFont="false" applyNumberFormat="true" borderId="10447" fillId="0" fontId="1" numFmtId="1000" quotePrefix="false">
      <alignment horizontal="center" vertical="top"/>
    </xf>
    <xf applyAlignment="true" applyBorder="true" applyFill="false" applyFont="false" applyNumberFormat="true" borderId="10448" fillId="0" fontId="1" numFmtId="1000" quotePrefix="false">
      <alignment horizontal="center" vertical="top"/>
    </xf>
    <xf applyAlignment="true" applyBorder="true" applyFill="false" applyFont="false" applyNumberFormat="true" borderId="10449" fillId="0" fontId="1" numFmtId="1000" quotePrefix="false">
      <alignment horizontal="center" vertical="top"/>
    </xf>
    <xf applyAlignment="true" applyBorder="true" applyFill="false" applyFont="false" applyNumberFormat="true" borderId="10450" fillId="0" fontId="1" numFmtId="1000" quotePrefix="false">
      <alignment horizontal="center" vertical="top"/>
    </xf>
    <xf applyAlignment="true" applyBorder="true" applyFill="false" applyFont="false" applyNumberFormat="true" borderId="10451" fillId="0" fontId="1" numFmtId="1000" quotePrefix="false">
      <alignment horizontal="center" vertical="top"/>
    </xf>
    <xf applyAlignment="true" applyBorder="true" applyFill="false" applyFont="false" applyNumberFormat="true" borderId="10452" fillId="0" fontId="1" numFmtId="1000" quotePrefix="false">
      <alignment horizontal="center" vertical="top"/>
    </xf>
    <xf applyAlignment="true" applyBorder="true" applyFill="false" applyFont="false" applyNumberFormat="true" borderId="10453" fillId="0" fontId="1" numFmtId="1000" quotePrefix="false">
      <alignment horizontal="center" vertical="top"/>
    </xf>
    <xf applyAlignment="true" applyBorder="true" applyFill="false" applyFont="false" applyNumberFormat="true" borderId="10454" fillId="0" fontId="1" numFmtId="1000" quotePrefix="false">
      <alignment horizontal="center" vertical="top"/>
    </xf>
    <xf applyAlignment="true" applyBorder="true" applyFill="false" applyFont="false" applyNumberFormat="true" borderId="10455" fillId="0" fontId="1" numFmtId="1000" quotePrefix="false">
      <alignment horizontal="center" vertical="top"/>
    </xf>
    <xf applyAlignment="true" applyBorder="true" applyFill="false" applyFont="false" applyNumberFormat="true" borderId="10456" fillId="0" fontId="1" numFmtId="1000" quotePrefix="false">
      <alignment horizontal="center" vertical="top"/>
    </xf>
    <xf applyAlignment="true" applyBorder="true" applyFill="false" applyFont="false" applyNumberFormat="true" borderId="10457" fillId="0" fontId="1" numFmtId="1000" quotePrefix="false">
      <alignment horizontal="center" vertical="top"/>
    </xf>
    <xf applyAlignment="true" applyBorder="true" applyFill="false" applyFont="false" applyNumberFormat="true" borderId="10458" fillId="0" fontId="1" numFmtId="1000" quotePrefix="false">
      <alignment horizontal="center" vertical="top"/>
    </xf>
    <xf applyAlignment="true" applyBorder="true" applyFill="false" applyFont="false" applyNumberFormat="true" borderId="10459" fillId="0" fontId="1" numFmtId="1000" quotePrefix="false">
      <alignment horizontal="center" vertical="top"/>
    </xf>
    <xf applyAlignment="true" applyBorder="true" applyFill="false" applyFont="false" applyNumberFormat="true" borderId="10460" fillId="0" fontId="1" numFmtId="1000" quotePrefix="false">
      <alignment horizontal="center" vertical="top"/>
    </xf>
    <xf applyAlignment="true" applyBorder="true" applyFill="false" applyFont="false" applyNumberFormat="true" borderId="10461" fillId="0" fontId="1" numFmtId="1000" quotePrefix="false">
      <alignment horizontal="center" vertical="top"/>
    </xf>
    <xf applyAlignment="true" applyBorder="true" applyFill="false" applyFont="true" applyNumberFormat="true" borderId="10462" fillId="0" fontId="2" numFmtId="1000" quotePrefix="false">
      <alignment horizontal="center" vertical="top"/>
    </xf>
    <xf applyAlignment="true" applyBorder="true" applyFill="false" applyFont="false" applyNumberFormat="true" borderId="10463" fillId="0" fontId="1" numFmtId="1000" quotePrefix="false">
      <alignment horizontal="left" vertical="top"/>
    </xf>
    <xf applyAlignment="true" applyBorder="true" applyFill="false" applyFont="false" applyNumberFormat="true" borderId="10464" fillId="0" fontId="1" numFmtId="1000" quotePrefix="false">
      <alignment horizontal="left" vertical="top"/>
    </xf>
    <xf applyAlignment="true" applyBorder="true" applyFill="false" applyFont="false" applyNumberFormat="true" borderId="10465" fillId="0" fontId="1" numFmtId="1000" quotePrefix="false">
      <alignment horizontal="left" vertical="top"/>
    </xf>
    <xf applyAlignment="true" applyBorder="true" applyFill="false" applyFont="false" applyNumberFormat="true" borderId="10466" fillId="0" fontId="1" numFmtId="1000" quotePrefix="false">
      <alignment horizontal="left" vertical="top"/>
    </xf>
    <xf applyAlignment="true" applyBorder="true" applyFill="false" applyFont="false" applyNumberFormat="true" borderId="10467" fillId="0" fontId="1" numFmtId="1000" quotePrefix="false">
      <alignment horizontal="left" vertical="top"/>
    </xf>
    <xf applyAlignment="true" applyBorder="true" applyFill="false" applyFont="false" applyNumberFormat="true" borderId="10468" fillId="0" fontId="1" numFmtId="1000" quotePrefix="false">
      <alignment horizontal="left" vertical="top"/>
    </xf>
    <xf applyAlignment="true" applyBorder="true" applyFill="false" applyFont="false" applyNumberFormat="true" borderId="10469" fillId="0" fontId="1" numFmtId="1000" quotePrefix="false">
      <alignment horizontal="left" vertical="top"/>
    </xf>
    <xf applyAlignment="true" applyBorder="true" applyFill="false" applyFont="false" applyNumberFormat="true" borderId="10470" fillId="0" fontId="1" numFmtId="1000" quotePrefix="false">
      <alignment horizontal="left" vertical="top"/>
    </xf>
    <xf applyAlignment="true" applyBorder="true" applyFill="false" applyFont="false" applyNumberFormat="true" borderId="10471" fillId="0" fontId="1" numFmtId="1000" quotePrefix="false">
      <alignment horizontal="left" vertical="top"/>
    </xf>
    <xf applyAlignment="true" applyBorder="true" applyFill="false" applyFont="false" applyNumberFormat="true" borderId="10472" fillId="0" fontId="1" numFmtId="1000" quotePrefix="false">
      <alignment horizontal="left" vertical="top"/>
    </xf>
    <xf applyAlignment="true" applyBorder="true" applyFill="false" applyFont="false" applyNumberFormat="true" borderId="10473" fillId="0" fontId="1" numFmtId="1000" quotePrefix="false">
      <alignment horizontal="left" vertical="top"/>
    </xf>
    <xf applyAlignment="true" applyBorder="true" applyFill="false" applyFont="false" applyNumberFormat="true" borderId="10474" fillId="0" fontId="1" numFmtId="1000" quotePrefix="false">
      <alignment horizontal="left" vertical="top"/>
    </xf>
    <xf applyAlignment="true" applyBorder="true" applyFill="false" applyFont="false" applyNumberFormat="true" borderId="10475" fillId="0" fontId="1" numFmtId="1000" quotePrefix="false">
      <alignment horizontal="left" vertical="top"/>
    </xf>
    <xf applyAlignment="true" applyBorder="true" applyFill="false" applyFont="false" applyNumberFormat="true" borderId="10476" fillId="0" fontId="1" numFmtId="1000" quotePrefix="false">
      <alignment horizontal="left" vertical="top"/>
    </xf>
    <xf applyAlignment="true" applyBorder="true" applyFill="false" applyFont="false" applyNumberFormat="true" borderId="10477" fillId="0" fontId="1" numFmtId="1000" quotePrefix="false">
      <alignment horizontal="left" vertical="top"/>
    </xf>
    <xf applyAlignment="true" applyBorder="true" applyFill="false" applyFont="false" applyNumberFormat="true" borderId="10478" fillId="0" fontId="1" numFmtId="1000" quotePrefix="false">
      <alignment horizontal="left" vertical="top"/>
    </xf>
    <xf applyAlignment="true" applyBorder="true" applyFill="false" applyFont="false" applyNumberFormat="true" borderId="10479" fillId="0" fontId="1" numFmtId="1000" quotePrefix="false">
      <alignment horizontal="left" vertical="top"/>
    </xf>
    <xf applyAlignment="true" applyBorder="true" applyFill="false" applyFont="false" applyNumberFormat="true" borderId="10480" fillId="0" fontId="1" numFmtId="1000" quotePrefix="false">
      <alignment horizontal="left" vertical="top"/>
    </xf>
    <xf applyAlignment="true" applyBorder="true" applyFill="false" applyFont="false" applyNumberFormat="true" borderId="10481" fillId="0" fontId="1" numFmtId="1000" quotePrefix="false">
      <alignment horizontal="left" vertical="top"/>
    </xf>
    <xf applyAlignment="true" applyBorder="true" applyFill="false" applyFont="true" applyNumberFormat="true" borderId="10482" fillId="0" fontId="2" numFmtId="1001" quotePrefix="false">
      <alignment horizontal="center"/>
    </xf>
    <xf applyAlignment="true" applyBorder="true" applyFill="false" applyFont="true" applyNumberFormat="true" borderId="10483" fillId="0" fontId="2" numFmtId="1001" quotePrefix="false">
      <alignment horizontal="center"/>
    </xf>
    <xf applyAlignment="true" applyBorder="true" applyFill="false" applyFont="true" applyNumberFormat="true" borderId="10484" fillId="0" fontId="2" numFmtId="1001" quotePrefix="false">
      <alignment horizontal="center"/>
    </xf>
    <xf applyAlignment="true" applyBorder="true" applyFill="false" applyFont="false" applyNumberFormat="true" borderId="10485" fillId="0" fontId="1" numFmtId="1000" quotePrefix="false">
      <alignment horizontal="center" vertical="top"/>
    </xf>
    <xf applyAlignment="true" applyBorder="true" applyFill="false" applyFont="false" applyNumberFormat="true" borderId="10486" fillId="0" fontId="1" numFmtId="1000" quotePrefix="false">
      <alignment horizontal="center" vertical="top"/>
    </xf>
    <xf applyAlignment="true" applyBorder="true" applyFill="false" applyFont="false" applyNumberFormat="true" borderId="10487" fillId="0" fontId="1" numFmtId="1000" quotePrefix="false">
      <alignment horizontal="center" vertical="top"/>
    </xf>
    <xf applyAlignment="true" applyBorder="true" applyFill="false" applyFont="false" applyNumberFormat="true" borderId="10488" fillId="0" fontId="1" numFmtId="1000" quotePrefix="false">
      <alignment horizontal="center" vertical="top"/>
    </xf>
    <xf applyAlignment="true" applyBorder="true" applyFill="false" applyFont="false" applyNumberFormat="true" borderId="10489" fillId="0" fontId="1" numFmtId="1000" quotePrefix="false">
      <alignment horizontal="center" vertical="top"/>
    </xf>
    <xf applyAlignment="true" applyBorder="true" applyFill="false" applyFont="false" applyNumberFormat="true" borderId="10490" fillId="0" fontId="1" numFmtId="1000" quotePrefix="false">
      <alignment horizontal="center" vertical="top"/>
    </xf>
    <xf applyAlignment="true" applyBorder="true" applyFill="false" applyFont="false" applyNumberFormat="true" borderId="10491" fillId="0" fontId="1" numFmtId="1000" quotePrefix="false">
      <alignment horizontal="center" vertical="top"/>
    </xf>
    <xf applyAlignment="true" applyBorder="true" applyFill="false" applyFont="false" applyNumberFormat="true" borderId="10492" fillId="0" fontId="1" numFmtId="1000" quotePrefix="false">
      <alignment horizontal="center" vertical="top"/>
    </xf>
    <xf applyAlignment="true" applyBorder="true" applyFill="false" applyFont="false" applyNumberFormat="true" borderId="10493" fillId="0" fontId="1" numFmtId="1000" quotePrefix="false">
      <alignment horizontal="center" vertical="top"/>
    </xf>
    <xf applyAlignment="true" applyBorder="true" applyFill="false" applyFont="false" applyNumberFormat="true" borderId="10494" fillId="0" fontId="1" numFmtId="1000" quotePrefix="false">
      <alignment horizontal="center" vertical="top"/>
    </xf>
    <xf applyAlignment="true" applyBorder="true" applyFill="false" applyFont="false" applyNumberFormat="true" borderId="10495" fillId="0" fontId="1" numFmtId="1000" quotePrefix="false">
      <alignment horizontal="center" vertical="top"/>
    </xf>
    <xf applyAlignment="true" applyBorder="true" applyFill="false" applyFont="false" applyNumberFormat="true" borderId="10496" fillId="0" fontId="1" numFmtId="1000" quotePrefix="false">
      <alignment horizontal="center" vertical="top"/>
    </xf>
    <xf applyAlignment="true" applyBorder="true" applyFill="false" applyFont="false" applyNumberFormat="true" borderId="10497" fillId="0" fontId="1" numFmtId="1000" quotePrefix="false">
      <alignment horizontal="center" vertical="top"/>
    </xf>
    <xf applyAlignment="true" applyBorder="true" applyFill="false" applyFont="false" applyNumberFormat="true" borderId="10498" fillId="0" fontId="1" numFmtId="1000" quotePrefix="false">
      <alignment horizontal="center" vertical="top"/>
    </xf>
    <xf applyAlignment="true" applyBorder="true" applyFill="false" applyFont="false" applyNumberFormat="true" borderId="10499" fillId="0" fontId="1" numFmtId="1000" quotePrefix="false">
      <alignment horizontal="center" vertical="top"/>
    </xf>
    <xf applyAlignment="true" applyBorder="true" applyFill="false" applyFont="false" applyNumberFormat="true" borderId="10500" fillId="0" fontId="1" numFmtId="1000" quotePrefix="false">
      <alignment horizontal="center" vertical="top"/>
    </xf>
    <xf applyAlignment="true" applyBorder="true" applyFill="false" applyFont="false" applyNumberFormat="true" borderId="10501" fillId="0" fontId="1" numFmtId="1000" quotePrefix="false">
      <alignment horizontal="center" vertical="top"/>
    </xf>
    <xf applyAlignment="true" applyBorder="true" applyFill="false" applyFont="false" applyNumberFormat="true" borderId="10502" fillId="0" fontId="1" numFmtId="1000" quotePrefix="false">
      <alignment horizontal="center" vertical="top"/>
    </xf>
    <xf applyAlignment="true" applyBorder="true" applyFill="false" applyFont="false" applyNumberFormat="true" borderId="10503" fillId="0" fontId="1" numFmtId="1000" quotePrefix="false">
      <alignment horizontal="center" vertical="top"/>
    </xf>
    <xf applyAlignment="true" applyBorder="true" applyFill="false" applyFont="false" applyNumberFormat="true" borderId="10504" fillId="0" fontId="1" numFmtId="1000" quotePrefix="false">
      <alignment horizontal="center" vertical="top"/>
    </xf>
    <xf applyAlignment="true" applyBorder="true" applyFill="false" applyFont="false" applyNumberFormat="true" borderId="10505" fillId="0" fontId="1" numFmtId="1000" quotePrefix="false">
      <alignment horizontal="center" vertical="top"/>
    </xf>
    <xf applyAlignment="true" applyBorder="true" applyFill="false" applyFont="false" applyNumberFormat="true" borderId="10506" fillId="0" fontId="1" numFmtId="1000" quotePrefix="false">
      <alignment horizontal="center" vertical="top"/>
    </xf>
    <xf applyAlignment="true" applyBorder="true" applyFill="false" applyFont="false" applyNumberFormat="true" borderId="10507" fillId="0" fontId="1" numFmtId="1000" quotePrefix="false">
      <alignment horizontal="center" vertical="top"/>
    </xf>
    <xf applyAlignment="true" applyBorder="true" applyFill="false" applyFont="false" applyNumberFormat="true" borderId="10508" fillId="0" fontId="1" numFmtId="1000" quotePrefix="false">
      <alignment horizontal="center" vertical="top"/>
    </xf>
    <xf applyAlignment="true" applyBorder="true" applyFill="false" applyFont="false" applyNumberFormat="true" borderId="10509" fillId="0" fontId="1" numFmtId="1000" quotePrefix="false">
      <alignment horizontal="center" vertical="top"/>
    </xf>
    <xf applyAlignment="true" applyBorder="true" applyFill="false" applyFont="false" applyNumberFormat="true" borderId="10510" fillId="0" fontId="1" numFmtId="1000" quotePrefix="false">
      <alignment horizontal="center" vertical="top"/>
    </xf>
    <xf applyAlignment="true" applyBorder="true" applyFill="false" applyFont="false" applyNumberFormat="true" borderId="10511" fillId="0" fontId="1" numFmtId="1000" quotePrefix="false">
      <alignment horizontal="center" vertical="top"/>
    </xf>
    <xf applyAlignment="true" applyBorder="true" applyFill="false" applyFont="false" applyNumberFormat="true" borderId="10512" fillId="0" fontId="1" numFmtId="1000" quotePrefix="false">
      <alignment horizontal="center" vertical="top"/>
    </xf>
    <xf applyAlignment="true" applyBorder="true" applyFill="false" applyFont="false" applyNumberFormat="true" borderId="10513" fillId="0" fontId="1" numFmtId="1000" quotePrefix="false">
      <alignment horizontal="center" vertical="top"/>
    </xf>
    <xf applyAlignment="true" applyBorder="true" applyFill="false" applyFont="false" applyNumberFormat="true" borderId="10514" fillId="0" fontId="1" numFmtId="1000" quotePrefix="false">
      <alignment horizontal="center" vertical="top"/>
    </xf>
    <xf applyAlignment="true" applyBorder="true" applyFill="false" applyFont="false" applyNumberFormat="true" borderId="10515" fillId="0" fontId="1" numFmtId="1000" quotePrefix="false">
      <alignment horizontal="center" vertical="top"/>
    </xf>
    <xf applyAlignment="true" applyBorder="true" applyFill="false" applyFont="false" applyNumberFormat="true" borderId="10516" fillId="0" fontId="1" numFmtId="1000" quotePrefix="false">
      <alignment horizontal="center" vertical="top"/>
    </xf>
    <xf applyAlignment="true" applyBorder="true" applyFill="false" applyFont="false" applyNumberFormat="true" borderId="10517" fillId="0" fontId="1" numFmtId="1000" quotePrefix="false">
      <alignment horizontal="center" vertical="top"/>
    </xf>
    <xf applyAlignment="true" applyBorder="true" applyFill="false" applyFont="true" applyNumberFormat="true" borderId="10518" fillId="0" fontId="2" numFmtId="1000" quotePrefix="false">
      <alignment horizontal="center" vertical="top"/>
    </xf>
    <xf applyAlignment="true" applyBorder="true" applyFill="false" applyFont="false" applyNumberFormat="true" borderId="10519" fillId="0" fontId="1" numFmtId="1000" quotePrefix="false">
      <alignment horizontal="left" vertical="top"/>
    </xf>
    <xf applyAlignment="true" applyBorder="true" applyFill="false" applyFont="false" applyNumberFormat="true" borderId="10520" fillId="0" fontId="1" numFmtId="1000" quotePrefix="false">
      <alignment horizontal="left" vertical="top"/>
    </xf>
    <xf applyAlignment="true" applyBorder="true" applyFill="false" applyFont="false" applyNumberFormat="true" borderId="10521" fillId="0" fontId="1" numFmtId="1000" quotePrefix="false">
      <alignment horizontal="left" vertical="top"/>
    </xf>
    <xf applyAlignment="true" applyBorder="true" applyFill="false" applyFont="false" applyNumberFormat="true" borderId="10522" fillId="0" fontId="1" numFmtId="1000" quotePrefix="false">
      <alignment horizontal="left" vertical="top"/>
    </xf>
    <xf applyAlignment="true" applyBorder="true" applyFill="false" applyFont="false" applyNumberFormat="true" borderId="10523" fillId="0" fontId="1" numFmtId="1000" quotePrefix="false">
      <alignment horizontal="left" vertical="top"/>
    </xf>
    <xf applyAlignment="true" applyBorder="true" applyFill="false" applyFont="false" applyNumberFormat="true" borderId="10524" fillId="0" fontId="1" numFmtId="1000" quotePrefix="false">
      <alignment horizontal="left" vertical="top"/>
    </xf>
    <xf applyAlignment="true" applyBorder="true" applyFill="false" applyFont="false" applyNumberFormat="true" borderId="10525" fillId="0" fontId="1" numFmtId="1000" quotePrefix="false">
      <alignment horizontal="left" vertical="top"/>
    </xf>
    <xf applyAlignment="true" applyBorder="true" applyFill="false" applyFont="false" applyNumberFormat="true" borderId="10526" fillId="0" fontId="1" numFmtId="1000" quotePrefix="false">
      <alignment horizontal="left" vertical="top"/>
    </xf>
    <xf applyAlignment="true" applyBorder="true" applyFill="false" applyFont="false" applyNumberFormat="true" borderId="10527" fillId="0" fontId="1" numFmtId="1000" quotePrefix="false">
      <alignment horizontal="left" vertical="top"/>
    </xf>
    <xf applyAlignment="true" applyBorder="true" applyFill="false" applyFont="false" applyNumberFormat="true" borderId="10528" fillId="0" fontId="1" numFmtId="1000" quotePrefix="false">
      <alignment horizontal="left" vertical="top"/>
    </xf>
    <xf applyAlignment="true" applyBorder="true" applyFill="false" applyFont="false" applyNumberFormat="true" borderId="10529" fillId="0" fontId="1" numFmtId="1000" quotePrefix="false">
      <alignment horizontal="left" vertical="top"/>
    </xf>
    <xf applyAlignment="true" applyBorder="true" applyFill="false" applyFont="false" applyNumberFormat="true" borderId="10530" fillId="0" fontId="1" numFmtId="1000" quotePrefix="false">
      <alignment horizontal="left" vertical="top"/>
    </xf>
    <xf applyAlignment="true" applyBorder="true" applyFill="false" applyFont="false" applyNumberFormat="true" borderId="10531" fillId="0" fontId="1" numFmtId="1000" quotePrefix="false">
      <alignment horizontal="left" vertical="top"/>
    </xf>
    <xf applyAlignment="true" applyBorder="true" applyFill="false" applyFont="false" applyNumberFormat="true" borderId="10532" fillId="0" fontId="1" numFmtId="1000" quotePrefix="false">
      <alignment horizontal="left" vertical="top"/>
    </xf>
    <xf applyAlignment="true" applyBorder="true" applyFill="false" applyFont="false" applyNumberFormat="true" borderId="10533" fillId="0" fontId="1" numFmtId="1000" quotePrefix="false">
      <alignment horizontal="left" vertical="top"/>
    </xf>
    <xf applyAlignment="true" applyBorder="true" applyFill="false" applyFont="false" applyNumberFormat="true" borderId="10534" fillId="0" fontId="1" numFmtId="1000" quotePrefix="false">
      <alignment horizontal="left" vertical="top"/>
    </xf>
    <xf applyAlignment="true" applyBorder="true" applyFill="false" applyFont="false" applyNumberFormat="true" borderId="10535" fillId="0" fontId="1" numFmtId="1000" quotePrefix="false">
      <alignment horizontal="left" vertical="top"/>
    </xf>
    <xf applyAlignment="true" applyBorder="true" applyFill="false" applyFont="false" applyNumberFormat="true" borderId="10536" fillId="0" fontId="1" numFmtId="1000" quotePrefix="false">
      <alignment horizontal="left" vertical="top"/>
    </xf>
    <xf applyAlignment="true" applyBorder="true" applyFill="false" applyFont="false" applyNumberFormat="true" borderId="10537" fillId="0" fontId="1" numFmtId="1000" quotePrefix="false">
      <alignment horizontal="left" vertical="top"/>
    </xf>
    <xf applyAlignment="true" applyBorder="true" applyFill="false" applyFont="true" applyNumberFormat="true" borderId="10538" fillId="0" fontId="2" numFmtId="1001" quotePrefix="false">
      <alignment horizontal="center"/>
    </xf>
    <xf applyAlignment="true" applyBorder="true" applyFill="false" applyFont="true" applyNumberFormat="true" borderId="10539" fillId="0" fontId="2" numFmtId="1001" quotePrefix="false">
      <alignment horizontal="center"/>
    </xf>
    <xf applyAlignment="true" applyBorder="true" applyFill="false" applyFont="true" applyNumberFormat="true" borderId="10540" fillId="0" fontId="2" numFmtId="1001" quotePrefix="false">
      <alignment horizontal="center"/>
    </xf>
    <xf applyAlignment="true" applyBorder="true" applyFill="false" applyFont="false" applyNumberFormat="true" borderId="10541" fillId="0" fontId="1" numFmtId="1000" quotePrefix="false">
      <alignment horizontal="center" vertical="top"/>
    </xf>
    <xf applyAlignment="true" applyBorder="true" applyFill="false" applyFont="false" applyNumberFormat="true" borderId="10542" fillId="0" fontId="1" numFmtId="1000" quotePrefix="false">
      <alignment horizontal="center" vertical="top"/>
    </xf>
    <xf applyAlignment="true" applyBorder="true" applyFill="false" applyFont="false" applyNumberFormat="true" borderId="10543" fillId="0" fontId="1" numFmtId="1000" quotePrefix="false">
      <alignment horizontal="center" vertical="top"/>
    </xf>
    <xf applyAlignment="true" applyBorder="true" applyFill="false" applyFont="false" applyNumberFormat="true" borderId="10544" fillId="0" fontId="1" numFmtId="1000" quotePrefix="false">
      <alignment horizontal="center" vertical="top"/>
    </xf>
    <xf applyAlignment="true" applyBorder="true" applyFill="false" applyFont="false" applyNumberFormat="true" borderId="10545" fillId="0" fontId="1" numFmtId="1000" quotePrefix="false">
      <alignment horizontal="center" vertical="top"/>
    </xf>
    <xf applyAlignment="true" applyBorder="true" applyFill="false" applyFont="false" applyNumberFormat="true" borderId="10546" fillId="0" fontId="1" numFmtId="1000" quotePrefix="false">
      <alignment horizontal="center" vertical="top"/>
    </xf>
    <xf applyAlignment="true" applyBorder="true" applyFill="false" applyFont="false" applyNumberFormat="true" borderId="10547" fillId="0" fontId="1" numFmtId="1000" quotePrefix="false">
      <alignment horizontal="center" vertical="top"/>
    </xf>
    <xf applyAlignment="true" applyBorder="true" applyFill="false" applyFont="false" applyNumberFormat="true" borderId="10548" fillId="0" fontId="1" numFmtId="1000" quotePrefix="false">
      <alignment horizontal="center" vertical="top"/>
    </xf>
    <xf applyAlignment="true" applyBorder="true" applyFill="false" applyFont="false" applyNumberFormat="true" borderId="10549" fillId="0" fontId="1" numFmtId="1000" quotePrefix="false">
      <alignment horizontal="center" vertical="top"/>
    </xf>
    <xf applyAlignment="true" applyBorder="true" applyFill="false" applyFont="false" applyNumberFormat="true" borderId="10550" fillId="0" fontId="1" numFmtId="1000" quotePrefix="false">
      <alignment horizontal="center" vertical="top"/>
    </xf>
    <xf applyAlignment="true" applyBorder="true" applyFill="false" applyFont="false" applyNumberFormat="true" borderId="10551" fillId="0" fontId="1" numFmtId="1000" quotePrefix="false">
      <alignment horizontal="center" vertical="top"/>
    </xf>
    <xf applyAlignment="true" applyBorder="true" applyFill="false" applyFont="false" applyNumberFormat="true" borderId="10552" fillId="0" fontId="1" numFmtId="1000" quotePrefix="false">
      <alignment horizontal="center" vertical="top"/>
    </xf>
    <xf applyAlignment="true" applyBorder="true" applyFill="false" applyFont="false" applyNumberFormat="true" borderId="10553" fillId="0" fontId="1" numFmtId="1000" quotePrefix="false">
      <alignment horizontal="center" vertical="top"/>
    </xf>
    <xf applyAlignment="true" applyBorder="true" applyFill="false" applyFont="false" applyNumberFormat="true" borderId="10554" fillId="0" fontId="1" numFmtId="1000" quotePrefix="false">
      <alignment horizontal="center" vertical="top"/>
    </xf>
    <xf applyAlignment="true" applyBorder="true" applyFill="false" applyFont="false" applyNumberFormat="true" borderId="10555" fillId="0" fontId="1" numFmtId="1000" quotePrefix="false">
      <alignment horizontal="center" vertical="top"/>
    </xf>
    <xf applyAlignment="true" applyBorder="true" applyFill="false" applyFont="false" applyNumberFormat="true" borderId="10556" fillId="0" fontId="1" numFmtId="1000" quotePrefix="false">
      <alignment horizontal="center" vertical="top"/>
    </xf>
    <xf applyAlignment="true" applyBorder="true" applyFill="false" applyFont="false" applyNumberFormat="true" borderId="10557" fillId="0" fontId="1" numFmtId="1000" quotePrefix="false">
      <alignment horizontal="center" vertical="top"/>
    </xf>
    <xf applyAlignment="true" applyBorder="true" applyFill="false" applyFont="false" applyNumberFormat="true" borderId="10558" fillId="0" fontId="1" numFmtId="1000" quotePrefix="false">
      <alignment horizontal="center" vertical="top"/>
    </xf>
    <xf applyAlignment="true" applyBorder="true" applyFill="false" applyFont="false" applyNumberFormat="true" borderId="10559" fillId="0" fontId="1" numFmtId="1000" quotePrefix="false">
      <alignment horizontal="center" vertical="top"/>
    </xf>
    <xf applyAlignment="true" applyBorder="true" applyFill="false" applyFont="false" applyNumberFormat="true" borderId="10560" fillId="0" fontId="1" numFmtId="1000" quotePrefix="false">
      <alignment horizontal="center" vertical="top"/>
    </xf>
    <xf applyAlignment="true" applyBorder="true" applyFill="false" applyFont="false" applyNumberFormat="true" borderId="10561" fillId="0" fontId="1" numFmtId="1000" quotePrefix="false">
      <alignment horizontal="center" vertical="top"/>
    </xf>
    <xf applyAlignment="true" applyBorder="true" applyFill="false" applyFont="false" applyNumberFormat="true" borderId="10562" fillId="0" fontId="1" numFmtId="1000" quotePrefix="false">
      <alignment horizontal="center" vertical="top"/>
    </xf>
    <xf applyAlignment="true" applyBorder="true" applyFill="false" applyFont="false" applyNumberFormat="true" borderId="10563" fillId="0" fontId="1" numFmtId="1000" quotePrefix="false">
      <alignment horizontal="center" vertical="top"/>
    </xf>
    <xf applyAlignment="true" applyBorder="true" applyFill="false" applyFont="false" applyNumberFormat="true" borderId="10564" fillId="0" fontId="1" numFmtId="1000" quotePrefix="false">
      <alignment horizontal="center" vertical="top"/>
    </xf>
    <xf applyAlignment="true" applyBorder="true" applyFill="false" applyFont="false" applyNumberFormat="true" borderId="10565" fillId="0" fontId="1" numFmtId="1000" quotePrefix="false">
      <alignment horizontal="center" vertical="top"/>
    </xf>
    <xf applyAlignment="true" applyBorder="true" applyFill="false" applyFont="false" applyNumberFormat="true" borderId="10566" fillId="0" fontId="1" numFmtId="1000" quotePrefix="false">
      <alignment horizontal="center" vertical="top"/>
    </xf>
    <xf applyAlignment="true" applyBorder="true" applyFill="false" applyFont="false" applyNumberFormat="true" borderId="10567" fillId="0" fontId="1" numFmtId="1000" quotePrefix="false">
      <alignment horizontal="center" vertical="top"/>
    </xf>
    <xf applyAlignment="true" applyBorder="true" applyFill="false" applyFont="false" applyNumberFormat="true" borderId="10568" fillId="0" fontId="1" numFmtId="1000" quotePrefix="false">
      <alignment horizontal="center" vertical="top"/>
    </xf>
    <xf applyAlignment="true" applyBorder="true" applyFill="false" applyFont="false" applyNumberFormat="true" borderId="10569" fillId="0" fontId="1" numFmtId="1000" quotePrefix="false">
      <alignment horizontal="center" vertical="top"/>
    </xf>
    <xf applyAlignment="true" applyBorder="true" applyFill="false" applyFont="false" applyNumberFormat="true" borderId="10570" fillId="0" fontId="1" numFmtId="1000" quotePrefix="false">
      <alignment horizontal="center" vertical="top"/>
    </xf>
    <xf applyAlignment="true" applyBorder="true" applyFill="false" applyFont="false" applyNumberFormat="true" borderId="10571" fillId="0" fontId="1" numFmtId="1000" quotePrefix="false">
      <alignment horizontal="center" vertical="top"/>
    </xf>
    <xf applyAlignment="true" applyBorder="true" applyFill="false" applyFont="false" applyNumberFormat="true" borderId="10572" fillId="0" fontId="1" numFmtId="1000" quotePrefix="false">
      <alignment horizontal="center" vertical="top"/>
    </xf>
    <xf applyAlignment="true" applyBorder="true" applyFill="false" applyFont="false" applyNumberFormat="true" borderId="10573" fillId="0" fontId="1" numFmtId="1000" quotePrefix="false">
      <alignment horizontal="center" vertical="top"/>
    </xf>
    <xf applyAlignment="true" applyBorder="true" applyFill="false" applyFont="true" applyNumberFormat="true" borderId="10574" fillId="0" fontId="2" numFmtId="1000" quotePrefix="false">
      <alignment horizontal="center" vertical="top"/>
    </xf>
    <xf applyAlignment="true" applyBorder="true" applyFill="false" applyFont="false" applyNumberFormat="true" borderId="10575" fillId="0" fontId="1" numFmtId="1000" quotePrefix="false">
      <alignment horizontal="left" vertical="top"/>
    </xf>
    <xf applyAlignment="true" applyBorder="true" applyFill="false" applyFont="false" applyNumberFormat="true" borderId="10576" fillId="0" fontId="1" numFmtId="1000" quotePrefix="false">
      <alignment horizontal="left" vertical="top"/>
    </xf>
    <xf applyAlignment="true" applyBorder="true" applyFill="false" applyFont="false" applyNumberFormat="true" borderId="10577" fillId="0" fontId="1" numFmtId="1000" quotePrefix="false">
      <alignment horizontal="left" vertical="top"/>
    </xf>
    <xf applyAlignment="true" applyBorder="true" applyFill="false" applyFont="false" applyNumberFormat="true" borderId="10578" fillId="0" fontId="1" numFmtId="1000" quotePrefix="false">
      <alignment horizontal="left" vertical="top"/>
    </xf>
    <xf applyAlignment="true" applyBorder="true" applyFill="false" applyFont="false" applyNumberFormat="true" borderId="10579" fillId="0" fontId="1" numFmtId="1000" quotePrefix="false">
      <alignment horizontal="left" vertical="top"/>
    </xf>
    <xf applyAlignment="true" applyBorder="true" applyFill="false" applyFont="false" applyNumberFormat="true" borderId="10580" fillId="0" fontId="1" numFmtId="1000" quotePrefix="false">
      <alignment horizontal="left" vertical="top"/>
    </xf>
    <xf applyAlignment="true" applyBorder="true" applyFill="false" applyFont="false" applyNumberFormat="true" borderId="10581" fillId="0" fontId="1" numFmtId="1000" quotePrefix="false">
      <alignment horizontal="left" vertical="top"/>
    </xf>
    <xf applyAlignment="true" applyBorder="true" applyFill="false" applyFont="false" applyNumberFormat="true" borderId="10582" fillId="0" fontId="1" numFmtId="1000" quotePrefix="false">
      <alignment horizontal="left" vertical="top"/>
    </xf>
    <xf applyAlignment="true" applyBorder="true" applyFill="false" applyFont="false" applyNumberFormat="true" borderId="10583" fillId="0" fontId="1" numFmtId="1000" quotePrefix="false">
      <alignment horizontal="left" vertical="top"/>
    </xf>
    <xf applyAlignment="true" applyBorder="true" applyFill="false" applyFont="false" applyNumberFormat="true" borderId="10584" fillId="0" fontId="1" numFmtId="1000" quotePrefix="false">
      <alignment horizontal="left" vertical="top"/>
    </xf>
    <xf applyAlignment="true" applyBorder="true" applyFill="false" applyFont="false" applyNumberFormat="true" borderId="10585" fillId="0" fontId="1" numFmtId="1000" quotePrefix="false">
      <alignment horizontal="left" vertical="top"/>
    </xf>
    <xf applyAlignment="true" applyBorder="true" applyFill="false" applyFont="false" applyNumberFormat="true" borderId="10586" fillId="0" fontId="1" numFmtId="1000" quotePrefix="false">
      <alignment horizontal="left" vertical="top"/>
    </xf>
    <xf applyAlignment="true" applyBorder="true" applyFill="false" applyFont="false" applyNumberFormat="true" borderId="10587" fillId="0" fontId="1" numFmtId="1000" quotePrefix="false">
      <alignment horizontal="left" vertical="top"/>
    </xf>
    <xf applyAlignment="true" applyBorder="true" applyFill="false" applyFont="false" applyNumberFormat="true" borderId="10588" fillId="0" fontId="1" numFmtId="1000" quotePrefix="false">
      <alignment horizontal="left" vertical="top"/>
    </xf>
    <xf applyAlignment="true" applyBorder="true" applyFill="false" applyFont="false" applyNumberFormat="true" borderId="10589" fillId="0" fontId="1" numFmtId="1000" quotePrefix="false">
      <alignment horizontal="left" vertical="top"/>
    </xf>
    <xf applyAlignment="true" applyBorder="true" applyFill="false" applyFont="false" applyNumberFormat="true" borderId="10590" fillId="0" fontId="1" numFmtId="1000" quotePrefix="false">
      <alignment horizontal="left" vertical="top"/>
    </xf>
    <xf applyAlignment="true" applyBorder="true" applyFill="false" applyFont="false" applyNumberFormat="true" borderId="10591" fillId="0" fontId="1" numFmtId="1000" quotePrefix="false">
      <alignment horizontal="left" vertical="top"/>
    </xf>
    <xf applyAlignment="true" applyBorder="true" applyFill="false" applyFont="false" applyNumberFormat="true" borderId="10592" fillId="0" fontId="1" numFmtId="1000" quotePrefix="false">
      <alignment horizontal="left" vertical="top"/>
    </xf>
    <xf applyAlignment="true" applyBorder="true" applyFill="false" applyFont="false" applyNumberFormat="true" borderId="10593" fillId="0" fontId="1" numFmtId="1000" quotePrefix="false">
      <alignment horizontal="left" vertical="top"/>
    </xf>
    <xf applyAlignment="true" applyBorder="true" applyFill="false" applyFont="true" applyNumberFormat="true" borderId="10594" fillId="0" fontId="2" numFmtId="1001" quotePrefix="false">
      <alignment horizontal="center"/>
    </xf>
    <xf applyAlignment="true" applyBorder="true" applyFill="false" applyFont="true" applyNumberFormat="true" borderId="10595" fillId="0" fontId="2" numFmtId="1001" quotePrefix="false">
      <alignment horizontal="center"/>
    </xf>
    <xf applyAlignment="true" applyBorder="true" applyFill="false" applyFont="true" applyNumberFormat="true" borderId="10596" fillId="0" fontId="2" numFmtId="1001" quotePrefix="false">
      <alignment horizontal="center"/>
    </xf>
    <xf applyAlignment="true" applyBorder="true" applyFill="false" applyFont="false" applyNumberFormat="true" borderId="10597" fillId="0" fontId="1" numFmtId="1000" quotePrefix="false">
      <alignment horizontal="center" vertical="top"/>
    </xf>
    <xf applyAlignment="true" applyBorder="true" applyFill="false" applyFont="false" applyNumberFormat="true" borderId="10598" fillId="0" fontId="1" numFmtId="1000" quotePrefix="false">
      <alignment horizontal="center" vertical="top"/>
    </xf>
    <xf applyAlignment="true" applyBorder="true" applyFill="false" applyFont="false" applyNumberFormat="true" borderId="10599" fillId="0" fontId="1" numFmtId="1000" quotePrefix="false">
      <alignment horizontal="center" vertical="top"/>
    </xf>
    <xf applyAlignment="true" applyBorder="true" applyFill="false" applyFont="false" applyNumberFormat="true" borderId="10600" fillId="0" fontId="1" numFmtId="1000" quotePrefix="false">
      <alignment horizontal="center" vertical="top"/>
    </xf>
    <xf applyAlignment="true" applyBorder="true" applyFill="false" applyFont="false" applyNumberFormat="true" borderId="10601" fillId="0" fontId="1" numFmtId="1000" quotePrefix="false">
      <alignment horizontal="center" vertical="top"/>
    </xf>
    <xf applyAlignment="true" applyBorder="true" applyFill="false" applyFont="false" applyNumberFormat="true" borderId="10602" fillId="0" fontId="1" numFmtId="1000" quotePrefix="false">
      <alignment horizontal="center" vertical="top"/>
    </xf>
    <xf applyAlignment="true" applyBorder="true" applyFill="false" applyFont="false" applyNumberFormat="true" borderId="10603" fillId="0" fontId="1" numFmtId="1000" quotePrefix="false">
      <alignment horizontal="center" vertical="top"/>
    </xf>
    <xf applyAlignment="true" applyBorder="true" applyFill="false" applyFont="false" applyNumberFormat="true" borderId="10604" fillId="0" fontId="1" numFmtId="1000" quotePrefix="false">
      <alignment horizontal="center" vertical="top"/>
    </xf>
    <xf applyAlignment="true" applyBorder="true" applyFill="false" applyFont="false" applyNumberFormat="true" borderId="10605" fillId="0" fontId="1" numFmtId="1000" quotePrefix="false">
      <alignment horizontal="center" vertical="top"/>
    </xf>
    <xf applyAlignment="true" applyBorder="true" applyFill="false" applyFont="false" applyNumberFormat="true" borderId="10606" fillId="0" fontId="1" numFmtId="1000" quotePrefix="false">
      <alignment horizontal="center" vertical="top"/>
    </xf>
    <xf applyAlignment="true" applyBorder="true" applyFill="false" applyFont="false" applyNumberFormat="true" borderId="10607" fillId="0" fontId="1" numFmtId="1000" quotePrefix="false">
      <alignment horizontal="center" vertical="top"/>
    </xf>
    <xf applyAlignment="true" applyBorder="true" applyFill="false" applyFont="false" applyNumberFormat="true" borderId="10608" fillId="0" fontId="1" numFmtId="1000" quotePrefix="false">
      <alignment horizontal="center" vertical="top"/>
    </xf>
    <xf applyAlignment="true" applyBorder="true" applyFill="false" applyFont="false" applyNumberFormat="true" borderId="10609" fillId="0" fontId="1" numFmtId="1000" quotePrefix="false">
      <alignment horizontal="center" vertical="top"/>
    </xf>
    <xf applyAlignment="true" applyBorder="true" applyFill="false" applyFont="false" applyNumberFormat="true" borderId="10610" fillId="0" fontId="1" numFmtId="1000" quotePrefix="false">
      <alignment horizontal="center" vertical="top"/>
    </xf>
    <xf applyAlignment="true" applyBorder="true" applyFill="false" applyFont="false" applyNumberFormat="true" borderId="10611" fillId="0" fontId="1" numFmtId="1000" quotePrefix="false">
      <alignment horizontal="center" vertical="top"/>
    </xf>
    <xf applyAlignment="true" applyBorder="true" applyFill="false" applyFont="false" applyNumberFormat="true" borderId="10612" fillId="0" fontId="1" numFmtId="1000" quotePrefix="false">
      <alignment horizontal="center" vertical="top"/>
    </xf>
    <xf applyAlignment="true" applyBorder="true" applyFill="false" applyFont="false" applyNumberFormat="true" borderId="10613" fillId="0" fontId="1" numFmtId="1000" quotePrefix="false">
      <alignment horizontal="center" vertical="top"/>
    </xf>
    <xf applyAlignment="true" applyBorder="true" applyFill="false" applyFont="false" applyNumberFormat="true" borderId="10614" fillId="0" fontId="1" numFmtId="1000" quotePrefix="false">
      <alignment horizontal="center" vertical="top"/>
    </xf>
    <xf applyAlignment="true" applyBorder="true" applyFill="false" applyFont="false" applyNumberFormat="true" borderId="10615" fillId="0" fontId="1" numFmtId="1000" quotePrefix="false">
      <alignment horizontal="center" vertical="top"/>
    </xf>
    <xf applyAlignment="true" applyBorder="true" applyFill="false" applyFont="false" applyNumberFormat="true" borderId="10616" fillId="0" fontId="1" numFmtId="1000" quotePrefix="false">
      <alignment horizontal="center" vertical="top"/>
    </xf>
    <xf applyAlignment="true" applyBorder="true" applyFill="false" applyFont="false" applyNumberFormat="true" borderId="10617" fillId="0" fontId="1" numFmtId="1000" quotePrefix="false">
      <alignment horizontal="center" vertical="top"/>
    </xf>
    <xf applyAlignment="true" applyBorder="true" applyFill="false" applyFont="false" applyNumberFormat="true" borderId="10618" fillId="0" fontId="1" numFmtId="1000" quotePrefix="false">
      <alignment horizontal="center" vertical="top"/>
    </xf>
    <xf applyAlignment="true" applyBorder="true" applyFill="false" applyFont="false" applyNumberFormat="true" borderId="10619" fillId="0" fontId="1" numFmtId="1000" quotePrefix="false">
      <alignment horizontal="center" vertical="top"/>
    </xf>
    <xf applyAlignment="true" applyBorder="true" applyFill="false" applyFont="false" applyNumberFormat="true" borderId="10620" fillId="0" fontId="1" numFmtId="1000" quotePrefix="false">
      <alignment horizontal="center" vertical="top"/>
    </xf>
    <xf applyAlignment="true" applyBorder="true" applyFill="false" applyFont="false" applyNumberFormat="true" borderId="10621" fillId="0" fontId="1" numFmtId="1000" quotePrefix="false">
      <alignment horizontal="center" vertical="top"/>
    </xf>
    <xf applyAlignment="true" applyBorder="true" applyFill="false" applyFont="false" applyNumberFormat="true" borderId="10622" fillId="0" fontId="1" numFmtId="1000" quotePrefix="false">
      <alignment horizontal="center" vertical="top"/>
    </xf>
    <xf applyAlignment="true" applyBorder="true" applyFill="false" applyFont="false" applyNumberFormat="true" borderId="10623" fillId="0" fontId="1" numFmtId="1000" quotePrefix="false">
      <alignment horizontal="center" vertical="top"/>
    </xf>
    <xf applyAlignment="true" applyBorder="true" applyFill="false" applyFont="false" applyNumberFormat="true" borderId="10624" fillId="0" fontId="1" numFmtId="1000" quotePrefix="false">
      <alignment horizontal="center" vertical="top"/>
    </xf>
    <xf applyAlignment="true" applyBorder="true" applyFill="false" applyFont="false" applyNumberFormat="true" borderId="10625" fillId="0" fontId="1" numFmtId="1000" quotePrefix="false">
      <alignment horizontal="center" vertical="top"/>
    </xf>
    <xf applyAlignment="true" applyBorder="true" applyFill="false" applyFont="false" applyNumberFormat="true" borderId="10626" fillId="0" fontId="1" numFmtId="1000" quotePrefix="false">
      <alignment horizontal="center" vertical="top"/>
    </xf>
    <xf applyAlignment="true" applyBorder="true" applyFill="false" applyFont="true" applyNumberFormat="true" borderId="10627" fillId="0" fontId="2" numFmtId="1000" quotePrefix="false">
      <alignment horizontal="center" vertical="top"/>
    </xf>
    <xf applyAlignment="true" applyBorder="true" applyFill="false" applyFont="false" applyNumberFormat="true" borderId="10628" fillId="0" fontId="1" numFmtId="1000" quotePrefix="false">
      <alignment horizontal="left" vertical="top"/>
    </xf>
    <xf applyAlignment="true" applyBorder="true" applyFill="false" applyFont="false" applyNumberFormat="true" borderId="10629" fillId="0" fontId="1" numFmtId="1000" quotePrefix="false">
      <alignment horizontal="left" vertical="top"/>
    </xf>
    <xf applyAlignment="true" applyBorder="true" applyFill="false" applyFont="false" applyNumberFormat="true" borderId="10630" fillId="0" fontId="1" numFmtId="1000" quotePrefix="false">
      <alignment horizontal="left" vertical="top"/>
    </xf>
    <xf applyAlignment="true" applyBorder="true" applyFill="false" applyFont="false" applyNumberFormat="true" borderId="10631" fillId="0" fontId="1" numFmtId="1000" quotePrefix="false">
      <alignment horizontal="left" vertical="top"/>
    </xf>
    <xf applyAlignment="true" applyBorder="true" applyFill="false" applyFont="false" applyNumberFormat="true" borderId="10632" fillId="0" fontId="1" numFmtId="1000" quotePrefix="false">
      <alignment horizontal="left" vertical="top"/>
    </xf>
    <xf applyAlignment="true" applyBorder="true" applyFill="false" applyFont="false" applyNumberFormat="true" borderId="10633" fillId="0" fontId="1" numFmtId="1000" quotePrefix="false">
      <alignment horizontal="left" vertical="top"/>
    </xf>
    <xf applyAlignment="true" applyBorder="true" applyFill="false" applyFont="false" applyNumberFormat="true" borderId="10634" fillId="0" fontId="1" numFmtId="1000" quotePrefix="false">
      <alignment horizontal="left" vertical="top"/>
    </xf>
    <xf applyAlignment="true" applyBorder="true" applyFill="false" applyFont="false" applyNumberFormat="true" borderId="10635" fillId="0" fontId="1" numFmtId="1000" quotePrefix="false">
      <alignment horizontal="left" vertical="top"/>
    </xf>
    <xf applyAlignment="true" applyBorder="true" applyFill="false" applyFont="false" applyNumberFormat="true" borderId="10636" fillId="0" fontId="1" numFmtId="1000" quotePrefix="false">
      <alignment horizontal="left" vertical="top"/>
    </xf>
    <xf applyAlignment="true" applyBorder="true" applyFill="false" applyFont="false" applyNumberFormat="true" borderId="10637" fillId="0" fontId="1" numFmtId="1000" quotePrefix="false">
      <alignment horizontal="left" vertical="top"/>
    </xf>
    <xf applyAlignment="true" applyBorder="true" applyFill="false" applyFont="false" applyNumberFormat="true" borderId="10638" fillId="0" fontId="1" numFmtId="1000" quotePrefix="false">
      <alignment horizontal="left" vertical="top"/>
    </xf>
    <xf applyAlignment="true" applyBorder="true" applyFill="false" applyFont="false" applyNumberFormat="true" borderId="10639" fillId="0" fontId="1" numFmtId="1000" quotePrefix="false">
      <alignment horizontal="left" vertical="top"/>
    </xf>
    <xf applyAlignment="true" applyBorder="true" applyFill="false" applyFont="false" applyNumberFormat="true" borderId="10640" fillId="0" fontId="1" numFmtId="1000" quotePrefix="false">
      <alignment horizontal="left" vertical="top"/>
    </xf>
    <xf applyAlignment="true" applyBorder="true" applyFill="false" applyFont="false" applyNumberFormat="true" borderId="10641" fillId="0" fontId="1" numFmtId="1000" quotePrefix="false">
      <alignment horizontal="left" vertical="top"/>
    </xf>
    <xf applyAlignment="true" applyBorder="true" applyFill="false" applyFont="false" applyNumberFormat="true" borderId="10642" fillId="0" fontId="1" numFmtId="1000" quotePrefix="false">
      <alignment horizontal="left" vertical="top"/>
    </xf>
    <xf applyAlignment="true" applyBorder="true" applyFill="false" applyFont="false" applyNumberFormat="true" borderId="10643" fillId="0" fontId="1" numFmtId="1000" quotePrefix="false">
      <alignment horizontal="left" vertical="top"/>
    </xf>
    <xf applyAlignment="true" applyBorder="true" applyFill="false" applyFont="false" applyNumberFormat="true" borderId="10644" fillId="0" fontId="1" numFmtId="1000" quotePrefix="false">
      <alignment horizontal="left" vertical="top"/>
    </xf>
    <xf applyAlignment="true" applyBorder="true" applyFill="false" applyFont="false" applyNumberFormat="true" borderId="10645" fillId="0" fontId="1" numFmtId="1000" quotePrefix="false">
      <alignment horizontal="left" vertical="top"/>
    </xf>
    <xf applyAlignment="true" applyBorder="true" applyFill="false" applyFont="false" applyNumberFormat="true" borderId="10646" fillId="0" fontId="1" numFmtId="1000" quotePrefix="false">
      <alignment horizontal="left" vertical="top"/>
    </xf>
    <xf applyAlignment="true" applyBorder="true" applyFill="false" applyFont="true" applyNumberFormat="true" borderId="10647" fillId="0" fontId="2" numFmtId="1001" quotePrefix="false">
      <alignment horizontal="center"/>
    </xf>
    <xf applyAlignment="true" applyBorder="true" applyFill="false" applyFont="true" applyNumberFormat="true" borderId="10648" fillId="0" fontId="2" numFmtId="1001" quotePrefix="false">
      <alignment horizontal="center"/>
    </xf>
    <xf applyAlignment="true" applyBorder="true" applyFill="false" applyFont="true" applyNumberFormat="true" borderId="10649" fillId="0" fontId="2" numFmtId="1001" quotePrefix="false">
      <alignment horizontal="center"/>
    </xf>
    <xf applyAlignment="true" applyBorder="true" applyFill="false" applyFont="false" applyNumberFormat="true" borderId="10650" fillId="0" fontId="1" numFmtId="1000" quotePrefix="false">
      <alignment horizontal="center" vertical="top"/>
    </xf>
    <xf applyAlignment="true" applyBorder="true" applyFill="false" applyFont="false" applyNumberFormat="true" borderId="10651" fillId="0" fontId="1" numFmtId="1000" quotePrefix="false">
      <alignment horizontal="center" vertical="top"/>
    </xf>
    <xf applyAlignment="true" applyBorder="true" applyFill="false" applyFont="false" applyNumberFormat="true" borderId="10652" fillId="0" fontId="1" numFmtId="1000" quotePrefix="false">
      <alignment horizontal="center" vertical="top"/>
    </xf>
    <xf applyAlignment="true" applyBorder="true" applyFill="false" applyFont="false" applyNumberFormat="true" borderId="10653" fillId="0" fontId="1" numFmtId="1000" quotePrefix="false">
      <alignment horizontal="center" vertical="top"/>
    </xf>
    <xf applyAlignment="true" applyBorder="true" applyFill="false" applyFont="false" applyNumberFormat="true" borderId="10654" fillId="0" fontId="1" numFmtId="1000" quotePrefix="false">
      <alignment horizontal="center" vertical="top"/>
    </xf>
    <xf applyAlignment="true" applyBorder="true" applyFill="false" applyFont="false" applyNumberFormat="true" borderId="10655" fillId="0" fontId="1" numFmtId="1000" quotePrefix="false">
      <alignment horizontal="center" vertical="top"/>
    </xf>
    <xf applyAlignment="true" applyBorder="true" applyFill="false" applyFont="false" applyNumberFormat="true" borderId="10656" fillId="0" fontId="1" numFmtId="1000" quotePrefix="false">
      <alignment horizontal="center" vertical="top"/>
    </xf>
    <xf applyAlignment="true" applyBorder="true" applyFill="false" applyFont="false" applyNumberFormat="true" borderId="10657" fillId="0" fontId="1" numFmtId="1000" quotePrefix="false">
      <alignment horizontal="center" vertical="top"/>
    </xf>
    <xf applyAlignment="true" applyBorder="true" applyFill="false" applyFont="false" applyNumberFormat="true" borderId="10658" fillId="0" fontId="1" numFmtId="1000" quotePrefix="false">
      <alignment horizontal="center" vertical="top"/>
    </xf>
    <xf applyAlignment="true" applyBorder="true" applyFill="false" applyFont="false" applyNumberFormat="true" borderId="10659" fillId="0" fontId="1" numFmtId="1000" quotePrefix="false">
      <alignment horizontal="center" vertical="top"/>
    </xf>
    <xf applyAlignment="true" applyBorder="true" applyFill="false" applyFont="false" applyNumberFormat="true" borderId="10660" fillId="0" fontId="1" numFmtId="1000" quotePrefix="false">
      <alignment horizontal="center" vertical="top"/>
    </xf>
    <xf applyAlignment="true" applyBorder="true" applyFill="false" applyFont="false" applyNumberFormat="true" borderId="10661" fillId="0" fontId="1" numFmtId="1000" quotePrefix="false">
      <alignment horizontal="center" vertical="top"/>
    </xf>
    <xf applyAlignment="true" applyBorder="true" applyFill="false" applyFont="false" applyNumberFormat="true" borderId="10662" fillId="0" fontId="1" numFmtId="1000" quotePrefix="false">
      <alignment horizontal="center" vertical="top"/>
    </xf>
    <xf applyAlignment="true" applyBorder="true" applyFill="false" applyFont="false" applyNumberFormat="true" borderId="10663" fillId="0" fontId="1" numFmtId="1000" quotePrefix="false">
      <alignment horizontal="center" vertical="top"/>
    </xf>
    <xf applyAlignment="true" applyBorder="true" applyFill="false" applyFont="false" applyNumberFormat="true" borderId="10664" fillId="0" fontId="1" numFmtId="1000" quotePrefix="false">
      <alignment horizontal="center" vertical="top"/>
    </xf>
    <xf applyAlignment="true" applyBorder="true" applyFill="false" applyFont="false" applyNumberFormat="true" borderId="10665" fillId="0" fontId="1" numFmtId="1000" quotePrefix="false">
      <alignment horizontal="center" vertical="top"/>
    </xf>
    <xf applyAlignment="true" applyBorder="true" applyFill="false" applyFont="false" applyNumberFormat="true" borderId="10666" fillId="0" fontId="1" numFmtId="1000" quotePrefix="false">
      <alignment horizontal="center" vertical="top"/>
    </xf>
    <xf applyAlignment="true" applyBorder="true" applyFill="false" applyFont="false" applyNumberFormat="true" borderId="10667" fillId="0" fontId="1" numFmtId="1000" quotePrefix="false">
      <alignment horizontal="center" vertical="top"/>
    </xf>
    <xf applyAlignment="true" applyBorder="true" applyFill="false" applyFont="false" applyNumberFormat="true" borderId="10668" fillId="0" fontId="1" numFmtId="1000" quotePrefix="false">
      <alignment horizontal="center" vertical="top"/>
    </xf>
    <xf applyAlignment="true" applyBorder="true" applyFill="false" applyFont="false" applyNumberFormat="true" borderId="10669" fillId="0" fontId="1" numFmtId="1000" quotePrefix="false">
      <alignment horizontal="center" vertical="top"/>
    </xf>
    <xf applyAlignment="true" applyBorder="true" applyFill="false" applyFont="false" applyNumberFormat="true" borderId="10670" fillId="0" fontId="1" numFmtId="1000" quotePrefix="false">
      <alignment horizontal="center" vertical="top"/>
    </xf>
    <xf applyAlignment="true" applyBorder="true" applyFill="false" applyFont="false" applyNumberFormat="true" borderId="10671" fillId="0" fontId="1" numFmtId="1000" quotePrefix="false">
      <alignment horizontal="center" vertical="top"/>
    </xf>
    <xf applyAlignment="true" applyBorder="true" applyFill="false" applyFont="false" applyNumberFormat="true" borderId="10672" fillId="0" fontId="1" numFmtId="1000" quotePrefix="false">
      <alignment horizontal="center" vertical="top"/>
    </xf>
    <xf applyAlignment="true" applyBorder="true" applyFill="false" applyFont="false" applyNumberFormat="true" borderId="10673" fillId="0" fontId="1" numFmtId="1000" quotePrefix="false">
      <alignment horizontal="center" vertical="top"/>
    </xf>
    <xf applyAlignment="true" applyBorder="true" applyFill="false" applyFont="false" applyNumberFormat="true" borderId="10674" fillId="0" fontId="1" numFmtId="1000" quotePrefix="false">
      <alignment horizontal="center" vertical="top"/>
    </xf>
    <xf applyAlignment="true" applyBorder="true" applyFill="false" applyFont="false" applyNumberFormat="true" borderId="10675" fillId="0" fontId="1" numFmtId="1000" quotePrefix="false">
      <alignment horizontal="center" vertical="top"/>
    </xf>
    <xf applyAlignment="true" applyBorder="true" applyFill="false" applyFont="false" applyNumberFormat="true" borderId="10676" fillId="0" fontId="1" numFmtId="1000" quotePrefix="false">
      <alignment horizontal="center" vertical="top"/>
    </xf>
    <xf applyAlignment="true" applyBorder="true" applyFill="false" applyFont="false" applyNumberFormat="true" borderId="10677" fillId="0" fontId="1" numFmtId="1000" quotePrefix="false">
      <alignment horizontal="center" vertical="top"/>
    </xf>
    <xf applyAlignment="true" applyBorder="true" applyFill="false" applyFont="false" applyNumberFormat="true" borderId="10678" fillId="0" fontId="1" numFmtId="1000" quotePrefix="false">
      <alignment horizontal="center" vertical="top"/>
    </xf>
    <xf applyAlignment="true" applyBorder="true" applyFill="false" applyFont="false" applyNumberFormat="true" borderId="10679" fillId="0" fontId="1" numFmtId="1000" quotePrefix="false">
      <alignment horizontal="center" vertical="top"/>
    </xf>
    <xf applyAlignment="true" applyBorder="true" applyFill="false" applyFont="false" applyNumberFormat="true" borderId="10680" fillId="0" fontId="1" numFmtId="1000" quotePrefix="false">
      <alignment horizontal="center" vertical="top"/>
    </xf>
    <xf applyAlignment="true" applyBorder="true" applyFill="false" applyFont="false" applyNumberFormat="true" borderId="10681" fillId="0" fontId="1" numFmtId="1000" quotePrefix="false">
      <alignment horizontal="center" vertical="top"/>
    </xf>
    <xf applyAlignment="true" applyBorder="true" applyFill="false" applyFont="false" applyNumberFormat="true" borderId="10682" fillId="0" fontId="1" numFmtId="1000" quotePrefix="false">
      <alignment horizontal="center" vertical="top"/>
    </xf>
    <xf applyAlignment="true" applyBorder="true" applyFill="false" applyFont="true" applyNumberFormat="true" borderId="10683" fillId="0" fontId="2" numFmtId="1000" quotePrefix="false">
      <alignment horizontal="center" vertical="top"/>
    </xf>
    <xf applyAlignment="true" applyBorder="true" applyFill="false" applyFont="true" applyNumberFormat="true" borderId="10684" fillId="0" fontId="2" numFmtId="1001" quotePrefix="false">
      <alignment horizontal="center"/>
    </xf>
    <xf applyAlignment="true" applyBorder="true" applyFill="false" applyFont="true" applyNumberFormat="true" borderId="10685" fillId="0" fontId="2" numFmtId="1001" quotePrefix="false">
      <alignment horizontal="center"/>
    </xf>
    <xf applyAlignment="true" applyBorder="true" applyFill="false" applyFont="true" applyNumberFormat="true" borderId="10686" fillId="0" fontId="2" numFmtId="1001" quotePrefix="false">
      <alignment horizontal="center"/>
    </xf>
    <xf applyAlignment="true" applyBorder="true" applyFill="false" applyFont="false" applyNumberFormat="true" borderId="10687" fillId="0" fontId="1" numFmtId="1000" quotePrefix="false">
      <alignment horizontal="center" vertical="top"/>
    </xf>
    <xf applyAlignment="true" applyBorder="true" applyFill="false" applyFont="false" applyNumberFormat="true" borderId="10688" fillId="0" fontId="1" numFmtId="1000" quotePrefix="false">
      <alignment horizontal="center" vertical="top"/>
    </xf>
    <xf applyAlignment="true" applyBorder="true" applyFill="false" applyFont="false" applyNumberFormat="true" borderId="10689" fillId="0" fontId="1" numFmtId="1000" quotePrefix="false">
      <alignment horizontal="center" vertical="top"/>
    </xf>
    <xf applyAlignment="true" applyBorder="true" applyFill="false" applyFont="false" applyNumberFormat="true" borderId="10690" fillId="0" fontId="1" numFmtId="1000" quotePrefix="false">
      <alignment horizontal="center" vertical="top"/>
    </xf>
    <xf applyAlignment="true" applyBorder="true" applyFill="false" applyFont="false" applyNumberFormat="true" borderId="10691" fillId="0" fontId="1" numFmtId="1000" quotePrefix="false">
      <alignment horizontal="center" vertical="top"/>
    </xf>
    <xf applyAlignment="true" applyBorder="true" applyFill="false" applyFont="false" applyNumberFormat="true" borderId="10692" fillId="0" fontId="1" numFmtId="1000" quotePrefix="false">
      <alignment horizontal="center" vertical="top"/>
    </xf>
    <xf applyAlignment="true" applyBorder="true" applyFill="false" applyFont="false" applyNumberFormat="true" borderId="10693" fillId="0" fontId="1" numFmtId="1000" quotePrefix="false">
      <alignment horizontal="center" vertical="top"/>
    </xf>
    <xf applyAlignment="true" applyBorder="true" applyFill="false" applyFont="false" applyNumberFormat="true" borderId="10694" fillId="0" fontId="1" numFmtId="1000" quotePrefix="false">
      <alignment horizontal="center" vertical="top"/>
    </xf>
    <xf applyAlignment="true" applyBorder="true" applyFill="false" applyFont="false" applyNumberFormat="true" borderId="10695" fillId="0" fontId="1" numFmtId="1000" quotePrefix="false">
      <alignment horizontal="center" vertical="top"/>
    </xf>
    <xf applyAlignment="true" applyBorder="true" applyFill="false" applyFont="false" applyNumberFormat="true" borderId="10696" fillId="0" fontId="1" numFmtId="1000" quotePrefix="false">
      <alignment horizontal="center" vertical="top"/>
    </xf>
    <xf applyAlignment="true" applyBorder="true" applyFill="false" applyFont="false" applyNumberFormat="true" borderId="10697" fillId="0" fontId="1" numFmtId="1000" quotePrefix="false">
      <alignment horizontal="center" vertical="top"/>
    </xf>
    <xf applyAlignment="true" applyBorder="true" applyFill="false" applyFont="false" applyNumberFormat="true" borderId="10698" fillId="0" fontId="1" numFmtId="1000" quotePrefix="false">
      <alignment horizontal="center" vertical="top"/>
    </xf>
    <xf applyAlignment="true" applyBorder="true" applyFill="false" applyFont="false" applyNumberFormat="true" borderId="10699" fillId="0" fontId="1" numFmtId="1000" quotePrefix="false">
      <alignment horizontal="center" vertical="top"/>
    </xf>
    <xf applyAlignment="true" applyBorder="true" applyFill="false" applyFont="false" applyNumberFormat="true" borderId="10700" fillId="0" fontId="1" numFmtId="1000" quotePrefix="false">
      <alignment horizontal="center" vertical="top"/>
    </xf>
    <xf applyAlignment="true" applyBorder="true" applyFill="false" applyFont="false" applyNumberFormat="true" borderId="10701" fillId="0" fontId="1" numFmtId="1000" quotePrefix="false">
      <alignment horizontal="center" vertical="top"/>
    </xf>
    <xf applyAlignment="true" applyBorder="true" applyFill="false" applyFont="false" applyNumberFormat="true" borderId="10702" fillId="0" fontId="1" numFmtId="1000" quotePrefix="false">
      <alignment horizontal="center" vertical="top"/>
    </xf>
    <xf applyAlignment="true" applyBorder="true" applyFill="false" applyFont="false" applyNumberFormat="true" borderId="10703" fillId="0" fontId="1" numFmtId="1000" quotePrefix="false">
      <alignment horizontal="center" vertical="top"/>
    </xf>
    <xf applyAlignment="true" applyBorder="true" applyFill="false" applyFont="false" applyNumberFormat="true" borderId="10704" fillId="0" fontId="1" numFmtId="1000" quotePrefix="false">
      <alignment horizontal="center" vertical="top"/>
    </xf>
    <xf applyAlignment="true" applyBorder="true" applyFill="false" applyFont="false" applyNumberFormat="true" borderId="10705" fillId="0" fontId="1" numFmtId="1000" quotePrefix="false">
      <alignment horizontal="center" vertical="top"/>
    </xf>
    <xf applyAlignment="true" applyBorder="true" applyFill="false" applyFont="false" applyNumberFormat="true" borderId="10706" fillId="0" fontId="1" numFmtId="1000" quotePrefix="false">
      <alignment horizontal="center" vertical="top"/>
    </xf>
    <xf applyAlignment="true" applyBorder="true" applyFill="false" applyFont="false" applyNumberFormat="true" borderId="10707" fillId="0" fontId="1" numFmtId="1000" quotePrefix="false">
      <alignment horizontal="center" vertical="top"/>
    </xf>
    <xf applyAlignment="true" applyBorder="true" applyFill="false" applyFont="false" applyNumberFormat="true" borderId="10708" fillId="0" fontId="1" numFmtId="1000" quotePrefix="false">
      <alignment horizontal="center" vertical="top"/>
    </xf>
    <xf applyAlignment="true" applyBorder="true" applyFill="false" applyFont="false" applyNumberFormat="true" borderId="10709" fillId="0" fontId="1" numFmtId="1000" quotePrefix="false">
      <alignment horizontal="center" vertical="top"/>
    </xf>
    <xf applyAlignment="true" applyBorder="true" applyFill="false" applyFont="false" applyNumberFormat="true" borderId="10710" fillId="0" fontId="1" numFmtId="1000" quotePrefix="false">
      <alignment horizontal="center" vertical="top"/>
    </xf>
    <xf applyAlignment="true" applyBorder="true" applyFill="false" applyFont="false" applyNumberFormat="true" borderId="10711" fillId="0" fontId="1" numFmtId="1000" quotePrefix="false">
      <alignment horizontal="center" vertical="top"/>
    </xf>
    <xf applyAlignment="true" applyBorder="true" applyFill="false" applyFont="false" applyNumberFormat="true" borderId="10712" fillId="0" fontId="1" numFmtId="1000" quotePrefix="false">
      <alignment horizontal="center" vertical="top"/>
    </xf>
    <xf applyAlignment="true" applyBorder="true" applyFill="false" applyFont="false" applyNumberFormat="true" borderId="10713" fillId="0" fontId="1" numFmtId="1000" quotePrefix="false">
      <alignment horizontal="center" vertical="top"/>
    </xf>
    <xf applyAlignment="true" applyBorder="true" applyFill="false" applyFont="false" applyNumberFormat="true" borderId="10714" fillId="0" fontId="1" numFmtId="1000" quotePrefix="false">
      <alignment horizontal="center"/>
    </xf>
    <xf applyAlignment="true" applyBorder="true" applyFill="true" applyFont="false" applyNumberFormat="true" borderId="10715" fillId="8" fontId="1" numFmtId="1000" quotePrefix="false">
      <alignment horizontal="center"/>
    </xf>
    <xf applyAlignment="true" applyBorder="true" applyFill="true" applyFont="false" applyNumberFormat="true" borderId="10716" fillId="8" fontId="1" numFmtId="1000" quotePrefix="false">
      <alignment horizontal="center"/>
    </xf>
    <xf applyAlignment="true" applyBorder="true" applyFill="false" applyFont="true" applyNumberFormat="true" borderId="10717" fillId="0" fontId="2" numFmtId="1000" quotePrefix="false">
      <alignment horizontal="center" vertical="top"/>
    </xf>
    <xf applyAlignment="true" applyBorder="true" applyFill="false" applyFont="false" applyNumberFormat="true" borderId="10718" fillId="0" fontId="1" numFmtId="1000" quotePrefix="false">
      <alignment horizontal="left" vertical="top"/>
    </xf>
    <xf applyAlignment="true" applyBorder="true" applyFill="false" applyFont="false" applyNumberFormat="true" borderId="10719" fillId="0" fontId="1" numFmtId="1000" quotePrefix="false">
      <alignment horizontal="left" vertical="top"/>
    </xf>
    <xf applyAlignment="true" applyBorder="true" applyFill="false" applyFont="false" applyNumberFormat="true" borderId="10720" fillId="0" fontId="1" numFmtId="1000" quotePrefix="false">
      <alignment horizontal="left" vertical="top"/>
    </xf>
    <xf applyAlignment="true" applyBorder="true" applyFill="false" applyFont="false" applyNumberFormat="true" borderId="10721" fillId="0" fontId="1" numFmtId="1000" quotePrefix="false">
      <alignment horizontal="left" vertical="top"/>
    </xf>
    <xf applyAlignment="true" applyBorder="true" applyFill="false" applyFont="false" applyNumberFormat="true" borderId="10722" fillId="0" fontId="1" numFmtId="1000" quotePrefix="false">
      <alignment horizontal="left" vertical="top"/>
    </xf>
    <xf applyAlignment="true" applyBorder="true" applyFill="false" applyFont="false" applyNumberFormat="true" borderId="10723" fillId="0" fontId="1" numFmtId="1000" quotePrefix="false">
      <alignment horizontal="left" vertical="top"/>
    </xf>
    <xf applyAlignment="true" applyBorder="true" applyFill="false" applyFont="false" applyNumberFormat="true" borderId="10724" fillId="0" fontId="1" numFmtId="1000" quotePrefix="false">
      <alignment horizontal="left" vertical="top"/>
    </xf>
    <xf applyAlignment="true" applyBorder="true" applyFill="false" applyFont="false" applyNumberFormat="true" borderId="10725" fillId="0" fontId="1" numFmtId="1000" quotePrefix="false">
      <alignment horizontal="left" vertical="top"/>
    </xf>
    <xf applyAlignment="true" applyBorder="true" applyFill="false" applyFont="false" applyNumberFormat="true" borderId="10726" fillId="0" fontId="1" numFmtId="1000" quotePrefix="false">
      <alignment horizontal="left" vertical="top"/>
    </xf>
    <xf applyAlignment="true" applyBorder="true" applyFill="false" applyFont="false" applyNumberFormat="true" borderId="10727" fillId="0" fontId="1" numFmtId="1000" quotePrefix="false">
      <alignment horizontal="left" vertical="top"/>
    </xf>
    <xf applyAlignment="true" applyBorder="true" applyFill="false" applyFont="false" applyNumberFormat="true" borderId="10728" fillId="0" fontId="1" numFmtId="1000" quotePrefix="false">
      <alignment horizontal="left" vertical="top"/>
    </xf>
    <xf applyAlignment="true" applyBorder="true" applyFill="false" applyFont="false" applyNumberFormat="true" borderId="10729" fillId="0" fontId="1" numFmtId="1000" quotePrefix="false">
      <alignment horizontal="left" vertical="top"/>
    </xf>
    <xf applyAlignment="true" applyBorder="true" applyFill="false" applyFont="false" applyNumberFormat="true" borderId="10730" fillId="0" fontId="1" numFmtId="1000" quotePrefix="false">
      <alignment horizontal="left" vertical="top"/>
    </xf>
    <xf applyAlignment="true" applyBorder="true" applyFill="false" applyFont="false" applyNumberFormat="true" borderId="10731" fillId="0" fontId="1" numFmtId="1000" quotePrefix="false">
      <alignment horizontal="left" vertical="top"/>
    </xf>
    <xf applyAlignment="true" applyBorder="true" applyFill="false" applyFont="false" applyNumberFormat="true" borderId="10732" fillId="0" fontId="1" numFmtId="1000" quotePrefix="false">
      <alignment horizontal="left" vertical="top"/>
    </xf>
    <xf applyAlignment="true" applyBorder="true" applyFill="false" applyFont="false" applyNumberFormat="true" borderId="10733" fillId="0" fontId="1" numFmtId="1000" quotePrefix="false">
      <alignment horizontal="left" vertical="top"/>
    </xf>
    <xf applyAlignment="true" applyBorder="true" applyFill="false" applyFont="false" applyNumberFormat="true" borderId="10734" fillId="0" fontId="1" numFmtId="1000" quotePrefix="false">
      <alignment horizontal="left" vertical="top"/>
    </xf>
    <xf applyAlignment="true" applyBorder="true" applyFill="false" applyFont="false" applyNumberFormat="true" borderId="10735" fillId="0" fontId="1" numFmtId="1000" quotePrefix="false">
      <alignment horizontal="left" vertical="top"/>
    </xf>
    <xf applyAlignment="true" applyBorder="true" applyFill="false" applyFont="false" applyNumberFormat="true" borderId="10736" fillId="0" fontId="1" numFmtId="1000" quotePrefix="false">
      <alignment horizontal="left" vertical="top"/>
    </xf>
    <xf applyAlignment="true" applyBorder="true" applyFill="false" applyFont="true" applyNumberFormat="true" borderId="10737" fillId="0" fontId="2" numFmtId="1000" quotePrefix="false">
      <alignment horizontal="center"/>
    </xf>
    <xf applyAlignment="true" applyBorder="true" applyFill="false" applyFont="true" applyNumberFormat="true" borderId="10738" fillId="0" fontId="2" numFmtId="1000" quotePrefix="false">
      <alignment horizontal="center"/>
    </xf>
    <xf applyAlignment="true" applyBorder="true" applyFill="false" applyFont="true" applyNumberFormat="true" borderId="10739" fillId="0" fontId="2" numFmtId="1000" quotePrefix="false">
      <alignment horizontal="center"/>
    </xf>
    <xf applyAlignment="true" applyBorder="true" applyFill="false" applyFont="false" applyNumberFormat="true" borderId="10740" fillId="0" fontId="1" numFmtId="1000" quotePrefix="false">
      <alignment horizontal="center" vertical="top"/>
    </xf>
    <xf applyAlignment="true" applyBorder="true" applyFill="false" applyFont="false" applyNumberFormat="true" borderId="10741" fillId="0" fontId="1" numFmtId="1000" quotePrefix="false">
      <alignment horizontal="center" vertical="top"/>
    </xf>
    <xf applyAlignment="true" applyBorder="true" applyFill="false" applyFont="false" applyNumberFormat="true" borderId="10742" fillId="0" fontId="1" numFmtId="1000" quotePrefix="false">
      <alignment horizontal="center" vertical="top"/>
    </xf>
    <xf applyAlignment="true" applyBorder="true" applyFill="false" applyFont="false" applyNumberFormat="true" borderId="10743" fillId="0" fontId="1" numFmtId="1000" quotePrefix="false">
      <alignment horizontal="center" vertical="top"/>
    </xf>
    <xf applyAlignment="true" applyBorder="true" applyFill="false" applyFont="false" applyNumberFormat="true" borderId="10744" fillId="0" fontId="1" numFmtId="1000" quotePrefix="false">
      <alignment horizontal="center" vertical="top"/>
    </xf>
    <xf applyAlignment="true" applyBorder="true" applyFill="false" applyFont="false" applyNumberFormat="true" borderId="10745" fillId="0" fontId="1" numFmtId="1000" quotePrefix="false">
      <alignment horizontal="center" vertical="top"/>
    </xf>
    <xf applyAlignment="true" applyBorder="true" applyFill="false" applyFont="false" applyNumberFormat="true" borderId="10746" fillId="0" fontId="1" numFmtId="1000" quotePrefix="false">
      <alignment horizontal="center" vertical="top"/>
    </xf>
    <xf applyAlignment="true" applyBorder="true" applyFill="false" applyFont="false" applyNumberFormat="true" borderId="10747" fillId="0" fontId="1" numFmtId="1000" quotePrefix="false">
      <alignment horizontal="center" vertical="top"/>
    </xf>
    <xf applyAlignment="true" applyBorder="true" applyFill="false" applyFont="false" applyNumberFormat="true" borderId="10748" fillId="0" fontId="1" numFmtId="1000" quotePrefix="false">
      <alignment horizontal="center" vertical="top"/>
    </xf>
    <xf applyAlignment="true" applyBorder="true" applyFill="false" applyFont="false" applyNumberFormat="true" borderId="10749" fillId="0" fontId="1" numFmtId="1000" quotePrefix="false">
      <alignment horizontal="center" vertical="top"/>
    </xf>
    <xf applyAlignment="true" applyBorder="true" applyFill="false" applyFont="false" applyNumberFormat="true" borderId="10750" fillId="0" fontId="1" numFmtId="1000" quotePrefix="false">
      <alignment horizontal="center" vertical="top"/>
    </xf>
    <xf applyAlignment="true" applyBorder="true" applyFill="false" applyFont="false" applyNumberFormat="true" borderId="10751" fillId="0" fontId="1" numFmtId="1000" quotePrefix="false">
      <alignment horizontal="center" vertical="top"/>
    </xf>
    <xf applyAlignment="true" applyBorder="true" applyFill="false" applyFont="false" applyNumberFormat="true" borderId="10752" fillId="0" fontId="1" numFmtId="1000" quotePrefix="false">
      <alignment horizontal="center" vertical="top"/>
    </xf>
    <xf applyAlignment="true" applyBorder="true" applyFill="false" applyFont="false" applyNumberFormat="true" borderId="10753" fillId="0" fontId="1" numFmtId="1000" quotePrefix="false">
      <alignment horizontal="center" vertical="top"/>
    </xf>
    <xf applyAlignment="true" applyBorder="true" applyFill="false" applyFont="false" applyNumberFormat="true" borderId="10754" fillId="0" fontId="1" numFmtId="1000" quotePrefix="false">
      <alignment horizontal="center" vertical="top"/>
    </xf>
    <xf applyAlignment="true" applyBorder="true" applyFill="false" applyFont="false" applyNumberFormat="true" borderId="10755" fillId="0" fontId="1" numFmtId="1000" quotePrefix="false">
      <alignment horizontal="center" vertical="top"/>
    </xf>
    <xf applyAlignment="true" applyBorder="true" applyFill="false" applyFont="false" applyNumberFormat="true" borderId="10756" fillId="0" fontId="1" numFmtId="1000" quotePrefix="false">
      <alignment horizontal="center" vertical="top"/>
    </xf>
    <xf applyAlignment="true" applyBorder="true" applyFill="false" applyFont="false" applyNumberFormat="true" borderId="10757" fillId="0" fontId="1" numFmtId="1000" quotePrefix="false">
      <alignment horizontal="center" vertical="top"/>
    </xf>
    <xf applyAlignment="true" applyBorder="true" applyFill="false" applyFont="false" applyNumberFormat="true" borderId="10758" fillId="0" fontId="1" numFmtId="1000" quotePrefix="false">
      <alignment horizontal="center" vertical="top"/>
    </xf>
    <xf applyAlignment="true" applyBorder="true" applyFill="false" applyFont="false" applyNumberFormat="true" borderId="10759" fillId="0" fontId="1" numFmtId="1000" quotePrefix="false">
      <alignment horizontal="center" vertical="top"/>
    </xf>
    <xf applyAlignment="true" applyBorder="true" applyFill="false" applyFont="false" applyNumberFormat="true" borderId="10760" fillId="0" fontId="1" numFmtId="1000" quotePrefix="false">
      <alignment horizontal="center" vertical="top"/>
    </xf>
    <xf applyAlignment="true" applyBorder="true" applyFill="false" applyFont="false" applyNumberFormat="true" borderId="10761" fillId="0" fontId="1" numFmtId="1000" quotePrefix="false">
      <alignment horizontal="center" vertical="top"/>
    </xf>
    <xf applyAlignment="true" applyBorder="true" applyFill="false" applyFont="false" applyNumberFormat="true" borderId="10762" fillId="0" fontId="1" numFmtId="1000" quotePrefix="false">
      <alignment horizontal="center" vertical="top"/>
    </xf>
    <xf applyAlignment="true" applyBorder="true" applyFill="false" applyFont="false" applyNumberFormat="true" borderId="10763" fillId="0" fontId="1" numFmtId="1000" quotePrefix="false">
      <alignment horizontal="center" vertical="top"/>
    </xf>
    <xf applyAlignment="true" applyBorder="true" applyFill="false" applyFont="false" applyNumberFormat="true" borderId="10764" fillId="0" fontId="1" numFmtId="1000" quotePrefix="false">
      <alignment horizontal="center" vertical="top"/>
    </xf>
    <xf applyBorder="false" applyFill="true" applyFont="false" applyNumberFormat="true" borderId="0" fillId="15" fontId="1" numFmtId="1001" quotePrefix="false"/>
    <xf applyAlignment="true" applyBorder="true" applyFill="false" applyFont="false" applyNumberFormat="true" borderId="10765" fillId="0" fontId="1" numFmtId="1000" quotePrefix="false">
      <alignment horizontal="center" vertical="top"/>
    </xf>
    <xf applyAlignment="true" applyBorder="true" applyFill="false" applyFont="false" applyNumberFormat="true" borderId="10766" fillId="0" fontId="1" numFmtId="1000" quotePrefix="false">
      <alignment horizontal="center" vertical="top"/>
    </xf>
    <xf applyAlignment="true" applyBorder="true" applyFill="false" applyFont="false" applyNumberFormat="true" borderId="10767" fillId="0" fontId="1" numFmtId="1000" quotePrefix="false">
      <alignment horizontal="center" vertical="top"/>
    </xf>
    <xf applyAlignment="true" applyBorder="true" applyFill="false" applyFont="false" applyNumberFormat="true" borderId="10768" fillId="0" fontId="1" numFmtId="1000" quotePrefix="false">
      <alignment horizontal="center" vertical="top"/>
    </xf>
    <xf applyAlignment="true" applyBorder="true" applyFill="false" applyFont="false" applyNumberFormat="true" borderId="10769" fillId="0" fontId="1" numFmtId="1000" quotePrefix="false">
      <alignment horizontal="center" vertical="top"/>
    </xf>
    <xf applyAlignment="true" applyBorder="true" applyFill="false" applyFont="false" applyNumberFormat="true" borderId="10770" fillId="0" fontId="1" numFmtId="1000" quotePrefix="false">
      <alignment horizontal="center" vertical="top"/>
    </xf>
    <xf applyBorder="true" applyFill="true" applyFont="false" applyNumberFormat="true" borderId="221" fillId="15" fontId="1" numFmtId="1001" quotePrefix="false"/>
    <xf applyAlignment="true" applyBorder="true" applyFill="false" applyFont="false" applyNumberFormat="true" borderId="10771" fillId="0" fontId="1" numFmtId="1000" quotePrefix="false">
      <alignment horizontal="center" vertical="top"/>
    </xf>
    <xf applyAlignment="true" applyBorder="true" applyFill="false" applyFont="false" applyNumberFormat="true" borderId="10772" fillId="0" fontId="1" numFmtId="1000" quotePrefix="false">
      <alignment horizontal="center" vertical="top"/>
    </xf>
    <xf applyAlignment="true" applyBorder="true" applyFill="false" applyFont="true" applyNumberFormat="true" borderId="10773" fillId="0" fontId="2" numFmtId="1000" quotePrefix="false">
      <alignment horizontal="center" vertical="top"/>
    </xf>
    <xf applyAlignment="true" applyBorder="true" applyFill="false" applyFont="true" applyNumberFormat="true" borderId="10774" fillId="0" fontId="2" numFmtId="1000" quotePrefix="false">
      <alignment horizontal="center"/>
    </xf>
    <xf applyAlignment="true" applyBorder="true" applyFill="false" applyFont="true" applyNumberFormat="true" borderId="10775" fillId="0" fontId="2" numFmtId="1000" quotePrefix="false">
      <alignment horizontal="center"/>
    </xf>
    <xf applyAlignment="true" applyBorder="true" applyFill="false" applyFont="true" applyNumberFormat="true" borderId="10776" fillId="0" fontId="2" numFmtId="1000" quotePrefix="false">
      <alignment horizontal="center"/>
    </xf>
    <xf applyAlignment="true" applyBorder="true" applyFill="false" applyFont="false" applyNumberFormat="true" borderId="10777" fillId="0" fontId="1" numFmtId="1000" quotePrefix="false">
      <alignment horizontal="center" vertical="top"/>
    </xf>
    <xf applyAlignment="true" applyBorder="true" applyFill="false" applyFont="false" applyNumberFormat="true" borderId="10778" fillId="0" fontId="1" numFmtId="1000" quotePrefix="false">
      <alignment horizontal="center" vertical="top"/>
    </xf>
    <xf applyAlignment="true" applyBorder="true" applyFill="false" applyFont="false" applyNumberFormat="true" borderId="10779" fillId="0" fontId="1" numFmtId="1000" quotePrefix="false">
      <alignment horizontal="center" vertical="top"/>
    </xf>
    <xf applyAlignment="true" applyBorder="true" applyFill="false" applyFont="false" applyNumberFormat="true" borderId="10780" fillId="0" fontId="1" numFmtId="1000" quotePrefix="false">
      <alignment horizontal="center" vertical="top"/>
    </xf>
    <xf applyAlignment="true" applyBorder="true" applyFill="false" applyFont="false" applyNumberFormat="true" borderId="10781" fillId="0" fontId="1" numFmtId="1000" quotePrefix="false">
      <alignment horizontal="center" vertical="top"/>
    </xf>
    <xf applyAlignment="true" applyBorder="true" applyFill="false" applyFont="false" applyNumberFormat="true" borderId="10782" fillId="0" fontId="1" numFmtId="1000" quotePrefix="false">
      <alignment horizontal="center" vertical="top"/>
    </xf>
    <xf applyAlignment="true" applyBorder="true" applyFill="false" applyFont="false" applyNumberFormat="true" borderId="10783" fillId="0" fontId="1" numFmtId="1000" quotePrefix="false">
      <alignment horizontal="center" vertical="top"/>
    </xf>
    <xf applyAlignment="true" applyBorder="true" applyFill="false" applyFont="false" applyNumberFormat="true" borderId="10784" fillId="0" fontId="1" numFmtId="1000" quotePrefix="false">
      <alignment horizontal="center" vertical="top"/>
    </xf>
    <xf applyAlignment="true" applyBorder="true" applyFill="false" applyFont="false" applyNumberFormat="true" borderId="10785" fillId="0" fontId="1" numFmtId="1000" quotePrefix="false">
      <alignment horizontal="center" vertical="top"/>
    </xf>
    <xf applyAlignment="true" applyBorder="true" applyFill="false" applyFont="false" applyNumberFormat="true" borderId="10786" fillId="0" fontId="1" numFmtId="1000" quotePrefix="false">
      <alignment horizontal="center" vertical="top"/>
    </xf>
    <xf applyAlignment="true" applyBorder="true" applyFill="false" applyFont="false" applyNumberFormat="true" borderId="10787" fillId="0" fontId="1" numFmtId="1000" quotePrefix="false">
      <alignment horizontal="center" vertical="top"/>
    </xf>
    <xf applyAlignment="true" applyBorder="true" applyFill="false" applyFont="false" applyNumberFormat="true" borderId="10788" fillId="0" fontId="1" numFmtId="1000" quotePrefix="false">
      <alignment horizontal="center" vertical="top"/>
    </xf>
    <xf applyAlignment="true" applyBorder="true" applyFill="false" applyFont="false" applyNumberFormat="true" borderId="10789" fillId="0" fontId="1" numFmtId="1000" quotePrefix="false">
      <alignment horizontal="center" vertical="top"/>
    </xf>
    <xf applyAlignment="true" applyBorder="true" applyFill="false" applyFont="false" applyNumberFormat="true" borderId="10790" fillId="0" fontId="1" numFmtId="1000" quotePrefix="false">
      <alignment horizontal="center" vertical="top"/>
    </xf>
    <xf applyAlignment="true" applyBorder="true" applyFill="false" applyFont="false" applyNumberFormat="true" borderId="10791" fillId="0" fontId="1" numFmtId="1000" quotePrefix="false">
      <alignment horizontal="center" vertical="top"/>
    </xf>
    <xf applyAlignment="true" applyBorder="true" applyFill="false" applyFont="false" applyNumberFormat="true" borderId="10792" fillId="0" fontId="1" numFmtId="1000" quotePrefix="false">
      <alignment horizontal="center" vertical="top"/>
    </xf>
    <xf applyAlignment="true" applyBorder="true" applyFill="false" applyFont="false" applyNumberFormat="true" borderId="10793" fillId="0" fontId="1" numFmtId="1000" quotePrefix="false">
      <alignment horizontal="center" vertical="top"/>
    </xf>
    <xf applyAlignment="true" applyBorder="true" applyFill="false" applyFont="false" applyNumberFormat="true" borderId="10794" fillId="0" fontId="1" numFmtId="1000" quotePrefix="false">
      <alignment horizontal="center" vertical="top"/>
    </xf>
    <xf applyAlignment="true" applyBorder="true" applyFill="false" applyFont="false" applyNumberFormat="true" borderId="10795" fillId="0" fontId="1" numFmtId="1000" quotePrefix="false">
      <alignment horizontal="center" vertical="top"/>
    </xf>
    <xf applyAlignment="true" applyBorder="true" applyFill="false" applyFont="false" applyNumberFormat="true" borderId="10796" fillId="0" fontId="1" numFmtId="1000" quotePrefix="false">
      <alignment horizontal="center" vertical="top"/>
    </xf>
    <xf applyAlignment="true" applyBorder="true" applyFill="false" applyFont="false" applyNumberFormat="true" borderId="10797" fillId="0" fontId="1" numFmtId="1000" quotePrefix="false">
      <alignment horizontal="center" vertical="top"/>
    </xf>
    <xf applyAlignment="true" applyBorder="true" applyFill="false" applyFont="false" applyNumberFormat="true" borderId="10798" fillId="0" fontId="1" numFmtId="1000" quotePrefix="false">
      <alignment horizontal="center" vertical="top"/>
    </xf>
    <xf applyAlignment="true" applyBorder="true" applyFill="false" applyFont="false" applyNumberFormat="true" borderId="10799" fillId="0" fontId="1" numFmtId="1000" quotePrefix="false">
      <alignment horizontal="center" vertical="top"/>
    </xf>
    <xf applyAlignment="true" applyBorder="true" applyFill="false" applyFont="false" applyNumberFormat="true" borderId="10800" fillId="0" fontId="1" numFmtId="1000" quotePrefix="false">
      <alignment horizontal="center" vertical="top"/>
    </xf>
    <xf applyAlignment="true" applyBorder="true" applyFill="false" applyFont="false" applyNumberFormat="true" borderId="10801" fillId="0" fontId="1" numFmtId="1000" quotePrefix="false">
      <alignment horizontal="center" vertical="top"/>
    </xf>
    <xf applyAlignment="true" applyBorder="true" applyFill="false" applyFont="false" applyNumberFormat="true" borderId="10802" fillId="0" fontId="1" numFmtId="1000" quotePrefix="false">
      <alignment horizontal="center" vertical="top"/>
    </xf>
    <xf applyAlignment="true" applyBorder="true" applyFill="false" applyFont="false" applyNumberFormat="true" borderId="10803" fillId="0" fontId="1" numFmtId="1000" quotePrefix="false">
      <alignment horizontal="center" vertical="top"/>
    </xf>
    <xf applyAlignment="true" applyBorder="true" applyFill="false" applyFont="false" applyNumberFormat="true" borderId="10804" fillId="0" fontId="1" numFmtId="1000" quotePrefix="false">
      <alignment horizontal="center" vertical="top"/>
    </xf>
    <xf applyAlignment="true" applyBorder="true" applyFill="false" applyFont="false" applyNumberFormat="true" borderId="10805" fillId="0" fontId="1" numFmtId="1000" quotePrefix="false">
      <alignment horizontal="center" vertical="top"/>
    </xf>
    <xf applyAlignment="true" applyBorder="true" applyFill="false" applyFont="false" applyNumberFormat="true" borderId="10806" fillId="0" fontId="1" numFmtId="1000" quotePrefix="false">
      <alignment horizontal="center" vertical="top"/>
    </xf>
    <xf applyAlignment="true" applyBorder="true" applyFill="false" applyFont="false" applyNumberFormat="true" borderId="10807" fillId="0" fontId="1" numFmtId="1000" quotePrefix="false">
      <alignment horizontal="center" vertical="top"/>
    </xf>
    <xf applyAlignment="true" applyBorder="true" applyFill="false" applyFont="false" applyNumberFormat="true" borderId="10808" fillId="0" fontId="1" numFmtId="1000" quotePrefix="false">
      <alignment horizontal="center" vertical="top"/>
    </xf>
    <xf applyAlignment="true" applyBorder="true" applyFill="false" applyFont="false" applyNumberFormat="true" borderId="10809" fillId="0" fontId="1" numFmtId="1000" quotePrefix="false">
      <alignment horizontal="center" vertical="top"/>
    </xf>
    <xf applyAlignment="true" applyBorder="true" applyFill="false" applyFont="true" applyNumberFormat="true" borderId="10810" fillId="0" fontId="2" numFmtId="1000" quotePrefix="false">
      <alignment horizontal="center" vertical="top"/>
    </xf>
    <xf applyAlignment="true" applyBorder="true" applyFill="false" applyFont="true" applyNumberFormat="true" borderId="10811" fillId="0" fontId="2" numFmtId="1000" quotePrefix="false">
      <alignment horizontal="center"/>
    </xf>
    <xf applyAlignment="true" applyBorder="true" applyFill="false" applyFont="true" applyNumberFormat="true" borderId="10812" fillId="0" fontId="2" numFmtId="1000" quotePrefix="false">
      <alignment horizontal="center"/>
    </xf>
    <xf applyAlignment="true" applyBorder="true" applyFill="false" applyFont="true" applyNumberFormat="true" borderId="10813" fillId="0" fontId="2" numFmtId="1000" quotePrefix="false">
      <alignment horizontal="center"/>
    </xf>
    <xf applyAlignment="true" applyBorder="true" applyFill="false" applyFont="false" applyNumberFormat="true" borderId="10814" fillId="0" fontId="1" numFmtId="1000" quotePrefix="false">
      <alignment horizontal="center" vertical="top"/>
    </xf>
    <xf applyAlignment="true" applyBorder="true" applyFill="false" applyFont="false" applyNumberFormat="true" borderId="10815" fillId="0" fontId="1" numFmtId="1000" quotePrefix="false">
      <alignment horizontal="center" vertical="top"/>
    </xf>
    <xf applyAlignment="true" applyBorder="true" applyFill="false" applyFont="false" applyNumberFormat="true" borderId="10816" fillId="0" fontId="1" numFmtId="1000" quotePrefix="false">
      <alignment horizontal="center" vertical="top"/>
    </xf>
    <xf applyAlignment="true" applyBorder="true" applyFill="false" applyFont="false" applyNumberFormat="true" borderId="10817" fillId="0" fontId="1" numFmtId="1000" quotePrefix="false">
      <alignment horizontal="center" vertical="top"/>
    </xf>
    <xf applyAlignment="true" applyBorder="true" applyFill="false" applyFont="false" applyNumberFormat="true" borderId="10818" fillId="0" fontId="1" numFmtId="1000" quotePrefix="false">
      <alignment horizontal="center" vertical="top"/>
    </xf>
    <xf applyAlignment="true" applyBorder="true" applyFill="false" applyFont="false" applyNumberFormat="true" borderId="10819" fillId="0" fontId="1" numFmtId="1000" quotePrefix="false">
      <alignment horizontal="center" vertical="top"/>
    </xf>
    <xf applyAlignment="true" applyBorder="true" applyFill="false" applyFont="false" applyNumberFormat="true" borderId="10820" fillId="0" fontId="1" numFmtId="1000" quotePrefix="false">
      <alignment horizontal="center" vertical="top"/>
    </xf>
    <xf applyAlignment="true" applyBorder="true" applyFill="false" applyFont="false" applyNumberFormat="true" borderId="10821" fillId="0" fontId="1" numFmtId="1000" quotePrefix="false">
      <alignment horizontal="center" vertical="top"/>
    </xf>
    <xf applyAlignment="true" applyBorder="true" applyFill="false" applyFont="false" applyNumberFormat="true" borderId="10822" fillId="0" fontId="1" numFmtId="1000" quotePrefix="false">
      <alignment horizontal="center" vertical="top"/>
    </xf>
    <xf applyAlignment="true" applyBorder="true" applyFill="false" applyFont="false" applyNumberFormat="true" borderId="10823" fillId="0" fontId="1" numFmtId="1000" quotePrefix="false">
      <alignment horizontal="center" vertical="top"/>
    </xf>
    <xf applyAlignment="true" applyBorder="true" applyFill="false" applyFont="false" applyNumberFormat="true" borderId="10824" fillId="0" fontId="1" numFmtId="1000" quotePrefix="false">
      <alignment horizontal="center" vertical="top"/>
    </xf>
    <xf applyAlignment="true" applyBorder="true" applyFill="false" applyFont="false" applyNumberFormat="true" borderId="10825" fillId="0" fontId="1" numFmtId="1000" quotePrefix="false">
      <alignment horizontal="center" vertical="top"/>
    </xf>
    <xf applyAlignment="true" applyBorder="true" applyFill="false" applyFont="false" applyNumberFormat="true" borderId="10826" fillId="0" fontId="1" numFmtId="1000" quotePrefix="false">
      <alignment horizontal="center" vertical="top"/>
    </xf>
    <xf applyAlignment="true" applyBorder="true" applyFill="false" applyFont="false" applyNumberFormat="true" borderId="10827" fillId="0" fontId="1" numFmtId="1000" quotePrefix="false">
      <alignment horizontal="center" vertical="top"/>
    </xf>
    <xf applyAlignment="true" applyBorder="true" applyFill="false" applyFont="false" applyNumberFormat="true" borderId="10828" fillId="0" fontId="1" numFmtId="1000" quotePrefix="false">
      <alignment horizontal="center" vertical="top"/>
    </xf>
    <xf applyAlignment="true" applyBorder="true" applyFill="false" applyFont="false" applyNumberFormat="true" borderId="10829" fillId="0" fontId="1" numFmtId="1000" quotePrefix="false">
      <alignment horizontal="center" vertical="top"/>
    </xf>
    <xf applyAlignment="true" applyBorder="true" applyFill="false" applyFont="false" applyNumberFormat="true" borderId="10830" fillId="0" fontId="1" numFmtId="1000" quotePrefix="false">
      <alignment horizontal="center" vertical="top"/>
    </xf>
    <xf applyAlignment="true" applyBorder="true" applyFill="false" applyFont="false" applyNumberFormat="true" borderId="10831" fillId="0" fontId="1" numFmtId="1000" quotePrefix="false">
      <alignment horizontal="center" vertical="top"/>
    </xf>
    <xf applyAlignment="true" applyBorder="true" applyFill="false" applyFont="false" applyNumberFormat="true" borderId="10832" fillId="0" fontId="1" numFmtId="1000" quotePrefix="false">
      <alignment horizontal="center" vertical="top"/>
    </xf>
    <xf applyAlignment="true" applyBorder="true" applyFill="false" applyFont="false" applyNumberFormat="true" borderId="10833" fillId="0" fontId="1" numFmtId="1000" quotePrefix="false">
      <alignment horizontal="center" vertical="top"/>
    </xf>
    <xf applyAlignment="true" applyBorder="true" applyFill="false" applyFont="false" applyNumberFormat="true" borderId="10834" fillId="0" fontId="1" numFmtId="1000" quotePrefix="false">
      <alignment horizontal="center" vertical="top"/>
    </xf>
    <xf applyAlignment="true" applyBorder="true" applyFill="false" applyFont="false" applyNumberFormat="true" borderId="10835" fillId="0" fontId="1" numFmtId="1000" quotePrefix="false">
      <alignment horizontal="center" vertical="top"/>
    </xf>
    <xf applyAlignment="true" applyBorder="true" applyFill="false" applyFont="false" applyNumberFormat="true" borderId="10836" fillId="0" fontId="1" numFmtId="1000" quotePrefix="false">
      <alignment horizontal="center" vertical="top"/>
    </xf>
    <xf applyAlignment="true" applyBorder="true" applyFill="false" applyFont="false" applyNumberFormat="true" borderId="10837" fillId="0" fontId="1" numFmtId="1000" quotePrefix="false">
      <alignment horizontal="center" vertical="top"/>
    </xf>
    <xf applyAlignment="true" applyBorder="true" applyFill="false" applyFont="false" applyNumberFormat="true" borderId="10838" fillId="0" fontId="1" numFmtId="1000" quotePrefix="false">
      <alignment horizontal="center" vertical="top"/>
    </xf>
    <xf applyAlignment="true" applyBorder="true" applyFill="false" applyFont="false" applyNumberFormat="true" borderId="10839" fillId="0" fontId="1" numFmtId="1000" quotePrefix="false">
      <alignment horizontal="center" vertical="top"/>
    </xf>
    <xf applyAlignment="true" applyBorder="true" applyFill="false" applyFont="false" applyNumberFormat="true" borderId="10840" fillId="0" fontId="1" numFmtId="1000" quotePrefix="false">
      <alignment horizontal="center" vertical="top"/>
    </xf>
    <xf applyAlignment="true" applyBorder="true" applyFill="false" applyFont="false" applyNumberFormat="true" borderId="10841" fillId="0" fontId="1" numFmtId="1000" quotePrefix="false">
      <alignment horizontal="center" vertical="top"/>
    </xf>
    <xf applyAlignment="true" applyBorder="true" applyFill="false" applyFont="false" applyNumberFormat="true" borderId="10842" fillId="0" fontId="1" numFmtId="1000" quotePrefix="false">
      <alignment horizontal="center" vertical="top"/>
    </xf>
    <xf applyAlignment="true" applyBorder="true" applyFill="false" applyFont="false" applyNumberFormat="true" borderId="10843" fillId="0" fontId="1" numFmtId="1000" quotePrefix="false">
      <alignment horizontal="center" vertical="top"/>
    </xf>
    <xf applyAlignment="true" applyBorder="true" applyFill="false" applyFont="false" applyNumberFormat="true" borderId="10844" fillId="0" fontId="1" numFmtId="1000" quotePrefix="false">
      <alignment horizontal="center" vertical="top"/>
    </xf>
    <xf applyAlignment="true" applyBorder="true" applyFill="false" applyFont="false" applyNumberFormat="true" borderId="10845" fillId="0" fontId="1" numFmtId="1000" quotePrefix="false">
      <alignment horizontal="center" vertical="top"/>
    </xf>
    <xf applyAlignment="true" applyBorder="true" applyFill="false" applyFont="false" applyNumberFormat="true" borderId="10846" fillId="0" fontId="1" numFmtId="1000" quotePrefix="false">
      <alignment horizontal="center" vertical="top"/>
    </xf>
  </cellXfs>
  <cellStyles count="1">
    <cellStyle builtinId="0" name="Normal" xfId="0"/>
  </cellStyles>
  <dxfs count="12">
    <dxf>
      <font>
        <color rgb="000000" tint="0"/>
      </font>
      <fill>
        <patternFill patternType="solid">
          <bgColor rgb="92D050" tint="0"/>
        </patternFill>
      </fill>
    </dxf>
    <dxf>
      <fill>
        <patternFill patternType="solid">
          <bgColor rgb="C6EFCE" tint="0"/>
        </patternFill>
      </fill>
    </dxf>
    <dxf>
      <fill>
        <patternFill patternType="solid">
          <bgColor rgb="C0EFCE" tint="0"/>
        </patternFill>
      </fill>
    </dxf>
    <dxf>
      <font>
        <color rgb="000000" tint="0"/>
      </font>
      <fill>
        <patternFill patternType="solid">
          <bgColor rgb="C6EFCE" tint="0"/>
        </patternFill>
      </fill>
    </dxf>
    <dxf>
      <font>
        <b val="false"/>
        <i val="false"/>
        <color rgb="AA0000" tint="0"/>
      </font>
    </dxf>
    <dxf>
      <fill>
        <patternFill patternType="none"/>
      </fill>
    </dxf>
    <dxf>
      <fill>
        <patternFill patternType="solid">
          <bgColor rgb="FF0000" tint="0"/>
        </patternFill>
      </fill>
    </dxf>
    <dxf>
      <fill>
        <patternFill patternType="solid">
          <bgColor theme="0" tint="-0.24994659260841701"/>
        </patternFill>
      </fill>
    </dxf>
    <dxf>
      <font>
        <strike val="false"/>
      </font>
      <fill>
        <patternFill patternType="solid">
          <bgColor theme="0" tint="-0.24994659260841701"/>
        </patternFill>
      </fill>
    </dxf>
    <dxf>
      <numFmt co:extendedFormatCode="@" formatCode="@" numFmtId="1007"/>
    </dxf>
    <dxf>
      <numFmt co:extendedFormatCode="dd/mm/yyyy" formatCode="dd/mm/yyyy" numFmtId="1008"/>
    </dxf>
    <dxf>
      <alignment horizontal="general" textRotation="0" vertical="bottom" wrapText="true"/>
    </dxf>
  </dxfs>
  <tableStyles count="0" defaultPivotStyle="PivotStyleMedium4" defaultTableStyle="TableStyleMedium9"/>
</styleSheet>
</file>

<file path=xl/_rels/workbook.xml.rels><?xml version="1.0" encoding="UTF-8" standalone="no" ?>
<Relationships xmlns="http://schemas.openxmlformats.org/package/2006/relationships">
  <Relationship Id="rId3" Target="worksheets/sheet3.xml" Type="http://schemas.openxmlformats.org/officeDocument/2006/relationships/worksheet"/>
  <Relationship Id="rId11" Target="worksheets/sheet11.xml" Type="http://schemas.openxmlformats.org/officeDocument/2006/relationships/worksheet"/>
  <Relationship Id="rId8" Target="worksheets/sheet8.xml" Type="http://schemas.openxmlformats.org/officeDocument/2006/relationships/worksheet"/>
  <Relationship Id="rId18" Target="worksheets/sheet18.xml" Type="http://schemas.openxmlformats.org/officeDocument/2006/relationships/worksheet"/>
  <Relationship Id="rId16" Target="worksheets/sheet16.xml" Type="http://schemas.openxmlformats.org/officeDocument/2006/relationships/worksheet"/>
  <Relationship Id="rId20" Target="styles.xml" Type="http://schemas.openxmlformats.org/officeDocument/2006/relationships/styles"/>
  <Relationship Id="rId5" Target="worksheets/sheet5.xml" Type="http://schemas.openxmlformats.org/officeDocument/2006/relationships/worksheet"/>
  <Relationship Id="rId12" Target="worksheets/sheet12.xml" Type="http://schemas.openxmlformats.org/officeDocument/2006/relationships/worksheet"/>
  <Relationship Id="rId17" Target="worksheets/sheet17.xml" Type="http://schemas.openxmlformats.org/officeDocument/2006/relationships/worksheet"/>
  <Relationship Id="rId4" Target="worksheets/sheet4.xml" Type="http://schemas.openxmlformats.org/officeDocument/2006/relationships/worksheet"/>
  <Relationship Id="rId10" Target="worksheets/sheet10.xml" Type="http://schemas.openxmlformats.org/officeDocument/2006/relationships/worksheet"/>
  <Relationship Id="rId19" Target="sharedStrings.xml" Type="http://schemas.openxmlformats.org/officeDocument/2006/relationships/sharedStrings"/>
  <Relationship Id="rId6" Target="worksheets/sheet6.xml" Type="http://schemas.openxmlformats.org/officeDocument/2006/relationships/worksheet"/>
  <Relationship Id="rId2" Target="worksheets/sheet2.xml" Type="http://schemas.openxmlformats.org/officeDocument/2006/relationships/worksheet"/>
  <Relationship Id="rId1" Target="worksheets/sheet1.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9" Target="worksheets/sheet9.xml" Type="http://schemas.openxmlformats.org/officeDocument/2006/relationships/worksheet"/>
  <Relationship Id="rId21" Target="theme/theme1.xml" Type="http://schemas.openxmlformats.org/officeDocument/2006/relationships/theme"/>
  <Relationship Id="rId7" Target="worksheets/sheet7.xml" Type="http://schemas.openxmlformats.org/officeDocument/2006/relationships/worksheet"/>
  <Relationship Id="rId13" Target="worksheets/sheet13.xml" Type="http://schemas.openxmlformats.org/officeDocument/2006/relationships/worksheet"/>
</Relationships>

</file>

<file path=xl/tables/table1.xml><?xml version="1.0" encoding="utf-8"?>
<table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displayName="Table1" headerRowCount="1" id="1" ref="A18:F53" totalsRowCount="0" totalsRowShown="false">
  <autoFilter ref="A18:F53"/>
  <sortState caseSensitive="false" columnSort="false" ref="A18:F53">
    <sortCondition descending="false" iconSet="3Arrows" ref="A18:A53" sortBy="value"/>
  </sortState>
  <tableColumns count="6">
    <tableColumn id="1" name="Function" totalsRowFunction="none"/>
    <tableColumn id="2" name="Cell 1" totalsRowFunction="none"/>
    <tableColumn id="3" name="Cell 2" totalsRowFunction="none"/>
    <tableColumn id="4" name="Cell 3" totalsRowFunction="none"/>
    <tableColumn id="5" name="Cell 4" totalsRowFunction="none"/>
    <tableColumn id="6" name="Cell 5" totalsRowFunction="none"/>
  </tableColumns>
  <tableStyleInfo name="TableStyleMedium2" showColumnStripes="false" showFirstColumn="false" showLastColumn="false" showRowStripes="true"/>
</table>
</file>

<file path=xl/tables/table2.xml><?xml version="1.0" encoding="utf-8"?>
<table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displayName="Table2" headerRowCount="1" id="2" ref="A1:D78" totalsRowCount="0" totalsRowShown="false">
  <autoFilter ref="A1:D78"/>
  <tableColumns count="4">
    <tableColumn id="1" name="# of update" totalsRowFunction="none"/>
    <tableColumn dataDxfId="9" id="2" name="Version" totalsRowFunction="none"/>
    <tableColumn dataDxfId="10" id="3" name="Date" totalsRowFunction="none"/>
    <tableColumn dataDxfId="11" id="4" name="Changes" totalsRowFunction="none"/>
  </tableColumns>
  <tableStyleInfo name="TableStyleMedium2" showColumnStripes="false" showFirstColumn="false" showLastColumn="false" showRowStripes="true"/>
</table>
</file>

<file path=xl/theme/theme1.xml><?xml version="1.0" encoding="utf-8"?>
<a:theme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outerShdw>
              <a:srgbClr val="000000">
                <a:alpha val="38000"/>
              </a:srgbClr>
            </a:outerShdw>
          </a:effectLst>
        </a:effectStyle>
        <a:effectStyle>
          <a:effectLst>
            <a:outerShdw>
              <a:srgbClr val="000000">
                <a:alpha val="35000"/>
              </a:srgbClr>
            </a:outerShdw>
          </a:effectLst>
        </a:effectStyle>
        <a:effectStyle>
          <a:effectLst>
            <a:outerShdw>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gradFill>
      </a:bgFillStyleLst>
    </a:fmtScheme>
  </a:themeElements>
</a:theme>
</file>

<file path=xl/worksheets/_rels/sheet1.xml.rels><?xml version="1.0" encoding="UTF-8" standalone="no" ?>
<Relationships xmlns="http://schemas.openxmlformats.org/package/2006/relationships">
  <Relationship Id="rId27" Target="https://www.youtube.com/watch?v=dYmw6Wju8qU" TargetMode="External" Type="http://schemas.openxmlformats.org/officeDocument/2006/relationships/hyperlink"/>
  <Relationship Id="rId29" Target="https://www.mazda.com.au/imagination-drives-us/safety-blind-spot-monitoring/" TargetMode="External" Type="http://schemas.openxmlformats.org/officeDocument/2006/relationships/hyperlink"/>
  <Relationship Id="rId34" Target="../comments1.xml" Type="http://schemas.openxmlformats.org/officeDocument/2006/relationships/comments"/>
  <Relationship Id="rId10" Target="https://www.youtube.com/watch?v=_Etjl7d7V28" TargetMode="External" Type="http://schemas.openxmlformats.org/officeDocument/2006/relationships/hyperlink"/>
  <Relationship Id="rId5" Target="https://www.youtube.com/watch?v=mTMb1JyyT1w" TargetMode="External" Type="http://schemas.openxmlformats.org/officeDocument/2006/relationships/hyperlink"/>
  <Relationship Id="rId33" Target="../drawings/vmlDrawing1.vml" Type="http://schemas.openxmlformats.org/officeDocument/2006/relationships/vmlDrawing"/>
  <Relationship Id="rId7" Target="https://www.youtube.com/watch?v=PTPavSBS_OE" TargetMode="External" Type="http://schemas.openxmlformats.org/officeDocument/2006/relationships/hyperlink"/>
  <Relationship Id="rId15" Target="https://www.mazda.com.au/imagination-drives-us/safety-lane-keep-assist-system/" TargetMode="External" Type="http://schemas.openxmlformats.org/officeDocument/2006/relationships/hyperlink"/>
  <Relationship Id="rId28" Target="https://www.youtube.com/watch?v=mLKTJYArEjQ" TargetMode="External" Type="http://schemas.openxmlformats.org/officeDocument/2006/relationships/hyperlink"/>
  <Relationship Id="rId4" Target="https://youtu.be/gGjq4dURlXg?t=104" TargetMode="External" Type="http://schemas.openxmlformats.org/officeDocument/2006/relationships/hyperlink"/>
  <Relationship Id="rId6" Target="https://www.youtube.com/watch?v=VvNP2d6MDQM" TargetMode="External" Type="http://schemas.openxmlformats.org/officeDocument/2006/relationships/hyperlink"/>
  <Relationship Id="rId3" Target="https://www.youtube.com/watch?v=ru4JIZ-x8yo" TargetMode="External" Type="http://schemas.openxmlformats.org/officeDocument/2006/relationships/hyperlink"/>
  <Relationship Id="rId19" Target="https://www.youtube.com/watch?v=ZO2xFagtTZw" TargetMode="External" Type="http://schemas.openxmlformats.org/officeDocument/2006/relationships/hyperlink"/>
  <Relationship Id="rId9" Target="https://www.youtube.com/watch?v=1TmhXd0LrdI" TargetMode="External" Type="http://schemas.openxmlformats.org/officeDocument/2006/relationships/hyperlink"/>
  <Relationship Id="rId1" Target="https://www.mazda.com.au/imagination-drives-us/safety-mazda-radar-cruise-control/" TargetMode="External" Type="http://schemas.openxmlformats.org/officeDocument/2006/relationships/hyperlink"/>
  <Relationship Id="rId18" Target="https://www.youtube.com/watch?v=WKlqeyN_7z0" TargetMode="External" Type="http://schemas.openxmlformats.org/officeDocument/2006/relationships/hyperlink"/>
  <Relationship Id="rId32" Target="https://www.mazda.com.au/imagination-drives-us/safety-traffic-sign-recognition/" TargetMode="External" Type="http://schemas.openxmlformats.org/officeDocument/2006/relationships/hyperlink"/>
  <Relationship Id="rId22" Target="https://www.mazda.com.au/imagination-drives-us/safety-smart-city-brake-support/" TargetMode="External" Type="http://schemas.openxmlformats.org/officeDocument/2006/relationships/hyperlink"/>
  <Relationship Id="rId21" Target="https://www.youtube.com/watch?v=wMl6QJhMtUY" TargetMode="External" Type="http://schemas.openxmlformats.org/officeDocument/2006/relationships/hyperlink"/>
  <Relationship Id="rId20" Target="https://www.mazda.com.au/imagination-drives-us/safety-driver-attention-alert/" TargetMode="External" Type="http://schemas.openxmlformats.org/officeDocument/2006/relationships/hyperlink"/>
  <Relationship Id="rId14" Target="https://www.youtube.com/watch?v=WhfVlLg3360" TargetMode="External" Type="http://schemas.openxmlformats.org/officeDocument/2006/relationships/hyperlink"/>
  <Relationship Id="rId13" Target="https://www.youtube.com/watch?v=ZcrA51GPMCQ" TargetMode="External" Type="http://schemas.openxmlformats.org/officeDocument/2006/relationships/hyperlink"/>
  <Relationship Id="rId24" Target="https://www.youtube.com/watch?v=zVCBr49Lvko" TargetMode="External" Type="http://schemas.openxmlformats.org/officeDocument/2006/relationships/hyperlink"/>
  <Relationship Id="rId11" Target="https://www.youtube.com/watch?v=CU87-_iZBYo" TargetMode="External" Type="http://schemas.openxmlformats.org/officeDocument/2006/relationships/hyperlink"/>
  <Relationship Id="rId2" Target="https://www.youtube.com/watch?v=8a149gmhmEQ" TargetMode="External" Type="http://schemas.openxmlformats.org/officeDocument/2006/relationships/hyperlink"/>
  <Relationship Id="rId31" Target="https://www.youtube.com/watch?v=z0g5e1zARcI" TargetMode="External" Type="http://schemas.openxmlformats.org/officeDocument/2006/relationships/hyperlink"/>
  <Relationship Id="rId30" Target="https://www.youtube.com/watch?v=Ys-UsVmd4mA" TargetMode="External" Type="http://schemas.openxmlformats.org/officeDocument/2006/relationships/hyperlink"/>
  <Relationship Id="rId26" Target="https://www.mazda.com.au/imagination-drives-us/safety-smart-city-brake-support-reverse/" TargetMode="External" Type="http://schemas.openxmlformats.org/officeDocument/2006/relationships/hyperlink"/>
  <Relationship Id="rId12" Target="https://www.youtube.com/watch?v=6WjfRxtIMzo" TargetMode="External" Type="http://schemas.openxmlformats.org/officeDocument/2006/relationships/hyperlink"/>
  <Relationship Id="rId25" Target="https://www.youtube.com/watch?v=pgSQfs--sDk" TargetMode="External" Type="http://schemas.openxmlformats.org/officeDocument/2006/relationships/hyperlink"/>
  <Relationship Id="rId17" Target="https://www.mazda.com.au/imagination-drives-us/safety-adaptive-led-headlamps/" TargetMode="External" Type="http://schemas.openxmlformats.org/officeDocument/2006/relationships/hyperlink"/>
  <Relationship Id="rId23" Target="https://www.youtube.com/watch?v=fr6DY2TeihA" TargetMode="External" Type="http://schemas.openxmlformats.org/officeDocument/2006/relationships/hyperlink"/>
  <Relationship Id="rId8" Target="https://www.youtube.com/watch?v=hmeRELCnQXA" TargetMode="External" Type="http://schemas.openxmlformats.org/officeDocument/2006/relationships/hyperlink"/>
  <Relationship Id="rId16" Target="https://www.youtube.com/watch?v=Lj1GA_z_LMs" TargetMode="External" Type="http://schemas.openxmlformats.org/officeDocument/2006/relationships/hyperlink"/>
</Relationships>

</file>

<file path=xl/worksheets/_rels/sheet2.xml.rels><?xml version="1.0" encoding="UTF-8" standalone="no" ?>
<Relationships xmlns="http://schemas.openxmlformats.org/package/2006/relationships">
  <Relationship Id="rId4" Target="https://youtu.be/Oa3dBAFlRe0" TargetMode="External" Type="http://schemas.openxmlformats.org/officeDocument/2006/relationships/hyperlink"/>
  <Relationship Id="rId1" Target="../tables/table1.xml" Type="http://schemas.openxmlformats.org/officeDocument/2006/relationships/table"/>
  <Relationship Id="rId8" Target="https://youtu.be/lMOkQyZcycE" TargetMode="External" Type="http://schemas.openxmlformats.org/officeDocument/2006/relationships/hyperlink"/>
  <Relationship Id="rId7" Target="https://youtu.be/qYlogAJTcqQ" TargetMode="External" Type="http://schemas.openxmlformats.org/officeDocument/2006/relationships/hyperlink"/>
  <Relationship Id="rId5" Target="https://youtu.be/N9si40XZbcg" TargetMode="External" Type="http://schemas.openxmlformats.org/officeDocument/2006/relationships/hyperlink"/>
  <Relationship Id="rId3" Target="https://youtu.be/ZWF34TXEvC4" TargetMode="External" Type="http://schemas.openxmlformats.org/officeDocument/2006/relationships/hyperlink"/>
  <Relationship Id="rId2" Target="https://youtu.be/-XTt8_HxUJY" TargetMode="External" Type="http://schemas.openxmlformats.org/officeDocument/2006/relationships/hyperlink"/>
  <Relationship Id="rId6" Target="https://youtu.be/hHsMJp-P_ss" TargetMode="External" Type="http://schemas.openxmlformats.org/officeDocument/2006/relationships/hyperlink"/>
</Relationships>

</file>

<file path=xl/worksheets/_rels/sheet3.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 Id="rId3" Target="../comments2.xml" Type="http://schemas.openxmlformats.org/officeDocument/2006/relationships/comments"/>
  <Relationship Id="rId2" Target="../drawings/vmlDrawing2.vml" Type="http://schemas.openxmlformats.org/officeDocument/2006/relationships/vmlDrawing"/>
</Relationships>

</file>

<file path=xl/worksheets/_rels/sheet4.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 Id="rId3" Target="../comments3.xml" Type="http://schemas.openxmlformats.org/officeDocument/2006/relationships/comments"/>
  <Relationship Id="rId2" Target="../drawings/vmlDrawing3.vml" Type="http://schemas.openxmlformats.org/officeDocument/2006/relationships/vmlDrawing"/>
</Relationships>

</file>

<file path=xl/worksheets/_rels/sheet5.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 Id="rId3" Target="../comments4.xml" Type="http://schemas.openxmlformats.org/officeDocument/2006/relationships/comments"/>
  <Relationship Id="rId2" Target="../drawings/vmlDrawing4.vml" Type="http://schemas.openxmlformats.org/officeDocument/2006/relationships/vmlDrawing"/>
</Relationships>

</file>

<file path=xl/worksheets/_rels/sheet6.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 Id="rId3" Target="../comments5.xml" Type="http://schemas.openxmlformats.org/officeDocument/2006/relationships/comments"/>
  <Relationship Id="rId2" Target="../drawings/vmlDrawing5.vml" Type="http://schemas.openxmlformats.org/officeDocument/2006/relationships/vmlDrawing"/>
</Relationships>

</file>

<file path=xl/worksheets/_rels/sheet7.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 Id="rId3" Target="../comments6.xml" Type="http://schemas.openxmlformats.org/officeDocument/2006/relationships/comments"/>
  <Relationship Id="rId2" Target="../drawings/vmlDrawing6.vml" Type="http://schemas.openxmlformats.org/officeDocument/2006/relationships/vmlDrawing"/>
</Relationships>

</file>

<file path=xl/worksheets/_rels/sheet8.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 Id="rId3" Target="../comments7.xml" Type="http://schemas.openxmlformats.org/officeDocument/2006/relationships/comments"/>
  <Relationship Id="rId2" Target="../drawings/vmlDrawing7.vml" Type="http://schemas.openxmlformats.org/officeDocument/2006/relationships/vmlDrawing"/>
</Relationships>

</file>

<file path=xl/worksheets/_rels/sheet9.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 Id="rId3" Target="../comments8.xml" Type="http://schemas.openxmlformats.org/officeDocument/2006/relationships/comments"/>
  <Relationship Id="rId2" Target="../drawings/vmlDrawing8.vml" Type="http://schemas.openxmlformats.org/officeDocument/2006/relationships/vmlDrawing"/>
</Relationships>

</file>

<file path=xl/worksheets/_rels/sheet10.xml.rels><?xml version="1.0" encoding="UTF-8" standalone="no" ?>
<Relationships xmlns="http://schemas.openxmlformats.org/package/2006/relationships">
  <Relationship Id="rId1" Target="https://www6.b2b.mazda.co.jp/AsBuilt/index.htm" TargetMode="External" Type="http://schemas.openxmlformats.org/officeDocument/2006/relationships/hyperlink"/>
  <Relationship Id="rId2" Target="https://www.motorcraftservice.com/AsBuilt/" TargetMode="External" Type="http://schemas.openxmlformats.org/officeDocument/2006/relationships/hyperlink"/>
</Relationships>

</file>

<file path=xl/worksheets/_rels/sheet11.xml.rels><?xml version="1.0" encoding="UTF-8" standalone="no" ?>
<Relationships xmlns="http://schemas.openxmlformats.org/package/2006/relationships">
  <Relationship Id="rId4" Target="../drawings/vmlDrawing9.vml" Type="http://schemas.openxmlformats.org/officeDocument/2006/relationships/vmlDrawing"/>
  <Relationship Id="rId1" Target="https://www6.b2b.mazda.co.jp/AsBuilt/index.htm" TargetMode="External" Type="http://schemas.openxmlformats.org/officeDocument/2006/relationships/hyperlink"/>
  <Relationship Id="rId5" Target="../comments9.xml" Type="http://schemas.openxmlformats.org/officeDocument/2006/relationships/comments"/>
  <Relationship Id="rId3" Target="https://www.mazda3revolution.com/members/nikodim.292537/" TargetMode="External" Type="http://schemas.openxmlformats.org/officeDocument/2006/relationships/hyperlink"/>
  <Relationship Id="rId2" Target="https://www.motorcraftservice.com/AsBuilt/" TargetMode="External" Type="http://schemas.openxmlformats.org/officeDocument/2006/relationships/hyperlink"/>
</Relationships>

</file>

<file path=xl/worksheets/_rels/sheet12.xml.rels><?xml version="1.0" encoding="UTF-8" standalone="no" ?>
<Relationships xmlns="http://schemas.openxmlformats.org/package/2006/relationships">
  <Relationship Id="rId1" Target="../drawings/vmlDrawing10.vml" Type="http://schemas.openxmlformats.org/officeDocument/2006/relationships/vmlDrawing"/>
  <Relationship Id="rId2" Target="../comments10.xml" Type="http://schemas.openxmlformats.org/officeDocument/2006/relationships/comments"/>
</Relationships>

</file>

<file path=xl/worksheets/_rels/sheet13.xml.rels><?xml version="1.0" encoding="UTF-8" standalone="no" ?>
<Relationships xmlns="http://schemas.openxmlformats.org/package/2006/relationships">
  <Relationship Id="rId1" Target="../tables/table2.xml" Type="http://schemas.openxmlformats.org/officeDocument/2006/relationships/table"/>
  <Relationship Id="rId2" Target="http://tiny.cc/MazdaAsBuiltEditor" TargetMode="External" Type="http://schemas.openxmlformats.org/officeDocument/2006/relationships/hyperlink"/>
</Relationships>

</file>

<file path=xl/worksheets/_rels/sheet14.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s>

</file>

<file path=xl/worksheets/_rels/sheet15.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s>

</file>

<file path=xl/worksheets/_rels/sheet16.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s>

</file>

<file path=xl/worksheets/_rels/sheet17.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s>

</file>

<file path=xl/worksheets/_rels/sheet18.xml.rels><?xml version="1.0" encoding="UTF-8" standalone="no" ?>
<Relationships xmlns="http://schemas.openxmlformats.org/package/2006/relationships">
  <Relationship Id="rId1" Target="https://www.mazda3revolution.com/threads/change-configuration-explore-different-functions-asbuilt.169393/" TargetMode="External" Type="http://schemas.openxmlformats.org/officeDocument/2006/relationships/hyperlink"/>
</Relationships>

</file>

<file path=xl/worksheets/sheet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T36"/>
  <sheetViews>
    <sheetView showZeros="true" workbookViewId="0">
      <pane activePane="topRight" state="frozen" topLeftCell="B1" xSplit="1" ySplit="0"/>
    </sheetView>
  </sheetViews>
  <sheetFormatPr baseColWidth="8" customHeight="false" defaultColWidth="9.1406253092569258" defaultRowHeight="15" zeroHeight="true"/>
  <cols>
    <col customWidth="true" max="1" min="1" outlineLevel="0" width="39.425780959906433"/>
    <col customWidth="true" max="2" min="2" outlineLevel="0" style="1" width="17.855468812776511"/>
    <col bestFit="true" customWidth="true" max="3" min="3" outlineLevel="0" style="1" width="19.855469151108874"/>
    <col bestFit="true" customWidth="true" max="4" min="4" outlineLevel="0" style="1" width="12.570312654628463"/>
    <col bestFit="true" customWidth="true" max="5" min="5" outlineLevel="0" style="1" width="14.425781467404976"/>
    <col bestFit="true" customWidth="true" max="6" min="6" outlineLevel="0" style="1" width="12.570312654628463"/>
    <col bestFit="true" customWidth="true" max="7" min="7" outlineLevel="0" style="1" width="13.1406246325922"/>
    <col bestFit="true" customWidth="true" max="8" min="8" outlineLevel="0" style="1" width="12.855468643610331"/>
    <col customWidth="true" max="9" min="9" outlineLevel="0" style="1" width="15.000000507498545"/>
    <col bestFit="true" customWidth="true" max="10" min="10" outlineLevel="0" style="1" width="13.1406246325922"/>
    <col customWidth="true" max="11" min="11" outlineLevel="0" style="1" width="14.570312992960826"/>
    <col bestFit="true" customWidth="true" max="12" min="12" outlineLevel="0" style="1" width="17.425781298238793"/>
    <col customWidth="true" max="13" min="13" outlineLevel="0" style="1" width="17.425781298238793"/>
    <col customWidth="true" max="16" min="14" outlineLevel="0" style="1" width="17.285156834812778"/>
    <col customWidth="true" max="17" min="17" outlineLevel="0" width="11.999999323335274"/>
    <col customWidth="true" max="18" min="18" outlineLevel="0" width="12.140625140090744"/>
    <col customWidth="true" max="19" min="19" outlineLevel="0" width="9.1406253092569258"/>
    <col bestFit="true" customWidth="true" hidden="true" max="20" min="20" outlineLevel="0" width="0"/>
    <col bestFit="true" customWidth="true" hidden="true" max="16384" min="21" outlineLevel="0" width="9.1406253092569258"/>
  </cols>
  <sheetData>
    <row hidden="false" ht="15" outlineLevel="0" r="1">
      <c r="A1" s="2" t="s">
        <v>0</v>
      </c>
      <c r="B1" s="3" t="s">
        <v>1</v>
      </c>
      <c r="C1" s="4" t="s"/>
      <c r="D1" s="5" t="s"/>
      <c r="E1" s="6" t="s"/>
      <c r="F1" s="7" t="s"/>
      <c r="G1" s="8" t="s"/>
      <c r="H1" s="9" t="s"/>
      <c r="I1" s="10" t="s"/>
      <c r="J1" s="11" t="s"/>
      <c r="K1" s="12" t="s"/>
      <c r="L1" s="13" t="s"/>
      <c r="M1" s="14" t="s"/>
      <c r="N1" s="15" t="s"/>
      <c r="O1" s="16" t="s"/>
      <c r="P1" s="17" t="s"/>
      <c r="Q1" s="18" t="s"/>
      <c r="R1" s="19" t="s"/>
    </row>
    <row customHeight="true" hidden="false" ht="46.5" outlineLevel="0" r="2">
      <c r="A2" s="20" t="s"/>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21" t="s">
        <v>18</v>
      </c>
    </row>
    <row hidden="false" ht="15" outlineLevel="0" r="3">
      <c r="A3" s="22" t="s">
        <v>19</v>
      </c>
      <c r="B3" s="23" t="s">
        <v>20</v>
      </c>
      <c r="C3" s="24" t="s">
        <v>20</v>
      </c>
      <c r="D3" s="24" t="s">
        <v>21</v>
      </c>
      <c r="E3" s="24" t="s">
        <v>21</v>
      </c>
      <c r="F3" s="24" t="s">
        <v>21</v>
      </c>
      <c r="G3" s="24" t="s">
        <v>21</v>
      </c>
      <c r="H3" s="24" t="s">
        <v>21</v>
      </c>
      <c r="I3" s="24" t="s">
        <v>21</v>
      </c>
      <c r="J3" s="24" t="s">
        <v>20</v>
      </c>
      <c r="K3" s="24" t="s">
        <v>20</v>
      </c>
      <c r="L3" s="24" t="s">
        <v>21</v>
      </c>
      <c r="M3" s="24" t="s">
        <v>21</v>
      </c>
      <c r="N3" s="24" t="s">
        <v>21</v>
      </c>
      <c r="O3" s="24" t="s">
        <v>21</v>
      </c>
      <c r="P3" s="24" t="s">
        <v>21</v>
      </c>
      <c r="Q3" s="24" t="s">
        <v>21</v>
      </c>
      <c r="R3" s="25" t="s">
        <v>21</v>
      </c>
    </row>
    <row customHeight="true" hidden="false" ht="15" outlineLevel="0" r="4">
      <c r="A4" s="22" t="s">
        <v>22</v>
      </c>
      <c r="B4" s="26" t="s">
        <v>20</v>
      </c>
      <c r="C4" s="26" t="s">
        <v>20</v>
      </c>
      <c r="D4" s="26" t="s">
        <v>21</v>
      </c>
      <c r="E4" s="26" t="s">
        <v>21</v>
      </c>
      <c r="F4" s="26" t="s">
        <v>21</v>
      </c>
      <c r="G4" s="26" t="s">
        <v>21</v>
      </c>
      <c r="H4" s="26" t="s">
        <v>21</v>
      </c>
      <c r="I4" s="26" t="s">
        <v>21</v>
      </c>
      <c r="J4" s="26" t="s">
        <v>20</v>
      </c>
      <c r="K4" s="26" t="s">
        <v>20</v>
      </c>
      <c r="L4" s="26" t="s">
        <v>21</v>
      </c>
      <c r="M4" s="26" t="s">
        <v>21</v>
      </c>
      <c r="N4" s="26" t="s">
        <v>21</v>
      </c>
      <c r="O4" s="26" t="s">
        <v>21</v>
      </c>
      <c r="P4" s="26" t="s">
        <v>21</v>
      </c>
      <c r="Q4" s="26" t="s">
        <v>21</v>
      </c>
      <c r="R4" s="27" t="s">
        <v>21</v>
      </c>
    </row>
    <row hidden="false" ht="15" outlineLevel="0" r="5">
      <c r="A5" s="22" t="s">
        <v>23</v>
      </c>
      <c r="B5" s="26" t="s">
        <v>20</v>
      </c>
      <c r="C5" s="26" t="s">
        <v>21</v>
      </c>
      <c r="D5" s="26" t="s">
        <v>21</v>
      </c>
      <c r="E5" s="26" t="s">
        <v>21</v>
      </c>
      <c r="F5" s="26" t="s">
        <v>21</v>
      </c>
      <c r="G5" s="26" t="s">
        <v>21</v>
      </c>
      <c r="H5" s="26" t="s">
        <v>21</v>
      </c>
      <c r="I5" s="26" t="s">
        <v>21</v>
      </c>
      <c r="J5" s="26" t="s">
        <v>21</v>
      </c>
      <c r="K5" s="26" t="s">
        <v>21</v>
      </c>
      <c r="L5" s="26" t="s">
        <v>21</v>
      </c>
      <c r="M5" s="26" t="s">
        <v>21</v>
      </c>
      <c r="N5" s="26" t="s">
        <v>21</v>
      </c>
      <c r="O5" s="26" t="s">
        <v>21</v>
      </c>
      <c r="P5" s="26" t="s">
        <v>21</v>
      </c>
      <c r="Q5" s="26" t="s">
        <v>21</v>
      </c>
      <c r="R5" s="27" t="s">
        <v>21</v>
      </c>
    </row>
    <row hidden="false" ht="15" outlineLevel="0" r="6">
      <c r="A6" s="28" t="s">
        <v>24</v>
      </c>
      <c r="B6" s="29" t="s">
        <v>21</v>
      </c>
      <c r="C6" s="26" t="s">
        <v>21</v>
      </c>
      <c r="D6" s="26" t="s">
        <v>20</v>
      </c>
      <c r="E6" s="26" t="s">
        <v>20</v>
      </c>
      <c r="F6" s="26" t="s">
        <v>20</v>
      </c>
      <c r="G6" s="26" t="s">
        <v>20</v>
      </c>
      <c r="H6" s="26" t="s">
        <v>21</v>
      </c>
      <c r="I6" s="26" t="s">
        <v>20</v>
      </c>
      <c r="J6" s="26" t="s">
        <v>21</v>
      </c>
      <c r="K6" s="26" t="s">
        <v>21</v>
      </c>
      <c r="L6" s="26" t="s">
        <v>21</v>
      </c>
      <c r="M6" s="26" t="s">
        <v>21</v>
      </c>
      <c r="N6" s="26" t="s">
        <v>21</v>
      </c>
      <c r="O6" s="26" t="s">
        <v>21</v>
      </c>
      <c r="P6" s="26" t="s">
        <v>21</v>
      </c>
      <c r="Q6" s="26" t="s">
        <v>21</v>
      </c>
      <c r="R6" s="27" t="s">
        <v>21</v>
      </c>
    </row>
    <row customHeight="true" hidden="false" ht="15" outlineLevel="0" r="7">
      <c r="A7" s="28" t="s">
        <v>25</v>
      </c>
      <c r="B7" s="29" t="s">
        <v>20</v>
      </c>
      <c r="C7" s="26" t="s">
        <v>20</v>
      </c>
      <c r="D7" s="26" t="s">
        <v>20</v>
      </c>
      <c r="E7" s="26" t="s">
        <v>20</v>
      </c>
      <c r="F7" s="26" t="s">
        <v>20</v>
      </c>
      <c r="G7" s="26" t="s">
        <v>20</v>
      </c>
      <c r="H7" s="26" t="s">
        <v>21</v>
      </c>
      <c r="I7" s="26" t="s">
        <v>20</v>
      </c>
      <c r="J7" s="26" t="s">
        <v>20</v>
      </c>
      <c r="K7" s="26" t="s">
        <v>20</v>
      </c>
      <c r="L7" s="26" t="s">
        <v>21</v>
      </c>
      <c r="M7" s="26" t="s">
        <v>21</v>
      </c>
      <c r="N7" s="26" t="s">
        <v>21</v>
      </c>
      <c r="O7" s="26" t="s">
        <v>21</v>
      </c>
      <c r="P7" s="26" t="s">
        <v>21</v>
      </c>
      <c r="Q7" s="26" t="s">
        <v>21</v>
      </c>
      <c r="R7" s="27" t="s">
        <v>21</v>
      </c>
    </row>
    <row hidden="false" ht="15" outlineLevel="0" r="8">
      <c r="A8" s="22" t="s">
        <v>26</v>
      </c>
      <c r="B8" s="29" t="s">
        <v>21</v>
      </c>
      <c r="C8" s="26" t="s">
        <v>21</v>
      </c>
      <c r="D8" s="26" t="s">
        <v>20</v>
      </c>
      <c r="E8" s="26" t="s">
        <v>20</v>
      </c>
      <c r="F8" s="26" t="s">
        <v>20</v>
      </c>
      <c r="G8" s="26" t="s">
        <v>20</v>
      </c>
      <c r="H8" s="26" t="s">
        <v>21</v>
      </c>
      <c r="I8" s="26" t="s">
        <v>20</v>
      </c>
      <c r="J8" s="26" t="s">
        <v>20</v>
      </c>
      <c r="K8" s="30" t="s">
        <v>27</v>
      </c>
      <c r="L8" s="26" t="s">
        <v>21</v>
      </c>
      <c r="M8" s="26" t="s">
        <v>20</v>
      </c>
      <c r="N8" s="26" t="s">
        <v>20</v>
      </c>
      <c r="O8" s="26" t="s">
        <v>21</v>
      </c>
      <c r="P8" s="26" t="s">
        <v>21</v>
      </c>
      <c r="Q8" s="26" t="s">
        <v>21</v>
      </c>
      <c r="R8" s="31" t="s">
        <v>20</v>
      </c>
    </row>
    <row hidden="false" ht="15" outlineLevel="0" r="9">
      <c r="A9" s="22" t="s">
        <v>28</v>
      </c>
      <c r="B9" s="29" t="s">
        <v>21</v>
      </c>
      <c r="C9" s="26" t="s">
        <v>21</v>
      </c>
      <c r="D9" s="26" t="s">
        <v>20</v>
      </c>
      <c r="E9" s="26" t="s">
        <v>21</v>
      </c>
      <c r="F9" s="26" t="s">
        <v>21</v>
      </c>
      <c r="G9" s="26" t="s">
        <v>21</v>
      </c>
      <c r="H9" s="26" t="s">
        <v>21</v>
      </c>
      <c r="I9" s="26" t="s">
        <v>21</v>
      </c>
      <c r="J9" s="26" t="s">
        <v>21</v>
      </c>
      <c r="K9" s="26" t="s">
        <v>21</v>
      </c>
      <c r="L9" s="26" t="s">
        <v>21</v>
      </c>
      <c r="M9" s="26" t="s">
        <v>21</v>
      </c>
      <c r="N9" s="26" t="s">
        <v>21</v>
      </c>
      <c r="O9" s="26" t="s">
        <v>21</v>
      </c>
      <c r="P9" s="26" t="s">
        <v>21</v>
      </c>
      <c r="Q9" s="26" t="s">
        <v>21</v>
      </c>
      <c r="R9" s="27" t="s">
        <v>21</v>
      </c>
    </row>
    <row hidden="false" ht="15" outlineLevel="0" r="10">
      <c r="A10" s="22" t="s">
        <v>29</v>
      </c>
      <c r="B10" s="29" t="s">
        <v>21</v>
      </c>
      <c r="C10" s="26" t="s">
        <v>21</v>
      </c>
      <c r="D10" s="26" t="s">
        <v>21</v>
      </c>
      <c r="E10" s="26" t="s">
        <v>21</v>
      </c>
      <c r="F10" s="26" t="s">
        <v>20</v>
      </c>
      <c r="G10" s="26" t="s">
        <v>21</v>
      </c>
      <c r="H10" s="26" t="s">
        <v>21</v>
      </c>
      <c r="I10" s="26" t="s">
        <v>21</v>
      </c>
      <c r="J10" s="26" t="s">
        <v>21</v>
      </c>
      <c r="K10" s="26" t="s">
        <v>21</v>
      </c>
      <c r="L10" s="26" t="s">
        <v>21</v>
      </c>
      <c r="M10" s="26" t="s">
        <v>21</v>
      </c>
      <c r="N10" s="26" t="s">
        <v>21</v>
      </c>
      <c r="O10" s="26" t="s">
        <v>21</v>
      </c>
      <c r="P10" s="26" t="s">
        <v>21</v>
      </c>
      <c r="Q10" s="26" t="s">
        <v>21</v>
      </c>
      <c r="R10" s="27" t="s">
        <v>21</v>
      </c>
    </row>
    <row hidden="false" ht="30" outlineLevel="0" r="11">
      <c r="A11" s="22" t="s">
        <v>30</v>
      </c>
      <c r="B11" s="29" t="s">
        <v>21</v>
      </c>
      <c r="C11" s="26" t="s">
        <v>21</v>
      </c>
      <c r="D11" s="26" t="s">
        <v>21</v>
      </c>
      <c r="E11" s="26" t="s">
        <v>21</v>
      </c>
      <c r="F11" s="26" t="s">
        <v>21</v>
      </c>
      <c r="G11" s="26" t="s">
        <v>21</v>
      </c>
      <c r="H11" s="26" t="s">
        <v>20</v>
      </c>
      <c r="I11" s="26" t="s">
        <v>21</v>
      </c>
      <c r="J11" s="26" t="s">
        <v>21</v>
      </c>
      <c r="K11" s="26" t="s">
        <v>21</v>
      </c>
      <c r="L11" s="26" t="s">
        <v>21</v>
      </c>
      <c r="M11" s="26" t="s">
        <v>21</v>
      </c>
      <c r="N11" s="26" t="s">
        <v>21</v>
      </c>
      <c r="O11" s="26" t="s">
        <v>21</v>
      </c>
      <c r="P11" s="26" t="s">
        <v>21</v>
      </c>
      <c r="Q11" s="26" t="s">
        <v>21</v>
      </c>
      <c r="R11" s="27" t="s">
        <v>21</v>
      </c>
    </row>
    <row hidden="false" ht="15" outlineLevel="0" r="12">
      <c r="A12" s="22" t="s">
        <v>31</v>
      </c>
      <c r="B12" s="26" t="s">
        <v>20</v>
      </c>
      <c r="C12" s="26" t="s">
        <v>20</v>
      </c>
      <c r="D12" s="26" t="s">
        <v>21</v>
      </c>
      <c r="E12" s="26" t="s">
        <v>21</v>
      </c>
      <c r="F12" s="26" t="s">
        <v>21</v>
      </c>
      <c r="G12" s="26" t="s">
        <v>21</v>
      </c>
      <c r="H12" s="26" t="s">
        <v>20</v>
      </c>
      <c r="I12" s="26" t="s">
        <v>20</v>
      </c>
      <c r="J12" s="26" t="s">
        <v>20</v>
      </c>
      <c r="K12" s="26" t="s">
        <v>21</v>
      </c>
      <c r="L12" s="26" t="s">
        <v>20</v>
      </c>
      <c r="M12" s="26" t="s">
        <v>20</v>
      </c>
      <c r="N12" s="26" t="s">
        <v>21</v>
      </c>
      <c r="O12" s="26" t="s">
        <v>21</v>
      </c>
      <c r="P12" s="26" t="s">
        <v>21</v>
      </c>
      <c r="Q12" s="26" t="s">
        <v>21</v>
      </c>
      <c r="R12" s="27" t="s">
        <v>21</v>
      </c>
    </row>
    <row hidden="false" ht="30" outlineLevel="0" r="13">
      <c r="A13" s="22" t="s">
        <v>32</v>
      </c>
      <c r="B13" s="29" t="s">
        <v>21</v>
      </c>
      <c r="C13" s="26" t="s">
        <v>21</v>
      </c>
      <c r="D13" s="26" t="s">
        <v>21</v>
      </c>
      <c r="E13" s="26" t="s">
        <v>21</v>
      </c>
      <c r="F13" s="26" t="s">
        <v>21</v>
      </c>
      <c r="G13" s="26" t="s">
        <v>21</v>
      </c>
      <c r="H13" s="26" t="s">
        <v>21</v>
      </c>
      <c r="I13" s="26" t="s">
        <v>21</v>
      </c>
      <c r="J13" s="26" t="s">
        <v>21</v>
      </c>
      <c r="K13" s="26" t="s">
        <v>21</v>
      </c>
      <c r="L13" s="26" t="s">
        <v>21</v>
      </c>
      <c r="M13" s="26" t="s">
        <v>21</v>
      </c>
      <c r="N13" s="26" t="s">
        <v>21</v>
      </c>
      <c r="O13" s="26" t="s">
        <v>20</v>
      </c>
      <c r="P13" s="26" t="s">
        <v>20</v>
      </c>
      <c r="Q13" s="26" t="s">
        <v>20</v>
      </c>
      <c r="R13" s="27" t="s">
        <v>21</v>
      </c>
    </row>
    <row hidden="false" ht="15" outlineLevel="0" r="14">
      <c r="A14" s="22" t="s">
        <v>33</v>
      </c>
      <c r="B14" s="29" t="s">
        <v>21</v>
      </c>
      <c r="C14" s="26" t="s">
        <v>21</v>
      </c>
      <c r="D14" s="26" t="s">
        <v>21</v>
      </c>
      <c r="E14" s="26" t="s">
        <v>21</v>
      </c>
      <c r="F14" s="26" t="s">
        <v>21</v>
      </c>
      <c r="G14" s="26" t="s">
        <v>21</v>
      </c>
      <c r="H14" s="26" t="s">
        <v>21</v>
      </c>
      <c r="I14" s="26" t="s">
        <v>20</v>
      </c>
      <c r="J14" s="26" t="s">
        <v>21</v>
      </c>
      <c r="K14" s="26" t="s">
        <v>21</v>
      </c>
      <c r="L14" s="26" t="s">
        <v>21</v>
      </c>
      <c r="M14" s="26" t="s">
        <v>21</v>
      </c>
      <c r="N14" s="26" t="s">
        <v>20</v>
      </c>
      <c r="O14" s="26" t="s">
        <v>21</v>
      </c>
      <c r="P14" s="26" t="s">
        <v>21</v>
      </c>
      <c r="Q14" s="26" t="s">
        <v>21</v>
      </c>
      <c r="R14" s="27" t="s">
        <v>21</v>
      </c>
    </row>
    <row hidden="false" ht="15.75" outlineLevel="0" r="15">
      <c r="A15" s="32" t="s">
        <v>34</v>
      </c>
      <c r="B15" s="33" t="s">
        <v>21</v>
      </c>
      <c r="C15" s="34" t="s">
        <v>21</v>
      </c>
      <c r="D15" s="34" t="s">
        <v>21</v>
      </c>
      <c r="E15" s="34" t="s">
        <v>21</v>
      </c>
      <c r="F15" s="34" t="s">
        <v>21</v>
      </c>
      <c r="G15" s="34" t="s">
        <v>21</v>
      </c>
      <c r="H15" s="34" t="s">
        <v>21</v>
      </c>
      <c r="I15" s="34" t="s">
        <v>21</v>
      </c>
      <c r="J15" s="34" t="s">
        <v>21</v>
      </c>
      <c r="K15" s="35" t="s">
        <v>27</v>
      </c>
      <c r="L15" s="34" t="s">
        <v>20</v>
      </c>
      <c r="M15" s="34" t="s">
        <v>21</v>
      </c>
      <c r="N15" s="34" t="s">
        <v>20</v>
      </c>
      <c r="O15" s="34" t="s">
        <v>21</v>
      </c>
      <c r="P15" s="34" t="s">
        <v>21</v>
      </c>
      <c r="Q15" s="34" t="s">
        <v>21</v>
      </c>
      <c r="R15" s="36" t="s">
        <v>21</v>
      </c>
    </row>
    <row hidden="false" ht="15" outlineLevel="0" r="16">
      <c r="A16" s="37" t="n"/>
      <c r="B16" s="38" t="s">
        <v>35</v>
      </c>
      <c r="C16" s="38" t="s">
        <v>36</v>
      </c>
      <c r="D16" s="38" t="s">
        <v>37</v>
      </c>
      <c r="E16" s="39" t="s"/>
      <c r="F16" s="38" t="s">
        <v>38</v>
      </c>
      <c r="G16" s="38" t="s">
        <v>38</v>
      </c>
      <c r="H16" s="38" t="s">
        <v>38</v>
      </c>
      <c r="I16" s="38" t="s">
        <v>38</v>
      </c>
      <c r="J16" s="38" t="s">
        <v>38</v>
      </c>
      <c r="K16" s="40" t="s">
        <v>38</v>
      </c>
      <c r="L16" s="38" t="s">
        <v>37</v>
      </c>
      <c r="M16" s="38" t="s">
        <v>38</v>
      </c>
      <c r="N16" s="38" t="s">
        <v>38</v>
      </c>
      <c r="O16" s="38" t="s">
        <v>36</v>
      </c>
      <c r="P16" s="38" t="s">
        <v>37</v>
      </c>
      <c r="Q16" s="41" t="s">
        <v>38</v>
      </c>
      <c r="R16" s="42" t="s">
        <v>38</v>
      </c>
    </row>
    <row hidden="false" ht="15.75" outlineLevel="0" r="17">
      <c r="A17" s="43" t="n"/>
      <c r="B17" s="44" t="s">
        <v>39</v>
      </c>
      <c r="C17" s="45" t="n"/>
      <c r="D17" s="45" t="n"/>
      <c r="E17" s="46" t="s">
        <v>39</v>
      </c>
      <c r="F17" s="47" t="n"/>
      <c r="G17" s="47" t="n"/>
      <c r="H17" s="47" t="n"/>
      <c r="I17" s="47" t="n"/>
      <c r="J17" s="47" t="n"/>
      <c r="K17" s="47" t="n"/>
      <c r="L17" s="48" t="s">
        <v>39</v>
      </c>
      <c r="M17" s="48" t="s">
        <v>40</v>
      </c>
      <c r="N17" s="47" t="n"/>
      <c r="O17" s="48" t="s">
        <v>41</v>
      </c>
      <c r="P17" s="48" t="s">
        <v>39</v>
      </c>
      <c r="Q17" s="45" t="n"/>
      <c r="R17" s="49" t="n"/>
    </row>
    <row hidden="false" ht="15" outlineLevel="0" r="18">
      <c r="A18" s="22" t="s">
        <v>42</v>
      </c>
      <c r="B18" s="0" t="n"/>
      <c r="C18" s="0" t="n"/>
      <c r="D18" s="0" t="n"/>
    </row>
    <row hidden="false" ht="15" outlineLevel="0" r="19">
      <c r="A19" s="1" t="s">
        <v>43</v>
      </c>
    </row>
    <row hidden="false" ht="15" outlineLevel="0" r="20">
      <c r="A20" s="1" t="s">
        <v>44</v>
      </c>
    </row>
    <row hidden="false" ht="15" outlineLevel="0" r="21"/>
    <row hidden="false" ht="15" outlineLevel="0" r="22">
      <c r="A22" s="0" t="s">
        <v>45</v>
      </c>
      <c r="B22" s="50" t="s">
        <v>38</v>
      </c>
      <c r="C22" s="51" t="n"/>
      <c r="G22" s="52" t="n"/>
    </row>
    <row hidden="false" ht="15" outlineLevel="0" r="23">
      <c r="A23" s="0" t="s">
        <v>46</v>
      </c>
      <c r="C23" s="51" t="n"/>
    </row>
    <row hidden="false" ht="15" outlineLevel="0" r="24">
      <c r="A24" s="0" t="s">
        <v>47</v>
      </c>
      <c r="B24" s="50" t="s">
        <v>38</v>
      </c>
      <c r="C24" s="51" t="n"/>
    </row>
    <row hidden="false" ht="15" outlineLevel="0" r="25">
      <c r="A25" s="0" t="s">
        <v>48</v>
      </c>
      <c r="B25" s="50" t="s">
        <v>38</v>
      </c>
      <c r="C25" s="51" t="n"/>
    </row>
    <row hidden="false" ht="15" outlineLevel="0" r="26">
      <c r="A26" s="0" t="s">
        <v>49</v>
      </c>
      <c r="B26" s="0" t="n"/>
      <c r="C26" s="0" t="n"/>
    </row>
    <row hidden="false" ht="15" outlineLevel="0" r="27">
      <c r="A27" s="0" t="s">
        <v>50</v>
      </c>
      <c r="B27" s="50" t="s">
        <v>38</v>
      </c>
      <c r="C27" s="51" t="n"/>
    </row>
    <row hidden="false" ht="15" outlineLevel="0" r="28">
      <c r="A28" s="0" t="s">
        <v>51</v>
      </c>
      <c r="B28" s="50" t="s">
        <v>38</v>
      </c>
      <c r="C28" s="51" t="n"/>
    </row>
    <row hidden="false" ht="15" outlineLevel="0" r="29">
      <c r="A29" s="0" t="s">
        <v>52</v>
      </c>
      <c r="B29" s="50" t="s">
        <v>38</v>
      </c>
      <c r="C29" s="51" t="n"/>
    </row>
    <row hidden="false" ht="15" outlineLevel="0" r="30">
      <c r="A30" s="0" t="s">
        <v>53</v>
      </c>
      <c r="B30" s="50" t="s">
        <v>38</v>
      </c>
      <c r="C30" s="51" t="n"/>
    </row>
    <row hidden="false" ht="15" outlineLevel="0" r="31">
      <c r="A31" s="0" t="s">
        <v>54</v>
      </c>
      <c r="B31" s="51" t="s">
        <v>38</v>
      </c>
      <c r="C31" s="0" t="n"/>
    </row>
    <row hidden="false" ht="15" outlineLevel="0" r="32">
      <c r="A32" s="0" t="s">
        <v>55</v>
      </c>
      <c r="B32" s="50" t="s">
        <v>38</v>
      </c>
    </row>
    <row hidden="false" ht="15" outlineLevel="0" r="33">
      <c r="A33" s="0" t="s">
        <v>56</v>
      </c>
    </row>
    <row hidden="false" ht="15" outlineLevel="0" r="34">
      <c r="A34" s="0" t="s">
        <v>57</v>
      </c>
      <c r="B34" s="50" t="s">
        <v>38</v>
      </c>
    </row>
    <row hidden="false" ht="15" outlineLevel="0" r="35">
      <c r="A35" s="0" t="s">
        <v>58</v>
      </c>
      <c r="B35" s="50" t="s">
        <v>38</v>
      </c>
    </row>
    <row hidden="false" ht="15" outlineLevel="0" r="36"/>
  </sheetData>
  <sortState caseSensitive="false" columnSort="false" ref="A22:B35">
    <sortCondition descending="false" iconSet="3Arrows" ref="A22:A35" sortBy="value"/>
  </sortState>
  <mergeCells count="3">
    <mergeCell ref="A1:A2"/>
    <mergeCell ref="D16:E16"/>
    <mergeCell ref="B1:R1"/>
  </mergeCells>
  <hyperlinks>
    <hyperlink display="https://www.mazda.com.au/imagination-drives-us/safety-mazda-radar-cruise-control/" r:id="rId1" ref="B16"/>
    <hyperlink display="https://www.youtube.com/watch?v=8a149gmhmEQ" r:id="rId2" ref="B17"/>
    <hyperlink display="https://www.youtube.com/watch?v=ru4JIZ-x8yo" r:id="rId3" ref="B22"/>
    <hyperlink display="https://youtu.be/gGjq4dURlXg?t=104" r:id="rId4" ref="B24"/>
    <hyperlink display="https://www.youtube.com/watch?v=mTMb1JyyT1w" r:id="rId5" ref="B25"/>
    <hyperlink display="https://www.youtube.com/watch?v=VvNP2d6MDQM" r:id="rId6" ref="B27"/>
    <hyperlink display="https://www.youtube.com/watch?v=PTPavSBS_OE" r:id="rId7" ref="B28"/>
    <hyperlink display="https://www.youtube.com/watch?v=hmeRELCnQXA" r:id="rId8" ref="B29"/>
    <hyperlink display="https://www.youtube.com/watch?v=1TmhXd0LrdI" r:id="rId9" ref="B30"/>
    <hyperlink display="https://www.youtube.com/watch?v=_Etjl7d7V28" r:id="rId10" ref="B31"/>
    <hyperlink display="https://www.youtube.com/watch?v=CU87-_iZBYo" r:id="rId11" ref="B32"/>
    <hyperlink display="https://www.youtube.com/watch?v=6WjfRxtIMzo" r:id="rId12" ref="B34"/>
    <hyperlink display="https://www.youtube.com/watch?v=ZcrA51GPMCQ" r:id="rId13" ref="B35"/>
    <hyperlink display="https://www.youtube.com/watch?v=WhfVlLg3360" r:id="rId14" ref="C16"/>
    <hyperlink display="https://www.mazda.com.au/imagination-drives-us/safety-lane-keep-assist-system/" r:id="rId15" ref="D16"/>
    <hyperlink display="https://www.youtube.com/watch?v=Lj1GA_z_LMs" r:id="rId16" ref="E17"/>
    <hyperlink display="https://www.mazda.com.au/imagination-drives-us/safety-adaptive-led-headlamps/" r:id="rId17" ref="F16"/>
    <hyperlink display="https://www.youtube.com/watch?v=WKlqeyN_7z0" r:id="rId18" ref="G16"/>
    <hyperlink display="https://www.youtube.com/watch?v=ZO2xFagtTZw" r:id="rId19" ref="H16"/>
    <hyperlink display="https://www.mazda.com.au/imagination-drives-us/safety-driver-attention-alert/" r:id="rId20" ref="I16"/>
    <hyperlink display="https://www.youtube.com/watch?v=wMl6QJhMtUY" r:id="rId21" ref="J16"/>
    <hyperlink display="https://www.youtube.com/watch?v=wMl6QJhMtUY" r:id="rId21" ref="K16"/>
    <hyperlink display="https://www.mazda.com.au/imagination-drives-us/safety-smart-city-brake-support/" r:id="rId22" ref="L16"/>
    <hyperlink display="https://www.youtube.com/watch?v=fr6DY2TeihA" r:id="rId23" ref="L17"/>
    <hyperlink display="https://www.youtube.com/watch?v=zVCBr49Lvko" r:id="rId24" ref="M16"/>
    <hyperlink display="https://www.youtube.com/watch?v=pgSQfs--sDk" r:id="rId25" ref="M17"/>
    <hyperlink display="https://www.mazda.com.au/imagination-drives-us/safety-smart-city-brake-support-reverse/" r:id="rId26" ref="N16"/>
    <hyperlink display="https://www.youtube.com/watch?v=dYmw6Wju8qU" r:id="rId27" ref="O16"/>
    <hyperlink display="https://www.youtube.com/watch?v=mLKTJYArEjQ" r:id="rId28" ref="O17"/>
    <hyperlink display="https://www.mazda.com.au/imagination-drives-us/safety-blind-spot-monitoring/" r:id="rId29" ref="P16"/>
    <hyperlink display="https://www.youtube.com/watch?v=Ys-UsVmd4mA" r:id="rId30" ref="P17"/>
    <hyperlink display="https://www.youtube.com/watch?v=z0g5e1zARcI" r:id="rId31" ref="Q16"/>
    <hyperlink display="https://www.mazda.com.au/imagination-drives-us/safety-traffic-sign-recognition/" r:id="rId32" ref="R16"/>
  </hyperlinks>
  <pageMargins bottom="0.75" footer="0.30000001192092896" header="0.30000001192092896" left="0.70000004768371582" right="0.70000004768371582" top="0.75"/>
  <pageSetup fitToHeight="0" fitToWidth="0" orientation="portrait" paperHeight="279.3998mm" paperSize="1" paperWidth="215.8999mm" scale="100"/>
  <legacyDrawing r:id="rId33"/>
</worksheet>
</file>

<file path=xl/worksheets/sheet2.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I53"/>
  <sheetViews>
    <sheetView showZeros="true" workbookViewId="0"/>
  </sheetViews>
  <sheetFormatPr baseColWidth="8" customHeight="false" defaultColWidth="9.1406253092569258" defaultRowHeight="15" zeroHeight="false"/>
  <cols>
    <col customWidth="true" max="1" min="1" outlineLevel="0" width="50.425780790740248"/>
    <col customWidth="true" max="2" min="2" outlineLevel="0" width="27.855469151108874"/>
    <col bestFit="true" customWidth="true" max="3" min="3" outlineLevel="0" width="24.285155988981867"/>
    <col bestFit="true" customWidth="true" max="4" min="4" outlineLevel="0" width="22.999999154169092"/>
    <col bestFit="true" customWidth="true" max="5" min="5" outlineLevel="0" width="30.425780114075522"/>
    <col bestFit="true" customWidth="true" max="6" min="6" outlineLevel="0" width="16.999999492501455"/>
    <col bestFit="true" customWidth="true" max="7" min="7" outlineLevel="0" width="10.285156327314231"/>
    <col customWidth="true" max="9" min="8" outlineLevel="0" width="9.1406253092569258"/>
    <col bestFit="true" customWidth="true" hidden="true" max="16384" min="10" outlineLevel="0" width="9.1406253092569258"/>
  </cols>
  <sheetData>
    <row outlineLevel="0" r="1">
      <c r="A1" t="n"/>
      <c r="D1" s="53" t="s">
        <v>59</v>
      </c>
      <c r="E1" s="53" t="s"/>
      <c r="F1" s="53" t="s"/>
    </row>
    <row outlineLevel="0" r="2">
      <c r="A2" t="n"/>
      <c r="B2" t="n"/>
      <c r="D2" s="54" t="s">
        <v>60</v>
      </c>
      <c r="E2" s="54" t="s"/>
      <c r="F2" s="54" t="s"/>
    </row>
    <row customHeight="true" ht="15" outlineLevel="0" r="3">
      <c r="A3" t="n"/>
      <c r="B3" t="n"/>
      <c r="D3" s="55" t="s">
        <v>61</v>
      </c>
      <c r="E3" s="55" t="s"/>
      <c r="F3" s="55" t="s"/>
    </row>
    <row outlineLevel="0" r="4">
      <c r="B4" s="56" t="n"/>
      <c r="D4" s="57" t="s">
        <v>61</v>
      </c>
      <c r="E4" s="57" t="s"/>
      <c r="F4" s="57" t="s"/>
    </row>
    <row outlineLevel="0" r="5">
      <c r="A5" t="n"/>
    </row>
    <row customHeight="true" ht="21" outlineLevel="0" r="7"/>
    <row customHeight="true" ht="46.5" outlineLevel="0" r="8">
      <c r="A8" t="n"/>
    </row>
    <row ht="15.75" outlineLevel="0" r="10"/>
    <row ht="15.75" outlineLevel="0" r="11">
      <c r="A11" s="58" t="s">
        <v>62</v>
      </c>
      <c r="B11" s="59" t="s"/>
      <c r="C11" s="60" t="n"/>
    </row>
    <row customHeight="true" ht="15" outlineLevel="0" r="12">
      <c r="A12" s="61" t="s">
        <v>63</v>
      </c>
      <c r="B12" s="62" t="s"/>
      <c r="C12" s="63" t="n"/>
      <c r="E12" s="64" t="s">
        <v>64</v>
      </c>
      <c r="F12" s="65" t="s"/>
      <c r="G12" s="66" t="s"/>
    </row>
    <row customHeight="true" ht="15" outlineLevel="0" r="13">
      <c r="A13" s="67" t="s">
        <v>65</v>
      </c>
      <c r="B13" s="68" t="s"/>
      <c r="C13" s="63" t="n"/>
      <c r="E13" s="69" t="s"/>
      <c r="F13" s="70" t="s"/>
      <c r="G13" s="71" t="s"/>
    </row>
    <row ht="15.75" outlineLevel="0" r="14">
      <c r="A14" s="72" t="s">
        <v>66</v>
      </c>
      <c r="B14" s="73" t="s"/>
      <c r="C14" s="74" t="s">
        <v>67</v>
      </c>
      <c r="E14" s="75" t="s"/>
      <c r="F14" s="76" t="s"/>
      <c r="G14" s="77" t="s"/>
    </row>
    <row ht="15.75" outlineLevel="0" r="15">
      <c r="A15" s="78" t="s">
        <v>68</v>
      </c>
      <c r="B15" s="79" t="s"/>
      <c r="C15" s="80" t="s">
        <v>69</v>
      </c>
    </row>
    <row outlineLevel="0" r="17">
      <c r="A17" s="81" t="s">
        <v>70</v>
      </c>
      <c r="B17" s="81" t="s"/>
      <c r="C17" s="81" t="s"/>
      <c r="D17" s="81" t="s"/>
      <c r="E17" s="81" t="s"/>
      <c r="F17" s="81" t="s"/>
    </row>
    <row outlineLevel="0" r="18">
      <c r="A18" s="0" t="inlineStr">
        <is>
          <t xml:space="preserve">Function</t>
        </is>
      </c>
      <c r="B18" s="0" t="inlineStr">
        <is>
          <t xml:space="preserve">Cell 1</t>
        </is>
      </c>
      <c r="C18" s="0" t="inlineStr">
        <is>
          <t xml:space="preserve">Cell 2</t>
        </is>
      </c>
      <c r="D18" s="0" t="inlineStr">
        <is>
          <t xml:space="preserve">Cell 3</t>
        </is>
      </c>
      <c r="E18" s="0" t="inlineStr">
        <is>
          <t xml:space="preserve">Cell 4</t>
        </is>
      </c>
      <c r="F18" s="0" t="inlineStr">
        <is>
          <t xml:space="preserve">Cell 5</t>
        </is>
      </c>
    </row>
    <row outlineLevel="0" r="19">
      <c r="A19" s="0" t="s">
        <v>71</v>
      </c>
      <c r="B19" s="82" t="s">
        <v>72</v>
      </c>
    </row>
    <row outlineLevel="0" r="20">
      <c r="A20" s="0" t="s">
        <v>47</v>
      </c>
      <c r="B20" s="82" t="s">
        <v>73</v>
      </c>
    </row>
    <row outlineLevel="0" r="21">
      <c r="A21" s="0" t="s">
        <v>74</v>
      </c>
      <c r="B21" s="82" t="s">
        <v>75</v>
      </c>
    </row>
    <row outlineLevel="0" r="22">
      <c r="A22" s="0" t="s">
        <v>76</v>
      </c>
      <c r="B22" s="82" t="s">
        <v>77</v>
      </c>
      <c r="C22" s="82" t="s">
        <v>78</v>
      </c>
      <c r="D22" s="82" t="s">
        <v>79</v>
      </c>
      <c r="E22" s="82" t="s">
        <v>80</v>
      </c>
      <c r="F22" s="82" t="s">
        <v>81</v>
      </c>
    </row>
    <row outlineLevel="0" r="23">
      <c r="A23" s="0" t="s">
        <v>82</v>
      </c>
      <c r="B23" s="82" t="s">
        <v>75</v>
      </c>
      <c r="C23" s="83" t="s">
        <v>83</v>
      </c>
      <c r="D23" s="82" t="s">
        <v>84</v>
      </c>
      <c r="E23" s="82" t="s">
        <v>85</v>
      </c>
    </row>
    <row outlineLevel="0" r="24">
      <c r="A24" s="84" t="s">
        <v>86</v>
      </c>
      <c r="B24" s="82" t="s">
        <v>87</v>
      </c>
    </row>
    <row outlineLevel="0" r="25">
      <c r="A25" s="0" t="s">
        <v>88</v>
      </c>
      <c r="B25" s="82" t="s">
        <v>89</v>
      </c>
      <c r="C25" s="82" t="s">
        <v>90</v>
      </c>
      <c r="D25" s="82" t="s">
        <v>91</v>
      </c>
    </row>
    <row outlineLevel="0" r="26">
      <c r="A26" s="0" t="s">
        <v>92</v>
      </c>
      <c r="B26" s="82" t="s">
        <v>93</v>
      </c>
    </row>
    <row outlineLevel="0" r="27">
      <c r="A27" s="0" t="s">
        <v>94</v>
      </c>
      <c r="B27" s="82" t="s">
        <v>73</v>
      </c>
      <c r="C27" s="82" t="s">
        <v>95</v>
      </c>
    </row>
    <row outlineLevel="0" r="28">
      <c r="A28" s="0" t="s">
        <v>96</v>
      </c>
      <c r="B28" s="82" t="s">
        <v>97</v>
      </c>
    </row>
    <row outlineLevel="0" r="29">
      <c r="A29" s="0" t="s">
        <v>98</v>
      </c>
      <c r="B29" s="82" t="s">
        <v>99</v>
      </c>
    </row>
    <row outlineLevel="0" r="30">
      <c r="A30" s="0" t="s">
        <v>100</v>
      </c>
      <c r="B30" s="82" t="s">
        <v>101</v>
      </c>
    </row>
    <row outlineLevel="0" r="31">
      <c r="A31" s="0" t="s">
        <v>102</v>
      </c>
      <c r="B31" s="82" t="s">
        <v>99</v>
      </c>
    </row>
    <row outlineLevel="0" r="32">
      <c r="A32" s="0" t="s">
        <v>103</v>
      </c>
      <c r="B32" s="83" t="s">
        <v>104</v>
      </c>
      <c r="C32" s="82" t="s">
        <v>85</v>
      </c>
    </row>
    <row outlineLevel="0" r="33">
      <c r="A33" s="0" t="s">
        <v>105</v>
      </c>
      <c r="B33" s="83" t="s">
        <v>106</v>
      </c>
      <c r="C33" s="82" t="s">
        <v>107</v>
      </c>
      <c r="D33" s="82" t="s">
        <v>108</v>
      </c>
    </row>
    <row outlineLevel="0" r="34">
      <c r="A34" s="0" t="s">
        <v>109</v>
      </c>
      <c r="B34" s="82" t="s">
        <v>110</v>
      </c>
    </row>
    <row outlineLevel="0" r="35">
      <c r="A35" s="0" t="s">
        <v>111</v>
      </c>
      <c r="B35" s="82" t="s">
        <v>112</v>
      </c>
    </row>
    <row outlineLevel="0" r="36">
      <c r="A36" s="0" t="s">
        <v>113</v>
      </c>
      <c r="B36" s="82" t="s">
        <v>114</v>
      </c>
    </row>
    <row outlineLevel="0" r="37">
      <c r="A37" s="0" t="s">
        <v>115</v>
      </c>
      <c r="B37" s="82" t="s">
        <v>116</v>
      </c>
      <c r="C37" s="82" t="s">
        <v>81</v>
      </c>
      <c r="D37" s="82" t="s">
        <v>87</v>
      </c>
    </row>
    <row outlineLevel="0" r="38">
      <c r="A38" s="0" t="s">
        <v>117</v>
      </c>
      <c r="B38" s="82" t="s">
        <v>118</v>
      </c>
      <c r="C38" s="82" t="s">
        <v>85</v>
      </c>
      <c r="D38" s="82" t="s">
        <v>119</v>
      </c>
    </row>
    <row outlineLevel="0" r="39">
      <c r="A39" s="0" t="s">
        <v>120</v>
      </c>
      <c r="B39" s="82" t="s">
        <v>121</v>
      </c>
      <c r="C39" s="82" t="s">
        <v>122</v>
      </c>
      <c r="D39" s="82" t="s">
        <v>123</v>
      </c>
      <c r="E39" s="82" t="s">
        <v>124</v>
      </c>
      <c r="F39" s="82" t="s">
        <v>85</v>
      </c>
    </row>
    <row outlineLevel="0" r="40">
      <c r="A40" s="0" t="s">
        <v>125</v>
      </c>
      <c r="B40" s="82" t="s">
        <v>126</v>
      </c>
    </row>
    <row outlineLevel="0" r="41">
      <c r="A41" s="0" t="s">
        <v>127</v>
      </c>
      <c r="B41" s="82" t="s">
        <v>128</v>
      </c>
      <c r="C41" s="82" t="s">
        <v>129</v>
      </c>
      <c r="D41" s="82" t="s">
        <v>130</v>
      </c>
      <c r="E41" s="82" t="n"/>
    </row>
    <row outlineLevel="0" r="42">
      <c r="A42" s="0" t="s">
        <v>131</v>
      </c>
      <c r="B42" s="82" t="s">
        <v>132</v>
      </c>
    </row>
    <row outlineLevel="0" r="43">
      <c r="A43" s="0" t="s">
        <v>133</v>
      </c>
      <c r="B43" s="82" t="s">
        <v>134</v>
      </c>
      <c r="C43" s="82" t="s">
        <v>135</v>
      </c>
    </row>
    <row outlineLevel="0" r="44">
      <c r="A44" s="0" t="s">
        <v>136</v>
      </c>
      <c r="B44" s="82" t="s">
        <v>137</v>
      </c>
      <c r="C44" s="82" t="s">
        <v>138</v>
      </c>
    </row>
    <row outlineLevel="0" r="45">
      <c r="A45" s="0" t="s">
        <v>139</v>
      </c>
      <c r="B45" s="82" t="s">
        <v>140</v>
      </c>
    </row>
    <row outlineLevel="0" r="46">
      <c r="A46" s="0" t="s">
        <v>141</v>
      </c>
      <c r="B46" s="82" t="s">
        <v>122</v>
      </c>
      <c r="C46" s="82" t="s">
        <v>142</v>
      </c>
      <c r="D46" s="82" t="s">
        <v>93</v>
      </c>
    </row>
    <row outlineLevel="0" r="47">
      <c r="A47" s="0" t="s">
        <v>143</v>
      </c>
      <c r="B47" s="82" t="s">
        <v>122</v>
      </c>
      <c r="C47" s="82" t="s">
        <v>99</v>
      </c>
    </row>
    <row outlineLevel="0" r="48">
      <c r="A48" s="0" t="s">
        <v>144</v>
      </c>
      <c r="B48" s="82" t="s">
        <v>128</v>
      </c>
      <c r="C48" s="82" t="s">
        <v>145</v>
      </c>
      <c r="D48" s="82" t="s">
        <v>146</v>
      </c>
      <c r="E48" s="82" t="s">
        <v>147</v>
      </c>
    </row>
    <row outlineLevel="0" r="49">
      <c r="A49" s="0" t="s">
        <v>148</v>
      </c>
      <c r="B49" s="82" t="s">
        <v>132</v>
      </c>
    </row>
    <row outlineLevel="0" r="50">
      <c r="A50" s="0" t="s">
        <v>149</v>
      </c>
      <c r="B50" s="82" t="s">
        <v>150</v>
      </c>
    </row>
    <row outlineLevel="0" r="51">
      <c r="A51" s="0" t="s">
        <v>151</v>
      </c>
      <c r="B51" s="82" t="s">
        <v>138</v>
      </c>
      <c r="C51" s="82" t="s">
        <v>87</v>
      </c>
    </row>
    <row outlineLevel="0" r="52">
      <c r="A52" s="0" t="s">
        <v>152</v>
      </c>
      <c r="B52" s="82" t="s">
        <v>87</v>
      </c>
    </row>
    <row outlineLevel="0" r="53">
      <c r="A53" s="0" t="s">
        <v>153</v>
      </c>
      <c r="B53" s="82" t="s">
        <v>154</v>
      </c>
    </row>
  </sheetData>
  <mergeCells count="11">
    <mergeCell ref="E12:G14"/>
    <mergeCell ref="A17:F17"/>
    <mergeCell ref="A11:B11"/>
    <mergeCell ref="A12:B12"/>
    <mergeCell ref="A13:B13"/>
    <mergeCell ref="D2:F2"/>
    <mergeCell ref="D3:F3"/>
    <mergeCell ref="D4:F4"/>
    <mergeCell ref="D1:F1"/>
    <mergeCell ref="A14:B14"/>
    <mergeCell ref="A15:B15"/>
  </mergeCells>
  <hyperlinks>
    <hyperlink display="https://youtu.be/-XTt8_HxUJY" r:id="rId2" ref="A11"/>
    <hyperlink display="https://youtu.be/ZWF34TXEvC4" r:id="rId3" ref="A12"/>
    <hyperlink display="https://youtu.be/Oa3dBAFlRe0" r:id="rId4" ref="A13"/>
    <hyperlink display="https://youtu.be/N9si40XZbcg" r:id="rId5" ref="A14"/>
    <hyperlink display="https://youtu.be/hHsMJp-P_ss" r:id="rId6" ref="A15"/>
    <hyperlink location="IC!S227" ref="B19"/>
    <hyperlink location="IC!AI359" ref="B20"/>
    <hyperlink location="IC!W260" ref="B21"/>
    <hyperlink location="SSU!AA6" ref="B22"/>
    <hyperlink location="IC!W260" ref="B23"/>
    <hyperlink location="IC!AA13" ref="B24"/>
    <hyperlink location="RBCM!AI19" ref="B25"/>
    <hyperlink location="IC!W337" ref="B26"/>
    <hyperlink location="IC!AI359" ref="B27"/>
    <hyperlink location="IC!AI288" ref="B28"/>
    <hyperlink location="IC!AA292" ref="B29"/>
    <hyperlink location="FBCM!AE12" ref="B30"/>
    <hyperlink location="IC!AA292" ref="B31"/>
    <hyperlink location="FSC Gen 1!S6" ref="B32"/>
    <hyperlink location="FBCM!W13" ref="B33"/>
    <hyperlink location="IC!AE265" ref="B34"/>
    <hyperlink location="IC!W406" ref="B35"/>
    <hyperlink location="IC!AA382" ref="B36"/>
    <hyperlink location="SSU!W9" ref="B37"/>
    <hyperlink location="FSC Gen 2!S17" ref="B38"/>
    <hyperlink location="IC!S109" ref="B39"/>
    <hyperlink location="IC!W8" ref="B40"/>
    <hyperlink location="RBCM!AE11" ref="B41"/>
    <hyperlink location="IC!AA285" ref="B42"/>
    <hyperlink location="IC!AI261" ref="B43"/>
    <hyperlink location="RBCM!S11" ref="B44"/>
    <hyperlink location="IC!W348" ref="B45"/>
    <hyperlink location="IC!W107" ref="B46"/>
    <hyperlink location="IC!W105" ref="B47"/>
    <hyperlink location="RBCM!AE11" ref="B48"/>
    <hyperlink location="IC!AA282" ref="B49"/>
    <hyperlink location="IC!S393" ref="B50"/>
    <hyperlink location="IC!S6" ref="B51"/>
    <hyperlink location="IC!AA10" ref="B52"/>
    <hyperlink location="FSC Gen 2!AI20" ref="B53"/>
    <hyperlink display="https://youtu.be/qYlogAJTcqQ" r:id="rId7" ref="C14"/>
    <hyperlink display="https://youtu.be/lMOkQyZcycE" r:id="rId8" ref="C15"/>
    <hyperlink location="SSU!W35" ref="C22"/>
    <hyperlink location="FSC Gen 2!AI10" ref="C23"/>
    <hyperlink location="RBCM!W6" ref="C25"/>
    <hyperlink location="IC!S17" ref="C27"/>
    <hyperlink location="IC!S314" ref="C32"/>
    <hyperlink location="RBCM!W31" ref="C33"/>
    <hyperlink location="SSU!S20" ref="C37"/>
    <hyperlink location="IC!S314" ref="C38"/>
    <hyperlink location="IC!W109" ref="C39"/>
    <hyperlink location="IC!X290" ref="C41"/>
    <hyperlink location="SSU!AA12" ref="C43"/>
    <hyperlink location="IC!S10" ref="C44"/>
    <hyperlink location="IC!AE316" ref="C46"/>
    <hyperlink location="IC!AA292" ref="C47"/>
    <hyperlink location="FSC Gen 2!AA6" ref="C48"/>
    <hyperlink location="IC!AA8" ref="C51"/>
    <hyperlink location="SSU!W44" ref="D22"/>
    <hyperlink location="FSC Gen 2!AI55" ref="D23"/>
    <hyperlink location="RBCM!S39" ref="D25"/>
    <hyperlink location="RBCM!AA39" ref="D33"/>
    <hyperlink location="IC!AA9" ref="D37"/>
    <hyperlink location="IC!S285" ref="D38"/>
    <hyperlink location="FSC Gen 1!AE8" ref="D39"/>
    <hyperlink location="IC!P301" ref="D41"/>
    <hyperlink location="IC!W337" ref="D46"/>
    <hyperlink location="FSC Gen 2!AA50" ref="D48"/>
    <hyperlink location="SSU!S29" ref="E22"/>
    <hyperlink location="IC!S314" ref="E23"/>
    <hyperlink location="FSC Gen 2!A1" ref="E39"/>
    <hyperlink location="IC!AA370" ref="E48"/>
    <hyperlink location="SSU!S21" ref="F22"/>
    <hyperlink location="IC!S314" ref="F39"/>
  </hyperlinks>
  <pageMargins bottom="0.75" footer="0.30000001192092896" header="0.30000001192092896" left="0.70000004768371582" right="0.70000004768371582" top="0.75"/>
  <pageSetup fitToHeight="0" fitToWidth="0" orientation="portrait" paperHeight="279.3998mm" paperSize="1" paperWidth="215.8999mm" scale="100"/>
  <tableParts count="1">
    <tablePart r:id="rId1"/>
  </tableParts>
</worksheet>
</file>

<file path=xl/worksheets/sheet3.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L27"/>
  <sheetViews>
    <sheetView showZeros="true" workbookViewId="0"/>
  </sheetViews>
  <sheetFormatPr baseColWidth="8" customHeight="false" defaultColWidth="9.1406253092569258" defaultRowHeight="15" zeroHeight="true"/>
  <cols>
    <col bestFit="true" customWidth="true" max="1" min="1" outlineLevel="0" width="18.855468305277967"/>
    <col bestFit="true" customWidth="true" max="2" min="2" outlineLevel="0" width="18.28515632731423"/>
    <col bestFit="true" customWidth="true" max="3" min="3" outlineLevel="0" width="4.5703126546284629"/>
    <col bestFit="true" customWidth="true" max="5" min="4" outlineLevel="0" width="9.0000001691661815"/>
    <col customWidth="true" max="13" min="6" outlineLevel="0" width="9.1406253092569258"/>
    <col bestFit="true" customWidth="true" max="14" min="14" outlineLevel="0" width="5.4257812982387943"/>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bestFit="true"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customWidth="true" max="38" min="36" outlineLevel="0" width="9.1406253092569258"/>
    <col bestFit="true" customWidth="true" hidden="true" max="16384" min="39" outlineLevel="0" width="9.1406253092569258"/>
  </cols>
  <sheetData>
    <row hidden="false" ht="15" outlineLevel="0" r="1">
      <c r="A1" s="85" t="s">
        <v>155</v>
      </c>
      <c r="B1" s="86"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87" t="n"/>
      <c r="AK1" s="87" t="n"/>
    </row>
    <row hidden="false" ht="15.75" outlineLevel="0" r="2">
      <c r="A2" s="88" t="s">
        <v>157</v>
      </c>
      <c r="B2" s="89" t="s">
        <v>158</v>
      </c>
      <c r="C2" s="90" t="s">
        <v>159</v>
      </c>
      <c r="D2" s="90" t="s"/>
      <c r="E2" s="90" t="s"/>
      <c r="S2" s="87" t="n"/>
    </row>
    <row hidden="false" ht="15.75" outlineLevel="0" r="3">
      <c r="A3" s="91" t="s">
        <v>160</v>
      </c>
      <c r="B3" s="92" t="s">
        <v>160</v>
      </c>
      <c r="C3" s="93" t="n"/>
      <c r="D3" s="94" t="n"/>
      <c r="E3" s="94" t="n"/>
      <c r="F3" s="94" t="n"/>
      <c r="G3" s="94" t="n"/>
      <c r="H3" s="94" t="n"/>
      <c r="I3" s="94" t="n"/>
      <c r="J3" s="94" t="n"/>
      <c r="K3" s="94" t="n"/>
      <c r="L3" s="94" t="s">
        <v>161</v>
      </c>
      <c r="M3" s="94" t="n"/>
      <c r="N3" s="60" t="n"/>
      <c r="P3" s="95" t="str">
        <f aca="false" ca="false" dt2D="false" dtr="false" t="normal">RIGHT(D5, 1)&amp;E5&amp;"-"&amp;F5&amp;"-"&amp;G5</f>
        <v>726-01-01</v>
      </c>
      <c r="Q3" s="96" t="s"/>
      <c r="R3" s="97" t="s">
        <v>162</v>
      </c>
      <c r="S3" s="97" t="s"/>
      <c r="T3" s="97" t="s"/>
      <c r="U3" s="97" t="s"/>
      <c r="V3" s="97" t="s"/>
      <c r="W3" s="97" t="s"/>
      <c r="X3" s="97" t="s"/>
      <c r="Y3" s="97" t="s"/>
      <c r="Z3" s="97" t="s"/>
      <c r="AA3" s="97" t="s"/>
      <c r="AB3" s="97" t="s"/>
      <c r="AC3" s="97" t="s"/>
      <c r="AD3" s="97" t="s"/>
      <c r="AE3" s="97" t="s"/>
      <c r="AF3" s="97" t="s"/>
      <c r="AG3" s="97" t="s"/>
      <c r="AH3" s="97" t="s"/>
      <c r="AI3" s="97" t="s"/>
      <c r="AJ3" s="97" t="s"/>
      <c r="AK3" s="97" t="s"/>
    </row>
    <row hidden="false" ht="15.75" outlineLevel="0" r="4">
      <c r="A4" s="91" t="s">
        <v>163</v>
      </c>
      <c r="B4" s="92" t="str">
        <f aca="false" ca="false" dt2D="false" dtr="false" t="normal">RIGHT(D13, 1)&amp;E13&amp;F13&amp;G13&amp;H10&amp;I10&amp;J10&amp;K10&amp;L10</f>
        <v>726G1G1000000002F</v>
      </c>
      <c r="C4" s="98" t="n"/>
      <c r="D4" s="99" t="s">
        <v>164</v>
      </c>
      <c r="E4" s="100" t="s"/>
      <c r="F4" s="101" t="s"/>
      <c r="G4" s="102" t="s"/>
      <c r="H4" s="53" t="s">
        <v>165</v>
      </c>
      <c r="I4" s="53" t="s">
        <v>166</v>
      </c>
      <c r="J4" s="53" t="s">
        <v>167</v>
      </c>
      <c r="K4" s="53" t="s">
        <v>168</v>
      </c>
      <c r="L4" s="53" t="s">
        <v>169</v>
      </c>
      <c r="N4" s="63" t="n"/>
      <c r="P4" s="103" t="s">
        <v>170</v>
      </c>
      <c r="Q4" s="104" t="s"/>
      <c r="R4" s="105" t="s"/>
      <c r="S4" s="106" t="s"/>
      <c r="T4" s="103" t="s">
        <v>171</v>
      </c>
      <c r="U4" s="107" t="s"/>
      <c r="V4" s="108" t="s"/>
      <c r="W4" s="109" t="s"/>
      <c r="X4" s="103" t="s">
        <v>172</v>
      </c>
      <c r="Y4" s="110" t="s"/>
      <c r="Z4" s="111" t="s"/>
      <c r="AA4" s="112" t="s"/>
      <c r="AB4" s="103" t="s">
        <v>173</v>
      </c>
      <c r="AC4" s="113" t="s"/>
      <c r="AD4" s="114" t="s"/>
      <c r="AE4" s="115" t="s"/>
      <c r="AF4" s="116" t="s">
        <v>174</v>
      </c>
      <c r="AG4" s="117" t="s"/>
      <c r="AH4" s="118" t="s"/>
      <c r="AI4" s="119" t="s"/>
      <c r="AJ4" s="120" t="n"/>
      <c r="AK4" s="121" t="n"/>
    </row>
    <row hidden="false" ht="15.75" outlineLevel="0" r="5">
      <c r="A5" s="91" t="s">
        <v>175</v>
      </c>
      <c r="B5" s="92" t="s">
        <v>175</v>
      </c>
      <c r="C5" s="98" t="s">
        <v>176</v>
      </c>
      <c r="D5" s="122" t="s">
        <v>177</v>
      </c>
      <c r="E5" s="123" t="s">
        <v>178</v>
      </c>
      <c r="F5" s="123" t="s">
        <v>179</v>
      </c>
      <c r="G5" s="124" t="s">
        <v>179</v>
      </c>
      <c r="H5" s="125" t="n">
        <f aca="false" ca="false" dt2D="false" dtr="false" t="normal">MID($A$4, 8, 2)</f>
        <v>0</v>
      </c>
      <c r="I5" s="126" t="n">
        <f aca="false" ca="false" dt2D="false" dtr="false" t="normal">MID($A$4, 10, 2)</f>
        <v>0</v>
      </c>
      <c r="J5" s="126" t="n">
        <f aca="false" ca="false" dt2D="false" dtr="false" t="normal">MID($A$4, 12, 2)</f>
        <v>0</v>
      </c>
      <c r="K5" s="127" t="n">
        <f aca="false" ca="false" dt2D="false" dtr="false" t="normal">MID($A$4, 14, 2)</f>
        <v>0</v>
      </c>
      <c r="L5" s="128" t="str">
        <f aca="false" ca="false" dt2D="false" dtr="false" t="normal">MID($A$4, 16, 2)</f>
        <v>2F</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16" t="s">
        <v>183</v>
      </c>
      <c r="AG5" s="132" t="s"/>
      <c r="AH5" s="133" t="s"/>
      <c r="AI5" s="134" t="s"/>
      <c r="AJ5" s="121" t="n"/>
      <c r="AK5" s="121" t="n"/>
    </row>
    <row customHeight="true" hidden="false" ht="15" outlineLevel="0" r="6">
      <c r="A6" s="135" t="s">
        <v>184</v>
      </c>
      <c r="B6" s="92" t="str">
        <f aca="false" ca="false" dt2D="false" dtr="false" t="normal">RIGHT(D24, 1)&amp;E24&amp;F24&amp;G24&amp;H21&amp;I21&amp;J21</f>
        <v>726G2G1000030</v>
      </c>
      <c r="C6" s="98" t="s">
        <v>185</v>
      </c>
      <c r="D6" s="53" t="n">
        <f aca="false" ca="false" dt2D="false" dtr="false" t="normal">HEX2BIN(D5, 8)</f>
        <v>111</v>
      </c>
      <c r="E6" s="53" t="n">
        <f aca="false" ca="false" dt2D="false" dtr="false" t="normal">HEX2BIN(E5, 8)</f>
        <v>100110</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c r="N6" s="63" t="n"/>
      <c r="P6" s="136" t="n">
        <f aca="false" ca="false" dt2D="false" dtr="false" t="normal">MID(H6, 1, 1)</f>
        <v>0</v>
      </c>
      <c r="Q6" s="137" t="n">
        <f aca="false" ca="false" dt2D="false" dtr="false" t="normal">P6</f>
        <v>0</v>
      </c>
      <c r="R6" s="120" t="s">
        <v>186</v>
      </c>
      <c r="S6" s="138" t="s">
        <v>187</v>
      </c>
      <c r="T6" s="136" t="n">
        <f aca="false" ca="false" dt2D="false" dtr="false" t="normal">MID(I6, 1, 1)</f>
        <v>0</v>
      </c>
      <c r="U6" s="137" t="n">
        <f aca="false" ca="false" dt2D="false" dtr="false" t="normal">T6</f>
        <v>0</v>
      </c>
      <c r="V6" s="120" t="s">
        <v>186</v>
      </c>
      <c r="W6" s="139" t="s">
        <v>188</v>
      </c>
      <c r="X6" s="136" t="n">
        <f aca="false" ca="false" dt2D="false" dtr="false" t="normal">MID(J6, 1, 1)</f>
        <v>0</v>
      </c>
      <c r="Y6" s="137" t="n">
        <f aca="false" ca="false" dt2D="false" dtr="false" t="normal">X6</f>
        <v>0</v>
      </c>
      <c r="Z6" s="120" t="s">
        <v>186</v>
      </c>
      <c r="AA6" s="140" t="s">
        <v>189</v>
      </c>
      <c r="AB6" s="136" t="n">
        <f aca="false" ca="false" dt2D="false" dtr="false" t="normal">MID(K6, 1, 1)</f>
        <v>0</v>
      </c>
      <c r="AC6" s="137" t="n">
        <f aca="false" ca="false" dt2D="false" dtr="false" t="normal">AB6</f>
        <v>0</v>
      </c>
      <c r="AD6" s="120" t="s">
        <v>186</v>
      </c>
      <c r="AE6" s="140" t="s">
        <v>190</v>
      </c>
      <c r="AF6" s="141" t="s"/>
      <c r="AG6" s="142" t="s"/>
      <c r="AH6" s="142" t="s"/>
      <c r="AI6" s="143" t="s"/>
      <c r="AJ6" s="121" t="n"/>
      <c r="AK6" s="121" t="n"/>
    </row>
    <row hidden="false" ht="15" outlineLevel="0" r="7">
      <c r="C7" s="98" t="s">
        <v>191</v>
      </c>
      <c r="D7" s="53" t="n">
        <f aca="false" ca="false" dt2D="false" dtr="false" t="normal">HEX2DEC(D5)</f>
        <v>7</v>
      </c>
      <c r="E7" s="53" t="n">
        <f aca="false" ca="false" dt2D="false" dtr="false" t="normal">HEX2DEC(E5)</f>
        <v>38</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SUM(D7:K7)</f>
        <v>47</v>
      </c>
      <c r="N7" s="63" t="n"/>
      <c r="P7" s="136" t="n">
        <f aca="false" ca="false" dt2D="false" dtr="false" t="normal">MID(H6, 2, 1)</f>
        <v>0</v>
      </c>
      <c r="Q7" s="137" t="n">
        <f aca="false" ca="false" dt2D="false" dtr="false" t="normal">P7</f>
        <v>0</v>
      </c>
      <c r="R7" s="120" t="s">
        <v>192</v>
      </c>
      <c r="S7" s="144" t="s"/>
      <c r="T7" s="136" t="n">
        <f aca="false" ca="false" dt2D="false" dtr="false" t="normal">MID(I6, 2, 1)</f>
        <v>0</v>
      </c>
      <c r="U7" s="137" t="n">
        <f aca="false" ca="false" dt2D="false" dtr="false" t="normal">T7</f>
        <v>0</v>
      </c>
      <c r="V7" s="120" t="s">
        <v>192</v>
      </c>
      <c r="W7" s="139" t="s">
        <v>193</v>
      </c>
      <c r="X7" s="136" t="n">
        <f aca="false" ca="false" dt2D="false" dtr="false" t="normal">MID(J6, 2, 1)</f>
        <v>0</v>
      </c>
      <c r="Y7" s="137" t="n">
        <f aca="false" ca="false" dt2D="false" dtr="false" t="normal">X7</f>
        <v>0</v>
      </c>
      <c r="Z7" s="120" t="s">
        <v>192</v>
      </c>
      <c r="AA7" s="145" t="s"/>
      <c r="AB7" s="136" t="n">
        <f aca="false" ca="false" dt2D="false" dtr="false" t="normal">MID(K6, 2, 1)</f>
        <v>0</v>
      </c>
      <c r="AC7" s="137" t="n">
        <f aca="false" ca="false" dt2D="false" dtr="false" t="normal">AB7</f>
        <v>0</v>
      </c>
      <c r="AD7" s="120" t="s">
        <v>192</v>
      </c>
      <c r="AE7" s="146" t="s"/>
      <c r="AF7" s="147" t="s"/>
      <c r="AG7" s="142" t="s"/>
      <c r="AH7" s="142" t="s"/>
      <c r="AI7" s="148" t="s"/>
      <c r="AJ7" s="121" t="n"/>
      <c r="AK7" s="121" t="n"/>
    </row>
    <row hidden="false" ht="15" outlineLevel="0" r="8">
      <c r="C8" s="98" t="s">
        <v>194</v>
      </c>
      <c r="D8" s="149" t="n">
        <f aca="false" ca="false" dt2D="false" dtr="false" t="normal">D5</f>
        <v>7</v>
      </c>
      <c r="E8" s="149" t="n">
        <f aca="false" ca="false" dt2D="false" dtr="false" t="normal">E5</f>
        <v>26</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150" t="s"/>
      <c r="T8" s="136" t="n">
        <f aca="false" ca="false" dt2D="false" dtr="false" t="normal">MID(I6, 3, 1)</f>
        <v>0</v>
      </c>
      <c r="U8" s="137" t="n">
        <f aca="false" ca="false" dt2D="false" dtr="false" t="normal">T8</f>
        <v>0</v>
      </c>
      <c r="V8" s="120" t="s">
        <v>195</v>
      </c>
      <c r="W8" s="131" t="s">
        <v>196</v>
      </c>
      <c r="X8" s="136" t="n">
        <f aca="false" ca="false" dt2D="false" dtr="false" t="normal">MID(J6, 3, 1)</f>
        <v>0</v>
      </c>
      <c r="Y8" s="137" t="n">
        <f aca="false" ca="false" dt2D="false" dtr="false" t="normal">X8</f>
        <v>0</v>
      </c>
      <c r="Z8" s="120" t="s">
        <v>195</v>
      </c>
      <c r="AA8" s="151" t="s"/>
      <c r="AB8" s="136" t="n">
        <f aca="false" ca="false" dt2D="false" dtr="false" t="normal">MID(K6, 3, 1)</f>
        <v>0</v>
      </c>
      <c r="AC8" s="137" t="n">
        <f aca="false" ca="false" dt2D="false" dtr="false" t="normal">AB8</f>
        <v>0</v>
      </c>
      <c r="AD8" s="120" t="s">
        <v>195</v>
      </c>
      <c r="AE8" s="152" t="s"/>
      <c r="AF8" s="153" t="s"/>
      <c r="AG8" s="142" t="s"/>
      <c r="AH8" s="142" t="s"/>
      <c r="AI8" s="154" t="s"/>
      <c r="AJ8" s="121" t="n"/>
      <c r="AK8" s="121" t="n"/>
    </row>
    <row customHeight="true" hidden="false" ht="15" outlineLevel="0" r="9">
      <c r="C9" s="98" t="n"/>
      <c r="N9" s="63" t="n"/>
      <c r="P9" s="136" t="n">
        <f aca="false" ca="false" dt2D="false" dtr="false" t="normal">MID(H6, 4, 1)</f>
        <v>0</v>
      </c>
      <c r="Q9" s="137" t="n">
        <f aca="false" ca="false" dt2D="false" dtr="false" t="normal">P9</f>
        <v>0</v>
      </c>
      <c r="R9" s="120" t="s">
        <v>197</v>
      </c>
      <c r="S9" s="155" t="s"/>
      <c r="T9" s="136" t="n">
        <f aca="false" ca="false" dt2D="false" dtr="false" t="normal">MID(I6, 4, 1)</f>
        <v>0</v>
      </c>
      <c r="U9" s="137" t="n">
        <f aca="false" ca="false" dt2D="false" dtr="false" t="normal">T9</f>
        <v>0</v>
      </c>
      <c r="V9" s="120" t="s">
        <v>197</v>
      </c>
      <c r="W9" s="140" t="s">
        <v>198</v>
      </c>
      <c r="X9" s="136" t="n">
        <f aca="false" ca="false" dt2D="false" dtr="false" t="normal">MID(J6, 4, 1)</f>
        <v>0</v>
      </c>
      <c r="Y9" s="137" t="n">
        <f aca="false" ca="false" dt2D="false" dtr="false" t="normal">X9</f>
        <v>0</v>
      </c>
      <c r="Z9" s="120" t="s">
        <v>197</v>
      </c>
      <c r="AA9" s="140" t="s">
        <v>199</v>
      </c>
      <c r="AB9" s="136" t="n">
        <f aca="false" ca="false" dt2D="false" dtr="false" t="normal">MID(K6, 4, 1)</f>
        <v>0</v>
      </c>
      <c r="AC9" s="137" t="n">
        <f aca="false" ca="false" dt2D="false" dtr="false" t="normal">AB9</f>
        <v>0</v>
      </c>
      <c r="AD9" s="120" t="s">
        <v>197</v>
      </c>
      <c r="AE9" s="156" t="s"/>
      <c r="AF9" s="157" t="s"/>
      <c r="AG9" s="142" t="s"/>
      <c r="AH9" s="142" t="s"/>
      <c r="AI9" s="158" t="s"/>
      <c r="AJ9" s="121" t="n"/>
      <c r="AK9" s="121" t="n"/>
    </row>
    <row customHeight="true" hidden="false" ht="15" outlineLevel="0" r="10">
      <c r="C10" s="98" t="s">
        <v>176</v>
      </c>
      <c r="D10" s="159" t="n">
        <f aca="false" ca="false" dt2D="false" dtr="false" t="normal">D5</f>
        <v>7</v>
      </c>
      <c r="E10" s="160" t="n">
        <f aca="false" ca="false" dt2D="false" dtr="false" t="normal">E5</f>
        <v>26</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166" t="str">
        <f aca="false" ca="false" dt2D="false" dtr="false" t="normal">IF(LEN(L11)&gt;2, MID(L11, 2, 2), L11)</f>
        <v>2F</v>
      </c>
      <c r="N10" s="63" t="s">
        <v>181</v>
      </c>
      <c r="P10" s="136" t="n">
        <f aca="false" ca="false" dt2D="false" dtr="false" t="normal">MID(H6, 5, 1)</f>
        <v>0</v>
      </c>
      <c r="Q10" s="137" t="n">
        <f aca="false" ca="false" dt2D="false" dtr="false" t="normal">P10</f>
        <v>0</v>
      </c>
      <c r="R10" s="120" t="s">
        <v>200</v>
      </c>
      <c r="S10" s="140" t="s">
        <v>201</v>
      </c>
      <c r="T10" s="136" t="n">
        <f aca="false" ca="false" dt2D="false" dtr="false" t="normal">MID(I6, 5, 1)</f>
        <v>0</v>
      </c>
      <c r="U10" s="137" t="n">
        <f aca="false" ca="false" dt2D="false" dtr="false" t="normal">T10</f>
        <v>0</v>
      </c>
      <c r="V10" s="120" t="s">
        <v>200</v>
      </c>
      <c r="W10" s="167" t="s"/>
      <c r="X10" s="136" t="n">
        <f aca="false" ca="false" dt2D="false" dtr="false" t="normal">MID(J6, 5, 1)</f>
        <v>0</v>
      </c>
      <c r="Y10" s="137" t="n">
        <f aca="false" ca="false" dt2D="false" dtr="false" t="normal">X10</f>
        <v>0</v>
      </c>
      <c r="Z10" s="120" t="s">
        <v>200</v>
      </c>
      <c r="AA10" s="168" t="s"/>
      <c r="AB10" s="136" t="n">
        <f aca="false" ca="false" dt2D="false" dtr="false" t="normal">MID(K6, 5, 1)</f>
        <v>0</v>
      </c>
      <c r="AC10" s="137" t="n">
        <f aca="false" ca="false" dt2D="false" dtr="false" t="normal">AB10</f>
        <v>0</v>
      </c>
      <c r="AD10" s="120" t="s">
        <v>200</v>
      </c>
      <c r="AE10" s="140" t="s">
        <v>202</v>
      </c>
      <c r="AF10" s="169" t="s"/>
      <c r="AG10" s="142" t="s"/>
      <c r="AH10" s="142" t="s"/>
      <c r="AI10" s="170" t="s"/>
      <c r="AJ10" s="121" t="n"/>
      <c r="AK10" s="121" t="n"/>
    </row>
    <row hidden="false" ht="15" outlineLevel="0" r="11">
      <c r="C11" s="98" t="s">
        <v>185</v>
      </c>
      <c r="D11" s="53" t="n">
        <f aca="false" ca="false" dt2D="false" dtr="false" t="normal">HEX2BIN(D10, 8)</f>
        <v>111</v>
      </c>
      <c r="E11" s="53" t="n">
        <f aca="false" ca="false" dt2D="false" dtr="false" t="normal">HEX2BIN(E10, 8)</f>
        <v>100110</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str">
        <f aca="false" ca="false" dt2D="false" dtr="false" t="normal">DEC2HEX(L12)</f>
        <v>2F</v>
      </c>
      <c r="N11" s="63" t="n"/>
      <c r="P11" s="136" t="n">
        <f aca="false" ca="false" dt2D="false" dtr="false" t="normal">MID(H6, 6, 1)</f>
        <v>0</v>
      </c>
      <c r="Q11" s="137" t="n">
        <f aca="false" ca="false" dt2D="false" dtr="false" t="normal">P11</f>
        <v>0</v>
      </c>
      <c r="R11" s="120" t="s">
        <v>203</v>
      </c>
      <c r="S11" s="172" t="s"/>
      <c r="T11" s="136" t="n">
        <f aca="false" ca="false" dt2D="false" dtr="false" t="normal">MID(I6, 6, 1)</f>
        <v>0</v>
      </c>
      <c r="U11" s="137" t="n">
        <f aca="false" ca="false" dt2D="false" dtr="false" t="normal">T11</f>
        <v>0</v>
      </c>
      <c r="V11" s="120" t="s">
        <v>203</v>
      </c>
      <c r="W11" s="173" t="s">
        <v>204</v>
      </c>
      <c r="X11" s="136" t="n">
        <f aca="false" ca="false" dt2D="false" dtr="false" t="normal">MID(J6, 6, 1)</f>
        <v>0</v>
      </c>
      <c r="Y11" s="137" t="n">
        <f aca="false" ca="false" dt2D="false" dtr="false" t="normal">X11</f>
        <v>0</v>
      </c>
      <c r="Z11" s="120" t="s">
        <v>203</v>
      </c>
      <c r="AA11" s="139" t="s">
        <v>205</v>
      </c>
      <c r="AB11" s="136" t="n">
        <f aca="false" ca="false" dt2D="false" dtr="false" t="normal">MID(K6, 6, 1)</f>
        <v>0</v>
      </c>
      <c r="AC11" s="137" t="n">
        <f aca="false" ca="false" dt2D="false" dtr="false" t="normal">AB11</f>
        <v>0</v>
      </c>
      <c r="AD11" s="120" t="s">
        <v>203</v>
      </c>
      <c r="AE11" s="174" t="s"/>
      <c r="AF11" s="175" t="s"/>
      <c r="AG11" s="142" t="s"/>
      <c r="AH11" s="142" t="s"/>
      <c r="AI11" s="176" t="s"/>
      <c r="AJ11" s="121" t="n"/>
      <c r="AK11" s="121" t="n"/>
    </row>
    <row hidden="false" ht="15" outlineLevel="0" r="12">
      <c r="C12" s="98" t="s">
        <v>191</v>
      </c>
      <c r="D12" s="53" t="n">
        <f aca="false" ca="false" dt2D="false" dtr="false" t="normal">HEX2DEC(D10)</f>
        <v>7</v>
      </c>
      <c r="E12" s="53" t="n">
        <f aca="false" ca="false" dt2D="false" dtr="false" t="normal">HEX2DEC(E10)</f>
        <v>38</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SUM(D12:K12)</f>
        <v>47</v>
      </c>
      <c r="N12" s="63" t="n"/>
      <c r="P12" s="136" t="n">
        <f aca="false" ca="false" dt2D="false" dtr="false" t="normal">MID(H6, 7, 1)</f>
        <v>0</v>
      </c>
      <c r="Q12" s="137" t="n">
        <f aca="false" ca="false" dt2D="false" dtr="false" t="normal">P12</f>
        <v>0</v>
      </c>
      <c r="R12" s="120" t="s">
        <v>206</v>
      </c>
      <c r="S12" s="131" t="s">
        <v>196</v>
      </c>
      <c r="T12" s="136" t="n">
        <f aca="false" ca="false" dt2D="false" dtr="false" t="normal">MID(I6, 7, 1)</f>
        <v>0</v>
      </c>
      <c r="U12" s="137" t="n">
        <f aca="false" ca="false" dt2D="false" dtr="false" t="normal">T12</f>
        <v>0</v>
      </c>
      <c r="V12" s="120" t="s">
        <v>206</v>
      </c>
      <c r="W12" s="177" t="s"/>
      <c r="X12" s="136" t="n">
        <f aca="false" ca="false" dt2D="false" dtr="false" t="normal">MID(J6, 7, 1)</f>
        <v>0</v>
      </c>
      <c r="Y12" s="137" t="n">
        <f aca="false" ca="false" dt2D="false" dtr="false" t="normal">X12</f>
        <v>0</v>
      </c>
      <c r="Z12" s="120" t="s">
        <v>206</v>
      </c>
      <c r="AA12" s="139" t="s">
        <v>207</v>
      </c>
      <c r="AB12" s="136" t="n">
        <f aca="false" ca="false" dt2D="false" dtr="false" t="normal">MID(K6, 7, 1)</f>
        <v>0</v>
      </c>
      <c r="AC12" s="137" t="n">
        <f aca="false" ca="false" dt2D="false" dtr="false" t="normal">AB12</f>
        <v>0</v>
      </c>
      <c r="AD12" s="120" t="s">
        <v>206</v>
      </c>
      <c r="AE12" s="131" t="s">
        <v>196</v>
      </c>
      <c r="AF12" s="178" t="s"/>
      <c r="AG12" s="142" t="s"/>
      <c r="AH12" s="142" t="s"/>
      <c r="AI12" s="179" t="s"/>
      <c r="AJ12" s="121" t="n"/>
      <c r="AK12" s="121" t="n"/>
    </row>
    <row hidden="false" ht="15.75" outlineLevel="0" r="13">
      <c r="C13" s="180" t="s">
        <v>194</v>
      </c>
      <c r="D13" s="181" t="n">
        <f aca="false" ca="false" dt2D="false" dtr="false" t="normal">D8</f>
        <v>7</v>
      </c>
      <c r="E13" s="181" t="n">
        <f aca="false" ca="false" dt2D="false" dtr="false" t="normal">E8</f>
        <v>26</v>
      </c>
      <c r="F13" s="181" t="str">
        <f aca="false" ca="false" dt2D="false" dtr="false" t="normal">F8</f>
        <v>G1</v>
      </c>
      <c r="G13" s="181"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85" t="s">
        <v>196</v>
      </c>
      <c r="T13" s="182" t="n">
        <f aca="false" ca="false" dt2D="false" dtr="false" t="normal">MID(I6, 8, 1)</f>
        <v>0</v>
      </c>
      <c r="U13" s="183" t="n">
        <f aca="false" ca="false" dt2D="false" dtr="false" t="normal">T13</f>
        <v>0</v>
      </c>
      <c r="V13" s="184" t="s">
        <v>208</v>
      </c>
      <c r="W13" s="186" t="s"/>
      <c r="X13" s="182" t="n">
        <f aca="false" ca="false" dt2D="false" dtr="false" t="normal">MID(J6, 8, 1)</f>
        <v>0</v>
      </c>
      <c r="Y13" s="183" t="n">
        <f aca="false" ca="false" dt2D="false" dtr="false" t="normal">X13</f>
        <v>0</v>
      </c>
      <c r="Z13" s="184" t="s">
        <v>208</v>
      </c>
      <c r="AA13" s="187" t="s">
        <v>209</v>
      </c>
      <c r="AB13" s="182" t="n">
        <f aca="false" ca="false" dt2D="false" dtr="false" t="normal">MID(K6, 8, 1)</f>
        <v>0</v>
      </c>
      <c r="AC13" s="183" t="n">
        <f aca="false" ca="false" dt2D="false" dtr="false" t="normal">AB13</f>
        <v>0</v>
      </c>
      <c r="AD13" s="184" t="s">
        <v>208</v>
      </c>
      <c r="AE13" s="187" t="s">
        <v>210</v>
      </c>
      <c r="AF13" s="188" t="s"/>
      <c r="AG13" s="189" t="s"/>
      <c r="AH13" s="190" t="s"/>
      <c r="AI13" s="191" t="s"/>
      <c r="AJ13" s="121" t="n"/>
      <c r="AK13" s="121" t="n"/>
    </row>
    <row hidden="false" ht="15.75" outlineLevel="0" r="14">
      <c r="C14" s="93" t="n"/>
      <c r="D14" s="94" t="n"/>
      <c r="E14" s="94" t="n"/>
      <c r="F14" s="94" t="n"/>
      <c r="G14" s="94" t="n"/>
      <c r="H14" s="94" t="n"/>
      <c r="I14" s="94" t="n"/>
      <c r="J14" s="94" t="s">
        <v>161</v>
      </c>
      <c r="K14" s="94" t="n"/>
      <c r="L14" s="94" t="n"/>
      <c r="N14" s="60" t="n"/>
      <c r="P14" s="95" t="str">
        <f aca="false" ca="false" dt2D="false" dtr="false" t="normal">RIGHT(D16, 1)&amp;E16&amp;"-"&amp;F16&amp;"-"&amp;G16</f>
        <v>726-02-01</v>
      </c>
      <c r="Q14" s="192" t="s"/>
      <c r="R14" s="97" t="s">
        <v>211</v>
      </c>
      <c r="S14" s="97" t="s"/>
      <c r="T14" s="97" t="s"/>
      <c r="U14" s="97" t="s"/>
      <c r="V14" s="97" t="s"/>
      <c r="W14" s="97" t="s"/>
      <c r="X14" s="97" t="s"/>
      <c r="Y14" s="97" t="s"/>
      <c r="Z14" s="97" t="s"/>
      <c r="AA14" s="97" t="s"/>
      <c r="AB14" s="97" t="s"/>
      <c r="AC14" s="97" t="s"/>
      <c r="AD14" s="97" t="s"/>
      <c r="AE14" s="97" t="s"/>
      <c r="AF14" s="97" t="s"/>
      <c r="AG14" s="97" t="s"/>
      <c r="AH14" s="97" t="s"/>
      <c r="AI14" s="97" t="s"/>
      <c r="AJ14" s="97" t="s"/>
      <c r="AK14" s="97" t="s"/>
    </row>
    <row hidden="false" ht="15.75" outlineLevel="0" r="15">
      <c r="C15" s="98" t="n"/>
      <c r="D15" s="99" t="s">
        <v>212</v>
      </c>
      <c r="E15" s="193" t="s"/>
      <c r="F15" s="194" t="s"/>
      <c r="G15" s="195" t="s"/>
      <c r="H15" s="53" t="s">
        <v>165</v>
      </c>
      <c r="I15" s="53" t="s">
        <v>166</v>
      </c>
      <c r="J15" s="53" t="s">
        <v>167</v>
      </c>
      <c r="N15" s="63" t="n"/>
      <c r="P15" s="103" t="s">
        <v>213</v>
      </c>
      <c r="Q15" s="196" t="s"/>
      <c r="R15" s="197" t="s"/>
      <c r="S15" s="198" t="s"/>
      <c r="T15" s="103" t="s">
        <v>214</v>
      </c>
      <c r="U15" s="199" t="s"/>
      <c r="V15" s="200" t="s"/>
      <c r="W15" s="201" t="s"/>
      <c r="X15" s="116" t="s">
        <v>215</v>
      </c>
      <c r="Y15" s="202" t="s"/>
      <c r="Z15" s="203" t="s"/>
      <c r="AA15" s="204" t="s"/>
      <c r="AB15" s="120" t="n"/>
      <c r="AC15" s="121" t="n"/>
      <c r="AD15" s="121" t="n"/>
      <c r="AE15" s="121" t="n"/>
      <c r="AF15" s="121" t="n"/>
      <c r="AG15" s="121" t="n"/>
      <c r="AH15" s="121" t="n"/>
      <c r="AI15" s="121" t="n"/>
      <c r="AJ15" s="121" t="n"/>
      <c r="AK15" s="121" t="n"/>
    </row>
    <row hidden="false" ht="15.75" outlineLevel="0" r="16">
      <c r="C16" s="98" t="s">
        <v>176</v>
      </c>
      <c r="D16" s="122" t="s">
        <v>177</v>
      </c>
      <c r="E16" s="123" t="s">
        <v>178</v>
      </c>
      <c r="F16" s="123" t="s">
        <v>216</v>
      </c>
      <c r="G16" s="124" t="s">
        <v>179</v>
      </c>
      <c r="H16" s="125" t="n">
        <f aca="false" ca="false" dt2D="false" dtr="false" t="normal">MID($A$6, 8, 2)</f>
        <v>0</v>
      </c>
      <c r="I16" s="127" t="n">
        <f aca="false" ca="false" dt2D="false" dtr="false" t="normal">MID($A$6, 10, 2)</f>
        <v>0</v>
      </c>
      <c r="J16" s="128" t="n">
        <f aca="false" ca="false" dt2D="false" dtr="false" t="normal">MID($A$6, 12, 2)</f>
        <v>30</v>
      </c>
      <c r="N16" s="63" t="s">
        <v>180</v>
      </c>
      <c r="P16" s="129" t="s">
        <v>180</v>
      </c>
      <c r="Q16" s="130" t="s">
        <v>181</v>
      </c>
      <c r="R16" s="121" t="s">
        <v>182</v>
      </c>
      <c r="S16" s="131" t="n"/>
      <c r="T16" s="129" t="s">
        <v>180</v>
      </c>
      <c r="U16" s="130" t="s">
        <v>181</v>
      </c>
      <c r="V16" s="121" t="s">
        <v>182</v>
      </c>
      <c r="W16" s="131" t="n"/>
      <c r="X16" s="116" t="s">
        <v>183</v>
      </c>
      <c r="Y16" s="205" t="s"/>
      <c r="Z16" s="206" t="s"/>
      <c r="AA16" s="207" t="s"/>
      <c r="AB16" s="120" t="n"/>
      <c r="AC16" s="121" t="n"/>
      <c r="AD16" s="121" t="n"/>
      <c r="AE16" s="121" t="n"/>
      <c r="AF16" s="121" t="n"/>
      <c r="AG16" s="121" t="n"/>
      <c r="AH16" s="121" t="n"/>
      <c r="AI16" s="121" t="n"/>
      <c r="AJ16" s="121" t="n"/>
      <c r="AK16" s="121" t="n"/>
    </row>
    <row hidden="false" ht="15" outlineLevel="0" r="17">
      <c r="C17" s="98" t="s">
        <v>185</v>
      </c>
      <c r="D17" s="53" t="n">
        <f aca="false" ca="false" dt2D="false" dtr="false" t="normal">HEX2BIN(D16, 8)</f>
        <v>111</v>
      </c>
      <c r="E17" s="53" t="n">
        <f aca="false" ca="false" dt2D="false" dtr="false" t="normal">HEX2BIN(E16, 8)</f>
        <v>100110</v>
      </c>
      <c r="F17" s="53" t="n">
        <f aca="false" ca="false" dt2D="false" dtr="false" t="normal">HEX2BIN(F16, 8)</f>
        <v>10</v>
      </c>
      <c r="G17" s="53" t="n">
        <f aca="false" ca="false" dt2D="false" dtr="false" t="normal">HEX2BIN(G16, 8)</f>
        <v>1</v>
      </c>
      <c r="H17" s="53" t="n">
        <f aca="false" ca="false" dt2D="false" dtr="false" t="normal">HEX2BIN(H16, 8)</f>
        <v>0</v>
      </c>
      <c r="I17" s="53" t="n">
        <f aca="false" ca="false" dt2D="false" dtr="false" t="normal">HEX2BIN(I16, 8)</f>
        <v>0</v>
      </c>
      <c r="N17" s="63" t="n"/>
      <c r="P17" s="136" t="n">
        <f aca="false" ca="false" dt2D="false" dtr="false" t="normal">MID(H17, 1, 1)</f>
        <v>0</v>
      </c>
      <c r="Q17" s="137" t="n">
        <f aca="false" ca="false" dt2D="false" dtr="false" t="normal">P17</f>
        <v>0</v>
      </c>
      <c r="R17" s="120" t="s">
        <v>186</v>
      </c>
      <c r="S17" s="208" t="s">
        <v>217</v>
      </c>
      <c r="T17" s="209" t="n">
        <f aca="false" ca="false" dt2D="false" dtr="false" t="normal">MID(I17, 1, 1)</f>
        <v>0</v>
      </c>
      <c r="U17" s="137" t="n">
        <f aca="false" ca="false" dt2D="false" dtr="false" t="normal">T17</f>
        <v>0</v>
      </c>
      <c r="V17" s="120" t="s">
        <v>186</v>
      </c>
      <c r="W17" s="131" t="s">
        <v>196</v>
      </c>
      <c r="X17" s="210" t="s"/>
      <c r="Y17" s="142" t="s"/>
      <c r="Z17" s="142" t="s"/>
      <c r="AA17" s="211" t="s"/>
      <c r="AB17" s="121" t="n"/>
      <c r="AC17" s="121" t="n"/>
      <c r="AD17" s="121" t="n"/>
      <c r="AE17" s="121" t="n"/>
      <c r="AF17" s="121" t="n"/>
      <c r="AG17" s="121" t="n"/>
      <c r="AH17" s="121" t="n"/>
      <c r="AI17" s="121" t="n"/>
      <c r="AJ17" s="121" t="n"/>
      <c r="AK17" s="121" t="n"/>
    </row>
    <row hidden="false" ht="15" outlineLevel="0" r="18">
      <c r="C18" s="98" t="s">
        <v>191</v>
      </c>
      <c r="D18" s="53" t="n">
        <f aca="false" ca="false" dt2D="false" dtr="false" t="normal">HEX2DEC(D16)</f>
        <v>7</v>
      </c>
      <c r="E18" s="53" t="n">
        <f aca="false" ca="false" dt2D="false" dtr="false" t="normal">HEX2DEC(E16)</f>
        <v>38</v>
      </c>
      <c r="F18" s="53" t="n">
        <f aca="false" ca="false" dt2D="false" dtr="false" t="normal">HEX2DEC(F16)</f>
        <v>2</v>
      </c>
      <c r="G18" s="53" t="n">
        <f aca="false" ca="false" dt2D="false" dtr="false" t="normal">HEX2DEC(G16)</f>
        <v>1</v>
      </c>
      <c r="H18" s="53" t="n">
        <f aca="false" ca="false" dt2D="false" dtr="false" t="normal">HEX2DEC(H16)</f>
        <v>0</v>
      </c>
      <c r="I18" s="53" t="n">
        <f aca="false" ca="false" dt2D="false" dtr="false" t="normal">HEX2DEC(I16)</f>
        <v>0</v>
      </c>
      <c r="J18" s="53" t="n">
        <f aca="false" ca="false" dt2D="false" dtr="false" t="normal">SUM(D18:I18)</f>
        <v>48</v>
      </c>
      <c r="N18" s="63" t="n"/>
      <c r="P18" s="136" t="n">
        <f aca="false" ca="false" dt2D="false" dtr="false" t="normal">MID(H17, 2, 1)</f>
        <v>0</v>
      </c>
      <c r="Q18" s="137" t="n">
        <f aca="false" ca="false" dt2D="false" dtr="false" t="normal">P18</f>
        <v>0</v>
      </c>
      <c r="R18" s="120" t="s">
        <v>192</v>
      </c>
      <c r="S18" s="131" t="s">
        <v>196</v>
      </c>
      <c r="T18" s="136" t="n">
        <f aca="false" ca="false" dt2D="false" dtr="false" t="normal">MID(I17, 2, 1)</f>
        <v>0</v>
      </c>
      <c r="U18" s="137" t="n">
        <f aca="false" ca="false" dt2D="false" dtr="false" t="normal">T18</f>
        <v>0</v>
      </c>
      <c r="V18" s="120" t="s">
        <v>192</v>
      </c>
      <c r="W18" s="131" t="s">
        <v>196</v>
      </c>
      <c r="X18" s="212" t="s"/>
      <c r="Y18" s="142" t="s"/>
      <c r="Z18" s="142" t="s"/>
      <c r="AA18" s="213" t="s"/>
      <c r="AB18" s="121" t="n"/>
      <c r="AC18" s="121" t="n"/>
      <c r="AD18" s="121" t="n"/>
      <c r="AE18" s="121" t="n"/>
      <c r="AF18" s="121" t="n"/>
      <c r="AG18" s="121" t="n"/>
      <c r="AH18" s="121" t="n"/>
      <c r="AI18" s="121" t="n"/>
      <c r="AJ18" s="121" t="n"/>
      <c r="AK18" s="121" t="n"/>
    </row>
    <row hidden="false" ht="15" outlineLevel="0" r="19">
      <c r="C19" s="98" t="s">
        <v>194</v>
      </c>
      <c r="D19" s="149" t="n">
        <f aca="false" ca="false" dt2D="false" dtr="false" t="normal">D16</f>
        <v>7</v>
      </c>
      <c r="E19" s="149" t="n">
        <f aca="false" ca="false" dt2D="false" dtr="false" t="normal">E16</f>
        <v>26</v>
      </c>
      <c r="F19" s="53" t="str">
        <f aca="false" ca="false" dt2D="false" dtr="false" t="normal">MID($A$6, 4, 2)</f>
        <v>G2</v>
      </c>
      <c r="G19" s="53" t="str">
        <f aca="false" ca="false" dt2D="false" dtr="false" t="normal">MID($A$6, 6, 2)</f>
        <v>G1</v>
      </c>
      <c r="N19" s="63" t="n"/>
      <c r="P19" s="136" t="n">
        <f aca="false" ca="false" dt2D="false" dtr="false" t="normal">MID(H17, 3, 1)</f>
        <v>0</v>
      </c>
      <c r="Q19" s="137" t="n">
        <f aca="false" ca="false" dt2D="false" dtr="false" t="normal">P19</f>
        <v>0</v>
      </c>
      <c r="R19" s="120" t="s">
        <v>195</v>
      </c>
      <c r="S19" s="131" t="s">
        <v>196</v>
      </c>
      <c r="T19" s="136" t="n">
        <f aca="false" ca="false" dt2D="false" dtr="false" t="normal">MID(I17, 3, 1)</f>
        <v>0</v>
      </c>
      <c r="U19" s="137" t="n">
        <f aca="false" ca="false" dt2D="false" dtr="false" t="normal">T19</f>
        <v>0</v>
      </c>
      <c r="V19" s="120" t="s">
        <v>195</v>
      </c>
      <c r="W19" s="131" t="s">
        <v>196</v>
      </c>
      <c r="X19" s="214" t="s"/>
      <c r="Y19" s="142" t="s"/>
      <c r="Z19" s="142" t="s"/>
      <c r="AA19" s="215" t="s"/>
      <c r="AB19" s="121" t="n"/>
      <c r="AC19" s="121" t="n"/>
      <c r="AD19" s="121" t="n"/>
      <c r="AE19" s="121" t="n"/>
      <c r="AF19" s="121" t="n"/>
      <c r="AG19" s="121" t="n"/>
      <c r="AH19" s="121" t="n"/>
      <c r="AI19" s="121" t="n"/>
      <c r="AJ19" s="121" t="n"/>
      <c r="AK19" s="121" t="n"/>
    </row>
    <row hidden="false" ht="15.75" outlineLevel="0" r="20">
      <c r="C20" s="98" t="n"/>
      <c r="N20" s="63" t="n"/>
      <c r="P20" s="136" t="n">
        <f aca="false" ca="false" dt2D="false" dtr="false" t="normal">MID(H17, 4, 1)</f>
        <v>0</v>
      </c>
      <c r="Q20" s="137" t="n">
        <f aca="false" ca="false" dt2D="false" dtr="false" t="normal">P20</f>
        <v>0</v>
      </c>
      <c r="R20" s="120" t="s">
        <v>197</v>
      </c>
      <c r="S20" s="131" t="s">
        <v>196</v>
      </c>
      <c r="T20" s="136" t="n">
        <f aca="false" ca="false" dt2D="false" dtr="false" t="normal">MID(I17, 4, 1)</f>
        <v>0</v>
      </c>
      <c r="U20" s="137" t="n">
        <f aca="false" ca="false" dt2D="false" dtr="false" t="normal">T20</f>
        <v>0</v>
      </c>
      <c r="V20" s="120" t="s">
        <v>197</v>
      </c>
      <c r="W20" s="131" t="s">
        <v>196</v>
      </c>
      <c r="X20" s="216" t="s"/>
      <c r="Y20" s="142" t="s"/>
      <c r="Z20" s="142" t="s"/>
      <c r="AA20" s="217" t="s"/>
      <c r="AB20" s="121" t="n"/>
      <c r="AC20" s="121" t="n"/>
      <c r="AD20" s="121" t="n"/>
      <c r="AE20" s="121" t="n"/>
      <c r="AF20" s="121" t="n"/>
      <c r="AG20" s="121" t="n"/>
      <c r="AH20" s="121" t="n"/>
      <c r="AI20" s="121" t="n"/>
      <c r="AJ20" s="121" t="n"/>
      <c r="AK20" s="121" t="n"/>
    </row>
    <row hidden="false" ht="15.75" outlineLevel="0" r="21">
      <c r="C21" s="98" t="s">
        <v>176</v>
      </c>
      <c r="D21" s="159" t="n">
        <f aca="false" ca="false" dt2D="false" dtr="false" t="normal">D16</f>
        <v>7</v>
      </c>
      <c r="E21" s="160" t="n">
        <f aca="false" ca="false" dt2D="false" dtr="false" t="normal">E16</f>
        <v>26</v>
      </c>
      <c r="F21" s="160" t="n">
        <f aca="false" ca="false" dt2D="false" dtr="false" t="normal">F16</f>
        <v>2</v>
      </c>
      <c r="G21" s="161" t="n">
        <f aca="false" ca="false" dt2D="false" dtr="false" t="normal">G16</f>
        <v>1</v>
      </c>
      <c r="H21" s="162" t="n">
        <f aca="false" ca="false" dt2D="false" dtr="false" t="normal">BIN2HEX(H22, 2)</f>
        <v>0</v>
      </c>
      <c r="I21" s="163" t="n">
        <f aca="false" ca="false" dt2D="false" dtr="false" t="normal">BIN2HEX(I22, 2)</f>
        <v>0</v>
      </c>
      <c r="J21" s="218" t="n">
        <f aca="false" ca="false" dt2D="false" dtr="false" t="normal">IF(LEN(J22)&gt;2, MID(J22, 2, 2), J22)</f>
        <v>30</v>
      </c>
      <c r="N21" s="63" t="s">
        <v>181</v>
      </c>
      <c r="P21" s="136" t="n">
        <f aca="false" ca="false" dt2D="false" dtr="false" t="normal">MID(H17, 5, 1)</f>
        <v>0</v>
      </c>
      <c r="Q21" s="137" t="n">
        <f aca="false" ca="false" dt2D="false" dtr="false" t="normal">P21</f>
        <v>0</v>
      </c>
      <c r="R21" s="120" t="s">
        <v>200</v>
      </c>
      <c r="S21" s="131" t="s">
        <v>196</v>
      </c>
      <c r="T21" s="136" t="n">
        <f aca="false" ca="false" dt2D="false" dtr="false" t="normal">MID(I17, 5, 1)</f>
        <v>0</v>
      </c>
      <c r="U21" s="137" t="n">
        <f aca="false" ca="false" dt2D="false" dtr="false" t="normal">T21</f>
        <v>0</v>
      </c>
      <c r="V21" s="120" t="s">
        <v>200</v>
      </c>
      <c r="W21" s="131" t="s">
        <v>196</v>
      </c>
      <c r="X21" s="219" t="s"/>
      <c r="Y21" s="142" t="s"/>
      <c r="Z21" s="142" t="s"/>
      <c r="AA21" s="220" t="s"/>
      <c r="AB21" s="121" t="n"/>
      <c r="AC21" s="121" t="n"/>
      <c r="AD21" s="121" t="n"/>
      <c r="AE21" s="121" t="n"/>
      <c r="AF21" s="121" t="n"/>
      <c r="AG21" s="121" t="n"/>
      <c r="AH21" s="121" t="n"/>
      <c r="AI21" s="121" t="n"/>
      <c r="AJ21" s="121" t="n"/>
      <c r="AK21" s="121" t="n"/>
    </row>
    <row hidden="false" ht="15" outlineLevel="0" r="22">
      <c r="C22" s="98" t="s">
        <v>185</v>
      </c>
      <c r="D22" s="53" t="n">
        <f aca="false" ca="false" dt2D="false" dtr="false" t="normal">HEX2BIN(D21, 8)</f>
        <v>111</v>
      </c>
      <c r="E22" s="53" t="n">
        <f aca="false" ca="false" dt2D="false" dtr="false" t="normal">HEX2BIN(E21, 8)</f>
        <v>100110</v>
      </c>
      <c r="F22" s="53" t="n">
        <f aca="false" ca="false" dt2D="false" dtr="false" t="normal">HEX2BIN(F21, 8)</f>
        <v>10</v>
      </c>
      <c r="G22" s="53" t="n">
        <f aca="false" ca="false" dt2D="false" dtr="false" t="normal">HEX2BIN(G21, 8)</f>
        <v>1</v>
      </c>
      <c r="H22" s="171" t="n">
        <f aca="false" ca="false" dt2D="false" dtr="false" t="normal">Q17&amp;Q18&amp;Q19&amp;Q20&amp;Q21&amp;Q22&amp;Q23&amp;Q24</f>
        <v>0</v>
      </c>
      <c r="I22" s="53" t="n">
        <f aca="false" ca="false" dt2D="false" dtr="false" t="normal">U17&amp;U18&amp;U19&amp;U20&amp;U21&amp;U22&amp;U23&amp;U24</f>
        <v>0</v>
      </c>
      <c r="J22" s="53" t="n">
        <f aca="false" ca="false" dt2D="false" dtr="false" t="normal">DEC2HEX(J23)</f>
        <v>30</v>
      </c>
      <c r="N22" s="63" t="n"/>
      <c r="P22" s="136" t="n">
        <f aca="false" ca="false" dt2D="false" dtr="false" t="normal">MID(H17, 6, 1)</f>
        <v>0</v>
      </c>
      <c r="Q22" s="137" t="n">
        <f aca="false" ca="false" dt2D="false" dtr="false" t="normal">P22</f>
        <v>0</v>
      </c>
      <c r="R22" s="120" t="s">
        <v>203</v>
      </c>
      <c r="S22" s="131" t="s">
        <v>196</v>
      </c>
      <c r="T22" s="136" t="n">
        <f aca="false" ca="false" dt2D="false" dtr="false" t="normal">MID(I17, 6, 1)</f>
        <v>0</v>
      </c>
      <c r="U22" s="137" t="n">
        <f aca="false" ca="false" dt2D="false" dtr="false" t="normal">T22</f>
        <v>0</v>
      </c>
      <c r="V22" s="120" t="s">
        <v>203</v>
      </c>
      <c r="W22" s="131" t="s">
        <v>196</v>
      </c>
      <c r="X22" s="221" t="s"/>
      <c r="Y22" s="142" t="s"/>
      <c r="Z22" s="142" t="s"/>
      <c r="AA22" s="222" t="s"/>
      <c r="AB22" s="121" t="n"/>
      <c r="AC22" s="121" t="n"/>
      <c r="AD22" s="121" t="n"/>
      <c r="AE22" s="121" t="n"/>
      <c r="AF22" s="121" t="n"/>
      <c r="AG22" s="121" t="n"/>
      <c r="AH22" s="121" t="n"/>
      <c r="AI22" s="121" t="n"/>
      <c r="AJ22" s="121" t="n"/>
      <c r="AK22" s="121" t="n"/>
    </row>
    <row hidden="false" ht="15" outlineLevel="0" r="23">
      <c r="C23" s="98" t="s">
        <v>191</v>
      </c>
      <c r="D23" s="53" t="n">
        <f aca="false" ca="false" dt2D="false" dtr="false" t="normal">HEX2DEC(D21)</f>
        <v>7</v>
      </c>
      <c r="E23" s="53" t="n">
        <f aca="false" ca="false" dt2D="false" dtr="false" t="normal">HEX2DEC(E21)</f>
        <v>38</v>
      </c>
      <c r="F23" s="53" t="n">
        <f aca="false" ca="false" dt2D="false" dtr="false" t="normal">HEX2DEC(F21)</f>
        <v>2</v>
      </c>
      <c r="G23" s="53" t="n">
        <f aca="false" ca="false" dt2D="false" dtr="false" t="normal">HEX2DEC(G21)</f>
        <v>1</v>
      </c>
      <c r="H23" s="53" t="n">
        <f aca="false" ca="false" dt2D="false" dtr="false" t="normal">HEX2DEC(H21)</f>
        <v>0</v>
      </c>
      <c r="I23" s="53" t="n">
        <f aca="false" ca="false" dt2D="false" dtr="false" t="normal">HEX2DEC(I21)</f>
        <v>0</v>
      </c>
      <c r="J23" s="53" t="n">
        <f aca="false" ca="false" dt2D="false" dtr="false" t="normal">SUM(D23:I23)</f>
        <v>48</v>
      </c>
      <c r="N23" s="63" t="n"/>
      <c r="P23" s="136" t="n">
        <f aca="false" ca="false" dt2D="false" dtr="false" t="normal">MID(H17, 7, 1)</f>
        <v>0</v>
      </c>
      <c r="Q23" s="137" t="n">
        <f aca="false" ca="false" dt2D="false" dtr="false" t="normal">P23</f>
        <v>0</v>
      </c>
      <c r="R23" s="120" t="s">
        <v>206</v>
      </c>
      <c r="S23" s="131" t="s">
        <v>196</v>
      </c>
      <c r="T23" s="136" t="n">
        <f aca="false" ca="false" dt2D="false" dtr="false" t="normal">MID(I17, 7, 1)</f>
        <v>0</v>
      </c>
      <c r="U23" s="137" t="n">
        <f aca="false" ca="false" dt2D="false" dtr="false" t="normal">T23</f>
        <v>0</v>
      </c>
      <c r="V23" s="120" t="s">
        <v>206</v>
      </c>
      <c r="W23" s="131" t="s">
        <v>196</v>
      </c>
      <c r="X23" s="223" t="s"/>
      <c r="Y23" s="142" t="s"/>
      <c r="Z23" s="142" t="s"/>
      <c r="AA23" s="224" t="s"/>
      <c r="AB23" s="121" t="n"/>
      <c r="AC23" s="121" t="n"/>
      <c r="AD23" s="121" t="n"/>
      <c r="AE23" s="121" t="n"/>
      <c r="AF23" s="121" t="n"/>
      <c r="AG23" s="121" t="n"/>
      <c r="AH23" s="121" t="n"/>
      <c r="AI23" s="121" t="n"/>
      <c r="AJ23" s="121" t="n"/>
      <c r="AK23" s="121" t="n"/>
    </row>
    <row hidden="false" ht="15.75" outlineLevel="0" r="24">
      <c r="C24" s="180" t="s">
        <v>194</v>
      </c>
      <c r="D24" s="181" t="n">
        <f aca="false" ca="false" dt2D="false" dtr="false" t="normal">D19</f>
        <v>7</v>
      </c>
      <c r="E24" s="181" t="n">
        <f aca="false" ca="false" dt2D="false" dtr="false" t="normal">E19</f>
        <v>26</v>
      </c>
      <c r="F24" s="181" t="str">
        <f aca="false" ca="false" dt2D="false" dtr="false" t="normal">F19</f>
        <v>G2</v>
      </c>
      <c r="G24" s="181" t="str">
        <f aca="false" ca="false" dt2D="false" dtr="false" t="normal">G19</f>
        <v>G1</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5" t="s">
        <v>196</v>
      </c>
      <c r="T24" s="182" t="n">
        <f aca="false" ca="false" dt2D="false" dtr="false" t="normal">MID(I17, 8, 1)</f>
        <v>0</v>
      </c>
      <c r="U24" s="183" t="n">
        <f aca="false" ca="false" dt2D="false" dtr="false" t="normal">T24</f>
        <v>0</v>
      </c>
      <c r="V24" s="184" t="s">
        <v>208</v>
      </c>
      <c r="W24" s="185" t="s">
        <v>196</v>
      </c>
      <c r="X24" s="225" t="s"/>
      <c r="Y24" s="226" t="s"/>
      <c r="Z24" s="227" t="s"/>
      <c r="AA24" s="228" t="s"/>
      <c r="AB24" s="121" t="n"/>
      <c r="AC24" s="121" t="n"/>
      <c r="AD24" s="121" t="n"/>
      <c r="AE24" s="121" t="n"/>
      <c r="AF24" s="121" t="n"/>
      <c r="AG24" s="121" t="n"/>
      <c r="AH24" s="121" t="n"/>
      <c r="AI24" s="121" t="n"/>
      <c r="AJ24" s="121" t="n"/>
      <c r="AK24" s="121" t="n"/>
    </row>
    <row hidden="false" ht="15" outlineLevel="0" r="25"/>
    <row hidden="false" ht="15" outlineLevel="0" r="26"/>
    <row hidden="false" ht="15" outlineLevel="0" r="27"/>
  </sheetData>
  <mergeCells count="27">
    <mergeCell ref="X16:AA24"/>
    <mergeCell ref="X15:AA15"/>
    <mergeCell ref="T15:W15"/>
    <mergeCell ref="P15:S15"/>
    <mergeCell ref="P14:Q14"/>
    <mergeCell ref="R14:AK14"/>
    <mergeCell ref="D15:G15"/>
    <mergeCell ref="C1:AI1"/>
    <mergeCell ref="A1:B1"/>
    <mergeCell ref="C2:E2"/>
    <mergeCell ref="D4:G4"/>
    <mergeCell ref="R3:AK3"/>
    <mergeCell ref="P3:Q3"/>
    <mergeCell ref="AF4:AI4"/>
    <mergeCell ref="P4:S4"/>
    <mergeCell ref="X4:AA4"/>
    <mergeCell ref="AB4:AE4"/>
    <mergeCell ref="T4:W4"/>
    <mergeCell ref="AE10:AE11"/>
    <mergeCell ref="AA9:AA10"/>
    <mergeCell ref="W9:W10"/>
    <mergeCell ref="AE6:AE9"/>
    <mergeCell ref="S6:S9"/>
    <mergeCell ref="AA6:AA8"/>
    <mergeCell ref="S10:S11"/>
    <mergeCell ref="W11:W13"/>
    <mergeCell ref="AF5:AI13"/>
  </mergeCells>
  <conditionalFormatting pivot="false" sqref="Q6:Q13">
    <cfRule aboveAverage="true" bottom="false" dxfId="0" equalAverage="false" percent="false" priority="12" stopIfTrue="false" type="expression">
      <formula>Q6:Q13&lt;&gt;P6:P13</formula>
    </cfRule>
  </conditionalFormatting>
  <conditionalFormatting pivot="false" sqref="U6:U13">
    <cfRule aboveAverage="true" bottom="false" dxfId="0" equalAverage="false" percent="false" priority="11" stopIfTrue="false" type="expression">
      <formula>U6:U13&lt;&gt;T6:T13</formula>
    </cfRule>
  </conditionalFormatting>
  <conditionalFormatting pivot="false" sqref="Y6:Y13">
    <cfRule aboveAverage="true" bottom="false" dxfId="0" equalAverage="false" percent="false" priority="10" stopIfTrue="false" type="expression">
      <formula>Y6:Y13&lt;&gt;X6:X13</formula>
    </cfRule>
  </conditionalFormatting>
  <conditionalFormatting pivot="false" sqref="AC6:AC13">
    <cfRule aboveAverage="true" bottom="false" dxfId="0" equalAverage="false" percent="false" priority="9" stopIfTrue="false" type="expression">
      <formula>AC6:AC13&lt;&gt;AB6:AB13</formula>
    </cfRule>
  </conditionalFormatting>
  <conditionalFormatting pivot="false" sqref="Q17:Q24">
    <cfRule aboveAverage="true" bottom="false" dxfId="0" equalAverage="false" percent="false" priority="8" stopIfTrue="false" type="expression">
      <formula>Q17:Q24&lt;&gt;P17:P24</formula>
    </cfRule>
  </conditionalFormatting>
  <conditionalFormatting pivot="false" sqref="U17:U24">
    <cfRule aboveAverage="true" bottom="false" dxfId="0" equalAverage="false" percent="false" priority="7" stopIfTrue="false" type="expression">
      <formula>U17:U24&lt;&gt;T17:T24</formula>
    </cfRule>
  </conditionalFormatting>
  <conditionalFormatting pivot="false" sqref="B3:B6">
    <cfRule aboveAverage="true" bottom="false" dxfId="1" equalAverage="false" percent="false" priority="6" stopIfTrue="false" text="726G2" type="beginsWith">
      <formula>LEFT(B3,LEN("726G2"))="726G2"</formula>
    </cfRule>
  </conditionalFormatting>
  <conditionalFormatting pivot="false" sqref="B3:B6">
    <cfRule aboveAverage="true" bottom="false" dxfId="1" equalAverage="false" percent="false" priority="5" stopIfTrue="false" text="72602" type="beginsWith">
      <formula>LEFT(B3,LEN("72602"))="72602"</formula>
    </cfRule>
  </conditionalFormatting>
  <conditionalFormatting pivot="false" sqref="B3:B6">
    <cfRule aboveAverage="true" bottom="false" dxfId="2" equalAverage="false" percent="false" priority="4" stopIfTrue="false" text="726G1" type="beginsWith">
      <formula>LEFT(B3,LEN("726G1"))="726G1"</formula>
    </cfRule>
  </conditionalFormatting>
  <conditionalFormatting pivot="false" sqref="B3:B6">
    <cfRule aboveAverage="true" bottom="false" dxfId="1" equalAverage="false" percent="false" priority="3" stopIfTrue="false" text="72601" type="beginsWith">
      <formula>LEFT(B3,LEN("72601"))="72601"</formula>
    </cfRule>
  </conditionalFormatting>
  <conditionalFormatting pivot="false" sqref="B3:B6">
    <cfRule aboveAverage="true" bottom="false" dxfId="3" equalAverage="false" percent="false" priority="2" stopIfTrue="false" text=";Block" type="containsText">
      <formula>NOT(ISERROR(SEARCH(";Block",B3)))</formula>
    </cfRule>
  </conditionalFormatting>
  <conditionalFormatting pivot="false" sqref="B3:B6">
    <cfRule aboveAverage="true" bottom="false" dxfId="4" equalAverage="false" percent="false" priority="1" stopIfTrue="false" type="expression">
      <formula>IF(A3&lt;&gt;B3, 1, 0)</formula>
    </cfRule>
  </conditionalFormatting>
  <dataValidations>
    <dataValidation allowBlank="true" error="This is a Binary value, which can be either 0 or 1." errorStyle="stop" errorTitle="Wrong Value" imeMode="noControl" operator="between" showDropDown="false" showErrorMessage="true" showInputMessage="true" sqref="AC6:AC13 Q17:Q24 Q6:Q13 U17:U24 U6:U13 Y6:Y13"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97mm" paperSize="9" paperWidth="210mm" scale="100"/>
  <legacyDrawing r:id="rId2"/>
</worksheet>
</file>

<file path=xl/worksheets/sheet4.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N82"/>
  <sheetViews>
    <sheetView showZeros="true" workbookViewId="0"/>
  </sheetViews>
  <sheetFormatPr baseColWidth="8" customHeight="false" defaultColWidth="9.1406253092569258" defaultRowHeight="15" zeroHeight="true"/>
  <cols>
    <col bestFit="true" customWidth="true" max="1" min="1" outlineLevel="0" width="20.85546864361033"/>
    <col bestFit="true" customWidth="true" max="2" min="2" outlineLevel="0" width="20.285156665646596"/>
    <col bestFit="true" customWidth="true" max="3" min="3" outlineLevel="0" width="4.5703126546284629"/>
    <col bestFit="true" customWidth="true" max="5" min="4" outlineLevel="0" width="9.0000001691661815"/>
    <col customWidth="true" max="13" min="6" outlineLevel="0" width="9.1406253092569258"/>
    <col bestFit="true" customWidth="true" max="14" min="14" outlineLevel="0" width="5.4257812982387943"/>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bestFit="true"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bestFit="true"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customWidth="true" max="40" min="36" outlineLevel="0" width="9.1406253092569258"/>
    <col bestFit="true" customWidth="true" hidden="true" max="16384" min="41" outlineLevel="0" width="9.1406253092569258"/>
  </cols>
  <sheetData>
    <row hidden="false" ht="15" outlineLevel="0" r="1">
      <c r="A1" s="85" t="s">
        <v>155</v>
      </c>
      <c r="B1" s="229"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62" t="s"/>
      <c r="AK1" s="62" t="s"/>
    </row>
    <row hidden="false" ht="15.75" outlineLevel="0" r="2">
      <c r="A2" s="88" t="s">
        <v>157</v>
      </c>
      <c r="B2" s="89" t="s">
        <v>158</v>
      </c>
      <c r="C2" s="230" t="s">
        <v>159</v>
      </c>
      <c r="D2" s="231" t="s"/>
      <c r="E2" s="232" t="s"/>
      <c r="S2" s="87" t="n"/>
    </row>
    <row hidden="false" ht="15.75" outlineLevel="0" r="3">
      <c r="A3" s="91" t="s">
        <v>160</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726-01-01</v>
      </c>
      <c r="Q3" s="233" t="s"/>
      <c r="R3" s="234" t="s">
        <v>218</v>
      </c>
      <c r="S3" s="235" t="s"/>
      <c r="T3" s="236" t="s"/>
      <c r="U3" s="237" t="s"/>
      <c r="V3" s="238" t="s"/>
      <c r="W3" s="239" t="s"/>
      <c r="X3" s="240" t="s"/>
      <c r="Y3" s="241" t="s"/>
      <c r="Z3" s="242" t="s"/>
      <c r="AA3" s="243" t="s"/>
      <c r="AB3" s="244" t="s"/>
      <c r="AC3" s="245" t="s"/>
      <c r="AD3" s="246" t="s"/>
      <c r="AE3" s="247" t="s"/>
      <c r="AF3" s="248" t="s"/>
      <c r="AG3" s="249" t="s"/>
      <c r="AH3" s="250" t="s"/>
      <c r="AI3" s="251" t="s"/>
      <c r="AJ3" s="252" t="s"/>
      <c r="AK3" s="253" t="s"/>
    </row>
    <row hidden="false" ht="15.75" outlineLevel="0" r="4">
      <c r="A4" s="91" t="s">
        <v>219</v>
      </c>
      <c r="B4" s="92" t="str">
        <f aca="false" ca="false" dt2D="false" dtr="false" t="normal">RIGHT(D13, 1)&amp;E13&amp;F13&amp;G13&amp;H10&amp;I10&amp;J10&amp;K10&amp;L10&amp;M10</f>
        <v>726G1G100000000002F</v>
      </c>
      <c r="C4" s="98" t="n"/>
      <c r="D4" s="99" t="s">
        <v>220</v>
      </c>
      <c r="E4" s="254" t="s"/>
      <c r="F4" s="255" t="s"/>
      <c r="G4" s="256" t="s"/>
      <c r="H4" s="53" t="s">
        <v>165</v>
      </c>
      <c r="I4" s="53" t="s">
        <v>166</v>
      </c>
      <c r="J4" s="53" t="s">
        <v>167</v>
      </c>
      <c r="K4" s="53" t="s">
        <v>168</v>
      </c>
      <c r="L4" s="53" t="s">
        <v>169</v>
      </c>
      <c r="M4" s="53" t="s">
        <v>221</v>
      </c>
      <c r="N4" s="63" t="n"/>
      <c r="P4" s="103" t="s">
        <v>222</v>
      </c>
      <c r="Q4" s="257" t="s"/>
      <c r="R4" s="258" t="s"/>
      <c r="S4" s="259" t="s"/>
      <c r="T4" s="103" t="s">
        <v>223</v>
      </c>
      <c r="U4" s="260" t="s"/>
      <c r="V4" s="261" t="s"/>
      <c r="W4" s="262" t="s"/>
      <c r="X4" s="103" t="s">
        <v>224</v>
      </c>
      <c r="Y4" s="263" t="s"/>
      <c r="Z4" s="264" t="s"/>
      <c r="AA4" s="265" t="s"/>
      <c r="AB4" s="103" t="s">
        <v>225</v>
      </c>
      <c r="AC4" s="266" t="s"/>
      <c r="AD4" s="267" t="s"/>
      <c r="AE4" s="268" t="s"/>
      <c r="AF4" s="103" t="s">
        <v>226</v>
      </c>
      <c r="AG4" s="269" t="s"/>
      <c r="AH4" s="270" t="s"/>
      <c r="AI4" s="271" t="s"/>
      <c r="AJ4" s="103" t="s">
        <v>227</v>
      </c>
      <c r="AK4" s="272" t="s"/>
    </row>
    <row hidden="false" ht="15.75" outlineLevel="0" r="5">
      <c r="A5" s="91" t="s">
        <v>228</v>
      </c>
      <c r="B5" s="92" t="str">
        <f aca="false" ca="false" dt2D="false" dtr="false" t="normal">RIGHT(D24, 1)&amp;E24&amp;F24&amp;G24&amp;H21&amp;I21&amp;J21&amp;K21&amp;L21&amp;M21</f>
        <v>726G1G2000000000030</v>
      </c>
      <c r="C5" s="98" t="s">
        <v>176</v>
      </c>
      <c r="D5" s="122" t="s">
        <v>177</v>
      </c>
      <c r="E5" s="123" t="s">
        <v>178</v>
      </c>
      <c r="F5" s="123" t="s">
        <v>179</v>
      </c>
      <c r="G5" s="124" t="s">
        <v>179</v>
      </c>
      <c r="H5" s="273" t="n">
        <f aca="false" ca="false" dt2D="false" dtr="false" t="normal">MID($A$4, 8, 2)</f>
        <v>0</v>
      </c>
      <c r="I5" s="126" t="n">
        <f aca="false" ca="false" dt2D="false" dtr="false" t="normal">MID($A$4, 10, 2)</f>
        <v>0</v>
      </c>
      <c r="J5" s="126" t="n">
        <f aca="false" ca="false" dt2D="false" dtr="false" t="normal">MID($A$4, 12, 2)</f>
        <v>0</v>
      </c>
      <c r="K5" s="126" t="n">
        <f aca="false" ca="false" dt2D="false" dtr="false" t="normal">MID($A$4, 14, 2)</f>
        <v>0</v>
      </c>
      <c r="L5" s="274" t="n">
        <f aca="false" ca="false" dt2D="false" dtr="false" t="normal">MID($A$4, 16, 2)</f>
        <v>0</v>
      </c>
      <c r="M5" s="128" t="str">
        <f aca="false" ca="false" dt2D="false" dtr="false" t="normal">MID($A$4, 18, 2)</f>
        <v>2F</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275" t="s"/>
    </row>
    <row hidden="false" ht="15" outlineLevel="0" r="6">
      <c r="A6" s="91" t="s">
        <v>229</v>
      </c>
      <c r="B6" s="92" t="str">
        <f aca="false" ca="false" dt2D="false" dtr="false" t="normal">RIGHT(D35, 1)&amp;E35&amp;F35&amp;G35&amp;H32&amp;I32&amp;J32&amp;K32&amp;L32</f>
        <v>726G1G30000000031</v>
      </c>
      <c r="C6" s="98" t="s">
        <v>185</v>
      </c>
      <c r="D6" s="53" t="n">
        <f aca="false" ca="false" dt2D="false" dtr="false" t="normal">HEX2BIN(D5, 8)</f>
        <v>111</v>
      </c>
      <c r="E6" s="53" t="n">
        <f aca="false" ca="false" dt2D="false" dtr="false" t="normal">HEX2BIN(E5, 8)</f>
        <v>100110</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208" t="s">
        <v>230</v>
      </c>
      <c r="T6" s="209" t="n">
        <f aca="false" ca="false" dt2D="false" dtr="false" t="normal">MID(I6, 1, 1)</f>
        <v>0</v>
      </c>
      <c r="U6" s="137" t="n">
        <f aca="false" ca="false" dt2D="false" dtr="false" t="normal">T6</f>
        <v>0</v>
      </c>
      <c r="V6" s="120" t="s">
        <v>186</v>
      </c>
      <c r="W6" s="139" t="s">
        <v>231</v>
      </c>
      <c r="X6" s="209" t="n">
        <f aca="false" ca="false" dt2D="false" dtr="false" t="normal">MID(J6, 1, 1)</f>
        <v>0</v>
      </c>
      <c r="Y6" s="137" t="n">
        <f aca="false" ca="false" dt2D="false" dtr="false" t="normal">X6</f>
        <v>0</v>
      </c>
      <c r="Z6" s="120" t="s">
        <v>186</v>
      </c>
      <c r="AA6" s="276" t="s">
        <v>232</v>
      </c>
      <c r="AB6" s="209" t="n">
        <f aca="false" ca="false" dt2D="false" dtr="false" t="normal">MID(K6, 1, 1)</f>
        <v>0</v>
      </c>
      <c r="AC6" s="137" t="n">
        <f aca="false" ca="false" dt2D="false" dtr="false" t="normal">AB6</f>
        <v>0</v>
      </c>
      <c r="AD6" s="120" t="s">
        <v>186</v>
      </c>
      <c r="AE6" s="139" t="s">
        <v>233</v>
      </c>
      <c r="AF6" s="209" t="n">
        <f aca="false" ca="false" dt2D="false" dtr="false" t="normal">MID(L6, 1, 1)</f>
        <v>0</v>
      </c>
      <c r="AG6" s="137" t="n">
        <f aca="false" ca="false" dt2D="false" dtr="false" t="normal">AF6</f>
        <v>0</v>
      </c>
      <c r="AH6" s="120" t="s">
        <v>186</v>
      </c>
      <c r="AI6" s="131" t="s">
        <v>196</v>
      </c>
      <c r="AJ6" s="277" t="s"/>
      <c r="AK6" s="278" t="s"/>
    </row>
    <row hidden="false" ht="15" outlineLevel="0" r="7">
      <c r="A7" s="91" t="s">
        <v>175</v>
      </c>
      <c r="B7" s="92" t="s">
        <v>175</v>
      </c>
      <c r="C7" s="98" t="s">
        <v>191</v>
      </c>
      <c r="D7" s="53" t="n">
        <f aca="false" ca="false" dt2D="false" dtr="false" t="normal">HEX2DEC(D5)</f>
        <v>7</v>
      </c>
      <c r="E7" s="53" t="n">
        <f aca="false" ca="false" dt2D="false" dtr="false" t="normal">HEX2DEC(E5)</f>
        <v>38</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47</v>
      </c>
      <c r="N7" s="63" t="n"/>
      <c r="P7" s="136" t="n">
        <f aca="false" ca="false" dt2D="false" dtr="false" t="normal">MID(H6, 2, 1)</f>
        <v>0</v>
      </c>
      <c r="Q7" s="137" t="n">
        <f aca="false" ca="false" dt2D="false" dtr="false" t="normal">P7</f>
        <v>0</v>
      </c>
      <c r="R7" s="120" t="s">
        <v>192</v>
      </c>
      <c r="S7" s="139" t="s">
        <v>234</v>
      </c>
      <c r="T7" s="209" t="n">
        <f aca="false" ca="false" dt2D="false" dtr="false" t="normal">MID(I6, 2, 1)</f>
        <v>0</v>
      </c>
      <c r="U7" s="137" t="n">
        <f aca="false" ca="false" dt2D="false" dtr="false" t="normal">T7</f>
        <v>0</v>
      </c>
      <c r="V7" s="120" t="s">
        <v>192</v>
      </c>
      <c r="W7" s="139" t="s">
        <v>235</v>
      </c>
      <c r="X7" s="209" t="n">
        <f aca="false" ca="false" dt2D="false" dtr="false" t="normal">MID(J6, 2, 1)</f>
        <v>0</v>
      </c>
      <c r="Y7" s="137" t="n">
        <f aca="false" ca="false" dt2D="false" dtr="false" t="normal">X7</f>
        <v>0</v>
      </c>
      <c r="Z7" s="120" t="s">
        <v>192</v>
      </c>
      <c r="AA7" s="279" t="s"/>
      <c r="AB7" s="209" t="n">
        <f aca="false" ca="false" dt2D="false" dtr="false" t="normal">MID(K6, 2, 1)</f>
        <v>0</v>
      </c>
      <c r="AC7" s="137" t="n">
        <f aca="false" ca="false" dt2D="false" dtr="false" t="normal">AB7</f>
        <v>0</v>
      </c>
      <c r="AD7" s="120" t="s">
        <v>192</v>
      </c>
      <c r="AE7" s="280" t="s">
        <v>236</v>
      </c>
      <c r="AF7" s="209" t="n">
        <f aca="false" ca="false" dt2D="false" dtr="false" t="normal">MID(L6, 2, 1)</f>
        <v>0</v>
      </c>
      <c r="AG7" s="137" t="n">
        <f aca="false" ca="false" dt2D="false" dtr="false" t="normal">AF7</f>
        <v>0</v>
      </c>
      <c r="AH7" s="120" t="s">
        <v>192</v>
      </c>
      <c r="AI7" s="131" t="s">
        <v>196</v>
      </c>
      <c r="AJ7" s="281" t="s"/>
      <c r="AK7" s="282" t="s"/>
    </row>
    <row customHeight="true" hidden="false" ht="15" outlineLevel="0" r="8">
      <c r="A8" s="91" t="s">
        <v>237</v>
      </c>
      <c r="B8" s="92" t="str">
        <f aca="false" ca="false" dt2D="false" dtr="false" t="normal">RIGHT(D46, 1)&amp;E46&amp;F46&amp;G46&amp;H43&amp;I43</f>
        <v>726G2G10030</v>
      </c>
      <c r="C8" s="98" t="s">
        <v>194</v>
      </c>
      <c r="D8" s="53" t="n">
        <f aca="false" ca="false" dt2D="false" dtr="false" t="normal">D5</f>
        <v>7</v>
      </c>
      <c r="E8" s="149" t="n">
        <f aca="false" ca="false" dt2D="false" dtr="false" t="normal">E5</f>
        <v>26</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139" t="s">
        <v>238</v>
      </c>
      <c r="T8" s="209" t="n">
        <f aca="false" ca="false" dt2D="false" dtr="false" t="normal">MID(I6, 3, 1)</f>
        <v>0</v>
      </c>
      <c r="U8" s="137" t="n">
        <f aca="false" ca="false" dt2D="false" dtr="false" t="normal">T8</f>
        <v>0</v>
      </c>
      <c r="V8" s="120" t="s">
        <v>195</v>
      </c>
      <c r="W8" s="131" t="s">
        <v>196</v>
      </c>
      <c r="X8" s="209" t="n">
        <f aca="false" ca="false" dt2D="false" dtr="false" t="normal">MID(J6, 3, 1)</f>
        <v>0</v>
      </c>
      <c r="Y8" s="137" t="n">
        <f aca="false" ca="false" dt2D="false" dtr="false" t="normal">X8</f>
        <v>0</v>
      </c>
      <c r="Z8" s="120" t="s">
        <v>195</v>
      </c>
      <c r="AA8" s="276" t="s">
        <v>239</v>
      </c>
      <c r="AB8" s="209" t="n">
        <f aca="false" ca="false" dt2D="false" dtr="false" t="normal">MID(K6, 3, 1)</f>
        <v>0</v>
      </c>
      <c r="AC8" s="137" t="n">
        <f aca="false" ca="false" dt2D="false" dtr="false" t="normal">AB8</f>
        <v>0</v>
      </c>
      <c r="AD8" s="120" t="s">
        <v>195</v>
      </c>
      <c r="AE8" s="139" t="s">
        <v>240</v>
      </c>
      <c r="AF8" s="209" t="n">
        <f aca="false" ca="false" dt2D="false" dtr="false" t="normal">MID(L6, 3, 1)</f>
        <v>0</v>
      </c>
      <c r="AG8" s="137" t="n">
        <f aca="false" ca="false" dt2D="false" dtr="false" t="normal">AF8</f>
        <v>0</v>
      </c>
      <c r="AH8" s="120" t="s">
        <v>195</v>
      </c>
      <c r="AI8" s="139" t="s">
        <v>241</v>
      </c>
      <c r="AJ8" s="283" t="s"/>
      <c r="AK8" s="284" t="s"/>
    </row>
    <row hidden="false" ht="15.75" outlineLevel="0" r="9">
      <c r="A9" s="91" t="s">
        <v>242</v>
      </c>
      <c r="B9" s="92" t="s">
        <v>242</v>
      </c>
      <c r="C9" s="98" t="n"/>
      <c r="N9" s="63" t="n"/>
      <c r="P9" s="136" t="n">
        <f aca="false" ca="false" dt2D="false" dtr="false" t="normal">MID(H6, 4, 1)</f>
        <v>0</v>
      </c>
      <c r="Q9" s="137" t="n">
        <f aca="false" ca="false" dt2D="false" dtr="false" t="normal">P9</f>
        <v>0</v>
      </c>
      <c r="R9" s="120" t="s">
        <v>197</v>
      </c>
      <c r="S9" s="131" t="s">
        <v>196</v>
      </c>
      <c r="T9" s="209" t="n">
        <f aca="false" ca="false" dt2D="false" dtr="false" t="normal">MID(I6, 4, 1)</f>
        <v>0</v>
      </c>
      <c r="U9" s="137" t="n">
        <f aca="false" ca="false" dt2D="false" dtr="false" t="normal">T9</f>
        <v>0</v>
      </c>
      <c r="V9" s="120" t="s">
        <v>197</v>
      </c>
      <c r="W9" s="280" t="s">
        <v>243</v>
      </c>
      <c r="X9" s="209" t="n">
        <f aca="false" ca="false" dt2D="false" dtr="false" t="normal">MID(J6, 4, 1)</f>
        <v>0</v>
      </c>
      <c r="Y9" s="137" t="n">
        <f aca="false" ca="false" dt2D="false" dtr="false" t="normal">X9</f>
        <v>0</v>
      </c>
      <c r="Z9" s="120" t="s">
        <v>197</v>
      </c>
      <c r="AA9" s="285" t="s"/>
      <c r="AB9" s="209" t="n">
        <f aca="false" ca="false" dt2D="false" dtr="false" t="normal">MID(K6, 4, 1)</f>
        <v>0</v>
      </c>
      <c r="AC9" s="137" t="n">
        <f aca="false" ca="false" dt2D="false" dtr="false" t="normal">AB9</f>
        <v>0</v>
      </c>
      <c r="AD9" s="120" t="s">
        <v>197</v>
      </c>
      <c r="AE9" s="131" t="s">
        <v>196</v>
      </c>
      <c r="AF9" s="209" t="n">
        <f aca="false" ca="false" dt2D="false" dtr="false" t="normal">MID(L6, 4, 1)</f>
        <v>0</v>
      </c>
      <c r="AG9" s="137" t="n">
        <f aca="false" ca="false" dt2D="false" dtr="false" t="normal">AF9</f>
        <v>0</v>
      </c>
      <c r="AH9" s="120" t="s">
        <v>197</v>
      </c>
      <c r="AI9" s="131" t="s">
        <v>196</v>
      </c>
      <c r="AJ9" s="286" t="s"/>
      <c r="AK9" s="287" t="s"/>
    </row>
    <row hidden="false" ht="15.75" outlineLevel="0" r="10">
      <c r="A10" s="91" t="s">
        <v>244</v>
      </c>
      <c r="B10" s="92" t="str">
        <f aca="false" ca="false" dt2D="false" dtr="false" t="normal">RIGHT(D57, 1)&amp;E57&amp;F57&amp;G57&amp;H54&amp;I54</f>
        <v>726G3G10031</v>
      </c>
      <c r="C10" s="98" t="s">
        <v>176</v>
      </c>
      <c r="D10" s="159" t="n">
        <f aca="false" ca="false" dt2D="false" dtr="false" t="normal">D5</f>
        <v>7</v>
      </c>
      <c r="E10" s="160" t="n">
        <f aca="false" ca="false" dt2D="false" dtr="false" t="normal">E5</f>
        <v>26</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2F</v>
      </c>
      <c r="N10" s="63" t="s">
        <v>181</v>
      </c>
      <c r="P10" s="136" t="n">
        <f aca="false" ca="false" dt2D="false" dtr="false" t="normal">MID(H6, 5, 1)</f>
        <v>0</v>
      </c>
      <c r="Q10" s="137" t="n">
        <f aca="false" ca="false" dt2D="false" dtr="false" t="normal">P10</f>
        <v>0</v>
      </c>
      <c r="R10" s="120" t="s">
        <v>200</v>
      </c>
      <c r="S10" s="289" t="s">
        <v>245</v>
      </c>
      <c r="T10" s="209" t="n">
        <f aca="false" ca="false" dt2D="false" dtr="false" t="normal">MID(I6, 5, 1)</f>
        <v>0</v>
      </c>
      <c r="U10" s="137" t="n">
        <f aca="false" ca="false" dt2D="false" dtr="false" t="normal">T10</f>
        <v>0</v>
      </c>
      <c r="V10" s="120" t="s">
        <v>200</v>
      </c>
      <c r="W10" s="139" t="s">
        <v>246</v>
      </c>
      <c r="X10" s="209" t="n">
        <f aca="false" ca="false" dt2D="false" dtr="false" t="normal">MID(J6, 5, 1)</f>
        <v>0</v>
      </c>
      <c r="Y10" s="137" t="n">
        <f aca="false" ca="false" dt2D="false" dtr="false" t="normal">X10</f>
        <v>0</v>
      </c>
      <c r="Z10" s="120" t="s">
        <v>200</v>
      </c>
      <c r="AA10" s="290" t="s"/>
      <c r="AB10" s="209" t="n">
        <f aca="false" ca="false" dt2D="false" dtr="false" t="normal">MID(K6, 5, 1)</f>
        <v>0</v>
      </c>
      <c r="AC10" s="137" t="n">
        <f aca="false" ca="false" dt2D="false" dtr="false" t="normal">AB10</f>
        <v>0</v>
      </c>
      <c r="AD10" s="120" t="s">
        <v>200</v>
      </c>
      <c r="AE10" s="280" t="s">
        <v>247</v>
      </c>
      <c r="AF10" s="209" t="n">
        <f aca="false" ca="false" dt2D="false" dtr="false" t="normal">MID(L6, 5, 1)</f>
        <v>0</v>
      </c>
      <c r="AG10" s="137" t="n">
        <f aca="false" ca="false" dt2D="false" dtr="false" t="normal">AF10</f>
        <v>0</v>
      </c>
      <c r="AH10" s="120" t="s">
        <v>200</v>
      </c>
      <c r="AI10" s="139" t="s">
        <v>248</v>
      </c>
      <c r="AJ10" s="291" t="s"/>
      <c r="AK10" s="292" t="s"/>
    </row>
    <row hidden="false" ht="15" outlineLevel="0" r="11">
      <c r="A11" s="293" t="s">
        <v>249</v>
      </c>
      <c r="B11" s="92" t="s">
        <v>249</v>
      </c>
      <c r="C11" s="98" t="s">
        <v>185</v>
      </c>
      <c r="D11" s="53" t="n">
        <f aca="false" ca="false" dt2D="false" dtr="false" t="normal">HEX2BIN(D10, 8)</f>
        <v>111</v>
      </c>
      <c r="E11" s="53" t="n">
        <f aca="false" ca="false" dt2D="false" dtr="false" t="normal">HEX2BIN(E10, 8)</f>
        <v>100110</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2F</v>
      </c>
      <c r="N11" s="63" t="n"/>
      <c r="P11" s="136" t="n">
        <f aca="false" ca="false" dt2D="false" dtr="false" t="normal">MID(H6, 6, 1)</f>
        <v>0</v>
      </c>
      <c r="Q11" s="137" t="n">
        <f aca="false" ca="false" dt2D="false" dtr="false" t="normal">P11</f>
        <v>0</v>
      </c>
      <c r="R11" s="120" t="s">
        <v>203</v>
      </c>
      <c r="S11" s="140" t="s">
        <v>250</v>
      </c>
      <c r="T11" s="209" t="n">
        <f aca="false" ca="false" dt2D="false" dtr="false" t="normal">MID(I6, 6, 1)</f>
        <v>0</v>
      </c>
      <c r="U11" s="137" t="n">
        <f aca="false" ca="false" dt2D="false" dtr="false" t="normal">T11</f>
        <v>0</v>
      </c>
      <c r="V11" s="120" t="s">
        <v>203</v>
      </c>
      <c r="W11" s="131" t="s">
        <v>196</v>
      </c>
      <c r="X11" s="209" t="n">
        <f aca="false" ca="false" dt2D="false" dtr="false" t="normal">MID(J6, 6, 1)</f>
        <v>0</v>
      </c>
      <c r="Y11" s="137" t="n">
        <f aca="false" ca="false" dt2D="false" dtr="false" t="normal">X11</f>
        <v>0</v>
      </c>
      <c r="Z11" s="120" t="s">
        <v>203</v>
      </c>
      <c r="AA11" s="139" t="s">
        <v>251</v>
      </c>
      <c r="AB11" s="209" t="n">
        <f aca="false" ca="false" dt2D="false" dtr="false" t="normal">MID(K6, 6, 1)</f>
        <v>0</v>
      </c>
      <c r="AC11" s="137" t="n">
        <f aca="false" ca="false" dt2D="false" dtr="false" t="normal">AB11</f>
        <v>0</v>
      </c>
      <c r="AD11" s="120" t="s">
        <v>203</v>
      </c>
      <c r="AE11" s="280" t="s">
        <v>252</v>
      </c>
      <c r="AF11" s="209" t="n">
        <f aca="false" ca="false" dt2D="false" dtr="false" t="normal">MID(L6, 6, 1)</f>
        <v>0</v>
      </c>
      <c r="AG11" s="137" t="n">
        <f aca="false" ca="false" dt2D="false" dtr="false" t="normal">AF11</f>
        <v>0</v>
      </c>
      <c r="AH11" s="120" t="s">
        <v>203</v>
      </c>
      <c r="AI11" s="139" t="s">
        <v>253</v>
      </c>
      <c r="AJ11" s="294" t="s"/>
      <c r="AK11" s="295" t="s"/>
    </row>
    <row hidden="false" ht="15" outlineLevel="0" r="12">
      <c r="A12" s="293" t="s">
        <v>254</v>
      </c>
      <c r="B12" s="92" t="str">
        <f aca="false" ca="false" dt2D="false" dtr="false" t="normal">RIGHT(D68, 1)&amp;E68&amp;F68&amp;G68&amp;H65&amp;I65</f>
        <v>726G4G10032</v>
      </c>
      <c r="C12" s="98" t="s">
        <v>191</v>
      </c>
      <c r="D12" s="53" t="n">
        <f aca="false" ca="false" dt2D="false" dtr="false" t="normal">HEX2DEC(D10)</f>
        <v>7</v>
      </c>
      <c r="E12" s="53" t="n">
        <f aca="false" ca="false" dt2D="false" dtr="false" t="normal">HEX2DEC(E10)</f>
        <v>38</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47</v>
      </c>
      <c r="N12" s="63" t="n"/>
      <c r="P12" s="136" t="n">
        <f aca="false" ca="false" dt2D="false" dtr="false" t="normal">MID(H6, 7, 1)</f>
        <v>0</v>
      </c>
      <c r="Q12" s="137" t="n">
        <f aca="false" ca="false" dt2D="false" dtr="false" t="normal">P12</f>
        <v>0</v>
      </c>
      <c r="R12" s="120" t="s">
        <v>206</v>
      </c>
      <c r="S12" s="296" t="s"/>
      <c r="T12" s="209" t="n">
        <f aca="false" ca="false" dt2D="false" dtr="false" t="normal">MID(I6, 7, 1)</f>
        <v>0</v>
      </c>
      <c r="U12" s="137" t="n">
        <f aca="false" ca="false" dt2D="false" dtr="false" t="normal">T12</f>
        <v>0</v>
      </c>
      <c r="V12" s="120" t="s">
        <v>206</v>
      </c>
      <c r="W12" s="131" t="s">
        <v>196</v>
      </c>
      <c r="X12" s="209" t="n">
        <f aca="false" ca="false" dt2D="false" dtr="false" t="normal">MID(J6, 7, 1)</f>
        <v>0</v>
      </c>
      <c r="Y12" s="137" t="n">
        <f aca="false" ca="false" dt2D="false" dtr="false" t="normal">X12</f>
        <v>0</v>
      </c>
      <c r="Z12" s="120" t="s">
        <v>206</v>
      </c>
      <c r="AA12" s="139" t="s">
        <v>255</v>
      </c>
      <c r="AB12" s="209" t="n">
        <f aca="false" ca="false" dt2D="false" dtr="false" t="normal">MID(K6, 7, 1)</f>
        <v>0</v>
      </c>
      <c r="AC12" s="137" t="n">
        <f aca="false" ca="false" dt2D="false" dtr="false" t="normal">AB12</f>
        <v>0</v>
      </c>
      <c r="AD12" s="120" t="s">
        <v>206</v>
      </c>
      <c r="AE12" s="280" t="s">
        <v>256</v>
      </c>
      <c r="AF12" s="209" t="n">
        <f aca="false" ca="false" dt2D="false" dtr="false" t="normal">MID(L6, 7, 1)</f>
        <v>0</v>
      </c>
      <c r="AG12" s="137" t="n">
        <f aca="false" ca="false" dt2D="false" dtr="false" t="normal">AF12</f>
        <v>0</v>
      </c>
      <c r="AH12" s="120" t="s">
        <v>206</v>
      </c>
      <c r="AI12" s="139" t="s">
        <v>257</v>
      </c>
      <c r="AJ12" s="297" t="s"/>
      <c r="AK12" s="298" t="s"/>
    </row>
    <row hidden="false" ht="15.75" outlineLevel="0" r="13">
      <c r="A13" s="293" t="s">
        <v>258</v>
      </c>
      <c r="B13" s="92" t="s">
        <v>258</v>
      </c>
      <c r="C13" s="180" t="s">
        <v>194</v>
      </c>
      <c r="D13" s="299" t="n">
        <f aca="false" ca="false" dt2D="false" dtr="false" t="normal">D8</f>
        <v>7</v>
      </c>
      <c r="E13" s="299" t="n">
        <f aca="false" ca="false" dt2D="false" dtr="false" t="normal">E8</f>
        <v>26</v>
      </c>
      <c r="F13" s="299" t="str">
        <f aca="false" ca="false" dt2D="false" dtr="false" t="normal">F8</f>
        <v>G1</v>
      </c>
      <c r="G13" s="299"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85" t="s">
        <v>196</v>
      </c>
      <c r="T13" s="300" t="n">
        <f aca="false" ca="false" dt2D="false" dtr="false" t="normal">MID(I6, 8, 1)</f>
        <v>0</v>
      </c>
      <c r="U13" s="183" t="n">
        <f aca="false" ca="false" dt2D="false" dtr="false" t="normal">T13</f>
        <v>0</v>
      </c>
      <c r="V13" s="184" t="s">
        <v>208</v>
      </c>
      <c r="W13" s="301" t="s">
        <v>259</v>
      </c>
      <c r="X13" s="300" t="n">
        <f aca="false" ca="false" dt2D="false" dtr="false" t="normal">MID(J6, 8, 1)</f>
        <v>0</v>
      </c>
      <c r="Y13" s="183" t="n">
        <f aca="false" ca="false" dt2D="false" dtr="false" t="normal">X13</f>
        <v>0</v>
      </c>
      <c r="Z13" s="184" t="s">
        <v>208</v>
      </c>
      <c r="AA13" s="187" t="s">
        <v>260</v>
      </c>
      <c r="AB13" s="300" t="n">
        <f aca="false" ca="false" dt2D="false" dtr="false" t="normal">MID(K6, 8, 1)</f>
        <v>0</v>
      </c>
      <c r="AC13" s="183" t="n">
        <f aca="false" ca="false" dt2D="false" dtr="false" t="normal">AB13</f>
        <v>0</v>
      </c>
      <c r="AD13" s="184" t="s">
        <v>208</v>
      </c>
      <c r="AE13" s="187" t="s">
        <v>261</v>
      </c>
      <c r="AF13" s="300" t="n">
        <f aca="false" ca="false" dt2D="false" dtr="false" t="normal">MID(L6, 8, 1)</f>
        <v>0</v>
      </c>
      <c r="AG13" s="183" t="n">
        <f aca="false" ca="false" dt2D="false" dtr="false" t="normal">AF13</f>
        <v>0</v>
      </c>
      <c r="AH13" s="184" t="s">
        <v>208</v>
      </c>
      <c r="AI13" s="185" t="s">
        <v>196</v>
      </c>
      <c r="AJ13" s="302" t="s"/>
      <c r="AK13" s="303" t="s"/>
    </row>
    <row hidden="false" ht="15.75" outlineLevel="0" r="14">
      <c r="A14" s="304" t="s">
        <v>262</v>
      </c>
      <c r="B14" s="92" t="str">
        <f aca="false" ca="false" dt2D="false" dtr="false" t="normal">RIGHT(D79, 1)&amp;E79&amp;F79&amp;G79&amp;H76&amp;I76</f>
        <v>726G5G10033</v>
      </c>
      <c r="C14" s="93" t="n"/>
      <c r="D14" s="94" t="n"/>
      <c r="E14" s="94" t="n"/>
      <c r="F14" s="94" t="n"/>
      <c r="G14" s="94" t="n"/>
      <c r="H14" s="94" t="n"/>
      <c r="I14" s="94" t="n"/>
      <c r="J14" s="94" t="n"/>
      <c r="K14" s="94" t="n"/>
      <c r="L14" s="94" t="n"/>
      <c r="M14" s="94" t="s">
        <v>161</v>
      </c>
      <c r="N14" s="60" t="n"/>
      <c r="P14" s="95" t="str">
        <f aca="false" ca="false" dt2D="false" dtr="false" t="normal">RIGHT(D16, 1)&amp;E16&amp;"-"&amp;F16&amp;"-"&amp;G16</f>
        <v>726-01-02</v>
      </c>
      <c r="Q14" s="305" t="s"/>
      <c r="R14" s="234" t="s">
        <v>263</v>
      </c>
      <c r="S14" s="306" t="s"/>
      <c r="T14" s="307" t="s"/>
      <c r="U14" s="308" t="s"/>
      <c r="V14" s="309" t="s"/>
      <c r="W14" s="310" t="s"/>
      <c r="X14" s="311" t="s"/>
      <c r="Y14" s="312" t="s"/>
      <c r="Z14" s="313" t="s"/>
      <c r="AA14" s="314" t="s"/>
      <c r="AB14" s="315" t="s"/>
      <c r="AC14" s="316" t="s"/>
      <c r="AD14" s="317" t="s"/>
      <c r="AE14" s="318" t="s"/>
      <c r="AF14" s="319" t="s"/>
      <c r="AG14" s="320" t="s"/>
      <c r="AH14" s="321" t="s"/>
      <c r="AI14" s="322" t="s"/>
      <c r="AJ14" s="323" t="s"/>
      <c r="AK14" s="324" t="s"/>
    </row>
    <row hidden="false" ht="15.75" outlineLevel="0" r="15">
      <c r="C15" s="98" t="n"/>
      <c r="D15" s="99" t="s">
        <v>264</v>
      </c>
      <c r="E15" s="325" t="s"/>
      <c r="F15" s="326" t="s"/>
      <c r="G15" s="327" t="s"/>
      <c r="H15" s="53" t="s">
        <v>165</v>
      </c>
      <c r="I15" s="53" t="s">
        <v>166</v>
      </c>
      <c r="J15" s="53" t="s">
        <v>167</v>
      </c>
      <c r="K15" s="53" t="s">
        <v>168</v>
      </c>
      <c r="L15" s="53" t="s">
        <v>169</v>
      </c>
      <c r="M15" s="53" t="s">
        <v>221</v>
      </c>
      <c r="N15" s="63" t="n"/>
      <c r="P15" s="103" t="s">
        <v>265</v>
      </c>
      <c r="Q15" s="328" t="s"/>
      <c r="R15" s="329" t="s"/>
      <c r="S15" s="330" t="s"/>
      <c r="T15" s="103" t="s">
        <v>266</v>
      </c>
      <c r="U15" s="331" t="s"/>
      <c r="V15" s="332" t="s"/>
      <c r="W15" s="333" t="s"/>
      <c r="X15" s="103" t="s">
        <v>267</v>
      </c>
      <c r="Y15" s="334" t="s"/>
      <c r="Z15" s="335" t="s"/>
      <c r="AA15" s="336" t="s"/>
      <c r="AB15" s="103" t="s">
        <v>268</v>
      </c>
      <c r="AC15" s="337" t="s"/>
      <c r="AD15" s="338" t="s"/>
      <c r="AE15" s="339" t="s"/>
      <c r="AF15" s="103" t="s">
        <v>269</v>
      </c>
      <c r="AG15" s="340" t="s"/>
      <c r="AH15" s="341" t="s"/>
      <c r="AI15" s="342" t="s"/>
      <c r="AJ15" s="103" t="s">
        <v>270</v>
      </c>
      <c r="AK15" s="343" t="s"/>
    </row>
    <row hidden="false" ht="15.75" outlineLevel="0" r="16">
      <c r="C16" s="98" t="s">
        <v>176</v>
      </c>
      <c r="D16" s="122" t="s">
        <v>177</v>
      </c>
      <c r="E16" s="123" t="s">
        <v>178</v>
      </c>
      <c r="F16" s="123" t="s">
        <v>179</v>
      </c>
      <c r="G16" s="124" t="s">
        <v>216</v>
      </c>
      <c r="H16" s="273" t="n">
        <f aca="false" ca="false" dt2D="false" dtr="false" t="normal">MID($A$5, 8, 2)</f>
        <v>0</v>
      </c>
      <c r="I16" s="126" t="n">
        <f aca="false" ca="false" dt2D="false" dtr="false" t="normal">MID($A$5, 10, 2)</f>
        <v>0</v>
      </c>
      <c r="J16" s="126" t="n">
        <f aca="false" ca="false" dt2D="false" dtr="false" t="normal">MID($A$5, 12, 2)</f>
        <v>0</v>
      </c>
      <c r="K16" s="126" t="n">
        <f aca="false" ca="false" dt2D="false" dtr="false" t="normal">MID($A$5, 14, 2)</f>
        <v>0</v>
      </c>
      <c r="L16" s="274" t="n">
        <f aca="false" ca="false" dt2D="false" dtr="false" t="normal">MID($A$5, 16, 2)</f>
        <v>0</v>
      </c>
      <c r="M16" s="128" t="n">
        <f aca="false" ca="false" dt2D="false" dtr="false" t="normal">MID($A$5, 18, 2)</f>
        <v>30</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344" t="s"/>
    </row>
    <row hidden="false" ht="15" outlineLevel="0" r="17">
      <c r="C17" s="98" t="s">
        <v>185</v>
      </c>
      <c r="D17" s="53" t="n">
        <f aca="false" ca="false" dt2D="false" dtr="false" t="normal">HEX2BIN(D16, 8)</f>
        <v>111</v>
      </c>
      <c r="E17" s="53" t="n">
        <f aca="false" ca="false" dt2D="false" dtr="false" t="normal">HEX2BIN(E16, 8)</f>
        <v>100110</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N17" s="63" t="n"/>
      <c r="P17" s="136" t="n">
        <f aca="false" ca="false" dt2D="false" dtr="false" t="normal">MID(H17, 1, 1)</f>
        <v>0</v>
      </c>
      <c r="Q17" s="137" t="n">
        <f aca="false" ca="false" dt2D="false" dtr="false" t="normal">P17</f>
        <v>0</v>
      </c>
      <c r="R17" s="120" t="s">
        <v>186</v>
      </c>
      <c r="S17" s="139" t="s">
        <v>271</v>
      </c>
      <c r="T17" s="209" t="n">
        <f aca="false" ca="false" dt2D="false" dtr="false" t="normal">MID(I17, 1, 1)</f>
        <v>0</v>
      </c>
      <c r="U17" s="137" t="n">
        <f aca="false" ca="false" dt2D="false" dtr="false" t="normal">T17</f>
        <v>0</v>
      </c>
      <c r="V17" s="120" t="s">
        <v>186</v>
      </c>
      <c r="W17" s="139" t="s">
        <v>272</v>
      </c>
      <c r="X17" s="136" t="n">
        <f aca="false" ca="false" dt2D="false" dtr="false" t="normal">MID(J17, 1, 1)</f>
        <v>0</v>
      </c>
      <c r="Y17" s="137" t="n">
        <f aca="false" ca="false" dt2D="false" dtr="false" t="normal">X17</f>
        <v>0</v>
      </c>
      <c r="Z17" s="120" t="s">
        <v>186</v>
      </c>
      <c r="AA17" s="131" t="s">
        <v>196</v>
      </c>
      <c r="AB17" s="136" t="n">
        <f aca="false" ca="false" dt2D="false" dtr="false" t="normal">MID(K17, 1, 1)</f>
        <v>0</v>
      </c>
      <c r="AC17" s="137" t="n">
        <f aca="false" ca="false" dt2D="false" dtr="false" t="normal">AB17</f>
        <v>0</v>
      </c>
      <c r="AD17" s="120" t="s">
        <v>186</v>
      </c>
      <c r="AE17" s="139" t="s">
        <v>273</v>
      </c>
      <c r="AF17" s="136" t="n">
        <f aca="false" ca="false" dt2D="false" dtr="false" t="normal">MID(L17, 1, 1)</f>
        <v>0</v>
      </c>
      <c r="AG17" s="137" t="n">
        <f aca="false" ca="false" dt2D="false" dtr="false" t="normal">AF17</f>
        <v>0</v>
      </c>
      <c r="AH17" s="120" t="s">
        <v>186</v>
      </c>
      <c r="AI17" s="139" t="s">
        <v>274</v>
      </c>
      <c r="AJ17" s="345" t="s"/>
      <c r="AK17" s="346" t="s"/>
    </row>
    <row hidden="false" ht="15" outlineLevel="0" r="18">
      <c r="C18" s="98" t="s">
        <v>191</v>
      </c>
      <c r="D18" s="53" t="n">
        <f aca="false" ca="false" dt2D="false" dtr="false" t="normal">HEX2DEC(D16)</f>
        <v>7</v>
      </c>
      <c r="E18" s="53" t="n">
        <f aca="false" ca="false" dt2D="false" dtr="false" t="normal">HEX2DEC(E16)</f>
        <v>38</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48</v>
      </c>
      <c r="N18" s="63" t="n"/>
      <c r="P18" s="136" t="n">
        <f aca="false" ca="false" dt2D="false" dtr="false" t="normal">MID(H17, 2, 1)</f>
        <v>0</v>
      </c>
      <c r="Q18" s="137" t="n">
        <f aca="false" ca="false" dt2D="false" dtr="false" t="normal">P18</f>
        <v>0</v>
      </c>
      <c r="R18" s="120" t="s">
        <v>192</v>
      </c>
      <c r="S18" s="131" t="s">
        <v>196</v>
      </c>
      <c r="T18" s="209" t="n">
        <f aca="false" ca="false" dt2D="false" dtr="false" t="normal">MID(I17, 2, 1)</f>
        <v>0</v>
      </c>
      <c r="U18" s="137" t="n">
        <f aca="false" ca="false" dt2D="false" dtr="false" t="normal">T18</f>
        <v>0</v>
      </c>
      <c r="V18" s="120" t="s">
        <v>192</v>
      </c>
      <c r="W18" s="139" t="s">
        <v>275</v>
      </c>
      <c r="X18" s="136" t="n">
        <f aca="false" ca="false" dt2D="false" dtr="false" t="normal">MID(J17, 2, 1)</f>
        <v>0</v>
      </c>
      <c r="Y18" s="137" t="n">
        <f aca="false" ca="false" dt2D="false" dtr="false" t="normal">X18</f>
        <v>0</v>
      </c>
      <c r="Z18" s="120" t="s">
        <v>192</v>
      </c>
      <c r="AA18" s="131" t="s">
        <v>196</v>
      </c>
      <c r="AB18" s="136" t="n">
        <f aca="false" ca="false" dt2D="false" dtr="false" t="normal">MID(K17, 2, 1)</f>
        <v>0</v>
      </c>
      <c r="AC18" s="137" t="n">
        <f aca="false" ca="false" dt2D="false" dtr="false" t="normal">AB18</f>
        <v>0</v>
      </c>
      <c r="AD18" s="120" t="s">
        <v>192</v>
      </c>
      <c r="AE18" s="139" t="s">
        <v>276</v>
      </c>
      <c r="AF18" s="136" t="n">
        <f aca="false" ca="false" dt2D="false" dtr="false" t="normal">MID(L17, 2, 1)</f>
        <v>0</v>
      </c>
      <c r="AG18" s="137" t="n">
        <f aca="false" ca="false" dt2D="false" dtr="false" t="normal">AF18</f>
        <v>0</v>
      </c>
      <c r="AH18" s="120" t="s">
        <v>192</v>
      </c>
      <c r="AI18" s="139" t="s">
        <v>277</v>
      </c>
      <c r="AJ18" s="347" t="s"/>
      <c r="AK18" s="348" t="s"/>
    </row>
    <row hidden="false" ht="15" outlineLevel="0" r="19">
      <c r="C19" s="98" t="s">
        <v>194</v>
      </c>
      <c r="D19" s="149" t="n">
        <f aca="false" ca="false" dt2D="false" dtr="false" t="normal">D16</f>
        <v>7</v>
      </c>
      <c r="E19" s="149" t="n">
        <f aca="false" ca="false" dt2D="false" dtr="false" t="normal">E16</f>
        <v>26</v>
      </c>
      <c r="F19" s="53" t="str">
        <f aca="false" ca="false" dt2D="false" dtr="false" t="normal">MID($A$5, 4, 2)</f>
        <v>G1</v>
      </c>
      <c r="G19" s="53" t="str">
        <f aca="false" ca="false" dt2D="false" dtr="false" t="normal">MID($A$5, 6, 2)</f>
        <v>G2</v>
      </c>
      <c r="N19" s="63" t="n"/>
      <c r="P19" s="136" t="n">
        <f aca="false" ca="false" dt2D="false" dtr="false" t="normal">MID(H17, 3, 1)</f>
        <v>0</v>
      </c>
      <c r="Q19" s="137" t="n">
        <f aca="false" ca="false" dt2D="false" dtr="false" t="normal">P19</f>
        <v>0</v>
      </c>
      <c r="R19" s="120" t="s">
        <v>195</v>
      </c>
      <c r="S19" s="131" t="s">
        <v>196</v>
      </c>
      <c r="T19" s="209" t="n">
        <f aca="false" ca="false" dt2D="false" dtr="false" t="normal">MID(I17, 3, 1)</f>
        <v>0</v>
      </c>
      <c r="U19" s="137" t="n">
        <f aca="false" ca="false" dt2D="false" dtr="false" t="normal">T19</f>
        <v>0</v>
      </c>
      <c r="V19" s="120" t="s">
        <v>195</v>
      </c>
      <c r="W19" s="139" t="s">
        <v>278</v>
      </c>
      <c r="X19" s="136" t="n">
        <f aca="false" ca="false" dt2D="false" dtr="false" t="normal">MID(J17, 3, 1)</f>
        <v>0</v>
      </c>
      <c r="Y19" s="137" t="n">
        <f aca="false" ca="false" dt2D="false" dtr="false" t="normal">X19</f>
        <v>0</v>
      </c>
      <c r="Z19" s="120" t="s">
        <v>195</v>
      </c>
      <c r="AA19" s="139" t="s">
        <v>279</v>
      </c>
      <c r="AB19" s="136" t="n">
        <f aca="false" ca="false" dt2D="false" dtr="false" t="normal">MID(K17, 3, 1)</f>
        <v>0</v>
      </c>
      <c r="AC19" s="137" t="n">
        <f aca="false" ca="false" dt2D="false" dtr="false" t="normal">AB19</f>
        <v>0</v>
      </c>
      <c r="AD19" s="120" t="s">
        <v>195</v>
      </c>
      <c r="AE19" s="139" t="s">
        <v>280</v>
      </c>
      <c r="AF19" s="136" t="n">
        <f aca="false" ca="false" dt2D="false" dtr="false" t="normal">MID(L17, 3, 1)</f>
        <v>0</v>
      </c>
      <c r="AG19" s="137" t="n">
        <f aca="false" ca="false" dt2D="false" dtr="false" t="normal">AF19</f>
        <v>0</v>
      </c>
      <c r="AH19" s="120" t="s">
        <v>195</v>
      </c>
      <c r="AI19" s="139" t="s">
        <v>281</v>
      </c>
      <c r="AJ19" s="349" t="s"/>
      <c r="AK19" s="350" t="s"/>
    </row>
    <row hidden="false" ht="15.75" outlineLevel="0" r="20">
      <c r="C20" s="98" t="n"/>
      <c r="N20" s="63" t="n"/>
      <c r="P20" s="136" t="n">
        <f aca="false" ca="false" dt2D="false" dtr="false" t="normal">MID(H17, 4, 1)</f>
        <v>0</v>
      </c>
      <c r="Q20" s="137" t="n">
        <f aca="false" ca="false" dt2D="false" dtr="false" t="normal">P20</f>
        <v>0</v>
      </c>
      <c r="R20" s="120" t="s">
        <v>197</v>
      </c>
      <c r="S20" s="139" t="s">
        <v>282</v>
      </c>
      <c r="T20" s="209" t="n">
        <f aca="false" ca="false" dt2D="false" dtr="false" t="normal">MID(I17, 4, 1)</f>
        <v>0</v>
      </c>
      <c r="U20" s="137" t="n">
        <f aca="false" ca="false" dt2D="false" dtr="false" t="normal">T20</f>
        <v>0</v>
      </c>
      <c r="V20" s="120" t="s">
        <v>197</v>
      </c>
      <c r="W20" s="139" t="s">
        <v>283</v>
      </c>
      <c r="X20" s="136" t="n">
        <f aca="false" ca="false" dt2D="false" dtr="false" t="normal">MID(J17, 4, 1)</f>
        <v>0</v>
      </c>
      <c r="Y20" s="137" t="n">
        <f aca="false" ca="false" dt2D="false" dtr="false" t="normal">X20</f>
        <v>0</v>
      </c>
      <c r="Z20" s="120" t="s">
        <v>197</v>
      </c>
      <c r="AA20" s="131" t="s">
        <v>196</v>
      </c>
      <c r="AB20" s="136" t="n">
        <f aca="false" ca="false" dt2D="false" dtr="false" t="normal">MID(K17, 4, 1)</f>
        <v>0</v>
      </c>
      <c r="AC20" s="137" t="n">
        <f aca="false" ca="false" dt2D="false" dtr="false" t="normal">AB20</f>
        <v>0</v>
      </c>
      <c r="AD20" s="120" t="s">
        <v>197</v>
      </c>
      <c r="AE20" s="139" t="s">
        <v>284</v>
      </c>
      <c r="AF20" s="136" t="n">
        <f aca="false" ca="false" dt2D="false" dtr="false" t="normal">MID(L17, 4, 1)</f>
        <v>0</v>
      </c>
      <c r="AG20" s="137" t="n">
        <f aca="false" ca="false" dt2D="false" dtr="false" t="normal">AF20</f>
        <v>0</v>
      </c>
      <c r="AH20" s="120" t="s">
        <v>197</v>
      </c>
      <c r="AI20" s="139" t="s">
        <v>285</v>
      </c>
      <c r="AJ20" s="351" t="s"/>
      <c r="AK20" s="352" t="s"/>
    </row>
    <row hidden="false" ht="15.75" outlineLevel="0" r="21">
      <c r="C21" s="98" t="s">
        <v>176</v>
      </c>
      <c r="D21" s="159" t="n">
        <f aca="false" ca="false" dt2D="false" dtr="false" t="normal">D16</f>
        <v>7</v>
      </c>
      <c r="E21" s="160" t="n">
        <f aca="false" ca="false" dt2D="false" dtr="false" t="normal">E16</f>
        <v>26</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n">
        <f aca="false" ca="false" dt2D="false" dtr="false" t="normal">IF(LEN(M22)&gt;2, MID(M22, 2, 2), M22)</f>
        <v>30</v>
      </c>
      <c r="N21" s="63" t="s">
        <v>181</v>
      </c>
      <c r="P21" s="136" t="n">
        <f aca="false" ca="false" dt2D="false" dtr="false" t="normal">MID(H17, 5, 1)</f>
        <v>0</v>
      </c>
      <c r="Q21" s="137" t="n">
        <f aca="false" ca="false" dt2D="false" dtr="false" t="normal">P21</f>
        <v>0</v>
      </c>
      <c r="R21" s="120" t="s">
        <v>200</v>
      </c>
      <c r="S21" s="139" t="s">
        <v>286</v>
      </c>
      <c r="T21" s="209" t="n">
        <f aca="false" ca="false" dt2D="false" dtr="false" t="normal">MID(I17, 5, 1)</f>
        <v>0</v>
      </c>
      <c r="U21" s="137" t="n">
        <f aca="false" ca="false" dt2D="false" dtr="false" t="normal">T21</f>
        <v>0</v>
      </c>
      <c r="V21" s="120" t="s">
        <v>200</v>
      </c>
      <c r="W21" s="139" t="s">
        <v>287</v>
      </c>
      <c r="X21" s="136" t="n">
        <f aca="false" ca="false" dt2D="false" dtr="false" t="normal">MID(J17, 5, 1)</f>
        <v>0</v>
      </c>
      <c r="Y21" s="137" t="n">
        <f aca="false" ca="false" dt2D="false" dtr="false" t="normal">X21</f>
        <v>0</v>
      </c>
      <c r="Z21" s="120" t="s">
        <v>200</v>
      </c>
      <c r="AA21" s="139" t="s">
        <v>288</v>
      </c>
      <c r="AB21" s="136" t="n">
        <f aca="false" ca="false" dt2D="false" dtr="false" t="normal">MID(K17, 5, 1)</f>
        <v>0</v>
      </c>
      <c r="AC21" s="137" t="n">
        <f aca="false" ca="false" dt2D="false" dtr="false" t="normal">AB21</f>
        <v>0</v>
      </c>
      <c r="AD21" s="120" t="s">
        <v>200</v>
      </c>
      <c r="AE21" s="139" t="s">
        <v>289</v>
      </c>
      <c r="AF21" s="136" t="n">
        <f aca="false" ca="false" dt2D="false" dtr="false" t="normal">MID(L17, 5, 1)</f>
        <v>0</v>
      </c>
      <c r="AG21" s="137" t="n">
        <f aca="false" ca="false" dt2D="false" dtr="false" t="normal">AF21</f>
        <v>0</v>
      </c>
      <c r="AH21" s="120" t="s">
        <v>200</v>
      </c>
      <c r="AI21" s="139" t="s">
        <v>290</v>
      </c>
      <c r="AJ21" s="353" t="s"/>
      <c r="AK21" s="354" t="s"/>
    </row>
    <row hidden="false" ht="15" outlineLevel="0" r="22">
      <c r="C22" s="98" t="s">
        <v>185</v>
      </c>
      <c r="D22" s="53" t="n">
        <f aca="false" ca="false" dt2D="false" dtr="false" t="normal">HEX2BIN(D21, 8)</f>
        <v>111</v>
      </c>
      <c r="E22" s="53" t="n">
        <f aca="false" ca="false" dt2D="false" dtr="false" t="normal">HEX2BIN(E21, 8)</f>
        <v>100110</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171" t="n">
        <f aca="false" ca="false" dt2D="false" dtr="false" t="normal">AC17&amp;AC18&amp;AC19&amp;AC20&amp;AC21&amp;AC22&amp;AC23&amp;AC24</f>
        <v>0</v>
      </c>
      <c r="L22" s="53" t="n">
        <f aca="false" ca="false" dt2D="false" dtr="false" t="normal">AG17&amp;AG18&amp;AG19&amp;AG20&amp;AG21&amp;AG22&amp;AG23&amp;AG24</f>
        <v>0</v>
      </c>
      <c r="M22" s="53" t="n">
        <f aca="false" ca="false" dt2D="false" dtr="false" t="normal">DEC2HEX(M23)</f>
        <v>30</v>
      </c>
      <c r="N22" s="63" t="n"/>
      <c r="P22" s="136" t="n">
        <f aca="false" ca="false" dt2D="false" dtr="false" t="normal">MID(H17, 6, 1)</f>
        <v>0</v>
      </c>
      <c r="Q22" s="137" t="n">
        <f aca="false" ca="false" dt2D="false" dtr="false" t="normal">P22</f>
        <v>0</v>
      </c>
      <c r="R22" s="120" t="s">
        <v>203</v>
      </c>
      <c r="S22" s="131" t="s">
        <v>196</v>
      </c>
      <c r="T22" s="209" t="n">
        <f aca="false" ca="false" dt2D="false" dtr="false" t="normal">MID(I17, 6, 1)</f>
        <v>0</v>
      </c>
      <c r="U22" s="137" t="n">
        <f aca="false" ca="false" dt2D="false" dtr="false" t="normal">T22</f>
        <v>0</v>
      </c>
      <c r="V22" s="120" t="s">
        <v>203</v>
      </c>
      <c r="W22" s="139" t="s">
        <v>291</v>
      </c>
      <c r="X22" s="136" t="n">
        <f aca="false" ca="false" dt2D="false" dtr="false" t="normal">MID(J17, 6, 1)</f>
        <v>0</v>
      </c>
      <c r="Y22" s="137" t="n">
        <f aca="false" ca="false" dt2D="false" dtr="false" t="normal">X22</f>
        <v>0</v>
      </c>
      <c r="Z22" s="120" t="s">
        <v>203</v>
      </c>
      <c r="AA22" s="139" t="s">
        <v>292</v>
      </c>
      <c r="AB22" s="136" t="n">
        <f aca="false" ca="false" dt2D="false" dtr="false" t="normal">MID(K17, 6, 1)</f>
        <v>0</v>
      </c>
      <c r="AC22" s="137" t="n">
        <f aca="false" ca="false" dt2D="false" dtr="false" t="normal">AB22</f>
        <v>0</v>
      </c>
      <c r="AD22" s="120" t="s">
        <v>203</v>
      </c>
      <c r="AE22" s="139" t="s">
        <v>293</v>
      </c>
      <c r="AF22" s="136" t="n">
        <f aca="false" ca="false" dt2D="false" dtr="false" t="normal">MID(L17, 6, 1)</f>
        <v>0</v>
      </c>
      <c r="AG22" s="137" t="n">
        <f aca="false" ca="false" dt2D="false" dtr="false" t="normal">AF22</f>
        <v>0</v>
      </c>
      <c r="AH22" s="120" t="s">
        <v>203</v>
      </c>
      <c r="AI22" s="139" t="s">
        <v>294</v>
      </c>
      <c r="AJ22" s="355" t="s"/>
      <c r="AK22" s="356" t="s"/>
    </row>
    <row hidden="false" ht="15" outlineLevel="0" r="23">
      <c r="C23" s="98" t="s">
        <v>191</v>
      </c>
      <c r="D23" s="53" t="n">
        <f aca="false" ca="false" dt2D="false" dtr="false" t="normal">HEX2DEC(D21)</f>
        <v>7</v>
      </c>
      <c r="E23" s="53" t="n">
        <f aca="false" ca="false" dt2D="false" dtr="false" t="normal">HEX2DEC(E21)</f>
        <v>38</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48</v>
      </c>
      <c r="N23" s="63" t="n"/>
      <c r="P23" s="136" t="n">
        <f aca="false" ca="false" dt2D="false" dtr="false" t="normal">MID(H17, 7, 1)</f>
        <v>0</v>
      </c>
      <c r="Q23" s="137" t="n">
        <f aca="false" ca="false" dt2D="false" dtr="false" t="normal">P23</f>
        <v>0</v>
      </c>
      <c r="R23" s="120" t="s">
        <v>206</v>
      </c>
      <c r="S23" s="131" t="s">
        <v>196</v>
      </c>
      <c r="T23" s="209" t="n">
        <f aca="false" ca="false" dt2D="false" dtr="false" t="normal">MID(I17, 7, 1)</f>
        <v>0</v>
      </c>
      <c r="U23" s="137" t="n">
        <f aca="false" ca="false" dt2D="false" dtr="false" t="normal">T23</f>
        <v>0</v>
      </c>
      <c r="V23" s="120" t="s">
        <v>206</v>
      </c>
      <c r="W23" s="139" t="s">
        <v>295</v>
      </c>
      <c r="X23" s="136" t="n">
        <f aca="false" ca="false" dt2D="false" dtr="false" t="normal">MID(J17, 7, 1)</f>
        <v>0</v>
      </c>
      <c r="Y23" s="137" t="n">
        <f aca="false" ca="false" dt2D="false" dtr="false" t="normal">X23</f>
        <v>0</v>
      </c>
      <c r="Z23" s="120" t="s">
        <v>206</v>
      </c>
      <c r="AA23" s="131" t="s">
        <v>196</v>
      </c>
      <c r="AB23" s="136" t="n">
        <f aca="false" ca="false" dt2D="false" dtr="false" t="normal">MID(K17, 7, 1)</f>
        <v>0</v>
      </c>
      <c r="AC23" s="137" t="n">
        <f aca="false" ca="false" dt2D="false" dtr="false" t="normal">AB23</f>
        <v>0</v>
      </c>
      <c r="AD23" s="120" t="s">
        <v>206</v>
      </c>
      <c r="AE23" s="131" t="s">
        <v>196</v>
      </c>
      <c r="AF23" s="136" t="n">
        <f aca="false" ca="false" dt2D="false" dtr="false" t="normal">MID(L17, 7, 1)</f>
        <v>0</v>
      </c>
      <c r="AG23" s="137" t="n">
        <f aca="false" ca="false" dt2D="false" dtr="false" t="normal">AF23</f>
        <v>0</v>
      </c>
      <c r="AH23" s="120" t="s">
        <v>206</v>
      </c>
      <c r="AI23" s="139" t="s">
        <v>296</v>
      </c>
      <c r="AJ23" s="357" t="s"/>
      <c r="AK23" s="358" t="s"/>
    </row>
    <row hidden="false" ht="15.75" outlineLevel="0" r="24">
      <c r="C24" s="180" t="s">
        <v>194</v>
      </c>
      <c r="D24" s="181" t="n">
        <f aca="false" ca="false" dt2D="false" dtr="false" t="normal">D19</f>
        <v>7</v>
      </c>
      <c r="E24" s="181" t="n">
        <f aca="false" ca="false" dt2D="false" dtr="false" t="normal">E19</f>
        <v>26</v>
      </c>
      <c r="F24" s="181" t="str">
        <f aca="false" ca="false" dt2D="false" dtr="false" t="normal">F19</f>
        <v>G1</v>
      </c>
      <c r="G24" s="181"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5" t="s">
        <v>196</v>
      </c>
      <c r="T24" s="300" t="n">
        <f aca="false" ca="false" dt2D="false" dtr="false" t="normal">MID(I17, 8, 1)</f>
        <v>0</v>
      </c>
      <c r="U24" s="183" t="n">
        <f aca="false" ca="false" dt2D="false" dtr="false" t="normal">T24</f>
        <v>0</v>
      </c>
      <c r="V24" s="184" t="s">
        <v>208</v>
      </c>
      <c r="W24" s="187" t="s">
        <v>297</v>
      </c>
      <c r="X24" s="182" t="n">
        <f aca="false" ca="false" dt2D="false" dtr="false" t="normal">MID(J17, 8, 1)</f>
        <v>0</v>
      </c>
      <c r="Y24" s="183" t="n">
        <f aca="false" ca="false" dt2D="false" dtr="false" t="normal">X24</f>
        <v>0</v>
      </c>
      <c r="Z24" s="184" t="s">
        <v>208</v>
      </c>
      <c r="AA24" s="185" t="s">
        <v>196</v>
      </c>
      <c r="AB24" s="182" t="n">
        <f aca="false" ca="false" dt2D="false" dtr="false" t="normal">MID(K17, 8, 1)</f>
        <v>0</v>
      </c>
      <c r="AC24" s="183" t="n">
        <f aca="false" ca="false" dt2D="false" dtr="false" t="normal">AB24</f>
        <v>0</v>
      </c>
      <c r="AD24" s="184" t="s">
        <v>208</v>
      </c>
      <c r="AE24" s="301" t="s">
        <v>298</v>
      </c>
      <c r="AF24" s="182" t="n">
        <f aca="false" ca="false" dt2D="false" dtr="false" t="normal">MID(L17, 8, 1)</f>
        <v>0</v>
      </c>
      <c r="AG24" s="183" t="n">
        <f aca="false" ca="false" dt2D="false" dtr="false" t="normal">AF24</f>
        <v>0</v>
      </c>
      <c r="AH24" s="184" t="s">
        <v>208</v>
      </c>
      <c r="AI24" s="187" t="s">
        <v>299</v>
      </c>
      <c r="AJ24" s="359" t="s"/>
      <c r="AK24" s="360" t="s"/>
    </row>
    <row hidden="false" ht="15.75" outlineLevel="0" r="25">
      <c r="C25" s="93" t="n"/>
      <c r="D25" s="94" t="n"/>
      <c r="E25" s="94" t="n"/>
      <c r="F25" s="94" t="n"/>
      <c r="G25" s="94" t="n"/>
      <c r="H25" s="94" t="n"/>
      <c r="I25" s="94" t="n"/>
      <c r="J25" s="94" t="n"/>
      <c r="K25" s="94" t="n"/>
      <c r="L25" s="94" t="s">
        <v>161</v>
      </c>
      <c r="N25" s="60" t="n"/>
      <c r="P25" s="95" t="str">
        <f aca="false" ca="false" dt2D="false" dtr="false" t="normal">RIGHT(D27, 1)&amp;E27&amp;"-"&amp;F27&amp;"-"&amp;G27</f>
        <v>726-01-03</v>
      </c>
      <c r="Q25" s="361" t="s"/>
      <c r="R25" s="97" t="s">
        <v>300</v>
      </c>
      <c r="S25" s="97" t="s"/>
      <c r="T25" s="97" t="s"/>
      <c r="U25" s="97" t="s"/>
      <c r="V25" s="97" t="s"/>
      <c r="W25" s="97" t="s"/>
      <c r="X25" s="97" t="s"/>
      <c r="Y25" s="97" t="s"/>
      <c r="Z25" s="97" t="s"/>
      <c r="AA25" s="97" t="s"/>
      <c r="AB25" s="97" t="s"/>
      <c r="AC25" s="97" t="s"/>
      <c r="AD25" s="97" t="s"/>
      <c r="AE25" s="97" t="s"/>
      <c r="AF25" s="97" t="s"/>
      <c r="AG25" s="97" t="s"/>
      <c r="AH25" s="97" t="s"/>
      <c r="AI25" s="97" t="s"/>
      <c r="AJ25" s="97" t="s"/>
      <c r="AK25" s="97" t="s"/>
    </row>
    <row hidden="false" ht="15.75" outlineLevel="0" r="26">
      <c r="C26" s="98" t="n"/>
      <c r="D26" s="99" t="s">
        <v>301</v>
      </c>
      <c r="E26" s="362" t="s"/>
      <c r="F26" s="363" t="s"/>
      <c r="G26" s="364" t="s"/>
      <c r="H26" s="53" t="s">
        <v>165</v>
      </c>
      <c r="I26" s="53" t="s">
        <v>166</v>
      </c>
      <c r="J26" s="53" t="s">
        <v>167</v>
      </c>
      <c r="K26" s="53" t="s">
        <v>168</v>
      </c>
      <c r="L26" s="53" t="s">
        <v>169</v>
      </c>
      <c r="N26" s="63" t="n"/>
      <c r="P26" s="103" t="s">
        <v>302</v>
      </c>
      <c r="Q26" s="365" t="s"/>
      <c r="R26" s="366" t="s"/>
      <c r="S26" s="367" t="s"/>
      <c r="T26" s="103" t="s">
        <v>303</v>
      </c>
      <c r="U26" s="368" t="s"/>
      <c r="V26" s="369" t="s"/>
      <c r="W26" s="370" t="s"/>
      <c r="X26" s="103" t="s">
        <v>304</v>
      </c>
      <c r="Y26" s="371" t="s"/>
      <c r="Z26" s="372" t="s"/>
      <c r="AA26" s="373" t="s"/>
      <c r="AB26" s="103" t="s">
        <v>305</v>
      </c>
      <c r="AC26" s="374" t="s"/>
      <c r="AD26" s="375" t="s"/>
      <c r="AE26" s="376" t="s"/>
      <c r="AF26" s="116" t="s">
        <v>306</v>
      </c>
      <c r="AG26" s="377" t="s"/>
      <c r="AH26" s="378" t="s"/>
      <c r="AI26" s="379" t="s"/>
      <c r="AJ26" s="120" t="n"/>
      <c r="AK26" s="121" t="n"/>
    </row>
    <row hidden="false" ht="15.75" outlineLevel="0" r="27">
      <c r="C27" s="98" t="s">
        <v>176</v>
      </c>
      <c r="D27" s="122" t="s">
        <v>177</v>
      </c>
      <c r="E27" s="123" t="s">
        <v>178</v>
      </c>
      <c r="F27" s="123" t="s">
        <v>179</v>
      </c>
      <c r="G27" s="124" t="s">
        <v>307</v>
      </c>
      <c r="H27" s="125" t="n">
        <f aca="false" ca="false" dt2D="false" dtr="false" t="normal">MID($A$6, 8, 2)</f>
        <v>0</v>
      </c>
      <c r="I27" s="126" t="n">
        <f aca="false" ca="false" dt2D="false" dtr="false" t="normal">MID($A$6, 10, 2)</f>
        <v>0</v>
      </c>
      <c r="J27" s="126" t="n">
        <f aca="false" ca="false" dt2D="false" dtr="false" t="normal">MID($A$6, 12, 2)</f>
        <v>0</v>
      </c>
      <c r="K27" s="126" t="n">
        <f aca="false" ca="false" dt2D="false" dtr="false" t="normal">MID($A$6, 14, 2)</f>
        <v>0</v>
      </c>
      <c r="L27" s="128" t="n">
        <f aca="false" ca="false" dt2D="false" dtr="false" t="normal">MID($A$6, 16, 2)</f>
        <v>31</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29" t="s">
        <v>180</v>
      </c>
      <c r="AC27" s="130" t="s">
        <v>181</v>
      </c>
      <c r="AD27" s="121" t="s">
        <v>182</v>
      </c>
      <c r="AE27" s="131" t="n"/>
      <c r="AF27" s="116" t="n"/>
      <c r="AG27" s="380" t="s"/>
      <c r="AH27" s="381" t="s"/>
      <c r="AI27" s="382" t="s"/>
      <c r="AJ27" s="121" t="n"/>
      <c r="AK27" s="121" t="n"/>
    </row>
    <row hidden="false" ht="15" outlineLevel="0" r="28">
      <c r="C28" s="98" t="s">
        <v>185</v>
      </c>
      <c r="D28" s="53" t="n">
        <f aca="false" ca="false" dt2D="false" dtr="false" t="normal">HEX2BIN(D27, 8)</f>
        <v>111</v>
      </c>
      <c r="E28" s="53" t="n">
        <f aca="false" ca="false" dt2D="false" dtr="false" t="normal">HEX2BIN(E27, 8)</f>
        <v>100110</v>
      </c>
      <c r="F28" s="53" t="n">
        <f aca="false" ca="false" dt2D="false" dtr="false" t="normal">HEX2BIN(F27, 8)</f>
        <v>1</v>
      </c>
      <c r="G28" s="53"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f aca="false" ca="false" dt2D="false" dtr="false" t="normal">HEX2BIN(K27, 8)</f>
        <v>0</v>
      </c>
      <c r="L28" s="53" t="n"/>
      <c r="N28" s="63" t="n"/>
      <c r="P28" s="136" t="n">
        <f aca="false" ca="false" dt2D="false" dtr="false" t="normal">MID(H28, 1, 1)</f>
        <v>0</v>
      </c>
      <c r="Q28" s="137" t="n">
        <f aca="false" ca="false" dt2D="false" dtr="false" t="normal">P28</f>
        <v>0</v>
      </c>
      <c r="R28" s="120" t="s">
        <v>186</v>
      </c>
      <c r="S28" s="139" t="s">
        <v>308</v>
      </c>
      <c r="T28" s="136" t="n">
        <f aca="false" ca="false" dt2D="false" dtr="false" t="normal">MID(I28, 1, 1)</f>
        <v>0</v>
      </c>
      <c r="U28" s="137" t="n">
        <f aca="false" ca="false" dt2D="false" dtr="false" t="normal">T28</f>
        <v>0</v>
      </c>
      <c r="V28" s="120" t="s">
        <v>186</v>
      </c>
      <c r="W28" s="131" t="s">
        <v>196</v>
      </c>
      <c r="X28" s="136" t="n">
        <f aca="false" ca="false" dt2D="false" dtr="false" t="normal">MID(J28, 1, 1)</f>
        <v>0</v>
      </c>
      <c r="Y28" s="137" t="n">
        <f aca="false" ca="false" dt2D="false" dtr="false" t="normal">X28</f>
        <v>0</v>
      </c>
      <c r="Z28" s="120" t="s">
        <v>186</v>
      </c>
      <c r="AA28" s="139" t="s">
        <v>309</v>
      </c>
      <c r="AB28" s="136" t="n">
        <f aca="false" ca="false" dt2D="false" dtr="false" t="normal">MID(K28, 1, 1)</f>
        <v>0</v>
      </c>
      <c r="AC28" s="137" t="n">
        <f aca="false" ca="false" dt2D="false" dtr="false" t="normal">AB28</f>
        <v>0</v>
      </c>
      <c r="AD28" s="120" t="s">
        <v>186</v>
      </c>
      <c r="AE28" s="139" t="s">
        <v>310</v>
      </c>
      <c r="AF28" s="383" t="s"/>
      <c r="AG28" s="142" t="s"/>
      <c r="AH28" s="142" t="s"/>
      <c r="AI28" s="384" t="s"/>
      <c r="AJ28" s="121" t="n"/>
      <c r="AK28" s="121" t="n"/>
    </row>
    <row hidden="false" ht="15" outlineLevel="0" r="29">
      <c r="C29" s="98" t="s">
        <v>191</v>
      </c>
      <c r="D29" s="53" t="n">
        <f aca="false" ca="false" dt2D="false" dtr="false" t="normal">HEX2DEC(D27)</f>
        <v>7</v>
      </c>
      <c r="E29" s="53" t="n">
        <f aca="false" ca="false" dt2D="false" dtr="false" t="normal">HEX2DEC(E27)</f>
        <v>38</v>
      </c>
      <c r="F29" s="53" t="n">
        <f aca="false" ca="false" dt2D="false" dtr="false" t="normal">HEX2DEC(F27)</f>
        <v>1</v>
      </c>
      <c r="G29" s="53"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HEX2DEC(K27)</f>
        <v>0</v>
      </c>
      <c r="L29" s="53" t="n">
        <f aca="false" ca="false" dt2D="false" dtr="false" t="normal">SUM(D29:K29)</f>
        <v>49</v>
      </c>
      <c r="N29" s="63" t="n"/>
      <c r="P29" s="136" t="n">
        <f aca="false" ca="false" dt2D="false" dtr="false" t="normal">MID(H28, 2, 1)</f>
        <v>0</v>
      </c>
      <c r="Q29" s="137" t="n">
        <f aca="false" ca="false" dt2D="false" dtr="false" t="normal">P29</f>
        <v>0</v>
      </c>
      <c r="R29" s="120" t="s">
        <v>192</v>
      </c>
      <c r="S29" s="139" t="s">
        <v>311</v>
      </c>
      <c r="T29" s="136" t="n">
        <f aca="false" ca="false" dt2D="false" dtr="false" t="normal">MID(I28, 2, 1)</f>
        <v>0</v>
      </c>
      <c r="U29" s="137" t="n">
        <f aca="false" ca="false" dt2D="false" dtr="false" t="normal">T29</f>
        <v>0</v>
      </c>
      <c r="V29" s="120" t="s">
        <v>192</v>
      </c>
      <c r="W29" s="131" t="s">
        <v>196</v>
      </c>
      <c r="X29" s="136" t="n">
        <f aca="false" ca="false" dt2D="false" dtr="false" t="normal">MID(J28, 2, 1)</f>
        <v>0</v>
      </c>
      <c r="Y29" s="137" t="n">
        <f aca="false" ca="false" dt2D="false" dtr="false" t="normal">X29</f>
        <v>0</v>
      </c>
      <c r="Z29" s="120" t="s">
        <v>192</v>
      </c>
      <c r="AA29" s="139" t="s">
        <v>312</v>
      </c>
      <c r="AB29" s="136" t="n">
        <f aca="false" ca="false" dt2D="false" dtr="false" t="normal">MID(K28, 2, 1)</f>
        <v>0</v>
      </c>
      <c r="AC29" s="137" t="n">
        <f aca="false" ca="false" dt2D="false" dtr="false" t="normal">AB29</f>
        <v>0</v>
      </c>
      <c r="AD29" s="120" t="s">
        <v>192</v>
      </c>
      <c r="AE29" s="131" t="s">
        <v>196</v>
      </c>
      <c r="AF29" s="385" t="s"/>
      <c r="AG29" s="142" t="s"/>
      <c r="AH29" s="142" t="s"/>
      <c r="AI29" s="386" t="s"/>
      <c r="AJ29" s="121" t="n"/>
      <c r="AK29" s="121" t="n"/>
    </row>
    <row hidden="false" ht="15" outlineLevel="0" r="30">
      <c r="C30" s="98" t="s">
        <v>194</v>
      </c>
      <c r="D30" s="149" t="n">
        <f aca="false" ca="false" dt2D="false" dtr="false" t="normal">D27</f>
        <v>7</v>
      </c>
      <c r="E30" s="149" t="n">
        <f aca="false" ca="false" dt2D="false" dtr="false" t="normal">E27</f>
        <v>26</v>
      </c>
      <c r="F30" s="53" t="str">
        <f aca="false" ca="false" dt2D="false" dtr="false" t="normal">MID($A$6, 4, 2)</f>
        <v>G1</v>
      </c>
      <c r="G30" s="53" t="str">
        <f aca="false" ca="false" dt2D="false" dtr="false" t="normal">MID($A$6, 6, 2)</f>
        <v>G3</v>
      </c>
      <c r="N30" s="63" t="n"/>
      <c r="P30" s="136" t="n">
        <f aca="false" ca="false" dt2D="false" dtr="false" t="normal">MID(H28, 3, 1)</f>
        <v>0</v>
      </c>
      <c r="Q30" s="137" t="n">
        <f aca="false" ca="false" dt2D="false" dtr="false" t="normal">P30</f>
        <v>0</v>
      </c>
      <c r="R30" s="120" t="s">
        <v>195</v>
      </c>
      <c r="S30" s="139" t="s">
        <v>313</v>
      </c>
      <c r="T30" s="136" t="n">
        <f aca="false" ca="false" dt2D="false" dtr="false" t="normal">MID(I28, 3, 1)</f>
        <v>0</v>
      </c>
      <c r="U30" s="137" t="n">
        <f aca="false" ca="false" dt2D="false" dtr="false" t="normal">T30</f>
        <v>0</v>
      </c>
      <c r="V30" s="120" t="s">
        <v>195</v>
      </c>
      <c r="W30" s="131" t="s">
        <v>196</v>
      </c>
      <c r="X30" s="136" t="n">
        <f aca="false" ca="false" dt2D="false" dtr="false" t="normal">MID(J28, 3, 1)</f>
        <v>0</v>
      </c>
      <c r="Y30" s="137" t="n">
        <f aca="false" ca="false" dt2D="false" dtr="false" t="normal">X30</f>
        <v>0</v>
      </c>
      <c r="Z30" s="120" t="s">
        <v>195</v>
      </c>
      <c r="AA30" s="139" t="s">
        <v>314</v>
      </c>
      <c r="AB30" s="136" t="n">
        <f aca="false" ca="false" dt2D="false" dtr="false" t="normal">MID(K28, 3, 1)</f>
        <v>0</v>
      </c>
      <c r="AC30" s="137" t="n">
        <f aca="false" ca="false" dt2D="false" dtr="false" t="normal">AB30</f>
        <v>0</v>
      </c>
      <c r="AD30" s="120" t="s">
        <v>195</v>
      </c>
      <c r="AE30" s="139" t="s">
        <v>315</v>
      </c>
      <c r="AF30" s="387" t="s"/>
      <c r="AG30" s="142" t="s"/>
      <c r="AH30" s="142" t="s"/>
      <c r="AI30" s="388" t="s"/>
      <c r="AJ30" s="121" t="n"/>
      <c r="AK30" s="121" t="n"/>
    </row>
    <row hidden="false" ht="15.75" outlineLevel="0" r="31">
      <c r="C31" s="98" t="n"/>
      <c r="N31" s="63" t="n"/>
      <c r="P31" s="136" t="n">
        <f aca="false" ca="false" dt2D="false" dtr="false" t="normal">MID(H28, 4, 1)</f>
        <v>0</v>
      </c>
      <c r="Q31" s="137" t="n">
        <f aca="false" ca="false" dt2D="false" dtr="false" t="normal">P31</f>
        <v>0</v>
      </c>
      <c r="R31" s="120" t="s">
        <v>197</v>
      </c>
      <c r="S31" s="139" t="s">
        <v>316</v>
      </c>
      <c r="T31" s="136" t="n">
        <f aca="false" ca="false" dt2D="false" dtr="false" t="normal">MID(I28, 4, 1)</f>
        <v>0</v>
      </c>
      <c r="U31" s="137" t="n">
        <f aca="false" ca="false" dt2D="false" dtr="false" t="normal">T31</f>
        <v>0</v>
      </c>
      <c r="V31" s="120" t="s">
        <v>197</v>
      </c>
      <c r="W31" s="131" t="s">
        <v>196</v>
      </c>
      <c r="X31" s="136" t="n">
        <f aca="false" ca="false" dt2D="false" dtr="false" t="normal">MID(J28, 4, 1)</f>
        <v>0</v>
      </c>
      <c r="Y31" s="137" t="n">
        <f aca="false" ca="false" dt2D="false" dtr="false" t="normal">X31</f>
        <v>0</v>
      </c>
      <c r="Z31" s="120" t="s">
        <v>197</v>
      </c>
      <c r="AA31" s="139" t="s">
        <v>317</v>
      </c>
      <c r="AB31" s="136" t="n">
        <f aca="false" ca="false" dt2D="false" dtr="false" t="normal">MID(K28, 4, 1)</f>
        <v>0</v>
      </c>
      <c r="AC31" s="137" t="n">
        <f aca="false" ca="false" dt2D="false" dtr="false" t="normal">AB31</f>
        <v>0</v>
      </c>
      <c r="AD31" s="120" t="s">
        <v>197</v>
      </c>
      <c r="AE31" s="139" t="s">
        <v>318</v>
      </c>
      <c r="AF31" s="389" t="s"/>
      <c r="AG31" s="142" t="s"/>
      <c r="AH31" s="142" t="s"/>
      <c r="AI31" s="390" t="s"/>
      <c r="AJ31" s="121" t="n"/>
      <c r="AK31" s="121" t="n"/>
    </row>
    <row hidden="false" ht="15.75" outlineLevel="0" r="32">
      <c r="C32" s="98" t="s">
        <v>176</v>
      </c>
      <c r="D32" s="159" t="n">
        <f aca="false" ca="false" dt2D="false" dtr="false" t="normal">D27</f>
        <v>7</v>
      </c>
      <c r="E32" s="160" t="n">
        <f aca="false" ca="false" dt2D="false" dtr="false" t="normal">E27</f>
        <v>26</v>
      </c>
      <c r="F32" s="160" t="n">
        <f aca="false" ca="false" dt2D="false" dtr="false" t="normal">F27</f>
        <v>1</v>
      </c>
      <c r="G32" s="161"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165" t="n">
        <f aca="false" ca="false" dt2D="false" dtr="false" t="normal">BIN2HEX(K33, 2)</f>
        <v>0</v>
      </c>
      <c r="L32" s="166" t="n">
        <f aca="false" ca="false" dt2D="false" dtr="false" t="normal">IF(LEN(L33)&gt;2, MID(L33, 2, 2), L33)</f>
        <v>31</v>
      </c>
      <c r="N32" s="63" t="s">
        <v>181</v>
      </c>
      <c r="P32" s="136" t="n">
        <f aca="false" ca="false" dt2D="false" dtr="false" t="normal">MID(H28, 5, 1)</f>
        <v>0</v>
      </c>
      <c r="Q32" s="137" t="n">
        <f aca="false" ca="false" dt2D="false" dtr="false" t="normal">P32</f>
        <v>0</v>
      </c>
      <c r="R32" s="120" t="s">
        <v>200</v>
      </c>
      <c r="S32" s="131" t="s">
        <v>196</v>
      </c>
      <c r="T32" s="136" t="n">
        <f aca="false" ca="false" dt2D="false" dtr="false" t="normal">MID(I28, 5, 1)</f>
        <v>0</v>
      </c>
      <c r="U32" s="137" t="n">
        <f aca="false" ca="false" dt2D="false" dtr="false" t="normal">T32</f>
        <v>0</v>
      </c>
      <c r="V32" s="120" t="s">
        <v>200</v>
      </c>
      <c r="W32" s="131" t="s">
        <v>196</v>
      </c>
      <c r="X32" s="136" t="n">
        <f aca="false" ca="false" dt2D="false" dtr="false" t="normal">MID(J28, 5, 1)</f>
        <v>0</v>
      </c>
      <c r="Y32" s="137" t="n">
        <f aca="false" ca="false" dt2D="false" dtr="false" t="normal">X32</f>
        <v>0</v>
      </c>
      <c r="Z32" s="120" t="s">
        <v>200</v>
      </c>
      <c r="AA32" s="139" t="s">
        <v>319</v>
      </c>
      <c r="AB32" s="136" t="n">
        <f aca="false" ca="false" dt2D="false" dtr="false" t="normal">MID(K28, 5, 1)</f>
        <v>0</v>
      </c>
      <c r="AC32" s="137" t="n">
        <f aca="false" ca="false" dt2D="false" dtr="false" t="normal">AB32</f>
        <v>0</v>
      </c>
      <c r="AD32" s="120" t="s">
        <v>200</v>
      </c>
      <c r="AE32" s="139" t="s">
        <v>320</v>
      </c>
      <c r="AF32" s="391" t="s"/>
      <c r="AG32" s="142" t="s"/>
      <c r="AH32" s="142" t="s"/>
      <c r="AI32" s="392" t="s"/>
      <c r="AJ32" s="121" t="n"/>
      <c r="AK32" s="121" t="n"/>
    </row>
    <row hidden="false" ht="15" outlineLevel="0" r="33">
      <c r="C33" s="98" t="s">
        <v>185</v>
      </c>
      <c r="D33" s="53" t="n">
        <f aca="false" ca="false" dt2D="false" dtr="false" t="normal">HEX2BIN(D32, 8)</f>
        <v>111</v>
      </c>
      <c r="E33" s="53" t="n">
        <f aca="false" ca="false" dt2D="false" dtr="false" t="normal">HEX2BIN(E32, 8)</f>
        <v>100110</v>
      </c>
      <c r="F33" s="53" t="n">
        <f aca="false" ca="false" dt2D="false" dtr="false" t="normal">HEX2BIN(F32, 8)</f>
        <v>1</v>
      </c>
      <c r="G33" s="53" t="n">
        <f aca="false" ca="false" dt2D="false" dtr="false" t="normal">HEX2BIN(G32, 8)</f>
        <v>11</v>
      </c>
      <c r="H33" s="171" t="n">
        <f aca="false" ca="false" dt2D="false" dtr="false" t="normal">Q28&amp;Q29&amp;Q30&amp;Q31&amp;Q32&amp;Q33&amp;Q34&amp;Q35</f>
        <v>0</v>
      </c>
      <c r="I33" s="53" t="n">
        <f aca="false" ca="false" dt2D="false" dtr="false" t="normal">U28&amp;U29&amp;U30&amp;U31&amp;U32&amp;U33&amp;U34&amp;U35</f>
        <v>0</v>
      </c>
      <c r="J33" s="171" t="n">
        <f aca="false" ca="false" dt2D="false" dtr="false" t="normal">Y28&amp;Y29&amp;Y30&amp;Y31&amp;Y32&amp;Y33&amp;Y34&amp;Y35</f>
        <v>0</v>
      </c>
      <c r="K33" s="171" t="n">
        <f aca="false" ca="false" dt2D="false" dtr="false" t="normal">AC28&amp;AC29&amp;AC30&amp;AC31&amp;AC32&amp;AC33&amp;AC34&amp;AC35</f>
        <v>0</v>
      </c>
      <c r="L33" s="53" t="n">
        <f aca="false" ca="false" dt2D="false" dtr="false" t="normal">DEC2HEX(L34)</f>
        <v>31</v>
      </c>
      <c r="N33" s="63" t="n"/>
      <c r="P33" s="136" t="n">
        <f aca="false" ca="false" dt2D="false" dtr="false" t="normal">MID(H28, 6, 1)</f>
        <v>0</v>
      </c>
      <c r="Q33" s="137" t="n">
        <f aca="false" ca="false" dt2D="false" dtr="false" t="normal">P33</f>
        <v>0</v>
      </c>
      <c r="R33" s="120" t="s">
        <v>203</v>
      </c>
      <c r="S33" s="139" t="s">
        <v>321</v>
      </c>
      <c r="T33" s="136" t="n">
        <f aca="false" ca="false" dt2D="false" dtr="false" t="normal">MID(I28, 6, 1)</f>
        <v>0</v>
      </c>
      <c r="U33" s="137" t="n">
        <f aca="false" ca="false" dt2D="false" dtr="false" t="normal">T33</f>
        <v>0</v>
      </c>
      <c r="V33" s="120" t="s">
        <v>203</v>
      </c>
      <c r="W33" s="139" t="s">
        <v>322</v>
      </c>
      <c r="X33" s="136" t="n">
        <f aca="false" ca="false" dt2D="false" dtr="false" t="normal">MID(J28, 6, 1)</f>
        <v>0</v>
      </c>
      <c r="Y33" s="137" t="n">
        <f aca="false" ca="false" dt2D="false" dtr="false" t="normal">X33</f>
        <v>0</v>
      </c>
      <c r="Z33" s="120" t="s">
        <v>203</v>
      </c>
      <c r="AA33" s="139" t="s">
        <v>323</v>
      </c>
      <c r="AB33" s="136" t="n">
        <f aca="false" ca="false" dt2D="false" dtr="false" t="normal">MID(K28, 6, 1)</f>
        <v>0</v>
      </c>
      <c r="AC33" s="137" t="n">
        <f aca="false" ca="false" dt2D="false" dtr="false" t="normal">AB33</f>
        <v>0</v>
      </c>
      <c r="AD33" s="120" t="s">
        <v>203</v>
      </c>
      <c r="AE33" s="139" t="s">
        <v>324</v>
      </c>
      <c r="AF33" s="393" t="s"/>
      <c r="AG33" s="142" t="s"/>
      <c r="AH33" s="142" t="s"/>
      <c r="AI33" s="394" t="s"/>
      <c r="AJ33" s="121" t="n"/>
      <c r="AK33" s="121" t="n"/>
    </row>
    <row hidden="false" ht="15" outlineLevel="0" r="34">
      <c r="C34" s="98" t="s">
        <v>191</v>
      </c>
      <c r="D34" s="53" t="n">
        <f aca="false" ca="false" dt2D="false" dtr="false" t="normal">HEX2DEC(D32)</f>
        <v>7</v>
      </c>
      <c r="E34" s="53" t="n">
        <f aca="false" ca="false" dt2D="false" dtr="false" t="normal">HEX2DEC(E32)</f>
        <v>38</v>
      </c>
      <c r="F34" s="53" t="n">
        <f aca="false" ca="false" dt2D="false" dtr="false" t="normal">HEX2DEC(F32)</f>
        <v>1</v>
      </c>
      <c r="G34" s="53"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HEX2DEC(K32)</f>
        <v>0</v>
      </c>
      <c r="L34" s="53" t="n">
        <f aca="false" ca="false" dt2D="false" dtr="false" t="normal">SUM(D34:K34)</f>
        <v>49</v>
      </c>
      <c r="N34" s="63" t="n"/>
      <c r="P34" s="136" t="n">
        <f aca="false" ca="false" dt2D="false" dtr="false" t="normal">MID(H28, 7, 1)</f>
        <v>0</v>
      </c>
      <c r="Q34" s="137" t="n">
        <f aca="false" ca="false" dt2D="false" dtr="false" t="normal">P34</f>
        <v>0</v>
      </c>
      <c r="R34" s="120" t="s">
        <v>206</v>
      </c>
      <c r="S34" s="131" t="s">
        <v>196</v>
      </c>
      <c r="T34" s="136" t="n">
        <f aca="false" ca="false" dt2D="false" dtr="false" t="normal">MID(I28, 7, 1)</f>
        <v>0</v>
      </c>
      <c r="U34" s="137" t="n">
        <f aca="false" ca="false" dt2D="false" dtr="false" t="normal">T34</f>
        <v>0</v>
      </c>
      <c r="V34" s="120" t="s">
        <v>206</v>
      </c>
      <c r="W34" s="131" t="s">
        <v>196</v>
      </c>
      <c r="X34" s="136" t="n">
        <f aca="false" ca="false" dt2D="false" dtr="false" t="normal">MID(J28, 7, 1)</f>
        <v>0</v>
      </c>
      <c r="Y34" s="137" t="n">
        <f aca="false" ca="false" dt2D="false" dtr="false" t="normal">X34</f>
        <v>0</v>
      </c>
      <c r="Z34" s="120" t="s">
        <v>206</v>
      </c>
      <c r="AA34" s="139" t="s">
        <v>325</v>
      </c>
      <c r="AB34" s="136" t="n">
        <f aca="false" ca="false" dt2D="false" dtr="false" t="normal">MID(K28, 7, 1)</f>
        <v>0</v>
      </c>
      <c r="AC34" s="137" t="n">
        <f aca="false" ca="false" dt2D="false" dtr="false" t="normal">AB34</f>
        <v>0</v>
      </c>
      <c r="AD34" s="120" t="s">
        <v>206</v>
      </c>
      <c r="AE34" s="139" t="s">
        <v>326</v>
      </c>
      <c r="AF34" s="395" t="s"/>
      <c r="AG34" s="142" t="s"/>
      <c r="AH34" s="142" t="s"/>
      <c r="AI34" s="396" t="s"/>
      <c r="AJ34" s="121" t="n"/>
      <c r="AK34" s="121" t="n"/>
    </row>
    <row hidden="false" ht="15.75" outlineLevel="0" r="35">
      <c r="C35" s="180" t="s">
        <v>194</v>
      </c>
      <c r="D35" s="181" t="n">
        <f aca="false" ca="false" dt2D="false" dtr="false" t="normal">D30</f>
        <v>7</v>
      </c>
      <c r="E35" s="181" t="n">
        <f aca="false" ca="false" dt2D="false" dtr="false" t="normal">E30</f>
        <v>26</v>
      </c>
      <c r="F35" s="181" t="str">
        <f aca="false" ca="false" dt2D="false" dtr="false" t="normal">F30</f>
        <v>G1</v>
      </c>
      <c r="G35" s="181"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87" t="s">
        <v>327</v>
      </c>
      <c r="T35" s="182" t="n">
        <f aca="false" ca="false" dt2D="false" dtr="false" t="normal">MID(I28, 8, 1)</f>
        <v>0</v>
      </c>
      <c r="U35" s="183" t="n">
        <f aca="false" ca="false" dt2D="false" dtr="false" t="normal">T35</f>
        <v>0</v>
      </c>
      <c r="V35" s="184" t="s">
        <v>208</v>
      </c>
      <c r="W35" s="185" t="s">
        <v>196</v>
      </c>
      <c r="X35" s="182" t="n">
        <f aca="false" ca="false" dt2D="false" dtr="false" t="normal">MID(J28, 8, 1)</f>
        <v>0</v>
      </c>
      <c r="Y35" s="183" t="n">
        <f aca="false" ca="false" dt2D="false" dtr="false" t="normal">X35</f>
        <v>0</v>
      </c>
      <c r="Z35" s="184" t="s">
        <v>208</v>
      </c>
      <c r="AA35" s="187" t="s">
        <v>328</v>
      </c>
      <c r="AB35" s="182" t="n">
        <f aca="false" ca="false" dt2D="false" dtr="false" t="normal">MID(K28, 8, 1)</f>
        <v>0</v>
      </c>
      <c r="AC35" s="183" t="n">
        <f aca="false" ca="false" dt2D="false" dtr="false" t="normal">AB35</f>
        <v>0</v>
      </c>
      <c r="AD35" s="184" t="s">
        <v>208</v>
      </c>
      <c r="AE35" s="187" t="s">
        <v>329</v>
      </c>
      <c r="AF35" s="397" t="s"/>
      <c r="AG35" s="398" t="s"/>
      <c r="AH35" s="399" t="s"/>
      <c r="AI35" s="400" t="s"/>
      <c r="AJ35" s="121" t="n"/>
      <c r="AK35" s="121" t="n"/>
    </row>
    <row hidden="false" ht="15.75" outlineLevel="0" r="36">
      <c r="C36" s="93" t="n"/>
      <c r="D36" s="94" t="n"/>
      <c r="E36" s="94" t="n"/>
      <c r="F36" s="94" t="n"/>
      <c r="G36" s="94" t="n"/>
      <c r="H36" s="94" t="n"/>
      <c r="I36" s="94" t="s">
        <v>161</v>
      </c>
      <c r="J36" s="94" t="n"/>
      <c r="K36" s="94" t="n"/>
      <c r="L36" s="94" t="n"/>
      <c r="N36" s="60" t="n"/>
      <c r="P36" s="95" t="str">
        <f aca="false" ca="false" dt2D="false" dtr="false" t="normal">RIGHT(D38, 1)&amp;E38&amp;"-"&amp;F38&amp;"-"&amp;G38</f>
        <v>726-02-01</v>
      </c>
      <c r="Q36" s="401" t="s"/>
      <c r="R36" s="97" t="s">
        <v>330</v>
      </c>
      <c r="S36" s="97" t="s"/>
      <c r="T36" s="97" t="s"/>
      <c r="U36" s="97" t="s"/>
      <c r="V36" s="97" t="s"/>
      <c r="W36" s="97" t="s"/>
      <c r="X36" s="97" t="s"/>
      <c r="Y36" s="97" t="s"/>
      <c r="Z36" s="97" t="s"/>
      <c r="AA36" s="97" t="s"/>
      <c r="AB36" s="97" t="s"/>
      <c r="AC36" s="97" t="s"/>
      <c r="AD36" s="97" t="s"/>
      <c r="AE36" s="97" t="s"/>
      <c r="AF36" s="97" t="s"/>
      <c r="AG36" s="97" t="s"/>
      <c r="AH36" s="97" t="s"/>
      <c r="AI36" s="97" t="s"/>
      <c r="AJ36" s="97" t="s"/>
      <c r="AK36" s="97" t="s"/>
    </row>
    <row hidden="false" ht="15.75" outlineLevel="0" r="37">
      <c r="C37" s="98" t="n"/>
      <c r="D37" s="99" t="s">
        <v>331</v>
      </c>
      <c r="E37" s="402" t="s"/>
      <c r="F37" s="403" t="s"/>
      <c r="G37" s="404" t="s"/>
      <c r="H37" s="53" t="s">
        <v>165</v>
      </c>
      <c r="I37" s="53" t="s">
        <v>166</v>
      </c>
      <c r="N37" s="63" t="n"/>
      <c r="P37" s="103" t="s">
        <v>332</v>
      </c>
      <c r="Q37" s="405" t="s"/>
      <c r="R37" s="406" t="s"/>
      <c r="S37" s="407" t="s"/>
      <c r="T37" s="116" t="s">
        <v>333</v>
      </c>
      <c r="U37" s="408" t="s"/>
      <c r="V37" s="409" t="s"/>
      <c r="W37" s="410" t="s"/>
      <c r="X37" s="120" t="n"/>
      <c r="Y37" s="121" t="n"/>
      <c r="Z37" s="121" t="n"/>
      <c r="AA37" s="121" t="n"/>
      <c r="AB37" s="121" t="n"/>
      <c r="AC37" s="121" t="n"/>
      <c r="AD37" s="121" t="n"/>
      <c r="AE37" s="121" t="n"/>
      <c r="AF37" s="121" t="n"/>
      <c r="AG37" s="121" t="n"/>
      <c r="AH37" s="121" t="n"/>
      <c r="AI37" s="121" t="n"/>
      <c r="AJ37" s="121" t="n"/>
      <c r="AK37" s="121" t="n"/>
    </row>
    <row hidden="false" ht="15.75" outlineLevel="0" r="38">
      <c r="C38" s="98" t="s">
        <v>176</v>
      </c>
      <c r="D38" s="122" t="s">
        <v>177</v>
      </c>
      <c r="E38" s="123" t="s">
        <v>178</v>
      </c>
      <c r="F38" s="123" t="s">
        <v>216</v>
      </c>
      <c r="G38" s="124" t="s">
        <v>179</v>
      </c>
      <c r="H38" s="411" t="n">
        <f aca="false" ca="false" dt2D="false" dtr="false" t="normal">MID($A$8, 8, 2)</f>
        <v>0</v>
      </c>
      <c r="I38" s="128" t="n">
        <f aca="false" ca="false" dt2D="false" dtr="false" t="normal">MID($A$8, 10, 2)</f>
        <v>30</v>
      </c>
      <c r="N38" s="63" t="s">
        <v>180</v>
      </c>
      <c r="P38" s="129" t="s">
        <v>180</v>
      </c>
      <c r="Q38" s="130" t="s">
        <v>181</v>
      </c>
      <c r="R38" s="121" t="s">
        <v>182</v>
      </c>
      <c r="S38" s="131" t="n"/>
      <c r="T38" s="412" t="s">
        <v>183</v>
      </c>
      <c r="U38" s="142" t="s"/>
      <c r="V38" s="142" t="s"/>
      <c r="W38" s="413" t="s"/>
      <c r="X38" s="120" t="n"/>
      <c r="Y38" s="121" t="n"/>
      <c r="Z38" s="121" t="n"/>
      <c r="AA38" s="121" t="n"/>
      <c r="AB38" s="121" t="n"/>
      <c r="AC38" s="121" t="n"/>
      <c r="AD38" s="121" t="n"/>
      <c r="AE38" s="121" t="n"/>
      <c r="AF38" s="121" t="n"/>
      <c r="AG38" s="121" t="n"/>
      <c r="AH38" s="121" t="n"/>
      <c r="AI38" s="121" t="n"/>
      <c r="AJ38" s="121" t="n"/>
      <c r="AK38" s="121" t="n"/>
    </row>
    <row customHeight="true" hidden="false" ht="15" outlineLevel="0" r="39">
      <c r="C39" s="98" t="s">
        <v>185</v>
      </c>
      <c r="D39" s="53" t="n">
        <f aca="false" ca="false" dt2D="false" dtr="false" t="normal">HEX2BIN(D38, 8)</f>
        <v>111</v>
      </c>
      <c r="E39" s="53" t="n">
        <f aca="false" ca="false" dt2D="false" dtr="false" t="normal">HEX2BIN(E38, 8)</f>
        <v>100110</v>
      </c>
      <c r="F39" s="53" t="n">
        <f aca="false" ca="false" dt2D="false" dtr="false" t="normal">HEX2BIN(F38, 8)</f>
        <v>10</v>
      </c>
      <c r="G39" s="53" t="n">
        <f aca="false" ca="false" dt2D="false" dtr="false" t="normal">HEX2BIN(G38, 8)</f>
        <v>1</v>
      </c>
      <c r="H39" s="53" t="n">
        <f aca="false" ca="false" dt2D="false" dtr="false" t="normal">HEX2BIN(H38, 8)</f>
        <v>0</v>
      </c>
      <c r="N39" s="63" t="n"/>
      <c r="P39" s="136" t="n">
        <f aca="false" ca="false" dt2D="false" dtr="false" t="normal">MID(H39, 1, 1)</f>
        <v>0</v>
      </c>
      <c r="Q39" s="137" t="n">
        <f aca="false" ca="false" dt2D="false" dtr="false" t="normal">P39</f>
        <v>0</v>
      </c>
      <c r="R39" s="120" t="s">
        <v>186</v>
      </c>
      <c r="S39" s="131" t="s">
        <v>196</v>
      </c>
      <c r="T39" s="414" t="s"/>
      <c r="U39" s="142" t="s"/>
      <c r="V39" s="142" t="s"/>
      <c r="W39" s="415" t="s"/>
      <c r="X39" s="120" t="n"/>
      <c r="Y39" s="121" t="n"/>
      <c r="Z39" s="121" t="n"/>
      <c r="AA39" s="121" t="n"/>
      <c r="AB39" s="121" t="n"/>
      <c r="AC39" s="121" t="n"/>
      <c r="AD39" s="121" t="n"/>
      <c r="AE39" s="121" t="n"/>
      <c r="AF39" s="121" t="n"/>
      <c r="AG39" s="121" t="n"/>
      <c r="AH39" s="121" t="n"/>
      <c r="AI39" s="121" t="n"/>
      <c r="AJ39" s="121" t="n"/>
      <c r="AK39" s="121" t="n"/>
    </row>
    <row hidden="false" ht="15" outlineLevel="0" r="40">
      <c r="C40" s="98" t="s">
        <v>191</v>
      </c>
      <c r="D40" s="53" t="n">
        <f aca="false" ca="false" dt2D="false" dtr="false" t="normal">HEX2DEC(D38)</f>
        <v>7</v>
      </c>
      <c r="E40" s="53" t="n">
        <f aca="false" ca="false" dt2D="false" dtr="false" t="normal">HEX2DEC(E38)</f>
        <v>38</v>
      </c>
      <c r="F40" s="53" t="n">
        <f aca="false" ca="false" dt2D="false" dtr="false" t="normal">HEX2DEC(F38)</f>
        <v>2</v>
      </c>
      <c r="G40" s="53" t="n">
        <f aca="false" ca="false" dt2D="false" dtr="false" t="normal">HEX2DEC(G38)</f>
        <v>1</v>
      </c>
      <c r="H40" s="53" t="n">
        <f aca="false" ca="false" dt2D="false" dtr="false" t="normal">HEX2DEC(H38)</f>
        <v>0</v>
      </c>
      <c r="I40" s="53" t="n">
        <f aca="false" ca="false" dt2D="false" dtr="false" t="normal">SUM(D40:H40)</f>
        <v>48</v>
      </c>
      <c r="N40" s="63" t="n"/>
      <c r="P40" s="136" t="n">
        <f aca="false" ca="false" dt2D="false" dtr="false" t="normal">MID(H39, 2, 1)</f>
        <v>0</v>
      </c>
      <c r="Q40" s="137" t="n">
        <f aca="false" ca="false" dt2D="false" dtr="false" t="normal">P40</f>
        <v>0</v>
      </c>
      <c r="R40" s="120" t="s">
        <v>192</v>
      </c>
      <c r="S40" s="131" t="s">
        <v>196</v>
      </c>
      <c r="T40" s="416" t="s"/>
      <c r="U40" s="142" t="s"/>
      <c r="V40" s="142" t="s"/>
      <c r="W40" s="417" t="s"/>
      <c r="X40" s="120" t="n"/>
      <c r="Y40" s="121" t="n"/>
      <c r="Z40" s="121" t="n"/>
      <c r="AA40" s="121" t="n"/>
      <c r="AB40" s="121" t="n"/>
      <c r="AC40" s="121" t="n"/>
      <c r="AD40" s="121" t="n"/>
      <c r="AE40" s="121" t="n"/>
      <c r="AF40" s="121" t="n"/>
      <c r="AG40" s="121" t="n"/>
      <c r="AH40" s="121" t="n"/>
      <c r="AI40" s="121" t="n"/>
      <c r="AJ40" s="121" t="n"/>
      <c r="AK40" s="121" t="n"/>
    </row>
    <row hidden="false" ht="15" outlineLevel="0" r="41">
      <c r="C41" s="98" t="s">
        <v>194</v>
      </c>
      <c r="D41" s="149" t="n">
        <f aca="false" ca="false" dt2D="false" dtr="false" t="normal">D38</f>
        <v>7</v>
      </c>
      <c r="E41" s="149" t="n">
        <f aca="false" ca="false" dt2D="false" dtr="false" t="normal">E38</f>
        <v>26</v>
      </c>
      <c r="F41" s="53" t="str">
        <f aca="false" ca="false" dt2D="false" dtr="false" t="normal">MID($A$8, 4, 2)</f>
        <v>G2</v>
      </c>
      <c r="G41" s="53" t="str">
        <f aca="false" ca="false" dt2D="false" dtr="false" t="normal">MID($A$8, 6, 2)</f>
        <v>G1</v>
      </c>
      <c r="N41" s="63" t="n"/>
      <c r="P41" s="136" t="n">
        <f aca="false" ca="false" dt2D="false" dtr="false" t="normal">MID(H39, 3, 1)</f>
        <v>0</v>
      </c>
      <c r="Q41" s="137" t="n">
        <f aca="false" ca="false" dt2D="false" dtr="false" t="normal">P41</f>
        <v>0</v>
      </c>
      <c r="R41" s="120" t="s">
        <v>195</v>
      </c>
      <c r="S41" s="131" t="s">
        <v>196</v>
      </c>
      <c r="T41" s="418" t="s"/>
      <c r="U41" s="142" t="s"/>
      <c r="V41" s="142" t="s"/>
      <c r="W41" s="419" t="s"/>
      <c r="X41" s="120" t="n"/>
      <c r="Y41" s="121" t="n"/>
      <c r="Z41" s="121" t="n"/>
      <c r="AA41" s="121" t="n"/>
      <c r="AB41" s="121" t="n"/>
      <c r="AC41" s="121" t="n"/>
      <c r="AD41" s="121" t="n"/>
      <c r="AE41" s="121" t="n"/>
      <c r="AF41" s="121" t="n"/>
      <c r="AG41" s="121" t="n"/>
      <c r="AH41" s="121" t="n"/>
      <c r="AI41" s="121" t="n"/>
      <c r="AJ41" s="121" t="n"/>
      <c r="AK41" s="121" t="n"/>
    </row>
    <row customHeight="true" hidden="false" ht="15.75" outlineLevel="0" r="42">
      <c r="C42" s="98" t="n"/>
      <c r="N42" s="63" t="n"/>
      <c r="P42" s="136" t="n">
        <f aca="false" ca="false" dt2D="false" dtr="false" t="normal">MID(H39, 4, 1)</f>
        <v>0</v>
      </c>
      <c r="Q42" s="137" t="n">
        <f aca="false" ca="false" dt2D="false" dtr="false" t="normal">P42</f>
        <v>0</v>
      </c>
      <c r="R42" s="120" t="s">
        <v>197</v>
      </c>
      <c r="S42" s="131" t="s">
        <v>196</v>
      </c>
      <c r="T42" s="420" t="s"/>
      <c r="U42" s="142" t="s"/>
      <c r="V42" s="142" t="s"/>
      <c r="W42" s="421" t="s"/>
      <c r="X42" s="120" t="n"/>
      <c r="Y42" s="121" t="n"/>
      <c r="Z42" s="121" t="n"/>
      <c r="AA42" s="121" t="n"/>
      <c r="AB42" s="121" t="n"/>
      <c r="AC42" s="121" t="n"/>
      <c r="AD42" s="121" t="n"/>
      <c r="AE42" s="121" t="n"/>
      <c r="AF42" s="121" t="n"/>
      <c r="AG42" s="121" t="n"/>
      <c r="AH42" s="121" t="n"/>
      <c r="AI42" s="121" t="n"/>
      <c r="AJ42" s="121" t="n"/>
      <c r="AK42" s="121" t="n"/>
    </row>
    <row hidden="false" ht="15.75" outlineLevel="0" r="43">
      <c r="C43" s="98" t="s">
        <v>176</v>
      </c>
      <c r="D43" s="159" t="n">
        <f aca="false" ca="false" dt2D="false" dtr="false" t="normal">D38</f>
        <v>7</v>
      </c>
      <c r="E43" s="160" t="n">
        <f aca="false" ca="false" dt2D="false" dtr="false" t="normal">E38</f>
        <v>26</v>
      </c>
      <c r="F43" s="160" t="n">
        <f aca="false" ca="false" dt2D="false" dtr="false" t="normal">F38</f>
        <v>2</v>
      </c>
      <c r="G43" s="161" t="n">
        <f aca="false" ca="false" dt2D="false" dtr="false" t="normal">G38</f>
        <v>1</v>
      </c>
      <c r="H43" s="162" t="n">
        <f aca="false" ca="false" dt2D="false" dtr="false" t="normal">BIN2HEX(H44, 2)</f>
        <v>0</v>
      </c>
      <c r="I43" s="422" t="n">
        <f aca="false" ca="false" dt2D="false" dtr="false" t="normal">IF(LEN(I44)&gt;2, MID(I44, 2, 2), I44)</f>
        <v>30</v>
      </c>
      <c r="N43" s="63" t="s">
        <v>181</v>
      </c>
      <c r="P43" s="136" t="n">
        <f aca="false" ca="false" dt2D="false" dtr="false" t="normal">MID(H39, 5, 1)</f>
        <v>0</v>
      </c>
      <c r="Q43" s="137" t="n">
        <f aca="false" ca="false" dt2D="false" dtr="false" t="normal">P43</f>
        <v>0</v>
      </c>
      <c r="R43" s="120" t="s">
        <v>200</v>
      </c>
      <c r="S43" s="131" t="s">
        <v>196</v>
      </c>
      <c r="T43" s="423" t="s"/>
      <c r="U43" s="142" t="s"/>
      <c r="V43" s="142" t="s"/>
      <c r="W43" s="424" t="s"/>
      <c r="X43" s="120" t="n"/>
      <c r="Y43" s="121" t="n"/>
      <c r="Z43" s="121" t="n"/>
      <c r="AA43" s="121" t="n"/>
      <c r="AB43" s="121" t="n"/>
      <c r="AC43" s="121" t="n"/>
      <c r="AD43" s="121" t="n"/>
      <c r="AE43" s="121" t="n"/>
      <c r="AF43" s="121" t="n"/>
      <c r="AG43" s="121" t="n"/>
      <c r="AH43" s="121" t="n"/>
      <c r="AI43" s="121" t="n"/>
      <c r="AJ43" s="121" t="n"/>
      <c r="AK43" s="121" t="n"/>
    </row>
    <row hidden="false" ht="15" outlineLevel="0" r="44">
      <c r="C44" s="98" t="s">
        <v>185</v>
      </c>
      <c r="D44" s="53" t="n">
        <f aca="false" ca="false" dt2D="false" dtr="false" t="normal">HEX2BIN(D43, 8)</f>
        <v>111</v>
      </c>
      <c r="E44" s="53" t="n">
        <f aca="false" ca="false" dt2D="false" dtr="false" t="normal">HEX2BIN(E43, 8)</f>
        <v>100110</v>
      </c>
      <c r="F44" s="53" t="n">
        <f aca="false" ca="false" dt2D="false" dtr="false" t="normal">HEX2BIN(F43, 8)</f>
        <v>10</v>
      </c>
      <c r="G44" s="53" t="n">
        <f aca="false" ca="false" dt2D="false" dtr="false" t="normal">HEX2BIN(G43, 8)</f>
        <v>1</v>
      </c>
      <c r="H44" s="171" t="n">
        <f aca="false" ca="false" dt2D="false" dtr="false" t="normal">Q39&amp;Q40&amp;Q41&amp;Q42&amp;Q43&amp;Q44&amp;Q45&amp;Q46</f>
        <v>0</v>
      </c>
      <c r="I44" s="53" t="n">
        <f aca="false" ca="false" dt2D="false" dtr="false" t="normal">DEC2HEX(I45)</f>
        <v>30</v>
      </c>
      <c r="N44" s="63" t="n"/>
      <c r="P44" s="136" t="n">
        <f aca="false" ca="false" dt2D="false" dtr="false" t="normal">MID(H39, 6, 1)</f>
        <v>0</v>
      </c>
      <c r="Q44" s="137" t="n">
        <f aca="false" ca="false" dt2D="false" dtr="false" t="normal">P44</f>
        <v>0</v>
      </c>
      <c r="R44" s="120" t="s">
        <v>203</v>
      </c>
      <c r="S44" s="131" t="s">
        <v>196</v>
      </c>
      <c r="T44" s="425" t="s"/>
      <c r="U44" s="142" t="s"/>
      <c r="V44" s="142" t="s"/>
      <c r="W44" s="426" t="s"/>
      <c r="X44" s="120" t="n"/>
      <c r="Y44" s="121" t="n"/>
      <c r="Z44" s="121" t="n"/>
      <c r="AA44" s="121" t="n"/>
      <c r="AB44" s="121" t="n"/>
      <c r="AC44" s="121" t="n"/>
      <c r="AD44" s="121" t="n"/>
      <c r="AE44" s="121" t="n"/>
      <c r="AF44" s="121" t="n"/>
      <c r="AG44" s="121" t="n"/>
      <c r="AH44" s="121" t="n"/>
      <c r="AI44" s="121" t="n"/>
      <c r="AJ44" s="121" t="n"/>
      <c r="AK44" s="121" t="n"/>
    </row>
    <row hidden="false" ht="15" outlineLevel="0" r="45">
      <c r="C45" s="98" t="s">
        <v>191</v>
      </c>
      <c r="D45" s="53" t="n">
        <f aca="false" ca="false" dt2D="false" dtr="false" t="normal">HEX2DEC(D43)</f>
        <v>7</v>
      </c>
      <c r="E45" s="53" t="n">
        <f aca="false" ca="false" dt2D="false" dtr="false" t="normal">HEX2DEC(E43)</f>
        <v>38</v>
      </c>
      <c r="F45" s="53" t="n">
        <f aca="false" ca="false" dt2D="false" dtr="false" t="normal">HEX2DEC(F43)</f>
        <v>2</v>
      </c>
      <c r="G45" s="53" t="n">
        <f aca="false" ca="false" dt2D="false" dtr="false" t="normal">HEX2DEC(G43)</f>
        <v>1</v>
      </c>
      <c r="H45" s="53" t="n">
        <f aca="false" ca="false" dt2D="false" dtr="false" t="normal">HEX2DEC(H43)</f>
        <v>0</v>
      </c>
      <c r="I45" s="53" t="n">
        <f aca="false" ca="false" dt2D="false" dtr="false" t="normal">SUM(D45:H45)</f>
        <v>48</v>
      </c>
      <c r="J45" s="53" t="n"/>
      <c r="K45" s="53" t="n"/>
      <c r="L45" s="53" t="n"/>
      <c r="N45" s="63" t="n"/>
      <c r="P45" s="136" t="n">
        <f aca="false" ca="false" dt2D="false" dtr="false" t="normal">MID(H39, 7, 1)</f>
        <v>0</v>
      </c>
      <c r="Q45" s="137" t="n">
        <f aca="false" ca="false" dt2D="false" dtr="false" t="normal">P45</f>
        <v>0</v>
      </c>
      <c r="R45" s="120" t="s">
        <v>206</v>
      </c>
      <c r="S45" s="131" t="s">
        <v>196</v>
      </c>
      <c r="T45" s="427" t="s"/>
      <c r="U45" s="142" t="s"/>
      <c r="V45" s="142" t="s"/>
      <c r="W45" s="428" t="s"/>
      <c r="X45" s="120" t="n"/>
      <c r="Y45" s="121" t="n"/>
      <c r="Z45" s="121" t="n"/>
      <c r="AA45" s="121" t="n"/>
      <c r="AB45" s="121" t="n"/>
      <c r="AC45" s="121" t="n"/>
      <c r="AD45" s="121" t="n"/>
      <c r="AE45" s="121" t="n"/>
      <c r="AF45" s="121" t="n"/>
      <c r="AG45" s="121" t="n"/>
      <c r="AH45" s="121" t="n"/>
      <c r="AI45" s="121" t="n"/>
      <c r="AJ45" s="121" t="n"/>
      <c r="AK45" s="121" t="n"/>
    </row>
    <row hidden="false" ht="15.75" outlineLevel="0" r="46">
      <c r="C46" s="180" t="s">
        <v>194</v>
      </c>
      <c r="D46" s="181" t="n">
        <f aca="false" ca="false" dt2D="false" dtr="false" t="normal">D41</f>
        <v>7</v>
      </c>
      <c r="E46" s="181" t="n">
        <f aca="false" ca="false" dt2D="false" dtr="false" t="normal">E41</f>
        <v>26</v>
      </c>
      <c r="F46" s="181" t="str">
        <f aca="false" ca="false" dt2D="false" dtr="false" t="normal">F41</f>
        <v>G2</v>
      </c>
      <c r="G46" s="181" t="str">
        <f aca="false" ca="false" dt2D="false" dtr="false" t="normal">G41</f>
        <v>G1</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5" t="s">
        <v>196</v>
      </c>
      <c r="T46" s="429" t="s"/>
      <c r="U46" s="430" t="s"/>
      <c r="V46" s="431" t="s"/>
      <c r="W46" s="432" t="s"/>
      <c r="X46" s="120" t="n"/>
      <c r="Y46" s="121" t="n"/>
      <c r="Z46" s="121" t="n"/>
      <c r="AA46" s="121" t="n"/>
      <c r="AB46" s="121" t="n"/>
      <c r="AC46" s="121" t="n"/>
      <c r="AD46" s="121" t="n"/>
      <c r="AE46" s="121" t="n"/>
      <c r="AF46" s="121" t="n"/>
      <c r="AG46" s="121" t="n"/>
      <c r="AH46" s="121" t="n"/>
      <c r="AI46" s="121" t="n"/>
      <c r="AJ46" s="121" t="n"/>
      <c r="AK46" s="121" t="n"/>
    </row>
    <row hidden="false" ht="15.75" outlineLevel="0" r="47">
      <c r="C47" s="93" t="n"/>
      <c r="D47" s="94" t="n"/>
      <c r="E47" s="94" t="n"/>
      <c r="F47" s="94" t="n"/>
      <c r="G47" s="94" t="n"/>
      <c r="H47" s="94" t="n"/>
      <c r="I47" s="94" t="s">
        <v>161</v>
      </c>
      <c r="J47" s="94" t="n"/>
      <c r="K47" s="94" t="n"/>
      <c r="L47" s="94" t="n"/>
      <c r="N47" s="60" t="n"/>
      <c r="P47" s="95" t="str">
        <f aca="false" ca="false" dt2D="false" dtr="false" t="normal">RIGHT(D49, 1)&amp;E49&amp;"-"&amp;F49&amp;"-"&amp;G49</f>
        <v>726-03-01</v>
      </c>
      <c r="Q47" s="433" t="s"/>
      <c r="R47" s="97" t="s">
        <v>334</v>
      </c>
      <c r="S47" s="97" t="s"/>
      <c r="T47" s="97" t="s"/>
      <c r="U47" s="97" t="s"/>
      <c r="V47" s="97" t="s"/>
      <c r="W47" s="97" t="s"/>
      <c r="X47" s="97" t="s"/>
      <c r="Y47" s="97" t="s"/>
      <c r="Z47" s="97" t="s"/>
      <c r="AA47" s="97" t="s"/>
      <c r="AB47" s="97" t="s"/>
      <c r="AC47" s="97" t="s"/>
      <c r="AD47" s="97" t="s"/>
      <c r="AE47" s="97" t="s"/>
      <c r="AF47" s="97" t="s"/>
      <c r="AG47" s="97" t="s"/>
      <c r="AH47" s="97" t="s"/>
      <c r="AI47" s="97" t="s"/>
      <c r="AJ47" s="97" t="s"/>
      <c r="AK47" s="97" t="s"/>
    </row>
    <row hidden="false" ht="15.75" outlineLevel="0" r="48">
      <c r="C48" s="98" t="n"/>
      <c r="D48" s="99" t="s">
        <v>335</v>
      </c>
      <c r="E48" s="434" t="s"/>
      <c r="F48" s="435" t="s"/>
      <c r="G48" s="436" t="s"/>
      <c r="H48" s="53" t="s">
        <v>165</v>
      </c>
      <c r="I48" s="53" t="s">
        <v>166</v>
      </c>
      <c r="N48" s="63" t="n"/>
      <c r="P48" s="103" t="s">
        <v>336</v>
      </c>
      <c r="Q48" s="437" t="s"/>
      <c r="R48" s="438" t="s"/>
      <c r="S48" s="439" t="s"/>
      <c r="T48" s="116" t="s">
        <v>337</v>
      </c>
      <c r="U48" s="440" t="s"/>
      <c r="V48" s="441" t="s"/>
      <c r="W48" s="442" t="s"/>
      <c r="X48" s="120" t="n"/>
      <c r="Y48" s="121" t="n"/>
      <c r="Z48" s="121" t="n"/>
      <c r="AA48" s="121" t="n"/>
      <c r="AB48" s="121" t="n"/>
      <c r="AC48" s="121" t="n"/>
      <c r="AD48" s="121" t="n"/>
      <c r="AE48" s="121" t="n"/>
      <c r="AF48" s="121" t="n"/>
      <c r="AG48" s="121" t="n"/>
      <c r="AH48" s="121" t="n"/>
      <c r="AI48" s="121" t="n"/>
      <c r="AJ48" s="121" t="n"/>
      <c r="AK48" s="121" t="n"/>
    </row>
    <row hidden="false" ht="15.75" outlineLevel="0" r="49">
      <c r="C49" s="98" t="s">
        <v>176</v>
      </c>
      <c r="D49" s="122" t="s">
        <v>177</v>
      </c>
      <c r="E49" s="123" t="s">
        <v>178</v>
      </c>
      <c r="F49" s="123" t="s">
        <v>307</v>
      </c>
      <c r="G49" s="124" t="s">
        <v>179</v>
      </c>
      <c r="H49" s="411" t="n">
        <f aca="false" ca="false" dt2D="false" dtr="false" t="normal">MID($A$10, 8, 2)</f>
        <v>0</v>
      </c>
      <c r="I49" s="128" t="n">
        <f aca="false" ca="false" dt2D="false" dtr="false" t="normal">MID($A$10, 10, 2)</f>
        <v>31</v>
      </c>
      <c r="N49" s="63" t="s">
        <v>180</v>
      </c>
      <c r="P49" s="129" t="s">
        <v>180</v>
      </c>
      <c r="Q49" s="130" t="s">
        <v>181</v>
      </c>
      <c r="R49" s="121" t="s">
        <v>182</v>
      </c>
      <c r="S49" s="131" t="n"/>
      <c r="T49" s="412" t="s">
        <v>183</v>
      </c>
      <c r="U49" s="142" t="s"/>
      <c r="V49" s="142" t="s"/>
      <c r="W49" s="443" t="s"/>
      <c r="X49" s="121" t="n"/>
      <c r="Y49" s="121" t="n"/>
      <c r="Z49" s="121" t="n"/>
      <c r="AA49" s="121" t="n"/>
      <c r="AB49" s="121" t="n"/>
      <c r="AC49" s="121" t="n"/>
      <c r="AD49" s="121" t="n"/>
      <c r="AE49" s="121" t="n"/>
      <c r="AF49" s="121" t="n"/>
      <c r="AG49" s="121" t="n"/>
      <c r="AH49" s="121" t="n"/>
      <c r="AI49" s="121" t="n"/>
      <c r="AJ49" s="121" t="n"/>
      <c r="AK49" s="121" t="n"/>
    </row>
    <row hidden="false" ht="15" outlineLevel="0" r="50">
      <c r="C50" s="98" t="s">
        <v>185</v>
      </c>
      <c r="D50" s="53" t="n">
        <f aca="false" ca="false" dt2D="false" dtr="false" t="normal">HEX2BIN(D49, 8)</f>
        <v>111</v>
      </c>
      <c r="E50" s="53" t="n">
        <f aca="false" ca="false" dt2D="false" dtr="false" t="normal">HEX2BIN(E49, 8)</f>
        <v>100110</v>
      </c>
      <c r="F50" s="53" t="n">
        <f aca="false" ca="false" dt2D="false" dtr="false" t="normal">HEX2BIN(F49, 8)</f>
        <v>11</v>
      </c>
      <c r="G50" s="53" t="n">
        <f aca="false" ca="false" dt2D="false" dtr="false" t="normal">HEX2BIN(G49, 8)</f>
        <v>1</v>
      </c>
      <c r="H50" s="53" t="n">
        <f aca="false" ca="false" dt2D="false" dtr="false" t="normal">HEX2BIN(H49, 8)</f>
        <v>0</v>
      </c>
      <c r="N50" s="63" t="n"/>
      <c r="P50" s="136" t="n">
        <f aca="false" ca="false" dt2D="false" dtr="false" t="normal">MID(H50, 1, 1)</f>
        <v>0</v>
      </c>
      <c r="Q50" s="137" t="n">
        <f aca="false" ca="false" dt2D="false" dtr="false" t="normal">P50</f>
        <v>0</v>
      </c>
      <c r="R50" s="120" t="s">
        <v>186</v>
      </c>
      <c r="S50" s="131" t="s">
        <v>196</v>
      </c>
      <c r="T50" s="444" t="s"/>
      <c r="U50" s="142" t="s"/>
      <c r="V50" s="142" t="s"/>
      <c r="W50" s="445" t="s"/>
      <c r="X50" s="121" t="n"/>
      <c r="Y50" s="121" t="n"/>
      <c r="Z50" s="121" t="n"/>
      <c r="AA50" s="121" t="n"/>
      <c r="AB50" s="121" t="n"/>
      <c r="AC50" s="121" t="n"/>
      <c r="AD50" s="121" t="n"/>
      <c r="AE50" s="121" t="n"/>
      <c r="AF50" s="121" t="n"/>
      <c r="AG50" s="121" t="n"/>
      <c r="AH50" s="121" t="n"/>
      <c r="AI50" s="121" t="n"/>
      <c r="AJ50" s="121" t="n"/>
      <c r="AK50" s="121" t="n"/>
    </row>
    <row hidden="false" ht="15" outlineLevel="0" r="51">
      <c r="C51" s="98" t="s">
        <v>191</v>
      </c>
      <c r="D51" s="53" t="n">
        <f aca="false" ca="false" dt2D="false" dtr="false" t="normal">HEX2DEC(D49)</f>
        <v>7</v>
      </c>
      <c r="E51" s="53" t="n">
        <f aca="false" ca="false" dt2D="false" dtr="false" t="normal">HEX2DEC(E49)</f>
        <v>38</v>
      </c>
      <c r="F51" s="53" t="n">
        <f aca="false" ca="false" dt2D="false" dtr="false" t="normal">HEX2DEC(F49)</f>
        <v>3</v>
      </c>
      <c r="G51" s="53" t="n">
        <f aca="false" ca="false" dt2D="false" dtr="false" t="normal">HEX2DEC(G49)</f>
        <v>1</v>
      </c>
      <c r="H51" s="53" t="n">
        <f aca="false" ca="false" dt2D="false" dtr="false" t="normal">HEX2DEC(H49)</f>
        <v>0</v>
      </c>
      <c r="I51" s="53" t="n">
        <f aca="false" ca="false" dt2D="false" dtr="false" t="normal">SUM(D51:H51)</f>
        <v>49</v>
      </c>
      <c r="N51" s="63" t="n"/>
      <c r="P51" s="136" t="n">
        <f aca="false" ca="false" dt2D="false" dtr="false" t="normal">MID(H50, 2, 1)</f>
        <v>0</v>
      </c>
      <c r="Q51" s="137" t="n">
        <f aca="false" ca="false" dt2D="false" dtr="false" t="normal">P51</f>
        <v>0</v>
      </c>
      <c r="R51" s="120" t="s">
        <v>192</v>
      </c>
      <c r="S51" s="131" t="s">
        <v>196</v>
      </c>
      <c r="T51" s="446" t="s"/>
      <c r="U51" s="142" t="s"/>
      <c r="V51" s="142" t="s"/>
      <c r="W51" s="447" t="s"/>
      <c r="X51" s="121" t="n"/>
      <c r="Y51" s="121" t="n"/>
      <c r="Z51" s="121" t="n"/>
      <c r="AA51" s="121" t="n"/>
      <c r="AB51" s="121" t="n"/>
      <c r="AC51" s="121" t="n"/>
      <c r="AD51" s="121" t="n"/>
      <c r="AE51" s="121" t="n"/>
      <c r="AF51" s="121" t="n"/>
      <c r="AG51" s="121" t="n"/>
      <c r="AH51" s="121" t="n"/>
      <c r="AI51" s="121" t="n"/>
      <c r="AJ51" s="121" t="n"/>
      <c r="AK51" s="121" t="n"/>
    </row>
    <row hidden="false" ht="15" outlineLevel="0" r="52">
      <c r="C52" s="98" t="s">
        <v>194</v>
      </c>
      <c r="D52" s="149" t="n">
        <f aca="false" ca="false" dt2D="false" dtr="false" t="normal">D49</f>
        <v>7</v>
      </c>
      <c r="E52" s="149" t="n">
        <f aca="false" ca="false" dt2D="false" dtr="false" t="normal">E49</f>
        <v>26</v>
      </c>
      <c r="F52" s="53" t="str">
        <f aca="false" ca="false" dt2D="false" dtr="false" t="normal">MID($A$10, 4, 2)</f>
        <v>G3</v>
      </c>
      <c r="G52" s="53" t="str">
        <f aca="false" ca="false" dt2D="false" dtr="false" t="normal">MID($A$10, 6, 2)</f>
        <v>G1</v>
      </c>
      <c r="N52" s="63" t="n"/>
      <c r="P52" s="136" t="n">
        <f aca="false" ca="false" dt2D="false" dtr="false" t="normal">MID(H50, 3, 1)</f>
        <v>0</v>
      </c>
      <c r="Q52" s="137" t="n">
        <f aca="false" ca="false" dt2D="false" dtr="false" t="normal">P52</f>
        <v>0</v>
      </c>
      <c r="R52" s="120" t="s">
        <v>195</v>
      </c>
      <c r="S52" s="131" t="s">
        <v>196</v>
      </c>
      <c r="T52" s="448" t="s"/>
      <c r="U52" s="142" t="s"/>
      <c r="V52" s="142" t="s"/>
      <c r="W52" s="449" t="s"/>
      <c r="X52" s="121" t="n"/>
      <c r="Y52" s="121" t="n"/>
      <c r="Z52" s="121" t="n"/>
      <c r="AA52" s="121" t="n"/>
      <c r="AB52" s="121" t="n"/>
      <c r="AC52" s="121" t="n"/>
      <c r="AD52" s="121" t="n"/>
      <c r="AE52" s="121" t="n"/>
      <c r="AF52" s="121" t="n"/>
      <c r="AG52" s="121" t="n"/>
      <c r="AH52" s="121" t="n"/>
      <c r="AI52" s="121" t="n"/>
      <c r="AJ52" s="121" t="n"/>
      <c r="AK52" s="121" t="n"/>
    </row>
    <row hidden="false" ht="15.75" outlineLevel="0" r="53">
      <c r="C53" s="98" t="n"/>
      <c r="N53" s="63" t="n"/>
      <c r="P53" s="136" t="n">
        <f aca="false" ca="false" dt2D="false" dtr="false" t="normal">MID(H50, 4, 1)</f>
        <v>0</v>
      </c>
      <c r="Q53" s="137" t="n">
        <f aca="false" ca="false" dt2D="false" dtr="false" t="normal">P53</f>
        <v>0</v>
      </c>
      <c r="R53" s="120" t="s">
        <v>197</v>
      </c>
      <c r="S53" s="131" t="s">
        <v>196</v>
      </c>
      <c r="T53" s="450" t="s"/>
      <c r="U53" s="142" t="s"/>
      <c r="V53" s="142" t="s"/>
      <c r="W53" s="451" t="s"/>
      <c r="X53" s="121" t="n"/>
      <c r="Y53" s="121" t="n"/>
      <c r="Z53" s="121" t="n"/>
      <c r="AA53" s="121" t="n"/>
      <c r="AB53" s="121" t="n"/>
      <c r="AC53" s="121" t="n"/>
      <c r="AD53" s="121" t="n"/>
      <c r="AE53" s="121" t="n"/>
      <c r="AF53" s="121" t="n"/>
      <c r="AG53" s="121" t="n"/>
      <c r="AH53" s="121" t="n"/>
      <c r="AI53" s="121" t="n"/>
      <c r="AJ53" s="121" t="n"/>
      <c r="AK53" s="121" t="n"/>
    </row>
    <row hidden="false" ht="15.75" outlineLevel="0" r="54">
      <c r="C54" s="98" t="s">
        <v>176</v>
      </c>
      <c r="D54" s="159" t="n">
        <f aca="false" ca="false" dt2D="false" dtr="false" t="normal">D49</f>
        <v>7</v>
      </c>
      <c r="E54" s="160" t="n">
        <f aca="false" ca="false" dt2D="false" dtr="false" t="normal">E49</f>
        <v>26</v>
      </c>
      <c r="F54" s="160" t="n">
        <f aca="false" ca="false" dt2D="false" dtr="false" t="normal">F49</f>
        <v>3</v>
      </c>
      <c r="G54" s="161" t="n">
        <f aca="false" ca="false" dt2D="false" dtr="false" t="normal">G49</f>
        <v>1</v>
      </c>
      <c r="H54" s="162" t="n">
        <f aca="false" ca="false" dt2D="false" dtr="false" t="normal">BIN2HEX(H55, 2)</f>
        <v>0</v>
      </c>
      <c r="I54" s="422" t="n">
        <f aca="false" ca="false" dt2D="false" dtr="false" t="normal">IF(LEN(I55)&gt;2, MID(I55, 2, 2), I55)</f>
        <v>31</v>
      </c>
      <c r="N54" s="63" t="s">
        <v>181</v>
      </c>
      <c r="P54" s="136" t="n">
        <f aca="false" ca="false" dt2D="false" dtr="false" t="normal">MID(H50, 5, 1)</f>
        <v>0</v>
      </c>
      <c r="Q54" s="137" t="n">
        <f aca="false" ca="false" dt2D="false" dtr="false" t="normal">P54</f>
        <v>0</v>
      </c>
      <c r="R54" s="120" t="s">
        <v>200</v>
      </c>
      <c r="S54" s="131" t="s">
        <v>196</v>
      </c>
      <c r="T54" s="452" t="s"/>
      <c r="U54" s="142" t="s"/>
      <c r="V54" s="142" t="s"/>
      <c r="W54" s="453" t="s"/>
      <c r="X54" s="121" t="n"/>
      <c r="Y54" s="121" t="n"/>
      <c r="Z54" s="121" t="n"/>
      <c r="AA54" s="121" t="n"/>
      <c r="AB54" s="121" t="n"/>
      <c r="AC54" s="121" t="n"/>
      <c r="AD54" s="121" t="n"/>
      <c r="AE54" s="121" t="n"/>
      <c r="AF54" s="121" t="n"/>
      <c r="AG54" s="121" t="n"/>
      <c r="AH54" s="121" t="n"/>
      <c r="AI54" s="121" t="n"/>
      <c r="AJ54" s="121" t="n"/>
      <c r="AK54" s="121" t="n"/>
    </row>
    <row hidden="false" ht="15" outlineLevel="0" r="55">
      <c r="C55" s="98" t="s">
        <v>185</v>
      </c>
      <c r="D55" s="53" t="n">
        <f aca="false" ca="false" dt2D="false" dtr="false" t="normal">HEX2BIN(D54, 8)</f>
        <v>111</v>
      </c>
      <c r="E55" s="53" t="n">
        <f aca="false" ca="false" dt2D="false" dtr="false" t="normal">HEX2BIN(E54, 8)</f>
        <v>100110</v>
      </c>
      <c r="F55" s="53" t="n">
        <f aca="false" ca="false" dt2D="false" dtr="false" t="normal">HEX2BIN(F54, 8)</f>
        <v>11</v>
      </c>
      <c r="G55" s="53" t="n">
        <f aca="false" ca="false" dt2D="false" dtr="false" t="normal">HEX2BIN(G54, 8)</f>
        <v>1</v>
      </c>
      <c r="H55" s="171" t="n">
        <f aca="false" ca="false" dt2D="false" dtr="false" t="normal">Q50&amp;Q51&amp;Q52&amp;Q53&amp;Q54&amp;Q55&amp;Q56&amp;Q57</f>
        <v>0</v>
      </c>
      <c r="I55" s="53" t="n">
        <f aca="false" ca="false" dt2D="false" dtr="false" t="normal">DEC2HEX(I56)</f>
        <v>31</v>
      </c>
      <c r="N55" s="63" t="n"/>
      <c r="P55" s="136" t="n">
        <f aca="false" ca="false" dt2D="false" dtr="false" t="normal">MID(H50, 6, 1)</f>
        <v>0</v>
      </c>
      <c r="Q55" s="137" t="n">
        <f aca="false" ca="false" dt2D="false" dtr="false" t="normal">P55</f>
        <v>0</v>
      </c>
      <c r="R55" s="120" t="s">
        <v>203</v>
      </c>
      <c r="S55" s="131" t="s">
        <v>196</v>
      </c>
      <c r="T55" s="454" t="s"/>
      <c r="U55" s="142" t="s"/>
      <c r="V55" s="142" t="s"/>
      <c r="W55" s="455" t="s"/>
      <c r="X55" s="121" t="n"/>
      <c r="Y55" s="121" t="n"/>
      <c r="Z55" s="121" t="n"/>
      <c r="AA55" s="121" t="n"/>
      <c r="AB55" s="121" t="n"/>
      <c r="AC55" s="121" t="n"/>
      <c r="AD55" s="121" t="n"/>
      <c r="AE55" s="121" t="n"/>
      <c r="AF55" s="121" t="n"/>
      <c r="AG55" s="121" t="n"/>
      <c r="AH55" s="121" t="n"/>
      <c r="AI55" s="121" t="n"/>
      <c r="AJ55" s="121" t="n"/>
      <c r="AK55" s="121" t="n"/>
    </row>
    <row hidden="false" ht="15" outlineLevel="0" r="56">
      <c r="C56" s="98" t="s">
        <v>191</v>
      </c>
      <c r="D56" s="53" t="n">
        <f aca="false" ca="false" dt2D="false" dtr="false" t="normal">HEX2DEC(D54)</f>
        <v>7</v>
      </c>
      <c r="E56" s="53" t="n">
        <f aca="false" ca="false" dt2D="false" dtr="false" t="normal">HEX2DEC(E54)</f>
        <v>38</v>
      </c>
      <c r="F56" s="53" t="n">
        <f aca="false" ca="false" dt2D="false" dtr="false" t="normal">HEX2DEC(F54)</f>
        <v>3</v>
      </c>
      <c r="G56" s="53" t="n">
        <f aca="false" ca="false" dt2D="false" dtr="false" t="normal">HEX2DEC(G54)</f>
        <v>1</v>
      </c>
      <c r="H56" s="53" t="n">
        <f aca="false" ca="false" dt2D="false" dtr="false" t="normal">HEX2DEC(H54)</f>
        <v>0</v>
      </c>
      <c r="I56" s="53" t="n">
        <f aca="false" ca="false" dt2D="false" dtr="false" t="normal">SUM(D56:H56)</f>
        <v>49</v>
      </c>
      <c r="J56" s="53" t="n"/>
      <c r="K56" s="53" t="n"/>
      <c r="L56" s="53" t="n"/>
      <c r="N56" s="63" t="n"/>
      <c r="P56" s="136" t="n">
        <f aca="false" ca="false" dt2D="false" dtr="false" t="normal">MID(H50, 7, 1)</f>
        <v>0</v>
      </c>
      <c r="Q56" s="137" t="n">
        <f aca="false" ca="false" dt2D="false" dtr="false" t="normal">P56</f>
        <v>0</v>
      </c>
      <c r="R56" s="120" t="s">
        <v>206</v>
      </c>
      <c r="S56" s="131" t="s">
        <v>196</v>
      </c>
      <c r="T56" s="456" t="s"/>
      <c r="U56" s="142" t="s"/>
      <c r="V56" s="142" t="s"/>
      <c r="W56" s="457" t="s"/>
      <c r="X56" s="121" t="n"/>
      <c r="Y56" s="121" t="n"/>
      <c r="Z56" s="121" t="n"/>
      <c r="AA56" s="121" t="n"/>
      <c r="AB56" s="121" t="n"/>
      <c r="AC56" s="121" t="n"/>
      <c r="AD56" s="121" t="n"/>
      <c r="AE56" s="121" t="n"/>
      <c r="AF56" s="121" t="n"/>
      <c r="AG56" s="121" t="n"/>
      <c r="AH56" s="121" t="n"/>
      <c r="AI56" s="121" t="n"/>
      <c r="AJ56" s="121" t="n"/>
      <c r="AK56" s="121" t="n"/>
    </row>
    <row hidden="false" ht="15.75" outlineLevel="0" r="57">
      <c r="C57" s="180" t="s">
        <v>194</v>
      </c>
      <c r="D57" s="181" t="n">
        <f aca="false" ca="false" dt2D="false" dtr="false" t="normal">D52</f>
        <v>7</v>
      </c>
      <c r="E57" s="181" t="n">
        <f aca="false" ca="false" dt2D="false" dtr="false" t="normal">E52</f>
        <v>26</v>
      </c>
      <c r="F57" s="181" t="str">
        <f aca="false" ca="false" dt2D="false" dtr="false" t="normal">F52</f>
        <v>G3</v>
      </c>
      <c r="G57" s="181" t="str">
        <f aca="false" ca="false" dt2D="false" dtr="false" t="normal">G52</f>
        <v>G1</v>
      </c>
      <c r="H57" s="45" t="n"/>
      <c r="I57" s="45" t="n"/>
      <c r="J57" s="45" t="n"/>
      <c r="K57" s="45" t="n"/>
      <c r="L57" s="45" t="n"/>
      <c r="M57" s="45" t="n"/>
      <c r="N57" s="49" t="n"/>
      <c r="P57" s="182" t="n">
        <f aca="false" ca="false" dt2D="false" dtr="false" t="normal">MID(H50, 8, 1)</f>
        <v>0</v>
      </c>
      <c r="Q57" s="183" t="n">
        <f aca="false" ca="false" dt2D="false" dtr="false" t="normal">P57</f>
        <v>0</v>
      </c>
      <c r="R57" s="184" t="s">
        <v>208</v>
      </c>
      <c r="S57" s="185" t="s">
        <v>196</v>
      </c>
      <c r="T57" s="458" t="s"/>
      <c r="U57" s="459" t="s"/>
      <c r="V57" s="460" t="s"/>
      <c r="W57" s="461" t="s"/>
      <c r="X57" s="121" t="n"/>
      <c r="Y57" s="121" t="n"/>
      <c r="Z57" s="121" t="n"/>
      <c r="AA57" s="121" t="n"/>
      <c r="AB57" s="121" t="n"/>
      <c r="AC57" s="121" t="n"/>
      <c r="AD57" s="121" t="n"/>
      <c r="AE57" s="121" t="n"/>
      <c r="AF57" s="121" t="n"/>
      <c r="AG57" s="121" t="n"/>
      <c r="AH57" s="121" t="n"/>
      <c r="AI57" s="121" t="n"/>
      <c r="AJ57" s="121" t="n"/>
      <c r="AK57" s="121" t="n"/>
    </row>
    <row hidden="false" ht="15.75" outlineLevel="0" r="58">
      <c r="C58" s="93" t="n"/>
      <c r="D58" s="94" t="n"/>
      <c r="E58" s="94" t="n"/>
      <c r="F58" s="94" t="n"/>
      <c r="G58" s="94" t="n"/>
      <c r="H58" s="94" t="n"/>
      <c r="I58" s="94" t="s">
        <v>161</v>
      </c>
      <c r="J58" s="94" t="n"/>
      <c r="K58" s="94" t="n"/>
      <c r="L58" s="94" t="n"/>
      <c r="N58" s="60" t="n"/>
      <c r="P58" s="95" t="str">
        <f aca="false" ca="false" dt2D="false" dtr="false" t="normal">RIGHT(D60, 1)&amp;E60&amp;"-"&amp;F60&amp;"-"&amp;G60</f>
        <v>726-04-01</v>
      </c>
      <c r="Q58" s="462" t="s"/>
      <c r="R58" s="97" t="s">
        <v>338</v>
      </c>
      <c r="S58" s="97" t="s"/>
      <c r="T58" s="97" t="s"/>
      <c r="U58" s="97" t="s"/>
      <c r="V58" s="97" t="s"/>
      <c r="W58" s="97" t="s"/>
      <c r="X58" s="97" t="s"/>
      <c r="Y58" s="97" t="s"/>
      <c r="Z58" s="97" t="s"/>
      <c r="AA58" s="97" t="s"/>
      <c r="AB58" s="97" t="s"/>
      <c r="AC58" s="97" t="s"/>
      <c r="AD58" s="97" t="s"/>
      <c r="AE58" s="97" t="s"/>
      <c r="AF58" s="97" t="s"/>
      <c r="AG58" s="97" t="s"/>
      <c r="AH58" s="97" t="s"/>
      <c r="AI58" s="97" t="s"/>
      <c r="AJ58" s="97" t="s"/>
      <c r="AK58" s="97" t="s"/>
    </row>
    <row hidden="false" ht="15.75" outlineLevel="0" r="59">
      <c r="C59" s="98" t="n"/>
      <c r="D59" s="99" t="s">
        <v>339</v>
      </c>
      <c r="E59" s="463" t="s"/>
      <c r="F59" s="464" t="s"/>
      <c r="G59" s="465" t="s"/>
      <c r="H59" s="53" t="s">
        <v>165</v>
      </c>
      <c r="I59" s="53" t="s">
        <v>166</v>
      </c>
      <c r="N59" s="63" t="n"/>
      <c r="P59" s="103" t="s">
        <v>340</v>
      </c>
      <c r="Q59" s="466" t="s"/>
      <c r="R59" s="467" t="s"/>
      <c r="S59" s="468" t="s"/>
      <c r="T59" s="116" t="s">
        <v>341</v>
      </c>
      <c r="U59" s="469" t="s"/>
      <c r="V59" s="470" t="s"/>
      <c r="W59" s="471" t="s"/>
      <c r="X59" s="120" t="n"/>
      <c r="Y59" s="121" t="n"/>
      <c r="Z59" s="121" t="n"/>
      <c r="AA59" s="121" t="n"/>
      <c r="AB59" s="121" t="n"/>
      <c r="AC59" s="121" t="n"/>
      <c r="AD59" s="121" t="n"/>
      <c r="AE59" s="121" t="n"/>
      <c r="AF59" s="121" t="n"/>
      <c r="AG59" s="121" t="n"/>
      <c r="AH59" s="121" t="n"/>
      <c r="AI59" s="121" t="n"/>
      <c r="AJ59" s="121" t="n"/>
      <c r="AK59" s="121" t="n"/>
    </row>
    <row hidden="false" ht="15.75" outlineLevel="0" r="60">
      <c r="C60" s="98" t="s">
        <v>176</v>
      </c>
      <c r="D60" s="122" t="s">
        <v>177</v>
      </c>
      <c r="E60" s="123" t="s">
        <v>178</v>
      </c>
      <c r="F60" s="123" t="s">
        <v>342</v>
      </c>
      <c r="G60" s="124" t="s">
        <v>179</v>
      </c>
      <c r="H60" s="411" t="n">
        <f aca="false" ca="false" dt2D="false" dtr="false" t="normal">MID($A$12, 8, 2)</f>
        <v>0</v>
      </c>
      <c r="I60" s="128" t="n">
        <f aca="false" ca="false" dt2D="false" dtr="false" t="normal">MID($A$12, 10, 2)</f>
        <v>32</v>
      </c>
      <c r="N60" s="63" t="s">
        <v>180</v>
      </c>
      <c r="P60" s="129" t="s">
        <v>180</v>
      </c>
      <c r="Q60" s="130" t="s">
        <v>181</v>
      </c>
      <c r="R60" s="121" t="s">
        <v>182</v>
      </c>
      <c r="S60" s="131" t="n"/>
      <c r="T60" s="412" t="s">
        <v>183</v>
      </c>
      <c r="U60" s="142" t="s"/>
      <c r="V60" s="142" t="s"/>
      <c r="W60" s="472" t="s"/>
      <c r="X60" s="121" t="n"/>
      <c r="Y60" s="121" t="n"/>
      <c r="Z60" s="121" t="n"/>
      <c r="AA60" s="121" t="n"/>
      <c r="AB60" s="121" t="n"/>
      <c r="AC60" s="121" t="n"/>
      <c r="AD60" s="121" t="n"/>
      <c r="AE60" s="121" t="n"/>
      <c r="AF60" s="121" t="n"/>
      <c r="AG60" s="121" t="n"/>
      <c r="AH60" s="121" t="n"/>
      <c r="AI60" s="121" t="n"/>
      <c r="AJ60" s="121" t="n"/>
      <c r="AK60" s="121" t="n"/>
    </row>
    <row hidden="false" ht="15" outlineLevel="0" r="61">
      <c r="C61" s="98" t="s">
        <v>185</v>
      </c>
      <c r="D61" s="53" t="n">
        <f aca="false" ca="false" dt2D="false" dtr="false" t="normal">HEX2BIN(D60, 8)</f>
        <v>111</v>
      </c>
      <c r="E61" s="53" t="n">
        <f aca="false" ca="false" dt2D="false" dtr="false" t="normal">HEX2BIN(E60, 8)</f>
        <v>100110</v>
      </c>
      <c r="F61" s="53" t="n">
        <f aca="false" ca="false" dt2D="false" dtr="false" t="normal">HEX2BIN(F60, 8)</f>
        <v>100</v>
      </c>
      <c r="G61" s="53" t="n">
        <f aca="false" ca="false" dt2D="false" dtr="false" t="normal">HEX2BIN(G60, 8)</f>
        <v>1</v>
      </c>
      <c r="H61" s="53" t="n">
        <f aca="false" ca="false" dt2D="false" dtr="false" t="normal">HEX2BIN(H60, 8)</f>
        <v>0</v>
      </c>
      <c r="N61" s="63" t="n"/>
      <c r="P61" s="136" t="n">
        <f aca="false" ca="false" dt2D="false" dtr="false" t="normal">MID(H61, 1, 1)</f>
        <v>0</v>
      </c>
      <c r="Q61" s="137" t="n">
        <f aca="false" ca="false" dt2D="false" dtr="false" t="normal">P61</f>
        <v>0</v>
      </c>
      <c r="R61" s="120" t="s">
        <v>186</v>
      </c>
      <c r="S61" s="131" t="s">
        <v>196</v>
      </c>
      <c r="T61" s="473" t="s"/>
      <c r="U61" s="142" t="s"/>
      <c r="V61" s="142" t="s"/>
      <c r="W61" s="474" t="s"/>
      <c r="X61" s="121" t="n"/>
      <c r="Y61" s="121" t="n"/>
      <c r="Z61" s="121" t="n"/>
      <c r="AA61" s="121" t="n"/>
      <c r="AB61" s="121" t="n"/>
      <c r="AC61" s="121" t="n"/>
      <c r="AD61" s="121" t="n"/>
      <c r="AE61" s="121" t="n"/>
      <c r="AF61" s="121" t="n"/>
      <c r="AG61" s="121" t="n"/>
      <c r="AH61" s="121" t="n"/>
      <c r="AI61" s="121" t="n"/>
      <c r="AJ61" s="121" t="n"/>
      <c r="AK61" s="121" t="n"/>
    </row>
    <row hidden="false" ht="15" outlineLevel="0" r="62">
      <c r="C62" s="98" t="s">
        <v>191</v>
      </c>
      <c r="D62" s="53" t="n">
        <f aca="false" ca="false" dt2D="false" dtr="false" t="normal">HEX2DEC(D60)</f>
        <v>7</v>
      </c>
      <c r="E62" s="53" t="n">
        <f aca="false" ca="false" dt2D="false" dtr="false" t="normal">HEX2DEC(E60)</f>
        <v>38</v>
      </c>
      <c r="F62" s="53" t="n">
        <f aca="false" ca="false" dt2D="false" dtr="false" t="normal">HEX2DEC(F60)</f>
        <v>4</v>
      </c>
      <c r="G62" s="53" t="n">
        <f aca="false" ca="false" dt2D="false" dtr="false" t="normal">HEX2DEC(G60)</f>
        <v>1</v>
      </c>
      <c r="H62" s="53" t="n">
        <f aca="false" ca="false" dt2D="false" dtr="false" t="normal">HEX2DEC(H60)</f>
        <v>0</v>
      </c>
      <c r="I62" s="53" t="n">
        <f aca="false" ca="false" dt2D="false" dtr="false" t="normal">SUM(D62:H62)</f>
        <v>50</v>
      </c>
      <c r="N62" s="63" t="n"/>
      <c r="P62" s="136" t="n">
        <f aca="false" ca="false" dt2D="false" dtr="false" t="normal">MID(H61, 2, 1)</f>
        <v>0</v>
      </c>
      <c r="Q62" s="137" t="n">
        <f aca="false" ca="false" dt2D="false" dtr="false" t="normal">P62</f>
        <v>0</v>
      </c>
      <c r="R62" s="120" t="s">
        <v>192</v>
      </c>
      <c r="S62" s="131" t="s">
        <v>196</v>
      </c>
      <c r="T62" s="475" t="s"/>
      <c r="U62" s="142" t="s"/>
      <c r="V62" s="142" t="s"/>
      <c r="W62" s="476" t="s"/>
      <c r="X62" s="121" t="n"/>
      <c r="Y62" s="121" t="n"/>
      <c r="Z62" s="121" t="n"/>
      <c r="AA62" s="121" t="n"/>
      <c r="AB62" s="121" t="n"/>
      <c r="AC62" s="121" t="n"/>
      <c r="AD62" s="121" t="n"/>
      <c r="AE62" s="121" t="n"/>
      <c r="AF62" s="121" t="n"/>
      <c r="AG62" s="121" t="n"/>
      <c r="AH62" s="121" t="n"/>
      <c r="AI62" s="121" t="n"/>
      <c r="AJ62" s="121" t="n"/>
      <c r="AK62" s="121" t="n"/>
    </row>
    <row hidden="false" ht="15" outlineLevel="0" r="63">
      <c r="C63" s="98" t="s">
        <v>194</v>
      </c>
      <c r="D63" s="149" t="n">
        <f aca="false" ca="false" dt2D="false" dtr="false" t="normal">D60</f>
        <v>7</v>
      </c>
      <c r="E63" s="149" t="n">
        <f aca="false" ca="false" dt2D="false" dtr="false" t="normal">E60</f>
        <v>26</v>
      </c>
      <c r="F63" s="53" t="str">
        <f aca="false" ca="false" dt2D="false" dtr="false" t="normal">MID($A$12, 4, 2)</f>
        <v>G4</v>
      </c>
      <c r="G63" s="53" t="str">
        <f aca="false" ca="false" dt2D="false" dtr="false" t="normal">MID($A$12, 6, 2)</f>
        <v>G1</v>
      </c>
      <c r="N63" s="63" t="n"/>
      <c r="P63" s="136" t="n">
        <f aca="false" ca="false" dt2D="false" dtr="false" t="normal">MID(H61, 3, 1)</f>
        <v>0</v>
      </c>
      <c r="Q63" s="137" t="n">
        <f aca="false" ca="false" dt2D="false" dtr="false" t="normal">P63</f>
        <v>0</v>
      </c>
      <c r="R63" s="120" t="s">
        <v>195</v>
      </c>
      <c r="S63" s="131" t="s">
        <v>196</v>
      </c>
      <c r="T63" s="477" t="s"/>
      <c r="U63" s="142" t="s"/>
      <c r="V63" s="142" t="s"/>
      <c r="W63" s="478" t="s"/>
      <c r="X63" s="121" t="n"/>
      <c r="Y63" s="121" t="n"/>
      <c r="Z63" s="121" t="n"/>
      <c r="AA63" s="121" t="n"/>
      <c r="AB63" s="121" t="n"/>
      <c r="AC63" s="121" t="n"/>
      <c r="AD63" s="121" t="n"/>
      <c r="AE63" s="121" t="n"/>
      <c r="AF63" s="121" t="n"/>
      <c r="AG63" s="121" t="n"/>
      <c r="AH63" s="121" t="n"/>
      <c r="AI63" s="121" t="n"/>
      <c r="AJ63" s="121" t="n"/>
      <c r="AK63" s="121" t="n"/>
    </row>
    <row hidden="false" ht="15.75" outlineLevel="0" r="64">
      <c r="C64" s="98" t="n"/>
      <c r="N64" s="63" t="n"/>
      <c r="P64" s="136" t="n">
        <f aca="false" ca="false" dt2D="false" dtr="false" t="normal">MID(H61, 4, 1)</f>
        <v>0</v>
      </c>
      <c r="Q64" s="137" t="n">
        <f aca="false" ca="false" dt2D="false" dtr="false" t="normal">P64</f>
        <v>0</v>
      </c>
      <c r="R64" s="120" t="s">
        <v>197</v>
      </c>
      <c r="S64" s="131" t="s">
        <v>196</v>
      </c>
      <c r="T64" s="479" t="s"/>
      <c r="U64" s="142" t="s"/>
      <c r="V64" s="142" t="s"/>
      <c r="W64" s="480" t="s"/>
      <c r="X64" s="121" t="n"/>
      <c r="Y64" s="121" t="n"/>
      <c r="Z64" s="121" t="n"/>
      <c r="AA64" s="121" t="n"/>
      <c r="AB64" s="121" t="n"/>
      <c r="AC64" s="121" t="n"/>
      <c r="AD64" s="121" t="n"/>
      <c r="AE64" s="121" t="n"/>
      <c r="AF64" s="121" t="n"/>
      <c r="AG64" s="121" t="n"/>
      <c r="AH64" s="121" t="n"/>
      <c r="AI64" s="121" t="n"/>
      <c r="AJ64" s="121" t="n"/>
      <c r="AK64" s="121" t="n"/>
    </row>
    <row hidden="false" ht="15.75" outlineLevel="0" r="65">
      <c r="C65" s="98" t="s">
        <v>176</v>
      </c>
      <c r="D65" s="159" t="n">
        <f aca="false" ca="false" dt2D="false" dtr="false" t="normal">D60</f>
        <v>7</v>
      </c>
      <c r="E65" s="160" t="n">
        <f aca="false" ca="false" dt2D="false" dtr="false" t="normal">E60</f>
        <v>26</v>
      </c>
      <c r="F65" s="160" t="n">
        <f aca="false" ca="false" dt2D="false" dtr="false" t="normal">F60</f>
        <v>4</v>
      </c>
      <c r="G65" s="161" t="n">
        <f aca="false" ca="false" dt2D="false" dtr="false" t="normal">G60</f>
        <v>1</v>
      </c>
      <c r="H65" s="162" t="n">
        <f aca="false" ca="false" dt2D="false" dtr="false" t="normal">BIN2HEX(H66, 2)</f>
        <v>0</v>
      </c>
      <c r="I65" s="422" t="n">
        <f aca="false" ca="false" dt2D="false" dtr="false" t="normal">IF(LEN(I66)&gt;2, MID(I66, 2, 2), I66)</f>
        <v>32</v>
      </c>
      <c r="N65" s="63" t="s">
        <v>181</v>
      </c>
      <c r="P65" s="136" t="n">
        <f aca="false" ca="false" dt2D="false" dtr="false" t="normal">MID(H61, 5, 1)</f>
        <v>0</v>
      </c>
      <c r="Q65" s="137" t="n">
        <f aca="false" ca="false" dt2D="false" dtr="false" t="normal">P65</f>
        <v>0</v>
      </c>
      <c r="R65" s="120" t="s">
        <v>200</v>
      </c>
      <c r="S65" s="131" t="s">
        <v>196</v>
      </c>
      <c r="T65" s="481" t="s"/>
      <c r="U65" s="142" t="s"/>
      <c r="V65" s="142" t="s"/>
      <c r="W65" s="482" t="s"/>
      <c r="X65" s="121" t="n"/>
      <c r="Y65" s="121" t="n"/>
      <c r="Z65" s="121" t="n"/>
      <c r="AA65" s="121" t="n"/>
      <c r="AB65" s="121" t="n"/>
      <c r="AC65" s="121" t="n"/>
      <c r="AD65" s="121" t="n"/>
      <c r="AE65" s="121" t="n"/>
      <c r="AF65" s="121" t="n"/>
      <c r="AG65" s="121" t="n"/>
      <c r="AH65" s="121" t="n"/>
      <c r="AI65" s="121" t="n"/>
      <c r="AJ65" s="121" t="n"/>
      <c r="AK65" s="121" t="n"/>
    </row>
    <row hidden="false" ht="15" outlineLevel="0" r="66">
      <c r="C66" s="98" t="s">
        <v>185</v>
      </c>
      <c r="D66" s="53" t="n">
        <f aca="false" ca="false" dt2D="false" dtr="false" t="normal">HEX2BIN(D65, 8)</f>
        <v>111</v>
      </c>
      <c r="E66" s="53" t="n">
        <f aca="false" ca="false" dt2D="false" dtr="false" t="normal">HEX2BIN(E65, 8)</f>
        <v>100110</v>
      </c>
      <c r="F66" s="53" t="n">
        <f aca="false" ca="false" dt2D="false" dtr="false" t="normal">HEX2BIN(F65, 8)</f>
        <v>100</v>
      </c>
      <c r="G66" s="53" t="n">
        <f aca="false" ca="false" dt2D="false" dtr="false" t="normal">HEX2BIN(G65, 8)</f>
        <v>1</v>
      </c>
      <c r="H66" s="171" t="n">
        <f aca="false" ca="false" dt2D="false" dtr="false" t="normal">Q61&amp;Q62&amp;Q63&amp;Q64&amp;Q65&amp;Q66&amp;Q67&amp;Q68</f>
        <v>0</v>
      </c>
      <c r="I66" s="53" t="n">
        <f aca="false" ca="false" dt2D="false" dtr="false" t="normal">DEC2HEX(I67)</f>
        <v>32</v>
      </c>
      <c r="N66" s="63" t="n"/>
      <c r="P66" s="136" t="n">
        <f aca="false" ca="false" dt2D="false" dtr="false" t="normal">MID(H61, 6, 1)</f>
        <v>0</v>
      </c>
      <c r="Q66" s="137" t="n">
        <f aca="false" ca="false" dt2D="false" dtr="false" t="normal">P66</f>
        <v>0</v>
      </c>
      <c r="R66" s="120" t="s">
        <v>203</v>
      </c>
      <c r="S66" s="131" t="s">
        <v>196</v>
      </c>
      <c r="T66" s="483" t="s"/>
      <c r="U66" s="142" t="s"/>
      <c r="V66" s="142" t="s"/>
      <c r="W66" s="484" t="s"/>
      <c r="X66" s="121" t="n"/>
      <c r="Y66" s="121" t="n"/>
      <c r="Z66" s="121" t="n"/>
      <c r="AA66" s="121" t="n"/>
      <c r="AB66" s="121" t="n"/>
      <c r="AC66" s="121" t="n"/>
      <c r="AD66" s="121" t="n"/>
      <c r="AE66" s="121" t="n"/>
      <c r="AF66" s="121" t="n"/>
      <c r="AG66" s="121" t="n"/>
      <c r="AH66" s="121" t="n"/>
      <c r="AI66" s="121" t="n"/>
      <c r="AJ66" s="121" t="n"/>
      <c r="AK66" s="121" t="n"/>
    </row>
    <row hidden="false" ht="15" outlineLevel="0" r="67">
      <c r="C67" s="98" t="s">
        <v>191</v>
      </c>
      <c r="D67" s="53" t="n">
        <f aca="false" ca="false" dt2D="false" dtr="false" t="normal">HEX2DEC(D65)</f>
        <v>7</v>
      </c>
      <c r="E67" s="53" t="n">
        <f aca="false" ca="false" dt2D="false" dtr="false" t="normal">HEX2DEC(E65)</f>
        <v>38</v>
      </c>
      <c r="F67" s="53" t="n">
        <f aca="false" ca="false" dt2D="false" dtr="false" t="normal">HEX2DEC(F65)</f>
        <v>4</v>
      </c>
      <c r="G67" s="53" t="n">
        <f aca="false" ca="false" dt2D="false" dtr="false" t="normal">HEX2DEC(G65)</f>
        <v>1</v>
      </c>
      <c r="H67" s="53" t="n">
        <f aca="false" ca="false" dt2D="false" dtr="false" t="normal">HEX2DEC(H65)</f>
        <v>0</v>
      </c>
      <c r="I67" s="53" t="n">
        <f aca="false" ca="false" dt2D="false" dtr="false" t="normal">SUM(D67:H67)</f>
        <v>50</v>
      </c>
      <c r="J67" s="53" t="n"/>
      <c r="K67" s="53" t="n"/>
      <c r="L67" s="53" t="n"/>
      <c r="N67" s="63" t="n"/>
      <c r="P67" s="136" t="n">
        <f aca="false" ca="false" dt2D="false" dtr="false" t="normal">MID(H61, 7, 1)</f>
        <v>0</v>
      </c>
      <c r="Q67" s="137" t="n">
        <f aca="false" ca="false" dt2D="false" dtr="false" t="normal">P67</f>
        <v>0</v>
      </c>
      <c r="R67" s="120" t="s">
        <v>206</v>
      </c>
      <c r="S67" s="131" t="s">
        <v>196</v>
      </c>
      <c r="T67" s="485" t="s"/>
      <c r="U67" s="142" t="s"/>
      <c r="V67" s="142" t="s"/>
      <c r="W67" s="486" t="s"/>
      <c r="X67" s="121" t="n"/>
      <c r="Y67" s="121" t="n"/>
      <c r="Z67" s="121" t="n"/>
      <c r="AA67" s="121" t="n"/>
      <c r="AB67" s="121" t="n"/>
      <c r="AC67" s="121" t="n"/>
      <c r="AD67" s="121" t="n"/>
      <c r="AE67" s="121" t="n"/>
      <c r="AF67" s="121" t="n"/>
      <c r="AG67" s="121" t="n"/>
      <c r="AH67" s="121" t="n"/>
      <c r="AI67" s="121" t="n"/>
      <c r="AJ67" s="121" t="n"/>
      <c r="AK67" s="121" t="n"/>
    </row>
    <row hidden="false" ht="15.75" outlineLevel="0" r="68">
      <c r="C68" s="180" t="s">
        <v>194</v>
      </c>
      <c r="D68" s="181" t="n">
        <f aca="false" ca="false" dt2D="false" dtr="false" t="normal">D63</f>
        <v>7</v>
      </c>
      <c r="E68" s="181" t="n">
        <f aca="false" ca="false" dt2D="false" dtr="false" t="normal">E63</f>
        <v>26</v>
      </c>
      <c r="F68" s="181" t="str">
        <f aca="false" ca="false" dt2D="false" dtr="false" t="normal">F63</f>
        <v>G4</v>
      </c>
      <c r="G68" s="181" t="str">
        <f aca="false" ca="false" dt2D="false" dtr="false" t="normal">G63</f>
        <v>G1</v>
      </c>
      <c r="H68" s="45" t="n"/>
      <c r="I68" s="45" t="n"/>
      <c r="J68" s="45" t="n"/>
      <c r="K68" s="45" t="n"/>
      <c r="L68" s="45" t="n"/>
      <c r="M68" s="45" t="n"/>
      <c r="N68" s="49" t="n"/>
      <c r="P68" s="182" t="n">
        <f aca="false" ca="false" dt2D="false" dtr="false" t="normal">MID(H61, 8, 1)</f>
        <v>0</v>
      </c>
      <c r="Q68" s="183" t="n">
        <f aca="false" ca="false" dt2D="false" dtr="false" t="normal">P68</f>
        <v>0</v>
      </c>
      <c r="R68" s="184" t="s">
        <v>208</v>
      </c>
      <c r="S68" s="185" t="s">
        <v>196</v>
      </c>
      <c r="T68" s="487" t="s"/>
      <c r="U68" s="488" t="s"/>
      <c r="V68" s="489" t="s"/>
      <c r="W68" s="490" t="s"/>
      <c r="X68" s="121" t="n"/>
      <c r="Y68" s="121" t="n"/>
      <c r="Z68" s="121" t="n"/>
      <c r="AA68" s="121" t="n"/>
      <c r="AB68" s="121" t="n"/>
      <c r="AC68" s="121" t="n"/>
      <c r="AD68" s="121" t="n"/>
      <c r="AE68" s="121" t="n"/>
      <c r="AF68" s="121" t="n"/>
      <c r="AG68" s="121" t="n"/>
      <c r="AH68" s="121" t="n"/>
      <c r="AI68" s="121" t="n"/>
      <c r="AJ68" s="121" t="n"/>
      <c r="AK68" s="121" t="n"/>
    </row>
    <row hidden="false" ht="15.75" outlineLevel="0" r="69">
      <c r="C69" s="93" t="n"/>
      <c r="D69" s="94" t="n"/>
      <c r="E69" s="94" t="n"/>
      <c r="F69" s="94" t="n"/>
      <c r="G69" s="94" t="n"/>
      <c r="H69" s="94" t="n"/>
      <c r="I69" s="94" t="s">
        <v>161</v>
      </c>
      <c r="J69" s="94" t="n"/>
      <c r="K69" s="94" t="n"/>
      <c r="L69" s="94" t="n"/>
      <c r="N69" s="60" t="n"/>
      <c r="P69" s="95" t="str">
        <f aca="false" ca="false" dt2D="false" dtr="false" t="normal">RIGHT(D71, 1)&amp;E71&amp;"-"&amp;F71&amp;"-"&amp;G71</f>
        <v>726-05-01</v>
      </c>
      <c r="Q69" s="491" t="s"/>
      <c r="R69" s="97" t="s">
        <v>343</v>
      </c>
      <c r="S69" s="97" t="s"/>
      <c r="T69" s="97" t="s"/>
      <c r="U69" s="97" t="s"/>
      <c r="V69" s="97" t="s"/>
      <c r="W69" s="97" t="s"/>
      <c r="X69" s="97" t="s"/>
      <c r="Y69" s="97" t="s"/>
      <c r="Z69" s="97" t="s"/>
      <c r="AA69" s="97" t="s"/>
      <c r="AB69" s="97" t="s"/>
      <c r="AC69" s="97" t="s"/>
      <c r="AD69" s="97" t="s"/>
      <c r="AE69" s="97" t="s"/>
      <c r="AF69" s="97" t="s"/>
      <c r="AG69" s="97" t="s"/>
      <c r="AH69" s="97" t="s"/>
      <c r="AI69" s="97" t="s"/>
      <c r="AJ69" s="97" t="s"/>
      <c r="AK69" s="97" t="s"/>
    </row>
    <row hidden="false" ht="15.75" outlineLevel="0" r="70">
      <c r="C70" s="98" t="n"/>
      <c r="D70" s="99" t="s">
        <v>344</v>
      </c>
      <c r="E70" s="492" t="s"/>
      <c r="F70" s="493" t="s"/>
      <c r="G70" s="494" t="s"/>
      <c r="H70" s="53" t="s">
        <v>165</v>
      </c>
      <c r="I70" s="53" t="s">
        <v>166</v>
      </c>
      <c r="N70" s="63" t="n"/>
      <c r="P70" s="103" t="s">
        <v>345</v>
      </c>
      <c r="Q70" s="495" t="s"/>
      <c r="R70" s="496" t="s"/>
      <c r="S70" s="497" t="s"/>
      <c r="T70" s="116" t="s">
        <v>346</v>
      </c>
      <c r="U70" s="498" t="s"/>
      <c r="V70" s="499" t="s"/>
      <c r="W70" s="500" t="s"/>
      <c r="X70" s="120" t="n"/>
      <c r="Y70" s="121" t="n"/>
      <c r="Z70" s="121" t="n"/>
      <c r="AA70" s="121" t="n"/>
      <c r="AB70" s="121" t="n"/>
      <c r="AC70" s="121" t="n"/>
      <c r="AD70" s="121" t="n"/>
      <c r="AE70" s="121" t="n"/>
      <c r="AF70" s="121" t="n"/>
      <c r="AG70" s="121" t="n"/>
      <c r="AH70" s="121" t="n"/>
      <c r="AI70" s="121" t="n"/>
      <c r="AJ70" s="121" t="n"/>
      <c r="AK70" s="121" t="n"/>
    </row>
    <row hidden="false" ht="15.75" outlineLevel="0" r="71">
      <c r="C71" s="98" t="s">
        <v>176</v>
      </c>
      <c r="D71" s="122" t="s">
        <v>177</v>
      </c>
      <c r="E71" s="123" t="s">
        <v>178</v>
      </c>
      <c r="F71" s="123" t="s">
        <v>347</v>
      </c>
      <c r="G71" s="124" t="s">
        <v>179</v>
      </c>
      <c r="H71" s="411" t="n">
        <f aca="false" ca="false" dt2D="false" dtr="false" t="normal">MID($A$14, 8, 2)</f>
        <v>0</v>
      </c>
      <c r="I71" s="128" t="n">
        <f aca="false" ca="false" dt2D="false" dtr="false" t="normal">MID($A$14, 10, 2)</f>
        <v>33</v>
      </c>
      <c r="N71" s="63" t="s">
        <v>180</v>
      </c>
      <c r="P71" s="129" t="s">
        <v>180</v>
      </c>
      <c r="Q71" s="130" t="s">
        <v>181</v>
      </c>
      <c r="R71" s="121" t="s">
        <v>182</v>
      </c>
      <c r="S71" s="131" t="n"/>
      <c r="T71" s="412" t="s">
        <v>183</v>
      </c>
      <c r="U71" s="142" t="s"/>
      <c r="V71" s="142" t="s"/>
      <c r="W71" s="501" t="s"/>
      <c r="X71" s="121" t="n"/>
      <c r="Y71" s="121" t="n"/>
      <c r="Z71" s="121" t="n"/>
      <c r="AA71" s="121" t="n"/>
      <c r="AB71" s="121" t="n"/>
      <c r="AC71" s="121" t="n"/>
      <c r="AD71" s="121" t="n"/>
      <c r="AE71" s="121" t="n"/>
      <c r="AF71" s="121" t="n"/>
      <c r="AG71" s="121" t="n"/>
      <c r="AH71" s="121" t="n"/>
      <c r="AI71" s="121" t="n"/>
      <c r="AJ71" s="121" t="n"/>
      <c r="AK71" s="121" t="n"/>
    </row>
    <row hidden="false" ht="15" outlineLevel="0" r="72">
      <c r="C72" s="98" t="s">
        <v>185</v>
      </c>
      <c r="D72" s="53" t="n">
        <f aca="false" ca="false" dt2D="false" dtr="false" t="normal">HEX2BIN(D71, 8)</f>
        <v>111</v>
      </c>
      <c r="E72" s="53" t="n">
        <f aca="false" ca="false" dt2D="false" dtr="false" t="normal">HEX2BIN(E71, 8)</f>
        <v>100110</v>
      </c>
      <c r="F72" s="53" t="n">
        <f aca="false" ca="false" dt2D="false" dtr="false" t="normal">HEX2BIN(F71, 8)</f>
        <v>101</v>
      </c>
      <c r="G72" s="53" t="n">
        <f aca="false" ca="false" dt2D="false" dtr="false" t="normal">HEX2BIN(G71, 8)</f>
        <v>1</v>
      </c>
      <c r="H72" s="53" t="n">
        <f aca="false" ca="false" dt2D="false" dtr="false" t="normal">HEX2BIN(H71, 8)</f>
        <v>0</v>
      </c>
      <c r="N72" s="63" t="n"/>
      <c r="P72" s="136" t="n">
        <f aca="false" ca="false" dt2D="false" dtr="false" t="normal">MID(H72, 1, 1)</f>
        <v>0</v>
      </c>
      <c r="Q72" s="137" t="n">
        <f aca="false" ca="false" dt2D="false" dtr="false" t="normal">P72</f>
        <v>0</v>
      </c>
      <c r="R72" s="120" t="s">
        <v>186</v>
      </c>
      <c r="S72" s="131" t="s">
        <v>196</v>
      </c>
      <c r="T72" s="502" t="s"/>
      <c r="U72" s="142" t="s"/>
      <c r="V72" s="142" t="s"/>
      <c r="W72" s="503" t="s"/>
      <c r="X72" s="121" t="n"/>
      <c r="Y72" s="121" t="n"/>
      <c r="Z72" s="121" t="n"/>
      <c r="AA72" s="121" t="n"/>
      <c r="AB72" s="121" t="n"/>
      <c r="AC72" s="121" t="n"/>
      <c r="AD72" s="121" t="n"/>
      <c r="AE72" s="121" t="n"/>
      <c r="AF72" s="121" t="n"/>
      <c r="AG72" s="121" t="n"/>
      <c r="AH72" s="121" t="n"/>
      <c r="AI72" s="121" t="n"/>
      <c r="AJ72" s="121" t="n"/>
      <c r="AK72" s="121" t="n"/>
    </row>
    <row hidden="false" ht="15" outlineLevel="0" r="73">
      <c r="C73" s="98" t="s">
        <v>191</v>
      </c>
      <c r="D73" s="53" t="n">
        <f aca="false" ca="false" dt2D="false" dtr="false" t="normal">HEX2DEC(D71)</f>
        <v>7</v>
      </c>
      <c r="E73" s="53" t="n">
        <f aca="false" ca="false" dt2D="false" dtr="false" t="normal">HEX2DEC(E71)</f>
        <v>38</v>
      </c>
      <c r="F73" s="53" t="n">
        <f aca="false" ca="false" dt2D="false" dtr="false" t="normal">HEX2DEC(F71)</f>
        <v>5</v>
      </c>
      <c r="G73" s="53" t="n">
        <f aca="false" ca="false" dt2D="false" dtr="false" t="normal">HEX2DEC(G71)</f>
        <v>1</v>
      </c>
      <c r="H73" s="53" t="n">
        <f aca="false" ca="false" dt2D="false" dtr="false" t="normal">HEX2DEC(H71)</f>
        <v>0</v>
      </c>
      <c r="I73" s="53" t="n">
        <f aca="false" ca="false" dt2D="false" dtr="false" t="normal">SUM(D73:H73)</f>
        <v>51</v>
      </c>
      <c r="N73" s="63" t="n"/>
      <c r="P73" s="136" t="n">
        <f aca="false" ca="false" dt2D="false" dtr="false" t="normal">MID(H72, 2, 1)</f>
        <v>0</v>
      </c>
      <c r="Q73" s="137" t="n">
        <f aca="false" ca="false" dt2D="false" dtr="false" t="normal">P73</f>
        <v>0</v>
      </c>
      <c r="R73" s="120" t="s">
        <v>192</v>
      </c>
      <c r="S73" s="131" t="s">
        <v>196</v>
      </c>
      <c r="T73" s="504" t="s"/>
      <c r="U73" s="142" t="s"/>
      <c r="V73" s="142" t="s"/>
      <c r="W73" s="505" t="s"/>
      <c r="X73" s="121" t="n"/>
      <c r="Y73" s="121" t="n"/>
      <c r="Z73" s="121" t="n"/>
      <c r="AA73" s="121" t="n"/>
      <c r="AB73" s="121" t="n"/>
      <c r="AC73" s="121" t="n"/>
      <c r="AD73" s="121" t="n"/>
      <c r="AE73" s="121" t="n"/>
      <c r="AF73" s="121" t="n"/>
      <c r="AG73" s="121" t="n"/>
      <c r="AH73" s="121" t="n"/>
      <c r="AI73" s="121" t="n"/>
      <c r="AJ73" s="121" t="n"/>
      <c r="AK73" s="121" t="n"/>
    </row>
    <row hidden="false" ht="15" outlineLevel="0" r="74">
      <c r="C74" s="98" t="s">
        <v>194</v>
      </c>
      <c r="D74" s="149" t="n">
        <f aca="false" ca="false" dt2D="false" dtr="false" t="normal">D71</f>
        <v>7</v>
      </c>
      <c r="E74" s="149" t="n">
        <f aca="false" ca="false" dt2D="false" dtr="false" t="normal">E71</f>
        <v>26</v>
      </c>
      <c r="F74" s="53" t="str">
        <f aca="false" ca="false" dt2D="false" dtr="false" t="normal">MID($A$14, 4, 2)</f>
        <v>G5</v>
      </c>
      <c r="G74" s="53" t="str">
        <f aca="false" ca="false" dt2D="false" dtr="false" t="normal">MID($A$14, 6, 2)</f>
        <v>G1</v>
      </c>
      <c r="N74" s="63" t="n"/>
      <c r="P74" s="136" t="n">
        <f aca="false" ca="false" dt2D="false" dtr="false" t="normal">MID(H72, 3, 1)</f>
        <v>0</v>
      </c>
      <c r="Q74" s="137" t="n">
        <f aca="false" ca="false" dt2D="false" dtr="false" t="normal">P74</f>
        <v>0</v>
      </c>
      <c r="R74" s="120" t="s">
        <v>195</v>
      </c>
      <c r="S74" s="131" t="s">
        <v>196</v>
      </c>
      <c r="T74" s="506" t="s"/>
      <c r="U74" s="142" t="s"/>
      <c r="V74" s="142" t="s"/>
      <c r="W74" s="507" t="s"/>
      <c r="X74" s="121" t="n"/>
      <c r="Y74" s="121" t="n"/>
      <c r="Z74" s="121" t="n"/>
      <c r="AA74" s="121" t="n"/>
      <c r="AB74" s="121" t="n"/>
      <c r="AC74" s="121" t="n"/>
      <c r="AD74" s="121" t="n"/>
      <c r="AE74" s="121" t="n"/>
      <c r="AF74" s="121" t="n"/>
      <c r="AG74" s="121" t="n"/>
      <c r="AH74" s="121" t="n"/>
      <c r="AI74" s="121" t="n"/>
      <c r="AJ74" s="121" t="n"/>
      <c r="AK74" s="121" t="n"/>
    </row>
    <row hidden="false" ht="15.75" outlineLevel="0" r="75">
      <c r="C75" s="98" t="n"/>
      <c r="N75" s="63" t="n"/>
      <c r="P75" s="136" t="n">
        <f aca="false" ca="false" dt2D="false" dtr="false" t="normal">MID(H72, 4, 1)</f>
        <v>0</v>
      </c>
      <c r="Q75" s="137" t="n">
        <f aca="false" ca="false" dt2D="false" dtr="false" t="normal">P75</f>
        <v>0</v>
      </c>
      <c r="R75" s="120" t="s">
        <v>197</v>
      </c>
      <c r="S75" s="131" t="s">
        <v>196</v>
      </c>
      <c r="T75" s="508" t="s"/>
      <c r="U75" s="142" t="s"/>
      <c r="V75" s="142" t="s"/>
      <c r="W75" s="509" t="s"/>
      <c r="X75" s="121" t="n"/>
      <c r="Y75" s="121" t="n"/>
      <c r="Z75" s="121" t="n"/>
      <c r="AA75" s="121" t="n"/>
      <c r="AB75" s="121" t="n"/>
      <c r="AC75" s="121" t="n"/>
      <c r="AD75" s="121" t="n"/>
      <c r="AE75" s="121" t="n"/>
      <c r="AF75" s="121" t="n"/>
      <c r="AG75" s="121" t="n"/>
      <c r="AH75" s="121" t="n"/>
      <c r="AI75" s="121" t="n"/>
      <c r="AJ75" s="121" t="n"/>
      <c r="AK75" s="121" t="n"/>
    </row>
    <row hidden="false" ht="15.75" outlineLevel="0" r="76">
      <c r="C76" s="98" t="s">
        <v>176</v>
      </c>
      <c r="D76" s="159" t="n">
        <f aca="false" ca="false" dt2D="false" dtr="false" t="normal">D71</f>
        <v>7</v>
      </c>
      <c r="E76" s="160" t="n">
        <f aca="false" ca="false" dt2D="false" dtr="false" t="normal">E71</f>
        <v>26</v>
      </c>
      <c r="F76" s="160" t="n">
        <f aca="false" ca="false" dt2D="false" dtr="false" t="normal">F71</f>
        <v>5</v>
      </c>
      <c r="G76" s="161" t="n">
        <f aca="false" ca="false" dt2D="false" dtr="false" t="normal">G71</f>
        <v>1</v>
      </c>
      <c r="H76" s="162" t="n">
        <f aca="false" ca="false" dt2D="false" dtr="false" t="normal">BIN2HEX(H77, 2)</f>
        <v>0</v>
      </c>
      <c r="I76" s="422" t="n">
        <f aca="false" ca="false" dt2D="false" dtr="false" t="normal">IF(LEN(I77)&gt;2, MID(I77, 2, 2), I77)</f>
        <v>33</v>
      </c>
      <c r="N76" s="63" t="s">
        <v>181</v>
      </c>
      <c r="P76" s="136" t="n">
        <f aca="false" ca="false" dt2D="false" dtr="false" t="normal">MID(H72, 5, 1)</f>
        <v>0</v>
      </c>
      <c r="Q76" s="137" t="n">
        <f aca="false" ca="false" dt2D="false" dtr="false" t="normal">P76</f>
        <v>0</v>
      </c>
      <c r="R76" s="120" t="s">
        <v>200</v>
      </c>
      <c r="S76" s="131" t="s">
        <v>196</v>
      </c>
      <c r="T76" s="510" t="s"/>
      <c r="U76" s="142" t="s"/>
      <c r="V76" s="142" t="s"/>
      <c r="W76" s="511" t="s"/>
      <c r="X76" s="121" t="n"/>
      <c r="Y76" s="121" t="n"/>
      <c r="Z76" s="121" t="n"/>
      <c r="AA76" s="121" t="n"/>
      <c r="AB76" s="121" t="n"/>
      <c r="AC76" s="121" t="n"/>
      <c r="AD76" s="121" t="n"/>
      <c r="AE76" s="121" t="n"/>
      <c r="AF76" s="121" t="n"/>
      <c r="AG76" s="121" t="n"/>
      <c r="AH76" s="121" t="n"/>
      <c r="AI76" s="121" t="n"/>
      <c r="AJ76" s="121" t="n"/>
      <c r="AK76" s="121" t="n"/>
    </row>
    <row hidden="false" ht="15" outlineLevel="0" r="77">
      <c r="C77" s="98" t="s">
        <v>185</v>
      </c>
      <c r="D77" s="53" t="n">
        <f aca="false" ca="false" dt2D="false" dtr="false" t="normal">HEX2BIN(D76, 8)</f>
        <v>111</v>
      </c>
      <c r="E77" s="53" t="n">
        <f aca="false" ca="false" dt2D="false" dtr="false" t="normal">HEX2BIN(E76, 8)</f>
        <v>100110</v>
      </c>
      <c r="F77" s="53" t="n">
        <f aca="false" ca="false" dt2D="false" dtr="false" t="normal">HEX2BIN(F76, 8)</f>
        <v>101</v>
      </c>
      <c r="G77" s="53" t="n">
        <f aca="false" ca="false" dt2D="false" dtr="false" t="normal">HEX2BIN(G76, 8)</f>
        <v>1</v>
      </c>
      <c r="H77" s="171" t="n">
        <f aca="false" ca="false" dt2D="false" dtr="false" t="normal">Q72&amp;Q73&amp;Q74&amp;Q75&amp;Q76&amp;Q77&amp;Q78&amp;Q79</f>
        <v>0</v>
      </c>
      <c r="I77" s="53" t="n">
        <f aca="false" ca="false" dt2D="false" dtr="false" t="normal">DEC2HEX(I78)</f>
        <v>33</v>
      </c>
      <c r="N77" s="63" t="n"/>
      <c r="P77" s="136" t="n">
        <f aca="false" ca="false" dt2D="false" dtr="false" t="normal">MID(H72, 6, 1)</f>
        <v>0</v>
      </c>
      <c r="Q77" s="137" t="n">
        <f aca="false" ca="false" dt2D="false" dtr="false" t="normal">P77</f>
        <v>0</v>
      </c>
      <c r="R77" s="120" t="s">
        <v>203</v>
      </c>
      <c r="S77" s="131" t="s">
        <v>196</v>
      </c>
      <c r="T77" s="512" t="s"/>
      <c r="U77" s="142" t="s"/>
      <c r="V77" s="142" t="s"/>
      <c r="W77" s="513" t="s"/>
      <c r="X77" s="121" t="n"/>
      <c r="Y77" s="121" t="n"/>
      <c r="Z77" s="121" t="n"/>
      <c r="AA77" s="121" t="n"/>
      <c r="AB77" s="121" t="n"/>
      <c r="AC77" s="121" t="n"/>
      <c r="AD77" s="121" t="n"/>
      <c r="AE77" s="121" t="n"/>
      <c r="AF77" s="121" t="n"/>
      <c r="AG77" s="121" t="n"/>
      <c r="AH77" s="121" t="n"/>
      <c r="AI77" s="121" t="n"/>
      <c r="AJ77" s="121" t="n"/>
      <c r="AK77" s="121" t="n"/>
    </row>
    <row hidden="false" ht="15" outlineLevel="0" r="78">
      <c r="C78" s="98" t="s">
        <v>191</v>
      </c>
      <c r="D78" s="53" t="n">
        <f aca="false" ca="false" dt2D="false" dtr="false" t="normal">HEX2DEC(D76)</f>
        <v>7</v>
      </c>
      <c r="E78" s="53" t="n">
        <f aca="false" ca="false" dt2D="false" dtr="false" t="normal">HEX2DEC(E76)</f>
        <v>38</v>
      </c>
      <c r="F78" s="53" t="n">
        <f aca="false" ca="false" dt2D="false" dtr="false" t="normal">HEX2DEC(F76)</f>
        <v>5</v>
      </c>
      <c r="G78" s="53" t="n">
        <f aca="false" ca="false" dt2D="false" dtr="false" t="normal">HEX2DEC(G76)</f>
        <v>1</v>
      </c>
      <c r="H78" s="53" t="n">
        <f aca="false" ca="false" dt2D="false" dtr="false" t="normal">HEX2DEC(H76)</f>
        <v>0</v>
      </c>
      <c r="I78" s="53" t="n">
        <f aca="false" ca="false" dt2D="false" dtr="false" t="normal">SUM(D78:H78)</f>
        <v>51</v>
      </c>
      <c r="J78" s="53" t="n"/>
      <c r="K78" s="53" t="n"/>
      <c r="L78" s="53" t="n"/>
      <c r="N78" s="63" t="n"/>
      <c r="P78" s="136" t="n">
        <f aca="false" ca="false" dt2D="false" dtr="false" t="normal">MID(H72, 7, 1)</f>
        <v>0</v>
      </c>
      <c r="Q78" s="137" t="n">
        <f aca="false" ca="false" dt2D="false" dtr="false" t="normal">P78</f>
        <v>0</v>
      </c>
      <c r="R78" s="120" t="s">
        <v>206</v>
      </c>
      <c r="S78" s="131" t="s">
        <v>196</v>
      </c>
      <c r="T78" s="514" t="s"/>
      <c r="U78" s="142" t="s"/>
      <c r="V78" s="142" t="s"/>
      <c r="W78" s="515" t="s"/>
      <c r="X78" s="121" t="n"/>
      <c r="Y78" s="121" t="n"/>
      <c r="Z78" s="121" t="n"/>
      <c r="AA78" s="121" t="n"/>
      <c r="AB78" s="121" t="n"/>
      <c r="AC78" s="121" t="n"/>
      <c r="AD78" s="121" t="n"/>
      <c r="AE78" s="121" t="n"/>
      <c r="AF78" s="121" t="n"/>
      <c r="AG78" s="121" t="n"/>
      <c r="AH78" s="121" t="n"/>
      <c r="AI78" s="121" t="n"/>
      <c r="AJ78" s="121" t="n"/>
      <c r="AK78" s="121" t="n"/>
    </row>
    <row hidden="false" ht="15.75" outlineLevel="0" r="79">
      <c r="C79" s="180" t="s">
        <v>194</v>
      </c>
      <c r="D79" s="181" t="n">
        <f aca="false" ca="false" dt2D="false" dtr="false" t="normal">D74</f>
        <v>7</v>
      </c>
      <c r="E79" s="181" t="n">
        <f aca="false" ca="false" dt2D="false" dtr="false" t="normal">E74</f>
        <v>26</v>
      </c>
      <c r="F79" s="181" t="str">
        <f aca="false" ca="false" dt2D="false" dtr="false" t="normal">F74</f>
        <v>G5</v>
      </c>
      <c r="G79" s="181" t="str">
        <f aca="false" ca="false" dt2D="false" dtr="false" t="normal">G74</f>
        <v>G1</v>
      </c>
      <c r="H79" s="45" t="n"/>
      <c r="I79" s="45" t="n"/>
      <c r="J79" s="45" t="n"/>
      <c r="K79" s="45" t="n"/>
      <c r="L79" s="45" t="n"/>
      <c r="M79" s="45" t="n"/>
      <c r="N79" s="49" t="n"/>
      <c r="P79" s="182" t="n">
        <f aca="false" ca="false" dt2D="false" dtr="false" t="normal">MID(H72, 8, 1)</f>
        <v>0</v>
      </c>
      <c r="Q79" s="183" t="n">
        <f aca="false" ca="false" dt2D="false" dtr="false" t="normal">P79</f>
        <v>0</v>
      </c>
      <c r="R79" s="184" t="s">
        <v>208</v>
      </c>
      <c r="S79" s="185" t="s">
        <v>196</v>
      </c>
      <c r="T79" s="516" t="s"/>
      <c r="U79" s="517" t="s"/>
      <c r="V79" s="518" t="s"/>
      <c r="W79" s="519" t="s"/>
      <c r="X79" s="121" t="n"/>
      <c r="Y79" s="121" t="n"/>
      <c r="Z79" s="121" t="n"/>
      <c r="AA79" s="121" t="n"/>
      <c r="AB79" s="121" t="n"/>
      <c r="AC79" s="121" t="n"/>
      <c r="AD79" s="121" t="n"/>
      <c r="AE79" s="121" t="n"/>
      <c r="AF79" s="121" t="n"/>
      <c r="AG79" s="121" t="n"/>
      <c r="AH79" s="121" t="n"/>
      <c r="AI79" s="121" t="n"/>
      <c r="AJ79" s="121" t="n"/>
      <c r="AK79" s="121" t="n"/>
    </row>
    <row hidden="false" ht="15" outlineLevel="0" r="80"/>
    <row hidden="false" ht="15" outlineLevel="0" r="81"/>
    <row hidden="false" ht="15" outlineLevel="0" r="82"/>
  </sheetData>
  <mergeCells count="59">
    <mergeCell ref="AF4:AI4"/>
    <mergeCell ref="AB4:AE4"/>
    <mergeCell ref="X4:AA4"/>
    <mergeCell ref="T4:W4"/>
    <mergeCell ref="P3:Q3"/>
    <mergeCell ref="P4:S4"/>
    <mergeCell ref="AA6:AA7"/>
    <mergeCell ref="AA8:AA10"/>
    <mergeCell ref="S11:S12"/>
    <mergeCell ref="A1:B1"/>
    <mergeCell ref="C1:AK1"/>
    <mergeCell ref="C2:E2"/>
    <mergeCell ref="R3:AK3"/>
    <mergeCell ref="D4:G4"/>
    <mergeCell ref="R47:AK47"/>
    <mergeCell ref="P47:Q47"/>
    <mergeCell ref="P48:S48"/>
    <mergeCell ref="D48:G48"/>
    <mergeCell ref="T49:W57"/>
    <mergeCell ref="P58:Q58"/>
    <mergeCell ref="R58:AK58"/>
    <mergeCell ref="D59:G59"/>
    <mergeCell ref="T59:W59"/>
    <mergeCell ref="P59:S59"/>
    <mergeCell ref="T48:W48"/>
    <mergeCell ref="AJ16:AK24"/>
    <mergeCell ref="AJ15:AK15"/>
    <mergeCell ref="AJ5:AK13"/>
    <mergeCell ref="AJ4:AK4"/>
    <mergeCell ref="D15:G15"/>
    <mergeCell ref="P15:S15"/>
    <mergeCell ref="P14:Q14"/>
    <mergeCell ref="R14:AK14"/>
    <mergeCell ref="T15:W15"/>
    <mergeCell ref="AB15:AE15"/>
    <mergeCell ref="X15:AA15"/>
    <mergeCell ref="AF15:AI15"/>
    <mergeCell ref="P26:S26"/>
    <mergeCell ref="X26:AA26"/>
    <mergeCell ref="AB26:AE26"/>
    <mergeCell ref="AF26:AI26"/>
    <mergeCell ref="T26:W26"/>
    <mergeCell ref="AF27:AI35"/>
    <mergeCell ref="P36:Q36"/>
    <mergeCell ref="R36:AK36"/>
    <mergeCell ref="P25:Q25"/>
    <mergeCell ref="R25:AK25"/>
    <mergeCell ref="D37:G37"/>
    <mergeCell ref="P37:S37"/>
    <mergeCell ref="T37:W37"/>
    <mergeCell ref="D26:G26"/>
    <mergeCell ref="T38:W46"/>
    <mergeCell ref="D70:G70"/>
    <mergeCell ref="P70:S70"/>
    <mergeCell ref="P69:Q69"/>
    <mergeCell ref="T70:W70"/>
    <mergeCell ref="T71:W79"/>
    <mergeCell ref="R69:AK69"/>
    <mergeCell ref="T60:W68"/>
  </mergeCells>
  <conditionalFormatting pivot="false" sqref="U30:U34">
    <cfRule aboveAverage="true" bottom="false" dxfId="0" equalAverage="false" percent="false" priority="32" stopIfTrue="false" type="expression">
      <formula>U30:U36&lt;&gt;T30:T36</formula>
    </cfRule>
  </conditionalFormatting>
  <conditionalFormatting pivot="false" sqref="U28:U29">
    <cfRule aboveAverage="true" bottom="false" dxfId="0" equalAverage="false" percent="false" priority="31" stopIfTrue="false" type="expression">
      <formula>U28:U35&lt;&gt;T28:T35</formula>
    </cfRule>
  </conditionalFormatting>
  <conditionalFormatting pivot="false" sqref="B3:B14">
    <cfRule aboveAverage="true" bottom="false" dxfId="1" equalAverage="false" percent="false" priority="30" stopIfTrue="false" text="726G5" type="beginsWith">
      <formula>LEFT(B3,LEN("726G5"))="726G5"</formula>
    </cfRule>
  </conditionalFormatting>
  <conditionalFormatting pivot="false" sqref="B3:B14">
    <cfRule aboveAverage="true" bottom="false" dxfId="1" equalAverage="false" percent="false" priority="29" stopIfTrue="false" text="72605" type="beginsWith">
      <formula>LEFT(B3,LEN("72605"))="72605"</formula>
    </cfRule>
  </conditionalFormatting>
  <conditionalFormatting pivot="false" sqref="B3:B14">
    <cfRule aboveAverage="true" bottom="false" dxfId="1" equalAverage="false" percent="false" priority="28" stopIfTrue="false" text="726G4" type="beginsWith">
      <formula>LEFT(B3,LEN("726G4"))="726G4"</formula>
    </cfRule>
  </conditionalFormatting>
  <conditionalFormatting pivot="false" sqref="B3:B14">
    <cfRule aboveAverage="true" bottom="false" dxfId="1" equalAverage="false" percent="false" priority="27" stopIfTrue="false" text="72604" type="beginsWith">
      <formula>LEFT(B3,LEN("72604"))="72604"</formula>
    </cfRule>
  </conditionalFormatting>
  <conditionalFormatting pivot="false" sqref="B3:B14">
    <cfRule aboveAverage="true" bottom="false" dxfId="1" equalAverage="false" percent="false" priority="26" stopIfTrue="false" text="726G3" type="beginsWith">
      <formula>LEFT(B3,LEN("726G3"))="726G3"</formula>
    </cfRule>
  </conditionalFormatting>
  <conditionalFormatting pivot="false" sqref="B3:B14">
    <cfRule aboveAverage="true" bottom="false" dxfId="1" equalAverage="false" percent="false" priority="25" stopIfTrue="false" text="72603" type="beginsWith">
      <formula>LEFT(B3,LEN("72603"))="72603"</formula>
    </cfRule>
  </conditionalFormatting>
  <conditionalFormatting pivot="false" sqref="B3:B14">
    <cfRule aboveAverage="true" bottom="false" dxfId="1" equalAverage="false" percent="false" priority="24" stopIfTrue="false" text="726G2" type="beginsWith">
      <formula>LEFT(B3,LEN("726G2"))="726G2"</formula>
    </cfRule>
  </conditionalFormatting>
  <conditionalFormatting pivot="false" sqref="B3:B14">
    <cfRule aboveAverage="true" bottom="false" dxfId="1" equalAverage="false" percent="false" priority="23" stopIfTrue="false" text="72602" type="beginsWith">
      <formula>LEFT(B3,LEN("72602"))="72602"</formula>
    </cfRule>
  </conditionalFormatting>
  <conditionalFormatting pivot="false" sqref="B3:B14">
    <cfRule aboveAverage="true" bottom="false" dxfId="2" equalAverage="false" percent="false" priority="22" stopIfTrue="false" text="726G1" type="beginsWith">
      <formula>LEFT(B3,LEN("726G1"))="726G1"</formula>
    </cfRule>
  </conditionalFormatting>
  <conditionalFormatting pivot="false" sqref="B3:B14">
    <cfRule aboveAverage="true" bottom="false" dxfId="1" equalAverage="false" percent="false" priority="21" stopIfTrue="false" text="72601" type="beginsWith">
      <formula>LEFT(B3,LEN("72601"))="72601"</formula>
    </cfRule>
  </conditionalFormatting>
  <conditionalFormatting pivot="false" sqref="B3:B14">
    <cfRule aboveAverage="true" bottom="false" dxfId="3" equalAverage="false" percent="false" priority="20" stopIfTrue="false" text=";Block" type="containsText">
      <formula>NOT(ISERROR(SEARCH(";Block",B3)))</formula>
    </cfRule>
  </conditionalFormatting>
  <conditionalFormatting pivot="false" sqref="B3:B14">
    <cfRule aboveAverage="true" bottom="false" dxfId="4" equalAverage="false" percent="false" priority="19" stopIfTrue="false" type="expression">
      <formula>IF(A3&lt;&gt;B3, 1, 0)</formula>
    </cfRule>
  </conditionalFormatting>
  <conditionalFormatting pivot="false" sqref="Q6:Q13">
    <cfRule aboveAverage="true" bottom="false" dxfId="0" equalAverage="false" percent="false" priority="18" stopIfTrue="false" type="expression">
      <formula>Q6:Q13&lt;&gt;P6:P13</formula>
    </cfRule>
  </conditionalFormatting>
  <conditionalFormatting pivot="false" sqref="U6:U13">
    <cfRule aboveAverage="true" bottom="false" dxfId="0" equalAverage="false" percent="false" priority="17" stopIfTrue="false" type="expression">
      <formula>U6:U13&lt;&gt;T6:T13</formula>
    </cfRule>
  </conditionalFormatting>
  <conditionalFormatting pivot="false" sqref="Y6:Y13">
    <cfRule aboveAverage="true" bottom="false" dxfId="0" equalAverage="false" percent="false" priority="16" stopIfTrue="false" type="expression">
      <formula>Y6:Y13&lt;&gt;X6:X13</formula>
    </cfRule>
  </conditionalFormatting>
  <conditionalFormatting pivot="false" sqref="AC6:AC13">
    <cfRule aboveAverage="true" bottom="false" dxfId="0" equalAverage="false" percent="false" priority="15" stopIfTrue="false" type="expression">
      <formula>AC6:AC13&lt;&gt;AB6:AB13</formula>
    </cfRule>
  </conditionalFormatting>
  <conditionalFormatting pivot="false" sqref="AG6:AG13">
    <cfRule aboveAverage="true" bottom="false" dxfId="0" equalAverage="false" percent="false" priority="14" stopIfTrue="false" type="expression">
      <formula>AG6:AG13&lt;&gt;AF6:AF13</formula>
    </cfRule>
  </conditionalFormatting>
  <conditionalFormatting pivot="false" sqref="Q17:Q24">
    <cfRule aboveAverage="true" bottom="false" dxfId="0" equalAverage="false" percent="false" priority="13" stopIfTrue="false" type="expression">
      <formula>Q17:Q24&lt;&gt;P17:P24</formula>
    </cfRule>
  </conditionalFormatting>
  <conditionalFormatting pivot="false" sqref="U17:U24">
    <cfRule aboveAverage="true" bottom="false" dxfId="0" equalAverage="false" percent="false" priority="12" stopIfTrue="false" type="expression">
      <formula>U17:U24&lt;&gt;T17:T24</formula>
    </cfRule>
  </conditionalFormatting>
  <conditionalFormatting pivot="false" sqref="Y17:Y24">
    <cfRule aboveAverage="true" bottom="false" dxfId="0" equalAverage="false" percent="false" priority="11" stopIfTrue="false" type="expression">
      <formula>Y17:Y24&lt;&gt;X17:X24</formula>
    </cfRule>
  </conditionalFormatting>
  <conditionalFormatting pivot="false" sqref="AC17:AC24">
    <cfRule aboveAverage="true" bottom="false" dxfId="0" equalAverage="false" percent="false" priority="10" stopIfTrue="false" type="expression">
      <formula>AC17:AC24&lt;&gt;AB17:AB24</formula>
    </cfRule>
  </conditionalFormatting>
  <conditionalFormatting pivot="false" sqref="AG17:AG24">
    <cfRule aboveAverage="true" bottom="false" dxfId="0" equalAverage="false" percent="false" priority="9" stopIfTrue="false" type="expression">
      <formula>AG17:AG24&lt;&gt;AF17:AF24</formula>
    </cfRule>
  </conditionalFormatting>
  <conditionalFormatting pivot="false" sqref="Q28:Q35">
    <cfRule aboveAverage="true" bottom="false" dxfId="0" equalAverage="false" percent="false" priority="8" stopIfTrue="false" type="expression">
      <formula>Q28:Q35&lt;&gt;P28:P35</formula>
    </cfRule>
  </conditionalFormatting>
  <conditionalFormatting pivot="false" sqref="U35">
    <cfRule aboveAverage="true" bottom="false" dxfId="0" equalAverage="false" percent="false" priority="7" stopIfTrue="false" type="expression">
      <formula>U35:U42&lt;&gt;T35:T42</formula>
    </cfRule>
  </conditionalFormatting>
  <conditionalFormatting pivot="false" sqref="Y28:Y35">
    <cfRule aboveAverage="true" bottom="false" dxfId="0" equalAverage="false" percent="false" priority="6" stopIfTrue="false" type="expression">
      <formula>Y28:Y35&lt;&gt;X28:X35</formula>
    </cfRule>
  </conditionalFormatting>
  <conditionalFormatting pivot="false" sqref="AC28:AC35">
    <cfRule aboveAverage="true" bottom="false" dxfId="0" equalAverage="false" percent="false" priority="5" stopIfTrue="false" type="expression">
      <formula>AC28:AC35&lt;&gt;AB28:AB35</formula>
    </cfRule>
  </conditionalFormatting>
  <conditionalFormatting pivot="false" sqref="Q39:Q46">
    <cfRule aboveAverage="true" bottom="false" dxfId="0" equalAverage="false" percent="false" priority="4" stopIfTrue="false" type="expression">
      <formula>Q39:Q46&lt;&gt;P39:P46</formula>
    </cfRule>
  </conditionalFormatting>
  <conditionalFormatting pivot="false" sqref="Q50:Q57">
    <cfRule aboveAverage="true" bottom="false" dxfId="0" equalAverage="false" percent="false" priority="3" stopIfTrue="false" type="expression">
      <formula>Q50:Q57&lt;&gt;P50:P57</formula>
    </cfRule>
  </conditionalFormatting>
  <conditionalFormatting pivot="false" sqref="Q61:Q68">
    <cfRule aboveAverage="true" bottom="false" dxfId="0" equalAverage="false" percent="false" priority="2" stopIfTrue="false" type="expression">
      <formula>Q61:Q68&lt;&gt;P61:P68</formula>
    </cfRule>
  </conditionalFormatting>
  <conditionalFormatting pivot="false" sqref="Q72:Q79">
    <cfRule aboveAverage="true" bottom="false" dxfId="0" equalAverage="false" percent="false" priority="1" stopIfTrue="false" type="expression">
      <formula>Q72:Q79&lt;&gt;P72:P79</formula>
    </cfRule>
  </conditionalFormatting>
  <dataValidations>
    <dataValidation allowBlank="true" error="This is a Binary value, which can be either 0 or 1." errorStyle="stop" errorTitle="Wrong Value" imeMode="noControl" operator="between" showDropDown="false" showErrorMessage="true" showInputMessage="true" sqref="AG6:AG13 AG17:AG24 AC6:AC13 AC17:AC24 AC28:AC35 Y6:Y13 Y17:Y24 Y28:Y35 U17:U24 U28:U35 U6:U13 Q61:Q68 Q50:Q57 Q39:Q46 Q6:Q13 Q17:Q24 Q28:Q35 Q72:Q79"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97mm" paperSize="9" paperWidth="210mm" scale="100"/>
  <legacyDrawing r:id="rId2"/>
</worksheet>
</file>

<file path=xl/worksheets/sheet5.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N60"/>
  <sheetViews>
    <sheetView showZeros="true" workbookViewId="0"/>
  </sheetViews>
  <sheetFormatPr baseColWidth="8" customHeight="false" defaultColWidth="9.1406253092569258" defaultRowHeight="15" zeroHeight="true"/>
  <cols>
    <col bestFit="true" customWidth="true" max="2" min="1" outlineLevel="0" width="20.85546864361033"/>
    <col bestFit="true" customWidth="true" max="3" min="3" outlineLevel="0" width="4.5703126546284629"/>
    <col bestFit="true" customWidth="true" max="5" min="4" outlineLevel="0" width="9.0000001691661815"/>
    <col customWidth="true" max="13" min="6" outlineLevel="0" width="9.1406253092569258"/>
    <col bestFit="true" customWidth="true" max="14" min="14" outlineLevel="0" width="5.7109372872206619"/>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bestFit="true"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customWidth="true" max="40" min="36" outlineLevel="0" width="9.1406253092569258"/>
    <col bestFit="true" customWidth="true" hidden="true" max="16384" min="41" outlineLevel="0" width="9.1406253092569258"/>
  </cols>
  <sheetData>
    <row hidden="false" ht="15" outlineLevel="0" r="1">
      <c r="A1" s="85" t="s">
        <v>155</v>
      </c>
      <c r="B1" s="520"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62" t="s"/>
      <c r="AK1" s="62" t="s"/>
    </row>
    <row hidden="false" ht="15.75" outlineLevel="0" r="2">
      <c r="A2" s="88" t="s">
        <v>157</v>
      </c>
      <c r="B2" s="89" t="s">
        <v>158</v>
      </c>
      <c r="C2" s="230" t="s">
        <v>159</v>
      </c>
      <c r="D2" s="521" t="s"/>
      <c r="E2" s="522" t="s"/>
    </row>
    <row hidden="false" ht="15.75" outlineLevel="0" r="3">
      <c r="A3" s="91" t="s">
        <v>160</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706-01-01</v>
      </c>
      <c r="Q3" s="523" t="s"/>
      <c r="R3" s="234" t="s">
        <v>348</v>
      </c>
      <c r="S3" s="524" t="s"/>
      <c r="T3" s="525" t="s"/>
      <c r="U3" s="526" t="s"/>
      <c r="V3" s="527" t="s"/>
      <c r="W3" s="528" t="s"/>
      <c r="X3" s="529" t="s"/>
      <c r="Y3" s="530" t="s"/>
      <c r="Z3" s="531" t="s"/>
      <c r="AA3" s="532" t="s"/>
      <c r="AB3" s="533" t="s"/>
      <c r="AC3" s="534" t="s"/>
      <c r="AD3" s="535" t="s"/>
      <c r="AE3" s="536" t="s"/>
      <c r="AF3" s="537" t="s"/>
      <c r="AG3" s="538" t="s"/>
      <c r="AH3" s="539" t="s"/>
      <c r="AI3" s="540" t="s"/>
      <c r="AJ3" s="541" t="s"/>
      <c r="AK3" s="542" t="s"/>
    </row>
    <row hidden="false" ht="15.75" outlineLevel="0" r="4">
      <c r="A4" s="91" t="s">
        <v>349</v>
      </c>
      <c r="B4" s="92" t="str">
        <f aca="false" ca="false" dt2D="false" dtr="false" t="normal">RIGHT(D13, 1)&amp;E13&amp;F13&amp;G13&amp;H10&amp;I10&amp;J10&amp;K10&amp;L10&amp;M10</f>
        <v>706G1G10000000000F</v>
      </c>
      <c r="C4" s="98" t="n"/>
      <c r="D4" s="99" t="s">
        <v>350</v>
      </c>
      <c r="E4" s="543" t="s"/>
      <c r="F4" s="544" t="s"/>
      <c r="G4" s="545" t="s"/>
      <c r="H4" s="53" t="s">
        <v>165</v>
      </c>
      <c r="I4" s="53" t="s">
        <v>166</v>
      </c>
      <c r="J4" s="53" t="s">
        <v>167</v>
      </c>
      <c r="K4" s="53" t="s">
        <v>168</v>
      </c>
      <c r="L4" s="53" t="s">
        <v>169</v>
      </c>
      <c r="M4" s="53" t="s">
        <v>221</v>
      </c>
      <c r="N4" s="63" t="n"/>
      <c r="P4" s="103" t="s">
        <v>351</v>
      </c>
      <c r="Q4" s="546" t="s"/>
      <c r="R4" s="547" t="s"/>
      <c r="S4" s="548" t="s"/>
      <c r="T4" s="103" t="s">
        <v>352</v>
      </c>
      <c r="U4" s="549" t="s"/>
      <c r="V4" s="550" t="s"/>
      <c r="W4" s="551" t="s"/>
      <c r="X4" s="103" t="s">
        <v>353</v>
      </c>
      <c r="Y4" s="552" t="s"/>
      <c r="Z4" s="553" t="s"/>
      <c r="AA4" s="554" t="s"/>
      <c r="AB4" s="103" t="s">
        <v>354</v>
      </c>
      <c r="AC4" s="555" t="s"/>
      <c r="AD4" s="556" t="s"/>
      <c r="AE4" s="557" t="s"/>
      <c r="AF4" s="103" t="s">
        <v>355</v>
      </c>
      <c r="AG4" s="558" t="s"/>
      <c r="AH4" s="559" t="s"/>
      <c r="AI4" s="560" t="s"/>
      <c r="AJ4" s="103" t="s">
        <v>356</v>
      </c>
      <c r="AK4" s="561" t="s"/>
    </row>
    <row hidden="false" ht="15.75" outlineLevel="0" r="5">
      <c r="A5" s="91" t="s">
        <v>357</v>
      </c>
      <c r="B5" s="92" t="str">
        <f aca="false" ca="false" dt2D="false" dtr="false" t="normal">RIGHT(D24, 1)&amp;E24&amp;F24&amp;G24&amp;H21&amp;I21&amp;J21&amp;K21&amp;L21&amp;M21</f>
        <v>706G1G2000000000010</v>
      </c>
      <c r="C5" s="98" t="s">
        <v>176</v>
      </c>
      <c r="D5" s="122" t="s">
        <v>177</v>
      </c>
      <c r="E5" s="123" t="s">
        <v>358</v>
      </c>
      <c r="F5" s="123" t="s">
        <v>179</v>
      </c>
      <c r="G5" s="124" t="s">
        <v>179</v>
      </c>
      <c r="H5" s="273" t="n">
        <f aca="false" ca="false" dt2D="false" dtr="false" t="normal">MID($A$4, 8, 2)</f>
        <v>0</v>
      </c>
      <c r="I5" s="126" t="n">
        <f aca="false" ca="false" dt2D="false" dtr="false" t="normal">MID($A$4, 10, 2)</f>
        <v>0</v>
      </c>
      <c r="J5" s="126" t="n">
        <f aca="false" ca="false" dt2D="false" dtr="false" t="normal">MID($A$4, 12, 2)</f>
        <v>0</v>
      </c>
      <c r="K5" s="126" t="n">
        <f aca="false" ca="false" dt2D="false" dtr="false" t="normal">MID($A$4, 14, 2)</f>
        <v>0</v>
      </c>
      <c r="L5" s="274" t="n">
        <f aca="false" ca="false" dt2D="false" dtr="false" t="normal">MID($A$4, 16, 2)</f>
        <v>0</v>
      </c>
      <c r="M5" s="128" t="str">
        <f aca="false" ca="false" dt2D="false" dtr="false" t="normal">MID($A$4, 18, 2)</f>
        <v>F</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562" t="s"/>
    </row>
    <row customHeight="true" hidden="false" ht="15" outlineLevel="0" r="6">
      <c r="A6" s="91" t="s">
        <v>359</v>
      </c>
      <c r="B6" s="92" t="str">
        <f aca="false" ca="false" dt2D="false" dtr="false" t="normal">RIGHT(D35, 1)&amp;E35&amp;F35&amp;G35&amp;H32&amp;I32&amp;J32&amp;K32&amp;L32&amp;M32</f>
        <v>706G1G3000000000011</v>
      </c>
      <c r="C6" s="98" t="s">
        <v>185</v>
      </c>
      <c r="D6" s="53" t="n">
        <f aca="false" ca="false" dt2D="false" dtr="false" t="normal">HEX2BIN(D5, 8)</f>
        <v>111</v>
      </c>
      <c r="E6" s="53" t="n">
        <f aca="false" ca="false" dt2D="false" dtr="false" t="normal">HEX2BIN(E5, 8)</f>
        <v>110</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140" t="s">
        <v>360</v>
      </c>
      <c r="T6" s="209" t="n">
        <f aca="false" ca="false" dt2D="false" dtr="false" t="normal">MID(I6, 1, 1)</f>
        <v>0</v>
      </c>
      <c r="U6" s="137" t="n">
        <f aca="false" ca="false" dt2D="false" dtr="false" t="normal">T6</f>
        <v>0</v>
      </c>
      <c r="V6" s="120" t="s">
        <v>186</v>
      </c>
      <c r="W6" s="139" t="s">
        <v>361</v>
      </c>
      <c r="X6" s="209" t="n">
        <f aca="false" ca="false" dt2D="false" dtr="false" t="normal">MID(J6, 1, 1)</f>
        <v>0</v>
      </c>
      <c r="Y6" s="137" t="n">
        <f aca="false" ca="false" dt2D="false" dtr="false" t="normal">X6</f>
        <v>0</v>
      </c>
      <c r="Z6" s="120" t="s">
        <v>186</v>
      </c>
      <c r="AA6" s="276" t="s">
        <v>362</v>
      </c>
      <c r="AB6" s="209" t="n">
        <f aca="false" ca="false" dt2D="false" dtr="false" t="normal">MID(K6, 1, 1)</f>
        <v>0</v>
      </c>
      <c r="AC6" s="137" t="n">
        <f aca="false" ca="false" dt2D="false" dtr="false" t="normal">AB6</f>
        <v>0</v>
      </c>
      <c r="AD6" s="120" t="s">
        <v>186</v>
      </c>
      <c r="AE6" s="276" t="s">
        <v>363</v>
      </c>
      <c r="AF6" s="136" t="n">
        <f aca="false" ca="false" dt2D="false" dtr="false" t="normal">MID(L6, 1, 1)</f>
        <v>0</v>
      </c>
      <c r="AG6" s="137" t="n">
        <f aca="false" ca="false" dt2D="false" dtr="false" t="normal">AF6</f>
        <v>0</v>
      </c>
      <c r="AH6" s="120" t="s">
        <v>186</v>
      </c>
      <c r="AI6" s="139" t="s">
        <v>364</v>
      </c>
      <c r="AJ6" s="563" t="s"/>
      <c r="AK6" s="564" t="s"/>
    </row>
    <row customHeight="true" hidden="false" ht="15" outlineLevel="0" r="7">
      <c r="A7" s="91" t="s">
        <v>365</v>
      </c>
      <c r="B7" s="92" t="str">
        <f aca="false" ca="false" dt2D="false" dtr="false" t="normal">RIGHT(D46, 1)&amp;E46&amp;F46&amp;G46&amp;H43&amp;I43&amp;J43</f>
        <v>706G1G4000012</v>
      </c>
      <c r="C7" s="98" t="s">
        <v>191</v>
      </c>
      <c r="D7" s="53" t="n">
        <f aca="false" ca="false" dt2D="false" dtr="false" t="normal">HEX2DEC(D5)</f>
        <v>7</v>
      </c>
      <c r="E7" s="53" t="n">
        <f aca="false" ca="false" dt2D="false" dtr="false" t="normal">HEX2DEC(E5)</f>
        <v>6</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15</v>
      </c>
      <c r="N7" s="63" t="n"/>
      <c r="P7" s="136" t="n">
        <f aca="false" ca="false" dt2D="false" dtr="false" t="normal">MID(H6, 2, 1)</f>
        <v>0</v>
      </c>
      <c r="Q7" s="137" t="n">
        <f aca="false" ca="false" dt2D="false" dtr="false" t="normal">P7</f>
        <v>0</v>
      </c>
      <c r="R7" s="120" t="s">
        <v>192</v>
      </c>
      <c r="S7" s="565" t="s"/>
      <c r="T7" s="209" t="n">
        <f aca="false" ca="false" dt2D="false" dtr="false" t="normal">MID(I6, 2, 1)</f>
        <v>0</v>
      </c>
      <c r="U7" s="137" t="n">
        <f aca="false" ca="false" dt2D="false" dtr="false" t="normal">T7</f>
        <v>0</v>
      </c>
      <c r="V7" s="120" t="s">
        <v>192</v>
      </c>
      <c r="W7" s="566" t="s">
        <v>366</v>
      </c>
      <c r="X7" s="209" t="n">
        <f aca="false" ca="false" dt2D="false" dtr="false" t="normal">MID(J6, 2, 1)</f>
        <v>0</v>
      </c>
      <c r="Y7" s="137" t="n">
        <f aca="false" ca="false" dt2D="false" dtr="false" t="normal">X7</f>
        <v>0</v>
      </c>
      <c r="Z7" s="120" t="s">
        <v>192</v>
      </c>
      <c r="AA7" s="567" t="s"/>
      <c r="AB7" s="209" t="n">
        <f aca="false" ca="false" dt2D="false" dtr="false" t="normal">MID(K6, 2, 1)</f>
        <v>0</v>
      </c>
      <c r="AC7" s="137" t="n">
        <f aca="false" ca="false" dt2D="false" dtr="false" t="normal">AB7</f>
        <v>0</v>
      </c>
      <c r="AD7" s="120" t="s">
        <v>192</v>
      </c>
      <c r="AE7" s="568" t="s"/>
      <c r="AF7" s="136" t="n">
        <f aca="false" ca="false" dt2D="false" dtr="false" t="normal">MID(L6, 2, 1)</f>
        <v>0</v>
      </c>
      <c r="AG7" s="137" t="n">
        <f aca="false" ca="false" dt2D="false" dtr="false" t="normal">AF7</f>
        <v>0</v>
      </c>
      <c r="AH7" s="120" t="s">
        <v>192</v>
      </c>
      <c r="AI7" s="139" t="s">
        <v>367</v>
      </c>
      <c r="AJ7" s="569" t="s"/>
      <c r="AK7" s="570" t="s"/>
    </row>
    <row hidden="false" ht="15" outlineLevel="0" r="8">
      <c r="A8" s="91" t="s">
        <v>175</v>
      </c>
      <c r="B8" s="92" t="s">
        <v>175</v>
      </c>
      <c r="C8" s="98" t="s">
        <v>194</v>
      </c>
      <c r="D8" s="149" t="n">
        <f aca="false" ca="false" dt2D="false" dtr="false" t="normal">D5</f>
        <v>7</v>
      </c>
      <c r="E8" s="149" t="n">
        <f aca="false" ca="false" dt2D="false" dtr="false" t="normal">E5</f>
        <v>6</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571" t="s"/>
      <c r="T8" s="209" t="n">
        <f aca="false" ca="false" dt2D="false" dtr="false" t="normal">MID(I6, 3, 1)</f>
        <v>0</v>
      </c>
      <c r="U8" s="137" t="n">
        <f aca="false" ca="false" dt2D="false" dtr="false" t="normal">T8</f>
        <v>0</v>
      </c>
      <c r="V8" s="120" t="s">
        <v>195</v>
      </c>
      <c r="W8" s="140" t="s">
        <v>368</v>
      </c>
      <c r="X8" s="209" t="n">
        <f aca="false" ca="false" dt2D="false" dtr="false" t="normal">MID(J6, 3, 1)</f>
        <v>0</v>
      </c>
      <c r="Y8" s="137" t="n">
        <f aca="false" ca="false" dt2D="false" dtr="false" t="normal">X8</f>
        <v>0</v>
      </c>
      <c r="Z8" s="120" t="s">
        <v>195</v>
      </c>
      <c r="AA8" s="276" t="s">
        <v>369</v>
      </c>
      <c r="AB8" s="209" t="n">
        <f aca="false" ca="false" dt2D="false" dtr="false" t="normal">MID(K6, 3, 1)</f>
        <v>0</v>
      </c>
      <c r="AC8" s="137" t="n">
        <f aca="false" ca="false" dt2D="false" dtr="false" t="normal">AB8</f>
        <v>0</v>
      </c>
      <c r="AD8" s="120" t="s">
        <v>195</v>
      </c>
      <c r="AE8" s="572" t="s"/>
      <c r="AF8" s="136" t="n">
        <f aca="false" ca="false" dt2D="false" dtr="false" t="normal">MID(L6, 3, 1)</f>
        <v>0</v>
      </c>
      <c r="AG8" s="137" t="n">
        <f aca="false" ca="false" dt2D="false" dtr="false" t="normal">AF8</f>
        <v>0</v>
      </c>
      <c r="AH8" s="120" t="s">
        <v>195</v>
      </c>
      <c r="AI8" s="139" t="s">
        <v>370</v>
      </c>
      <c r="AJ8" s="573" t="s"/>
      <c r="AK8" s="574" t="s"/>
    </row>
    <row hidden="false" ht="15.75" outlineLevel="0" r="9">
      <c r="A9" s="91" t="s">
        <v>371</v>
      </c>
      <c r="B9" s="92" t="str">
        <f aca="false" ca="false" dt2D="false" dtr="false" t="normal">RIGHT(D57, 1)&amp;E57&amp;F57&amp;G57&amp;H54&amp;I54&amp;J54&amp;K54&amp;L54&amp;M54</f>
        <v>706G2G1000000000010</v>
      </c>
      <c r="C9" s="98" t="n"/>
      <c r="N9" s="63" t="n"/>
      <c r="P9" s="136" t="n">
        <f aca="false" ca="false" dt2D="false" dtr="false" t="normal">MID(H6, 4, 1)</f>
        <v>0</v>
      </c>
      <c r="Q9" s="137" t="n">
        <f aca="false" ca="false" dt2D="false" dtr="false" t="normal">P9</f>
        <v>0</v>
      </c>
      <c r="R9" s="120" t="s">
        <v>197</v>
      </c>
      <c r="S9" s="575" t="s"/>
      <c r="T9" s="209" t="n">
        <f aca="false" ca="false" dt2D="false" dtr="false" t="normal">MID(I6, 4, 1)</f>
        <v>0</v>
      </c>
      <c r="U9" s="137" t="n">
        <f aca="false" ca="false" dt2D="false" dtr="false" t="normal">T9</f>
        <v>0</v>
      </c>
      <c r="V9" s="120" t="s">
        <v>197</v>
      </c>
      <c r="W9" s="576" t="s"/>
      <c r="X9" s="209" t="n">
        <f aca="false" ca="false" dt2D="false" dtr="false" t="normal">MID(J6, 4, 1)</f>
        <v>0</v>
      </c>
      <c r="Y9" s="137" t="n">
        <f aca="false" ca="false" dt2D="false" dtr="false" t="normal">X9</f>
        <v>0</v>
      </c>
      <c r="Z9" s="120" t="s">
        <v>197</v>
      </c>
      <c r="AA9" s="577" t="s"/>
      <c r="AB9" s="209" t="n">
        <f aca="false" ca="false" dt2D="false" dtr="false" t="normal">MID(K6, 4, 1)</f>
        <v>0</v>
      </c>
      <c r="AC9" s="137" t="n">
        <f aca="false" ca="false" dt2D="false" dtr="false" t="normal">AB9</f>
        <v>0</v>
      </c>
      <c r="AD9" s="120" t="s">
        <v>197</v>
      </c>
      <c r="AE9" s="578" t="s"/>
      <c r="AF9" s="136" t="n">
        <f aca="false" ca="false" dt2D="false" dtr="false" t="normal">MID(L6, 4, 1)</f>
        <v>0</v>
      </c>
      <c r="AG9" s="137" t="n">
        <f aca="false" ca="false" dt2D="false" dtr="false" t="normal">AF9</f>
        <v>0</v>
      </c>
      <c r="AH9" s="120" t="s">
        <v>197</v>
      </c>
      <c r="AI9" s="139" t="s">
        <v>372</v>
      </c>
      <c r="AJ9" s="579" t="s"/>
      <c r="AK9" s="580" t="s"/>
    </row>
    <row hidden="false" ht="15.75" outlineLevel="0" r="10">
      <c r="A10" s="581" t="s">
        <v>373</v>
      </c>
      <c r="B10" s="92" t="str">
        <f aca="false" ca="false" dt2D="false" dtr="false" t="normal">A10</f>
        <v>706G2G2000000000011</v>
      </c>
      <c r="C10" s="98" t="s">
        <v>176</v>
      </c>
      <c r="D10" s="159" t="n">
        <f aca="false" ca="false" dt2D="false" dtr="false" t="normal">D5</f>
        <v>7</v>
      </c>
      <c r="E10" s="160" t="n">
        <f aca="false" ca="false" dt2D="false" dtr="false" t="normal">E5</f>
        <v>6</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F</v>
      </c>
      <c r="N10" s="63" t="s">
        <v>181</v>
      </c>
      <c r="P10" s="136" t="n">
        <f aca="false" ca="false" dt2D="false" dtr="false" t="normal">MID(H6, 5, 1)</f>
        <v>0</v>
      </c>
      <c r="Q10" s="137" t="n">
        <f aca="false" ca="false" dt2D="false" dtr="false" t="normal">P10</f>
        <v>0</v>
      </c>
      <c r="R10" s="120" t="s">
        <v>200</v>
      </c>
      <c r="S10" s="173" t="s">
        <v>374</v>
      </c>
      <c r="T10" s="209" t="n">
        <f aca="false" ca="false" dt2D="false" dtr="false" t="normal">MID(I6, 5, 1)</f>
        <v>0</v>
      </c>
      <c r="U10" s="137" t="n">
        <f aca="false" ca="false" dt2D="false" dtr="false" t="normal">T10</f>
        <v>0</v>
      </c>
      <c r="V10" s="120" t="s">
        <v>200</v>
      </c>
      <c r="W10" s="139" t="s">
        <v>375</v>
      </c>
      <c r="X10" s="209" t="n">
        <f aca="false" ca="false" dt2D="false" dtr="false" t="normal">MID(J6, 5, 1)</f>
        <v>0</v>
      </c>
      <c r="Y10" s="137" t="n">
        <f aca="false" ca="false" dt2D="false" dtr="false" t="normal">X10</f>
        <v>0</v>
      </c>
      <c r="Z10" s="120" t="s">
        <v>200</v>
      </c>
      <c r="AA10" s="139" t="s">
        <v>376</v>
      </c>
      <c r="AB10" s="209" t="n">
        <f aca="false" ca="false" dt2D="false" dtr="false" t="normal">MID(K6, 5, 1)</f>
        <v>0</v>
      </c>
      <c r="AC10" s="137" t="n">
        <f aca="false" ca="false" dt2D="false" dtr="false" t="normal">AB10</f>
        <v>0</v>
      </c>
      <c r="AD10" s="120" t="s">
        <v>200</v>
      </c>
      <c r="AE10" s="139" t="s">
        <v>377</v>
      </c>
      <c r="AF10" s="136" t="n">
        <f aca="false" ca="false" dt2D="false" dtr="false" t="normal">MID(L6, 5, 1)</f>
        <v>0</v>
      </c>
      <c r="AG10" s="137" t="n">
        <f aca="false" ca="false" dt2D="false" dtr="false" t="normal">AF10</f>
        <v>0</v>
      </c>
      <c r="AH10" s="120" t="s">
        <v>200</v>
      </c>
      <c r="AI10" s="139" t="s">
        <v>378</v>
      </c>
      <c r="AJ10" s="582" t="s"/>
      <c r="AK10" s="583" t="s"/>
    </row>
    <row hidden="false" ht="15" outlineLevel="0" r="11">
      <c r="A11" s="584" t="s">
        <v>379</v>
      </c>
      <c r="B11" s="92" t="str">
        <f aca="false" ca="false" dt2D="false" dtr="false" t="normal">A11</f>
        <v>706G2G3000012</v>
      </c>
      <c r="C11" s="98" t="s">
        <v>185</v>
      </c>
      <c r="D11" s="53" t="n">
        <f aca="false" ca="false" dt2D="false" dtr="false" t="normal">HEX2BIN(D10, 8)</f>
        <v>111</v>
      </c>
      <c r="E11" s="53" t="n">
        <f aca="false" ca="false" dt2D="false" dtr="false" t="normal">HEX2BIN(E10, 8)</f>
        <v>110</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F</v>
      </c>
      <c r="N11" s="63" t="n"/>
      <c r="P11" s="136" t="n">
        <f aca="false" ca="false" dt2D="false" dtr="false" t="normal">MID(H6, 6, 1)</f>
        <v>0</v>
      </c>
      <c r="Q11" s="137" t="n">
        <f aca="false" ca="false" dt2D="false" dtr="false" t="normal">P11</f>
        <v>0</v>
      </c>
      <c r="R11" s="120" t="s">
        <v>203</v>
      </c>
      <c r="S11" s="585" t="s"/>
      <c r="T11" s="209" t="n">
        <f aca="false" ca="false" dt2D="false" dtr="false" t="normal">MID(I6, 6, 1)</f>
        <v>0</v>
      </c>
      <c r="U11" s="137" t="n">
        <f aca="false" ca="false" dt2D="false" dtr="false" t="normal">T11</f>
        <v>0</v>
      </c>
      <c r="V11" s="120" t="s">
        <v>203</v>
      </c>
      <c r="W11" s="139" t="s">
        <v>380</v>
      </c>
      <c r="X11" s="209" t="n">
        <f aca="false" ca="false" dt2D="false" dtr="false" t="normal">MID(J6, 6, 1)</f>
        <v>0</v>
      </c>
      <c r="Y11" s="137" t="n">
        <f aca="false" ca="false" dt2D="false" dtr="false" t="normal">X11</f>
        <v>0</v>
      </c>
      <c r="Z11" s="120" t="s">
        <v>203</v>
      </c>
      <c r="AA11" s="566" t="s">
        <v>381</v>
      </c>
      <c r="AB11" s="209" t="n">
        <f aca="false" ca="false" dt2D="false" dtr="false" t="normal">MID(K6, 6, 1)</f>
        <v>0</v>
      </c>
      <c r="AC11" s="137" t="n">
        <f aca="false" ca="false" dt2D="false" dtr="false" t="normal">AB11</f>
        <v>0</v>
      </c>
      <c r="AD11" s="120" t="s">
        <v>203</v>
      </c>
      <c r="AE11" s="139" t="s">
        <v>382</v>
      </c>
      <c r="AF11" s="136" t="n">
        <f aca="false" ca="false" dt2D="false" dtr="false" t="normal">MID(L6, 6, 1)</f>
        <v>0</v>
      </c>
      <c r="AG11" s="137" t="n">
        <f aca="false" ca="false" dt2D="false" dtr="false" t="normal">AF11</f>
        <v>0</v>
      </c>
      <c r="AH11" s="120" t="s">
        <v>203</v>
      </c>
      <c r="AI11" s="139" t="s">
        <v>383</v>
      </c>
      <c r="AJ11" s="586" t="s"/>
      <c r="AK11" s="587" t="s"/>
    </row>
    <row hidden="false" ht="15" outlineLevel="0" r="12">
      <c r="C12" s="98" t="s">
        <v>191</v>
      </c>
      <c r="D12" s="53" t="n">
        <f aca="false" ca="false" dt2D="false" dtr="false" t="normal">HEX2DEC(D10)</f>
        <v>7</v>
      </c>
      <c r="E12" s="53" t="n">
        <f aca="false" ca="false" dt2D="false" dtr="false" t="normal">HEX2DEC(E10)</f>
        <v>6</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15</v>
      </c>
      <c r="N12" s="63" t="n"/>
      <c r="P12" s="136" t="n">
        <f aca="false" ca="false" dt2D="false" dtr="false" t="normal">MID(H6, 7, 1)</f>
        <v>0</v>
      </c>
      <c r="Q12" s="137" t="n">
        <f aca="false" ca="false" dt2D="false" dtr="false" t="normal">P12</f>
        <v>0</v>
      </c>
      <c r="R12" s="120" t="s">
        <v>206</v>
      </c>
      <c r="S12" s="588" t="s"/>
      <c r="T12" s="209" t="n">
        <f aca="false" ca="false" dt2D="false" dtr="false" t="normal">MID(I6, 7, 1)</f>
        <v>0</v>
      </c>
      <c r="U12" s="137" t="n">
        <f aca="false" ca="false" dt2D="false" dtr="false" t="normal">T12</f>
        <v>0</v>
      </c>
      <c r="V12" s="120" t="s">
        <v>206</v>
      </c>
      <c r="W12" s="139" t="s">
        <v>384</v>
      </c>
      <c r="X12" s="209" t="n">
        <f aca="false" ca="false" dt2D="false" dtr="false" t="normal">MID(J6, 7, 1)</f>
        <v>0</v>
      </c>
      <c r="Y12" s="137" t="n">
        <f aca="false" ca="false" dt2D="false" dtr="false" t="normal">X12</f>
        <v>0</v>
      </c>
      <c r="Z12" s="120" t="s">
        <v>206</v>
      </c>
      <c r="AA12" s="173" t="s">
        <v>385</v>
      </c>
      <c r="AB12" s="209" t="n">
        <f aca="false" ca="false" dt2D="false" dtr="false" t="normal">MID(K6, 7, 1)</f>
        <v>0</v>
      </c>
      <c r="AC12" s="137" t="n">
        <f aca="false" ca="false" dt2D="false" dtr="false" t="normal">AB12</f>
        <v>0</v>
      </c>
      <c r="AD12" s="120" t="s">
        <v>206</v>
      </c>
      <c r="AE12" s="139" t="s">
        <v>386</v>
      </c>
      <c r="AF12" s="136" t="n">
        <f aca="false" ca="false" dt2D="false" dtr="false" t="normal">MID(L6, 7, 1)</f>
        <v>0</v>
      </c>
      <c r="AG12" s="137" t="n">
        <f aca="false" ca="false" dt2D="false" dtr="false" t="normal">AF12</f>
        <v>0</v>
      </c>
      <c r="AH12" s="120" t="s">
        <v>206</v>
      </c>
      <c r="AI12" s="139" t="s">
        <v>387</v>
      </c>
      <c r="AJ12" s="589" t="s"/>
      <c r="AK12" s="590" t="s"/>
    </row>
    <row hidden="false" ht="15.75" outlineLevel="0" r="13">
      <c r="C13" s="180" t="s">
        <v>194</v>
      </c>
      <c r="D13" s="299" t="n">
        <f aca="false" ca="false" dt2D="false" dtr="false" t="normal">D8</f>
        <v>7</v>
      </c>
      <c r="E13" s="299" t="n">
        <f aca="false" ca="false" dt2D="false" dtr="false" t="normal">E8</f>
        <v>6</v>
      </c>
      <c r="F13" s="299" t="str">
        <f aca="false" ca="false" dt2D="false" dtr="false" t="normal">F8</f>
        <v>G1</v>
      </c>
      <c r="G13" s="299"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591" t="s"/>
      <c r="T13" s="300" t="n">
        <f aca="false" ca="false" dt2D="false" dtr="false" t="normal">MID(I6, 8, 1)</f>
        <v>0</v>
      </c>
      <c r="U13" s="183" t="n">
        <f aca="false" ca="false" dt2D="false" dtr="false" t="normal">T13</f>
        <v>0</v>
      </c>
      <c r="V13" s="184" t="s">
        <v>208</v>
      </c>
      <c r="W13" s="187" t="s">
        <v>388</v>
      </c>
      <c r="X13" s="300" t="n">
        <f aca="false" ca="false" dt2D="false" dtr="false" t="normal">MID(J6, 8, 1)</f>
        <v>0</v>
      </c>
      <c r="Y13" s="183" t="n">
        <f aca="false" ca="false" dt2D="false" dtr="false" t="normal">X13</f>
        <v>0</v>
      </c>
      <c r="Z13" s="184" t="s">
        <v>208</v>
      </c>
      <c r="AA13" s="592" t="s"/>
      <c r="AB13" s="300" t="n">
        <f aca="false" ca="false" dt2D="false" dtr="false" t="normal">MID(K6, 8, 1)</f>
        <v>0</v>
      </c>
      <c r="AC13" s="183" t="n">
        <f aca="false" ca="false" dt2D="false" dtr="false" t="normal">AB13</f>
        <v>0</v>
      </c>
      <c r="AD13" s="184" t="s">
        <v>208</v>
      </c>
      <c r="AE13" s="187" t="s">
        <v>389</v>
      </c>
      <c r="AF13" s="182" t="n">
        <f aca="false" ca="false" dt2D="false" dtr="false" t="normal">MID(L6, 8, 1)</f>
        <v>0</v>
      </c>
      <c r="AG13" s="183" t="n">
        <f aca="false" ca="false" dt2D="false" dtr="false" t="normal">AF13</f>
        <v>0</v>
      </c>
      <c r="AH13" s="184" t="s">
        <v>208</v>
      </c>
      <c r="AI13" s="187" t="s">
        <v>390</v>
      </c>
      <c r="AJ13" s="593" t="s"/>
      <c r="AK13" s="594" t="s"/>
    </row>
    <row hidden="false" ht="15.75" outlineLevel="0" r="14">
      <c r="C14" s="93" t="n"/>
      <c r="D14" s="94" t="n"/>
      <c r="E14" s="94" t="n"/>
      <c r="F14" s="94" t="n"/>
      <c r="G14" s="94" t="n"/>
      <c r="H14" s="94" t="n"/>
      <c r="I14" s="94" t="n"/>
      <c r="J14" s="94" t="n"/>
      <c r="K14" s="94" t="n"/>
      <c r="L14" s="94" t="n"/>
      <c r="M14" s="94" t="s">
        <v>161</v>
      </c>
      <c r="N14" s="60" t="n"/>
      <c r="P14" s="95" t="str">
        <f aca="false" ca="false" dt2D="false" dtr="false" t="normal">RIGHT(D16, 1)&amp;E16&amp;"-"&amp;F16&amp;"-"&amp;G16</f>
        <v>706-01-02</v>
      </c>
      <c r="Q14" s="595" t="s"/>
      <c r="R14" s="234" t="s">
        <v>391</v>
      </c>
      <c r="S14" s="596" t="s"/>
      <c r="T14" s="597" t="s"/>
      <c r="U14" s="598" t="s"/>
      <c r="V14" s="599" t="s"/>
      <c r="W14" s="600" t="s"/>
      <c r="X14" s="601" t="s"/>
      <c r="Y14" s="602" t="s"/>
      <c r="Z14" s="603" t="s"/>
      <c r="AA14" s="604" t="s"/>
      <c r="AB14" s="605" t="s"/>
      <c r="AC14" s="606" t="s"/>
      <c r="AD14" s="607" t="s"/>
      <c r="AE14" s="608" t="s"/>
      <c r="AF14" s="609" t="s"/>
      <c r="AG14" s="610" t="s"/>
      <c r="AH14" s="611" t="s"/>
      <c r="AI14" s="612" t="s"/>
      <c r="AJ14" s="613" t="s"/>
      <c r="AK14" s="614" t="s"/>
    </row>
    <row hidden="false" ht="15.75" outlineLevel="0" r="15">
      <c r="C15" s="98" t="n"/>
      <c r="D15" s="99" t="s">
        <v>392</v>
      </c>
      <c r="E15" s="615" t="s"/>
      <c r="F15" s="616" t="s"/>
      <c r="G15" s="617" t="s"/>
      <c r="H15" s="53" t="s">
        <v>165</v>
      </c>
      <c r="I15" s="53" t="s">
        <v>166</v>
      </c>
      <c r="J15" s="53" t="s">
        <v>167</v>
      </c>
      <c r="K15" s="53" t="s">
        <v>168</v>
      </c>
      <c r="L15" s="53" t="s">
        <v>169</v>
      </c>
      <c r="M15" s="53" t="s">
        <v>221</v>
      </c>
      <c r="N15" s="63" t="n"/>
      <c r="P15" s="103" t="s">
        <v>393</v>
      </c>
      <c r="Q15" s="618" t="s"/>
      <c r="R15" s="619" t="s"/>
      <c r="S15" s="620" t="s"/>
      <c r="T15" s="103" t="s">
        <v>394</v>
      </c>
      <c r="U15" s="621" t="s"/>
      <c r="V15" s="622" t="s"/>
      <c r="W15" s="623" t="s"/>
      <c r="X15" s="103" t="s">
        <v>395</v>
      </c>
      <c r="Y15" s="624" t="s"/>
      <c r="Z15" s="625" t="s"/>
      <c r="AA15" s="626" t="s"/>
      <c r="AB15" s="103" t="s">
        <v>396</v>
      </c>
      <c r="AC15" s="627" t="s"/>
      <c r="AD15" s="628" t="s"/>
      <c r="AE15" s="629" t="s"/>
      <c r="AF15" s="103" t="s">
        <v>397</v>
      </c>
      <c r="AG15" s="630" t="s"/>
      <c r="AH15" s="631" t="s"/>
      <c r="AI15" s="632" t="s"/>
      <c r="AJ15" s="103" t="s">
        <v>398</v>
      </c>
      <c r="AK15" s="633" t="s"/>
    </row>
    <row hidden="false" ht="15.75" outlineLevel="0" r="16">
      <c r="C16" s="98" t="s">
        <v>176</v>
      </c>
      <c r="D16" s="122" t="s">
        <v>177</v>
      </c>
      <c r="E16" s="123" t="s">
        <v>358</v>
      </c>
      <c r="F16" s="123" t="s">
        <v>179</v>
      </c>
      <c r="G16" s="124" t="s">
        <v>216</v>
      </c>
      <c r="H16" s="125" t="n">
        <f aca="false" ca="false" dt2D="false" dtr="false" t="normal">MID($A$5, 8, 2)</f>
        <v>0</v>
      </c>
      <c r="I16" s="126" t="n">
        <f aca="false" ca="false" dt2D="false" dtr="false" t="normal">MID($A$5, 10, 2)</f>
        <v>0</v>
      </c>
      <c r="J16" s="126" t="n">
        <f aca="false" ca="false" dt2D="false" dtr="false" t="normal">MID($A$5, 12, 2)</f>
        <v>0</v>
      </c>
      <c r="K16" s="126" t="n">
        <f aca="false" ca="false" dt2D="false" dtr="false" t="normal">MID($A$5, 14, 2)</f>
        <v>0</v>
      </c>
      <c r="L16" s="274" t="n">
        <f aca="false" ca="false" dt2D="false" dtr="false" t="normal">MID($A$5, 16, 2)</f>
        <v>0</v>
      </c>
      <c r="M16" s="128" t="n">
        <f aca="false" ca="false" dt2D="false" dtr="false" t="normal">MID($A$5, 18, 2)</f>
        <v>10</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634" t="s"/>
    </row>
    <row hidden="false" ht="15" outlineLevel="0" r="17">
      <c r="C17" s="98" t="s">
        <v>185</v>
      </c>
      <c r="D17" s="53" t="n">
        <f aca="false" ca="false" dt2D="false" dtr="false" t="normal">HEX2BIN(D16, 8)</f>
        <v>111</v>
      </c>
      <c r="E17" s="53" t="n">
        <f aca="false" ca="false" dt2D="false" dtr="false" t="normal">HEX2BIN(E16, 8)</f>
        <v>110</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N17" s="63" t="n"/>
      <c r="P17" s="136" t="n">
        <f aca="false" ca="false" dt2D="false" dtr="false" t="normal">MID(H17, 1, 1)</f>
        <v>0</v>
      </c>
      <c r="Q17" s="137" t="n">
        <f aca="false" ca="false" dt2D="false" dtr="false" t="normal">P17</f>
        <v>0</v>
      </c>
      <c r="R17" s="120" t="s">
        <v>186</v>
      </c>
      <c r="S17" s="635" t="s">
        <v>399</v>
      </c>
      <c r="T17" s="209" t="n">
        <f aca="false" ca="false" dt2D="false" dtr="false" t="normal">MID(I17, 1, 1)</f>
        <v>0</v>
      </c>
      <c r="U17" s="137" t="n">
        <f aca="false" ca="false" dt2D="false" dtr="false" t="normal">T17</f>
        <v>0</v>
      </c>
      <c r="V17" s="120" t="s">
        <v>186</v>
      </c>
      <c r="W17" s="635" t="s">
        <v>400</v>
      </c>
      <c r="X17" s="209" t="n">
        <f aca="false" ca="false" dt2D="false" dtr="false" t="normal">MID(J17, 1, 1)</f>
        <v>0</v>
      </c>
      <c r="Y17" s="137" t="n">
        <f aca="false" ca="false" dt2D="false" dtr="false" t="normal">X17</f>
        <v>0</v>
      </c>
      <c r="Z17" s="120" t="s">
        <v>186</v>
      </c>
      <c r="AA17" s="139" t="s">
        <v>401</v>
      </c>
      <c r="AB17" s="136" t="n">
        <f aca="false" ca="false" dt2D="false" dtr="false" t="normal">MID(K17, 1, 1)</f>
        <v>0</v>
      </c>
      <c r="AC17" s="137" t="n">
        <f aca="false" ca="false" dt2D="false" dtr="false" t="normal">AB17</f>
        <v>0</v>
      </c>
      <c r="AD17" s="120" t="s">
        <v>186</v>
      </c>
      <c r="AE17" s="139" t="s">
        <v>402</v>
      </c>
      <c r="AF17" s="136" t="n">
        <f aca="false" ca="false" dt2D="false" dtr="false" t="normal">MID(L17, 1, 1)</f>
        <v>0</v>
      </c>
      <c r="AG17" s="137" t="n">
        <f aca="false" ca="false" dt2D="false" dtr="false" t="normal">AF17</f>
        <v>0</v>
      </c>
      <c r="AH17" s="120" t="s">
        <v>186</v>
      </c>
      <c r="AI17" s="566" t="s">
        <v>403</v>
      </c>
      <c r="AJ17" s="636" t="s"/>
      <c r="AK17" s="637" t="s"/>
    </row>
    <row customHeight="true" hidden="false" ht="15" outlineLevel="0" r="18">
      <c r="C18" s="98" t="s">
        <v>191</v>
      </c>
      <c r="D18" s="53" t="n">
        <f aca="false" ca="false" dt2D="false" dtr="false" t="normal">HEX2DEC(D16)</f>
        <v>7</v>
      </c>
      <c r="E18" s="53" t="n">
        <f aca="false" ca="false" dt2D="false" dtr="false" t="normal">HEX2DEC(E16)</f>
        <v>6</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16</v>
      </c>
      <c r="N18" s="63" t="n"/>
      <c r="P18" s="136" t="n">
        <f aca="false" ca="false" dt2D="false" dtr="false" t="normal">MID(H17, 2, 1)</f>
        <v>0</v>
      </c>
      <c r="Q18" s="137" t="n">
        <f aca="false" ca="false" dt2D="false" dtr="false" t="normal">P18</f>
        <v>0</v>
      </c>
      <c r="R18" s="120" t="s">
        <v>192</v>
      </c>
      <c r="S18" s="638" t="s"/>
      <c r="T18" s="209" t="n">
        <f aca="false" ca="false" dt2D="false" dtr="false" t="normal">MID(I17, 2, 1)</f>
        <v>0</v>
      </c>
      <c r="U18" s="137" t="n">
        <f aca="false" ca="false" dt2D="false" dtr="false" t="normal">T18</f>
        <v>0</v>
      </c>
      <c r="V18" s="120" t="s">
        <v>192</v>
      </c>
      <c r="W18" s="639" t="s"/>
      <c r="X18" s="209" t="n">
        <f aca="false" ca="false" dt2D="false" dtr="false" t="normal">MID(J17, 2, 1)</f>
        <v>0</v>
      </c>
      <c r="Y18" s="137" t="n">
        <f aca="false" ca="false" dt2D="false" dtr="false" t="normal">X18</f>
        <v>0</v>
      </c>
      <c r="Z18" s="120" t="s">
        <v>192</v>
      </c>
      <c r="AA18" s="139" t="s">
        <v>404</v>
      </c>
      <c r="AB18" s="136" t="n">
        <f aca="false" ca="false" dt2D="false" dtr="false" t="normal">MID(K17, 2, 1)</f>
        <v>0</v>
      </c>
      <c r="AC18" s="137" t="n">
        <f aca="false" ca="false" dt2D="false" dtr="false" t="normal">AB18</f>
        <v>0</v>
      </c>
      <c r="AD18" s="120" t="s">
        <v>192</v>
      </c>
      <c r="AE18" s="139" t="s">
        <v>405</v>
      </c>
      <c r="AF18" s="136" t="n">
        <f aca="false" ca="false" dt2D="false" dtr="false" t="normal">MID(L17, 2, 1)</f>
        <v>0</v>
      </c>
      <c r="AG18" s="137" t="n">
        <f aca="false" ca="false" dt2D="false" dtr="false" t="normal">AF18</f>
        <v>0</v>
      </c>
      <c r="AH18" s="120" t="s">
        <v>192</v>
      </c>
      <c r="AI18" s="208" t="s">
        <v>406</v>
      </c>
      <c r="AJ18" s="640" t="s"/>
      <c r="AK18" s="641" t="s"/>
    </row>
    <row customHeight="true" hidden="false" ht="15" outlineLevel="0" r="19">
      <c r="C19" s="98" t="s">
        <v>194</v>
      </c>
      <c r="D19" s="149" t="n">
        <f aca="false" ca="false" dt2D="false" dtr="false" t="normal">D16</f>
        <v>7</v>
      </c>
      <c r="E19" s="149" t="n">
        <f aca="false" ca="false" dt2D="false" dtr="false" t="normal">E16</f>
        <v>6</v>
      </c>
      <c r="F19" s="53" t="str">
        <f aca="false" ca="false" dt2D="false" dtr="false" t="normal">MID($A$5, 4, 2)</f>
        <v>G1</v>
      </c>
      <c r="G19" s="53" t="str">
        <f aca="false" ca="false" dt2D="false" dtr="false" t="normal">MID($A$5, 6, 2)</f>
        <v>G2</v>
      </c>
      <c r="N19" s="63" t="n"/>
      <c r="P19" s="136" t="n">
        <f aca="false" ca="false" dt2D="false" dtr="false" t="normal">MID(H17, 3, 1)</f>
        <v>0</v>
      </c>
      <c r="Q19" s="137" t="n">
        <f aca="false" ca="false" dt2D="false" dtr="false" t="normal">P19</f>
        <v>0</v>
      </c>
      <c r="R19" s="120" t="s">
        <v>195</v>
      </c>
      <c r="S19" s="642" t="s"/>
      <c r="T19" s="209" t="n">
        <f aca="false" ca="false" dt2D="false" dtr="false" t="normal">MID(I17, 3, 1)</f>
        <v>0</v>
      </c>
      <c r="U19" s="137" t="n">
        <f aca="false" ca="false" dt2D="false" dtr="false" t="normal">T19</f>
        <v>0</v>
      </c>
      <c r="V19" s="120" t="s">
        <v>195</v>
      </c>
      <c r="W19" s="139" t="s">
        <v>407</v>
      </c>
      <c r="X19" s="209" t="n">
        <f aca="false" ca="false" dt2D="false" dtr="false" t="normal">MID(J17, 3, 1)</f>
        <v>0</v>
      </c>
      <c r="Y19" s="137" t="n">
        <f aca="false" ca="false" dt2D="false" dtr="false" t="normal">X19</f>
        <v>0</v>
      </c>
      <c r="Z19" s="120" t="s">
        <v>195</v>
      </c>
      <c r="AA19" s="139" t="s">
        <v>408</v>
      </c>
      <c r="AB19" s="136" t="n">
        <f aca="false" ca="false" dt2D="false" dtr="false" t="normal">MID(K17, 3, 1)</f>
        <v>0</v>
      </c>
      <c r="AC19" s="137" t="n">
        <f aca="false" ca="false" dt2D="false" dtr="false" t="normal">AB19</f>
        <v>0</v>
      </c>
      <c r="AD19" s="120" t="s">
        <v>195</v>
      </c>
      <c r="AE19" s="139" t="s">
        <v>409</v>
      </c>
      <c r="AF19" s="136" t="n">
        <f aca="false" ca="false" dt2D="false" dtr="false" t="normal">MID(L17, 3, 1)</f>
        <v>0</v>
      </c>
      <c r="AG19" s="137" t="n">
        <f aca="false" ca="false" dt2D="false" dtr="false" t="normal">AF19</f>
        <v>0</v>
      </c>
      <c r="AH19" s="120" t="s">
        <v>195</v>
      </c>
      <c r="AI19" s="643" t="s">
        <v>410</v>
      </c>
      <c r="AJ19" s="644" t="s"/>
      <c r="AK19" s="645" t="s"/>
    </row>
    <row customHeight="true" hidden="false" ht="15" outlineLevel="0" r="20">
      <c r="C20" s="98" t="n"/>
      <c r="N20" s="63" t="n"/>
      <c r="P20" s="136" t="n">
        <f aca="false" ca="false" dt2D="false" dtr="false" t="normal">MID(H17, 4, 1)</f>
        <v>0</v>
      </c>
      <c r="Q20" s="137" t="n">
        <f aca="false" ca="false" dt2D="false" dtr="false" t="normal">P20</f>
        <v>0</v>
      </c>
      <c r="R20" s="120" t="s">
        <v>197</v>
      </c>
      <c r="S20" s="635" t="s">
        <v>411</v>
      </c>
      <c r="T20" s="209" t="n">
        <f aca="false" ca="false" dt2D="false" dtr="false" t="normal">MID(I17, 4, 1)</f>
        <v>0</v>
      </c>
      <c r="U20" s="137" t="n">
        <f aca="false" ca="false" dt2D="false" dtr="false" t="normal">T20</f>
        <v>0</v>
      </c>
      <c r="V20" s="120" t="s">
        <v>197</v>
      </c>
      <c r="W20" s="139" t="s">
        <v>412</v>
      </c>
      <c r="X20" s="209" t="n">
        <f aca="false" ca="false" dt2D="false" dtr="false" t="normal">MID(J17, 4, 1)</f>
        <v>0</v>
      </c>
      <c r="Y20" s="137" t="n">
        <f aca="false" ca="false" dt2D="false" dtr="false" t="normal">X20</f>
        <v>0</v>
      </c>
      <c r="Z20" s="120" t="s">
        <v>197</v>
      </c>
      <c r="AA20" s="139" t="s">
        <v>413</v>
      </c>
      <c r="AB20" s="136" t="n">
        <f aca="false" ca="false" dt2D="false" dtr="false" t="normal">MID(K17, 4, 1)</f>
        <v>0</v>
      </c>
      <c r="AC20" s="137" t="n">
        <f aca="false" ca="false" dt2D="false" dtr="false" t="normal">AB20</f>
        <v>0</v>
      </c>
      <c r="AD20" s="120" t="s">
        <v>197</v>
      </c>
      <c r="AE20" s="139" t="s">
        <v>414</v>
      </c>
      <c r="AF20" s="136" t="n">
        <f aca="false" ca="false" dt2D="false" dtr="false" t="normal">MID(L17, 4, 1)</f>
        <v>0</v>
      </c>
      <c r="AG20" s="137" t="n">
        <f aca="false" ca="false" dt2D="false" dtr="false" t="normal">AF20</f>
        <v>0</v>
      </c>
      <c r="AH20" s="120" t="s">
        <v>197</v>
      </c>
      <c r="AI20" s="643" t="s">
        <v>415</v>
      </c>
      <c r="AJ20" s="646" t="s"/>
      <c r="AK20" s="647" t="s"/>
    </row>
    <row hidden="false" ht="15.75" outlineLevel="0" r="21">
      <c r="C21" s="98" t="s">
        <v>176</v>
      </c>
      <c r="D21" s="159" t="n">
        <f aca="false" ca="false" dt2D="false" dtr="false" t="normal">D16</f>
        <v>7</v>
      </c>
      <c r="E21" s="160" t="n">
        <f aca="false" ca="false" dt2D="false" dtr="false" t="normal">E16</f>
        <v>6</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n">
        <f aca="false" ca="false" dt2D="false" dtr="false" t="normal">IF(LEN(M22)&gt;2, MID(M22, 2, 2), M22)</f>
        <v>10</v>
      </c>
      <c r="N21" s="63" t="s">
        <v>181</v>
      </c>
      <c r="P21" s="136" t="n">
        <f aca="false" ca="false" dt2D="false" dtr="false" t="normal">MID(H17, 5, 1)</f>
        <v>0</v>
      </c>
      <c r="Q21" s="137" t="n">
        <f aca="false" ca="false" dt2D="false" dtr="false" t="normal">P21</f>
        <v>0</v>
      </c>
      <c r="R21" s="120" t="s">
        <v>200</v>
      </c>
      <c r="S21" s="648" t="s"/>
      <c r="T21" s="209" t="n">
        <f aca="false" ca="false" dt2D="false" dtr="false" t="normal">MID(I17, 5, 1)</f>
        <v>0</v>
      </c>
      <c r="U21" s="137" t="n">
        <f aca="false" ca="false" dt2D="false" dtr="false" t="normal">T21</f>
        <v>0</v>
      </c>
      <c r="V21" s="120" t="s">
        <v>200</v>
      </c>
      <c r="W21" s="139" t="s">
        <v>416</v>
      </c>
      <c r="X21" s="209" t="n">
        <f aca="false" ca="false" dt2D="false" dtr="false" t="normal">MID(J17, 5, 1)</f>
        <v>0</v>
      </c>
      <c r="Y21" s="137" t="n">
        <f aca="false" ca="false" dt2D="false" dtr="false" t="normal">X21</f>
        <v>0</v>
      </c>
      <c r="Z21" s="120" t="s">
        <v>200</v>
      </c>
      <c r="AA21" s="139" t="s">
        <v>417</v>
      </c>
      <c r="AB21" s="136" t="n">
        <f aca="false" ca="false" dt2D="false" dtr="false" t="normal">MID(K17, 5, 1)</f>
        <v>0</v>
      </c>
      <c r="AC21" s="137" t="n">
        <f aca="false" ca="false" dt2D="false" dtr="false" t="normal">AB21</f>
        <v>0</v>
      </c>
      <c r="AD21" s="120" t="s">
        <v>200</v>
      </c>
      <c r="AE21" s="139" t="s">
        <v>418</v>
      </c>
      <c r="AF21" s="136" t="n">
        <f aca="false" ca="false" dt2D="false" dtr="false" t="normal">MID(L17, 5, 1)</f>
        <v>0</v>
      </c>
      <c r="AG21" s="137" t="n">
        <f aca="false" ca="false" dt2D="false" dtr="false" t="normal">AF21</f>
        <v>0</v>
      </c>
      <c r="AH21" s="120" t="s">
        <v>200</v>
      </c>
      <c r="AI21" s="131" t="s">
        <v>196</v>
      </c>
      <c r="AJ21" s="649" t="s"/>
      <c r="AK21" s="650" t="s"/>
    </row>
    <row hidden="false" ht="15" outlineLevel="0" r="22">
      <c r="C22" s="98" t="s">
        <v>185</v>
      </c>
      <c r="D22" s="53" t="n">
        <f aca="false" ca="false" dt2D="false" dtr="false" t="normal">HEX2BIN(D21, 8)</f>
        <v>111</v>
      </c>
      <c r="E22" s="53" t="n">
        <f aca="false" ca="false" dt2D="false" dtr="false" t="normal">HEX2BIN(E21, 8)</f>
        <v>110</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171" t="n">
        <f aca="false" ca="false" dt2D="false" dtr="false" t="normal">AC17&amp;AC18&amp;AC19&amp;AC20&amp;AC21&amp;AC22&amp;AC23&amp;AC24</f>
        <v>0</v>
      </c>
      <c r="L22" s="53" t="n">
        <f aca="false" ca="false" dt2D="false" dtr="false" t="normal">AG17&amp;AG18&amp;AG19&amp;AG20&amp;AG21&amp;AG22&amp;AG23&amp;AG24</f>
        <v>0</v>
      </c>
      <c r="M22" s="53" t="n">
        <f aca="false" ca="false" dt2D="false" dtr="false" t="normal">DEC2HEX(M23)</f>
        <v>10</v>
      </c>
      <c r="N22" s="63" t="n"/>
      <c r="P22" s="136" t="n">
        <f aca="false" ca="false" dt2D="false" dtr="false" t="normal">MID(H17, 6, 1)</f>
        <v>0</v>
      </c>
      <c r="Q22" s="137" t="n">
        <f aca="false" ca="false" dt2D="false" dtr="false" t="normal">P22</f>
        <v>0</v>
      </c>
      <c r="R22" s="120" t="s">
        <v>203</v>
      </c>
      <c r="S22" s="651" t="s"/>
      <c r="T22" s="209" t="n">
        <f aca="false" ca="false" dt2D="false" dtr="false" t="normal">MID(I17, 6, 1)</f>
        <v>0</v>
      </c>
      <c r="U22" s="137" t="n">
        <f aca="false" ca="false" dt2D="false" dtr="false" t="normal">T22</f>
        <v>0</v>
      </c>
      <c r="V22" s="120" t="s">
        <v>203</v>
      </c>
      <c r="W22" s="139" t="s">
        <v>419</v>
      </c>
      <c r="X22" s="209" t="n">
        <f aca="false" ca="false" dt2D="false" dtr="false" t="normal">MID(J17, 6, 1)</f>
        <v>0</v>
      </c>
      <c r="Y22" s="137" t="n">
        <f aca="false" ca="false" dt2D="false" dtr="false" t="normal">X22</f>
        <v>0</v>
      </c>
      <c r="Z22" s="120" t="s">
        <v>203</v>
      </c>
      <c r="AA22" s="139" t="s">
        <v>420</v>
      </c>
      <c r="AB22" s="136" t="n">
        <f aca="false" ca="false" dt2D="false" dtr="false" t="normal">MID(K17, 6, 1)</f>
        <v>0</v>
      </c>
      <c r="AC22" s="137" t="n">
        <f aca="false" ca="false" dt2D="false" dtr="false" t="normal">AB22</f>
        <v>0</v>
      </c>
      <c r="AD22" s="120" t="s">
        <v>203</v>
      </c>
      <c r="AE22" s="139" t="s">
        <v>421</v>
      </c>
      <c r="AF22" s="136" t="n">
        <f aca="false" ca="false" dt2D="false" dtr="false" t="normal">MID(L17, 6, 1)</f>
        <v>0</v>
      </c>
      <c r="AG22" s="137" t="n">
        <f aca="false" ca="false" dt2D="false" dtr="false" t="normal">AF22</f>
        <v>0</v>
      </c>
      <c r="AH22" s="120" t="s">
        <v>203</v>
      </c>
      <c r="AI22" s="139" t="s">
        <v>422</v>
      </c>
      <c r="AJ22" s="652" t="s"/>
      <c r="AK22" s="653" t="s"/>
    </row>
    <row hidden="false" ht="15" outlineLevel="0" r="23">
      <c r="C23" s="98" t="s">
        <v>191</v>
      </c>
      <c r="D23" s="53" t="n">
        <f aca="false" ca="false" dt2D="false" dtr="false" t="normal">HEX2DEC(D21)</f>
        <v>7</v>
      </c>
      <c r="E23" s="53" t="n">
        <f aca="false" ca="false" dt2D="false" dtr="false" t="normal">HEX2DEC(E21)</f>
        <v>6</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16</v>
      </c>
      <c r="N23" s="63" t="n"/>
      <c r="P23" s="136" t="n">
        <f aca="false" ca="false" dt2D="false" dtr="false" t="normal">MID(H17, 7, 1)</f>
        <v>0</v>
      </c>
      <c r="Q23" s="137" t="n">
        <f aca="false" ca="false" dt2D="false" dtr="false" t="normal">P23</f>
        <v>0</v>
      </c>
      <c r="R23" s="120" t="s">
        <v>206</v>
      </c>
      <c r="S23" s="139" t="s">
        <v>423</v>
      </c>
      <c r="T23" s="209" t="n">
        <f aca="false" ca="false" dt2D="false" dtr="false" t="normal">MID(I17, 7, 1)</f>
        <v>0</v>
      </c>
      <c r="U23" s="137" t="n">
        <f aca="false" ca="false" dt2D="false" dtr="false" t="normal">T23</f>
        <v>0</v>
      </c>
      <c r="V23" s="120" t="s">
        <v>206</v>
      </c>
      <c r="W23" s="654" t="s">
        <v>424</v>
      </c>
      <c r="X23" s="209" t="n">
        <f aca="false" ca="false" dt2D="false" dtr="false" t="normal">MID(J17, 7, 1)</f>
        <v>0</v>
      </c>
      <c r="Y23" s="137" t="n">
        <f aca="false" ca="false" dt2D="false" dtr="false" t="normal">X23</f>
        <v>0</v>
      </c>
      <c r="Z23" s="120" t="s">
        <v>206</v>
      </c>
      <c r="AA23" s="139" t="s">
        <v>425</v>
      </c>
      <c r="AB23" s="136" t="n">
        <f aca="false" ca="false" dt2D="false" dtr="false" t="normal">MID(K17, 7, 1)</f>
        <v>0</v>
      </c>
      <c r="AC23" s="137" t="n">
        <f aca="false" ca="false" dt2D="false" dtr="false" t="normal">AB23</f>
        <v>0</v>
      </c>
      <c r="AD23" s="120" t="s">
        <v>206</v>
      </c>
      <c r="AE23" s="139" t="s">
        <v>426</v>
      </c>
      <c r="AF23" s="136" t="n">
        <f aca="false" ca="false" dt2D="false" dtr="false" t="normal">MID(L17, 7, 1)</f>
        <v>0</v>
      </c>
      <c r="AG23" s="137" t="n">
        <f aca="false" ca="false" dt2D="false" dtr="false" t="normal">AF23</f>
        <v>0</v>
      </c>
      <c r="AH23" s="120" t="s">
        <v>206</v>
      </c>
      <c r="AI23" s="139" t="s">
        <v>323</v>
      </c>
      <c r="AJ23" s="655" t="s"/>
      <c r="AK23" s="656" t="s"/>
    </row>
    <row hidden="false" ht="15.75" outlineLevel="0" r="24">
      <c r="C24" s="180" t="s">
        <v>194</v>
      </c>
      <c r="D24" s="299" t="n">
        <f aca="false" ca="false" dt2D="false" dtr="false" t="normal">D19</f>
        <v>7</v>
      </c>
      <c r="E24" s="299" t="n">
        <f aca="false" ca="false" dt2D="false" dtr="false" t="normal">E19</f>
        <v>6</v>
      </c>
      <c r="F24" s="299" t="str">
        <f aca="false" ca="false" dt2D="false" dtr="false" t="normal">F19</f>
        <v>G1</v>
      </c>
      <c r="G24" s="299"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7" t="s">
        <v>427</v>
      </c>
      <c r="T24" s="300" t="n">
        <f aca="false" ca="false" dt2D="false" dtr="false" t="normal">MID(I17, 8, 1)</f>
        <v>0</v>
      </c>
      <c r="U24" s="183" t="n">
        <f aca="false" ca="false" dt2D="false" dtr="false" t="normal">T24</f>
        <v>0</v>
      </c>
      <c r="V24" s="184" t="s">
        <v>208</v>
      </c>
      <c r="W24" s="657" t="s"/>
      <c r="X24" s="300" t="n">
        <f aca="false" ca="false" dt2D="false" dtr="false" t="normal">MID(J17, 8, 1)</f>
        <v>0</v>
      </c>
      <c r="Y24" s="183" t="n">
        <f aca="false" ca="false" dt2D="false" dtr="false" t="normal">X24</f>
        <v>0</v>
      </c>
      <c r="Z24" s="184" t="s">
        <v>208</v>
      </c>
      <c r="AA24" s="187" t="s">
        <v>428</v>
      </c>
      <c r="AB24" s="182" t="n">
        <f aca="false" ca="false" dt2D="false" dtr="false" t="normal">MID(K17, 8, 1)</f>
        <v>0</v>
      </c>
      <c r="AC24" s="183" t="n">
        <f aca="false" ca="false" dt2D="false" dtr="false" t="normal">AB24</f>
        <v>0</v>
      </c>
      <c r="AD24" s="184" t="s">
        <v>208</v>
      </c>
      <c r="AE24" s="187" t="s">
        <v>429</v>
      </c>
      <c r="AF24" s="182" t="n">
        <f aca="false" ca="false" dt2D="false" dtr="false" t="normal">MID(L17, 8, 1)</f>
        <v>0</v>
      </c>
      <c r="AG24" s="183" t="n">
        <f aca="false" ca="false" dt2D="false" dtr="false" t="normal">AF24</f>
        <v>0</v>
      </c>
      <c r="AH24" s="184" t="s">
        <v>208</v>
      </c>
      <c r="AI24" s="187" t="s">
        <v>430</v>
      </c>
      <c r="AJ24" s="658" t="s"/>
      <c r="AK24" s="659" t="s"/>
    </row>
    <row hidden="false" ht="15.75" outlineLevel="0" r="25">
      <c r="C25" s="93" t="n"/>
      <c r="D25" s="94" t="n"/>
      <c r="E25" s="94" t="n"/>
      <c r="F25" s="94" t="n"/>
      <c r="G25" s="94" t="n"/>
      <c r="H25" s="94" t="n"/>
      <c r="I25" s="94" t="n"/>
      <c r="J25" s="94" t="n"/>
      <c r="K25" s="94" t="n"/>
      <c r="L25" s="94" t="n"/>
      <c r="M25" s="94" t="s">
        <v>161</v>
      </c>
      <c r="N25" s="60" t="n"/>
      <c r="P25" s="95" t="str">
        <f aca="false" ca="false" dt2D="false" dtr="false" t="normal">RIGHT(D27, 1)&amp;E27&amp;"-"&amp;F27&amp;"-"&amp;G27</f>
        <v>706-01-03</v>
      </c>
      <c r="Q25" s="660" t="s"/>
      <c r="R25" s="234" t="s">
        <v>431</v>
      </c>
      <c r="S25" s="661" t="s"/>
      <c r="T25" s="662" t="s"/>
      <c r="U25" s="663" t="s"/>
      <c r="V25" s="664" t="s"/>
      <c r="W25" s="665" t="s"/>
      <c r="X25" s="666" t="s"/>
      <c r="Y25" s="667" t="s"/>
      <c r="Z25" s="668" t="s"/>
      <c r="AA25" s="669" t="s"/>
      <c r="AB25" s="670" t="s"/>
      <c r="AC25" s="671" t="s"/>
      <c r="AD25" s="672" t="s"/>
      <c r="AE25" s="673" t="s"/>
      <c r="AF25" s="674" t="s"/>
      <c r="AG25" s="675" t="s"/>
      <c r="AH25" s="676" t="s"/>
      <c r="AI25" s="677" t="s"/>
      <c r="AJ25" s="678" t="s"/>
      <c r="AK25" s="679" t="s"/>
    </row>
    <row hidden="false" ht="15.75" outlineLevel="0" r="26">
      <c r="C26" s="98" t="n"/>
      <c r="D26" s="99" t="s">
        <v>432</v>
      </c>
      <c r="E26" s="680" t="s"/>
      <c r="F26" s="681" t="s"/>
      <c r="G26" s="682" t="s"/>
      <c r="H26" s="53" t="s">
        <v>165</v>
      </c>
      <c r="I26" s="53" t="s">
        <v>166</v>
      </c>
      <c r="J26" s="53" t="s">
        <v>167</v>
      </c>
      <c r="K26" s="53" t="s">
        <v>168</v>
      </c>
      <c r="L26" s="53" t="s">
        <v>169</v>
      </c>
      <c r="M26" s="53" t="s">
        <v>221</v>
      </c>
      <c r="N26" s="63" t="n"/>
      <c r="P26" s="103" t="s">
        <v>433</v>
      </c>
      <c r="Q26" s="683" t="s"/>
      <c r="R26" s="684" t="s"/>
      <c r="S26" s="685" t="s"/>
      <c r="T26" s="103" t="s">
        <v>434</v>
      </c>
      <c r="U26" s="686" t="s"/>
      <c r="V26" s="687" t="s"/>
      <c r="W26" s="688" t="s"/>
      <c r="X26" s="103" t="s">
        <v>435</v>
      </c>
      <c r="Y26" s="689" t="s"/>
      <c r="Z26" s="690" t="s"/>
      <c r="AA26" s="691" t="s"/>
      <c r="AB26" s="103" t="s">
        <v>436</v>
      </c>
      <c r="AC26" s="692" t="s"/>
      <c r="AD26" s="693" t="s"/>
      <c r="AE26" s="694" t="s"/>
      <c r="AF26" s="103" t="s">
        <v>437</v>
      </c>
      <c r="AG26" s="695" t="s"/>
      <c r="AH26" s="696" t="s"/>
      <c r="AI26" s="697" t="s"/>
      <c r="AJ26" s="103" t="s">
        <v>438</v>
      </c>
      <c r="AK26" s="698" t="s"/>
    </row>
    <row hidden="false" ht="15.75" outlineLevel="0" r="27">
      <c r="C27" s="98" t="s">
        <v>176</v>
      </c>
      <c r="D27" s="122" t="s">
        <v>177</v>
      </c>
      <c r="E27" s="123" t="s">
        <v>358</v>
      </c>
      <c r="F27" s="123" t="s">
        <v>179</v>
      </c>
      <c r="G27" s="124" t="s">
        <v>307</v>
      </c>
      <c r="H27" s="125" t="n">
        <f aca="false" ca="false" dt2D="false" dtr="false" t="normal">MID($A$6, 8, 2)</f>
        <v>0</v>
      </c>
      <c r="I27" s="126" t="n">
        <f aca="false" ca="false" dt2D="false" dtr="false" t="normal">MID($A$6, 10, 2)</f>
        <v>0</v>
      </c>
      <c r="J27" s="126" t="n">
        <f aca="false" ca="false" dt2D="false" dtr="false" t="normal">MID($A$6, 12, 2)</f>
        <v>0</v>
      </c>
      <c r="K27" s="127" t="n">
        <f aca="false" ca="false" dt2D="false" dtr="false" t="normal">MID($A$6, 14, 2)</f>
        <v>0</v>
      </c>
      <c r="L27" s="274" t="n">
        <f aca="false" ca="false" dt2D="false" dtr="false" t="normal">MID($A$6, 16, 2)</f>
        <v>0</v>
      </c>
      <c r="M27" s="128" t="n">
        <f aca="false" ca="false" dt2D="false" dtr="false" t="normal">MID($A$6, 18, 2)</f>
        <v>11</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29" t="s">
        <v>180</v>
      </c>
      <c r="AC27" s="130" t="s">
        <v>181</v>
      </c>
      <c r="AD27" s="121" t="s">
        <v>182</v>
      </c>
      <c r="AE27" s="131" t="n"/>
      <c r="AF27" s="129" t="s">
        <v>180</v>
      </c>
      <c r="AG27" s="130" t="s">
        <v>181</v>
      </c>
      <c r="AH27" s="121" t="s">
        <v>182</v>
      </c>
      <c r="AI27" s="121" t="n"/>
      <c r="AJ27" s="116" t="s">
        <v>183</v>
      </c>
      <c r="AK27" s="699" t="s"/>
    </row>
    <row hidden="false" ht="15" outlineLevel="0" r="28">
      <c r="C28" s="98" t="s">
        <v>185</v>
      </c>
      <c r="D28" s="53" t="n">
        <f aca="false" ca="false" dt2D="false" dtr="false" t="normal">HEX2BIN(D27, 8)</f>
        <v>111</v>
      </c>
      <c r="E28" s="53" t="n">
        <f aca="false" ca="false" dt2D="false" dtr="false" t="normal">HEX2BIN(E27, 8)</f>
        <v>110</v>
      </c>
      <c r="F28" s="53" t="n">
        <f aca="false" ca="false" dt2D="false" dtr="false" t="normal">HEX2BIN(F27, 8)</f>
        <v>1</v>
      </c>
      <c r="G28" s="53"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f aca="false" ca="false" dt2D="false" dtr="false" t="normal">HEX2BIN(K27, 8)</f>
        <v>0</v>
      </c>
      <c r="L28" s="53" t="n">
        <f aca="false" ca="false" dt2D="false" dtr="false" t="normal">HEX2BIN(L27, 8)</f>
        <v>0</v>
      </c>
      <c r="N28" s="63" t="n"/>
      <c r="P28" s="136" t="n">
        <f aca="false" ca="false" dt2D="false" dtr="false" t="normal">MID(H28, 1, 1)</f>
        <v>0</v>
      </c>
      <c r="Q28" s="137" t="n">
        <f aca="false" ca="false" dt2D="false" dtr="false" t="normal">P28</f>
        <v>0</v>
      </c>
      <c r="R28" s="120" t="s">
        <v>186</v>
      </c>
      <c r="S28" s="139" t="s">
        <v>439</v>
      </c>
      <c r="T28" s="136" t="n">
        <f aca="false" ca="false" dt2D="false" dtr="false" t="normal">MID(I28, 1, 1)</f>
        <v>0</v>
      </c>
      <c r="U28" s="137" t="n">
        <f aca="false" ca="false" dt2D="false" dtr="false" t="normal">T28</f>
        <v>0</v>
      </c>
      <c r="V28" s="120" t="s">
        <v>186</v>
      </c>
      <c r="W28" s="139" t="s">
        <v>440</v>
      </c>
      <c r="X28" s="136" t="n">
        <f aca="false" ca="false" dt2D="false" dtr="false" t="normal">MID(J28, 1, 1)</f>
        <v>0</v>
      </c>
      <c r="Y28" s="137" t="n">
        <f aca="false" ca="false" dt2D="false" dtr="false" t="normal">X28</f>
        <v>0</v>
      </c>
      <c r="Z28" s="120" t="s">
        <v>186</v>
      </c>
      <c r="AA28" s="139" t="s">
        <v>441</v>
      </c>
      <c r="AB28" s="136" t="n">
        <f aca="false" ca="false" dt2D="false" dtr="false" t="normal">MID(K28, 1, 1)</f>
        <v>0</v>
      </c>
      <c r="AC28" s="137" t="n">
        <f aca="false" ca="false" dt2D="false" dtr="false" t="normal">AB28</f>
        <v>0</v>
      </c>
      <c r="AD28" s="120" t="s">
        <v>186</v>
      </c>
      <c r="AE28" s="139" t="s">
        <v>442</v>
      </c>
      <c r="AF28" s="136" t="n">
        <f aca="false" ca="false" dt2D="false" dtr="false" t="normal">MID(L28, 1, 1)</f>
        <v>0</v>
      </c>
      <c r="AG28" s="137" t="n">
        <f aca="false" ca="false" dt2D="false" dtr="false" t="normal">AF28</f>
        <v>0</v>
      </c>
      <c r="AH28" s="120" t="s">
        <v>186</v>
      </c>
      <c r="AI28" s="139" t="s">
        <v>443</v>
      </c>
      <c r="AJ28" s="700" t="s"/>
      <c r="AK28" s="701" t="s"/>
    </row>
    <row hidden="false" ht="15" outlineLevel="0" r="29">
      <c r="C29" s="98" t="s">
        <v>191</v>
      </c>
      <c r="D29" s="53" t="n">
        <f aca="false" ca="false" dt2D="false" dtr="false" t="normal">HEX2DEC(D27)</f>
        <v>7</v>
      </c>
      <c r="E29" s="53" t="n">
        <f aca="false" ca="false" dt2D="false" dtr="false" t="normal">HEX2DEC(E27)</f>
        <v>6</v>
      </c>
      <c r="F29" s="53" t="n">
        <f aca="false" ca="false" dt2D="false" dtr="false" t="normal">HEX2DEC(F27)</f>
        <v>1</v>
      </c>
      <c r="G29" s="53"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HEX2DEC(K27)</f>
        <v>0</v>
      </c>
      <c r="L29" s="53" t="n">
        <f aca="false" ca="false" dt2D="false" dtr="false" t="normal">HEX2DEC(L27)</f>
        <v>0</v>
      </c>
      <c r="M29" s="53" t="n">
        <f aca="false" ca="false" dt2D="false" dtr="false" t="normal">SUM(D29:L29)</f>
        <v>17</v>
      </c>
      <c r="N29" s="63" t="n"/>
      <c r="P29" s="136" t="n">
        <f aca="false" ca="false" dt2D="false" dtr="false" t="normal">MID(H28, 2, 1)</f>
        <v>0</v>
      </c>
      <c r="Q29" s="137" t="n">
        <f aca="false" ca="false" dt2D="false" dtr="false" t="normal">P29</f>
        <v>0</v>
      </c>
      <c r="R29" s="120" t="s">
        <v>192</v>
      </c>
      <c r="S29" s="139" t="s">
        <v>444</v>
      </c>
      <c r="T29" s="136" t="n">
        <f aca="false" ca="false" dt2D="false" dtr="false" t="normal">MID(I28, 2, 1)</f>
        <v>0</v>
      </c>
      <c r="U29" s="137" t="n">
        <f aca="false" ca="false" dt2D="false" dtr="false" t="normal">T29</f>
        <v>0</v>
      </c>
      <c r="V29" s="120" t="s">
        <v>192</v>
      </c>
      <c r="W29" s="139" t="s">
        <v>445</v>
      </c>
      <c r="X29" s="136" t="n">
        <f aca="false" ca="false" dt2D="false" dtr="false" t="normal">MID(J28, 2, 1)</f>
        <v>0</v>
      </c>
      <c r="Y29" s="137" t="n">
        <f aca="false" ca="false" dt2D="false" dtr="false" t="normal">X29</f>
        <v>0</v>
      </c>
      <c r="Z29" s="120" t="s">
        <v>192</v>
      </c>
      <c r="AA29" s="139" t="s">
        <v>446</v>
      </c>
      <c r="AB29" s="136" t="n">
        <f aca="false" ca="false" dt2D="false" dtr="false" t="normal">MID(K28, 2, 1)</f>
        <v>0</v>
      </c>
      <c r="AC29" s="137" t="n">
        <f aca="false" ca="false" dt2D="false" dtr="false" t="normal">AB29</f>
        <v>0</v>
      </c>
      <c r="AD29" s="120" t="s">
        <v>192</v>
      </c>
      <c r="AE29" s="139" t="s">
        <v>447</v>
      </c>
      <c r="AF29" s="136" t="n">
        <f aca="false" ca="false" dt2D="false" dtr="false" t="normal">MID(L28, 2, 1)</f>
        <v>0</v>
      </c>
      <c r="AG29" s="137" t="n">
        <f aca="false" ca="false" dt2D="false" dtr="false" t="normal">AF29</f>
        <v>0</v>
      </c>
      <c r="AH29" s="120" t="s">
        <v>192</v>
      </c>
      <c r="AI29" s="139" t="s">
        <v>448</v>
      </c>
      <c r="AJ29" s="702" t="s"/>
      <c r="AK29" s="703" t="s"/>
    </row>
    <row hidden="false" ht="15" outlineLevel="0" r="30">
      <c r="C30" s="98" t="s">
        <v>194</v>
      </c>
      <c r="D30" s="149" t="n">
        <f aca="false" ca="false" dt2D="false" dtr="false" t="normal">D27</f>
        <v>7</v>
      </c>
      <c r="E30" s="149" t="n">
        <f aca="false" ca="false" dt2D="false" dtr="false" t="normal">E27</f>
        <v>6</v>
      </c>
      <c r="F30" s="53" t="str">
        <f aca="false" ca="false" dt2D="false" dtr="false" t="normal">MID($A$6, 4, 2)</f>
        <v>G1</v>
      </c>
      <c r="G30" s="53" t="str">
        <f aca="false" ca="false" dt2D="false" dtr="false" t="normal">MID($A$6, 6, 2)</f>
        <v>G3</v>
      </c>
      <c r="N30" s="63" t="n"/>
      <c r="P30" s="136" t="n">
        <f aca="false" ca="false" dt2D="false" dtr="false" t="normal">MID(H28, 3, 1)</f>
        <v>0</v>
      </c>
      <c r="Q30" s="137" t="n">
        <f aca="false" ca="false" dt2D="false" dtr="false" t="normal">P30</f>
        <v>0</v>
      </c>
      <c r="R30" s="120" t="s">
        <v>195</v>
      </c>
      <c r="S30" s="139" t="s">
        <v>449</v>
      </c>
      <c r="T30" s="136" t="n">
        <f aca="false" ca="false" dt2D="false" dtr="false" t="normal">MID(I28, 3, 1)</f>
        <v>0</v>
      </c>
      <c r="U30" s="137" t="n">
        <f aca="false" ca="false" dt2D="false" dtr="false" t="normal">T30</f>
        <v>0</v>
      </c>
      <c r="V30" s="120" t="s">
        <v>195</v>
      </c>
      <c r="W30" s="139" t="s">
        <v>450</v>
      </c>
      <c r="X30" s="136" t="n">
        <f aca="false" ca="false" dt2D="false" dtr="false" t="normal">MID(J28, 3, 1)</f>
        <v>0</v>
      </c>
      <c r="Y30" s="137" t="n">
        <f aca="false" ca="false" dt2D="false" dtr="false" t="normal">X30</f>
        <v>0</v>
      </c>
      <c r="Z30" s="120" t="s">
        <v>195</v>
      </c>
      <c r="AA30" s="139" t="s">
        <v>451</v>
      </c>
      <c r="AB30" s="136" t="n">
        <f aca="false" ca="false" dt2D="false" dtr="false" t="normal">MID(K28, 3, 1)</f>
        <v>0</v>
      </c>
      <c r="AC30" s="137" t="n">
        <f aca="false" ca="false" dt2D="false" dtr="false" t="normal">AB30</f>
        <v>0</v>
      </c>
      <c r="AD30" s="120" t="s">
        <v>195</v>
      </c>
      <c r="AE30" s="139" t="s">
        <v>452</v>
      </c>
      <c r="AF30" s="136" t="n">
        <f aca="false" ca="false" dt2D="false" dtr="false" t="normal">MID(L28, 3, 1)</f>
        <v>0</v>
      </c>
      <c r="AG30" s="137" t="n">
        <f aca="false" ca="false" dt2D="false" dtr="false" t="normal">AF30</f>
        <v>0</v>
      </c>
      <c r="AH30" s="120" t="s">
        <v>195</v>
      </c>
      <c r="AI30" s="139" t="s">
        <v>453</v>
      </c>
      <c r="AJ30" s="704" t="s"/>
      <c r="AK30" s="705" t="s"/>
    </row>
    <row hidden="false" ht="15.75" outlineLevel="0" r="31">
      <c r="C31" s="98" t="n"/>
      <c r="N31" s="63" t="n"/>
      <c r="P31" s="136" t="n">
        <f aca="false" ca="false" dt2D="false" dtr="false" t="normal">MID(H28, 4, 1)</f>
        <v>0</v>
      </c>
      <c r="Q31" s="137" t="n">
        <f aca="false" ca="false" dt2D="false" dtr="false" t="normal">P31</f>
        <v>0</v>
      </c>
      <c r="R31" s="120" t="s">
        <v>197</v>
      </c>
      <c r="S31" s="139" t="s">
        <v>454</v>
      </c>
      <c r="T31" s="136" t="n">
        <f aca="false" ca="false" dt2D="false" dtr="false" t="normal">MID(I28, 4, 1)</f>
        <v>0</v>
      </c>
      <c r="U31" s="137" t="n">
        <f aca="false" ca="false" dt2D="false" dtr="false" t="normal">T31</f>
        <v>0</v>
      </c>
      <c r="V31" s="120" t="s">
        <v>197</v>
      </c>
      <c r="W31" s="139" t="s">
        <v>455</v>
      </c>
      <c r="X31" s="136" t="n">
        <f aca="false" ca="false" dt2D="false" dtr="false" t="normal">MID(J28, 4, 1)</f>
        <v>0</v>
      </c>
      <c r="Y31" s="137" t="n">
        <f aca="false" ca="false" dt2D="false" dtr="false" t="normal">X31</f>
        <v>0</v>
      </c>
      <c r="Z31" s="120" t="s">
        <v>197</v>
      </c>
      <c r="AA31" s="139" t="s">
        <v>456</v>
      </c>
      <c r="AB31" s="136" t="n">
        <f aca="false" ca="false" dt2D="false" dtr="false" t="normal">MID(K28, 4, 1)</f>
        <v>0</v>
      </c>
      <c r="AC31" s="137" t="n">
        <f aca="false" ca="false" dt2D="false" dtr="false" t="normal">AB31</f>
        <v>0</v>
      </c>
      <c r="AD31" s="120" t="s">
        <v>197</v>
      </c>
      <c r="AE31" s="139" t="s">
        <v>457</v>
      </c>
      <c r="AF31" s="136" t="n">
        <f aca="false" ca="false" dt2D="false" dtr="false" t="normal">MID(L28, 4, 1)</f>
        <v>0</v>
      </c>
      <c r="AG31" s="137" t="n">
        <f aca="false" ca="false" dt2D="false" dtr="false" t="normal">AF31</f>
        <v>0</v>
      </c>
      <c r="AH31" s="120" t="s">
        <v>197</v>
      </c>
      <c r="AI31" s="139" t="s">
        <v>458</v>
      </c>
      <c r="AJ31" s="706" t="s"/>
      <c r="AK31" s="707" t="s"/>
    </row>
    <row hidden="false" ht="15.75" outlineLevel="0" r="32">
      <c r="C32" s="98" t="s">
        <v>176</v>
      </c>
      <c r="D32" s="159" t="n">
        <f aca="false" ca="false" dt2D="false" dtr="false" t="normal">D27</f>
        <v>7</v>
      </c>
      <c r="E32" s="160" t="n">
        <f aca="false" ca="false" dt2D="false" dtr="false" t="normal">E27</f>
        <v>6</v>
      </c>
      <c r="F32" s="160" t="n">
        <f aca="false" ca="false" dt2D="false" dtr="false" t="normal">F27</f>
        <v>1</v>
      </c>
      <c r="G32" s="161"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165" t="n">
        <f aca="false" ca="false" dt2D="false" dtr="false" t="normal">BIN2HEX(K33, 2)</f>
        <v>0</v>
      </c>
      <c r="L32" s="288" t="n">
        <f aca="false" ca="false" dt2D="false" dtr="false" t="normal">BIN2HEX(L33, 2)</f>
        <v>0</v>
      </c>
      <c r="M32" s="166" t="n">
        <f aca="false" ca="false" dt2D="false" dtr="false" t="normal">IF(LEN(M33)&gt;2, MID(M33, 2, 2), M33)</f>
        <v>11</v>
      </c>
      <c r="N32" s="63" t="s">
        <v>181</v>
      </c>
      <c r="P32" s="136" t="n">
        <f aca="false" ca="false" dt2D="false" dtr="false" t="normal">MID(H28, 5, 1)</f>
        <v>0</v>
      </c>
      <c r="Q32" s="137" t="n">
        <f aca="false" ca="false" dt2D="false" dtr="false" t="normal">P32</f>
        <v>0</v>
      </c>
      <c r="R32" s="120" t="s">
        <v>200</v>
      </c>
      <c r="S32" s="139" t="s">
        <v>459</v>
      </c>
      <c r="T32" s="136" t="n">
        <f aca="false" ca="false" dt2D="false" dtr="false" t="normal">MID(I28, 5, 1)</f>
        <v>0</v>
      </c>
      <c r="U32" s="137" t="n">
        <f aca="false" ca="false" dt2D="false" dtr="false" t="normal">T32</f>
        <v>0</v>
      </c>
      <c r="V32" s="120" t="s">
        <v>200</v>
      </c>
      <c r="W32" s="139" t="s">
        <v>460</v>
      </c>
      <c r="X32" s="136" t="n">
        <f aca="false" ca="false" dt2D="false" dtr="false" t="normal">MID(J28, 5, 1)</f>
        <v>0</v>
      </c>
      <c r="Y32" s="137" t="n">
        <f aca="false" ca="false" dt2D="false" dtr="false" t="normal">X32</f>
        <v>0</v>
      </c>
      <c r="Z32" s="120" t="s">
        <v>200</v>
      </c>
      <c r="AA32" s="139" t="s">
        <v>461</v>
      </c>
      <c r="AB32" s="136" t="n">
        <f aca="false" ca="false" dt2D="false" dtr="false" t="normal">MID(K28, 5, 1)</f>
        <v>0</v>
      </c>
      <c r="AC32" s="137" t="n">
        <f aca="false" ca="false" dt2D="false" dtr="false" t="normal">AB32</f>
        <v>0</v>
      </c>
      <c r="AD32" s="120" t="s">
        <v>200</v>
      </c>
      <c r="AE32" s="139" t="s">
        <v>462</v>
      </c>
      <c r="AF32" s="136" t="n">
        <f aca="false" ca="false" dt2D="false" dtr="false" t="normal">MID(L28, 5, 1)</f>
        <v>0</v>
      </c>
      <c r="AG32" s="137" t="n">
        <f aca="false" ca="false" dt2D="false" dtr="false" t="normal">AF32</f>
        <v>0</v>
      </c>
      <c r="AH32" s="120" t="s">
        <v>200</v>
      </c>
      <c r="AI32" s="139" t="s">
        <v>463</v>
      </c>
      <c r="AJ32" s="708" t="s"/>
      <c r="AK32" s="709" t="s"/>
    </row>
    <row hidden="false" ht="15" outlineLevel="0" r="33">
      <c r="C33" s="98" t="s">
        <v>185</v>
      </c>
      <c r="D33" s="53" t="n">
        <f aca="false" ca="false" dt2D="false" dtr="false" t="normal">HEX2BIN(D32, 8)</f>
        <v>111</v>
      </c>
      <c r="E33" s="53" t="n">
        <f aca="false" ca="false" dt2D="false" dtr="false" t="normal">HEX2BIN(E32, 8)</f>
        <v>110</v>
      </c>
      <c r="F33" s="53" t="n">
        <f aca="false" ca="false" dt2D="false" dtr="false" t="normal">HEX2BIN(F32, 8)</f>
        <v>1</v>
      </c>
      <c r="G33" s="53" t="n">
        <f aca="false" ca="false" dt2D="false" dtr="false" t="normal">HEX2BIN(G32, 8)</f>
        <v>11</v>
      </c>
      <c r="H33" s="171" t="n">
        <f aca="false" ca="false" dt2D="false" dtr="false" t="normal">Q28&amp;Q29&amp;Q30&amp;Q31&amp;Q32&amp;Q33&amp;Q34&amp;Q35</f>
        <v>0</v>
      </c>
      <c r="I33" s="53" t="n">
        <f aca="false" ca="false" dt2D="false" dtr="false" t="normal">U28&amp;U29&amp;U30&amp;U31&amp;U32&amp;U33&amp;U34&amp;U35</f>
        <v>0</v>
      </c>
      <c r="J33" s="171" t="n">
        <f aca="false" ca="false" dt2D="false" dtr="false" t="normal">Y28&amp;Y29&amp;Y30&amp;Y31&amp;Y32&amp;Y33&amp;Y34&amp;Y35</f>
        <v>0</v>
      </c>
      <c r="K33" s="171" t="n">
        <f aca="false" ca="false" dt2D="false" dtr="false" t="normal">AC28&amp;AC29&amp;AC30&amp;AC31&amp;AC32&amp;AC33&amp;AC34&amp;AC35</f>
        <v>0</v>
      </c>
      <c r="L33" s="53" t="n">
        <f aca="false" ca="false" dt2D="false" dtr="false" t="normal">AG28&amp;AG29&amp;AG30&amp;AG31&amp;AG32&amp;AG33&amp;AG34&amp;AG35</f>
        <v>0</v>
      </c>
      <c r="M33" s="53" t="n">
        <f aca="false" ca="false" dt2D="false" dtr="false" t="normal">DEC2HEX(M34)</f>
        <v>11</v>
      </c>
      <c r="N33" s="63" t="n"/>
      <c r="P33" s="136" t="n">
        <f aca="false" ca="false" dt2D="false" dtr="false" t="normal">MID(H28, 6, 1)</f>
        <v>0</v>
      </c>
      <c r="Q33" s="137" t="n">
        <f aca="false" ca="false" dt2D="false" dtr="false" t="normal">P33</f>
        <v>0</v>
      </c>
      <c r="R33" s="120" t="s">
        <v>203</v>
      </c>
      <c r="S33" s="139" t="s">
        <v>464</v>
      </c>
      <c r="T33" s="136" t="n">
        <f aca="false" ca="false" dt2D="false" dtr="false" t="normal">MID(I28, 6, 1)</f>
        <v>0</v>
      </c>
      <c r="U33" s="137" t="n">
        <f aca="false" ca="false" dt2D="false" dtr="false" t="normal">T33</f>
        <v>0</v>
      </c>
      <c r="V33" s="120" t="s">
        <v>203</v>
      </c>
      <c r="W33" s="139" t="s">
        <v>465</v>
      </c>
      <c r="X33" s="136" t="n">
        <f aca="false" ca="false" dt2D="false" dtr="false" t="normal">MID(J28, 6, 1)</f>
        <v>0</v>
      </c>
      <c r="Y33" s="137" t="n">
        <f aca="false" ca="false" dt2D="false" dtr="false" t="normal">X33</f>
        <v>0</v>
      </c>
      <c r="Z33" s="120" t="s">
        <v>203</v>
      </c>
      <c r="AA33" s="139" t="s">
        <v>466</v>
      </c>
      <c r="AB33" s="136" t="n">
        <f aca="false" ca="false" dt2D="false" dtr="false" t="normal">MID(K28, 6, 1)</f>
        <v>0</v>
      </c>
      <c r="AC33" s="137" t="n">
        <f aca="false" ca="false" dt2D="false" dtr="false" t="normal">AB33</f>
        <v>0</v>
      </c>
      <c r="AD33" s="120" t="s">
        <v>203</v>
      </c>
      <c r="AE33" s="139" t="s">
        <v>467</v>
      </c>
      <c r="AF33" s="136" t="n">
        <f aca="false" ca="false" dt2D="false" dtr="false" t="normal">MID(L28, 6, 1)</f>
        <v>0</v>
      </c>
      <c r="AG33" s="137" t="n">
        <f aca="false" ca="false" dt2D="false" dtr="false" t="normal">AF33</f>
        <v>0</v>
      </c>
      <c r="AH33" s="120" t="s">
        <v>203</v>
      </c>
      <c r="AI33" s="139" t="s">
        <v>468</v>
      </c>
      <c r="AJ33" s="710" t="s"/>
      <c r="AK33" s="711" t="s"/>
    </row>
    <row hidden="false" ht="15" outlineLevel="0" r="34">
      <c r="C34" s="98" t="s">
        <v>191</v>
      </c>
      <c r="D34" s="53" t="n">
        <f aca="false" ca="false" dt2D="false" dtr="false" t="normal">HEX2DEC(D32)</f>
        <v>7</v>
      </c>
      <c r="E34" s="53" t="n">
        <f aca="false" ca="false" dt2D="false" dtr="false" t="normal">HEX2DEC(E32)</f>
        <v>6</v>
      </c>
      <c r="F34" s="53" t="n">
        <f aca="false" ca="false" dt2D="false" dtr="false" t="normal">HEX2DEC(F32)</f>
        <v>1</v>
      </c>
      <c r="G34" s="53"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HEX2DEC(K32)</f>
        <v>0</v>
      </c>
      <c r="L34" s="53" t="n">
        <f aca="false" ca="false" dt2D="false" dtr="false" t="normal">HEX2DEC(L32)</f>
        <v>0</v>
      </c>
      <c r="M34" s="53" t="n">
        <f aca="false" ca="false" dt2D="false" dtr="false" t="normal">SUM(D34:L34)</f>
        <v>17</v>
      </c>
      <c r="N34" s="63" t="n"/>
      <c r="P34" s="136" t="n">
        <f aca="false" ca="false" dt2D="false" dtr="false" t="normal">MID(H28, 7, 1)</f>
        <v>0</v>
      </c>
      <c r="Q34" s="137" t="n">
        <f aca="false" ca="false" dt2D="false" dtr="false" t="normal">P34</f>
        <v>0</v>
      </c>
      <c r="R34" s="120" t="s">
        <v>206</v>
      </c>
      <c r="S34" s="139" t="s">
        <v>469</v>
      </c>
      <c r="T34" s="136" t="n">
        <f aca="false" ca="false" dt2D="false" dtr="false" t="normal">MID(I28, 7, 1)</f>
        <v>0</v>
      </c>
      <c r="U34" s="137" t="n">
        <f aca="false" ca="false" dt2D="false" dtr="false" t="normal">T34</f>
        <v>0</v>
      </c>
      <c r="V34" s="120" t="s">
        <v>206</v>
      </c>
      <c r="W34" s="139" t="s">
        <v>470</v>
      </c>
      <c r="X34" s="136" t="n">
        <f aca="false" ca="false" dt2D="false" dtr="false" t="normal">MID(J28, 7, 1)</f>
        <v>0</v>
      </c>
      <c r="Y34" s="137" t="n">
        <f aca="false" ca="false" dt2D="false" dtr="false" t="normal">X34</f>
        <v>0</v>
      </c>
      <c r="Z34" s="120" t="s">
        <v>206</v>
      </c>
      <c r="AA34" s="139" t="s">
        <v>471</v>
      </c>
      <c r="AB34" s="136" t="n">
        <f aca="false" ca="false" dt2D="false" dtr="false" t="normal">MID(K28, 7, 1)</f>
        <v>0</v>
      </c>
      <c r="AC34" s="137" t="n">
        <f aca="false" ca="false" dt2D="false" dtr="false" t="normal">AB34</f>
        <v>0</v>
      </c>
      <c r="AD34" s="120" t="s">
        <v>206</v>
      </c>
      <c r="AE34" s="139" t="s">
        <v>472</v>
      </c>
      <c r="AF34" s="136" t="n">
        <f aca="false" ca="false" dt2D="false" dtr="false" t="normal">MID(L28, 7, 1)</f>
        <v>0</v>
      </c>
      <c r="AG34" s="137" t="n">
        <f aca="false" ca="false" dt2D="false" dtr="false" t="normal">AF34</f>
        <v>0</v>
      </c>
      <c r="AH34" s="120" t="s">
        <v>206</v>
      </c>
      <c r="AI34" s="139" t="s">
        <v>473</v>
      </c>
      <c r="AJ34" s="712" t="s"/>
      <c r="AK34" s="713" t="s"/>
    </row>
    <row hidden="false" ht="15.75" outlineLevel="0" r="35">
      <c r="C35" s="180" t="s">
        <v>194</v>
      </c>
      <c r="D35" s="299" t="n">
        <f aca="false" ca="false" dt2D="false" dtr="false" t="normal">D30</f>
        <v>7</v>
      </c>
      <c r="E35" s="299" t="n">
        <f aca="false" ca="false" dt2D="false" dtr="false" t="normal">E30</f>
        <v>6</v>
      </c>
      <c r="F35" s="299" t="str">
        <f aca="false" ca="false" dt2D="false" dtr="false" t="normal">F30</f>
        <v>G1</v>
      </c>
      <c r="G35" s="299"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87" t="s">
        <v>474</v>
      </c>
      <c r="T35" s="182" t="n">
        <f aca="false" ca="false" dt2D="false" dtr="false" t="normal">MID(I28, 8, 1)</f>
        <v>0</v>
      </c>
      <c r="U35" s="183" t="n">
        <f aca="false" ca="false" dt2D="false" dtr="false" t="normal">T35</f>
        <v>0</v>
      </c>
      <c r="V35" s="184" t="s">
        <v>208</v>
      </c>
      <c r="W35" s="187" t="s">
        <v>475</v>
      </c>
      <c r="X35" s="182" t="n">
        <f aca="false" ca="false" dt2D="false" dtr="false" t="normal">MID(J28, 8, 1)</f>
        <v>0</v>
      </c>
      <c r="Y35" s="183" t="n">
        <f aca="false" ca="false" dt2D="false" dtr="false" t="normal">X35</f>
        <v>0</v>
      </c>
      <c r="Z35" s="184" t="s">
        <v>208</v>
      </c>
      <c r="AA35" s="187" t="s">
        <v>476</v>
      </c>
      <c r="AB35" s="182" t="n">
        <f aca="false" ca="false" dt2D="false" dtr="false" t="normal">MID(K28, 8, 1)</f>
        <v>0</v>
      </c>
      <c r="AC35" s="183" t="n">
        <f aca="false" ca="false" dt2D="false" dtr="false" t="normal">AB35</f>
        <v>0</v>
      </c>
      <c r="AD35" s="184" t="s">
        <v>208</v>
      </c>
      <c r="AE35" s="187" t="s">
        <v>477</v>
      </c>
      <c r="AF35" s="182" t="n">
        <f aca="false" ca="false" dt2D="false" dtr="false" t="normal">MID(L28, 8, 1)</f>
        <v>0</v>
      </c>
      <c r="AG35" s="183" t="n">
        <f aca="false" ca="false" dt2D="false" dtr="false" t="normal">AF35</f>
        <v>0</v>
      </c>
      <c r="AH35" s="184" t="s">
        <v>208</v>
      </c>
      <c r="AI35" s="187" t="s">
        <v>478</v>
      </c>
      <c r="AJ35" s="714" t="s"/>
      <c r="AK35" s="715" t="s"/>
    </row>
    <row hidden="false" ht="15.75" outlineLevel="0" r="36">
      <c r="C36" s="93" t="n"/>
      <c r="D36" s="94" t="n"/>
      <c r="E36" s="94" t="n"/>
      <c r="F36" s="94" t="n"/>
      <c r="G36" s="94" t="n"/>
      <c r="H36" s="94" t="n"/>
      <c r="I36" s="94" t="n"/>
      <c r="J36" s="94" t="s">
        <v>161</v>
      </c>
      <c r="N36" s="60" t="n"/>
      <c r="P36" s="95" t="str">
        <f aca="false" ca="false" dt2D="false" dtr="false" t="normal">RIGHT(D38, 1)&amp;E38&amp;"-"&amp;F38&amp;"-"&amp;G38</f>
        <v>706-01-04</v>
      </c>
      <c r="Q36" s="716" t="s"/>
      <c r="R36" s="97" t="s">
        <v>479</v>
      </c>
      <c r="S36" s="97" t="s"/>
      <c r="T36" s="97" t="s"/>
      <c r="U36" s="97" t="s"/>
      <c r="V36" s="97" t="s"/>
      <c r="W36" s="97" t="s"/>
      <c r="X36" s="97" t="s"/>
      <c r="Y36" s="97" t="s"/>
      <c r="Z36" s="97" t="s"/>
      <c r="AA36" s="97" t="s"/>
      <c r="AB36" s="97" t="s"/>
      <c r="AC36" s="97" t="s"/>
      <c r="AD36" s="97" t="s"/>
      <c r="AE36" s="97" t="s"/>
      <c r="AF36" s="97" t="s"/>
      <c r="AG36" s="97" t="s"/>
      <c r="AH36" s="97" t="s"/>
      <c r="AI36" s="97" t="s"/>
      <c r="AJ36" s="97" t="s"/>
      <c r="AK36" s="97" t="s"/>
    </row>
    <row hidden="false" ht="15.75" outlineLevel="0" r="37">
      <c r="C37" s="98" t="n"/>
      <c r="D37" s="99" t="s">
        <v>480</v>
      </c>
      <c r="E37" s="717" t="s"/>
      <c r="F37" s="718" t="s"/>
      <c r="G37" s="719" t="s"/>
      <c r="H37" s="53" t="s">
        <v>165</v>
      </c>
      <c r="I37" s="53" t="s">
        <v>166</v>
      </c>
      <c r="J37" s="53" t="s">
        <v>167</v>
      </c>
      <c r="N37" s="63" t="n"/>
      <c r="P37" s="103" t="s">
        <v>481</v>
      </c>
      <c r="Q37" s="720" t="s"/>
      <c r="R37" s="721" t="s"/>
      <c r="S37" s="722" t="s"/>
      <c r="T37" s="103" t="s">
        <v>482</v>
      </c>
      <c r="U37" s="723" t="s"/>
      <c r="V37" s="724" t="s"/>
      <c r="W37" s="725" t="s"/>
      <c r="X37" s="116" t="s">
        <v>483</v>
      </c>
      <c r="Y37" s="726" t="s"/>
      <c r="Z37" s="727" t="s"/>
      <c r="AA37" s="728" t="s"/>
      <c r="AB37" s="120" t="n"/>
      <c r="AC37" s="121" t="n"/>
      <c r="AD37" s="121" t="n"/>
      <c r="AE37" s="121" t="n"/>
      <c r="AF37" s="121" t="n"/>
      <c r="AG37" s="121" t="n"/>
      <c r="AH37" s="121" t="n"/>
      <c r="AI37" s="121" t="n"/>
      <c r="AJ37" s="121" t="n"/>
      <c r="AK37" s="121" t="n"/>
    </row>
    <row hidden="false" ht="15.75" outlineLevel="0" r="38">
      <c r="C38" s="98" t="s">
        <v>176</v>
      </c>
      <c r="D38" s="122" t="s">
        <v>177</v>
      </c>
      <c r="E38" s="123" t="s">
        <v>358</v>
      </c>
      <c r="F38" s="123" t="s">
        <v>179</v>
      </c>
      <c r="G38" s="124" t="s">
        <v>342</v>
      </c>
      <c r="H38" s="125" t="n">
        <f aca="false" ca="false" dt2D="false" dtr="false" t="normal">MID($A$7, 8, 2)</f>
        <v>0</v>
      </c>
      <c r="I38" s="127" t="n">
        <f aca="false" ca="false" dt2D="false" dtr="false" t="normal">MID($A$7, 10, 2)</f>
        <v>0</v>
      </c>
      <c r="J38" s="128" t="n">
        <f aca="false" ca="false" dt2D="false" dtr="false" t="normal">MID($A$7, 12, 2)</f>
        <v>12</v>
      </c>
      <c r="N38" s="63" t="s">
        <v>180</v>
      </c>
      <c r="P38" s="129" t="s">
        <v>180</v>
      </c>
      <c r="Q38" s="130" t="s">
        <v>181</v>
      </c>
      <c r="R38" s="121" t="s">
        <v>182</v>
      </c>
      <c r="S38" s="729" t="n"/>
      <c r="T38" s="129" t="s">
        <v>180</v>
      </c>
      <c r="U38" s="130" t="s">
        <v>181</v>
      </c>
      <c r="V38" s="121" t="s">
        <v>182</v>
      </c>
      <c r="W38" s="131" t="n"/>
      <c r="X38" s="116" t="n"/>
      <c r="Y38" s="730" t="s"/>
      <c r="Z38" s="731" t="s"/>
      <c r="AA38" s="732" t="s"/>
      <c r="AB38" s="121" t="n"/>
      <c r="AC38" s="121" t="n"/>
      <c r="AD38" s="121" t="n"/>
      <c r="AE38" s="121" t="n"/>
      <c r="AF38" s="121" t="n"/>
      <c r="AG38" s="121" t="n"/>
      <c r="AH38" s="121" t="n"/>
      <c r="AI38" s="121" t="n"/>
      <c r="AJ38" s="121" t="n"/>
      <c r="AK38" s="121" t="n"/>
    </row>
    <row hidden="false" ht="15" outlineLevel="0" r="39">
      <c r="C39" s="98" t="s">
        <v>185</v>
      </c>
      <c r="D39" s="53" t="n">
        <f aca="false" ca="false" dt2D="false" dtr="false" t="normal">HEX2BIN(D38, 8)</f>
        <v>111</v>
      </c>
      <c r="E39" s="53" t="n">
        <f aca="false" ca="false" dt2D="false" dtr="false" t="normal">HEX2BIN(E38, 8)</f>
        <v>110</v>
      </c>
      <c r="F39" s="53" t="n">
        <f aca="false" ca="false" dt2D="false" dtr="false" t="normal">HEX2BIN(F38, 8)</f>
        <v>1</v>
      </c>
      <c r="G39" s="53" t="n">
        <f aca="false" ca="false" dt2D="false" dtr="false" t="normal">HEX2BIN(G38, 8)</f>
        <v>100</v>
      </c>
      <c r="H39" s="53" t="n">
        <f aca="false" ca="false" dt2D="false" dtr="false" t="normal">HEX2BIN(H38, 8)</f>
        <v>0</v>
      </c>
      <c r="I39" s="53" t="n">
        <f aca="false" ca="false" dt2D="false" dtr="false" t="normal">HEX2BIN(I38, 8)</f>
        <v>0</v>
      </c>
      <c r="J39" s="53" t="n"/>
      <c r="N39" s="63" t="n"/>
      <c r="P39" s="136" t="n">
        <f aca="false" ca="false" dt2D="false" dtr="false" t="normal">MID(H39, 1, 1)</f>
        <v>0</v>
      </c>
      <c r="Q39" s="137" t="n">
        <f aca="false" ca="false" dt2D="false" dtr="false" t="normal">P39</f>
        <v>0</v>
      </c>
      <c r="R39" s="120" t="s">
        <v>186</v>
      </c>
      <c r="S39" s="139" t="s">
        <v>484</v>
      </c>
      <c r="T39" s="136" t="n">
        <f aca="false" ca="false" dt2D="false" dtr="false" t="normal">MID(I39, 1, 1)</f>
        <v>0</v>
      </c>
      <c r="U39" s="137" t="n">
        <f aca="false" ca="false" dt2D="false" dtr="false" t="normal">T39</f>
        <v>0</v>
      </c>
      <c r="V39" s="120" t="s">
        <v>186</v>
      </c>
      <c r="W39" s="139" t="s">
        <v>485</v>
      </c>
      <c r="X39" s="733" t="s"/>
      <c r="Y39" s="142" t="s"/>
      <c r="Z39" s="142" t="s"/>
      <c r="AA39" s="734" t="s"/>
      <c r="AB39" s="121" t="n"/>
      <c r="AC39" s="121" t="n"/>
      <c r="AD39" s="121" t="n"/>
      <c r="AE39" s="121" t="n"/>
      <c r="AF39" s="121" t="n"/>
      <c r="AG39" s="121" t="n"/>
      <c r="AH39" s="121" t="n"/>
      <c r="AI39" s="121" t="n"/>
      <c r="AJ39" s="121" t="n"/>
      <c r="AK39" s="121" t="n"/>
    </row>
    <row hidden="false" ht="15" outlineLevel="0" r="40">
      <c r="C40" s="98" t="s">
        <v>191</v>
      </c>
      <c r="D40" s="53" t="n">
        <f aca="false" ca="false" dt2D="false" dtr="false" t="normal">HEX2DEC(D38)</f>
        <v>7</v>
      </c>
      <c r="E40" s="53" t="n">
        <f aca="false" ca="false" dt2D="false" dtr="false" t="normal">HEX2DEC(E38)</f>
        <v>6</v>
      </c>
      <c r="F40" s="53" t="n">
        <f aca="false" ca="false" dt2D="false" dtr="false" t="normal">HEX2DEC(F38)</f>
        <v>1</v>
      </c>
      <c r="G40" s="53" t="n">
        <f aca="false" ca="false" dt2D="false" dtr="false" t="normal">HEX2DEC(G38)</f>
        <v>4</v>
      </c>
      <c r="H40" s="53" t="n">
        <f aca="false" ca="false" dt2D="false" dtr="false" t="normal">HEX2DEC(H38)</f>
        <v>0</v>
      </c>
      <c r="I40" s="53" t="n">
        <f aca="false" ca="false" dt2D="false" dtr="false" t="normal">HEX2DEC(I38)</f>
        <v>0</v>
      </c>
      <c r="J40" s="53" t="n">
        <f aca="false" ca="false" dt2D="false" dtr="false" t="normal">SUM(D40:I40)</f>
        <v>18</v>
      </c>
      <c r="N40" s="63" t="n"/>
      <c r="P40" s="136" t="n">
        <f aca="false" ca="false" dt2D="false" dtr="false" t="normal">MID(H39, 2, 1)</f>
        <v>0</v>
      </c>
      <c r="Q40" s="137" t="n">
        <f aca="false" ca="false" dt2D="false" dtr="false" t="normal">P40</f>
        <v>0</v>
      </c>
      <c r="R40" s="120" t="s">
        <v>192</v>
      </c>
      <c r="S40" s="139" t="s">
        <v>486</v>
      </c>
      <c r="T40" s="136" t="n">
        <f aca="false" ca="false" dt2D="false" dtr="false" t="normal">MID(I39, 2, 1)</f>
        <v>0</v>
      </c>
      <c r="U40" s="137" t="n">
        <f aca="false" ca="false" dt2D="false" dtr="false" t="normal">T40</f>
        <v>0</v>
      </c>
      <c r="V40" s="120" t="s">
        <v>192</v>
      </c>
      <c r="W40" s="139" t="s">
        <v>487</v>
      </c>
      <c r="X40" s="735" t="s"/>
      <c r="Y40" s="142" t="s"/>
      <c r="Z40" s="142" t="s"/>
      <c r="AA40" s="736" t="s"/>
      <c r="AB40" s="121" t="n"/>
      <c r="AC40" s="121" t="n"/>
      <c r="AD40" s="121" t="n"/>
      <c r="AE40" s="121" t="n"/>
      <c r="AF40" s="121" t="n"/>
      <c r="AG40" s="121" t="n"/>
      <c r="AH40" s="121" t="n"/>
      <c r="AI40" s="121" t="n"/>
      <c r="AJ40" s="121" t="n"/>
      <c r="AK40" s="121" t="n"/>
    </row>
    <row hidden="false" ht="15" outlineLevel="0" r="41">
      <c r="C41" s="98" t="s">
        <v>194</v>
      </c>
      <c r="D41" s="149" t="n">
        <f aca="false" ca="false" dt2D="false" dtr="false" t="normal">D38</f>
        <v>7</v>
      </c>
      <c r="E41" s="149" t="n">
        <f aca="false" ca="false" dt2D="false" dtr="false" t="normal">E38</f>
        <v>6</v>
      </c>
      <c r="F41" s="53" t="str">
        <f aca="false" ca="false" dt2D="false" dtr="false" t="normal">MID($A$7, 4, 2)</f>
        <v>G1</v>
      </c>
      <c r="G41" s="53" t="str">
        <f aca="false" ca="false" dt2D="false" dtr="false" t="normal">MID($A$7, 6, 2)</f>
        <v>G4</v>
      </c>
      <c r="N41" s="63" t="n"/>
      <c r="P41" s="136" t="n">
        <f aca="false" ca="false" dt2D="false" dtr="false" t="normal">MID(H39, 3, 1)</f>
        <v>0</v>
      </c>
      <c r="Q41" s="137" t="n">
        <f aca="false" ca="false" dt2D="false" dtr="false" t="normal">P41</f>
        <v>0</v>
      </c>
      <c r="R41" s="120" t="s">
        <v>195</v>
      </c>
      <c r="S41" s="139" t="s">
        <v>488</v>
      </c>
      <c r="T41" s="136" t="n">
        <f aca="false" ca="false" dt2D="false" dtr="false" t="normal">MID(I39, 3, 1)</f>
        <v>0</v>
      </c>
      <c r="U41" s="137" t="n">
        <f aca="false" ca="false" dt2D="false" dtr="false" t="normal">T41</f>
        <v>0</v>
      </c>
      <c r="V41" s="120" t="s">
        <v>195</v>
      </c>
      <c r="W41" s="139" t="s">
        <v>489</v>
      </c>
      <c r="X41" s="737" t="s"/>
      <c r="Y41" s="142" t="s"/>
      <c r="Z41" s="142" t="s"/>
      <c r="AA41" s="738" t="s"/>
      <c r="AB41" s="121" t="n"/>
      <c r="AC41" s="121" t="n"/>
      <c r="AD41" s="121" t="n"/>
      <c r="AE41" s="121" t="n"/>
      <c r="AF41" s="121" t="n"/>
      <c r="AG41" s="121" t="n"/>
      <c r="AH41" s="121" t="n"/>
      <c r="AI41" s="121" t="n"/>
      <c r="AJ41" s="121" t="n"/>
      <c r="AK41" s="121" t="n"/>
    </row>
    <row hidden="false" ht="15.75" outlineLevel="0" r="42">
      <c r="C42" s="98" t="n"/>
      <c r="N42" s="63" t="n"/>
      <c r="P42" s="136" t="n">
        <f aca="false" ca="false" dt2D="false" dtr="false" t="normal">MID(H39, 4, 1)</f>
        <v>0</v>
      </c>
      <c r="Q42" s="137" t="n">
        <f aca="false" ca="false" dt2D="false" dtr="false" t="normal">P42</f>
        <v>0</v>
      </c>
      <c r="R42" s="120" t="s">
        <v>197</v>
      </c>
      <c r="S42" s="139" t="s">
        <v>490</v>
      </c>
      <c r="T42" s="136" t="n">
        <f aca="false" ca="false" dt2D="false" dtr="false" t="normal">MID(I39, 4, 1)</f>
        <v>0</v>
      </c>
      <c r="U42" s="137" t="n">
        <f aca="false" ca="false" dt2D="false" dtr="false" t="normal">T42</f>
        <v>0</v>
      </c>
      <c r="V42" s="120" t="s">
        <v>197</v>
      </c>
      <c r="W42" s="139" t="s">
        <v>491</v>
      </c>
      <c r="X42" s="739" t="s"/>
      <c r="Y42" s="142" t="s"/>
      <c r="Z42" s="142" t="s"/>
      <c r="AA42" s="740" t="s"/>
      <c r="AB42" s="121" t="n"/>
      <c r="AC42" s="121" t="n"/>
      <c r="AD42" s="121" t="n"/>
      <c r="AE42" s="121" t="n"/>
      <c r="AF42" s="121" t="n"/>
      <c r="AG42" s="121" t="n"/>
      <c r="AH42" s="121" t="n"/>
      <c r="AI42" s="121" t="n"/>
      <c r="AJ42" s="121" t="n"/>
      <c r="AK42" s="121" t="n"/>
    </row>
    <row hidden="false" ht="15.75" outlineLevel="0" r="43">
      <c r="C43" s="98" t="s">
        <v>176</v>
      </c>
      <c r="D43" s="159" t="n">
        <f aca="false" ca="false" dt2D="false" dtr="false" t="normal">D38</f>
        <v>7</v>
      </c>
      <c r="E43" s="160" t="n">
        <f aca="false" ca="false" dt2D="false" dtr="false" t="normal">E38</f>
        <v>6</v>
      </c>
      <c r="F43" s="160" t="n">
        <f aca="false" ca="false" dt2D="false" dtr="false" t="normal">F38</f>
        <v>1</v>
      </c>
      <c r="G43" s="161" t="n">
        <f aca="false" ca="false" dt2D="false" dtr="false" t="normal">G38</f>
        <v>4</v>
      </c>
      <c r="H43" s="162" t="n">
        <f aca="false" ca="false" dt2D="false" dtr="false" t="normal">BIN2HEX(H44, 2)</f>
        <v>0</v>
      </c>
      <c r="I43" s="163" t="n">
        <f aca="false" ca="false" dt2D="false" dtr="false" t="normal">BIN2HEX(I44, 2)</f>
        <v>0</v>
      </c>
      <c r="J43" s="218" t="n">
        <f aca="false" ca="false" dt2D="false" dtr="false" t="normal">IF(LEN(J44)&gt;2, MID(J44, 2, 2), J44)</f>
        <v>12</v>
      </c>
      <c r="N43" s="63" t="s">
        <v>181</v>
      </c>
      <c r="P43" s="136" t="n">
        <f aca="false" ca="false" dt2D="false" dtr="false" t="normal">MID(H39, 5, 1)</f>
        <v>0</v>
      </c>
      <c r="Q43" s="137" t="n">
        <f aca="false" ca="false" dt2D="false" dtr="false" t="normal">P43</f>
        <v>0</v>
      </c>
      <c r="R43" s="120" t="s">
        <v>200</v>
      </c>
      <c r="S43" s="139" t="s">
        <v>492</v>
      </c>
      <c r="T43" s="136" t="n">
        <f aca="false" ca="false" dt2D="false" dtr="false" t="normal">MID(I39, 5, 1)</f>
        <v>0</v>
      </c>
      <c r="U43" s="137" t="n">
        <f aca="false" ca="false" dt2D="false" dtr="false" t="normal">T43</f>
        <v>0</v>
      </c>
      <c r="V43" s="120" t="s">
        <v>200</v>
      </c>
      <c r="W43" s="139" t="s">
        <v>493</v>
      </c>
      <c r="X43" s="741" t="s"/>
      <c r="Y43" s="142" t="s"/>
      <c r="Z43" s="142" t="s"/>
      <c r="AA43" s="742" t="s"/>
      <c r="AB43" s="121" t="n"/>
      <c r="AC43" s="121" t="n"/>
      <c r="AD43" s="121" t="n"/>
      <c r="AE43" s="121" t="n"/>
      <c r="AF43" s="121" t="n"/>
      <c r="AG43" s="121" t="n"/>
      <c r="AH43" s="121" t="n"/>
      <c r="AI43" s="121" t="n"/>
      <c r="AJ43" s="121" t="n"/>
      <c r="AK43" s="121" t="n"/>
    </row>
    <row hidden="false" ht="15" outlineLevel="0" r="44">
      <c r="C44" s="98" t="s">
        <v>185</v>
      </c>
      <c r="D44" s="53" t="n">
        <f aca="false" ca="false" dt2D="false" dtr="false" t="normal">HEX2BIN(D43, 8)</f>
        <v>111</v>
      </c>
      <c r="E44" s="53" t="n">
        <f aca="false" ca="false" dt2D="false" dtr="false" t="normal">HEX2BIN(E43, 8)</f>
        <v>110</v>
      </c>
      <c r="F44" s="53" t="n">
        <f aca="false" ca="false" dt2D="false" dtr="false" t="normal">HEX2BIN(F43, 8)</f>
        <v>1</v>
      </c>
      <c r="G44" s="53" t="n">
        <f aca="false" ca="false" dt2D="false" dtr="false" t="normal">HEX2BIN(G43, 8)</f>
        <v>100</v>
      </c>
      <c r="H44" s="171" t="n">
        <f aca="false" ca="false" dt2D="false" dtr="false" t="normal">Q39&amp;Q40&amp;Q41&amp;Q42&amp;Q43&amp;Q44&amp;Q45&amp;Q46</f>
        <v>0</v>
      </c>
      <c r="I44" s="53" t="n">
        <f aca="false" ca="false" dt2D="false" dtr="false" t="normal">U39&amp;U40&amp;U41&amp;U42&amp;U43&amp;U44&amp;U45&amp;U46</f>
        <v>0</v>
      </c>
      <c r="J44" s="53" t="n">
        <f aca="false" ca="false" dt2D="false" dtr="false" t="normal">DEC2HEX(J45)</f>
        <v>12</v>
      </c>
      <c r="N44" s="63" t="n"/>
      <c r="P44" s="136" t="n">
        <f aca="false" ca="false" dt2D="false" dtr="false" t="normal">MID(H39, 6, 1)</f>
        <v>0</v>
      </c>
      <c r="Q44" s="137" t="n">
        <f aca="false" ca="false" dt2D="false" dtr="false" t="normal">P44</f>
        <v>0</v>
      </c>
      <c r="R44" s="120" t="s">
        <v>203</v>
      </c>
      <c r="S44" s="139" t="s">
        <v>494</v>
      </c>
      <c r="T44" s="136" t="n">
        <f aca="false" ca="false" dt2D="false" dtr="false" t="normal">MID(I39, 6, 1)</f>
        <v>0</v>
      </c>
      <c r="U44" s="137" t="n">
        <f aca="false" ca="false" dt2D="false" dtr="false" t="normal">T44</f>
        <v>0</v>
      </c>
      <c r="V44" s="120" t="s">
        <v>203</v>
      </c>
      <c r="W44" s="139" t="s">
        <v>495</v>
      </c>
      <c r="X44" s="743" t="s"/>
      <c r="Y44" s="142" t="s"/>
      <c r="Z44" s="142" t="s"/>
      <c r="AA44" s="744" t="s"/>
      <c r="AB44" s="121" t="n"/>
      <c r="AC44" s="121" t="n"/>
      <c r="AD44" s="121" t="n"/>
      <c r="AE44" s="121" t="n"/>
      <c r="AF44" s="121" t="n"/>
      <c r="AG44" s="121" t="n"/>
      <c r="AH44" s="121" t="n"/>
      <c r="AI44" s="121" t="n"/>
      <c r="AJ44" s="121" t="n"/>
      <c r="AK44" s="121" t="n"/>
    </row>
    <row hidden="false" ht="15" outlineLevel="0" r="45">
      <c r="C45" s="98" t="s">
        <v>191</v>
      </c>
      <c r="D45" s="53" t="n">
        <f aca="false" ca="false" dt2D="false" dtr="false" t="normal">HEX2DEC(D43)</f>
        <v>7</v>
      </c>
      <c r="E45" s="53" t="n">
        <f aca="false" ca="false" dt2D="false" dtr="false" t="normal">HEX2DEC(E43)</f>
        <v>6</v>
      </c>
      <c r="F45" s="53" t="n">
        <f aca="false" ca="false" dt2D="false" dtr="false" t="normal">HEX2DEC(F43)</f>
        <v>1</v>
      </c>
      <c r="G45" s="53" t="n">
        <f aca="false" ca="false" dt2D="false" dtr="false" t="normal">HEX2DEC(G43)</f>
        <v>4</v>
      </c>
      <c r="H45" s="53" t="n">
        <f aca="false" ca="false" dt2D="false" dtr="false" t="normal">HEX2DEC(H43)</f>
        <v>0</v>
      </c>
      <c r="I45" s="53" t="n">
        <f aca="false" ca="false" dt2D="false" dtr="false" t="normal">HEX2DEC(I43)</f>
        <v>0</v>
      </c>
      <c r="J45" s="53" t="n">
        <f aca="false" ca="false" dt2D="false" dtr="false" t="normal">SUM(D45:I45)</f>
        <v>18</v>
      </c>
      <c r="N45" s="63" t="n"/>
      <c r="P45" s="136" t="n">
        <f aca="false" ca="false" dt2D="false" dtr="false" t="normal">MID(H39, 7, 1)</f>
        <v>0</v>
      </c>
      <c r="Q45" s="137" t="n">
        <f aca="false" ca="false" dt2D="false" dtr="false" t="normal">P45</f>
        <v>0</v>
      </c>
      <c r="R45" s="120" t="s">
        <v>206</v>
      </c>
      <c r="S45" s="139" t="s">
        <v>496</v>
      </c>
      <c r="T45" s="136" t="n">
        <f aca="false" ca="false" dt2D="false" dtr="false" t="normal">MID(I39, 7, 1)</f>
        <v>0</v>
      </c>
      <c r="U45" s="137" t="n">
        <f aca="false" ca="false" dt2D="false" dtr="false" t="normal">T45</f>
        <v>0</v>
      </c>
      <c r="V45" s="120" t="s">
        <v>206</v>
      </c>
      <c r="W45" s="139" t="s">
        <v>497</v>
      </c>
      <c r="X45" s="745" t="s"/>
      <c r="Y45" s="142" t="s"/>
      <c r="Z45" s="142" t="s"/>
      <c r="AA45" s="746" t="s"/>
      <c r="AB45" s="121" t="n"/>
      <c r="AC45" s="121" t="n"/>
      <c r="AD45" s="121" t="n"/>
      <c r="AE45" s="121" t="n"/>
      <c r="AF45" s="121" t="n"/>
      <c r="AG45" s="121" t="n"/>
      <c r="AH45" s="121" t="n"/>
      <c r="AI45" s="121" t="n"/>
      <c r="AJ45" s="121" t="n"/>
      <c r="AK45" s="121" t="n"/>
    </row>
    <row hidden="false" ht="15.75" outlineLevel="0" r="46">
      <c r="C46" s="180" t="s">
        <v>194</v>
      </c>
      <c r="D46" s="299" t="n">
        <f aca="false" ca="false" dt2D="false" dtr="false" t="normal">D41</f>
        <v>7</v>
      </c>
      <c r="E46" s="299" t="n">
        <f aca="false" ca="false" dt2D="false" dtr="false" t="normal">E41</f>
        <v>6</v>
      </c>
      <c r="F46" s="299" t="str">
        <f aca="false" ca="false" dt2D="false" dtr="false" t="normal">F41</f>
        <v>G1</v>
      </c>
      <c r="G46" s="299" t="str">
        <f aca="false" ca="false" dt2D="false" dtr="false" t="normal">G41</f>
        <v>G4</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7" t="s">
        <v>498</v>
      </c>
      <c r="T46" s="182" t="n">
        <f aca="false" ca="false" dt2D="false" dtr="false" t="normal">MID(I39, 8, 1)</f>
        <v>0</v>
      </c>
      <c r="U46" s="183" t="n">
        <f aca="false" ca="false" dt2D="false" dtr="false" t="normal">T46</f>
        <v>0</v>
      </c>
      <c r="V46" s="184" t="s">
        <v>208</v>
      </c>
      <c r="W46" s="187" t="s">
        <v>499</v>
      </c>
      <c r="X46" s="747" t="s"/>
      <c r="Y46" s="748" t="s"/>
      <c r="Z46" s="749" t="s"/>
      <c r="AA46" s="750" t="s"/>
      <c r="AB46" s="121" t="n"/>
      <c r="AC46" s="121" t="n"/>
      <c r="AD46" s="121" t="n"/>
      <c r="AE46" s="121" t="n"/>
      <c r="AF46" s="121" t="n"/>
      <c r="AG46" s="121" t="n"/>
      <c r="AH46" s="121" t="n"/>
      <c r="AI46" s="121" t="n"/>
      <c r="AJ46" s="121" t="n"/>
      <c r="AK46" s="121" t="n"/>
    </row>
    <row hidden="false" ht="15.75" outlineLevel="0" r="47">
      <c r="C47" s="93" t="n"/>
      <c r="D47" s="94" t="n"/>
      <c r="E47" s="94" t="n"/>
      <c r="F47" s="94" t="n"/>
      <c r="G47" s="94" t="n"/>
      <c r="H47" s="94" t="n"/>
      <c r="I47" s="94" t="n"/>
      <c r="J47" s="94" t="n"/>
      <c r="K47" s="94" t="n"/>
      <c r="L47" s="94" t="n"/>
      <c r="M47" s="94" t="s">
        <v>161</v>
      </c>
      <c r="N47" s="60" t="n"/>
      <c r="P47" s="95" t="str">
        <f aca="false" ca="false" dt2D="false" dtr="false" t="normal">RIGHT(D49, 1)&amp;E49&amp;"-"&amp;F49&amp;"-"&amp;G49</f>
        <v>706-02-01</v>
      </c>
      <c r="Q47" s="751" t="s"/>
      <c r="R47" s="234" t="s">
        <v>500</v>
      </c>
      <c r="S47" s="752" t="s"/>
      <c r="T47" s="753" t="s"/>
      <c r="U47" s="754" t="s"/>
      <c r="V47" s="755" t="s"/>
      <c r="W47" s="756" t="s"/>
      <c r="X47" s="757" t="s"/>
      <c r="Y47" s="758" t="s"/>
      <c r="Z47" s="759" t="s"/>
      <c r="AA47" s="760" t="s"/>
      <c r="AB47" s="761" t="s"/>
      <c r="AC47" s="762" t="s"/>
      <c r="AD47" s="763" t="s"/>
      <c r="AE47" s="764" t="s"/>
      <c r="AF47" s="765" t="s"/>
      <c r="AG47" s="766" t="s"/>
      <c r="AH47" s="767" t="s"/>
      <c r="AI47" s="768" t="s"/>
      <c r="AJ47" s="769" t="s"/>
      <c r="AK47" s="770" t="s"/>
    </row>
    <row hidden="false" ht="15.75" outlineLevel="0" r="48">
      <c r="C48" s="98" t="n"/>
      <c r="D48" s="99" t="s">
        <v>501</v>
      </c>
      <c r="E48" s="771" t="s"/>
      <c r="F48" s="772" t="s"/>
      <c r="G48" s="773" t="s"/>
      <c r="H48" s="53" t="s">
        <v>165</v>
      </c>
      <c r="I48" s="53" t="s">
        <v>166</v>
      </c>
      <c r="J48" s="53" t="s">
        <v>167</v>
      </c>
      <c r="K48" s="53" t="s">
        <v>168</v>
      </c>
      <c r="L48" s="53" t="s">
        <v>169</v>
      </c>
      <c r="M48" s="53" t="s">
        <v>221</v>
      </c>
      <c r="N48" s="63" t="n"/>
      <c r="P48" s="103" t="s">
        <v>502</v>
      </c>
      <c r="Q48" s="774" t="s"/>
      <c r="R48" s="775" t="s"/>
      <c r="S48" s="776" t="s"/>
      <c r="T48" s="103" t="s">
        <v>503</v>
      </c>
      <c r="U48" s="777" t="s"/>
      <c r="V48" s="778" t="s"/>
      <c r="W48" s="779" t="s"/>
      <c r="X48" s="103" t="s">
        <v>504</v>
      </c>
      <c r="Y48" s="780" t="s"/>
      <c r="Z48" s="781" t="s"/>
      <c r="AA48" s="782" t="s"/>
      <c r="AB48" s="103" t="s">
        <v>505</v>
      </c>
      <c r="AC48" s="783" t="s"/>
      <c r="AD48" s="784" t="s"/>
      <c r="AE48" s="785" t="s"/>
      <c r="AF48" s="103" t="s">
        <v>506</v>
      </c>
      <c r="AG48" s="786" t="s"/>
      <c r="AH48" s="787" t="s"/>
      <c r="AI48" s="788" t="s"/>
      <c r="AJ48" s="103" t="s">
        <v>507</v>
      </c>
      <c r="AK48" s="789" t="s"/>
    </row>
    <row hidden="false" ht="15.75" outlineLevel="0" r="49">
      <c r="C49" s="98" t="s">
        <v>176</v>
      </c>
      <c r="D49" s="122" t="s">
        <v>177</v>
      </c>
      <c r="E49" s="123" t="s">
        <v>358</v>
      </c>
      <c r="F49" s="123" t="s">
        <v>216</v>
      </c>
      <c r="G49" s="124" t="s">
        <v>179</v>
      </c>
      <c r="H49" s="125" t="n">
        <f aca="false" ca="false" dt2D="false" dtr="false" t="normal">MID($A$9, 8, 2)</f>
        <v>0</v>
      </c>
      <c r="I49" s="126" t="n">
        <f aca="false" ca="false" dt2D="false" dtr="false" t="normal">MID($A$9, 10, 2)</f>
        <v>0</v>
      </c>
      <c r="J49" s="126" t="n">
        <f aca="false" ca="false" dt2D="false" dtr="false" t="normal">MID($A$9, 12, 2)</f>
        <v>0</v>
      </c>
      <c r="K49" s="127" t="n">
        <f aca="false" ca="false" dt2D="false" dtr="false" t="normal">MID($A$9, 14, 2)</f>
        <v>0</v>
      </c>
      <c r="L49" s="274" t="n">
        <f aca="false" ca="false" dt2D="false" dtr="false" t="normal">MID($A$9, 16, 2)</f>
        <v>0</v>
      </c>
      <c r="M49" s="128" t="n">
        <f aca="false" ca="false" dt2D="false" dtr="false" t="normal">MID($A$9, 18, 2)</f>
        <v>10</v>
      </c>
      <c r="N49" s="63" t="s">
        <v>180</v>
      </c>
      <c r="P49" s="129" t="s">
        <v>180</v>
      </c>
      <c r="Q49" s="130" t="s">
        <v>181</v>
      </c>
      <c r="R49" s="121" t="s">
        <v>182</v>
      </c>
      <c r="S49" s="131" t="n"/>
      <c r="T49" s="129" t="s">
        <v>180</v>
      </c>
      <c r="U49" s="130" t="s">
        <v>181</v>
      </c>
      <c r="V49" s="121" t="s">
        <v>182</v>
      </c>
      <c r="W49" s="131" t="n"/>
      <c r="X49" s="129" t="s">
        <v>180</v>
      </c>
      <c r="Y49" s="130" t="s">
        <v>181</v>
      </c>
      <c r="Z49" s="121" t="s">
        <v>182</v>
      </c>
      <c r="AA49" s="131" t="n"/>
      <c r="AB49" s="129" t="s">
        <v>180</v>
      </c>
      <c r="AC49" s="130" t="s">
        <v>181</v>
      </c>
      <c r="AD49" s="121" t="s">
        <v>182</v>
      </c>
      <c r="AE49" s="131" t="n"/>
      <c r="AF49" s="129" t="s">
        <v>180</v>
      </c>
      <c r="AG49" s="130" t="s">
        <v>181</v>
      </c>
      <c r="AH49" s="121" t="s">
        <v>182</v>
      </c>
      <c r="AI49" s="121" t="n"/>
      <c r="AJ49" s="116" t="s">
        <v>183</v>
      </c>
      <c r="AK49" s="790" t="s"/>
    </row>
    <row hidden="false" ht="15" outlineLevel="0" r="50">
      <c r="C50" s="98" t="s">
        <v>185</v>
      </c>
      <c r="D50" s="53" t="n">
        <f aca="false" ca="false" dt2D="false" dtr="false" t="normal">HEX2BIN(D49, 8)</f>
        <v>111</v>
      </c>
      <c r="E50" s="53" t="n">
        <f aca="false" ca="false" dt2D="false" dtr="false" t="normal">HEX2BIN(E49, 8)</f>
        <v>110</v>
      </c>
      <c r="F50" s="53" t="n">
        <f aca="false" ca="false" dt2D="false" dtr="false" t="normal">HEX2BIN(F49, 8)</f>
        <v>10</v>
      </c>
      <c r="G50" s="53" t="n">
        <f aca="false" ca="false" dt2D="false" dtr="false" t="normal">HEX2BIN(G49, 8)</f>
        <v>1</v>
      </c>
      <c r="H50" s="53" t="n">
        <f aca="false" ca="false" dt2D="false" dtr="false" t="normal">HEX2BIN(H49, 8)</f>
        <v>0</v>
      </c>
      <c r="I50" s="53" t="n">
        <f aca="false" ca="false" dt2D="false" dtr="false" t="normal">HEX2BIN(I49, 8)</f>
        <v>0</v>
      </c>
      <c r="J50" s="53" t="n">
        <f aca="false" ca="false" dt2D="false" dtr="false" t="normal">HEX2BIN(J49, 8)</f>
        <v>0</v>
      </c>
      <c r="K50" s="53" t="n">
        <f aca="false" ca="false" dt2D="false" dtr="false" t="normal">HEX2BIN(K49, 8)</f>
        <v>0</v>
      </c>
      <c r="L50" s="53" t="n">
        <f aca="false" ca="false" dt2D="false" dtr="false" t="normal">HEX2BIN(L49, 8)</f>
        <v>0</v>
      </c>
      <c r="N50" s="63" t="n"/>
      <c r="P50" s="136" t="n">
        <f aca="false" ca="false" dt2D="false" dtr="false" t="normal">MID(H50, 1, 1)</f>
        <v>0</v>
      </c>
      <c r="Q50" s="137" t="n">
        <f aca="false" ca="false" dt2D="false" dtr="false" t="normal">P50</f>
        <v>0</v>
      </c>
      <c r="R50" s="120" t="s">
        <v>186</v>
      </c>
      <c r="S50" s="140" t="s">
        <v>508</v>
      </c>
      <c r="T50" s="209" t="n">
        <f aca="false" ca="false" dt2D="false" dtr="false" t="normal">MID(I50, 1, 1)</f>
        <v>0</v>
      </c>
      <c r="U50" s="137" t="n">
        <f aca="false" ca="false" dt2D="false" dtr="false" t="normal">T50</f>
        <v>0</v>
      </c>
      <c r="V50" s="120" t="s">
        <v>186</v>
      </c>
      <c r="W50" s="635" t="s">
        <v>509</v>
      </c>
      <c r="X50" s="209" t="n">
        <f aca="false" ca="false" dt2D="false" dtr="false" t="normal">MID(J50, 1, 1)</f>
        <v>0</v>
      </c>
      <c r="Y50" s="137" t="n">
        <f aca="false" ca="false" dt2D="false" dtr="false" t="normal">X50</f>
        <v>0</v>
      </c>
      <c r="Z50" s="120" t="s">
        <v>186</v>
      </c>
      <c r="AA50" s="131" t="s">
        <v>196</v>
      </c>
      <c r="AB50" s="136" t="n">
        <f aca="false" ca="false" dt2D="false" dtr="false" t="normal">MID(K50, 1, 1)</f>
        <v>0</v>
      </c>
      <c r="AC50" s="137" t="n">
        <f aca="false" ca="false" dt2D="false" dtr="false" t="normal">AB50</f>
        <v>0</v>
      </c>
      <c r="AD50" s="120" t="s">
        <v>186</v>
      </c>
      <c r="AE50" s="131" t="s">
        <v>196</v>
      </c>
      <c r="AF50" s="136" t="n">
        <f aca="false" ca="false" dt2D="false" dtr="false" t="normal">MID(L50, 1, 1)</f>
        <v>0</v>
      </c>
      <c r="AG50" s="137" t="n">
        <f aca="false" ca="false" dt2D="false" dtr="false" t="normal">AF50</f>
        <v>0</v>
      </c>
      <c r="AH50" s="120" t="s">
        <v>186</v>
      </c>
      <c r="AI50" s="131" t="s">
        <v>196</v>
      </c>
      <c r="AJ50" s="791" t="s"/>
      <c r="AK50" s="792" t="s"/>
    </row>
    <row hidden="false" ht="15" outlineLevel="0" r="51">
      <c r="C51" s="98" t="s">
        <v>191</v>
      </c>
      <c r="D51" s="53" t="n">
        <f aca="false" ca="false" dt2D="false" dtr="false" t="normal">HEX2DEC(D49)</f>
        <v>7</v>
      </c>
      <c r="E51" s="53" t="n">
        <f aca="false" ca="false" dt2D="false" dtr="false" t="normal">HEX2DEC(E49)</f>
        <v>6</v>
      </c>
      <c r="F51" s="53" t="n">
        <f aca="false" ca="false" dt2D="false" dtr="false" t="normal">HEX2DEC(F49)</f>
        <v>2</v>
      </c>
      <c r="G51" s="53" t="n">
        <f aca="false" ca="false" dt2D="false" dtr="false" t="normal">HEX2DEC(G49)</f>
        <v>1</v>
      </c>
      <c r="H51" s="53" t="n">
        <f aca="false" ca="false" dt2D="false" dtr="false" t="normal">HEX2DEC(H49)</f>
        <v>0</v>
      </c>
      <c r="I51" s="53" t="n">
        <f aca="false" ca="false" dt2D="false" dtr="false" t="normal">HEX2DEC(I49)</f>
        <v>0</v>
      </c>
      <c r="J51" s="53" t="n">
        <f aca="false" ca="false" dt2D="false" dtr="false" t="normal">HEX2DEC(J49)</f>
        <v>0</v>
      </c>
      <c r="K51" s="53" t="n">
        <f aca="false" ca="false" dt2D="false" dtr="false" t="normal">HEX2DEC(K49)</f>
        <v>0</v>
      </c>
      <c r="L51" s="53" t="n">
        <f aca="false" ca="false" dt2D="false" dtr="false" t="normal">HEX2DEC(L49)</f>
        <v>0</v>
      </c>
      <c r="M51" s="53" t="n">
        <f aca="false" ca="false" dt2D="false" dtr="false" t="normal">SUM(D51:L51)</f>
        <v>16</v>
      </c>
      <c r="N51" s="63" t="n"/>
      <c r="P51" s="136" t="n">
        <f aca="false" ca="false" dt2D="false" dtr="false" t="normal">MID(H50, 2, 1)</f>
        <v>0</v>
      </c>
      <c r="Q51" s="137" t="n">
        <f aca="false" ca="false" dt2D="false" dtr="false" t="normal">P51</f>
        <v>0</v>
      </c>
      <c r="R51" s="120" t="s">
        <v>192</v>
      </c>
      <c r="S51" s="793" t="s"/>
      <c r="T51" s="209" t="n">
        <f aca="false" ca="false" dt2D="false" dtr="false" t="normal">MID(I50, 2, 1)</f>
        <v>0</v>
      </c>
      <c r="U51" s="137" t="n">
        <f aca="false" ca="false" dt2D="false" dtr="false" t="normal">T51</f>
        <v>0</v>
      </c>
      <c r="V51" s="120" t="s">
        <v>192</v>
      </c>
      <c r="W51" s="794" t="s"/>
      <c r="X51" s="209" t="n">
        <f aca="false" ca="false" dt2D="false" dtr="false" t="normal">MID(J50, 2, 1)</f>
        <v>0</v>
      </c>
      <c r="Y51" s="137" t="n">
        <f aca="false" ca="false" dt2D="false" dtr="false" t="normal">X51</f>
        <v>0</v>
      </c>
      <c r="Z51" s="120" t="s">
        <v>192</v>
      </c>
      <c r="AA51" s="131" t="s">
        <v>196</v>
      </c>
      <c r="AB51" s="136" t="n">
        <f aca="false" ca="false" dt2D="false" dtr="false" t="normal">MID(K50, 2, 1)</f>
        <v>0</v>
      </c>
      <c r="AC51" s="137" t="n">
        <f aca="false" ca="false" dt2D="false" dtr="false" t="normal">AB51</f>
        <v>0</v>
      </c>
      <c r="AD51" s="120" t="s">
        <v>192</v>
      </c>
      <c r="AE51" s="131" t="s">
        <v>196</v>
      </c>
      <c r="AF51" s="136" t="n">
        <f aca="false" ca="false" dt2D="false" dtr="false" t="normal">MID(L50, 2, 1)</f>
        <v>0</v>
      </c>
      <c r="AG51" s="137" t="n">
        <f aca="false" ca="false" dt2D="false" dtr="false" t="normal">AF51</f>
        <v>0</v>
      </c>
      <c r="AH51" s="120" t="s">
        <v>192</v>
      </c>
      <c r="AI51" s="208" t="s">
        <v>510</v>
      </c>
      <c r="AJ51" s="795" t="s"/>
      <c r="AK51" s="796" t="s"/>
    </row>
    <row hidden="false" ht="15" outlineLevel="0" r="52">
      <c r="C52" s="98" t="s">
        <v>194</v>
      </c>
      <c r="D52" s="149" t="n">
        <f aca="false" ca="false" dt2D="false" dtr="false" t="normal">D49</f>
        <v>7</v>
      </c>
      <c r="E52" s="149" t="n">
        <f aca="false" ca="false" dt2D="false" dtr="false" t="normal">E49</f>
        <v>6</v>
      </c>
      <c r="F52" s="53" t="str">
        <f aca="false" ca="false" dt2D="false" dtr="false" t="normal">MID($A$9, 4, 2)</f>
        <v>G2</v>
      </c>
      <c r="G52" s="53" t="str">
        <f aca="false" ca="false" dt2D="false" dtr="false" t="normal">MID($A$9, 6, 2)</f>
        <v>G1</v>
      </c>
      <c r="N52" s="63" t="n"/>
      <c r="P52" s="136" t="n">
        <f aca="false" ca="false" dt2D="false" dtr="false" t="normal">MID(H50, 3, 1)</f>
        <v>0</v>
      </c>
      <c r="Q52" s="137" t="n">
        <f aca="false" ca="false" dt2D="false" dtr="false" t="normal">P52</f>
        <v>0</v>
      </c>
      <c r="R52" s="120" t="s">
        <v>195</v>
      </c>
      <c r="S52" s="797" t="s"/>
      <c r="T52" s="209" t="n">
        <f aca="false" ca="false" dt2D="false" dtr="false" t="normal">MID(I50, 3, 1)</f>
        <v>0</v>
      </c>
      <c r="U52" s="137" t="n">
        <f aca="false" ca="false" dt2D="false" dtr="false" t="normal">T52</f>
        <v>0</v>
      </c>
      <c r="V52" s="120" t="s">
        <v>195</v>
      </c>
      <c r="W52" s="131" t="s">
        <v>196</v>
      </c>
      <c r="X52" s="136" t="n">
        <f aca="false" ca="false" dt2D="false" dtr="false" t="normal">MID(J50, 3, 1)</f>
        <v>0</v>
      </c>
      <c r="Y52" s="137" t="n">
        <f aca="false" ca="false" dt2D="false" dtr="false" t="normal">X52</f>
        <v>0</v>
      </c>
      <c r="Z52" s="120" t="s">
        <v>195</v>
      </c>
      <c r="AA52" s="131" t="s">
        <v>196</v>
      </c>
      <c r="AB52" s="136" t="n">
        <f aca="false" ca="false" dt2D="false" dtr="false" t="normal">MID(K50, 3, 1)</f>
        <v>0</v>
      </c>
      <c r="AC52" s="137" t="n">
        <f aca="false" ca="false" dt2D="false" dtr="false" t="normal">AB52</f>
        <v>0</v>
      </c>
      <c r="AD52" s="120" t="s">
        <v>195</v>
      </c>
      <c r="AE52" s="131" t="s">
        <v>196</v>
      </c>
      <c r="AF52" s="136" t="n">
        <f aca="false" ca="false" dt2D="false" dtr="false" t="normal">MID(L50, 3, 1)</f>
        <v>0</v>
      </c>
      <c r="AG52" s="137" t="n">
        <f aca="false" ca="false" dt2D="false" dtr="false" t="normal">AF52</f>
        <v>0</v>
      </c>
      <c r="AH52" s="120" t="s">
        <v>195</v>
      </c>
      <c r="AI52" s="208" t="s">
        <v>511</v>
      </c>
      <c r="AJ52" s="798" t="s"/>
      <c r="AK52" s="799" t="s"/>
    </row>
    <row hidden="false" ht="15.75" outlineLevel="0" r="53">
      <c r="C53" s="98" t="n"/>
      <c r="N53" s="63" t="n"/>
      <c r="P53" s="136" t="n">
        <f aca="false" ca="false" dt2D="false" dtr="false" t="normal">MID(H50, 4, 1)</f>
        <v>0</v>
      </c>
      <c r="Q53" s="137" t="n">
        <f aca="false" ca="false" dt2D="false" dtr="false" t="normal">P53</f>
        <v>0</v>
      </c>
      <c r="R53" s="120" t="s">
        <v>197</v>
      </c>
      <c r="S53" s="140" t="s">
        <v>512</v>
      </c>
      <c r="T53" s="209" t="n">
        <f aca="false" ca="false" dt2D="false" dtr="false" t="normal">MID(I50, 4, 1)</f>
        <v>0</v>
      </c>
      <c r="U53" s="137" t="n">
        <f aca="false" ca="false" dt2D="false" dtr="false" t="normal">T53</f>
        <v>0</v>
      </c>
      <c r="V53" s="120" t="s">
        <v>197</v>
      </c>
      <c r="W53" s="131" t="s">
        <v>196</v>
      </c>
      <c r="X53" s="136" t="n">
        <f aca="false" ca="false" dt2D="false" dtr="false" t="normal">MID(J50, 4, 1)</f>
        <v>0</v>
      </c>
      <c r="Y53" s="137" t="n">
        <f aca="false" ca="false" dt2D="false" dtr="false" t="normal">X53</f>
        <v>0</v>
      </c>
      <c r="Z53" s="120" t="s">
        <v>197</v>
      </c>
      <c r="AA53" s="131" t="s">
        <v>196</v>
      </c>
      <c r="AB53" s="136" t="n">
        <f aca="false" ca="false" dt2D="false" dtr="false" t="normal">MID(K50, 4, 1)</f>
        <v>0</v>
      </c>
      <c r="AC53" s="137" t="n">
        <f aca="false" ca="false" dt2D="false" dtr="false" t="normal">AB53</f>
        <v>0</v>
      </c>
      <c r="AD53" s="120" t="s">
        <v>197</v>
      </c>
      <c r="AE53" s="131" t="s">
        <v>196</v>
      </c>
      <c r="AF53" s="136" t="n">
        <f aca="false" ca="false" dt2D="false" dtr="false" t="normal">MID(L50, 4, 1)</f>
        <v>0</v>
      </c>
      <c r="AG53" s="137" t="n">
        <f aca="false" ca="false" dt2D="false" dtr="false" t="normal">AF53</f>
        <v>0</v>
      </c>
      <c r="AH53" s="120" t="s">
        <v>197</v>
      </c>
      <c r="AI53" s="208" t="s">
        <v>513</v>
      </c>
      <c r="AJ53" s="800" t="s"/>
      <c r="AK53" s="801" t="s"/>
    </row>
    <row hidden="false" ht="15.75" outlineLevel="0" r="54">
      <c r="C54" s="98" t="s">
        <v>176</v>
      </c>
      <c r="D54" s="159" t="n">
        <f aca="false" ca="false" dt2D="false" dtr="false" t="normal">D49</f>
        <v>7</v>
      </c>
      <c r="E54" s="160" t="n">
        <f aca="false" ca="false" dt2D="false" dtr="false" t="normal">E49</f>
        <v>6</v>
      </c>
      <c r="F54" s="160" t="n">
        <f aca="false" ca="false" dt2D="false" dtr="false" t="normal">F49</f>
        <v>2</v>
      </c>
      <c r="G54" s="161" t="n">
        <f aca="false" ca="false" dt2D="false" dtr="false" t="normal">G49</f>
        <v>1</v>
      </c>
      <c r="H54" s="162" t="n">
        <f aca="false" ca="false" dt2D="false" dtr="false" t="normal">BIN2HEX(H55, 2)</f>
        <v>0</v>
      </c>
      <c r="I54" s="163" t="n">
        <f aca="false" ca="false" dt2D="false" dtr="false" t="normal">BIN2HEX(I55, 2)</f>
        <v>0</v>
      </c>
      <c r="J54" s="164" t="n">
        <f aca="false" ca="false" dt2D="false" dtr="false" t="normal">BIN2HEX(J55, 2)</f>
        <v>0</v>
      </c>
      <c r="K54" s="165" t="n">
        <f aca="false" ca="false" dt2D="false" dtr="false" t="normal">BIN2HEX(K55, 2)</f>
        <v>0</v>
      </c>
      <c r="L54" s="288" t="n">
        <f aca="false" ca="false" dt2D="false" dtr="false" t="normal">BIN2HEX(L55, 2)</f>
        <v>0</v>
      </c>
      <c r="M54" s="166" t="n">
        <f aca="false" ca="false" dt2D="false" dtr="false" t="normal">IF(LEN(M55)&gt;2, MID(M55, 2, 2), M55)</f>
        <v>10</v>
      </c>
      <c r="N54" s="63" t="s">
        <v>181</v>
      </c>
      <c r="P54" s="136" t="n">
        <f aca="false" ca="false" dt2D="false" dtr="false" t="normal">MID(H50, 5, 1)</f>
        <v>0</v>
      </c>
      <c r="Q54" s="137" t="n">
        <f aca="false" ca="false" dt2D="false" dtr="false" t="normal">P54</f>
        <v>0</v>
      </c>
      <c r="R54" s="120" t="s">
        <v>200</v>
      </c>
      <c r="S54" s="802" t="s"/>
      <c r="T54" s="209" t="n">
        <f aca="false" ca="false" dt2D="false" dtr="false" t="normal">MID(I50, 5, 1)</f>
        <v>0</v>
      </c>
      <c r="U54" s="137" t="n">
        <f aca="false" ca="false" dt2D="false" dtr="false" t="normal">T54</f>
        <v>0</v>
      </c>
      <c r="V54" s="120" t="s">
        <v>200</v>
      </c>
      <c r="W54" s="131" t="s">
        <v>196</v>
      </c>
      <c r="X54" s="136" t="n">
        <f aca="false" ca="false" dt2D="false" dtr="false" t="normal">MID(J50, 5, 1)</f>
        <v>0</v>
      </c>
      <c r="Y54" s="137" t="n">
        <f aca="false" ca="false" dt2D="false" dtr="false" t="normal">X54</f>
        <v>0</v>
      </c>
      <c r="Z54" s="120" t="s">
        <v>200</v>
      </c>
      <c r="AA54" s="131" t="s">
        <v>196</v>
      </c>
      <c r="AB54" s="136" t="n">
        <f aca="false" ca="false" dt2D="false" dtr="false" t="normal">MID(K50, 5, 1)</f>
        <v>0</v>
      </c>
      <c r="AC54" s="137" t="n">
        <f aca="false" ca="false" dt2D="false" dtr="false" t="normal">AB54</f>
        <v>0</v>
      </c>
      <c r="AD54" s="120" t="s">
        <v>200</v>
      </c>
      <c r="AE54" s="131" t="s">
        <v>196</v>
      </c>
      <c r="AF54" s="136" t="n">
        <f aca="false" ca="false" dt2D="false" dtr="false" t="normal">MID(L50, 5, 1)</f>
        <v>0</v>
      </c>
      <c r="AG54" s="137" t="n">
        <f aca="false" ca="false" dt2D="false" dtr="false" t="normal">AF54</f>
        <v>0</v>
      </c>
      <c r="AH54" s="120" t="s">
        <v>200</v>
      </c>
      <c r="AI54" s="131" t="s">
        <v>196</v>
      </c>
      <c r="AJ54" s="803" t="s"/>
      <c r="AK54" s="804" t="s"/>
    </row>
    <row hidden="false" ht="15" outlineLevel="0" r="55">
      <c r="C55" s="98" t="s">
        <v>185</v>
      </c>
      <c r="D55" s="53" t="n">
        <f aca="false" ca="false" dt2D="false" dtr="false" t="normal">HEX2BIN(D54, 8)</f>
        <v>111</v>
      </c>
      <c r="E55" s="53" t="n">
        <f aca="false" ca="false" dt2D="false" dtr="false" t="normal">HEX2BIN(E54, 8)</f>
        <v>110</v>
      </c>
      <c r="F55" s="53" t="n">
        <f aca="false" ca="false" dt2D="false" dtr="false" t="normal">HEX2BIN(F54, 8)</f>
        <v>10</v>
      </c>
      <c r="G55" s="53" t="n">
        <f aca="false" ca="false" dt2D="false" dtr="false" t="normal">HEX2BIN(G54, 8)</f>
        <v>1</v>
      </c>
      <c r="H55" s="171" t="n">
        <f aca="false" ca="false" dt2D="false" dtr="false" t="normal">Q50&amp;Q51&amp;Q52&amp;Q53&amp;Q54&amp;Q55&amp;Q56&amp;Q57</f>
        <v>0</v>
      </c>
      <c r="I55" s="53" t="n">
        <f aca="false" ca="false" dt2D="false" dtr="false" t="normal">U50&amp;U51&amp;U52&amp;U53&amp;U54&amp;U55&amp;U56&amp;U57</f>
        <v>0</v>
      </c>
      <c r="J55" s="171" t="n">
        <f aca="false" ca="false" dt2D="false" dtr="false" t="normal">Y50&amp;Y51&amp;Y52&amp;Y53&amp;Y54&amp;Y55&amp;Y56&amp;Y57</f>
        <v>0</v>
      </c>
      <c r="K55" s="171" t="n">
        <f aca="false" ca="false" dt2D="false" dtr="false" t="normal">AC50&amp;AC51&amp;AC52&amp;AC53&amp;AC54&amp;AC55&amp;AC56&amp;AC57</f>
        <v>0</v>
      </c>
      <c r="L55" s="53" t="n">
        <f aca="false" ca="false" dt2D="false" dtr="false" t="normal">AG50&amp;AG51&amp;AG52&amp;AG53&amp;AG54&amp;AG55&amp;AG56&amp;AG57</f>
        <v>0</v>
      </c>
      <c r="M55" s="53" t="n">
        <f aca="false" ca="false" dt2D="false" dtr="false" t="normal">DEC2HEX(M56)</f>
        <v>10</v>
      </c>
      <c r="N55" s="63" t="n"/>
      <c r="P55" s="136" t="n">
        <f aca="false" ca="false" dt2D="false" dtr="false" t="normal">MID(H50, 6, 1)</f>
        <v>0</v>
      </c>
      <c r="Q55" s="137" t="n">
        <f aca="false" ca="false" dt2D="false" dtr="false" t="normal">P55</f>
        <v>0</v>
      </c>
      <c r="R55" s="120" t="s">
        <v>203</v>
      </c>
      <c r="S55" s="805" t="s"/>
      <c r="T55" s="209" t="n">
        <f aca="false" ca="false" dt2D="false" dtr="false" t="normal">MID(I50, 6, 1)</f>
        <v>0</v>
      </c>
      <c r="U55" s="137" t="n">
        <f aca="false" ca="false" dt2D="false" dtr="false" t="normal">T55</f>
        <v>0</v>
      </c>
      <c r="V55" s="120" t="s">
        <v>203</v>
      </c>
      <c r="W55" s="131" t="s">
        <v>196</v>
      </c>
      <c r="X55" s="136" t="n">
        <f aca="false" ca="false" dt2D="false" dtr="false" t="normal">MID(J50, 6, 1)</f>
        <v>0</v>
      </c>
      <c r="Y55" s="137" t="n">
        <f aca="false" ca="false" dt2D="false" dtr="false" t="normal">X55</f>
        <v>0</v>
      </c>
      <c r="Z55" s="120" t="s">
        <v>203</v>
      </c>
      <c r="AA55" s="131" t="s">
        <v>196</v>
      </c>
      <c r="AB55" s="136" t="n">
        <f aca="false" ca="false" dt2D="false" dtr="false" t="normal">MID(K50, 6, 1)</f>
        <v>0</v>
      </c>
      <c r="AC55" s="137" t="n">
        <f aca="false" ca="false" dt2D="false" dtr="false" t="normal">AB55</f>
        <v>0</v>
      </c>
      <c r="AD55" s="120" t="s">
        <v>203</v>
      </c>
      <c r="AE55" s="131" t="s">
        <v>196</v>
      </c>
      <c r="AF55" s="136" t="n">
        <f aca="false" ca="false" dt2D="false" dtr="false" t="normal">MID(L50, 6, 1)</f>
        <v>0</v>
      </c>
      <c r="AG55" s="137" t="n">
        <f aca="false" ca="false" dt2D="false" dtr="false" t="normal">AF55</f>
        <v>0</v>
      </c>
      <c r="AH55" s="120" t="s">
        <v>203</v>
      </c>
      <c r="AI55" s="131" t="s">
        <v>196</v>
      </c>
      <c r="AJ55" s="806" t="s"/>
      <c r="AK55" s="807" t="s"/>
    </row>
    <row hidden="false" ht="15" outlineLevel="0" r="56">
      <c r="C56" s="98" t="s">
        <v>191</v>
      </c>
      <c r="D56" s="53" t="n">
        <f aca="false" ca="false" dt2D="false" dtr="false" t="normal">HEX2DEC(D54)</f>
        <v>7</v>
      </c>
      <c r="E56" s="53" t="n">
        <f aca="false" ca="false" dt2D="false" dtr="false" t="normal">HEX2DEC(E54)</f>
        <v>6</v>
      </c>
      <c r="F56" s="53" t="n">
        <f aca="false" ca="false" dt2D="false" dtr="false" t="normal">HEX2DEC(F54)</f>
        <v>2</v>
      </c>
      <c r="G56" s="53" t="n">
        <f aca="false" ca="false" dt2D="false" dtr="false" t="normal">HEX2DEC(G54)</f>
        <v>1</v>
      </c>
      <c r="H56" s="53" t="n">
        <f aca="false" ca="false" dt2D="false" dtr="false" t="normal">HEX2DEC(H54)</f>
        <v>0</v>
      </c>
      <c r="I56" s="53" t="n">
        <f aca="false" ca="false" dt2D="false" dtr="false" t="normal">HEX2DEC(I54)</f>
        <v>0</v>
      </c>
      <c r="J56" s="53" t="n">
        <f aca="false" ca="false" dt2D="false" dtr="false" t="normal">HEX2DEC(J54)</f>
        <v>0</v>
      </c>
      <c r="K56" s="53" t="n">
        <f aca="false" ca="false" dt2D="false" dtr="false" t="normal">HEX2DEC(K54)</f>
        <v>0</v>
      </c>
      <c r="L56" s="53" t="n">
        <f aca="false" ca="false" dt2D="false" dtr="false" t="normal">HEX2DEC(L54)</f>
        <v>0</v>
      </c>
      <c r="M56" s="53" t="n">
        <f aca="false" ca="false" dt2D="false" dtr="false" t="normal">SUM(D56:L56)</f>
        <v>16</v>
      </c>
      <c r="N56" s="63" t="n"/>
      <c r="P56" s="136" t="n">
        <f aca="false" ca="false" dt2D="false" dtr="false" t="normal">MID(H50, 7, 1)</f>
        <v>0</v>
      </c>
      <c r="Q56" s="137" t="n">
        <f aca="false" ca="false" dt2D="false" dtr="false" t="normal">P56</f>
        <v>0</v>
      </c>
      <c r="R56" s="120" t="s">
        <v>206</v>
      </c>
      <c r="S56" s="131" t="s">
        <v>196</v>
      </c>
      <c r="T56" s="209" t="n">
        <f aca="false" ca="false" dt2D="false" dtr="false" t="normal">MID(I50, 7, 1)</f>
        <v>0</v>
      </c>
      <c r="U56" s="137" t="n">
        <f aca="false" ca="false" dt2D="false" dtr="false" t="normal">T56</f>
        <v>0</v>
      </c>
      <c r="V56" s="120" t="s">
        <v>206</v>
      </c>
      <c r="W56" s="131" t="s">
        <v>196</v>
      </c>
      <c r="X56" s="136" t="n">
        <f aca="false" ca="false" dt2D="false" dtr="false" t="normal">MID(J50, 7, 1)</f>
        <v>0</v>
      </c>
      <c r="Y56" s="137" t="n">
        <f aca="false" ca="false" dt2D="false" dtr="false" t="normal">X56</f>
        <v>0</v>
      </c>
      <c r="Z56" s="120" t="s">
        <v>206</v>
      </c>
      <c r="AA56" s="131" t="s">
        <v>196</v>
      </c>
      <c r="AB56" s="136" t="n">
        <f aca="false" ca="false" dt2D="false" dtr="false" t="normal">MID(K50, 7, 1)</f>
        <v>0</v>
      </c>
      <c r="AC56" s="137" t="n">
        <f aca="false" ca="false" dt2D="false" dtr="false" t="normal">AB56</f>
        <v>0</v>
      </c>
      <c r="AD56" s="120" t="s">
        <v>206</v>
      </c>
      <c r="AE56" s="131" t="s">
        <v>196</v>
      </c>
      <c r="AF56" s="136" t="n">
        <f aca="false" ca="false" dt2D="false" dtr="false" t="normal">MID(L50, 7, 1)</f>
        <v>0</v>
      </c>
      <c r="AG56" s="137" t="n">
        <f aca="false" ca="false" dt2D="false" dtr="false" t="normal">AF56</f>
        <v>0</v>
      </c>
      <c r="AH56" s="120" t="s">
        <v>206</v>
      </c>
      <c r="AI56" s="131" t="s">
        <v>196</v>
      </c>
      <c r="AJ56" s="808" t="s"/>
      <c r="AK56" s="809" t="s"/>
    </row>
    <row hidden="false" ht="15.75" outlineLevel="0" r="57">
      <c r="C57" s="180" t="s">
        <v>194</v>
      </c>
      <c r="D57" s="299" t="n">
        <f aca="false" ca="false" dt2D="false" dtr="false" t="normal">D52</f>
        <v>7</v>
      </c>
      <c r="E57" s="299" t="n">
        <f aca="false" ca="false" dt2D="false" dtr="false" t="normal">E52</f>
        <v>6</v>
      </c>
      <c r="F57" s="299" t="str">
        <f aca="false" ca="false" dt2D="false" dtr="false" t="normal">F52</f>
        <v>G2</v>
      </c>
      <c r="G57" s="299" t="str">
        <f aca="false" ca="false" dt2D="false" dtr="false" t="normal">G52</f>
        <v>G1</v>
      </c>
      <c r="H57" s="45" t="n"/>
      <c r="I57" s="45" t="n"/>
      <c r="J57" s="45" t="n"/>
      <c r="K57" s="45" t="n"/>
      <c r="L57" s="45" t="n"/>
      <c r="M57" s="45" t="n"/>
      <c r="N57" s="49" t="n"/>
      <c r="P57" s="182" t="n">
        <f aca="false" ca="false" dt2D="false" dtr="false" t="normal">MID(H50, 8, 1)</f>
        <v>0</v>
      </c>
      <c r="Q57" s="183" t="n">
        <f aca="false" ca="false" dt2D="false" dtr="false" t="normal">P57</f>
        <v>0</v>
      </c>
      <c r="R57" s="184" t="s">
        <v>208</v>
      </c>
      <c r="S57" s="185" t="s">
        <v>196</v>
      </c>
      <c r="T57" s="300" t="n">
        <f aca="false" ca="false" dt2D="false" dtr="false" t="normal">MID(I50, 8, 1)</f>
        <v>0</v>
      </c>
      <c r="U57" s="183" t="n">
        <f aca="false" ca="false" dt2D="false" dtr="false" t="normal">T57</f>
        <v>0</v>
      </c>
      <c r="V57" s="184" t="s">
        <v>208</v>
      </c>
      <c r="W57" s="185" t="s">
        <v>196</v>
      </c>
      <c r="X57" s="182" t="n">
        <f aca="false" ca="false" dt2D="false" dtr="false" t="normal">MID(J50, 8, 1)</f>
        <v>0</v>
      </c>
      <c r="Y57" s="183" t="n">
        <f aca="false" ca="false" dt2D="false" dtr="false" t="normal">X57</f>
        <v>0</v>
      </c>
      <c r="Z57" s="184" t="s">
        <v>208</v>
      </c>
      <c r="AA57" s="185" t="s">
        <v>196</v>
      </c>
      <c r="AB57" s="182" t="n">
        <f aca="false" ca="false" dt2D="false" dtr="false" t="normal">MID(K50, 8, 1)</f>
        <v>0</v>
      </c>
      <c r="AC57" s="183" t="n">
        <f aca="false" ca="false" dt2D="false" dtr="false" t="normal">AB57</f>
        <v>0</v>
      </c>
      <c r="AD57" s="184" t="s">
        <v>208</v>
      </c>
      <c r="AE57" s="185" t="s">
        <v>196</v>
      </c>
      <c r="AF57" s="182" t="n">
        <f aca="false" ca="false" dt2D="false" dtr="false" t="normal">MID(L50, 8, 1)</f>
        <v>0</v>
      </c>
      <c r="AG57" s="183" t="n">
        <f aca="false" ca="false" dt2D="false" dtr="false" t="normal">AF57</f>
        <v>0</v>
      </c>
      <c r="AH57" s="184" t="s">
        <v>208</v>
      </c>
      <c r="AI57" s="185" t="s">
        <v>196</v>
      </c>
      <c r="AJ57" s="810" t="s"/>
      <c r="AK57" s="811" t="s"/>
    </row>
    <row hidden="false" ht="15" outlineLevel="0" r="58"/>
    <row hidden="false" ht="15" outlineLevel="0" r="59"/>
    <row hidden="false" ht="15" outlineLevel="0" r="60"/>
  </sheetData>
  <mergeCells count="64">
    <mergeCell ref="AJ5:AK13"/>
    <mergeCell ref="AA12:AA13"/>
    <mergeCell ref="AE6:AE9"/>
    <mergeCell ref="AA8:AA9"/>
    <mergeCell ref="AA6:AA7"/>
    <mergeCell ref="S10:S13"/>
    <mergeCell ref="W8:W9"/>
    <mergeCell ref="S6:S9"/>
    <mergeCell ref="AJ4:AK4"/>
    <mergeCell ref="AF4:AI4"/>
    <mergeCell ref="AB4:AE4"/>
    <mergeCell ref="X4:AA4"/>
    <mergeCell ref="T4:W4"/>
    <mergeCell ref="AJ16:AK24"/>
    <mergeCell ref="AJ26:AK26"/>
    <mergeCell ref="AJ27:AK35"/>
    <mergeCell ref="AF26:AI26"/>
    <mergeCell ref="AB26:AE26"/>
    <mergeCell ref="AJ49:AK57"/>
    <mergeCell ref="R36:AK36"/>
    <mergeCell ref="X37:AA37"/>
    <mergeCell ref="X38:AA46"/>
    <mergeCell ref="R25:AK25"/>
    <mergeCell ref="S20:S22"/>
    <mergeCell ref="S17:S19"/>
    <mergeCell ref="D48:G48"/>
    <mergeCell ref="P48:S48"/>
    <mergeCell ref="P47:Q47"/>
    <mergeCell ref="R47:AK47"/>
    <mergeCell ref="AF48:AI48"/>
    <mergeCell ref="X48:AA48"/>
    <mergeCell ref="AB48:AE48"/>
    <mergeCell ref="T48:W48"/>
    <mergeCell ref="AJ48:AK48"/>
    <mergeCell ref="D37:G37"/>
    <mergeCell ref="D26:G26"/>
    <mergeCell ref="X26:AA26"/>
    <mergeCell ref="S53:S55"/>
    <mergeCell ref="S50:S52"/>
    <mergeCell ref="W50:W51"/>
    <mergeCell ref="P37:S37"/>
    <mergeCell ref="P36:Q36"/>
    <mergeCell ref="T37:W37"/>
    <mergeCell ref="P25:Q25"/>
    <mergeCell ref="W23:W24"/>
    <mergeCell ref="P26:S26"/>
    <mergeCell ref="T26:W26"/>
    <mergeCell ref="D15:G15"/>
    <mergeCell ref="P15:S15"/>
    <mergeCell ref="AF15:AI15"/>
    <mergeCell ref="W17:W18"/>
    <mergeCell ref="AJ15:AK15"/>
    <mergeCell ref="AB15:AE15"/>
    <mergeCell ref="T15:W15"/>
    <mergeCell ref="X15:AA15"/>
    <mergeCell ref="P14:Q14"/>
    <mergeCell ref="R14:AK14"/>
    <mergeCell ref="A1:B1"/>
    <mergeCell ref="C2:E2"/>
    <mergeCell ref="D4:G4"/>
    <mergeCell ref="P4:S4"/>
    <mergeCell ref="C1:AK1"/>
    <mergeCell ref="P3:Q3"/>
    <mergeCell ref="R3:AK3"/>
  </mergeCells>
  <conditionalFormatting pivot="false" sqref="B3:B11">
    <cfRule aboveAverage="true" bottom="false" dxfId="1" equalAverage="false" percent="false" priority="28" stopIfTrue="false" text="706G2" type="beginsWith">
      <formula>LEFT(B3,LEN("706G2"))="706G2"</formula>
    </cfRule>
  </conditionalFormatting>
  <conditionalFormatting pivot="false" sqref="B3:B11">
    <cfRule aboveAverage="true" bottom="false" dxfId="1" equalAverage="false" percent="false" priority="27" stopIfTrue="false" text="70602" type="beginsWith">
      <formula>LEFT(B3,LEN("70602"))="70602"</formula>
    </cfRule>
  </conditionalFormatting>
  <conditionalFormatting pivot="false" sqref="B3:B11">
    <cfRule aboveAverage="true" bottom="false" dxfId="2" equalAverage="false" percent="false" priority="26" stopIfTrue="false" text="706G1" type="beginsWith">
      <formula>LEFT(B3,LEN("706G1"))="706G1"</formula>
    </cfRule>
  </conditionalFormatting>
  <conditionalFormatting pivot="false" sqref="B3:B11">
    <cfRule aboveAverage="true" bottom="false" dxfId="1" equalAverage="false" percent="false" priority="25" stopIfTrue="false" text="70601" type="beginsWith">
      <formula>LEFT(B3,LEN("70601"))="70601"</formula>
    </cfRule>
  </conditionalFormatting>
  <conditionalFormatting pivot="false" sqref="B3:B11">
    <cfRule aboveAverage="true" bottom="false" dxfId="3" equalAverage="false" percent="false" priority="24" stopIfTrue="false" text=";Block" type="containsText">
      <formula>NOT(ISERROR(SEARCH(";Block",B3)))</formula>
    </cfRule>
  </conditionalFormatting>
  <conditionalFormatting pivot="false" sqref="B3:B11">
    <cfRule aboveAverage="true" bottom="false" dxfId="4" equalAverage="false" percent="false" priority="23" stopIfTrue="false" type="expression">
      <formula>IF(A3&lt;&gt;B3, 1, 0)</formula>
    </cfRule>
  </conditionalFormatting>
  <conditionalFormatting pivot="false" sqref="Q6:Q13">
    <cfRule aboveAverage="true" bottom="false" dxfId="0" equalAverage="false" percent="false" priority="22" stopIfTrue="false" type="expression">
      <formula>Q6:Q13&lt;&gt;P6:P13</formula>
    </cfRule>
  </conditionalFormatting>
  <conditionalFormatting pivot="false" sqref="U6:U13">
    <cfRule aboveAverage="true" bottom="false" dxfId="0" equalAverage="false" percent="false" priority="21" stopIfTrue="false" type="expression">
      <formula>U6:U13&lt;&gt;T6:T13</formula>
    </cfRule>
  </conditionalFormatting>
  <conditionalFormatting pivot="false" sqref="Y6:Y13">
    <cfRule aboveAverage="true" bottom="false" dxfId="0" equalAverage="false" percent="false" priority="20" stopIfTrue="false" type="expression">
      <formula>Y6:Y13&lt;&gt;X6:X13</formula>
    </cfRule>
  </conditionalFormatting>
  <conditionalFormatting pivot="false" sqref="AC6:AC13">
    <cfRule aboveAverage="true" bottom="false" dxfId="0" equalAverage="false" percent="false" priority="19" stopIfTrue="false" type="expression">
      <formula>AC6:AC13&lt;&gt;AB6:AB13</formula>
    </cfRule>
  </conditionalFormatting>
  <conditionalFormatting pivot="false" sqref="AG6:AG13">
    <cfRule aboveAverage="true" bottom="false" dxfId="0" equalAverage="false" percent="false" priority="18" stopIfTrue="false" type="expression">
      <formula>AG6:AG13&lt;&gt;AF6:AF13</formula>
    </cfRule>
  </conditionalFormatting>
  <conditionalFormatting pivot="false" sqref="Q17:Q24">
    <cfRule aboveAverage="true" bottom="false" dxfId="0" equalAverage="false" percent="false" priority="17" stopIfTrue="false" type="expression">
      <formula>Q17:Q24&lt;&gt;P17:P24</formula>
    </cfRule>
  </conditionalFormatting>
  <conditionalFormatting pivot="false" sqref="U17:U24">
    <cfRule aboveAverage="true" bottom="false" dxfId="0" equalAverage="false" percent="false" priority="16" stopIfTrue="false" type="expression">
      <formula>U17:U24&lt;&gt;T17:T24</formula>
    </cfRule>
  </conditionalFormatting>
  <conditionalFormatting pivot="false" sqref="Y17:Y24">
    <cfRule aboveAverage="true" bottom="false" dxfId="0" equalAverage="false" percent="false" priority="15" stopIfTrue="false" type="expression">
      <formula>Y17:Y24&lt;&gt;X17:X24</formula>
    </cfRule>
  </conditionalFormatting>
  <conditionalFormatting pivot="false" sqref="AC17:AC24">
    <cfRule aboveAverage="true" bottom="false" dxfId="0" equalAverage="false" percent="false" priority="14" stopIfTrue="false" type="expression">
      <formula>AC17:AC24&lt;&gt;AB17:AB24</formula>
    </cfRule>
  </conditionalFormatting>
  <conditionalFormatting pivot="false" sqref="AG17:AG24">
    <cfRule aboveAverage="true" bottom="false" dxfId="0" equalAverage="false" percent="false" priority="13" stopIfTrue="false" type="expression">
      <formula>AG17:AG24&lt;&gt;AF17:AF24</formula>
    </cfRule>
  </conditionalFormatting>
  <conditionalFormatting pivot="false" sqref="Q28:Q35">
    <cfRule aboveAverage="true" bottom="false" dxfId="0" equalAverage="false" percent="false" priority="12" stopIfTrue="false" type="expression">
      <formula>Q28:Q35&lt;&gt;P28:P35</formula>
    </cfRule>
  </conditionalFormatting>
  <conditionalFormatting pivot="false" sqref="U28:U35">
    <cfRule aboveAverage="true" bottom="false" dxfId="0" equalAverage="false" percent="false" priority="11" stopIfTrue="false" type="expression">
      <formula>U28:U35&lt;&gt;T28:T35</formula>
    </cfRule>
  </conditionalFormatting>
  <conditionalFormatting pivot="false" sqref="Y28:Y35">
    <cfRule aboveAverage="true" bottom="false" dxfId="0" equalAverage="false" percent="false" priority="10" stopIfTrue="false" type="expression">
      <formula>Y28:Y35&lt;&gt;X28:X35</formula>
    </cfRule>
  </conditionalFormatting>
  <conditionalFormatting pivot="false" sqref="AC28:AC35">
    <cfRule aboveAverage="true" bottom="false" dxfId="0" equalAverage="false" percent="false" priority="9" stopIfTrue="false" type="expression">
      <formula>AC28:AC35&lt;&gt;AB28:AB35</formula>
    </cfRule>
  </conditionalFormatting>
  <conditionalFormatting pivot="false" sqref="AG28:AG35">
    <cfRule aboveAverage="true" bottom="false" dxfId="0" equalAverage="false" percent="false" priority="8" stopIfTrue="false" type="expression">
      <formula>AG28:AG35&lt;&gt;AF28:AF35</formula>
    </cfRule>
  </conditionalFormatting>
  <conditionalFormatting pivot="false" sqref="Q39:Q46">
    <cfRule aboveAverage="true" bottom="false" dxfId="0" equalAverage="false" percent="false" priority="7" stopIfTrue="false" type="expression">
      <formula>Q39:Q46&lt;&gt;P39:P46</formula>
    </cfRule>
  </conditionalFormatting>
  <conditionalFormatting pivot="false" sqref="U39:U46">
    <cfRule aboveAverage="true" bottom="false" dxfId="0" equalAverage="false" percent="false" priority="6" stopIfTrue="false" type="expression">
      <formula>U39:U46&lt;&gt;T39:T46</formula>
    </cfRule>
  </conditionalFormatting>
  <conditionalFormatting pivot="false" sqref="Q50:Q57">
    <cfRule aboveAverage="true" bottom="false" dxfId="0" equalAverage="false" percent="false" priority="5" stopIfTrue="false" type="expression">
      <formula>Q50:Q57&lt;&gt;P50:P57</formula>
    </cfRule>
  </conditionalFormatting>
  <conditionalFormatting pivot="false" sqref="U50:U57">
    <cfRule aboveAverage="true" bottom="false" dxfId="0" equalAverage="false" percent="false" priority="4" stopIfTrue="false" type="expression">
      <formula>U50:U57&lt;&gt;T50:T57</formula>
    </cfRule>
  </conditionalFormatting>
  <conditionalFormatting pivot="false" sqref="Y50:Y57">
    <cfRule aboveAverage="true" bottom="false" dxfId="0" equalAverage="false" percent="false" priority="3" stopIfTrue="false" type="expression">
      <formula>Y50:Y57&lt;&gt;X50:X57</formula>
    </cfRule>
  </conditionalFormatting>
  <conditionalFormatting pivot="false" sqref="AC50:AC57">
    <cfRule aboveAverage="true" bottom="false" dxfId="0" equalAverage="false" percent="false" priority="2" stopIfTrue="false" type="expression">
      <formula>AC50:AC57&lt;&gt;AB50:AB57</formula>
    </cfRule>
  </conditionalFormatting>
  <conditionalFormatting pivot="false" sqref="AG50:AG57">
    <cfRule aboveAverage="true" bottom="false" dxfId="0" equalAverage="false" percent="false" priority="1" stopIfTrue="false" type="expression">
      <formula>AG50:AG57&lt;&gt;AF50:AF57</formula>
    </cfRule>
  </conditionalFormatting>
  <dataValidations>
    <dataValidation allowBlank="true" error="This is a Binary value, which can be either 0 or 1." errorStyle="stop" errorTitle="Wrong Value" imeMode="noControl" operator="between" showDropDown="false" showErrorMessage="true" showInputMessage="true" sqref="Q39:Q46 Q28:Q35 Q6:Q13 Q17:Q24 U17:U24 U28:U35 U6:U13 U39:U46 Q50:Q57 U50:U57 AG6:AG13 AG17:AG24 AC6:AC13 AC17:AC24 Y6:Y13 Y17:Y24 AG28:AG35 AC28:AC35 Y28:Y35 Y50:Y57 AC50:AC57 AG50:AG57"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79.3998mm" paperSize="1" paperWidth="215.8999mm" scale="100"/>
  <legacyDrawing r:id="rId2"/>
</worksheet>
</file>

<file path=xl/worksheets/sheet6.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N71"/>
  <sheetViews>
    <sheetView showZeros="true" workbookViewId="0"/>
  </sheetViews>
  <sheetFormatPr baseColWidth="8" customHeight="false" defaultColWidth="9.1406253092569258" defaultRowHeight="15" zeroHeight="true"/>
  <cols>
    <col bestFit="true" customWidth="true" max="2" min="1" outlineLevel="0" width="20.85546864361033"/>
    <col bestFit="true" customWidth="true" max="3" min="3" outlineLevel="0" width="4.5703126546284629"/>
    <col bestFit="true" customWidth="true" max="5" min="4" outlineLevel="0" width="9.0000001691661815"/>
    <col customWidth="true" max="13" min="6" outlineLevel="0" width="9.1406253092569258"/>
    <col bestFit="true" customWidth="true" max="14" min="14" outlineLevel="0" width="5.7109372872206619"/>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bestFit="true"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bestFit="true"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customWidth="true" max="40" min="36" outlineLevel="0" width="9.1406253092569258"/>
    <col bestFit="true" customWidth="true" hidden="true" max="16384" min="41" outlineLevel="0" width="9.1406253092569258"/>
  </cols>
  <sheetData>
    <row hidden="false" ht="15" outlineLevel="0" r="1">
      <c r="A1" s="85" t="s">
        <v>155</v>
      </c>
      <c r="B1" s="812"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62" t="s"/>
      <c r="AK1" s="62" t="s"/>
    </row>
    <row hidden="false" ht="15.75" outlineLevel="0" r="2">
      <c r="A2" s="88" t="s">
        <v>157</v>
      </c>
      <c r="B2" s="89" t="s">
        <v>158</v>
      </c>
      <c r="C2" s="230" t="s">
        <v>159</v>
      </c>
      <c r="D2" s="813" t="s"/>
      <c r="E2" s="814" t="s"/>
    </row>
    <row hidden="false" ht="15.75" outlineLevel="0" r="3">
      <c r="A3" s="91" t="s">
        <v>160</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706-01-01</v>
      </c>
      <c r="Q3" s="815" t="s"/>
      <c r="R3" s="234" t="s">
        <v>514</v>
      </c>
      <c r="S3" s="816" t="s"/>
      <c r="T3" s="817" t="s"/>
      <c r="U3" s="818" t="s"/>
      <c r="V3" s="819" t="s"/>
      <c r="W3" s="820" t="s"/>
      <c r="X3" s="821" t="s"/>
      <c r="Y3" s="822" t="s"/>
      <c r="Z3" s="823" t="s"/>
      <c r="AA3" s="824" t="s"/>
      <c r="AB3" s="825" t="s"/>
      <c r="AC3" s="826" t="s"/>
      <c r="AD3" s="827" t="s"/>
      <c r="AE3" s="828" t="s"/>
      <c r="AF3" s="829" t="s"/>
      <c r="AG3" s="830" t="s"/>
      <c r="AH3" s="831" t="s"/>
      <c r="AI3" s="832" t="s"/>
      <c r="AJ3" s="833" t="s"/>
      <c r="AK3" s="834" t="s"/>
    </row>
    <row hidden="false" ht="15.75" outlineLevel="0" r="4">
      <c r="A4" s="91" t="s">
        <v>349</v>
      </c>
      <c r="B4" s="92" t="str">
        <f aca="false" ca="false" dt2D="false" dtr="false" t="normal">RIGHT(D13, 1)&amp;E13&amp;F13&amp;G13&amp;H10&amp;I10&amp;J10&amp;K10&amp;L10&amp;M10</f>
        <v>706G1G10000000000F</v>
      </c>
      <c r="C4" s="98" t="n"/>
      <c r="D4" s="99" t="s">
        <v>515</v>
      </c>
      <c r="E4" s="835" t="s"/>
      <c r="F4" s="836" t="s"/>
      <c r="G4" s="837" t="s"/>
      <c r="H4" s="53" t="s">
        <v>165</v>
      </c>
      <c r="I4" s="53" t="s">
        <v>166</v>
      </c>
      <c r="J4" s="53" t="s">
        <v>167</v>
      </c>
      <c r="K4" s="53" t="s">
        <v>168</v>
      </c>
      <c r="L4" s="53" t="s">
        <v>169</v>
      </c>
      <c r="M4" s="53" t="s">
        <v>221</v>
      </c>
      <c r="N4" s="63" t="n"/>
      <c r="P4" s="103" t="s">
        <v>516</v>
      </c>
      <c r="Q4" s="838" t="s"/>
      <c r="R4" s="839" t="s"/>
      <c r="S4" s="840" t="s"/>
      <c r="T4" s="103" t="s">
        <v>517</v>
      </c>
      <c r="U4" s="841" t="s"/>
      <c r="V4" s="842" t="s"/>
      <c r="W4" s="843" t="s"/>
      <c r="X4" s="103" t="s">
        <v>518</v>
      </c>
      <c r="Y4" s="844" t="s"/>
      <c r="Z4" s="845" t="s"/>
      <c r="AA4" s="846" t="s"/>
      <c r="AB4" s="103" t="s">
        <v>519</v>
      </c>
      <c r="AC4" s="847" t="s"/>
      <c r="AD4" s="848" t="s"/>
      <c r="AE4" s="849" t="s"/>
      <c r="AF4" s="103" t="s">
        <v>520</v>
      </c>
      <c r="AG4" s="850" t="s"/>
      <c r="AH4" s="851" t="s"/>
      <c r="AI4" s="852" t="s"/>
      <c r="AJ4" s="103" t="s">
        <v>521</v>
      </c>
      <c r="AK4" s="853" t="s"/>
    </row>
    <row hidden="false" ht="15.75" outlineLevel="0" r="5">
      <c r="A5" s="91" t="s">
        <v>357</v>
      </c>
      <c r="B5" s="92" t="str">
        <f aca="false" ca="false" dt2D="false" dtr="false" t="normal">RIGHT(D24, 1)&amp;E24&amp;F24&amp;G24&amp;H21&amp;I21&amp;J21&amp;K21&amp;L21&amp;M21</f>
        <v>706G1G2000000000010</v>
      </c>
      <c r="C5" s="98" t="s">
        <v>176</v>
      </c>
      <c r="D5" s="122" t="s">
        <v>177</v>
      </c>
      <c r="E5" s="123" t="s">
        <v>358</v>
      </c>
      <c r="F5" s="123" t="s">
        <v>179</v>
      </c>
      <c r="G5" s="124" t="s">
        <v>179</v>
      </c>
      <c r="H5" s="125" t="n">
        <f aca="false" ca="false" dt2D="false" dtr="false" t="normal">MID($A$4, 8, 2)</f>
        <v>0</v>
      </c>
      <c r="I5" s="126" t="n">
        <f aca="false" ca="false" dt2D="false" dtr="false" t="normal">MID($A$4, 10, 2)</f>
        <v>0</v>
      </c>
      <c r="J5" s="126" t="n">
        <f aca="false" ca="false" dt2D="false" dtr="false" t="normal">MID($A$4, 12, 2)</f>
        <v>0</v>
      </c>
      <c r="K5" s="126" t="n">
        <f aca="false" ca="false" dt2D="false" dtr="false" t="normal">MID($A$4, 14, 2)</f>
        <v>0</v>
      </c>
      <c r="L5" s="274" t="n">
        <f aca="false" ca="false" dt2D="false" dtr="false" t="normal">MID($A$4, 16, 2)</f>
        <v>0</v>
      </c>
      <c r="M5" s="128" t="str">
        <f aca="false" ca="false" dt2D="false" dtr="false" t="normal">MID($A$4, 18, 2)</f>
        <v>F</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854" t="s"/>
    </row>
    <row hidden="false" ht="15" outlineLevel="0" r="6">
      <c r="A6" s="91" t="s">
        <v>359</v>
      </c>
      <c r="B6" s="92" t="str">
        <f aca="false" ca="false" dt2D="false" dtr="false" t="normal">RIGHT(D35, 1)&amp;E35&amp;F35&amp;G35&amp;H32&amp;I32&amp;J32&amp;K32&amp;L32&amp;M32</f>
        <v>706G1G3000000000011</v>
      </c>
      <c r="C6" s="98" t="s">
        <v>185</v>
      </c>
      <c r="D6" s="53" t="n">
        <f aca="false" ca="false" dt2D="false" dtr="false" t="normal">HEX2BIN(D5, 8)</f>
        <v>111</v>
      </c>
      <c r="E6" s="53" t="n">
        <f aca="false" ca="false" dt2D="false" dtr="false" t="normal">HEX2BIN(E5, 8)</f>
        <v>110</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566" t="s">
        <v>522</v>
      </c>
      <c r="T6" s="209" t="n">
        <f aca="false" ca="false" dt2D="false" dtr="false" t="normal">MID(I6, 1, 1)</f>
        <v>0</v>
      </c>
      <c r="U6" s="137" t="n">
        <f aca="false" ca="false" dt2D="false" dtr="false" t="normal">T6</f>
        <v>0</v>
      </c>
      <c r="V6" s="120" t="s">
        <v>186</v>
      </c>
      <c r="W6" s="208" t="s">
        <v>523</v>
      </c>
      <c r="X6" s="209" t="n">
        <f aca="false" ca="false" dt2D="false" dtr="false" t="normal">MID(J6, 1, 1)</f>
        <v>0</v>
      </c>
      <c r="Y6" s="137" t="n">
        <f aca="false" ca="false" dt2D="false" dtr="false" t="normal">X6</f>
        <v>0</v>
      </c>
      <c r="Z6" s="120" t="s">
        <v>186</v>
      </c>
      <c r="AA6" s="208" t="s">
        <v>524</v>
      </c>
      <c r="AB6" s="209" t="n">
        <f aca="false" ca="false" dt2D="false" dtr="false" t="normal">MID(K6, 1, 1)</f>
        <v>0</v>
      </c>
      <c r="AC6" s="137" t="n">
        <f aca="false" ca="false" dt2D="false" dtr="false" t="normal">AB6</f>
        <v>0</v>
      </c>
      <c r="AD6" s="120" t="s">
        <v>186</v>
      </c>
      <c r="AE6" s="139" t="s">
        <v>525</v>
      </c>
      <c r="AF6" s="136" t="n">
        <f aca="false" ca="false" dt2D="false" dtr="false" t="normal">MID(L6, 1, 1)</f>
        <v>0</v>
      </c>
      <c r="AG6" s="137" t="n">
        <f aca="false" ca="false" dt2D="false" dtr="false" t="normal">AF6</f>
        <v>0</v>
      </c>
      <c r="AH6" s="120" t="s">
        <v>186</v>
      </c>
      <c r="AI6" s="566" t="s">
        <v>526</v>
      </c>
      <c r="AJ6" s="855" t="s"/>
      <c r="AK6" s="856" t="s"/>
    </row>
    <row hidden="false" ht="15" outlineLevel="0" r="7">
      <c r="A7" s="91" t="s">
        <v>365</v>
      </c>
      <c r="B7" s="92" t="str">
        <f aca="false" ca="false" dt2D="false" dtr="false" t="normal">RIGHT(D46, 1)&amp;E46&amp;F46&amp;G46&amp;H43&amp;I43&amp;J43</f>
        <v>706G1G4000012</v>
      </c>
      <c r="C7" s="98" t="s">
        <v>191</v>
      </c>
      <c r="D7" s="53" t="n">
        <f aca="false" ca="false" dt2D="false" dtr="false" t="normal">HEX2DEC(D5)</f>
        <v>7</v>
      </c>
      <c r="E7" s="53" t="n">
        <f aca="false" ca="false" dt2D="false" dtr="false" t="normal">HEX2DEC(E5)</f>
        <v>6</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15</v>
      </c>
      <c r="N7" s="63" t="n"/>
      <c r="P7" s="136" t="n">
        <f aca="false" ca="false" dt2D="false" dtr="false" t="normal">MID(H6, 2, 1)</f>
        <v>0</v>
      </c>
      <c r="Q7" s="137" t="n">
        <f aca="false" ca="false" dt2D="false" dtr="false" t="normal">P7</f>
        <v>0</v>
      </c>
      <c r="R7" s="120" t="s">
        <v>192</v>
      </c>
      <c r="S7" s="140" t="s">
        <v>527</v>
      </c>
      <c r="T7" s="209" t="n">
        <f aca="false" ca="false" dt2D="false" dtr="false" t="normal">MID(I6, 2, 1)</f>
        <v>0</v>
      </c>
      <c r="U7" s="137" t="n">
        <f aca="false" ca="false" dt2D="false" dtr="false" t="normal">T7</f>
        <v>0</v>
      </c>
      <c r="V7" s="120" t="s">
        <v>192</v>
      </c>
      <c r="W7" s="857" t="s">
        <v>528</v>
      </c>
      <c r="X7" s="209" t="n">
        <f aca="false" ca="false" dt2D="false" dtr="false" t="normal">MID(J6, 2, 1)</f>
        <v>0</v>
      </c>
      <c r="Y7" s="137" t="n">
        <f aca="false" ca="false" dt2D="false" dtr="false" t="normal">X7</f>
        <v>0</v>
      </c>
      <c r="Z7" s="120" t="s">
        <v>192</v>
      </c>
      <c r="AA7" s="857" t="s">
        <v>529</v>
      </c>
      <c r="AB7" s="209" t="n">
        <f aca="false" ca="false" dt2D="false" dtr="false" t="normal">MID(K6, 2, 1)</f>
        <v>0</v>
      </c>
      <c r="AC7" s="137" t="n">
        <f aca="false" ca="false" dt2D="false" dtr="false" t="normal">AB7</f>
        <v>0</v>
      </c>
      <c r="AD7" s="120" t="s">
        <v>192</v>
      </c>
      <c r="AE7" s="139" t="s">
        <v>530</v>
      </c>
      <c r="AF7" s="136" t="n">
        <f aca="false" ca="false" dt2D="false" dtr="false" t="normal">MID(L6, 2, 1)</f>
        <v>0</v>
      </c>
      <c r="AG7" s="137" t="n">
        <f aca="false" ca="false" dt2D="false" dtr="false" t="normal">AF7</f>
        <v>0</v>
      </c>
      <c r="AH7" s="120" t="s">
        <v>192</v>
      </c>
      <c r="AI7" s="140" t="s">
        <v>531</v>
      </c>
      <c r="AJ7" s="858" t="s"/>
      <c r="AK7" s="859" t="s"/>
    </row>
    <row hidden="false" ht="15" outlineLevel="0" r="8">
      <c r="A8" s="91" t="s">
        <v>175</v>
      </c>
      <c r="B8" s="92" t="s">
        <v>175</v>
      </c>
      <c r="C8" s="98" t="s">
        <v>194</v>
      </c>
      <c r="D8" s="149" t="n">
        <f aca="false" ca="false" dt2D="false" dtr="false" t="normal">D5</f>
        <v>7</v>
      </c>
      <c r="E8" s="149" t="n">
        <f aca="false" ca="false" dt2D="false" dtr="false" t="normal">E5</f>
        <v>6</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860" t="s"/>
      <c r="T8" s="209" t="n">
        <f aca="false" ca="false" dt2D="false" dtr="false" t="normal">MID(I6, 3, 1)</f>
        <v>0</v>
      </c>
      <c r="U8" s="137" t="n">
        <f aca="false" ca="false" dt2D="false" dtr="false" t="normal">T8</f>
        <v>0</v>
      </c>
      <c r="V8" s="120" t="s">
        <v>195</v>
      </c>
      <c r="W8" s="139" t="s">
        <v>532</v>
      </c>
      <c r="X8" s="209" t="n">
        <f aca="false" ca="false" dt2D="false" dtr="false" t="normal">MID(J6, 3, 1)</f>
        <v>0</v>
      </c>
      <c r="Y8" s="137" t="n">
        <f aca="false" ca="false" dt2D="false" dtr="false" t="normal">X8</f>
        <v>0</v>
      </c>
      <c r="Z8" s="120" t="s">
        <v>195</v>
      </c>
      <c r="AA8" s="566" t="s">
        <v>533</v>
      </c>
      <c r="AB8" s="209" t="n">
        <f aca="false" ca="false" dt2D="false" dtr="false" t="normal">MID(K6, 3, 1)</f>
        <v>0</v>
      </c>
      <c r="AC8" s="137" t="n">
        <f aca="false" ca="false" dt2D="false" dtr="false" t="normal">AB8</f>
        <v>0</v>
      </c>
      <c r="AD8" s="120" t="s">
        <v>195</v>
      </c>
      <c r="AE8" s="139" t="s">
        <v>534</v>
      </c>
      <c r="AF8" s="136" t="n">
        <f aca="false" ca="false" dt2D="false" dtr="false" t="normal">MID(L6, 3, 1)</f>
        <v>0</v>
      </c>
      <c r="AG8" s="137" t="n">
        <f aca="false" ca="false" dt2D="false" dtr="false" t="normal">AF8</f>
        <v>0</v>
      </c>
      <c r="AH8" s="120" t="s">
        <v>195</v>
      </c>
      <c r="AI8" s="861" t="s"/>
      <c r="AJ8" s="862" t="s"/>
      <c r="AK8" s="863" t="s"/>
    </row>
    <row hidden="false" ht="15.75" outlineLevel="0" r="9">
      <c r="A9" s="91" t="s">
        <v>371</v>
      </c>
      <c r="B9" s="92" t="str">
        <f aca="false" ca="false" dt2D="false" dtr="false" t="normal">RIGHT(D57, 1)&amp;E57&amp;F57&amp;G57&amp;H54&amp;I54&amp;J54&amp;K54&amp;L54&amp;M54</f>
        <v>706G2G1000000000010</v>
      </c>
      <c r="C9" s="98" t="n"/>
      <c r="N9" s="63" t="n"/>
      <c r="P9" s="136" t="n">
        <f aca="false" ca="false" dt2D="false" dtr="false" t="normal">MID(H6, 4, 1)</f>
        <v>0</v>
      </c>
      <c r="Q9" s="137" t="n">
        <f aca="false" ca="false" dt2D="false" dtr="false" t="normal">P9</f>
        <v>0</v>
      </c>
      <c r="R9" s="120" t="s">
        <v>197</v>
      </c>
      <c r="S9" s="864" t="s">
        <v>535</v>
      </c>
      <c r="T9" s="209" t="n">
        <f aca="false" ca="false" dt2D="false" dtr="false" t="normal">MID(I6, 4, 1)</f>
        <v>0</v>
      </c>
      <c r="U9" s="137" t="n">
        <f aca="false" ca="false" dt2D="false" dtr="false" t="normal">T9</f>
        <v>0</v>
      </c>
      <c r="V9" s="120" t="s">
        <v>197</v>
      </c>
      <c r="W9" s="139" t="s">
        <v>536</v>
      </c>
      <c r="X9" s="209" t="n">
        <f aca="false" ca="false" dt2D="false" dtr="false" t="normal">MID(J6, 4, 1)</f>
        <v>0</v>
      </c>
      <c r="Y9" s="137" t="n">
        <f aca="false" ca="false" dt2D="false" dtr="false" t="normal">X9</f>
        <v>0</v>
      </c>
      <c r="Z9" s="120" t="s">
        <v>197</v>
      </c>
      <c r="AA9" s="208" t="s">
        <v>537</v>
      </c>
      <c r="AB9" s="209" t="n">
        <f aca="false" ca="false" dt2D="false" dtr="false" t="normal">MID(K6, 4, 1)</f>
        <v>0</v>
      </c>
      <c r="AC9" s="137" t="n">
        <f aca="false" ca="false" dt2D="false" dtr="false" t="normal">AB9</f>
        <v>0</v>
      </c>
      <c r="AD9" s="120" t="s">
        <v>197</v>
      </c>
      <c r="AE9" s="139" t="s">
        <v>538</v>
      </c>
      <c r="AF9" s="136" t="n">
        <f aca="false" ca="false" dt2D="false" dtr="false" t="normal">MID(L6, 4, 1)</f>
        <v>0</v>
      </c>
      <c r="AG9" s="137" t="n">
        <f aca="false" ca="false" dt2D="false" dtr="false" t="normal">AF9</f>
        <v>0</v>
      </c>
      <c r="AH9" s="120" t="s">
        <v>197</v>
      </c>
      <c r="AI9" s="865" t="s"/>
      <c r="AJ9" s="866" t="s"/>
      <c r="AK9" s="867" t="s"/>
    </row>
    <row customHeight="true" hidden="false" ht="15.75" outlineLevel="0" r="10">
      <c r="A10" s="135" t="s">
        <v>539</v>
      </c>
      <c r="B10" s="92" t="str">
        <f aca="false" ca="false" dt2D="false" dtr="false" t="normal">RIGHT(D68, 1)&amp;E68&amp;F68&amp;G68&amp;H65&amp;I65</f>
        <v>706G2G20011</v>
      </c>
      <c r="C10" s="98" t="s">
        <v>176</v>
      </c>
      <c r="D10" s="159" t="n">
        <f aca="false" ca="false" dt2D="false" dtr="false" t="normal">D5</f>
        <v>7</v>
      </c>
      <c r="E10" s="160" t="n">
        <f aca="false" ca="false" dt2D="false" dtr="false" t="normal">E5</f>
        <v>6</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F</v>
      </c>
      <c r="N10" s="63" t="s">
        <v>181</v>
      </c>
      <c r="P10" s="136" t="n">
        <f aca="false" ca="false" dt2D="false" dtr="false" t="normal">MID(H6, 5, 1)</f>
        <v>0</v>
      </c>
      <c r="Q10" s="137" t="n">
        <f aca="false" ca="false" dt2D="false" dtr="false" t="normal">P10</f>
        <v>0</v>
      </c>
      <c r="R10" s="120" t="s">
        <v>200</v>
      </c>
      <c r="S10" s="140" t="s">
        <v>540</v>
      </c>
      <c r="T10" s="209" t="n">
        <f aca="false" ca="false" dt2D="false" dtr="false" t="normal">MID(I6, 5, 1)</f>
        <v>0</v>
      </c>
      <c r="U10" s="137" t="n">
        <f aca="false" ca="false" dt2D="false" dtr="false" t="normal">T10</f>
        <v>0</v>
      </c>
      <c r="V10" s="120" t="s">
        <v>200</v>
      </c>
      <c r="W10" s="139" t="s">
        <v>541</v>
      </c>
      <c r="X10" s="209" t="n">
        <f aca="false" ca="false" dt2D="false" dtr="false" t="normal">MID(J6, 5, 1)</f>
        <v>0</v>
      </c>
      <c r="Y10" s="137" t="n">
        <f aca="false" ca="false" dt2D="false" dtr="false" t="normal">X10</f>
        <v>0</v>
      </c>
      <c r="Z10" s="120" t="s">
        <v>200</v>
      </c>
      <c r="AA10" s="857" t="s">
        <v>542</v>
      </c>
      <c r="AB10" s="209" t="n">
        <f aca="false" ca="false" dt2D="false" dtr="false" t="normal">MID(K6, 5, 1)</f>
        <v>0</v>
      </c>
      <c r="AC10" s="137" t="n">
        <f aca="false" ca="false" dt2D="false" dtr="false" t="normal">AB10</f>
        <v>0</v>
      </c>
      <c r="AD10" s="120" t="s">
        <v>200</v>
      </c>
      <c r="AE10" s="139" t="s">
        <v>543</v>
      </c>
      <c r="AF10" s="136" t="n">
        <f aca="false" ca="false" dt2D="false" dtr="false" t="normal">MID(L6, 5, 1)</f>
        <v>0</v>
      </c>
      <c r="AG10" s="137" t="n">
        <f aca="false" ca="false" dt2D="false" dtr="false" t="normal">AF10</f>
        <v>0</v>
      </c>
      <c r="AH10" s="120" t="s">
        <v>200</v>
      </c>
      <c r="AI10" s="857" t="s">
        <v>544</v>
      </c>
      <c r="AJ10" s="868" t="s"/>
      <c r="AK10" s="869" t="s"/>
    </row>
    <row hidden="false" ht="15" outlineLevel="0" r="11">
      <c r="C11" s="98" t="s">
        <v>185</v>
      </c>
      <c r="D11" s="53" t="n">
        <f aca="false" ca="false" dt2D="false" dtr="false" t="normal">HEX2BIN(D10, 8)</f>
        <v>111</v>
      </c>
      <c r="E11" s="53" t="n">
        <f aca="false" ca="false" dt2D="false" dtr="false" t="normal">HEX2BIN(E10, 8)</f>
        <v>110</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F</v>
      </c>
      <c r="N11" s="63" t="n"/>
      <c r="P11" s="136" t="n">
        <f aca="false" ca="false" dt2D="false" dtr="false" t="normal">MID(H6, 6, 1)</f>
        <v>0</v>
      </c>
      <c r="Q11" s="137" t="n">
        <f aca="false" ca="false" dt2D="false" dtr="false" t="normal">P11</f>
        <v>0</v>
      </c>
      <c r="R11" s="120" t="s">
        <v>203</v>
      </c>
      <c r="S11" s="870" t="s"/>
      <c r="T11" s="209" t="n">
        <f aca="false" ca="false" dt2D="false" dtr="false" t="normal">MID(I6, 6, 1)</f>
        <v>0</v>
      </c>
      <c r="U11" s="137" t="n">
        <f aca="false" ca="false" dt2D="false" dtr="false" t="normal">T11</f>
        <v>0</v>
      </c>
      <c r="V11" s="120" t="s">
        <v>203</v>
      </c>
      <c r="W11" s="139" t="s">
        <v>545</v>
      </c>
      <c r="X11" s="209" t="n">
        <f aca="false" ca="false" dt2D="false" dtr="false" t="normal">MID(J6, 6, 1)</f>
        <v>0</v>
      </c>
      <c r="Y11" s="137" t="n">
        <f aca="false" ca="false" dt2D="false" dtr="false" t="normal">X11</f>
        <v>0</v>
      </c>
      <c r="Z11" s="120" t="s">
        <v>203</v>
      </c>
      <c r="AA11" s="139" t="s">
        <v>546</v>
      </c>
      <c r="AB11" s="209" t="n">
        <f aca="false" ca="false" dt2D="false" dtr="false" t="normal">MID(K6, 6, 1)</f>
        <v>0</v>
      </c>
      <c r="AC11" s="137" t="n">
        <f aca="false" ca="false" dt2D="false" dtr="false" t="normal">AB11</f>
        <v>0</v>
      </c>
      <c r="AD11" s="120" t="s">
        <v>203</v>
      </c>
      <c r="AE11" s="139" t="s">
        <v>547</v>
      </c>
      <c r="AF11" s="136" t="n">
        <f aca="false" ca="false" dt2D="false" dtr="false" t="normal">MID(L6, 6, 1)</f>
        <v>0</v>
      </c>
      <c r="AG11" s="137" t="n">
        <f aca="false" ca="false" dt2D="false" dtr="false" t="normal">AF11</f>
        <v>0</v>
      </c>
      <c r="AH11" s="120" t="s">
        <v>203</v>
      </c>
      <c r="AI11" s="566" t="s">
        <v>548</v>
      </c>
      <c r="AJ11" s="871" t="s"/>
      <c r="AK11" s="872" t="s"/>
    </row>
    <row hidden="false" ht="15" outlineLevel="0" r="12">
      <c r="C12" s="98" t="s">
        <v>191</v>
      </c>
      <c r="D12" s="53" t="n">
        <f aca="false" ca="false" dt2D="false" dtr="false" t="normal">HEX2DEC(D10)</f>
        <v>7</v>
      </c>
      <c r="E12" s="53" t="n">
        <f aca="false" ca="false" dt2D="false" dtr="false" t="normal">HEX2DEC(E10)</f>
        <v>6</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15</v>
      </c>
      <c r="N12" s="63" t="n"/>
      <c r="P12" s="136" t="n">
        <f aca="false" ca="false" dt2D="false" dtr="false" t="normal">MID(H6, 7, 1)</f>
        <v>0</v>
      </c>
      <c r="Q12" s="137" t="n">
        <f aca="false" ca="false" dt2D="false" dtr="false" t="normal">P12</f>
        <v>0</v>
      </c>
      <c r="R12" s="120" t="s">
        <v>206</v>
      </c>
      <c r="S12" s="857" t="s">
        <v>549</v>
      </c>
      <c r="T12" s="209" t="n">
        <f aca="false" ca="false" dt2D="false" dtr="false" t="normal">MID(I6, 7, 1)</f>
        <v>0</v>
      </c>
      <c r="U12" s="137" t="n">
        <f aca="false" ca="false" dt2D="false" dtr="false" t="normal">T12</f>
        <v>0</v>
      </c>
      <c r="V12" s="120" t="s">
        <v>206</v>
      </c>
      <c r="W12" s="139" t="s">
        <v>550</v>
      </c>
      <c r="X12" s="209" t="n">
        <f aca="false" ca="false" dt2D="false" dtr="false" t="normal">MID(J6, 7, 1)</f>
        <v>0</v>
      </c>
      <c r="Y12" s="137" t="n">
        <f aca="false" ca="false" dt2D="false" dtr="false" t="normal">X12</f>
        <v>0</v>
      </c>
      <c r="Z12" s="120" t="s">
        <v>206</v>
      </c>
      <c r="AA12" s="139" t="s">
        <v>551</v>
      </c>
      <c r="AB12" s="209" t="n">
        <f aca="false" ca="false" dt2D="false" dtr="false" t="normal">MID(K6, 7, 1)</f>
        <v>0</v>
      </c>
      <c r="AC12" s="137" t="n">
        <f aca="false" ca="false" dt2D="false" dtr="false" t="normal">AB12</f>
        <v>0</v>
      </c>
      <c r="AD12" s="120" t="s">
        <v>206</v>
      </c>
      <c r="AE12" s="139" t="s">
        <v>552</v>
      </c>
      <c r="AF12" s="136" t="n">
        <f aca="false" ca="false" dt2D="false" dtr="false" t="normal">MID(L6, 7, 1)</f>
        <v>0</v>
      </c>
      <c r="AG12" s="137" t="n">
        <f aca="false" ca="false" dt2D="false" dtr="false" t="normal">AF12</f>
        <v>0</v>
      </c>
      <c r="AH12" s="120" t="s">
        <v>206</v>
      </c>
      <c r="AI12" s="208" t="s">
        <v>553</v>
      </c>
      <c r="AJ12" s="873" t="s"/>
      <c r="AK12" s="874" t="s"/>
    </row>
    <row hidden="false" ht="15.75" outlineLevel="0" r="13">
      <c r="C13" s="180" t="s">
        <v>194</v>
      </c>
      <c r="D13" s="299" t="n">
        <f aca="false" ca="false" dt2D="false" dtr="false" t="normal">D8</f>
        <v>7</v>
      </c>
      <c r="E13" s="299" t="n">
        <f aca="false" ca="false" dt2D="false" dtr="false" t="normal">E8</f>
        <v>6</v>
      </c>
      <c r="F13" s="299" t="str">
        <f aca="false" ca="false" dt2D="false" dtr="false" t="normal">F8</f>
        <v>G1</v>
      </c>
      <c r="G13" s="299"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87" t="s">
        <v>554</v>
      </c>
      <c r="T13" s="300" t="n">
        <f aca="false" ca="false" dt2D="false" dtr="false" t="normal">MID(I6, 8, 1)</f>
        <v>0</v>
      </c>
      <c r="U13" s="183" t="n">
        <f aca="false" ca="false" dt2D="false" dtr="false" t="normal">T13</f>
        <v>0</v>
      </c>
      <c r="V13" s="184" t="s">
        <v>208</v>
      </c>
      <c r="W13" s="187" t="s">
        <v>555</v>
      </c>
      <c r="X13" s="300" t="n">
        <f aca="false" ca="false" dt2D="false" dtr="false" t="normal">MID(J6, 8, 1)</f>
        <v>0</v>
      </c>
      <c r="Y13" s="183" t="n">
        <f aca="false" ca="false" dt2D="false" dtr="false" t="normal">X13</f>
        <v>0</v>
      </c>
      <c r="Z13" s="184" t="s">
        <v>208</v>
      </c>
      <c r="AA13" s="187" t="s">
        <v>556</v>
      </c>
      <c r="AB13" s="300" t="n">
        <f aca="false" ca="false" dt2D="false" dtr="false" t="normal">MID(K6, 8, 1)</f>
        <v>0</v>
      </c>
      <c r="AC13" s="183" t="n">
        <f aca="false" ca="false" dt2D="false" dtr="false" t="normal">AB13</f>
        <v>0</v>
      </c>
      <c r="AD13" s="184" t="s">
        <v>208</v>
      </c>
      <c r="AE13" s="187" t="s">
        <v>557</v>
      </c>
      <c r="AF13" s="182" t="n">
        <f aca="false" ca="false" dt2D="false" dtr="false" t="normal">MID(L6, 8, 1)</f>
        <v>0</v>
      </c>
      <c r="AG13" s="183" t="n">
        <f aca="false" ca="false" dt2D="false" dtr="false" t="normal">AF13</f>
        <v>0</v>
      </c>
      <c r="AH13" s="184" t="s">
        <v>208</v>
      </c>
      <c r="AI13" s="875" t="s">
        <v>558</v>
      </c>
      <c r="AJ13" s="876" t="s"/>
      <c r="AK13" s="877" t="s"/>
    </row>
    <row hidden="false" ht="15.75" outlineLevel="0" r="14">
      <c r="C14" s="93" t="n"/>
      <c r="D14" s="94" t="n"/>
      <c r="E14" s="94" t="n"/>
      <c r="F14" s="94" t="n"/>
      <c r="G14" s="94" t="n"/>
      <c r="H14" s="94" t="n"/>
      <c r="I14" s="94" t="n"/>
      <c r="J14" s="94" t="n"/>
      <c r="K14" s="94" t="n"/>
      <c r="L14" s="94" t="n"/>
      <c r="M14" s="94" t="s">
        <v>161</v>
      </c>
      <c r="N14" s="60" t="n"/>
      <c r="P14" s="95" t="str">
        <f aca="false" ca="false" dt2D="false" dtr="false" t="normal">RIGHT(D16, 1)&amp;E16&amp;"-"&amp;F16&amp;"-"&amp;G16</f>
        <v>706-01-02</v>
      </c>
      <c r="Q14" s="878" t="s"/>
      <c r="R14" s="234" t="s">
        <v>559</v>
      </c>
      <c r="S14" s="879" t="s"/>
      <c r="T14" s="880" t="s"/>
      <c r="U14" s="881" t="s"/>
      <c r="V14" s="882" t="s"/>
      <c r="W14" s="883" t="s"/>
      <c r="X14" s="884" t="s"/>
      <c r="Y14" s="885" t="s"/>
      <c r="Z14" s="886" t="s"/>
      <c r="AA14" s="887" t="s"/>
      <c r="AB14" s="888" t="s"/>
      <c r="AC14" s="889" t="s"/>
      <c r="AD14" s="890" t="s"/>
      <c r="AE14" s="891" t="s"/>
      <c r="AF14" s="892" t="s"/>
      <c r="AG14" s="893" t="s"/>
      <c r="AH14" s="894" t="s"/>
      <c r="AI14" s="895" t="s"/>
      <c r="AJ14" s="896" t="s"/>
      <c r="AK14" s="897" t="s"/>
    </row>
    <row hidden="false" ht="15.75" outlineLevel="0" r="15">
      <c r="C15" s="98" t="n"/>
      <c r="D15" s="99" t="s">
        <v>560</v>
      </c>
      <c r="E15" s="898" t="s"/>
      <c r="F15" s="899" t="s"/>
      <c r="G15" s="900" t="s"/>
      <c r="H15" s="53" t="s">
        <v>165</v>
      </c>
      <c r="I15" s="53" t="s">
        <v>166</v>
      </c>
      <c r="J15" s="53" t="s">
        <v>167</v>
      </c>
      <c r="K15" s="53" t="s">
        <v>168</v>
      </c>
      <c r="L15" s="53" t="s">
        <v>169</v>
      </c>
      <c r="M15" s="53" t="s">
        <v>221</v>
      </c>
      <c r="N15" s="63" t="n"/>
      <c r="P15" s="103" t="s">
        <v>561</v>
      </c>
      <c r="Q15" s="901" t="s"/>
      <c r="R15" s="902" t="s"/>
      <c r="S15" s="903" t="s"/>
      <c r="T15" s="103" t="s">
        <v>562</v>
      </c>
      <c r="U15" s="904" t="s"/>
      <c r="V15" s="905" t="s"/>
      <c r="W15" s="906" t="s"/>
      <c r="X15" s="103" t="s">
        <v>563</v>
      </c>
      <c r="Y15" s="907" t="s"/>
      <c r="Z15" s="908" t="s"/>
      <c r="AA15" s="909" t="s"/>
      <c r="AB15" s="103" t="s">
        <v>564</v>
      </c>
      <c r="AC15" s="910" t="s"/>
      <c r="AD15" s="911" t="s"/>
      <c r="AE15" s="912" t="s"/>
      <c r="AF15" s="103" t="s">
        <v>565</v>
      </c>
      <c r="AG15" s="913" t="s"/>
      <c r="AH15" s="914" t="s"/>
      <c r="AI15" s="915" t="s"/>
      <c r="AJ15" s="103" t="s">
        <v>566</v>
      </c>
      <c r="AK15" s="916" t="s"/>
    </row>
    <row hidden="false" ht="15.75" outlineLevel="0" r="16">
      <c r="C16" s="98" t="s">
        <v>176</v>
      </c>
      <c r="D16" s="122" t="s">
        <v>177</v>
      </c>
      <c r="E16" s="123" t="s">
        <v>358</v>
      </c>
      <c r="F16" s="123" t="s">
        <v>179</v>
      </c>
      <c r="G16" s="124" t="s">
        <v>216</v>
      </c>
      <c r="H16" s="125" t="n">
        <f aca="false" ca="false" dt2D="false" dtr="false" t="normal">MID($A$5, 8, 2)</f>
        <v>0</v>
      </c>
      <c r="I16" s="126" t="n">
        <f aca="false" ca="false" dt2D="false" dtr="false" t="normal">MID($A$5, 10, 2)</f>
        <v>0</v>
      </c>
      <c r="J16" s="126" t="n">
        <f aca="false" ca="false" dt2D="false" dtr="false" t="normal">MID($A$5, 12, 2)</f>
        <v>0</v>
      </c>
      <c r="K16" s="126" t="n">
        <f aca="false" ca="false" dt2D="false" dtr="false" t="normal">MID($A$5, 14, 2)</f>
        <v>0</v>
      </c>
      <c r="L16" s="274" t="n">
        <f aca="false" ca="false" dt2D="false" dtr="false" t="normal">MID($A$5, 16, 2)</f>
        <v>0</v>
      </c>
      <c r="M16" s="128" t="n">
        <f aca="false" ca="false" dt2D="false" dtr="false" t="normal">MID($A$5, 18, 2)</f>
        <v>10</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917" t="s"/>
    </row>
    <row hidden="false" ht="15" outlineLevel="0" r="17">
      <c r="C17" s="98" t="s">
        <v>185</v>
      </c>
      <c r="D17" s="53" t="n">
        <f aca="false" ca="false" dt2D="false" dtr="false" t="normal">HEX2BIN(D16, 8)</f>
        <v>111</v>
      </c>
      <c r="E17" s="53" t="n">
        <f aca="false" ca="false" dt2D="false" dtr="false" t="normal">HEX2BIN(E16, 8)</f>
        <v>110</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N17" s="63" t="n"/>
      <c r="P17" s="136" t="n">
        <f aca="false" ca="false" dt2D="false" dtr="false" t="normal">MID(H17, 1, 1)</f>
        <v>0</v>
      </c>
      <c r="Q17" s="137" t="n">
        <f aca="false" ca="false" dt2D="false" dtr="false" t="normal">P17</f>
        <v>0</v>
      </c>
      <c r="R17" s="120" t="s">
        <v>186</v>
      </c>
      <c r="S17" s="208" t="s">
        <v>567</v>
      </c>
      <c r="T17" s="209" t="n">
        <f aca="false" ca="false" dt2D="false" dtr="false" t="normal">MID(I17, 1, 1)</f>
        <v>0</v>
      </c>
      <c r="U17" s="137" t="n">
        <f aca="false" ca="false" dt2D="false" dtr="false" t="normal">T17</f>
        <v>0</v>
      </c>
      <c r="V17" s="120" t="s">
        <v>186</v>
      </c>
      <c r="W17" s="654" t="s">
        <v>568</v>
      </c>
      <c r="X17" s="209" t="n">
        <f aca="false" ca="false" dt2D="false" dtr="false" t="normal">MID(J17, 1, 1)</f>
        <v>0</v>
      </c>
      <c r="Y17" s="137" t="n">
        <f aca="false" ca="false" dt2D="false" dtr="false" t="normal">X17</f>
        <v>0</v>
      </c>
      <c r="Z17" s="120" t="s">
        <v>186</v>
      </c>
      <c r="AA17" s="131" t="s">
        <v>196</v>
      </c>
      <c r="AB17" s="136" t="n">
        <f aca="false" ca="false" dt2D="false" dtr="false" t="normal">MID(K17, 1, 1)</f>
        <v>0</v>
      </c>
      <c r="AC17" s="137" t="n">
        <f aca="false" ca="false" dt2D="false" dtr="false" t="normal">AB17</f>
        <v>0</v>
      </c>
      <c r="AD17" s="120" t="s">
        <v>186</v>
      </c>
      <c r="AE17" s="139" t="s">
        <v>569</v>
      </c>
      <c r="AF17" s="136" t="n">
        <f aca="false" ca="false" dt2D="false" dtr="false" t="normal">MID(L17, 1, 1)</f>
        <v>0</v>
      </c>
      <c r="AG17" s="137" t="n">
        <f aca="false" ca="false" dt2D="false" dtr="false" t="normal">AF17</f>
        <v>0</v>
      </c>
      <c r="AH17" s="120" t="s">
        <v>186</v>
      </c>
      <c r="AI17" s="566" t="s">
        <v>570</v>
      </c>
      <c r="AJ17" s="918" t="s"/>
      <c r="AK17" s="919" t="s"/>
    </row>
    <row hidden="false" ht="15" outlineLevel="0" r="18">
      <c r="C18" s="98" t="s">
        <v>191</v>
      </c>
      <c r="D18" s="53" t="n">
        <f aca="false" ca="false" dt2D="false" dtr="false" t="normal">HEX2DEC(D16)</f>
        <v>7</v>
      </c>
      <c r="E18" s="53" t="n">
        <f aca="false" ca="false" dt2D="false" dtr="false" t="normal">HEX2DEC(E16)</f>
        <v>6</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16</v>
      </c>
      <c r="N18" s="63" t="n"/>
      <c r="P18" s="136" t="n">
        <f aca="false" ca="false" dt2D="false" dtr="false" t="normal">MID(H17, 2, 1)</f>
        <v>0</v>
      </c>
      <c r="Q18" s="137" t="n">
        <f aca="false" ca="false" dt2D="false" dtr="false" t="normal">P18</f>
        <v>0</v>
      </c>
      <c r="R18" s="120" t="s">
        <v>192</v>
      </c>
      <c r="S18" s="857" t="s">
        <v>571</v>
      </c>
      <c r="T18" s="209" t="n">
        <f aca="false" ca="false" dt2D="false" dtr="false" t="normal">MID(I17, 2, 1)</f>
        <v>0</v>
      </c>
      <c r="U18" s="137" t="n">
        <f aca="false" ca="false" dt2D="false" dtr="false" t="normal">T18</f>
        <v>0</v>
      </c>
      <c r="V18" s="120" t="s">
        <v>192</v>
      </c>
      <c r="W18" s="920" t="s"/>
      <c r="X18" s="209" t="n">
        <f aca="false" ca="false" dt2D="false" dtr="false" t="normal">MID(J17, 2, 1)</f>
        <v>0</v>
      </c>
      <c r="Y18" s="137" t="n">
        <f aca="false" ca="false" dt2D="false" dtr="false" t="normal">X18</f>
        <v>0</v>
      </c>
      <c r="Z18" s="120" t="s">
        <v>192</v>
      </c>
      <c r="AA18" s="139" t="s">
        <v>572</v>
      </c>
      <c r="AB18" s="136" t="n">
        <f aca="false" ca="false" dt2D="false" dtr="false" t="normal">MID(K17, 2, 1)</f>
        <v>0</v>
      </c>
      <c r="AC18" s="137" t="n">
        <f aca="false" ca="false" dt2D="false" dtr="false" t="normal">AB18</f>
        <v>0</v>
      </c>
      <c r="AD18" s="120" t="s">
        <v>192</v>
      </c>
      <c r="AE18" s="139" t="s">
        <v>573</v>
      </c>
      <c r="AF18" s="136" t="n">
        <f aca="false" ca="false" dt2D="false" dtr="false" t="normal">MID(L17, 2, 1)</f>
        <v>0</v>
      </c>
      <c r="AG18" s="137" t="n">
        <f aca="false" ca="false" dt2D="false" dtr="false" t="normal">AF18</f>
        <v>0</v>
      </c>
      <c r="AH18" s="120" t="s">
        <v>192</v>
      </c>
      <c r="AI18" s="921" t="s">
        <v>574</v>
      </c>
      <c r="AJ18" s="922" t="s"/>
      <c r="AK18" s="923" t="s"/>
    </row>
    <row hidden="false" ht="15" outlineLevel="0" r="19">
      <c r="C19" s="98" t="s">
        <v>194</v>
      </c>
      <c r="D19" s="149" t="n">
        <f aca="false" ca="false" dt2D="false" dtr="false" t="normal">D16</f>
        <v>7</v>
      </c>
      <c r="E19" s="149" t="n">
        <f aca="false" ca="false" dt2D="false" dtr="false" t="normal">E16</f>
        <v>6</v>
      </c>
      <c r="F19" s="53" t="str">
        <f aca="false" ca="false" dt2D="false" dtr="false" t="normal">MID($A$5, 4, 2)</f>
        <v>G1</v>
      </c>
      <c r="G19" s="53" t="str">
        <f aca="false" ca="false" dt2D="false" dtr="false" t="normal">MID($A$5, 6, 2)</f>
        <v>G2</v>
      </c>
      <c r="N19" s="63" t="n"/>
      <c r="P19" s="136" t="n">
        <f aca="false" ca="false" dt2D="false" dtr="false" t="normal">MID(H17, 3, 1)</f>
        <v>0</v>
      </c>
      <c r="Q19" s="137" t="n">
        <f aca="false" ca="false" dt2D="false" dtr="false" t="normal">P19</f>
        <v>0</v>
      </c>
      <c r="R19" s="120" t="s">
        <v>195</v>
      </c>
      <c r="S19" s="139" t="s">
        <v>575</v>
      </c>
      <c r="T19" s="209" t="n">
        <f aca="false" ca="false" dt2D="false" dtr="false" t="normal">MID(I17, 3, 1)</f>
        <v>0</v>
      </c>
      <c r="U19" s="137" t="n">
        <f aca="false" ca="false" dt2D="false" dtr="false" t="normal">T19</f>
        <v>0</v>
      </c>
      <c r="V19" s="120" t="s">
        <v>195</v>
      </c>
      <c r="W19" s="924" t="s"/>
      <c r="X19" s="209" t="n">
        <f aca="false" ca="false" dt2D="false" dtr="false" t="normal">MID(J17, 3, 1)</f>
        <v>0</v>
      </c>
      <c r="Y19" s="137" t="n">
        <f aca="false" ca="false" dt2D="false" dtr="false" t="normal">X19</f>
        <v>0</v>
      </c>
      <c r="Z19" s="120" t="s">
        <v>195</v>
      </c>
      <c r="AA19" s="139" t="s">
        <v>576</v>
      </c>
      <c r="AB19" s="136" t="n">
        <f aca="false" ca="false" dt2D="false" dtr="false" t="normal">MID(K17, 3, 1)</f>
        <v>0</v>
      </c>
      <c r="AC19" s="137" t="n">
        <f aca="false" ca="false" dt2D="false" dtr="false" t="normal">AB19</f>
        <v>0</v>
      </c>
      <c r="AD19" s="120" t="s">
        <v>195</v>
      </c>
      <c r="AE19" s="139" t="s">
        <v>577</v>
      </c>
      <c r="AF19" s="136" t="n">
        <f aca="false" ca="false" dt2D="false" dtr="false" t="normal">MID(L17, 3, 1)</f>
        <v>0</v>
      </c>
      <c r="AG19" s="137" t="n">
        <f aca="false" ca="false" dt2D="false" dtr="false" t="normal">AF19</f>
        <v>0</v>
      </c>
      <c r="AH19" s="120" t="s">
        <v>195</v>
      </c>
      <c r="AI19" s="140" t="s">
        <v>578</v>
      </c>
      <c r="AJ19" s="925" t="s"/>
      <c r="AK19" s="926" t="s"/>
    </row>
    <row hidden="false" ht="15.75" outlineLevel="0" r="20">
      <c r="C20" s="98" t="n"/>
      <c r="N20" s="63" t="n"/>
      <c r="P20" s="136" t="n">
        <f aca="false" ca="false" dt2D="false" dtr="false" t="normal">MID(H17, 4, 1)</f>
        <v>0</v>
      </c>
      <c r="Q20" s="137" t="n">
        <f aca="false" ca="false" dt2D="false" dtr="false" t="normal">P20</f>
        <v>0</v>
      </c>
      <c r="R20" s="120" t="s">
        <v>197</v>
      </c>
      <c r="S20" s="139" t="s">
        <v>579</v>
      </c>
      <c r="T20" s="209" t="n">
        <f aca="false" ca="false" dt2D="false" dtr="false" t="normal">MID(I17, 4, 1)</f>
        <v>0</v>
      </c>
      <c r="U20" s="137" t="n">
        <f aca="false" ca="false" dt2D="false" dtr="false" t="normal">T20</f>
        <v>0</v>
      </c>
      <c r="V20" s="120" t="s">
        <v>197</v>
      </c>
      <c r="W20" s="927" t="s"/>
      <c r="X20" s="209" t="n">
        <f aca="false" ca="false" dt2D="false" dtr="false" t="normal">MID(J17, 4, 1)</f>
        <v>0</v>
      </c>
      <c r="Y20" s="137" t="n">
        <f aca="false" ca="false" dt2D="false" dtr="false" t="normal">X20</f>
        <v>0</v>
      </c>
      <c r="Z20" s="120" t="s">
        <v>197</v>
      </c>
      <c r="AA20" s="139" t="s">
        <v>580</v>
      </c>
      <c r="AB20" s="136" t="n">
        <f aca="false" ca="false" dt2D="false" dtr="false" t="normal">MID(K17, 4, 1)</f>
        <v>0</v>
      </c>
      <c r="AC20" s="137" t="n">
        <f aca="false" ca="false" dt2D="false" dtr="false" t="normal">AB20</f>
        <v>0</v>
      </c>
      <c r="AD20" s="120" t="s">
        <v>197</v>
      </c>
      <c r="AE20" s="139" t="s">
        <v>581</v>
      </c>
      <c r="AF20" s="136" t="n">
        <f aca="false" ca="false" dt2D="false" dtr="false" t="normal">MID(L17, 4, 1)</f>
        <v>0</v>
      </c>
      <c r="AG20" s="137" t="n">
        <f aca="false" ca="false" dt2D="false" dtr="false" t="normal">AF20</f>
        <v>0</v>
      </c>
      <c r="AH20" s="120" t="s">
        <v>197</v>
      </c>
      <c r="AI20" s="928" t="s"/>
      <c r="AJ20" s="929" t="s"/>
      <c r="AK20" s="930" t="s"/>
    </row>
    <row hidden="false" ht="15.75" outlineLevel="0" r="21">
      <c r="C21" s="98" t="s">
        <v>176</v>
      </c>
      <c r="D21" s="159" t="n">
        <f aca="false" ca="false" dt2D="false" dtr="false" t="normal">D16</f>
        <v>7</v>
      </c>
      <c r="E21" s="160" t="n">
        <f aca="false" ca="false" dt2D="false" dtr="false" t="normal">E16</f>
        <v>6</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n">
        <f aca="false" ca="false" dt2D="false" dtr="false" t="normal">IF(LEN(M22)&gt;2, MID(M22, 2, 2), M22)</f>
        <v>10</v>
      </c>
      <c r="N21" s="63" t="s">
        <v>181</v>
      </c>
      <c r="P21" s="136" t="n">
        <f aca="false" ca="false" dt2D="false" dtr="false" t="normal">MID(H17, 5, 1)</f>
        <v>0</v>
      </c>
      <c r="Q21" s="137" t="n">
        <f aca="false" ca="false" dt2D="false" dtr="false" t="normal">P21</f>
        <v>0</v>
      </c>
      <c r="R21" s="120" t="s">
        <v>200</v>
      </c>
      <c r="S21" s="566" t="s">
        <v>582</v>
      </c>
      <c r="T21" s="209" t="n">
        <f aca="false" ca="false" dt2D="false" dtr="false" t="normal">MID(I17, 5, 1)</f>
        <v>0</v>
      </c>
      <c r="U21" s="137" t="n">
        <f aca="false" ca="false" dt2D="false" dtr="false" t="normal">T21</f>
        <v>0</v>
      </c>
      <c r="V21" s="120" t="s">
        <v>200</v>
      </c>
      <c r="W21" s="931" t="s"/>
      <c r="X21" s="209" t="n">
        <f aca="false" ca="false" dt2D="false" dtr="false" t="normal">MID(J17, 5, 1)</f>
        <v>0</v>
      </c>
      <c r="Y21" s="137" t="n">
        <f aca="false" ca="false" dt2D="false" dtr="false" t="normal">X21</f>
        <v>0</v>
      </c>
      <c r="Z21" s="120" t="s">
        <v>200</v>
      </c>
      <c r="AA21" s="139" t="s">
        <v>583</v>
      </c>
      <c r="AB21" s="136" t="n">
        <f aca="false" ca="false" dt2D="false" dtr="false" t="normal">MID(K17, 5, 1)</f>
        <v>0</v>
      </c>
      <c r="AC21" s="137" t="n">
        <f aca="false" ca="false" dt2D="false" dtr="false" t="normal">AB21</f>
        <v>0</v>
      </c>
      <c r="AD21" s="120" t="s">
        <v>200</v>
      </c>
      <c r="AE21" s="139" t="s">
        <v>584</v>
      </c>
      <c r="AF21" s="136" t="n">
        <f aca="false" ca="false" dt2D="false" dtr="false" t="normal">MID(L17, 5, 1)</f>
        <v>0</v>
      </c>
      <c r="AG21" s="137" t="n">
        <f aca="false" ca="false" dt2D="false" dtr="false" t="normal">AF21</f>
        <v>0</v>
      </c>
      <c r="AH21" s="120" t="s">
        <v>200</v>
      </c>
      <c r="AI21" s="857" t="s">
        <v>585</v>
      </c>
      <c r="AJ21" s="932" t="s"/>
      <c r="AK21" s="933" t="s"/>
    </row>
    <row hidden="false" ht="15" outlineLevel="0" r="22">
      <c r="C22" s="98" t="s">
        <v>185</v>
      </c>
      <c r="D22" s="53" t="n">
        <f aca="false" ca="false" dt2D="false" dtr="false" t="normal">HEX2BIN(D21, 8)</f>
        <v>111</v>
      </c>
      <c r="E22" s="53" t="n">
        <f aca="false" ca="false" dt2D="false" dtr="false" t="normal">HEX2BIN(E21, 8)</f>
        <v>110</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171" t="n">
        <f aca="false" ca="false" dt2D="false" dtr="false" t="normal">AC17&amp;AC18&amp;AC19&amp;AC20&amp;AC21&amp;AC22&amp;AC23&amp;AC24</f>
        <v>0</v>
      </c>
      <c r="L22" s="53" t="n">
        <f aca="false" ca="false" dt2D="false" dtr="false" t="normal">AG17&amp;AG18&amp;AG19&amp;AG20&amp;AG21&amp;AG22&amp;AG23&amp;AG24</f>
        <v>0</v>
      </c>
      <c r="M22" s="53" t="n">
        <f aca="false" ca="false" dt2D="false" dtr="false" t="normal">DEC2HEX(M23)</f>
        <v>10</v>
      </c>
      <c r="N22" s="63" t="n"/>
      <c r="P22" s="136" t="n">
        <f aca="false" ca="false" dt2D="false" dtr="false" t="normal">MID(H17, 6, 1)</f>
        <v>0</v>
      </c>
      <c r="Q22" s="137" t="n">
        <f aca="false" ca="false" dt2D="false" dtr="false" t="normal">P22</f>
        <v>0</v>
      </c>
      <c r="R22" s="120" t="s">
        <v>203</v>
      </c>
      <c r="S22" s="208" t="s">
        <v>586</v>
      </c>
      <c r="T22" s="209" t="n">
        <f aca="false" ca="false" dt2D="false" dtr="false" t="normal">MID(I17, 6, 1)</f>
        <v>0</v>
      </c>
      <c r="U22" s="137" t="n">
        <f aca="false" ca="false" dt2D="false" dtr="false" t="normal">T22</f>
        <v>0</v>
      </c>
      <c r="V22" s="120" t="s">
        <v>203</v>
      </c>
      <c r="W22" s="934" t="s"/>
      <c r="X22" s="209" t="n">
        <f aca="false" ca="false" dt2D="false" dtr="false" t="normal">MID(J17, 6, 1)</f>
        <v>0</v>
      </c>
      <c r="Y22" s="137" t="n">
        <f aca="false" ca="false" dt2D="false" dtr="false" t="normal">X22</f>
        <v>0</v>
      </c>
      <c r="Z22" s="120" t="s">
        <v>203</v>
      </c>
      <c r="AA22" s="139" t="s">
        <v>587</v>
      </c>
      <c r="AB22" s="136" t="n">
        <f aca="false" ca="false" dt2D="false" dtr="false" t="normal">MID(K17, 6, 1)</f>
        <v>0</v>
      </c>
      <c r="AC22" s="137" t="n">
        <f aca="false" ca="false" dt2D="false" dtr="false" t="normal">AB22</f>
        <v>0</v>
      </c>
      <c r="AD22" s="120" t="s">
        <v>203</v>
      </c>
      <c r="AE22" s="139" t="s">
        <v>588</v>
      </c>
      <c r="AF22" s="136" t="n">
        <f aca="false" ca="false" dt2D="false" dtr="false" t="normal">MID(L17, 6, 1)</f>
        <v>0</v>
      </c>
      <c r="AG22" s="137" t="n">
        <f aca="false" ca="false" dt2D="false" dtr="false" t="normal">AF22</f>
        <v>0</v>
      </c>
      <c r="AH22" s="120" t="s">
        <v>203</v>
      </c>
      <c r="AI22" s="139" t="s">
        <v>589</v>
      </c>
      <c r="AJ22" s="935" t="s"/>
      <c r="AK22" s="936" t="s"/>
    </row>
    <row hidden="false" ht="15" outlineLevel="0" r="23">
      <c r="C23" s="98" t="s">
        <v>191</v>
      </c>
      <c r="D23" s="53" t="n">
        <f aca="false" ca="false" dt2D="false" dtr="false" t="normal">HEX2DEC(D21)</f>
        <v>7</v>
      </c>
      <c r="E23" s="53" t="n">
        <f aca="false" ca="false" dt2D="false" dtr="false" t="normal">HEX2DEC(E21)</f>
        <v>6</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16</v>
      </c>
      <c r="N23" s="63" t="n"/>
      <c r="P23" s="136" t="n">
        <f aca="false" ca="false" dt2D="false" dtr="false" t="normal">MID(H17, 7, 1)</f>
        <v>0</v>
      </c>
      <c r="Q23" s="137" t="n">
        <f aca="false" ca="false" dt2D="false" dtr="false" t="normal">P23</f>
        <v>0</v>
      </c>
      <c r="R23" s="120" t="s">
        <v>206</v>
      </c>
      <c r="S23" s="857" t="s">
        <v>590</v>
      </c>
      <c r="T23" s="209" t="n">
        <f aca="false" ca="false" dt2D="false" dtr="false" t="normal">MID(I17, 7, 1)</f>
        <v>0</v>
      </c>
      <c r="U23" s="137" t="n">
        <f aca="false" ca="false" dt2D="false" dtr="false" t="normal">T23</f>
        <v>0</v>
      </c>
      <c r="V23" s="120" t="s">
        <v>206</v>
      </c>
      <c r="W23" s="937" t="s"/>
      <c r="X23" s="209" t="n">
        <f aca="false" ca="false" dt2D="false" dtr="false" t="normal">MID(J17, 7, 1)</f>
        <v>0</v>
      </c>
      <c r="Y23" s="137" t="n">
        <f aca="false" ca="false" dt2D="false" dtr="false" t="normal">X23</f>
        <v>0</v>
      </c>
      <c r="Z23" s="120" t="s">
        <v>206</v>
      </c>
      <c r="AA23" s="139" t="s">
        <v>591</v>
      </c>
      <c r="AB23" s="136" t="n">
        <f aca="false" ca="false" dt2D="false" dtr="false" t="normal">MID(K17, 7, 1)</f>
        <v>0</v>
      </c>
      <c r="AC23" s="137" t="n">
        <f aca="false" ca="false" dt2D="false" dtr="false" t="normal">AB23</f>
        <v>0</v>
      </c>
      <c r="AD23" s="120" t="s">
        <v>206</v>
      </c>
      <c r="AE23" s="139" t="s">
        <v>592</v>
      </c>
      <c r="AF23" s="136" t="n">
        <f aca="false" ca="false" dt2D="false" dtr="false" t="normal">MID(L17, 7, 1)</f>
        <v>0</v>
      </c>
      <c r="AG23" s="137" t="n">
        <f aca="false" ca="false" dt2D="false" dtr="false" t="normal">AF23</f>
        <v>0</v>
      </c>
      <c r="AH23" s="120" t="s">
        <v>206</v>
      </c>
      <c r="AI23" s="139" t="s">
        <v>593</v>
      </c>
      <c r="AJ23" s="938" t="s"/>
      <c r="AK23" s="939" t="s"/>
    </row>
    <row hidden="false" ht="15.75" outlineLevel="0" r="24">
      <c r="C24" s="180" t="s">
        <v>194</v>
      </c>
      <c r="D24" s="299" t="n">
        <f aca="false" ca="false" dt2D="false" dtr="false" t="normal">D19</f>
        <v>7</v>
      </c>
      <c r="E24" s="299" t="n">
        <f aca="false" ca="false" dt2D="false" dtr="false" t="normal">E19</f>
        <v>6</v>
      </c>
      <c r="F24" s="299" t="str">
        <f aca="false" ca="false" dt2D="false" dtr="false" t="normal">F19</f>
        <v>G1</v>
      </c>
      <c r="G24" s="299"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7" t="s">
        <v>594</v>
      </c>
      <c r="T24" s="300" t="n">
        <f aca="false" ca="false" dt2D="false" dtr="false" t="normal">MID(I17, 8, 1)</f>
        <v>0</v>
      </c>
      <c r="U24" s="183" t="n">
        <f aca="false" ca="false" dt2D="false" dtr="false" t="normal">T24</f>
        <v>0</v>
      </c>
      <c r="V24" s="184" t="s">
        <v>208</v>
      </c>
      <c r="W24" s="940" t="s"/>
      <c r="X24" s="300" t="n">
        <f aca="false" ca="false" dt2D="false" dtr="false" t="normal">MID(J17, 8, 1)</f>
        <v>0</v>
      </c>
      <c r="Y24" s="183" t="n">
        <f aca="false" ca="false" dt2D="false" dtr="false" t="normal">X24</f>
        <v>0</v>
      </c>
      <c r="Z24" s="184" t="s">
        <v>208</v>
      </c>
      <c r="AA24" s="187" t="s">
        <v>595</v>
      </c>
      <c r="AB24" s="182" t="n">
        <f aca="false" ca="false" dt2D="false" dtr="false" t="normal">MID(K17, 8, 1)</f>
        <v>0</v>
      </c>
      <c r="AC24" s="183" t="n">
        <f aca="false" ca="false" dt2D="false" dtr="false" t="normal">AB24</f>
        <v>0</v>
      </c>
      <c r="AD24" s="184" t="s">
        <v>208</v>
      </c>
      <c r="AE24" s="187" t="s">
        <v>596</v>
      </c>
      <c r="AF24" s="182" t="n">
        <f aca="false" ca="false" dt2D="false" dtr="false" t="normal">MID(L17, 8, 1)</f>
        <v>0</v>
      </c>
      <c r="AG24" s="183" t="n">
        <f aca="false" ca="false" dt2D="false" dtr="false" t="normal">AF24</f>
        <v>0</v>
      </c>
      <c r="AH24" s="184" t="s">
        <v>208</v>
      </c>
      <c r="AI24" s="187" t="s">
        <v>597</v>
      </c>
      <c r="AJ24" s="941" t="s"/>
      <c r="AK24" s="942" t="s"/>
    </row>
    <row hidden="false" ht="15.75" outlineLevel="0" r="25">
      <c r="C25" s="93" t="n"/>
      <c r="D25" s="94" t="n"/>
      <c r="E25" s="94" t="n"/>
      <c r="F25" s="94" t="n"/>
      <c r="G25" s="94" t="n"/>
      <c r="H25" s="94" t="n"/>
      <c r="I25" s="94" t="n"/>
      <c r="J25" s="94" t="n"/>
      <c r="K25" s="94" t="n"/>
      <c r="L25" s="94" t="n"/>
      <c r="M25" s="94" t="s">
        <v>161</v>
      </c>
      <c r="N25" s="60" t="n"/>
      <c r="P25" s="95" t="str">
        <f aca="false" ca="false" dt2D="false" dtr="false" t="normal">RIGHT(D27, 1)&amp;E27&amp;"-"&amp;F27&amp;"-"&amp;G27</f>
        <v>706-01-03</v>
      </c>
      <c r="Q25" s="943" t="s"/>
      <c r="R25" s="234" t="s">
        <v>598</v>
      </c>
      <c r="S25" s="944" t="s"/>
      <c r="T25" s="945" t="s"/>
      <c r="U25" s="946" t="s"/>
      <c r="V25" s="947" t="s"/>
      <c r="W25" s="948" t="s"/>
      <c r="X25" s="949" t="s"/>
      <c r="Y25" s="950" t="s"/>
      <c r="Z25" s="951" t="s"/>
      <c r="AA25" s="952" t="s"/>
      <c r="AB25" s="953" t="s"/>
      <c r="AC25" s="954" t="s"/>
      <c r="AD25" s="955" t="s"/>
      <c r="AE25" s="956" t="s"/>
      <c r="AF25" s="957" t="s"/>
      <c r="AG25" s="958" t="s"/>
      <c r="AH25" s="959" t="s"/>
      <c r="AI25" s="960" t="s"/>
      <c r="AJ25" s="961" t="s"/>
      <c r="AK25" s="962" t="s"/>
    </row>
    <row hidden="false" ht="15.75" outlineLevel="0" r="26">
      <c r="C26" s="98" t="n"/>
      <c r="D26" s="99" t="s">
        <v>599</v>
      </c>
      <c r="E26" s="963" t="s"/>
      <c r="F26" s="964" t="s"/>
      <c r="G26" s="965" t="s"/>
      <c r="H26" s="53" t="s">
        <v>165</v>
      </c>
      <c r="I26" s="53" t="s">
        <v>166</v>
      </c>
      <c r="J26" s="53" t="s">
        <v>167</v>
      </c>
      <c r="K26" s="53" t="s">
        <v>168</v>
      </c>
      <c r="L26" s="53" t="s">
        <v>169</v>
      </c>
      <c r="M26" s="53" t="s">
        <v>221</v>
      </c>
      <c r="N26" s="63" t="n"/>
      <c r="P26" s="103" t="s">
        <v>600</v>
      </c>
      <c r="Q26" s="966" t="s"/>
      <c r="R26" s="967" t="s"/>
      <c r="S26" s="968" t="s"/>
      <c r="T26" s="103" t="s">
        <v>601</v>
      </c>
      <c r="U26" s="969" t="s"/>
      <c r="V26" s="970" t="s"/>
      <c r="W26" s="971" t="s"/>
      <c r="X26" s="103" t="s">
        <v>602</v>
      </c>
      <c r="Y26" s="972" t="s"/>
      <c r="Z26" s="973" t="s"/>
      <c r="AA26" s="974" t="s"/>
      <c r="AB26" s="103" t="s">
        <v>603</v>
      </c>
      <c r="AC26" s="975" t="s"/>
      <c r="AD26" s="976" t="s"/>
      <c r="AE26" s="977" t="s"/>
      <c r="AF26" s="103" t="s">
        <v>604</v>
      </c>
      <c r="AG26" s="978" t="s"/>
      <c r="AH26" s="979" t="s"/>
      <c r="AI26" s="980" t="s"/>
      <c r="AJ26" s="103" t="s">
        <v>605</v>
      </c>
      <c r="AK26" s="981" t="s"/>
    </row>
    <row hidden="false" ht="15.75" outlineLevel="0" r="27">
      <c r="C27" s="98" t="s">
        <v>176</v>
      </c>
      <c r="D27" s="122" t="s">
        <v>177</v>
      </c>
      <c r="E27" s="123" t="s">
        <v>358</v>
      </c>
      <c r="F27" s="123" t="s">
        <v>179</v>
      </c>
      <c r="G27" s="124" t="s">
        <v>307</v>
      </c>
      <c r="H27" s="125" t="n">
        <f aca="false" ca="false" dt2D="false" dtr="false" t="normal">MID($A$6, 8, 2)</f>
        <v>0</v>
      </c>
      <c r="I27" s="126" t="n">
        <f aca="false" ca="false" dt2D="false" dtr="false" t="normal">MID($A$6, 10, 2)</f>
        <v>0</v>
      </c>
      <c r="J27" s="126" t="n">
        <f aca="false" ca="false" dt2D="false" dtr="false" t="normal">MID($A$6, 12, 2)</f>
        <v>0</v>
      </c>
      <c r="K27" s="127" t="n">
        <f aca="false" ca="false" dt2D="false" dtr="false" t="normal">MID($A$6, 14, 2)</f>
        <v>0</v>
      </c>
      <c r="L27" s="274" t="n">
        <f aca="false" ca="false" dt2D="false" dtr="false" t="normal">MID($A$6, 16, 2)</f>
        <v>0</v>
      </c>
      <c r="M27" s="128" t="n">
        <f aca="false" ca="false" dt2D="false" dtr="false" t="normal">MID($A$6, 18, 2)</f>
        <v>11</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29" t="s">
        <v>180</v>
      </c>
      <c r="AC27" s="130" t="s">
        <v>181</v>
      </c>
      <c r="AD27" s="121" t="s">
        <v>182</v>
      </c>
      <c r="AE27" s="131" t="n"/>
      <c r="AF27" s="129" t="s">
        <v>180</v>
      </c>
      <c r="AG27" s="130" t="s">
        <v>181</v>
      </c>
      <c r="AH27" s="121" t="s">
        <v>182</v>
      </c>
      <c r="AI27" s="121" t="n"/>
      <c r="AJ27" s="116" t="s">
        <v>183</v>
      </c>
      <c r="AK27" s="982" t="s"/>
    </row>
    <row hidden="false" ht="15" outlineLevel="0" r="28">
      <c r="C28" s="98" t="s">
        <v>185</v>
      </c>
      <c r="D28" s="53" t="n">
        <f aca="false" ca="false" dt2D="false" dtr="false" t="normal">HEX2BIN(D27, 8)</f>
        <v>111</v>
      </c>
      <c r="E28" s="53" t="n">
        <f aca="false" ca="false" dt2D="false" dtr="false" t="normal">HEX2BIN(E27, 8)</f>
        <v>110</v>
      </c>
      <c r="F28" s="53" t="n">
        <f aca="false" ca="false" dt2D="false" dtr="false" t="normal">HEX2BIN(F27, 8)</f>
        <v>1</v>
      </c>
      <c r="G28" s="53"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f aca="false" ca="false" dt2D="false" dtr="false" t="normal">HEX2BIN(K27, 8)</f>
        <v>0</v>
      </c>
      <c r="L28" s="53" t="n">
        <f aca="false" ca="false" dt2D="false" dtr="false" t="normal">HEX2BIN(L27, 8)</f>
        <v>0</v>
      </c>
      <c r="N28" s="63" t="n"/>
      <c r="P28" s="136" t="n">
        <f aca="false" ca="false" dt2D="false" dtr="false" t="normal">MID(H28, 1, 1)</f>
        <v>0</v>
      </c>
      <c r="Q28" s="137" t="n">
        <f aca="false" ca="false" dt2D="false" dtr="false" t="normal">P28</f>
        <v>0</v>
      </c>
      <c r="R28" s="120" t="s">
        <v>186</v>
      </c>
      <c r="S28" s="983" t="s">
        <v>606</v>
      </c>
      <c r="T28" s="209" t="n">
        <f aca="false" ca="false" dt2D="false" dtr="false" t="normal">MID(I28, 1, 1)</f>
        <v>0</v>
      </c>
      <c r="U28" s="137" t="n">
        <f aca="false" ca="false" dt2D="false" dtr="false" t="normal">T28</f>
        <v>0</v>
      </c>
      <c r="V28" s="120" t="s">
        <v>186</v>
      </c>
      <c r="W28" s="984" t="s">
        <v>606</v>
      </c>
      <c r="X28" s="209" t="n">
        <f aca="false" ca="false" dt2D="false" dtr="false" t="normal">MID(J28, 1, 1)</f>
        <v>0</v>
      </c>
      <c r="Y28" s="137" t="n">
        <f aca="false" ca="false" dt2D="false" dtr="false" t="normal">X28</f>
        <v>0</v>
      </c>
      <c r="Z28" s="120" t="s">
        <v>186</v>
      </c>
      <c r="AA28" s="139" t="s">
        <v>607</v>
      </c>
      <c r="AB28" s="136" t="n">
        <f aca="false" ca="false" dt2D="false" dtr="false" t="normal">MID(K28, 1, 1)</f>
        <v>0</v>
      </c>
      <c r="AC28" s="137" t="n">
        <f aca="false" ca="false" dt2D="false" dtr="false" t="normal">AB28</f>
        <v>0</v>
      </c>
      <c r="AD28" s="120" t="s">
        <v>186</v>
      </c>
      <c r="AE28" s="139" t="s">
        <v>608</v>
      </c>
      <c r="AF28" s="136" t="n">
        <f aca="false" ca="false" dt2D="false" dtr="false" t="normal">MID(L28, 1, 1)</f>
        <v>0</v>
      </c>
      <c r="AG28" s="137" t="n">
        <f aca="false" ca="false" dt2D="false" dtr="false" t="normal">AF28</f>
        <v>0</v>
      </c>
      <c r="AH28" s="120" t="s">
        <v>186</v>
      </c>
      <c r="AI28" s="139" t="s">
        <v>609</v>
      </c>
      <c r="AJ28" s="985" t="s"/>
      <c r="AK28" s="986" t="s"/>
    </row>
    <row hidden="false" ht="15" outlineLevel="0" r="29">
      <c r="C29" s="98" t="s">
        <v>191</v>
      </c>
      <c r="D29" s="53" t="n">
        <f aca="false" ca="false" dt2D="false" dtr="false" t="normal">HEX2DEC(D27)</f>
        <v>7</v>
      </c>
      <c r="E29" s="53" t="n">
        <f aca="false" ca="false" dt2D="false" dtr="false" t="normal">HEX2DEC(E27)</f>
        <v>6</v>
      </c>
      <c r="F29" s="53" t="n">
        <f aca="false" ca="false" dt2D="false" dtr="false" t="normal">HEX2DEC(F27)</f>
        <v>1</v>
      </c>
      <c r="G29" s="53"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HEX2DEC(K27)</f>
        <v>0</v>
      </c>
      <c r="L29" s="53" t="n">
        <f aca="false" ca="false" dt2D="false" dtr="false" t="normal">HEX2DEC(L27)</f>
        <v>0</v>
      </c>
      <c r="M29" s="53" t="n">
        <f aca="false" ca="false" dt2D="false" dtr="false" t="normal">SUM(D29:L29)</f>
        <v>17</v>
      </c>
      <c r="N29" s="63" t="n"/>
      <c r="P29" s="136" t="n">
        <f aca="false" ca="false" dt2D="false" dtr="false" t="normal">MID(H28, 2, 1)</f>
        <v>0</v>
      </c>
      <c r="Q29" s="137" t="n">
        <f aca="false" ca="false" dt2D="false" dtr="false" t="normal">P29</f>
        <v>0</v>
      </c>
      <c r="R29" s="120" t="s">
        <v>192</v>
      </c>
      <c r="S29" s="987" t="s"/>
      <c r="T29" s="209" t="n">
        <f aca="false" ca="false" dt2D="false" dtr="false" t="normal">MID(I28, 2, 1)</f>
        <v>0</v>
      </c>
      <c r="U29" s="137" t="n">
        <f aca="false" ca="false" dt2D="false" dtr="false" t="normal">T29</f>
        <v>0</v>
      </c>
      <c r="V29" s="120" t="s">
        <v>192</v>
      </c>
      <c r="W29" s="988" t="s"/>
      <c r="X29" s="209" t="n">
        <f aca="false" ca="false" dt2D="false" dtr="false" t="normal">MID(J28, 2, 1)</f>
        <v>0</v>
      </c>
      <c r="Y29" s="137" t="n">
        <f aca="false" ca="false" dt2D="false" dtr="false" t="normal">X29</f>
        <v>0</v>
      </c>
      <c r="Z29" s="120" t="s">
        <v>192</v>
      </c>
      <c r="AA29" s="139" t="s">
        <v>610</v>
      </c>
      <c r="AB29" s="136" t="n">
        <f aca="false" ca="false" dt2D="false" dtr="false" t="normal">MID(K28, 2, 1)</f>
        <v>0</v>
      </c>
      <c r="AC29" s="137" t="n">
        <f aca="false" ca="false" dt2D="false" dtr="false" t="normal">AB29</f>
        <v>0</v>
      </c>
      <c r="AD29" s="120" t="s">
        <v>192</v>
      </c>
      <c r="AE29" s="139" t="s">
        <v>611</v>
      </c>
      <c r="AF29" s="136" t="n">
        <f aca="false" ca="false" dt2D="false" dtr="false" t="normal">MID(L28, 2, 1)</f>
        <v>0</v>
      </c>
      <c r="AG29" s="137" t="n">
        <f aca="false" ca="false" dt2D="false" dtr="false" t="normal">AF29</f>
        <v>0</v>
      </c>
      <c r="AH29" s="120" t="s">
        <v>192</v>
      </c>
      <c r="AI29" s="139" t="s">
        <v>612</v>
      </c>
      <c r="AJ29" s="989" t="s"/>
      <c r="AK29" s="990" t="s"/>
    </row>
    <row hidden="false" ht="15" outlineLevel="0" r="30">
      <c r="C30" s="98" t="s">
        <v>194</v>
      </c>
      <c r="D30" s="149" t="n">
        <f aca="false" ca="false" dt2D="false" dtr="false" t="normal">D27</f>
        <v>7</v>
      </c>
      <c r="E30" s="149" t="n">
        <f aca="false" ca="false" dt2D="false" dtr="false" t="normal">E27</f>
        <v>6</v>
      </c>
      <c r="F30" s="53" t="str">
        <f aca="false" ca="false" dt2D="false" dtr="false" t="normal">MID($A$6, 4, 2)</f>
        <v>G1</v>
      </c>
      <c r="G30" s="53" t="str">
        <f aca="false" ca="false" dt2D="false" dtr="false" t="normal">MID($A$6, 6, 2)</f>
        <v>G3</v>
      </c>
      <c r="N30" s="63" t="n"/>
      <c r="P30" s="136" t="n">
        <f aca="false" ca="false" dt2D="false" dtr="false" t="normal">MID(H28, 3, 1)</f>
        <v>0</v>
      </c>
      <c r="Q30" s="137" t="n">
        <f aca="false" ca="false" dt2D="false" dtr="false" t="normal">P30</f>
        <v>0</v>
      </c>
      <c r="R30" s="120" t="s">
        <v>195</v>
      </c>
      <c r="S30" s="991" t="s"/>
      <c r="T30" s="209" t="n">
        <f aca="false" ca="false" dt2D="false" dtr="false" t="normal">MID(I28, 3, 1)</f>
        <v>0</v>
      </c>
      <c r="U30" s="137" t="n">
        <f aca="false" ca="false" dt2D="false" dtr="false" t="normal">T30</f>
        <v>0</v>
      </c>
      <c r="V30" s="120" t="s">
        <v>195</v>
      </c>
      <c r="W30" s="992" t="s"/>
      <c r="X30" s="209" t="n">
        <f aca="false" ca="false" dt2D="false" dtr="false" t="normal">MID(J28, 3, 1)</f>
        <v>0</v>
      </c>
      <c r="Y30" s="137" t="n">
        <f aca="false" ca="false" dt2D="false" dtr="false" t="normal">X30</f>
        <v>0</v>
      </c>
      <c r="Z30" s="120" t="s">
        <v>195</v>
      </c>
      <c r="AA30" s="139" t="s">
        <v>613</v>
      </c>
      <c r="AB30" s="136" t="n">
        <f aca="false" ca="false" dt2D="false" dtr="false" t="normal">MID(K28, 3, 1)</f>
        <v>0</v>
      </c>
      <c r="AC30" s="137" t="n">
        <f aca="false" ca="false" dt2D="false" dtr="false" t="normal">AB30</f>
        <v>0</v>
      </c>
      <c r="AD30" s="120" t="s">
        <v>195</v>
      </c>
      <c r="AE30" s="139" t="s">
        <v>614</v>
      </c>
      <c r="AF30" s="136" t="n">
        <f aca="false" ca="false" dt2D="false" dtr="false" t="normal">MID(L28, 3, 1)</f>
        <v>0</v>
      </c>
      <c r="AG30" s="137" t="n">
        <f aca="false" ca="false" dt2D="false" dtr="false" t="normal">AF30</f>
        <v>0</v>
      </c>
      <c r="AH30" s="120" t="s">
        <v>195</v>
      </c>
      <c r="AI30" s="139" t="s">
        <v>615</v>
      </c>
      <c r="AJ30" s="993" t="s"/>
      <c r="AK30" s="994" t="s"/>
    </row>
    <row hidden="false" ht="15.75" outlineLevel="0" r="31">
      <c r="C31" s="98" t="n"/>
      <c r="N31" s="63" t="n"/>
      <c r="P31" s="136" t="n">
        <f aca="false" ca="false" dt2D="false" dtr="false" t="normal">MID(H28, 4, 1)</f>
        <v>0</v>
      </c>
      <c r="Q31" s="137" t="n">
        <f aca="false" ca="false" dt2D="false" dtr="false" t="normal">P31</f>
        <v>0</v>
      </c>
      <c r="R31" s="120" t="s">
        <v>197</v>
      </c>
      <c r="S31" s="139" t="s">
        <v>616</v>
      </c>
      <c r="T31" s="209" t="n">
        <f aca="false" ca="false" dt2D="false" dtr="false" t="normal">MID(I28, 4, 1)</f>
        <v>0</v>
      </c>
      <c r="U31" s="137" t="n">
        <f aca="false" ca="false" dt2D="false" dtr="false" t="normal">T31</f>
        <v>0</v>
      </c>
      <c r="V31" s="120" t="s">
        <v>197</v>
      </c>
      <c r="W31" s="139" t="s">
        <v>617</v>
      </c>
      <c r="X31" s="209" t="n">
        <f aca="false" ca="false" dt2D="false" dtr="false" t="normal">MID(J28, 4, 1)</f>
        <v>0</v>
      </c>
      <c r="Y31" s="137" t="n">
        <f aca="false" ca="false" dt2D="false" dtr="false" t="normal">X31</f>
        <v>0</v>
      </c>
      <c r="Z31" s="120" t="s">
        <v>197</v>
      </c>
      <c r="AA31" s="139" t="s">
        <v>618</v>
      </c>
      <c r="AB31" s="136" t="n">
        <f aca="false" ca="false" dt2D="false" dtr="false" t="normal">MID(K28, 4, 1)</f>
        <v>0</v>
      </c>
      <c r="AC31" s="137" t="n">
        <f aca="false" ca="false" dt2D="false" dtr="false" t="normal">AB31</f>
        <v>0</v>
      </c>
      <c r="AD31" s="120" t="s">
        <v>197</v>
      </c>
      <c r="AE31" s="139" t="s">
        <v>619</v>
      </c>
      <c r="AF31" s="136" t="n">
        <f aca="false" ca="false" dt2D="false" dtr="false" t="normal">MID(L28, 4, 1)</f>
        <v>0</v>
      </c>
      <c r="AG31" s="137" t="n">
        <f aca="false" ca="false" dt2D="false" dtr="false" t="normal">AF31</f>
        <v>0</v>
      </c>
      <c r="AH31" s="120" t="s">
        <v>197</v>
      </c>
      <c r="AI31" s="139" t="s">
        <v>620</v>
      </c>
      <c r="AJ31" s="995" t="s"/>
      <c r="AK31" s="996" t="s"/>
    </row>
    <row hidden="false" ht="15.75" outlineLevel="0" r="32">
      <c r="C32" s="98" t="s">
        <v>176</v>
      </c>
      <c r="D32" s="159" t="n">
        <f aca="false" ca="false" dt2D="false" dtr="false" t="normal">D27</f>
        <v>7</v>
      </c>
      <c r="E32" s="160" t="n">
        <f aca="false" ca="false" dt2D="false" dtr="false" t="normal">E27</f>
        <v>6</v>
      </c>
      <c r="F32" s="160" t="n">
        <f aca="false" ca="false" dt2D="false" dtr="false" t="normal">F27</f>
        <v>1</v>
      </c>
      <c r="G32" s="161"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165" t="n">
        <f aca="false" ca="false" dt2D="false" dtr="false" t="normal">BIN2HEX(K33, 2)</f>
        <v>0</v>
      </c>
      <c r="L32" s="288" t="n">
        <f aca="false" ca="false" dt2D="false" dtr="false" t="normal">BIN2HEX(L33, 2)</f>
        <v>0</v>
      </c>
      <c r="M32" s="166" t="n">
        <f aca="false" ca="false" dt2D="false" dtr="false" t="normal">IF(LEN(M33)&gt;2, MID(M33, 2, 2), M33)</f>
        <v>11</v>
      </c>
      <c r="N32" s="63" t="s">
        <v>181</v>
      </c>
      <c r="P32" s="136" t="n">
        <f aca="false" ca="false" dt2D="false" dtr="false" t="normal">MID(H28, 5, 1)</f>
        <v>0</v>
      </c>
      <c r="Q32" s="137" t="n">
        <f aca="false" ca="false" dt2D="false" dtr="false" t="normal">P32</f>
        <v>0</v>
      </c>
      <c r="R32" s="120" t="s">
        <v>200</v>
      </c>
      <c r="S32" s="566" t="s">
        <v>621</v>
      </c>
      <c r="T32" s="209" t="n">
        <f aca="false" ca="false" dt2D="false" dtr="false" t="normal">MID(I28, 5, 1)</f>
        <v>0</v>
      </c>
      <c r="U32" s="137" t="n">
        <f aca="false" ca="false" dt2D="false" dtr="false" t="normal">T32</f>
        <v>0</v>
      </c>
      <c r="V32" s="120" t="s">
        <v>200</v>
      </c>
      <c r="W32" s="139" t="s">
        <v>622</v>
      </c>
      <c r="X32" s="209" t="n">
        <f aca="false" ca="false" dt2D="false" dtr="false" t="normal">MID(J28, 5, 1)</f>
        <v>0</v>
      </c>
      <c r="Y32" s="137" t="n">
        <f aca="false" ca="false" dt2D="false" dtr="false" t="normal">X32</f>
        <v>0</v>
      </c>
      <c r="Z32" s="120" t="s">
        <v>200</v>
      </c>
      <c r="AA32" s="139" t="s">
        <v>623</v>
      </c>
      <c r="AB32" s="136" t="n">
        <f aca="false" ca="false" dt2D="false" dtr="false" t="normal">MID(K28, 5, 1)</f>
        <v>0</v>
      </c>
      <c r="AC32" s="137" t="n">
        <f aca="false" ca="false" dt2D="false" dtr="false" t="normal">AB32</f>
        <v>0</v>
      </c>
      <c r="AD32" s="120" t="s">
        <v>200</v>
      </c>
      <c r="AE32" s="139" t="s">
        <v>624</v>
      </c>
      <c r="AF32" s="136" t="n">
        <f aca="false" ca="false" dt2D="false" dtr="false" t="normal">MID(L28, 5, 1)</f>
        <v>0</v>
      </c>
      <c r="AG32" s="137" t="n">
        <f aca="false" ca="false" dt2D="false" dtr="false" t="normal">AF32</f>
        <v>0</v>
      </c>
      <c r="AH32" s="120" t="s">
        <v>200</v>
      </c>
      <c r="AI32" s="139" t="s">
        <v>625</v>
      </c>
      <c r="AJ32" s="997" t="s"/>
      <c r="AK32" s="998" t="s"/>
    </row>
    <row customHeight="true" hidden="false" ht="15" outlineLevel="0" r="33">
      <c r="C33" s="98" t="s">
        <v>185</v>
      </c>
      <c r="D33" s="53" t="n">
        <f aca="false" ca="false" dt2D="false" dtr="false" t="normal">HEX2BIN(D32, 8)</f>
        <v>111</v>
      </c>
      <c r="E33" s="53" t="n">
        <f aca="false" ca="false" dt2D="false" dtr="false" t="normal">HEX2BIN(E32, 8)</f>
        <v>110</v>
      </c>
      <c r="F33" s="53" t="n">
        <f aca="false" ca="false" dt2D="false" dtr="false" t="normal">HEX2BIN(F32, 8)</f>
        <v>1</v>
      </c>
      <c r="G33" s="53" t="n">
        <f aca="false" ca="false" dt2D="false" dtr="false" t="normal">HEX2BIN(G32, 8)</f>
        <v>11</v>
      </c>
      <c r="H33" s="171" t="n">
        <f aca="false" ca="false" dt2D="false" dtr="false" t="normal">Q28&amp;Q29&amp;Q30&amp;Q31&amp;Q32&amp;Q33&amp;Q34&amp;Q35</f>
        <v>0</v>
      </c>
      <c r="I33" s="53" t="n">
        <f aca="false" ca="false" dt2D="false" dtr="false" t="normal">U28&amp;U29&amp;U30&amp;U31&amp;U32&amp;U33&amp;U34&amp;U35</f>
        <v>0</v>
      </c>
      <c r="J33" s="171" t="n">
        <f aca="false" ca="false" dt2D="false" dtr="false" t="normal">Y28&amp;Y29&amp;Y30&amp;Y31&amp;Y32&amp;Y33&amp;Y34&amp;Y35</f>
        <v>0</v>
      </c>
      <c r="K33" s="171" t="n">
        <f aca="false" ca="false" dt2D="false" dtr="false" t="normal">AC28&amp;AC29&amp;AC30&amp;AC31&amp;AC32&amp;AC33&amp;AC34&amp;AC35</f>
        <v>0</v>
      </c>
      <c r="L33" s="53" t="n">
        <f aca="false" ca="false" dt2D="false" dtr="false" t="normal">AG28&amp;AG29&amp;AG30&amp;AG31&amp;AG32&amp;AG33&amp;AG34&amp;AG35</f>
        <v>0</v>
      </c>
      <c r="M33" s="53" t="n">
        <f aca="false" ca="false" dt2D="false" dtr="false" t="normal">DEC2HEX(M34)</f>
        <v>11</v>
      </c>
      <c r="N33" s="63" t="n"/>
      <c r="P33" s="136" t="n">
        <f aca="false" ca="false" dt2D="false" dtr="false" t="normal">MID(H28, 6, 1)</f>
        <v>0</v>
      </c>
      <c r="Q33" s="137" t="n">
        <f aca="false" ca="false" dt2D="false" dtr="false" t="normal">P33</f>
        <v>0</v>
      </c>
      <c r="R33" s="120" t="s">
        <v>203</v>
      </c>
      <c r="S33" s="643" t="s">
        <v>626</v>
      </c>
      <c r="T33" s="209" t="n">
        <f aca="false" ca="false" dt2D="false" dtr="false" t="normal">MID(I28, 6, 1)</f>
        <v>0</v>
      </c>
      <c r="U33" s="137" t="n">
        <f aca="false" ca="false" dt2D="false" dtr="false" t="normal">T33</f>
        <v>0</v>
      </c>
      <c r="V33" s="120" t="s">
        <v>203</v>
      </c>
      <c r="W33" s="566" t="s">
        <v>627</v>
      </c>
      <c r="X33" s="209" t="n">
        <f aca="false" ca="false" dt2D="false" dtr="false" t="normal">MID(J28, 6, 1)</f>
        <v>0</v>
      </c>
      <c r="Y33" s="137" t="n">
        <f aca="false" ca="false" dt2D="false" dtr="false" t="normal">X33</f>
        <v>0</v>
      </c>
      <c r="Z33" s="120" t="s">
        <v>203</v>
      </c>
      <c r="AA33" s="139" t="s">
        <v>628</v>
      </c>
      <c r="AB33" s="136" t="n">
        <f aca="false" ca="false" dt2D="false" dtr="false" t="normal">MID(K28, 6, 1)</f>
        <v>0</v>
      </c>
      <c r="AC33" s="137" t="n">
        <f aca="false" ca="false" dt2D="false" dtr="false" t="normal">AB33</f>
        <v>0</v>
      </c>
      <c r="AD33" s="120" t="s">
        <v>203</v>
      </c>
      <c r="AE33" s="139" t="s">
        <v>629</v>
      </c>
      <c r="AF33" s="136" t="n">
        <f aca="false" ca="false" dt2D="false" dtr="false" t="normal">MID(L28, 6, 1)</f>
        <v>0</v>
      </c>
      <c r="AG33" s="137" t="n">
        <f aca="false" ca="false" dt2D="false" dtr="false" t="normal">AF33</f>
        <v>0</v>
      </c>
      <c r="AH33" s="120" t="s">
        <v>203</v>
      </c>
      <c r="AI33" s="139" t="s">
        <v>630</v>
      </c>
      <c r="AJ33" s="999" t="s"/>
      <c r="AK33" s="1000" t="s"/>
    </row>
    <row hidden="false" ht="15" outlineLevel="0" r="34">
      <c r="C34" s="98" t="s">
        <v>191</v>
      </c>
      <c r="D34" s="53" t="n">
        <f aca="false" ca="false" dt2D="false" dtr="false" t="normal">HEX2DEC(D32)</f>
        <v>7</v>
      </c>
      <c r="E34" s="53" t="n">
        <f aca="false" ca="false" dt2D="false" dtr="false" t="normal">HEX2DEC(E32)</f>
        <v>6</v>
      </c>
      <c r="F34" s="53" t="n">
        <f aca="false" ca="false" dt2D="false" dtr="false" t="normal">HEX2DEC(F32)</f>
        <v>1</v>
      </c>
      <c r="G34" s="53"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HEX2DEC(K32)</f>
        <v>0</v>
      </c>
      <c r="L34" s="53" t="n">
        <f aca="false" ca="false" dt2D="false" dtr="false" t="normal">HEX2DEC(L32)</f>
        <v>0</v>
      </c>
      <c r="M34" s="53" t="n">
        <f aca="false" ca="false" dt2D="false" dtr="false" t="normal">SUM(D34:L34)</f>
        <v>17</v>
      </c>
      <c r="N34" s="63" t="n"/>
      <c r="P34" s="136" t="n">
        <f aca="false" ca="false" dt2D="false" dtr="false" t="normal">MID(H28, 7, 1)</f>
        <v>0</v>
      </c>
      <c r="Q34" s="137" t="n">
        <f aca="false" ca="false" dt2D="false" dtr="false" t="normal">P34</f>
        <v>0</v>
      </c>
      <c r="R34" s="120" t="s">
        <v>206</v>
      </c>
      <c r="S34" s="864" t="s">
        <v>631</v>
      </c>
      <c r="T34" s="209" t="n">
        <f aca="false" ca="false" dt2D="false" dtr="false" t="normal">MID(I28, 7, 1)</f>
        <v>0</v>
      </c>
      <c r="U34" s="137" t="n">
        <f aca="false" ca="false" dt2D="false" dtr="false" t="normal">T34</f>
        <v>0</v>
      </c>
      <c r="V34" s="120" t="s">
        <v>206</v>
      </c>
      <c r="W34" s="173" t="s">
        <v>626</v>
      </c>
      <c r="X34" s="209" t="n">
        <f aca="false" ca="false" dt2D="false" dtr="false" t="normal">MID(J28, 7, 1)</f>
        <v>0</v>
      </c>
      <c r="Y34" s="137" t="n">
        <f aca="false" ca="false" dt2D="false" dtr="false" t="normal">X34</f>
        <v>0</v>
      </c>
      <c r="Z34" s="120" t="s">
        <v>206</v>
      </c>
      <c r="AA34" s="139" t="s">
        <v>632</v>
      </c>
      <c r="AB34" s="136" t="n">
        <f aca="false" ca="false" dt2D="false" dtr="false" t="normal">MID(K28, 7, 1)</f>
        <v>0</v>
      </c>
      <c r="AC34" s="137" t="n">
        <f aca="false" ca="false" dt2D="false" dtr="false" t="normal">AB34</f>
        <v>0</v>
      </c>
      <c r="AD34" s="120" t="s">
        <v>206</v>
      </c>
      <c r="AE34" s="139" t="s">
        <v>633</v>
      </c>
      <c r="AF34" s="136" t="n">
        <f aca="false" ca="false" dt2D="false" dtr="false" t="normal">MID(L28, 7, 1)</f>
        <v>0</v>
      </c>
      <c r="AG34" s="137" t="n">
        <f aca="false" ca="false" dt2D="false" dtr="false" t="normal">AF34</f>
        <v>0</v>
      </c>
      <c r="AH34" s="120" t="s">
        <v>206</v>
      </c>
      <c r="AI34" s="139" t="s">
        <v>634</v>
      </c>
      <c r="AJ34" s="1001" t="s"/>
      <c r="AK34" s="1002" t="s"/>
    </row>
    <row hidden="false" ht="15.75" outlineLevel="0" r="35">
      <c r="C35" s="180" t="s">
        <v>194</v>
      </c>
      <c r="D35" s="299" t="n">
        <f aca="false" ca="false" dt2D="false" dtr="false" t="normal">D30</f>
        <v>7</v>
      </c>
      <c r="E35" s="299" t="n">
        <f aca="false" ca="false" dt2D="false" dtr="false" t="normal">E30</f>
        <v>6</v>
      </c>
      <c r="F35" s="299" t="str">
        <f aca="false" ca="false" dt2D="false" dtr="false" t="normal">F30</f>
        <v>G1</v>
      </c>
      <c r="G35" s="299"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003" t="s">
        <v>626</v>
      </c>
      <c r="T35" s="300" t="n">
        <f aca="false" ca="false" dt2D="false" dtr="false" t="normal">MID(I28, 8, 1)</f>
        <v>0</v>
      </c>
      <c r="U35" s="183" t="n">
        <f aca="false" ca="false" dt2D="false" dtr="false" t="normal">T35</f>
        <v>0</v>
      </c>
      <c r="V35" s="184" t="s">
        <v>208</v>
      </c>
      <c r="W35" s="1004" t="s"/>
      <c r="X35" s="300" t="n">
        <f aca="false" ca="false" dt2D="false" dtr="false" t="normal">MID(J28, 8, 1)</f>
        <v>0</v>
      </c>
      <c r="Y35" s="183" t="n">
        <f aca="false" ca="false" dt2D="false" dtr="false" t="normal">X35</f>
        <v>0</v>
      </c>
      <c r="Z35" s="184" t="s">
        <v>208</v>
      </c>
      <c r="AA35" s="187" t="s">
        <v>635</v>
      </c>
      <c r="AB35" s="182" t="n">
        <f aca="false" ca="false" dt2D="false" dtr="false" t="normal">MID(K28, 8, 1)</f>
        <v>0</v>
      </c>
      <c r="AC35" s="183" t="n">
        <f aca="false" ca="false" dt2D="false" dtr="false" t="normal">AB35</f>
        <v>0</v>
      </c>
      <c r="AD35" s="184" t="s">
        <v>208</v>
      </c>
      <c r="AE35" s="187" t="s">
        <v>636</v>
      </c>
      <c r="AF35" s="182" t="n">
        <f aca="false" ca="false" dt2D="false" dtr="false" t="normal">MID(L28, 8, 1)</f>
        <v>0</v>
      </c>
      <c r="AG35" s="183" t="n">
        <f aca="false" ca="false" dt2D="false" dtr="false" t="normal">AF35</f>
        <v>0</v>
      </c>
      <c r="AH35" s="184" t="s">
        <v>208</v>
      </c>
      <c r="AI35" s="187" t="s">
        <v>637</v>
      </c>
      <c r="AJ35" s="1005" t="s"/>
      <c r="AK35" s="1006" t="s"/>
    </row>
    <row hidden="false" ht="15.75" outlineLevel="0" r="36">
      <c r="C36" s="93" t="n"/>
      <c r="D36" s="94" t="n"/>
      <c r="E36" s="94" t="n"/>
      <c r="F36" s="94" t="n"/>
      <c r="G36" s="94" t="n"/>
      <c r="H36" s="94" t="n"/>
      <c r="I36" s="94" t="n"/>
      <c r="J36" s="94" t="s">
        <v>161</v>
      </c>
      <c r="N36" s="60" t="n"/>
      <c r="P36" s="95" t="str">
        <f aca="false" ca="false" dt2D="false" dtr="false" t="normal">RIGHT(D38, 1)&amp;E38&amp;"-"&amp;F38&amp;"-"&amp;G38</f>
        <v>706-01-04</v>
      </c>
      <c r="Q36" s="1007" t="s"/>
      <c r="R36" s="97" t="s">
        <v>638</v>
      </c>
      <c r="S36" s="97" t="s"/>
      <c r="T36" s="97" t="s"/>
      <c r="U36" s="97" t="s"/>
      <c r="V36" s="97" t="s"/>
      <c r="W36" s="97" t="s"/>
      <c r="X36" s="97" t="s"/>
      <c r="Y36" s="97" t="s"/>
      <c r="Z36" s="97" t="s"/>
      <c r="AA36" s="97" t="s"/>
      <c r="AB36" s="97" t="s"/>
      <c r="AC36" s="97" t="s"/>
      <c r="AD36" s="97" t="s"/>
      <c r="AE36" s="97" t="s"/>
      <c r="AF36" s="97" t="s"/>
      <c r="AG36" s="97" t="s"/>
      <c r="AH36" s="97" t="s"/>
      <c r="AI36" s="97" t="s"/>
      <c r="AJ36" s="97" t="s"/>
      <c r="AK36" s="97" t="s"/>
    </row>
    <row hidden="false" ht="15.75" outlineLevel="0" r="37">
      <c r="C37" s="98" t="n"/>
      <c r="D37" s="99" t="s">
        <v>639</v>
      </c>
      <c r="E37" s="1008" t="s"/>
      <c r="F37" s="1009" t="s"/>
      <c r="G37" s="1010" t="s"/>
      <c r="H37" s="53" t="s">
        <v>165</v>
      </c>
      <c r="I37" s="53" t="s">
        <v>166</v>
      </c>
      <c r="J37" s="53" t="s">
        <v>167</v>
      </c>
      <c r="N37" s="63" t="n"/>
      <c r="P37" s="103" t="s">
        <v>640</v>
      </c>
      <c r="Q37" s="1011" t="s"/>
      <c r="R37" s="1012" t="s"/>
      <c r="S37" s="1013" t="s"/>
      <c r="T37" s="103" t="s">
        <v>641</v>
      </c>
      <c r="U37" s="1014" t="s"/>
      <c r="V37" s="1015" t="s"/>
      <c r="W37" s="1016" t="s"/>
      <c r="X37" s="116" t="s">
        <v>642</v>
      </c>
      <c r="Y37" s="1017" t="s"/>
      <c r="Z37" s="1018" t="s"/>
      <c r="AA37" s="1019" t="s"/>
      <c r="AB37" s="120" t="n"/>
      <c r="AC37" s="121" t="n"/>
      <c r="AD37" s="121" t="n"/>
      <c r="AE37" s="121" t="n"/>
      <c r="AF37" s="121" t="n"/>
      <c r="AG37" s="121" t="n"/>
      <c r="AH37" s="121" t="n"/>
      <c r="AI37" s="121" t="n"/>
      <c r="AJ37" s="121" t="n"/>
      <c r="AK37" s="121" t="n"/>
    </row>
    <row hidden="false" ht="15.75" outlineLevel="0" r="38">
      <c r="C38" s="98" t="s">
        <v>176</v>
      </c>
      <c r="D38" s="122" t="s">
        <v>177</v>
      </c>
      <c r="E38" s="123" t="s">
        <v>358</v>
      </c>
      <c r="F38" s="123" t="s">
        <v>179</v>
      </c>
      <c r="G38" s="124" t="s">
        <v>342</v>
      </c>
      <c r="H38" s="125" t="n">
        <f aca="false" ca="false" dt2D="false" dtr="false" t="normal">MID($A$7, 8, 2)</f>
        <v>0</v>
      </c>
      <c r="I38" s="127" t="n">
        <f aca="false" ca="false" dt2D="false" dtr="false" t="normal">MID($A$7, 10, 2)</f>
        <v>0</v>
      </c>
      <c r="J38" s="128" t="n">
        <f aca="false" ca="false" dt2D="false" dtr="false" t="normal">MID($A$7, 12, 2)</f>
        <v>12</v>
      </c>
      <c r="N38" s="63" t="s">
        <v>180</v>
      </c>
      <c r="P38" s="129" t="s">
        <v>180</v>
      </c>
      <c r="Q38" s="130" t="s">
        <v>181</v>
      </c>
      <c r="R38" s="121" t="s">
        <v>182</v>
      </c>
      <c r="S38" s="729" t="n"/>
      <c r="T38" s="129" t="s">
        <v>180</v>
      </c>
      <c r="U38" s="130" t="s">
        <v>181</v>
      </c>
      <c r="V38" s="121" t="s">
        <v>182</v>
      </c>
      <c r="W38" s="131" t="n"/>
      <c r="X38" s="116" t="n"/>
      <c r="Y38" s="1020" t="s"/>
      <c r="Z38" s="1021" t="s"/>
      <c r="AA38" s="1022" t="s"/>
      <c r="AB38" s="121" t="n"/>
      <c r="AC38" s="121" t="n"/>
      <c r="AD38" s="121" t="n"/>
      <c r="AE38" s="121" t="n"/>
      <c r="AF38" s="121" t="n"/>
      <c r="AG38" s="121" t="n"/>
      <c r="AH38" s="121" t="n"/>
      <c r="AI38" s="121" t="n"/>
      <c r="AJ38" s="121" t="n"/>
      <c r="AK38" s="121" t="n"/>
    </row>
    <row hidden="false" ht="15" outlineLevel="0" r="39">
      <c r="C39" s="98" t="s">
        <v>185</v>
      </c>
      <c r="D39" s="53" t="n">
        <f aca="false" ca="false" dt2D="false" dtr="false" t="normal">HEX2BIN(D38, 8)</f>
        <v>111</v>
      </c>
      <c r="E39" s="53" t="n">
        <f aca="false" ca="false" dt2D="false" dtr="false" t="normal">HEX2BIN(E38, 8)</f>
        <v>110</v>
      </c>
      <c r="F39" s="53" t="n">
        <f aca="false" ca="false" dt2D="false" dtr="false" t="normal">HEX2BIN(F38, 8)</f>
        <v>1</v>
      </c>
      <c r="G39" s="53" t="n">
        <f aca="false" ca="false" dt2D="false" dtr="false" t="normal">HEX2BIN(G38, 8)</f>
        <v>100</v>
      </c>
      <c r="H39" s="53" t="n">
        <f aca="false" ca="false" dt2D="false" dtr="false" t="normal">HEX2BIN(H38, 8)</f>
        <v>0</v>
      </c>
      <c r="I39" s="53" t="n">
        <f aca="false" ca="false" dt2D="false" dtr="false" t="normal">HEX2BIN(I38, 8)</f>
        <v>0</v>
      </c>
      <c r="J39" s="53" t="n"/>
      <c r="N39" s="63" t="n"/>
      <c r="P39" s="136" t="n">
        <f aca="false" ca="false" dt2D="false" dtr="false" t="normal">MID(H39, 1, 1)</f>
        <v>0</v>
      </c>
      <c r="Q39" s="137" t="n">
        <f aca="false" ca="false" dt2D="false" dtr="false" t="normal">P39</f>
        <v>0</v>
      </c>
      <c r="R39" s="120" t="s">
        <v>186</v>
      </c>
      <c r="S39" s="139" t="s">
        <v>643</v>
      </c>
      <c r="T39" s="136" t="n">
        <f aca="false" ca="false" dt2D="false" dtr="false" t="normal">MID(I39, 1, 1)</f>
        <v>0</v>
      </c>
      <c r="U39" s="137" t="n">
        <f aca="false" ca="false" dt2D="false" dtr="false" t="normal">T39</f>
        <v>0</v>
      </c>
      <c r="V39" s="120" t="s">
        <v>186</v>
      </c>
      <c r="W39" s="139" t="s">
        <v>644</v>
      </c>
      <c r="X39" s="1023" t="s"/>
      <c r="Y39" s="142" t="s"/>
      <c r="Z39" s="142" t="s"/>
      <c r="AA39" s="1024" t="s"/>
      <c r="AB39" s="121" t="n"/>
      <c r="AC39" s="121" t="n"/>
      <c r="AD39" s="121" t="n"/>
      <c r="AE39" s="121" t="n"/>
      <c r="AF39" s="121" t="n"/>
      <c r="AG39" s="121" t="n"/>
      <c r="AH39" s="121" t="n"/>
      <c r="AI39" s="121" t="n"/>
      <c r="AJ39" s="121" t="n"/>
      <c r="AK39" s="121" t="n"/>
    </row>
    <row hidden="false" ht="15" outlineLevel="0" r="40">
      <c r="C40" s="98" t="s">
        <v>191</v>
      </c>
      <c r="D40" s="53" t="n">
        <f aca="false" ca="false" dt2D="false" dtr="false" t="normal">HEX2DEC(D38)</f>
        <v>7</v>
      </c>
      <c r="E40" s="53" t="n">
        <f aca="false" ca="false" dt2D="false" dtr="false" t="normal">HEX2DEC(E38)</f>
        <v>6</v>
      </c>
      <c r="F40" s="53" t="n">
        <f aca="false" ca="false" dt2D="false" dtr="false" t="normal">HEX2DEC(F38)</f>
        <v>1</v>
      </c>
      <c r="G40" s="53" t="n">
        <f aca="false" ca="false" dt2D="false" dtr="false" t="normal">HEX2DEC(G38)</f>
        <v>4</v>
      </c>
      <c r="H40" s="53" t="n">
        <f aca="false" ca="false" dt2D="false" dtr="false" t="normal">HEX2DEC(H38)</f>
        <v>0</v>
      </c>
      <c r="I40" s="53" t="n">
        <f aca="false" ca="false" dt2D="false" dtr="false" t="normal">HEX2DEC(I38)</f>
        <v>0</v>
      </c>
      <c r="J40" s="53" t="n">
        <f aca="false" ca="false" dt2D="false" dtr="false" t="normal">SUM(D40:I40)</f>
        <v>18</v>
      </c>
      <c r="N40" s="63" t="n"/>
      <c r="P40" s="136" t="n">
        <f aca="false" ca="false" dt2D="false" dtr="false" t="normal">MID(H39, 2, 1)</f>
        <v>0</v>
      </c>
      <c r="Q40" s="137" t="n">
        <f aca="false" ca="false" dt2D="false" dtr="false" t="normal">P40</f>
        <v>0</v>
      </c>
      <c r="R40" s="120" t="s">
        <v>192</v>
      </c>
      <c r="S40" s="139" t="s">
        <v>645</v>
      </c>
      <c r="T40" s="136" t="n">
        <f aca="false" ca="false" dt2D="false" dtr="false" t="normal">MID(I39, 2, 1)</f>
        <v>0</v>
      </c>
      <c r="U40" s="137" t="n">
        <f aca="false" ca="false" dt2D="false" dtr="false" t="normal">T40</f>
        <v>0</v>
      </c>
      <c r="V40" s="120" t="s">
        <v>192</v>
      </c>
      <c r="W40" s="139" t="s">
        <v>646</v>
      </c>
      <c r="X40" s="1025" t="s"/>
      <c r="Y40" s="142" t="s"/>
      <c r="Z40" s="142" t="s"/>
      <c r="AA40" s="1026" t="s"/>
      <c r="AB40" s="121" t="n"/>
      <c r="AC40" s="121" t="n"/>
      <c r="AD40" s="121" t="n"/>
      <c r="AE40" s="121" t="n"/>
      <c r="AF40" s="121" t="n"/>
      <c r="AG40" s="121" t="n"/>
      <c r="AH40" s="121" t="n"/>
      <c r="AI40" s="121" t="n"/>
      <c r="AJ40" s="121" t="n"/>
      <c r="AK40" s="121" t="n"/>
    </row>
    <row hidden="false" ht="15" outlineLevel="0" r="41">
      <c r="C41" s="98" t="s">
        <v>194</v>
      </c>
      <c r="D41" s="149" t="n">
        <f aca="false" ca="false" dt2D="false" dtr="false" t="normal">D38</f>
        <v>7</v>
      </c>
      <c r="E41" s="149" t="n">
        <f aca="false" ca="false" dt2D="false" dtr="false" t="normal">E38</f>
        <v>6</v>
      </c>
      <c r="F41" s="53" t="str">
        <f aca="false" ca="false" dt2D="false" dtr="false" t="normal">MID($A$7, 4, 2)</f>
        <v>G1</v>
      </c>
      <c r="G41" s="53" t="str">
        <f aca="false" ca="false" dt2D="false" dtr="false" t="normal">MID($A$7, 6, 2)</f>
        <v>G4</v>
      </c>
      <c r="N41" s="63" t="n"/>
      <c r="P41" s="136" t="n">
        <f aca="false" ca="false" dt2D="false" dtr="false" t="normal">MID(H39, 3, 1)</f>
        <v>0</v>
      </c>
      <c r="Q41" s="137" t="n">
        <f aca="false" ca="false" dt2D="false" dtr="false" t="normal">P41</f>
        <v>0</v>
      </c>
      <c r="R41" s="120" t="s">
        <v>195</v>
      </c>
      <c r="S41" s="139" t="s">
        <v>647</v>
      </c>
      <c r="T41" s="136" t="n">
        <f aca="false" ca="false" dt2D="false" dtr="false" t="normal">MID(I39, 3, 1)</f>
        <v>0</v>
      </c>
      <c r="U41" s="137" t="n">
        <f aca="false" ca="false" dt2D="false" dtr="false" t="normal">T41</f>
        <v>0</v>
      </c>
      <c r="V41" s="120" t="s">
        <v>195</v>
      </c>
      <c r="W41" s="139" t="s">
        <v>648</v>
      </c>
      <c r="X41" s="1027" t="s"/>
      <c r="Y41" s="142" t="s"/>
      <c r="Z41" s="142" t="s"/>
      <c r="AA41" s="1028" t="s"/>
      <c r="AB41" s="121" t="n"/>
      <c r="AC41" s="121" t="n"/>
      <c r="AD41" s="121" t="n"/>
      <c r="AE41" s="121" t="n"/>
      <c r="AF41" s="121" t="n"/>
      <c r="AG41" s="121" t="n"/>
      <c r="AH41" s="121" t="n"/>
      <c r="AI41" s="121" t="n"/>
      <c r="AJ41" s="121" t="n"/>
      <c r="AK41" s="121" t="n"/>
    </row>
    <row hidden="false" ht="15.75" outlineLevel="0" r="42">
      <c r="C42" s="98" t="n"/>
      <c r="N42" s="63" t="n"/>
      <c r="P42" s="136" t="n">
        <f aca="false" ca="false" dt2D="false" dtr="false" t="normal">MID(H39, 4, 1)</f>
        <v>0</v>
      </c>
      <c r="Q42" s="137" t="n">
        <f aca="false" ca="false" dt2D="false" dtr="false" t="normal">P42</f>
        <v>0</v>
      </c>
      <c r="R42" s="120" t="s">
        <v>197</v>
      </c>
      <c r="S42" s="139" t="s">
        <v>649</v>
      </c>
      <c r="T42" s="136" t="n">
        <f aca="false" ca="false" dt2D="false" dtr="false" t="normal">MID(I39, 4, 1)</f>
        <v>0</v>
      </c>
      <c r="U42" s="137" t="n">
        <f aca="false" ca="false" dt2D="false" dtr="false" t="normal">T42</f>
        <v>0</v>
      </c>
      <c r="V42" s="120" t="s">
        <v>197</v>
      </c>
      <c r="W42" s="139" t="s">
        <v>650</v>
      </c>
      <c r="X42" s="1029" t="s"/>
      <c r="Y42" s="142" t="s"/>
      <c r="Z42" s="142" t="s"/>
      <c r="AA42" s="1030" t="s"/>
      <c r="AB42" s="121" t="n"/>
      <c r="AC42" s="121" t="n"/>
      <c r="AD42" s="121" t="n"/>
      <c r="AE42" s="121" t="n"/>
      <c r="AF42" s="121" t="n"/>
      <c r="AG42" s="121" t="n"/>
      <c r="AH42" s="121" t="n"/>
      <c r="AI42" s="121" t="n"/>
      <c r="AJ42" s="121" t="n"/>
      <c r="AK42" s="121" t="n"/>
    </row>
    <row hidden="false" ht="15.75" outlineLevel="0" r="43">
      <c r="C43" s="98" t="s">
        <v>176</v>
      </c>
      <c r="D43" s="159" t="n">
        <f aca="false" ca="false" dt2D="false" dtr="false" t="normal">D38</f>
        <v>7</v>
      </c>
      <c r="E43" s="160" t="n">
        <f aca="false" ca="false" dt2D="false" dtr="false" t="normal">E38</f>
        <v>6</v>
      </c>
      <c r="F43" s="160" t="n">
        <f aca="false" ca="false" dt2D="false" dtr="false" t="normal">F38</f>
        <v>1</v>
      </c>
      <c r="G43" s="161" t="n">
        <f aca="false" ca="false" dt2D="false" dtr="false" t="normal">G38</f>
        <v>4</v>
      </c>
      <c r="H43" s="162" t="n">
        <f aca="false" ca="false" dt2D="false" dtr="false" t="normal">BIN2HEX(H44, 2)</f>
        <v>0</v>
      </c>
      <c r="I43" s="163" t="n">
        <f aca="false" ca="false" dt2D="false" dtr="false" t="normal">BIN2HEX(I44, 2)</f>
        <v>0</v>
      </c>
      <c r="J43" s="218" t="n">
        <f aca="false" ca="false" dt2D="false" dtr="false" t="normal">IF(LEN(J44)&gt;2, MID(J44, 2, 2), J44)</f>
        <v>12</v>
      </c>
      <c r="N43" s="63" t="s">
        <v>181</v>
      </c>
      <c r="P43" s="136" t="n">
        <f aca="false" ca="false" dt2D="false" dtr="false" t="normal">MID(H39, 5, 1)</f>
        <v>0</v>
      </c>
      <c r="Q43" s="137" t="n">
        <f aca="false" ca="false" dt2D="false" dtr="false" t="normal">P43</f>
        <v>0</v>
      </c>
      <c r="R43" s="120" t="s">
        <v>200</v>
      </c>
      <c r="S43" s="139" t="s">
        <v>651</v>
      </c>
      <c r="T43" s="136" t="n">
        <f aca="false" ca="false" dt2D="false" dtr="false" t="normal">MID(I39, 5, 1)</f>
        <v>0</v>
      </c>
      <c r="U43" s="137" t="n">
        <f aca="false" ca="false" dt2D="false" dtr="false" t="normal">T43</f>
        <v>0</v>
      </c>
      <c r="V43" s="120" t="s">
        <v>200</v>
      </c>
      <c r="W43" s="139" t="s">
        <v>652</v>
      </c>
      <c r="X43" s="1031" t="s"/>
      <c r="Y43" s="142" t="s"/>
      <c r="Z43" s="142" t="s"/>
      <c r="AA43" s="1032" t="s"/>
      <c r="AB43" s="121" t="n"/>
      <c r="AC43" s="121" t="n"/>
      <c r="AD43" s="121" t="n"/>
      <c r="AE43" s="121" t="n"/>
      <c r="AF43" s="121" t="n"/>
      <c r="AG43" s="121" t="n"/>
      <c r="AH43" s="121" t="n"/>
      <c r="AI43" s="121" t="n"/>
      <c r="AJ43" s="121" t="n"/>
      <c r="AK43" s="121" t="n"/>
    </row>
    <row hidden="false" ht="15" outlineLevel="0" r="44">
      <c r="C44" s="98" t="s">
        <v>185</v>
      </c>
      <c r="D44" s="53" t="n">
        <f aca="false" ca="false" dt2D="false" dtr="false" t="normal">HEX2BIN(D43, 8)</f>
        <v>111</v>
      </c>
      <c r="E44" s="53" t="n">
        <f aca="false" ca="false" dt2D="false" dtr="false" t="normal">HEX2BIN(E43, 8)</f>
        <v>110</v>
      </c>
      <c r="F44" s="53" t="n">
        <f aca="false" ca="false" dt2D="false" dtr="false" t="normal">HEX2BIN(F43, 8)</f>
        <v>1</v>
      </c>
      <c r="G44" s="53" t="n">
        <f aca="false" ca="false" dt2D="false" dtr="false" t="normal">HEX2BIN(G43, 8)</f>
        <v>100</v>
      </c>
      <c r="H44" s="171" t="n">
        <f aca="false" ca="false" dt2D="false" dtr="false" t="normal">Q39&amp;Q40&amp;Q41&amp;Q42&amp;Q43&amp;Q44&amp;Q45&amp;Q46</f>
        <v>0</v>
      </c>
      <c r="I44" s="53" t="n">
        <f aca="false" ca="false" dt2D="false" dtr="false" t="normal">U39&amp;U40&amp;U41&amp;U42&amp;U43&amp;U44&amp;U45&amp;U46</f>
        <v>0</v>
      </c>
      <c r="J44" s="53" t="n">
        <f aca="false" ca="false" dt2D="false" dtr="false" t="normal">DEC2HEX(J45)</f>
        <v>12</v>
      </c>
      <c r="N44" s="63" t="n"/>
      <c r="P44" s="136" t="n">
        <f aca="false" ca="false" dt2D="false" dtr="false" t="normal">MID(H39, 6, 1)</f>
        <v>0</v>
      </c>
      <c r="Q44" s="137" t="n">
        <f aca="false" ca="false" dt2D="false" dtr="false" t="normal">P44</f>
        <v>0</v>
      </c>
      <c r="R44" s="120" t="s">
        <v>203</v>
      </c>
      <c r="S44" s="139" t="s">
        <v>653</v>
      </c>
      <c r="T44" s="136" t="n">
        <f aca="false" ca="false" dt2D="false" dtr="false" t="normal">MID(I39, 6, 1)</f>
        <v>0</v>
      </c>
      <c r="U44" s="137" t="n">
        <f aca="false" ca="false" dt2D="false" dtr="false" t="normal">T44</f>
        <v>0</v>
      </c>
      <c r="V44" s="120" t="s">
        <v>203</v>
      </c>
      <c r="W44" s="139" t="s">
        <v>654</v>
      </c>
      <c r="X44" s="1033" t="s"/>
      <c r="Y44" s="142" t="s"/>
      <c r="Z44" s="142" t="s"/>
      <c r="AA44" s="1034" t="s"/>
      <c r="AB44" s="121" t="n"/>
      <c r="AC44" s="121" t="n"/>
      <c r="AD44" s="121" t="n"/>
      <c r="AE44" s="121" t="n"/>
      <c r="AF44" s="121" t="n"/>
      <c r="AG44" s="121" t="n"/>
      <c r="AH44" s="121" t="n"/>
      <c r="AI44" s="121" t="n"/>
      <c r="AJ44" s="121" t="n"/>
      <c r="AK44" s="121" t="n"/>
    </row>
    <row hidden="false" ht="15" outlineLevel="0" r="45">
      <c r="C45" s="98" t="s">
        <v>191</v>
      </c>
      <c r="D45" s="53" t="n">
        <f aca="false" ca="false" dt2D="false" dtr="false" t="normal">HEX2DEC(D43)</f>
        <v>7</v>
      </c>
      <c r="E45" s="53" t="n">
        <f aca="false" ca="false" dt2D="false" dtr="false" t="normal">HEX2DEC(E43)</f>
        <v>6</v>
      </c>
      <c r="F45" s="53" t="n">
        <f aca="false" ca="false" dt2D="false" dtr="false" t="normal">HEX2DEC(F43)</f>
        <v>1</v>
      </c>
      <c r="G45" s="53" t="n">
        <f aca="false" ca="false" dt2D="false" dtr="false" t="normal">HEX2DEC(G43)</f>
        <v>4</v>
      </c>
      <c r="H45" s="53" t="n">
        <f aca="false" ca="false" dt2D="false" dtr="false" t="normal">HEX2DEC(H43)</f>
        <v>0</v>
      </c>
      <c r="I45" s="53" t="n">
        <f aca="false" ca="false" dt2D="false" dtr="false" t="normal">HEX2DEC(I43)</f>
        <v>0</v>
      </c>
      <c r="J45" s="53" t="n">
        <f aca="false" ca="false" dt2D="false" dtr="false" t="normal">SUM(D45:I45)</f>
        <v>18</v>
      </c>
      <c r="N45" s="63" t="n"/>
      <c r="P45" s="136" t="n">
        <f aca="false" ca="false" dt2D="false" dtr="false" t="normal">MID(H39, 7, 1)</f>
        <v>0</v>
      </c>
      <c r="Q45" s="137" t="n">
        <f aca="false" ca="false" dt2D="false" dtr="false" t="normal">P45</f>
        <v>0</v>
      </c>
      <c r="R45" s="120" t="s">
        <v>206</v>
      </c>
      <c r="S45" s="139" t="s">
        <v>655</v>
      </c>
      <c r="T45" s="136" t="n">
        <f aca="false" ca="false" dt2D="false" dtr="false" t="normal">MID(I39, 7, 1)</f>
        <v>0</v>
      </c>
      <c r="U45" s="137" t="n">
        <f aca="false" ca="false" dt2D="false" dtr="false" t="normal">T45</f>
        <v>0</v>
      </c>
      <c r="V45" s="120" t="s">
        <v>206</v>
      </c>
      <c r="W45" s="139" t="s">
        <v>656</v>
      </c>
      <c r="X45" s="1035" t="s"/>
      <c r="Y45" s="142" t="s"/>
      <c r="Z45" s="142" t="s"/>
      <c r="AA45" s="1036" t="s"/>
      <c r="AB45" s="121" t="n"/>
      <c r="AC45" s="121" t="n"/>
      <c r="AD45" s="121" t="n"/>
      <c r="AE45" s="121" t="n"/>
      <c r="AF45" s="121" t="n"/>
      <c r="AG45" s="121" t="n"/>
      <c r="AH45" s="121" t="n"/>
      <c r="AI45" s="121" t="n"/>
      <c r="AJ45" s="121" t="n"/>
      <c r="AK45" s="121" t="n"/>
    </row>
    <row hidden="false" ht="15.75" outlineLevel="0" r="46">
      <c r="C46" s="180" t="s">
        <v>194</v>
      </c>
      <c r="D46" s="299" t="n">
        <f aca="false" ca="false" dt2D="false" dtr="false" t="normal">D41</f>
        <v>7</v>
      </c>
      <c r="E46" s="299" t="n">
        <f aca="false" ca="false" dt2D="false" dtr="false" t="normal">E41</f>
        <v>6</v>
      </c>
      <c r="F46" s="299" t="str">
        <f aca="false" ca="false" dt2D="false" dtr="false" t="normal">F41</f>
        <v>G1</v>
      </c>
      <c r="G46" s="299" t="str">
        <f aca="false" ca="false" dt2D="false" dtr="false" t="normal">G41</f>
        <v>G4</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7" t="s">
        <v>657</v>
      </c>
      <c r="T46" s="182" t="n">
        <f aca="false" ca="false" dt2D="false" dtr="false" t="normal">MID(I39, 8, 1)</f>
        <v>0</v>
      </c>
      <c r="U46" s="183" t="n">
        <f aca="false" ca="false" dt2D="false" dtr="false" t="normal">T46</f>
        <v>0</v>
      </c>
      <c r="V46" s="184" t="s">
        <v>208</v>
      </c>
      <c r="W46" s="187" t="s">
        <v>658</v>
      </c>
      <c r="X46" s="1037" t="s"/>
      <c r="Y46" s="1038" t="s"/>
      <c r="Z46" s="1039" t="s"/>
      <c r="AA46" s="1040" t="s"/>
      <c r="AB46" s="121" t="n"/>
      <c r="AC46" s="121" t="n"/>
      <c r="AD46" s="121" t="n"/>
      <c r="AE46" s="121" t="n"/>
      <c r="AF46" s="121" t="n"/>
      <c r="AG46" s="121" t="n"/>
      <c r="AH46" s="121" t="n"/>
      <c r="AI46" s="121" t="n"/>
      <c r="AJ46" s="121" t="n"/>
      <c r="AK46" s="121" t="n"/>
    </row>
    <row hidden="false" ht="15.75" outlineLevel="0" r="47">
      <c r="C47" s="93" t="n"/>
      <c r="D47" s="94" t="n"/>
      <c r="E47" s="94" t="n"/>
      <c r="F47" s="94" t="n"/>
      <c r="G47" s="94" t="n"/>
      <c r="H47" s="94" t="n"/>
      <c r="I47" s="94" t="n"/>
      <c r="J47" s="94" t="n"/>
      <c r="K47" s="94" t="n"/>
      <c r="L47" s="94" t="n"/>
      <c r="M47" s="94" t="s">
        <v>161</v>
      </c>
      <c r="N47" s="60" t="n"/>
      <c r="P47" s="95" t="str">
        <f aca="false" ca="false" dt2D="false" dtr="false" t="normal">RIGHT(D49, 1)&amp;E49&amp;"-"&amp;F49&amp;"-"&amp;G49</f>
        <v>706-02-01</v>
      </c>
      <c r="Q47" s="1041" t="s"/>
      <c r="R47" s="234" t="s">
        <v>659</v>
      </c>
      <c r="S47" s="1042" t="s"/>
      <c r="T47" s="1043" t="s"/>
      <c r="U47" s="1044" t="s"/>
      <c r="V47" s="1045" t="s"/>
      <c r="W47" s="1046" t="s"/>
      <c r="X47" s="1047" t="s"/>
      <c r="Y47" s="1048" t="s"/>
      <c r="Z47" s="1049" t="s"/>
      <c r="AA47" s="1050" t="s"/>
      <c r="AB47" s="1051" t="s"/>
      <c r="AC47" s="1052" t="s"/>
      <c r="AD47" s="1053" t="s"/>
      <c r="AE47" s="1054" t="s"/>
      <c r="AF47" s="1055" t="s"/>
      <c r="AG47" s="1056" t="s"/>
      <c r="AH47" s="1057" t="s"/>
      <c r="AI47" s="1058" t="s"/>
      <c r="AJ47" s="1059" t="s"/>
      <c r="AK47" s="1060" t="s"/>
    </row>
    <row hidden="false" ht="15.75" outlineLevel="0" r="48">
      <c r="C48" s="98" t="n"/>
      <c r="D48" s="99" t="s">
        <v>660</v>
      </c>
      <c r="E48" s="1061" t="s"/>
      <c r="F48" s="1062" t="s"/>
      <c r="G48" s="1063" t="s"/>
      <c r="H48" s="53" t="s">
        <v>165</v>
      </c>
      <c r="I48" s="53" t="s">
        <v>166</v>
      </c>
      <c r="J48" s="53" t="s">
        <v>167</v>
      </c>
      <c r="K48" s="53" t="s">
        <v>168</v>
      </c>
      <c r="L48" s="53" t="s">
        <v>169</v>
      </c>
      <c r="M48" s="53" t="s">
        <v>221</v>
      </c>
      <c r="N48" s="63" t="n"/>
      <c r="P48" s="103" t="s">
        <v>661</v>
      </c>
      <c r="Q48" s="1064" t="s"/>
      <c r="R48" s="1065" t="s"/>
      <c r="S48" s="1066" t="s"/>
      <c r="T48" s="103" t="s">
        <v>662</v>
      </c>
      <c r="U48" s="1067" t="s"/>
      <c r="V48" s="1068" t="s"/>
      <c r="W48" s="1069" t="s"/>
      <c r="X48" s="103" t="s">
        <v>663</v>
      </c>
      <c r="Y48" s="1070" t="s"/>
      <c r="Z48" s="1071" t="s"/>
      <c r="AA48" s="1072" t="s"/>
      <c r="AB48" s="103" t="s">
        <v>664</v>
      </c>
      <c r="AC48" s="1073" t="s"/>
      <c r="AD48" s="1074" t="s"/>
      <c r="AE48" s="1075" t="s"/>
      <c r="AF48" s="103" t="s">
        <v>665</v>
      </c>
      <c r="AG48" s="1076" t="s"/>
      <c r="AH48" s="1077" t="s"/>
      <c r="AI48" s="1078" t="s"/>
      <c r="AJ48" s="103" t="s">
        <v>666</v>
      </c>
      <c r="AK48" s="1079" t="s"/>
    </row>
    <row hidden="false" ht="15.75" outlineLevel="0" r="49">
      <c r="C49" s="98" t="s">
        <v>176</v>
      </c>
      <c r="D49" s="122" t="s">
        <v>177</v>
      </c>
      <c r="E49" s="123" t="s">
        <v>358</v>
      </c>
      <c r="F49" s="123" t="s">
        <v>216</v>
      </c>
      <c r="G49" s="124" t="s">
        <v>179</v>
      </c>
      <c r="H49" s="125" t="n">
        <f aca="false" ca="false" dt2D="false" dtr="false" t="normal">MID($A$9, 8, 2)</f>
        <v>0</v>
      </c>
      <c r="I49" s="126" t="n">
        <f aca="false" ca="false" dt2D="false" dtr="false" t="normal">MID($A$9, 10, 2)</f>
        <v>0</v>
      </c>
      <c r="J49" s="126" t="n">
        <f aca="false" ca="false" dt2D="false" dtr="false" t="normal">MID($A$9, 12, 2)</f>
        <v>0</v>
      </c>
      <c r="K49" s="127" t="n">
        <f aca="false" ca="false" dt2D="false" dtr="false" t="normal">MID($A$9, 14, 2)</f>
        <v>0</v>
      </c>
      <c r="L49" s="274" t="n">
        <f aca="false" ca="false" dt2D="false" dtr="false" t="normal">MID($A$9, 16, 2)</f>
        <v>0</v>
      </c>
      <c r="M49" s="128" t="n">
        <f aca="false" ca="false" dt2D="false" dtr="false" t="normal">MID($A$9, 18, 2)</f>
        <v>10</v>
      </c>
      <c r="N49" s="63" t="s">
        <v>180</v>
      </c>
      <c r="P49" s="129" t="s">
        <v>180</v>
      </c>
      <c r="Q49" s="130" t="s">
        <v>181</v>
      </c>
      <c r="R49" s="121" t="s">
        <v>182</v>
      </c>
      <c r="S49" s="131" t="n"/>
      <c r="T49" s="129" t="s">
        <v>180</v>
      </c>
      <c r="U49" s="130" t="s">
        <v>181</v>
      </c>
      <c r="V49" s="121" t="s">
        <v>182</v>
      </c>
      <c r="W49" s="131" t="n"/>
      <c r="X49" s="129" t="s">
        <v>180</v>
      </c>
      <c r="Y49" s="130" t="s">
        <v>181</v>
      </c>
      <c r="Z49" s="121" t="s">
        <v>182</v>
      </c>
      <c r="AA49" s="131" t="n"/>
      <c r="AB49" s="129" t="s">
        <v>180</v>
      </c>
      <c r="AC49" s="130" t="s">
        <v>181</v>
      </c>
      <c r="AD49" s="121" t="s">
        <v>182</v>
      </c>
      <c r="AE49" s="131" t="n"/>
      <c r="AF49" s="129" t="s">
        <v>180</v>
      </c>
      <c r="AG49" s="130" t="s">
        <v>181</v>
      </c>
      <c r="AH49" s="121" t="s">
        <v>182</v>
      </c>
      <c r="AI49" s="121" t="n"/>
      <c r="AJ49" s="116" t="s">
        <v>183</v>
      </c>
      <c r="AK49" s="1080" t="s"/>
    </row>
    <row hidden="false" ht="15" outlineLevel="0" r="50">
      <c r="C50" s="98" t="s">
        <v>185</v>
      </c>
      <c r="D50" s="53" t="n">
        <f aca="false" ca="false" dt2D="false" dtr="false" t="normal">HEX2BIN(D49, 8)</f>
        <v>111</v>
      </c>
      <c r="E50" s="53" t="n">
        <f aca="false" ca="false" dt2D="false" dtr="false" t="normal">HEX2BIN(E49, 8)</f>
        <v>110</v>
      </c>
      <c r="F50" s="53" t="n">
        <f aca="false" ca="false" dt2D="false" dtr="false" t="normal">HEX2BIN(F49, 8)</f>
        <v>10</v>
      </c>
      <c r="G50" s="53" t="n">
        <f aca="false" ca="false" dt2D="false" dtr="false" t="normal">HEX2BIN(G49, 8)</f>
        <v>1</v>
      </c>
      <c r="H50" s="53" t="n">
        <f aca="false" ca="false" dt2D="false" dtr="false" t="normal">HEX2BIN(H49, 8)</f>
        <v>0</v>
      </c>
      <c r="I50" s="53" t="n">
        <f aca="false" ca="false" dt2D="false" dtr="false" t="normal">HEX2BIN(I49, 8)</f>
        <v>0</v>
      </c>
      <c r="J50" s="53" t="n">
        <f aca="false" ca="false" dt2D="false" dtr="false" t="normal">HEX2BIN(J49, 8)</f>
        <v>0</v>
      </c>
      <c r="K50" s="53" t="n">
        <f aca="false" ca="false" dt2D="false" dtr="false" t="normal">HEX2BIN(K49, 8)</f>
        <v>0</v>
      </c>
      <c r="L50" s="53" t="n">
        <f aca="false" ca="false" dt2D="false" dtr="false" t="normal">HEX2BIN(L49, 8)</f>
        <v>0</v>
      </c>
      <c r="N50" s="63" t="n"/>
      <c r="P50" s="136" t="n">
        <f aca="false" ca="false" dt2D="false" dtr="false" t="normal">MID(H50, 1, 1)</f>
        <v>0</v>
      </c>
      <c r="Q50" s="137" t="n">
        <f aca="false" ca="false" dt2D="false" dtr="false" t="normal">P50</f>
        <v>0</v>
      </c>
      <c r="R50" s="120" t="s">
        <v>186</v>
      </c>
      <c r="S50" s="131" t="s">
        <v>196</v>
      </c>
      <c r="T50" s="209" t="n">
        <f aca="false" ca="false" dt2D="false" dtr="false" t="normal">MID(I50, 1, 1)</f>
        <v>0</v>
      </c>
      <c r="U50" s="137" t="n">
        <f aca="false" ca="false" dt2D="false" dtr="false" t="normal">T50</f>
        <v>0</v>
      </c>
      <c r="V50" s="120" t="s">
        <v>186</v>
      </c>
      <c r="W50" s="140" t="s">
        <v>667</v>
      </c>
      <c r="X50" s="209" t="n">
        <f aca="false" ca="false" dt2D="false" dtr="false" t="normal">MID(J50, 1, 1)</f>
        <v>0</v>
      </c>
      <c r="Y50" s="137" t="n">
        <f aca="false" ca="false" dt2D="false" dtr="false" t="normal">X50</f>
        <v>0</v>
      </c>
      <c r="Z50" s="120" t="s">
        <v>186</v>
      </c>
      <c r="AA50" s="140" t="s">
        <v>668</v>
      </c>
      <c r="AB50" s="209" t="n">
        <f aca="false" ca="false" dt2D="false" dtr="false" t="normal">MID(K50, 1, 1)</f>
        <v>0</v>
      </c>
      <c r="AC50" s="137" t="n">
        <f aca="false" ca="false" dt2D="false" dtr="false" t="normal">AB50</f>
        <v>0</v>
      </c>
      <c r="AD50" s="120" t="s">
        <v>186</v>
      </c>
      <c r="AE50" s="131" t="s">
        <v>196</v>
      </c>
      <c r="AF50" s="136" t="n">
        <f aca="false" ca="false" dt2D="false" dtr="false" t="normal">MID(L50, 1, 1)</f>
        <v>0</v>
      </c>
      <c r="AG50" s="137" t="n">
        <f aca="false" ca="false" dt2D="false" dtr="false" t="normal">AF50</f>
        <v>0</v>
      </c>
      <c r="AH50" s="120" t="s">
        <v>186</v>
      </c>
      <c r="AI50" s="131" t="s">
        <v>196</v>
      </c>
      <c r="AJ50" s="1081" t="s"/>
      <c r="AK50" s="1082" t="s"/>
    </row>
    <row customHeight="true" hidden="false" ht="15" outlineLevel="0" r="51">
      <c r="C51" s="98" t="s">
        <v>191</v>
      </c>
      <c r="D51" s="53" t="n">
        <f aca="false" ca="false" dt2D="false" dtr="false" t="normal">HEX2DEC(D49)</f>
        <v>7</v>
      </c>
      <c r="E51" s="53" t="n">
        <f aca="false" ca="false" dt2D="false" dtr="false" t="normal">HEX2DEC(E49)</f>
        <v>6</v>
      </c>
      <c r="F51" s="53" t="n">
        <f aca="false" ca="false" dt2D="false" dtr="false" t="normal">HEX2DEC(F49)</f>
        <v>2</v>
      </c>
      <c r="G51" s="53" t="n">
        <f aca="false" ca="false" dt2D="false" dtr="false" t="normal">HEX2DEC(G49)</f>
        <v>1</v>
      </c>
      <c r="H51" s="53" t="n">
        <f aca="false" ca="false" dt2D="false" dtr="false" t="normal">HEX2DEC(H49)</f>
        <v>0</v>
      </c>
      <c r="I51" s="53" t="n">
        <f aca="false" ca="false" dt2D="false" dtr="false" t="normal">HEX2DEC(I49)</f>
        <v>0</v>
      </c>
      <c r="J51" s="53" t="n">
        <f aca="false" ca="false" dt2D="false" dtr="false" t="normal">HEX2DEC(J49)</f>
        <v>0</v>
      </c>
      <c r="K51" s="53" t="n">
        <f aca="false" ca="false" dt2D="false" dtr="false" t="normal">HEX2DEC(K49)</f>
        <v>0</v>
      </c>
      <c r="L51" s="53" t="n">
        <f aca="false" ca="false" dt2D="false" dtr="false" t="normal">HEX2DEC(L49)</f>
        <v>0</v>
      </c>
      <c r="M51" s="53" t="n">
        <f aca="false" ca="false" dt2D="false" dtr="false" t="normal">SUM(D51:L51)</f>
        <v>16</v>
      </c>
      <c r="N51" s="63" t="n"/>
      <c r="P51" s="136" t="n">
        <f aca="false" ca="false" dt2D="false" dtr="false" t="normal">MID(H50, 2, 1)</f>
        <v>0</v>
      </c>
      <c r="Q51" s="137" t="n">
        <f aca="false" ca="false" dt2D="false" dtr="false" t="normal">P51</f>
        <v>0</v>
      </c>
      <c r="R51" s="120" t="s">
        <v>192</v>
      </c>
      <c r="S51" s="1083" t="s">
        <v>669</v>
      </c>
      <c r="T51" s="209" t="n">
        <f aca="false" ca="false" dt2D="false" dtr="false" t="normal">MID(I50, 2, 1)</f>
        <v>0</v>
      </c>
      <c r="U51" s="137" t="n">
        <f aca="false" ca="false" dt2D="false" dtr="false" t="normal">T51</f>
        <v>0</v>
      </c>
      <c r="V51" s="120" t="s">
        <v>192</v>
      </c>
      <c r="W51" s="1084" t="s"/>
      <c r="X51" s="209" t="n">
        <f aca="false" ca="false" dt2D="false" dtr="false" t="normal">MID(J50, 2, 1)</f>
        <v>0</v>
      </c>
      <c r="Y51" s="137" t="n">
        <f aca="false" ca="false" dt2D="false" dtr="false" t="normal">X51</f>
        <v>0</v>
      </c>
      <c r="Z51" s="120" t="s">
        <v>192</v>
      </c>
      <c r="AA51" s="1085" t="s"/>
      <c r="AB51" s="209" t="n">
        <f aca="false" ca="false" dt2D="false" dtr="false" t="normal">MID(K50, 2, 1)</f>
        <v>0</v>
      </c>
      <c r="AC51" s="137" t="n">
        <f aca="false" ca="false" dt2D="false" dtr="false" t="normal">AB51</f>
        <v>0</v>
      </c>
      <c r="AD51" s="120" t="s">
        <v>192</v>
      </c>
      <c r="AE51" s="131" t="s">
        <v>196</v>
      </c>
      <c r="AF51" s="136" t="n">
        <f aca="false" ca="false" dt2D="false" dtr="false" t="normal">MID(L50, 2, 1)</f>
        <v>0</v>
      </c>
      <c r="AG51" s="137" t="n">
        <f aca="false" ca="false" dt2D="false" dtr="false" t="normal">AF51</f>
        <v>0</v>
      </c>
      <c r="AH51" s="120" t="s">
        <v>192</v>
      </c>
      <c r="AI51" s="131" t="s">
        <v>196</v>
      </c>
      <c r="AJ51" s="1086" t="s"/>
      <c r="AK51" s="1087" t="s"/>
    </row>
    <row hidden="false" ht="15" outlineLevel="0" r="52">
      <c r="C52" s="98" t="s">
        <v>194</v>
      </c>
      <c r="D52" s="149" t="n">
        <f aca="false" ca="false" dt2D="false" dtr="false" t="normal">D49</f>
        <v>7</v>
      </c>
      <c r="E52" s="149" t="n">
        <f aca="false" ca="false" dt2D="false" dtr="false" t="normal">E49</f>
        <v>6</v>
      </c>
      <c r="F52" s="53" t="str">
        <f aca="false" ca="false" dt2D="false" dtr="false" t="normal">MID($A$9, 4, 2)</f>
        <v>G2</v>
      </c>
      <c r="G52" s="53" t="str">
        <f aca="false" ca="false" dt2D="false" dtr="false" t="normal">MID($A$9, 6, 2)</f>
        <v>G1</v>
      </c>
      <c r="N52" s="63" t="n"/>
      <c r="P52" s="136" t="n">
        <f aca="false" ca="false" dt2D="false" dtr="false" t="normal">MID(H50, 3, 1)</f>
        <v>0</v>
      </c>
      <c r="Q52" s="137" t="n">
        <f aca="false" ca="false" dt2D="false" dtr="false" t="normal">P52</f>
        <v>0</v>
      </c>
      <c r="R52" s="120" t="s">
        <v>195</v>
      </c>
      <c r="S52" s="208" t="s">
        <v>670</v>
      </c>
      <c r="T52" s="209" t="n">
        <f aca="false" ca="false" dt2D="false" dtr="false" t="normal">MID(I50, 3, 1)</f>
        <v>0</v>
      </c>
      <c r="U52" s="137" t="n">
        <f aca="false" ca="false" dt2D="false" dtr="false" t="normal">T52</f>
        <v>0</v>
      </c>
      <c r="V52" s="120" t="s">
        <v>195</v>
      </c>
      <c r="W52" s="131" t="s">
        <v>196</v>
      </c>
      <c r="X52" s="209" t="n">
        <f aca="false" ca="false" dt2D="false" dtr="false" t="normal">MID(J50, 3, 1)</f>
        <v>0</v>
      </c>
      <c r="Y52" s="137" t="n">
        <f aca="false" ca="false" dt2D="false" dtr="false" t="normal">X52</f>
        <v>0</v>
      </c>
      <c r="Z52" s="120" t="s">
        <v>195</v>
      </c>
      <c r="AA52" s="131" t="s">
        <v>196</v>
      </c>
      <c r="AB52" s="209" t="n">
        <f aca="false" ca="false" dt2D="false" dtr="false" t="normal">MID(K50, 3, 1)</f>
        <v>0</v>
      </c>
      <c r="AC52" s="137" t="n">
        <f aca="false" ca="false" dt2D="false" dtr="false" t="normal">AB52</f>
        <v>0</v>
      </c>
      <c r="AD52" s="120" t="s">
        <v>195</v>
      </c>
      <c r="AE52" s="131" t="s">
        <v>196</v>
      </c>
      <c r="AF52" s="136" t="n">
        <f aca="false" ca="false" dt2D="false" dtr="false" t="normal">MID(L50, 3, 1)</f>
        <v>0</v>
      </c>
      <c r="AG52" s="137" t="n">
        <f aca="false" ca="false" dt2D="false" dtr="false" t="normal">AF52</f>
        <v>0</v>
      </c>
      <c r="AH52" s="120" t="s">
        <v>195</v>
      </c>
      <c r="AI52" s="208" t="s">
        <v>671</v>
      </c>
      <c r="AJ52" s="1088" t="s"/>
      <c r="AK52" s="1089" t="s"/>
    </row>
    <row hidden="false" ht="15.75" outlineLevel="0" r="53">
      <c r="C53" s="98" t="n"/>
      <c r="N53" s="63" t="n"/>
      <c r="P53" s="136" t="n">
        <f aca="false" ca="false" dt2D="false" dtr="false" t="normal">MID(H50, 4, 1)</f>
        <v>0</v>
      </c>
      <c r="Q53" s="137" t="n">
        <f aca="false" ca="false" dt2D="false" dtr="false" t="normal">P53</f>
        <v>0</v>
      </c>
      <c r="R53" s="120" t="s">
        <v>197</v>
      </c>
      <c r="S53" s="131" t="s">
        <v>196</v>
      </c>
      <c r="T53" s="209" t="n">
        <f aca="false" ca="false" dt2D="false" dtr="false" t="normal">MID(I50, 4, 1)</f>
        <v>0</v>
      </c>
      <c r="U53" s="137" t="n">
        <f aca="false" ca="false" dt2D="false" dtr="false" t="normal">T53</f>
        <v>0</v>
      </c>
      <c r="V53" s="120" t="s">
        <v>197</v>
      </c>
      <c r="W53" s="131" t="s">
        <v>196</v>
      </c>
      <c r="X53" s="209" t="n">
        <f aca="false" ca="false" dt2D="false" dtr="false" t="normal">MID(J50, 4, 1)</f>
        <v>0</v>
      </c>
      <c r="Y53" s="137" t="n">
        <f aca="false" ca="false" dt2D="false" dtr="false" t="normal">X53</f>
        <v>0</v>
      </c>
      <c r="Z53" s="120" t="s">
        <v>197</v>
      </c>
      <c r="AA53" s="140" t="s">
        <v>672</v>
      </c>
      <c r="AB53" s="209" t="n">
        <f aca="false" ca="false" dt2D="false" dtr="false" t="normal">MID(K50, 4, 1)</f>
        <v>0</v>
      </c>
      <c r="AC53" s="137" t="n">
        <f aca="false" ca="false" dt2D="false" dtr="false" t="normal">AB53</f>
        <v>0</v>
      </c>
      <c r="AD53" s="120" t="s">
        <v>197</v>
      </c>
      <c r="AE53" s="131" t="s">
        <v>196</v>
      </c>
      <c r="AF53" s="136" t="n">
        <f aca="false" ca="false" dt2D="false" dtr="false" t="normal">MID(L50, 4, 1)</f>
        <v>0</v>
      </c>
      <c r="AG53" s="137" t="n">
        <f aca="false" ca="false" dt2D="false" dtr="false" t="normal">AF53</f>
        <v>0</v>
      </c>
      <c r="AH53" s="120" t="s">
        <v>197</v>
      </c>
      <c r="AI53" s="140" t="s">
        <v>673</v>
      </c>
      <c r="AJ53" s="1090" t="s"/>
      <c r="AK53" s="1091" t="s"/>
    </row>
    <row hidden="false" ht="15" outlineLevel="0" r="54">
      <c r="C54" s="98" t="s">
        <v>176</v>
      </c>
      <c r="D54" s="159" t="n">
        <f aca="false" ca="false" dt2D="false" dtr="false" t="normal">D49</f>
        <v>7</v>
      </c>
      <c r="E54" s="160" t="n">
        <f aca="false" ca="false" dt2D="false" dtr="false" t="normal">E49</f>
        <v>6</v>
      </c>
      <c r="F54" s="160" t="n">
        <f aca="false" ca="false" dt2D="false" dtr="false" t="normal">F49</f>
        <v>2</v>
      </c>
      <c r="G54" s="161" t="n">
        <f aca="false" ca="false" dt2D="false" dtr="false" t="normal">G49</f>
        <v>1</v>
      </c>
      <c r="H54" s="162" t="n">
        <f aca="false" ca="false" dt2D="false" dtr="false" t="normal">BIN2HEX(H55, 2)</f>
        <v>0</v>
      </c>
      <c r="I54" s="163" t="n">
        <f aca="false" ca="false" dt2D="false" dtr="false" t="normal">BIN2HEX(I55, 2)</f>
        <v>0</v>
      </c>
      <c r="J54" s="164" t="n">
        <f aca="false" ca="false" dt2D="false" dtr="false" t="normal">BIN2HEX(J55, 2)</f>
        <v>0</v>
      </c>
      <c r="K54" s="165" t="n">
        <f aca="false" ca="false" dt2D="false" dtr="false" t="normal">BIN2HEX(K55, 2)</f>
        <v>0</v>
      </c>
      <c r="L54" s="288" t="n">
        <f aca="false" ca="false" dt2D="false" dtr="false" t="normal">BIN2HEX(L55, 2)</f>
        <v>0</v>
      </c>
      <c r="M54" s="166" t="n">
        <f aca="false" ca="false" dt2D="false" dtr="false" t="normal">IF(LEN(M55)&gt;2, MID(M55, 2, 2), M55)</f>
        <v>10</v>
      </c>
      <c r="N54" s="63" t="s">
        <v>181</v>
      </c>
      <c r="P54" s="136" t="n">
        <f aca="false" ca="false" dt2D="false" dtr="false" t="normal">MID(H50, 5, 1)</f>
        <v>0</v>
      </c>
      <c r="Q54" s="137" t="n">
        <f aca="false" ca="false" dt2D="false" dtr="false" t="normal">P54</f>
        <v>0</v>
      </c>
      <c r="R54" s="120" t="s">
        <v>200</v>
      </c>
      <c r="S54" s="276" t="s">
        <v>674</v>
      </c>
      <c r="T54" s="209" t="n">
        <f aca="false" ca="false" dt2D="false" dtr="false" t="normal">MID(I50, 5, 1)</f>
        <v>0</v>
      </c>
      <c r="U54" s="137" t="n">
        <f aca="false" ca="false" dt2D="false" dtr="false" t="normal">T54</f>
        <v>0</v>
      </c>
      <c r="V54" s="120" t="s">
        <v>200</v>
      </c>
      <c r="W54" s="131" t="s">
        <v>196</v>
      </c>
      <c r="X54" s="209" t="n">
        <f aca="false" ca="false" dt2D="false" dtr="false" t="normal">MID(J50, 5, 1)</f>
        <v>0</v>
      </c>
      <c r="Y54" s="137" t="n">
        <f aca="false" ca="false" dt2D="false" dtr="false" t="normal">X54</f>
        <v>0</v>
      </c>
      <c r="Z54" s="120" t="s">
        <v>200</v>
      </c>
      <c r="AA54" s="1092" t="s"/>
      <c r="AB54" s="209" t="n">
        <f aca="false" ca="false" dt2D="false" dtr="false" t="normal">MID(K50, 5, 1)</f>
        <v>0</v>
      </c>
      <c r="AC54" s="137" t="n">
        <f aca="false" ca="false" dt2D="false" dtr="false" t="normal">AB54</f>
        <v>0</v>
      </c>
      <c r="AD54" s="120" t="s">
        <v>200</v>
      </c>
      <c r="AE54" s="131" t="s">
        <v>196</v>
      </c>
      <c r="AF54" s="136" t="n">
        <f aca="false" ca="false" dt2D="false" dtr="false" t="normal">MID(L50, 5, 1)</f>
        <v>0</v>
      </c>
      <c r="AG54" s="137" t="n">
        <f aca="false" ca="false" dt2D="false" dtr="false" t="normal">AF54</f>
        <v>0</v>
      </c>
      <c r="AH54" s="120" t="s">
        <v>200</v>
      </c>
      <c r="AI54" s="1093" t="s"/>
      <c r="AJ54" s="1094" t="s"/>
      <c r="AK54" s="1095" t="s"/>
    </row>
    <row hidden="false" ht="15" outlineLevel="0" r="55">
      <c r="C55" s="98" t="s">
        <v>185</v>
      </c>
      <c r="D55" s="53" t="n">
        <f aca="false" ca="false" dt2D="false" dtr="false" t="normal">HEX2BIN(D54, 8)</f>
        <v>111</v>
      </c>
      <c r="E55" s="53" t="n">
        <f aca="false" ca="false" dt2D="false" dtr="false" t="normal">HEX2BIN(E54, 8)</f>
        <v>110</v>
      </c>
      <c r="F55" s="53" t="n">
        <f aca="false" ca="false" dt2D="false" dtr="false" t="normal">HEX2BIN(F54, 8)</f>
        <v>10</v>
      </c>
      <c r="G55" s="53" t="n">
        <f aca="false" ca="false" dt2D="false" dtr="false" t="normal">HEX2BIN(G54, 8)</f>
        <v>1</v>
      </c>
      <c r="H55" s="171" t="n">
        <f aca="false" ca="false" dt2D="false" dtr="false" t="normal">Q50&amp;Q51&amp;Q52&amp;Q53&amp;Q54&amp;Q55&amp;Q56&amp;Q57</f>
        <v>0</v>
      </c>
      <c r="I55" s="53" t="n">
        <f aca="false" ca="false" dt2D="false" dtr="false" t="normal">U50&amp;U51&amp;U52&amp;U53&amp;U54&amp;U55&amp;U56&amp;U57</f>
        <v>0</v>
      </c>
      <c r="J55" s="171" t="n">
        <f aca="false" ca="false" dt2D="false" dtr="false" t="normal">Y50&amp;Y51&amp;Y52&amp;Y53&amp;Y54&amp;Y55&amp;Y56&amp;Y57</f>
        <v>0</v>
      </c>
      <c r="K55" s="171" t="n">
        <f aca="false" ca="false" dt2D="false" dtr="false" t="normal">AC50&amp;AC51&amp;AC52&amp;AC53&amp;AC54&amp;AC55&amp;AC56&amp;AC57</f>
        <v>0</v>
      </c>
      <c r="L55" s="53" t="n">
        <f aca="false" ca="false" dt2D="false" dtr="false" t="normal">AG50&amp;AG51&amp;AG52&amp;AG53&amp;AG54&amp;AG55&amp;AG56&amp;AG57</f>
        <v>0</v>
      </c>
      <c r="M55" s="53" t="n">
        <f aca="false" ca="false" dt2D="false" dtr="false" t="normal">DEC2HEX(M56)</f>
        <v>10</v>
      </c>
      <c r="N55" s="63" t="n"/>
      <c r="P55" s="136" t="n">
        <f aca="false" ca="false" dt2D="false" dtr="false" t="normal">MID(H50, 6, 1)</f>
        <v>0</v>
      </c>
      <c r="Q55" s="137" t="n">
        <f aca="false" ca="false" dt2D="false" dtr="false" t="normal">P55</f>
        <v>0</v>
      </c>
      <c r="R55" s="120" t="s">
        <v>203</v>
      </c>
      <c r="S55" s="1096" t="s"/>
      <c r="T55" s="209" t="n">
        <f aca="false" ca="false" dt2D="false" dtr="false" t="normal">MID(I50, 6, 1)</f>
        <v>0</v>
      </c>
      <c r="U55" s="137" t="n">
        <f aca="false" ca="false" dt2D="false" dtr="false" t="normal">T55</f>
        <v>0</v>
      </c>
      <c r="V55" s="120" t="s">
        <v>203</v>
      </c>
      <c r="W55" s="131" t="s">
        <v>196</v>
      </c>
      <c r="X55" s="209" t="n">
        <f aca="false" ca="false" dt2D="false" dtr="false" t="normal">MID(J50, 6, 1)</f>
        <v>0</v>
      </c>
      <c r="Y55" s="137" t="n">
        <f aca="false" ca="false" dt2D="false" dtr="false" t="normal">X55</f>
        <v>0</v>
      </c>
      <c r="Z55" s="120" t="s">
        <v>203</v>
      </c>
      <c r="AA55" s="131" t="s">
        <v>196</v>
      </c>
      <c r="AB55" s="209" t="n">
        <f aca="false" ca="false" dt2D="false" dtr="false" t="normal">MID(K50, 6, 1)</f>
        <v>0</v>
      </c>
      <c r="AC55" s="137" t="n">
        <f aca="false" ca="false" dt2D="false" dtr="false" t="normal">AB55</f>
        <v>0</v>
      </c>
      <c r="AD55" s="120" t="s">
        <v>203</v>
      </c>
      <c r="AE55" s="131" t="s">
        <v>196</v>
      </c>
      <c r="AF55" s="136" t="n">
        <f aca="false" ca="false" dt2D="false" dtr="false" t="normal">MID(L50, 6, 1)</f>
        <v>0</v>
      </c>
      <c r="AG55" s="137" t="n">
        <f aca="false" ca="false" dt2D="false" dtr="false" t="normal">AF55</f>
        <v>0</v>
      </c>
      <c r="AH55" s="120" t="s">
        <v>203</v>
      </c>
      <c r="AI55" s="921" t="s">
        <v>675</v>
      </c>
      <c r="AJ55" s="1097" t="s"/>
      <c r="AK55" s="1098" t="s"/>
    </row>
    <row hidden="false" ht="15" outlineLevel="0" r="56">
      <c r="C56" s="98" t="s">
        <v>191</v>
      </c>
      <c r="D56" s="53" t="n">
        <f aca="false" ca="false" dt2D="false" dtr="false" t="normal">HEX2DEC(D54)</f>
        <v>7</v>
      </c>
      <c r="E56" s="53" t="n">
        <f aca="false" ca="false" dt2D="false" dtr="false" t="normal">HEX2DEC(E54)</f>
        <v>6</v>
      </c>
      <c r="F56" s="53" t="n">
        <f aca="false" ca="false" dt2D="false" dtr="false" t="normal">HEX2DEC(F54)</f>
        <v>2</v>
      </c>
      <c r="G56" s="53" t="n">
        <f aca="false" ca="false" dt2D="false" dtr="false" t="normal">HEX2DEC(G54)</f>
        <v>1</v>
      </c>
      <c r="H56" s="53" t="n">
        <f aca="false" ca="false" dt2D="false" dtr="false" t="normal">HEX2DEC(H54)</f>
        <v>0</v>
      </c>
      <c r="I56" s="53" t="n">
        <f aca="false" ca="false" dt2D="false" dtr="false" t="normal">HEX2DEC(I54)</f>
        <v>0</v>
      </c>
      <c r="J56" s="53" t="n">
        <f aca="false" ca="false" dt2D="false" dtr="false" t="normal">HEX2DEC(J54)</f>
        <v>0</v>
      </c>
      <c r="K56" s="53" t="n">
        <f aca="false" ca="false" dt2D="false" dtr="false" t="normal">HEX2DEC(K54)</f>
        <v>0</v>
      </c>
      <c r="L56" s="53" t="n">
        <f aca="false" ca="false" dt2D="false" dtr="false" t="normal">HEX2DEC(L54)</f>
        <v>0</v>
      </c>
      <c r="M56" s="53" t="n">
        <f aca="false" ca="false" dt2D="false" dtr="false" t="normal">SUM(D56:L56)</f>
        <v>16</v>
      </c>
      <c r="N56" s="63" t="n"/>
      <c r="P56" s="136" t="n">
        <f aca="false" ca="false" dt2D="false" dtr="false" t="normal">MID(H50, 7, 1)</f>
        <v>0</v>
      </c>
      <c r="Q56" s="137" t="n">
        <f aca="false" ca="false" dt2D="false" dtr="false" t="normal">P56</f>
        <v>0</v>
      </c>
      <c r="R56" s="120" t="s">
        <v>206</v>
      </c>
      <c r="S56" s="131" t="s">
        <v>196</v>
      </c>
      <c r="T56" s="209" t="n">
        <f aca="false" ca="false" dt2D="false" dtr="false" t="normal">MID(I50, 7, 1)</f>
        <v>0</v>
      </c>
      <c r="U56" s="137" t="n">
        <f aca="false" ca="false" dt2D="false" dtr="false" t="normal">T56</f>
        <v>0</v>
      </c>
      <c r="V56" s="120" t="s">
        <v>206</v>
      </c>
      <c r="W56" s="131" t="s">
        <v>196</v>
      </c>
      <c r="X56" s="209" t="n">
        <f aca="false" ca="false" dt2D="false" dtr="false" t="normal">MID(J50, 7, 1)</f>
        <v>0</v>
      </c>
      <c r="Y56" s="137" t="n">
        <f aca="false" ca="false" dt2D="false" dtr="false" t="normal">X56</f>
        <v>0</v>
      </c>
      <c r="Z56" s="120" t="s">
        <v>206</v>
      </c>
      <c r="AA56" s="131" t="s">
        <v>196</v>
      </c>
      <c r="AB56" s="209" t="n">
        <f aca="false" ca="false" dt2D="false" dtr="false" t="normal">MID(K50, 7, 1)</f>
        <v>0</v>
      </c>
      <c r="AC56" s="137" t="n">
        <f aca="false" ca="false" dt2D="false" dtr="false" t="normal">AB56</f>
        <v>0</v>
      </c>
      <c r="AD56" s="120" t="s">
        <v>206</v>
      </c>
      <c r="AE56" s="131" t="s">
        <v>196</v>
      </c>
      <c r="AF56" s="136" t="n">
        <f aca="false" ca="false" dt2D="false" dtr="false" t="normal">MID(L50, 7, 1)</f>
        <v>0</v>
      </c>
      <c r="AG56" s="137" t="n">
        <f aca="false" ca="false" dt2D="false" dtr="false" t="normal">AF56</f>
        <v>0</v>
      </c>
      <c r="AH56" s="120" t="s">
        <v>206</v>
      </c>
      <c r="AI56" s="131" t="s">
        <v>196</v>
      </c>
      <c r="AJ56" s="1099" t="s"/>
      <c r="AK56" s="1100" t="s"/>
    </row>
    <row hidden="false" ht="15.75" outlineLevel="0" r="57">
      <c r="C57" s="180" t="s">
        <v>194</v>
      </c>
      <c r="D57" s="299" t="n">
        <f aca="false" ca="false" dt2D="false" dtr="false" t="normal">D52</f>
        <v>7</v>
      </c>
      <c r="E57" s="299" t="n">
        <f aca="false" ca="false" dt2D="false" dtr="false" t="normal">E52</f>
        <v>6</v>
      </c>
      <c r="F57" s="299" t="str">
        <f aca="false" ca="false" dt2D="false" dtr="false" t="normal">F52</f>
        <v>G2</v>
      </c>
      <c r="G57" s="299" t="str">
        <f aca="false" ca="false" dt2D="false" dtr="false" t="normal">G52</f>
        <v>G1</v>
      </c>
      <c r="H57" s="45" t="n"/>
      <c r="I57" s="45" t="n"/>
      <c r="J57" s="45" t="n"/>
      <c r="K57" s="45" t="n"/>
      <c r="L57" s="45" t="n"/>
      <c r="M57" s="45" t="n"/>
      <c r="N57" s="49" t="n"/>
      <c r="P57" s="182" t="n">
        <f aca="false" ca="false" dt2D="false" dtr="false" t="normal">MID(H50, 8, 1)</f>
        <v>0</v>
      </c>
      <c r="Q57" s="183" t="n">
        <f aca="false" ca="false" dt2D="false" dtr="false" t="normal">P57</f>
        <v>0</v>
      </c>
      <c r="R57" s="184" t="s">
        <v>208</v>
      </c>
      <c r="S57" s="185" t="s">
        <v>196</v>
      </c>
      <c r="T57" s="300" t="n">
        <f aca="false" ca="false" dt2D="false" dtr="false" t="normal">MID(I50, 8, 1)</f>
        <v>0</v>
      </c>
      <c r="U57" s="183" t="n">
        <f aca="false" ca="false" dt2D="false" dtr="false" t="normal">T57</f>
        <v>0</v>
      </c>
      <c r="V57" s="184" t="s">
        <v>208</v>
      </c>
      <c r="W57" s="185" t="s">
        <v>196</v>
      </c>
      <c r="X57" s="300" t="n">
        <f aca="false" ca="false" dt2D="false" dtr="false" t="normal">MID(J50, 8, 1)</f>
        <v>0</v>
      </c>
      <c r="Y57" s="183" t="n">
        <f aca="false" ca="false" dt2D="false" dtr="false" t="normal">X57</f>
        <v>0</v>
      </c>
      <c r="Z57" s="184" t="s">
        <v>208</v>
      </c>
      <c r="AA57" s="185" t="s">
        <v>196</v>
      </c>
      <c r="AB57" s="300" t="n">
        <f aca="false" ca="false" dt2D="false" dtr="false" t="normal">MID(K50, 8, 1)</f>
        <v>0</v>
      </c>
      <c r="AC57" s="183" t="n">
        <f aca="false" ca="false" dt2D="false" dtr="false" t="normal">AB57</f>
        <v>0</v>
      </c>
      <c r="AD57" s="184" t="s">
        <v>208</v>
      </c>
      <c r="AE57" s="185" t="s">
        <v>196</v>
      </c>
      <c r="AF57" s="182" t="n">
        <f aca="false" ca="false" dt2D="false" dtr="false" t="normal">MID(L50, 8, 1)</f>
        <v>0</v>
      </c>
      <c r="AG57" s="183" t="n">
        <f aca="false" ca="false" dt2D="false" dtr="false" t="normal">AF57</f>
        <v>0</v>
      </c>
      <c r="AH57" s="184" t="s">
        <v>208</v>
      </c>
      <c r="AI57" s="185" t="s">
        <v>196</v>
      </c>
      <c r="AJ57" s="1101" t="s"/>
      <c r="AK57" s="1102" t="s"/>
    </row>
    <row hidden="false" ht="15.75" outlineLevel="0" r="58">
      <c r="C58" s="93" t="n"/>
      <c r="D58" s="94" t="n"/>
      <c r="E58" s="94" t="n"/>
      <c r="F58" s="94" t="n"/>
      <c r="G58" s="94" t="n"/>
      <c r="H58" s="94" t="n"/>
      <c r="I58" s="94" t="s">
        <v>161</v>
      </c>
      <c r="J58" s="94" t="n"/>
      <c r="K58" s="94" t="n"/>
      <c r="L58" s="94" t="n"/>
      <c r="N58" s="60" t="n"/>
      <c r="P58" s="95" t="str">
        <f aca="false" ca="false" dt2D="false" dtr="false" t="normal">RIGHT(D60, 1)&amp;E60&amp;"-"&amp;F60&amp;"-"&amp;G60</f>
        <v>706-02-02</v>
      </c>
      <c r="Q58" s="1103" t="s"/>
      <c r="R58" s="97" t="s">
        <v>676</v>
      </c>
      <c r="S58" s="97" t="s"/>
      <c r="T58" s="97" t="s"/>
      <c r="U58" s="97" t="s"/>
      <c r="V58" s="97" t="s"/>
      <c r="W58" s="97" t="s"/>
      <c r="X58" s="97" t="s"/>
      <c r="Y58" s="97" t="s"/>
      <c r="Z58" s="97" t="s"/>
      <c r="AA58" s="97" t="s"/>
      <c r="AB58" s="97" t="s"/>
      <c r="AC58" s="97" t="s"/>
      <c r="AD58" s="97" t="s"/>
      <c r="AE58" s="97" t="s"/>
      <c r="AF58" s="97" t="s"/>
      <c r="AG58" s="97" t="s"/>
      <c r="AH58" s="97" t="s"/>
      <c r="AI58" s="97" t="s"/>
      <c r="AJ58" s="97" t="s"/>
      <c r="AK58" s="97" t="s"/>
    </row>
    <row hidden="false" ht="15.75" outlineLevel="0" r="59">
      <c r="C59" s="98" t="n"/>
      <c r="D59" s="99" t="s">
        <v>677</v>
      </c>
      <c r="E59" s="1104" t="s"/>
      <c r="F59" s="1105" t="s"/>
      <c r="G59" s="1106" t="s"/>
      <c r="H59" s="53" t="s">
        <v>165</v>
      </c>
      <c r="I59" s="53" t="s">
        <v>166</v>
      </c>
      <c r="J59" s="53" t="n"/>
      <c r="K59" s="53" t="n"/>
      <c r="L59" s="53" t="n"/>
      <c r="M59" s="53" t="n"/>
      <c r="N59" s="63" t="n"/>
      <c r="P59" s="103" t="s">
        <v>678</v>
      </c>
      <c r="Q59" s="1107" t="s"/>
      <c r="R59" s="1108" t="s"/>
      <c r="S59" s="1109" t="s"/>
      <c r="T59" s="116" t="s">
        <v>679</v>
      </c>
      <c r="U59" s="1110" t="s"/>
      <c r="V59" s="1111" t="s"/>
      <c r="W59" s="1112" t="s"/>
      <c r="X59" s="120" t="n"/>
      <c r="Y59" s="121" t="n"/>
      <c r="Z59" s="121" t="n"/>
      <c r="AA59" s="121" t="n"/>
      <c r="AB59" s="121" t="n"/>
      <c r="AC59" s="121" t="n"/>
      <c r="AD59" s="121" t="n"/>
      <c r="AE59" s="121" t="n"/>
      <c r="AF59" s="121" t="n"/>
      <c r="AG59" s="121" t="n"/>
      <c r="AH59" s="121" t="n"/>
      <c r="AI59" s="121" t="n"/>
      <c r="AJ59" s="121" t="n"/>
      <c r="AK59" s="121" t="n"/>
    </row>
    <row hidden="false" ht="15.75" outlineLevel="0" r="60">
      <c r="C60" s="98" t="s">
        <v>176</v>
      </c>
      <c r="D60" s="122" t="s">
        <v>177</v>
      </c>
      <c r="E60" s="123" t="s">
        <v>358</v>
      </c>
      <c r="F60" s="123" t="s">
        <v>216</v>
      </c>
      <c r="G60" s="124" t="s">
        <v>216</v>
      </c>
      <c r="H60" s="411" t="n">
        <f aca="false" ca="false" dt2D="false" dtr="false" t="normal">MID($A$10, 8, 2)</f>
        <v>0</v>
      </c>
      <c r="I60" s="128" t="n">
        <f aca="false" ca="false" dt2D="false" dtr="false" t="normal">MID($A$10, 10, 2)</f>
        <v>11</v>
      </c>
      <c r="N60" s="63" t="s">
        <v>180</v>
      </c>
      <c r="P60" s="129" t="s">
        <v>180</v>
      </c>
      <c r="Q60" s="130" t="s">
        <v>181</v>
      </c>
      <c r="R60" s="121" t="s">
        <v>182</v>
      </c>
      <c r="S60" s="131" t="n"/>
      <c r="T60" s="116" t="n"/>
      <c r="U60" s="1113" t="s"/>
      <c r="V60" s="1114" t="s"/>
      <c r="W60" s="1115" t="s"/>
      <c r="X60" s="121" t="n"/>
      <c r="Y60" s="121" t="n"/>
      <c r="Z60" s="121" t="n"/>
      <c r="AA60" s="121" t="n"/>
      <c r="AB60" s="121" t="n"/>
      <c r="AC60" s="121" t="n"/>
      <c r="AD60" s="121" t="n"/>
      <c r="AE60" s="121" t="n"/>
      <c r="AF60" s="121" t="n"/>
      <c r="AG60" s="121" t="n"/>
      <c r="AH60" s="121" t="n"/>
      <c r="AI60" s="121" t="n"/>
      <c r="AJ60" s="121" t="n"/>
      <c r="AK60" s="121" t="n"/>
    </row>
    <row customHeight="true" hidden="false" ht="15" outlineLevel="0" r="61">
      <c r="C61" s="98" t="s">
        <v>185</v>
      </c>
      <c r="D61" s="53" t="n">
        <f aca="false" ca="false" dt2D="false" dtr="false" t="normal">HEX2BIN(D60, 8)</f>
        <v>111</v>
      </c>
      <c r="E61" s="53" t="n">
        <f aca="false" ca="false" dt2D="false" dtr="false" t="normal">HEX2BIN(E60, 8)</f>
        <v>110</v>
      </c>
      <c r="F61" s="53" t="n">
        <f aca="false" ca="false" dt2D="false" dtr="false" t="normal">HEX2BIN(F60, 8)</f>
        <v>10</v>
      </c>
      <c r="G61" s="53" t="n">
        <f aca="false" ca="false" dt2D="false" dtr="false" t="normal">HEX2BIN(G60, 8)</f>
        <v>10</v>
      </c>
      <c r="H61" s="53" t="n">
        <f aca="false" ca="false" dt2D="false" dtr="false" t="normal">HEX2BIN(H60, 8)</f>
        <v>0</v>
      </c>
      <c r="I61" s="53" t="n"/>
      <c r="N61" s="63" t="n"/>
      <c r="P61" s="136" t="n">
        <f aca="false" ca="false" dt2D="false" dtr="false" t="normal">MID(H61, 1, 1)</f>
        <v>0</v>
      </c>
      <c r="Q61" s="137" t="n">
        <f aca="false" ca="false" dt2D="false" dtr="false" t="normal">P61</f>
        <v>0</v>
      </c>
      <c r="R61" s="120" t="s">
        <v>186</v>
      </c>
      <c r="S61" s="131" t="s">
        <v>196</v>
      </c>
      <c r="T61" s="1116" t="s"/>
      <c r="U61" s="142" t="s"/>
      <c r="V61" s="142" t="s"/>
      <c r="W61" s="1117" t="s"/>
      <c r="X61" s="121" t="n"/>
      <c r="Y61" s="121" t="n"/>
      <c r="Z61" s="121" t="n"/>
      <c r="AA61" s="121" t="n"/>
      <c r="AB61" s="121" t="n"/>
      <c r="AC61" s="121" t="n"/>
      <c r="AD61" s="121" t="n"/>
      <c r="AE61" s="121" t="n"/>
      <c r="AF61" s="121" t="n"/>
      <c r="AG61" s="121" t="n"/>
      <c r="AH61" s="121" t="n"/>
      <c r="AI61" s="121" t="n"/>
      <c r="AJ61" s="121" t="n"/>
      <c r="AK61" s="121" t="n"/>
    </row>
    <row hidden="false" ht="15" outlineLevel="0" r="62">
      <c r="C62" s="98" t="s">
        <v>191</v>
      </c>
      <c r="D62" s="53" t="n">
        <f aca="false" ca="false" dt2D="false" dtr="false" t="normal">HEX2DEC(D60)</f>
        <v>7</v>
      </c>
      <c r="E62" s="53" t="n">
        <f aca="false" ca="false" dt2D="false" dtr="false" t="normal">HEX2DEC(E60)</f>
        <v>6</v>
      </c>
      <c r="F62" s="53" t="n">
        <f aca="false" ca="false" dt2D="false" dtr="false" t="normal">HEX2DEC(F60)</f>
        <v>2</v>
      </c>
      <c r="G62" s="53" t="n">
        <f aca="false" ca="false" dt2D="false" dtr="false" t="normal">HEX2DEC(G60)</f>
        <v>2</v>
      </c>
      <c r="H62" s="53" t="n">
        <f aca="false" ca="false" dt2D="false" dtr="false" t="normal">HEX2DEC(H60)</f>
        <v>0</v>
      </c>
      <c r="I62" s="53" t="n">
        <f aca="false" ca="false" dt2D="false" dtr="false" t="normal">SUM(D62:H62)</f>
        <v>17</v>
      </c>
      <c r="N62" s="63" t="n"/>
      <c r="P62" s="136" t="n">
        <f aca="false" ca="false" dt2D="false" dtr="false" t="normal">MID(H61, 2, 1)</f>
        <v>0</v>
      </c>
      <c r="Q62" s="137" t="n">
        <f aca="false" ca="false" dt2D="false" dtr="false" t="normal">P62</f>
        <v>0</v>
      </c>
      <c r="R62" s="120" t="s">
        <v>192</v>
      </c>
      <c r="S62" s="131" t="s">
        <v>196</v>
      </c>
      <c r="T62" s="1118" t="s"/>
      <c r="U62" s="142" t="s"/>
      <c r="V62" s="142" t="s"/>
      <c r="W62" s="1119" t="s"/>
      <c r="X62" s="121" t="n"/>
      <c r="Y62" s="121" t="n"/>
      <c r="Z62" s="121" t="n"/>
      <c r="AA62" s="121" t="n"/>
      <c r="AB62" s="121" t="n"/>
      <c r="AC62" s="121" t="n"/>
      <c r="AD62" s="121" t="n"/>
      <c r="AE62" s="121" t="n"/>
      <c r="AF62" s="121" t="n"/>
      <c r="AG62" s="121" t="n"/>
      <c r="AH62" s="121" t="n"/>
      <c r="AI62" s="121" t="n"/>
      <c r="AJ62" s="121" t="n"/>
      <c r="AK62" s="121" t="n"/>
    </row>
    <row hidden="false" ht="15" outlineLevel="0" r="63">
      <c r="C63" s="98" t="s">
        <v>194</v>
      </c>
      <c r="D63" s="149" t="n">
        <f aca="false" ca="false" dt2D="false" dtr="false" t="normal">D60</f>
        <v>7</v>
      </c>
      <c r="E63" s="149" t="n">
        <f aca="false" ca="false" dt2D="false" dtr="false" t="normal">E60</f>
        <v>6</v>
      </c>
      <c r="F63" s="53" t="str">
        <f aca="false" ca="false" dt2D="false" dtr="false" t="normal">MID($A$10, 4, 2)</f>
        <v>G2</v>
      </c>
      <c r="G63" s="53" t="str">
        <f aca="false" ca="false" dt2D="false" dtr="false" t="normal">MID($A$10, 6, 2)</f>
        <v>G2</v>
      </c>
      <c r="N63" s="63" t="n"/>
      <c r="P63" s="136" t="n">
        <f aca="false" ca="false" dt2D="false" dtr="false" t="normal">MID(H61, 3, 1)</f>
        <v>0</v>
      </c>
      <c r="Q63" s="137" t="n">
        <f aca="false" ca="false" dt2D="false" dtr="false" t="normal">P63</f>
        <v>0</v>
      </c>
      <c r="R63" s="120" t="s">
        <v>195</v>
      </c>
      <c r="S63" s="131" t="s">
        <v>196</v>
      </c>
      <c r="T63" s="1120" t="s"/>
      <c r="U63" s="142" t="s"/>
      <c r="V63" s="142" t="s"/>
      <c r="W63" s="1121" t="s"/>
      <c r="X63" s="121" t="n"/>
      <c r="Y63" s="121" t="n"/>
      <c r="Z63" s="121" t="n"/>
      <c r="AA63" s="121" t="n"/>
      <c r="AB63" s="121" t="n"/>
      <c r="AC63" s="121" t="n"/>
      <c r="AD63" s="121" t="n"/>
      <c r="AE63" s="121" t="n"/>
      <c r="AF63" s="121" t="n"/>
      <c r="AG63" s="121" t="n"/>
      <c r="AH63" s="121" t="n"/>
      <c r="AI63" s="121" t="n"/>
      <c r="AJ63" s="121" t="n"/>
      <c r="AK63" s="121" t="n"/>
    </row>
    <row customHeight="true" hidden="false" ht="15.75" outlineLevel="0" r="64">
      <c r="C64" s="98" t="n"/>
      <c r="N64" s="63" t="n"/>
      <c r="P64" s="136" t="n">
        <f aca="false" ca="false" dt2D="false" dtr="false" t="normal">MID(H61, 4, 1)</f>
        <v>0</v>
      </c>
      <c r="Q64" s="137" t="n">
        <f aca="false" ca="false" dt2D="false" dtr="false" t="normal">P64</f>
        <v>0</v>
      </c>
      <c r="R64" s="120" t="s">
        <v>197</v>
      </c>
      <c r="S64" s="131" t="s">
        <v>196</v>
      </c>
      <c r="T64" s="1122" t="s"/>
      <c r="U64" s="142" t="s"/>
      <c r="V64" s="142" t="s"/>
      <c r="W64" s="1123" t="s"/>
      <c r="X64" s="121" t="n"/>
      <c r="Y64" s="121" t="n"/>
      <c r="Z64" s="121" t="n"/>
      <c r="AA64" s="121" t="n"/>
      <c r="AB64" s="121" t="n"/>
      <c r="AC64" s="121" t="n"/>
      <c r="AD64" s="121" t="n"/>
      <c r="AE64" s="121" t="n"/>
      <c r="AF64" s="121" t="n"/>
      <c r="AG64" s="121" t="n"/>
      <c r="AH64" s="121" t="n"/>
      <c r="AI64" s="121" t="n"/>
      <c r="AJ64" s="121" t="n"/>
      <c r="AK64" s="121" t="n"/>
    </row>
    <row customHeight="true" hidden="false" ht="15.75" outlineLevel="0" r="65">
      <c r="C65" s="98" t="s">
        <v>176</v>
      </c>
      <c r="D65" s="159" t="n">
        <f aca="false" ca="false" dt2D="false" dtr="false" t="normal">D60</f>
        <v>7</v>
      </c>
      <c r="E65" s="160" t="n">
        <f aca="false" ca="false" dt2D="false" dtr="false" t="normal">E60</f>
        <v>6</v>
      </c>
      <c r="F65" s="160" t="n">
        <f aca="false" ca="false" dt2D="false" dtr="false" t="normal">F60</f>
        <v>2</v>
      </c>
      <c r="G65" s="161" t="n">
        <f aca="false" ca="false" dt2D="false" dtr="false" t="normal">G60</f>
        <v>2</v>
      </c>
      <c r="H65" s="162" t="n">
        <f aca="false" ca="false" dt2D="false" dtr="false" t="normal">BIN2HEX(H66, 2)</f>
        <v>0</v>
      </c>
      <c r="I65" s="422" t="n">
        <f aca="false" ca="false" dt2D="false" dtr="false" t="normal">IF(LEN(I66)&gt;2, MID(I66, 2, 2), I66)</f>
        <v>11</v>
      </c>
      <c r="N65" s="63" t="s">
        <v>181</v>
      </c>
      <c r="P65" s="136" t="n">
        <f aca="false" ca="false" dt2D="false" dtr="false" t="normal">MID(H61, 5, 1)</f>
        <v>0</v>
      </c>
      <c r="Q65" s="137" t="n">
        <f aca="false" ca="false" dt2D="false" dtr="false" t="normal">P65</f>
        <v>0</v>
      </c>
      <c r="R65" s="120" t="s">
        <v>200</v>
      </c>
      <c r="S65" s="131" t="s">
        <v>196</v>
      </c>
      <c r="T65" s="1124" t="s"/>
      <c r="U65" s="142" t="s"/>
      <c r="V65" s="142" t="s"/>
      <c r="W65" s="1125" t="s"/>
      <c r="X65" s="121" t="n"/>
      <c r="Y65" s="121" t="n"/>
      <c r="Z65" s="121" t="n"/>
      <c r="AA65" s="121" t="n"/>
      <c r="AB65" s="121" t="n"/>
      <c r="AC65" s="121" t="n"/>
      <c r="AD65" s="121" t="n"/>
      <c r="AE65" s="121" t="n"/>
      <c r="AF65" s="121" t="n"/>
      <c r="AG65" s="121" t="n"/>
      <c r="AH65" s="121" t="n"/>
      <c r="AI65" s="121" t="n"/>
      <c r="AJ65" s="121" t="n"/>
      <c r="AK65" s="121" t="n"/>
    </row>
    <row hidden="false" ht="15" outlineLevel="0" r="66">
      <c r="C66" s="98" t="s">
        <v>185</v>
      </c>
      <c r="D66" s="53" t="n">
        <f aca="false" ca="false" dt2D="false" dtr="false" t="normal">HEX2BIN(D65, 8)</f>
        <v>111</v>
      </c>
      <c r="E66" s="53" t="n">
        <f aca="false" ca="false" dt2D="false" dtr="false" t="normal">HEX2BIN(E65, 8)</f>
        <v>110</v>
      </c>
      <c r="F66" s="53" t="n">
        <f aca="false" ca="false" dt2D="false" dtr="false" t="normal">HEX2BIN(F65, 8)</f>
        <v>10</v>
      </c>
      <c r="G66" s="53" t="n">
        <f aca="false" ca="false" dt2D="false" dtr="false" t="normal">HEX2BIN(G65, 8)</f>
        <v>10</v>
      </c>
      <c r="H66" s="171" t="n">
        <f aca="false" ca="false" dt2D="false" dtr="false" t="normal">Q61&amp;Q62&amp;Q63&amp;Q64&amp;Q65&amp;Q66&amp;Q67&amp;Q68</f>
        <v>0</v>
      </c>
      <c r="I66" s="53" t="n">
        <f aca="false" ca="false" dt2D="false" dtr="false" t="normal">DEC2HEX(I67)</f>
        <v>11</v>
      </c>
      <c r="N66" s="63" t="n"/>
      <c r="P66" s="136" t="n">
        <f aca="false" ca="false" dt2D="false" dtr="false" t="normal">MID(H61, 6, 1)</f>
        <v>0</v>
      </c>
      <c r="Q66" s="137" t="n">
        <f aca="false" ca="false" dt2D="false" dtr="false" t="normal">P66</f>
        <v>0</v>
      </c>
      <c r="R66" s="120" t="s">
        <v>203</v>
      </c>
      <c r="S66" s="131" t="s">
        <v>196</v>
      </c>
      <c r="T66" s="1126" t="s"/>
      <c r="U66" s="142" t="s"/>
      <c r="V66" s="142" t="s"/>
      <c r="W66" s="1127" t="s"/>
      <c r="X66" s="121" t="n"/>
      <c r="Y66" s="121" t="n"/>
      <c r="Z66" s="121" t="n"/>
      <c r="AA66" s="121" t="n"/>
      <c r="AB66" s="121" t="n"/>
      <c r="AC66" s="121" t="n"/>
      <c r="AD66" s="121" t="n"/>
      <c r="AE66" s="121" t="n"/>
      <c r="AF66" s="121" t="n"/>
      <c r="AG66" s="121" t="n"/>
      <c r="AH66" s="121" t="n"/>
      <c r="AI66" s="121" t="n"/>
      <c r="AJ66" s="121" t="n"/>
      <c r="AK66" s="121" t="n"/>
    </row>
    <row hidden="false" ht="15" outlineLevel="0" r="67">
      <c r="C67" s="98" t="s">
        <v>191</v>
      </c>
      <c r="D67" s="53" t="n">
        <f aca="false" ca="false" dt2D="false" dtr="false" t="normal">HEX2DEC(D65)</f>
        <v>7</v>
      </c>
      <c r="E67" s="53" t="n">
        <f aca="false" ca="false" dt2D="false" dtr="false" t="normal">HEX2DEC(E65)</f>
        <v>6</v>
      </c>
      <c r="F67" s="53" t="n">
        <f aca="false" ca="false" dt2D="false" dtr="false" t="normal">HEX2DEC(F65)</f>
        <v>2</v>
      </c>
      <c r="G67" s="53" t="n">
        <f aca="false" ca="false" dt2D="false" dtr="false" t="normal">HEX2DEC(G65)</f>
        <v>2</v>
      </c>
      <c r="H67" s="53" t="n">
        <f aca="false" ca="false" dt2D="false" dtr="false" t="normal">HEX2DEC(H65)</f>
        <v>0</v>
      </c>
      <c r="I67" s="53" t="n">
        <f aca="false" ca="false" dt2D="false" dtr="false" t="normal">SUM(D67:H67)</f>
        <v>17</v>
      </c>
      <c r="J67" s="53" t="n"/>
      <c r="K67" s="53" t="n"/>
      <c r="L67" s="53" t="n"/>
      <c r="M67" s="53" t="n"/>
      <c r="N67" s="63" t="n"/>
      <c r="P67" s="136" t="n">
        <f aca="false" ca="false" dt2D="false" dtr="false" t="normal">MID(H61, 7, 1)</f>
        <v>0</v>
      </c>
      <c r="Q67" s="137" t="n">
        <f aca="false" ca="false" dt2D="false" dtr="false" t="normal">P67</f>
        <v>0</v>
      </c>
      <c r="R67" s="120" t="s">
        <v>206</v>
      </c>
      <c r="S67" s="131" t="s">
        <v>196</v>
      </c>
      <c r="T67" s="1128" t="s"/>
      <c r="U67" s="142" t="s"/>
      <c r="V67" s="142" t="s"/>
      <c r="W67" s="1129" t="s"/>
      <c r="X67" s="121" t="n"/>
      <c r="Y67" s="121" t="n"/>
      <c r="Z67" s="121" t="n"/>
      <c r="AA67" s="121" t="n"/>
      <c r="AB67" s="121" t="n"/>
      <c r="AC67" s="121" t="n"/>
      <c r="AD67" s="121" t="n"/>
      <c r="AE67" s="121" t="n"/>
      <c r="AF67" s="121" t="n"/>
      <c r="AG67" s="121" t="n"/>
      <c r="AH67" s="121" t="n"/>
      <c r="AI67" s="121" t="n"/>
      <c r="AJ67" s="121" t="n"/>
      <c r="AK67" s="121" t="n"/>
    </row>
    <row hidden="false" ht="15.75" outlineLevel="0" r="68">
      <c r="C68" s="180" t="s">
        <v>194</v>
      </c>
      <c r="D68" s="299" t="n">
        <f aca="false" ca="false" dt2D="false" dtr="false" t="normal">D63</f>
        <v>7</v>
      </c>
      <c r="E68" s="299" t="n">
        <f aca="false" ca="false" dt2D="false" dtr="false" t="normal">E63</f>
        <v>6</v>
      </c>
      <c r="F68" s="299" t="str">
        <f aca="false" ca="false" dt2D="false" dtr="false" t="normal">F63</f>
        <v>G2</v>
      </c>
      <c r="G68" s="299" t="str">
        <f aca="false" ca="false" dt2D="false" dtr="false" t="normal">G63</f>
        <v>G2</v>
      </c>
      <c r="H68" s="45" t="n"/>
      <c r="I68" s="45" t="n"/>
      <c r="J68" s="45" t="n"/>
      <c r="K68" s="45" t="n"/>
      <c r="L68" s="45" t="n"/>
      <c r="M68" s="45" t="n"/>
      <c r="N68" s="49" t="n"/>
      <c r="P68" s="182" t="n">
        <f aca="false" ca="false" dt2D="false" dtr="false" t="normal">MID(H61, 8, 1)</f>
        <v>0</v>
      </c>
      <c r="Q68" s="183" t="n">
        <f aca="false" ca="false" dt2D="false" dtr="false" t="normal">P68</f>
        <v>0</v>
      </c>
      <c r="R68" s="184" t="s">
        <v>208</v>
      </c>
      <c r="S68" s="185" t="s">
        <v>196</v>
      </c>
      <c r="T68" s="1130" t="s"/>
      <c r="U68" s="1131" t="s"/>
      <c r="V68" s="1132" t="s"/>
      <c r="W68" s="1133" t="s"/>
      <c r="X68" s="121" t="n"/>
      <c r="Y68" s="121" t="n"/>
      <c r="Z68" s="121" t="n"/>
      <c r="AA68" s="121" t="n"/>
      <c r="AB68" s="121" t="n"/>
      <c r="AC68" s="121" t="n"/>
      <c r="AD68" s="121" t="n"/>
      <c r="AE68" s="121" t="n"/>
      <c r="AF68" s="121" t="n"/>
      <c r="AG68" s="121" t="n"/>
      <c r="AH68" s="121" t="n"/>
      <c r="AI68" s="121" t="n"/>
      <c r="AJ68" s="121" t="n"/>
      <c r="AK68" s="121" t="n"/>
    </row>
    <row hidden="false" ht="15" outlineLevel="0" r="69"/>
    <row hidden="false" ht="15" outlineLevel="0" r="70"/>
    <row hidden="false" ht="15" outlineLevel="0" r="71"/>
  </sheetData>
  <mergeCells count="69">
    <mergeCell ref="D15:G15"/>
    <mergeCell ref="P14:Q14"/>
    <mergeCell ref="P15:S15"/>
    <mergeCell ref="R14:AK14"/>
    <mergeCell ref="T15:W15"/>
    <mergeCell ref="X15:AA15"/>
    <mergeCell ref="AB15:AE15"/>
    <mergeCell ref="AF15:AI15"/>
    <mergeCell ref="AJ15:AK15"/>
    <mergeCell ref="C2:E2"/>
    <mergeCell ref="D4:G4"/>
    <mergeCell ref="P3:Q3"/>
    <mergeCell ref="P4:S4"/>
    <mergeCell ref="S7:S8"/>
    <mergeCell ref="AI7:AI9"/>
    <mergeCell ref="AJ5:AK13"/>
    <mergeCell ref="S10:S11"/>
    <mergeCell ref="T4:W4"/>
    <mergeCell ref="R3:AK3"/>
    <mergeCell ref="AJ4:AK4"/>
    <mergeCell ref="AB4:AE4"/>
    <mergeCell ref="AF4:AI4"/>
    <mergeCell ref="X4:AA4"/>
    <mergeCell ref="A1:B1"/>
    <mergeCell ref="C1:AK1"/>
    <mergeCell ref="AJ16:AK24"/>
    <mergeCell ref="AI19:AI20"/>
    <mergeCell ref="AJ26:AK26"/>
    <mergeCell ref="AF26:AI26"/>
    <mergeCell ref="W17:W24"/>
    <mergeCell ref="R25:AK25"/>
    <mergeCell ref="AB26:AE26"/>
    <mergeCell ref="X26:AA26"/>
    <mergeCell ref="P25:Q25"/>
    <mergeCell ref="P26:S26"/>
    <mergeCell ref="T26:W26"/>
    <mergeCell ref="D26:G26"/>
    <mergeCell ref="X38:AA46"/>
    <mergeCell ref="X48:AA48"/>
    <mergeCell ref="T48:W48"/>
    <mergeCell ref="P47:Q47"/>
    <mergeCell ref="P48:S48"/>
    <mergeCell ref="AB48:AE48"/>
    <mergeCell ref="R47:AK47"/>
    <mergeCell ref="AF48:AI48"/>
    <mergeCell ref="AJ48:AK48"/>
    <mergeCell ref="W50:W51"/>
    <mergeCell ref="AA50:AA51"/>
    <mergeCell ref="AJ49:AK57"/>
    <mergeCell ref="AI53:AI54"/>
    <mergeCell ref="T60:W68"/>
    <mergeCell ref="D37:G37"/>
    <mergeCell ref="P37:S37"/>
    <mergeCell ref="P36:Q36"/>
    <mergeCell ref="T37:W37"/>
    <mergeCell ref="X37:AA37"/>
    <mergeCell ref="R36:AK36"/>
    <mergeCell ref="W34:W35"/>
    <mergeCell ref="AJ27:AK35"/>
    <mergeCell ref="W28:W30"/>
    <mergeCell ref="S28:S30"/>
    <mergeCell ref="D59:G59"/>
    <mergeCell ref="R58:AK58"/>
    <mergeCell ref="S54:S55"/>
    <mergeCell ref="AA53:AA54"/>
    <mergeCell ref="P59:S59"/>
    <mergeCell ref="D48:G48"/>
    <mergeCell ref="T59:W59"/>
    <mergeCell ref="P58:Q58"/>
  </mergeCells>
  <conditionalFormatting pivot="false" sqref="U52:U56 Y52:Y56 AC52:AC56 AG52:AG56">
    <cfRule aboveAverage="true" bottom="false" dxfId="0" equalAverage="false" percent="false" priority="31" stopIfTrue="false" type="expression">
      <formula>U52:U58&lt;&gt;T52:T58</formula>
    </cfRule>
  </conditionalFormatting>
  <conditionalFormatting pivot="false" sqref="U50:U51 Y50:Y51 AC50:AC51 AG50:AG51">
    <cfRule aboveAverage="true" bottom="false" dxfId="0" equalAverage="false" percent="false" priority="30" stopIfTrue="false" type="expression">
      <formula>U50:U57&lt;&gt;T50:T57</formula>
    </cfRule>
  </conditionalFormatting>
  <conditionalFormatting pivot="false" sqref="B3:B10">
    <cfRule aboveAverage="true" bottom="false" dxfId="1" equalAverage="false" percent="false" priority="29" stopIfTrue="false" text="706G2" type="beginsWith">
      <formula>LEFT(B3,LEN("706G2"))="706G2"</formula>
    </cfRule>
  </conditionalFormatting>
  <conditionalFormatting pivot="false" sqref="B3:B10">
    <cfRule aboveAverage="true" bottom="false" dxfId="1" equalAverage="false" percent="false" priority="28" stopIfTrue="false" text="70602" type="beginsWith">
      <formula>LEFT(B3,LEN("70602"))="70602"</formula>
    </cfRule>
  </conditionalFormatting>
  <conditionalFormatting pivot="false" sqref="B3:B10">
    <cfRule aboveAverage="true" bottom="false" dxfId="2" equalAverage="false" percent="false" priority="27" stopIfTrue="false" text="706G1" type="beginsWith">
      <formula>LEFT(B3,LEN("706G1"))="706G1"</formula>
    </cfRule>
  </conditionalFormatting>
  <conditionalFormatting pivot="false" sqref="B3:B10">
    <cfRule aboveAverage="true" bottom="false" dxfId="1" equalAverage="false" percent="false" priority="26" stopIfTrue="false" text="70601" type="beginsWith">
      <formula>LEFT(B3,LEN("70601"))="70601"</formula>
    </cfRule>
  </conditionalFormatting>
  <conditionalFormatting pivot="false" sqref="B3:B10">
    <cfRule aboveAverage="true" bottom="false" dxfId="3" equalAverage="false" percent="false" priority="25" stopIfTrue="false" text=";Block" type="containsText">
      <formula>NOT(ISERROR(SEARCH(";Block",B3)))</formula>
    </cfRule>
  </conditionalFormatting>
  <conditionalFormatting pivot="false" sqref="B3:B10">
    <cfRule aboveAverage="true" bottom="false" dxfId="4" equalAverage="false" percent="false" priority="24" stopIfTrue="false" type="expression">
      <formula>IF(A3&lt;&gt;B3, 1, 0)</formula>
    </cfRule>
  </conditionalFormatting>
  <conditionalFormatting pivot="false" sqref="Q6:Q13">
    <cfRule aboveAverage="true" bottom="false" dxfId="0" equalAverage="false" percent="false" priority="23" stopIfTrue="false" type="expression">
      <formula>Q6:Q13&lt;&gt;P6:P13</formula>
    </cfRule>
  </conditionalFormatting>
  <conditionalFormatting pivot="false" sqref="U6:U13">
    <cfRule aboveAverage="true" bottom="false" dxfId="0" equalAverage="false" percent="false" priority="22" stopIfTrue="false" type="expression">
      <formula>U6:U13&lt;&gt;T6:T13</formula>
    </cfRule>
  </conditionalFormatting>
  <conditionalFormatting pivot="false" sqref="Y6:Y13">
    <cfRule aboveAverage="true" bottom="false" dxfId="0" equalAverage="false" percent="false" priority="21" stopIfTrue="false" type="expression">
      <formula>Y6:Y13&lt;&gt;X6:X13</formula>
    </cfRule>
  </conditionalFormatting>
  <conditionalFormatting pivot="false" sqref="AC6:AC13">
    <cfRule aboveAverage="true" bottom="false" dxfId="0" equalAverage="false" percent="false" priority="20" stopIfTrue="false" type="expression">
      <formula>AC6:AC13&lt;&gt;AB6:AB13</formula>
    </cfRule>
  </conditionalFormatting>
  <conditionalFormatting pivot="false" sqref="AG6:AG13">
    <cfRule aboveAverage="true" bottom="false" dxfId="0" equalAverage="false" percent="false" priority="19" stopIfTrue="false" type="expression">
      <formula>AG6:AG13&lt;&gt;AF6:AF13</formula>
    </cfRule>
  </conditionalFormatting>
  <conditionalFormatting pivot="false" sqref="Q17:Q24">
    <cfRule aboveAverage="true" bottom="false" dxfId="0" equalAverage="false" percent="false" priority="18" stopIfTrue="false" type="expression">
      <formula>Q17:Q24&lt;&gt;P17:P24</formula>
    </cfRule>
  </conditionalFormatting>
  <conditionalFormatting pivot="false" sqref="U17:U24">
    <cfRule aboveAverage="true" bottom="false" dxfId="0" equalAverage="false" percent="false" priority="17" stopIfTrue="false" type="expression">
      <formula>U17:U24&lt;&gt;T17:T24</formula>
    </cfRule>
  </conditionalFormatting>
  <conditionalFormatting pivot="false" sqref="Y17:Y24">
    <cfRule aboveAverage="true" bottom="false" dxfId="0" equalAverage="false" percent="false" priority="16" stopIfTrue="false" type="expression">
      <formula>Y17:Y24&lt;&gt;X17:X24</formula>
    </cfRule>
  </conditionalFormatting>
  <conditionalFormatting pivot="false" sqref="AC17:AC24">
    <cfRule aboveAverage="true" bottom="false" dxfId="0" equalAverage="false" percent="false" priority="15" stopIfTrue="false" type="expression">
      <formula>AC17:AC24&lt;&gt;AB17:AB24</formula>
    </cfRule>
  </conditionalFormatting>
  <conditionalFormatting pivot="false" sqref="AG17:AG24">
    <cfRule aboveAverage="true" bottom="false" dxfId="0" equalAverage="false" percent="false" priority="14" stopIfTrue="false" type="expression">
      <formula>AG17:AG24&lt;&gt;AF17:AF24</formula>
    </cfRule>
  </conditionalFormatting>
  <conditionalFormatting pivot="false" sqref="Q28:Q35">
    <cfRule aboveAverage="true" bottom="false" dxfId="0" equalAverage="false" percent="false" priority="13" stopIfTrue="false" type="expression">
      <formula>Q28:Q35&lt;&gt;P28:P35</formula>
    </cfRule>
  </conditionalFormatting>
  <conditionalFormatting pivot="false" sqref="U28:U35">
    <cfRule aboveAverage="true" bottom="false" dxfId="0" equalAverage="false" percent="false" priority="12" stopIfTrue="false" type="expression">
      <formula>U28:U35&lt;&gt;T28:T35</formula>
    </cfRule>
  </conditionalFormatting>
  <conditionalFormatting pivot="false" sqref="Y28:Y35">
    <cfRule aboveAverage="true" bottom="false" dxfId="0" equalAverage="false" percent="false" priority="11" stopIfTrue="false" type="expression">
      <formula>Y28:Y35&lt;&gt;X28:X35</formula>
    </cfRule>
  </conditionalFormatting>
  <conditionalFormatting pivot="false" sqref="AC28:AC35">
    <cfRule aboveAverage="true" bottom="false" dxfId="0" equalAverage="false" percent="false" priority="10" stopIfTrue="false" type="expression">
      <formula>AC28:AC35&lt;&gt;AB28:AB35</formula>
    </cfRule>
  </conditionalFormatting>
  <conditionalFormatting pivot="false" sqref="AG28:AG35">
    <cfRule aboveAverage="true" bottom="false" dxfId="0" equalAverage="false" percent="false" priority="9" stopIfTrue="false" type="expression">
      <formula>AG28:AG35&lt;&gt;AF28:AF35</formula>
    </cfRule>
  </conditionalFormatting>
  <conditionalFormatting pivot="false" sqref="Q39:Q46">
    <cfRule aboveAverage="true" bottom="false" dxfId="0" equalAverage="false" percent="false" priority="8" stopIfTrue="false" type="expression">
      <formula>Q39:Q46&lt;&gt;P39:P46</formula>
    </cfRule>
  </conditionalFormatting>
  <conditionalFormatting pivot="false" sqref="U39:U46">
    <cfRule aboveAverage="true" bottom="false" dxfId="0" equalAverage="false" percent="false" priority="7" stopIfTrue="false" type="expression">
      <formula>U39:U46&lt;&gt;T39:T46</formula>
    </cfRule>
  </conditionalFormatting>
  <conditionalFormatting pivot="false" sqref="Q50:Q57">
    <cfRule aboveAverage="true" bottom="false" dxfId="0" equalAverage="false" percent="false" priority="6" stopIfTrue="false" type="expression">
      <formula>Q50:Q57&lt;&gt;P50:P57</formula>
    </cfRule>
  </conditionalFormatting>
  <conditionalFormatting pivot="false" sqref="U57">
    <cfRule aboveAverage="true" bottom="false" dxfId="0" equalAverage="false" percent="false" priority="5" stopIfTrue="false" type="expression">
      <formula>U57:U64&lt;&gt;T57:T64</formula>
    </cfRule>
  </conditionalFormatting>
  <conditionalFormatting pivot="false" sqref="Y57">
    <cfRule aboveAverage="true" bottom="false" dxfId="0" equalAverage="false" percent="false" priority="4" stopIfTrue="false" type="expression">
      <formula>Y57:Y64&lt;&gt;X57:X64</formula>
    </cfRule>
  </conditionalFormatting>
  <conditionalFormatting pivot="false" sqref="AC57">
    <cfRule aboveAverage="true" bottom="false" dxfId="0" equalAverage="false" percent="false" priority="3" stopIfTrue="false" type="expression">
      <formula>AC57:AC64&lt;&gt;AB57:AB64</formula>
    </cfRule>
  </conditionalFormatting>
  <conditionalFormatting pivot="false" sqref="AG57">
    <cfRule aboveAverage="true" bottom="false" dxfId="0" equalAverage="false" percent="false" priority="2" stopIfTrue="false" type="expression">
      <formula>AG57:AG64&lt;&gt;AF57:AF64</formula>
    </cfRule>
  </conditionalFormatting>
  <conditionalFormatting pivot="false" sqref="Q61:Q68">
    <cfRule aboveAverage="true" bottom="false" dxfId="0" equalAverage="false" percent="false" priority="1" stopIfTrue="false" type="expression">
      <formula>Q61:Q68&lt;&gt;P61:P68</formula>
    </cfRule>
  </conditionalFormatting>
  <dataValidations>
    <dataValidation allowBlank="true" error="This is a Binary value, which can be either 0 or 1." errorStyle="stop" errorTitle="Wrong Value" imeMode="noControl" operator="between" showDropDown="false" showErrorMessage="true" showInputMessage="true" sqref="AG50:AG57 AG6:AG13 AG17:AG24 AG28:AG35 Q6:Q13 Q17:Q24 Q39:Q46 Q28:Q35 Q50:Q57 U28:U35 U17:U24 U6:U13 U39:U46 U50:U57 Q61:Q68 AC50:AC57 AC28:AC35 AC17:AC24 AC6:AC13 Y28:Y35 Y6:Y13 Y17:Y24 Y50:Y57"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79.3998mm" paperSize="1" paperWidth="215.8999mm" scale="100"/>
  <legacyDrawing r:id="rId2"/>
</worksheet>
</file>

<file path=xl/worksheets/sheet7.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KT700"/>
  <sheetViews>
    <sheetView showZeros="true" workbookViewId="0">
      <pane activePane="bottomLeft" state="frozen" topLeftCell="A2" xSplit="0" ySplit="1"/>
    </sheetView>
  </sheetViews>
  <sheetFormatPr baseColWidth="8" customHeight="false" defaultColWidth="9.1406253092569258" defaultRowHeight="15" zeroHeight="true"/>
  <cols>
    <col bestFit="true" customWidth="true" max="2" min="1" outlineLevel="0" width="21.1406246325922"/>
    <col customWidth="true" max="3" min="3" outlineLevel="0" width="4.5703126546284629"/>
    <col customWidth="true" max="13" min="4" outlineLevel="0" width="9.1406253092569258"/>
    <col customWidth="true" max="14" min="14" outlineLevel="0" width="5.7109372872206619"/>
    <col customWidth="true" max="15" min="15" outlineLevel="0" width="1.7109374563868438"/>
    <col customWidth="true" max="16" min="16" outlineLevel="0" width="5.4257812982387943"/>
    <col customWidth="true" max="17" min="17" outlineLevel="0" width="5.28515615814805"/>
    <col customWidth="true" max="18" min="18" outlineLevel="0" width="3.4257812982387938"/>
    <col customWidth="true" max="19" min="19" outlineLevel="0" width="20.140625140090744"/>
    <col customWidth="true" max="20" min="20" outlineLevel="0" width="5.4257812982387943"/>
    <col customWidth="true" max="21" min="21" outlineLevel="0" width="5.28515615814805"/>
    <col customWidth="true" max="22" min="22" outlineLevel="0" width="3.4257812982387938"/>
    <col customWidth="true" max="23" min="23" outlineLevel="0" width="20.425781129072611"/>
    <col customWidth="true" max="24" min="24" outlineLevel="0" width="5.4257812982387943"/>
    <col customWidth="true" max="25" min="25" outlineLevel="0" width="5.28515615814805"/>
    <col customWidth="true" max="26" min="26" outlineLevel="0" width="3.4257812982387938"/>
    <col customWidth="true" max="27" min="27" outlineLevel="0" width="20.570312654628463"/>
    <col customWidth="true" max="28" min="28" outlineLevel="0" width="5.4257812982387943"/>
    <col customWidth="true" max="29" min="29" outlineLevel="0" width="5.28515615814805"/>
    <col customWidth="true" max="30" min="30" outlineLevel="0" width="3.4257812982387938"/>
    <col customWidth="true" max="31" min="31" outlineLevel="0" width="20.425781129072611"/>
    <col customWidth="true" max="32" min="32" outlineLevel="0" width="5.4257812982387943"/>
    <col customWidth="true" max="33" min="33" outlineLevel="0" width="5.28515615814805"/>
    <col customWidth="true" max="34" min="34" outlineLevel="0" width="3.4257812982387938"/>
    <col customWidth="true" max="35" min="35" outlineLevel="0" width="20.000000676664726"/>
    <col customWidth="true" max="37" min="36" outlineLevel="0" width="9.1406253092569258"/>
    <col customWidth="true" max="38" min="38" outlineLevel="0" width="12.570312654628463"/>
    <col bestFit="true" customWidth="true" max="39" min="39" outlineLevel="0" width="12.570312654628463"/>
    <col customWidth="true" max="40" min="40" outlineLevel="0" style="56" width="9.1406253092569258"/>
    <col customWidth="true" hidden="true" max="41" min="41" outlineLevel="0" width="21.855468136111785"/>
    <col customWidth="true" hidden="true" max="42" min="42" outlineLevel="0" width="12.140625140090744"/>
    <col bestFit="true" customWidth="true" hidden="true" max="306" min="43" outlineLevel="0" width="0"/>
    <col bestFit="true" customWidth="true" hidden="true" max="16384" min="307" outlineLevel="0" width="9.1406253092569258"/>
  </cols>
  <sheetData>
    <row hidden="false" ht="15.75" outlineLevel="0" r="1">
      <c r="A1" s="85" t="s">
        <v>155</v>
      </c>
      <c r="B1" s="1134" t="s"/>
      <c r="C1" s="0" t="s">
        <v>176</v>
      </c>
      <c r="D1" s="122" t="n">
        <f aca="false" ca="false" dt2D="false" dtr="false" t="normal">D120</f>
        <v>7</v>
      </c>
      <c r="E1" s="160" t="n">
        <f aca="false" ca="false" dt2D="false" dtr="false" t="normal">E120</f>
        <v>20</v>
      </c>
      <c r="F1" s="1135" t="n">
        <f aca="false" ca="false" dt2D="false" dtr="false" t="normal">F120</f>
        <v>4</v>
      </c>
      <c r="G1" s="1136" t="n">
        <f aca="false" ca="false" dt2D="false" dtr="false" t="normal">G120</f>
        <v>1</v>
      </c>
      <c r="H1" s="1137" t="n">
        <f aca="false" ca="false" dt2D="false" dtr="false" t="normal">H120</f>
        <v>0</v>
      </c>
      <c r="I1" s="1138" t="n">
        <f aca="false" ca="false" dt2D="false" dtr="false" t="normal">I120</f>
        <v>0</v>
      </c>
      <c r="J1" s="164" t="n">
        <f aca="false" ca="false" dt2D="false" dtr="false" t="normal">J120</f>
        <v>0</v>
      </c>
      <c r="K1" s="165" t="n">
        <f aca="false" ca="false" dt2D="false" dtr="false" t="normal">K120</f>
        <v>0</v>
      </c>
      <c r="L1" s="288" t="n">
        <f aca="false" ca="false" dt2D="false" dtr="false" t="normal">L120</f>
        <v>0</v>
      </c>
      <c r="M1" s="166" t="str">
        <f aca="false" ca="false" dt2D="false" dtr="false" t="normal">M120</f>
        <v>2C</v>
      </c>
      <c r="N1" s="63" t="s">
        <v>181</v>
      </c>
      <c r="O1" s="1139" t="s">
        <v>680</v>
      </c>
      <c r="P1" s="1140" t="s"/>
      <c r="Q1" s="1140" t="s"/>
      <c r="R1" s="1140" t="s"/>
      <c r="S1" s="1140" t="s"/>
      <c r="T1" s="53" t="s">
        <v>681</v>
      </c>
      <c r="U1" s="53" t="s"/>
      <c r="V1" s="53" t="s"/>
      <c r="W1" s="1141" t="str">
        <f aca="false" ca="false" dt2D="false" dtr="false" t="normal">AS36&amp;AS37&amp;AS38&amp;AS39&amp;AS40&amp;AS41&amp;AS42&amp;AS43&amp;AS44&amp;AS45&amp;AS46&amp;AS47&amp;AS48&amp;AS49&amp;AS50&amp;AS51&amp;AS52</f>
        <v/>
      </c>
      <c r="X1" s="53" t="str">
        <f aca="false" ca="false" dt2D="false" dtr="false" t="normal">IF(P137&amp;T137&amp;X137&amp;AB137&amp;AF137&amp;P148&amp;AB148&amp;AF148&amp;P159&amp;T159&amp;X159&amp;AB159&amp;T170&amp;X170&amp;AB170&amp;AF170&amp;P181=W1, "", "New VIN")</f>
        <v/>
      </c>
      <c r="Y1" s="53" t="s"/>
      <c r="Z1" s="53" t="s"/>
      <c r="AA1" s="1141" t="str">
        <f aca="false" ca="false" dt2D="false" dtr="false" t="normal">IF(P137&amp;T137&amp;X137&amp;AB137&amp;AF137&amp;P148&amp;AB148&amp;AF148&amp;P159&amp;T159&amp;X159&amp;AB159&amp;T170&amp;X170&amp;AB170&amp;AF170&amp;P181=W1, "", P137&amp;T137&amp;X137&amp;AB137&amp;AF137&amp;P148&amp;AB148&amp;AF148&amp;P159&amp;T159&amp;X159&amp;AB159&amp;T170&amp;X170&amp;AB170&amp;AF170&amp;P181)</f>
        <v/>
      </c>
      <c r="AB1" s="51" t="s">
        <v>156</v>
      </c>
    </row>
    <row hidden="false" ht="15.75" outlineLevel="0" r="2">
      <c r="A2" s="88" t="s">
        <v>157</v>
      </c>
      <c r="B2" s="89" t="s">
        <v>158</v>
      </c>
      <c r="C2" s="230" t="s">
        <v>159</v>
      </c>
      <c r="D2" s="1142" t="s"/>
      <c r="E2" s="1143" t="s"/>
      <c r="G2" s="1144" t="n"/>
      <c r="H2" s="1145" t="s"/>
      <c r="I2" s="1146" t="s"/>
      <c r="J2" s="1147" t="s"/>
      <c r="K2" s="1148" t="s"/>
      <c r="L2" s="1149" t="s"/>
      <c r="M2" s="1150" t="s"/>
    </row>
    <row hidden="false" ht="15.75" outlineLevel="0" r="3">
      <c r="A3" s="1151" t="s">
        <v>682</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720-01-01</v>
      </c>
      <c r="Q3" s="1152" t="s"/>
      <c r="R3" s="234" t="s">
        <v>683</v>
      </c>
      <c r="S3" s="1153" t="s"/>
      <c r="T3" s="1154" t="s"/>
      <c r="U3" s="1155" t="s"/>
      <c r="V3" s="1156" t="s"/>
      <c r="W3" s="1157" t="s"/>
      <c r="X3" s="1158" t="s"/>
      <c r="Y3" s="1159" t="s"/>
      <c r="Z3" s="1160" t="s"/>
      <c r="AA3" s="1161" t="s"/>
      <c r="AB3" s="1162" t="s"/>
      <c r="AC3" s="1163" t="s"/>
      <c r="AD3" s="1164" t="s"/>
      <c r="AE3" s="1165" t="s"/>
      <c r="AF3" s="1166" t="s"/>
      <c r="AG3" s="1167" t="s"/>
      <c r="AH3" s="1168" t="s"/>
      <c r="AI3" s="1169" t="s"/>
      <c r="AJ3" s="1170" t="s"/>
      <c r="AK3" s="1171" t="s"/>
      <c r="AO3" s="0" t="s">
        <v>181</v>
      </c>
      <c r="AQ3" s="0" t="n">
        <v>1</v>
      </c>
      <c r="AR3" s="0" t="n">
        <v>3</v>
      </c>
      <c r="AS3" s="0" t="n">
        <v>5</v>
      </c>
      <c r="AT3" s="0" t="n">
        <v>7</v>
      </c>
      <c r="AU3" s="0" t="n">
        <v>9</v>
      </c>
      <c r="AV3" s="0" t="n">
        <v>11</v>
      </c>
      <c r="AW3" s="0" t="n">
        <v>13</v>
      </c>
      <c r="AX3" s="0" t="n">
        <v>15</v>
      </c>
      <c r="AY3" s="0" t="n">
        <v>17</v>
      </c>
      <c r="AZ3" s="0" t="n">
        <v>19</v>
      </c>
      <c r="BA3" s="0" t="n">
        <v>21</v>
      </c>
      <c r="BB3" s="0" t="n">
        <v>23</v>
      </c>
      <c r="BC3" s="0" t="n">
        <v>25</v>
      </c>
      <c r="BD3" s="0" t="n">
        <v>27</v>
      </c>
      <c r="BE3" s="0" t="n">
        <v>29</v>
      </c>
      <c r="BF3" s="0" t="n">
        <v>31</v>
      </c>
      <c r="BG3" s="0" t="n">
        <v>33</v>
      </c>
      <c r="BH3" s="0" t="n">
        <v>35</v>
      </c>
      <c r="BI3" s="0" t="n">
        <v>37</v>
      </c>
      <c r="BJ3" s="0" t="n">
        <v>39</v>
      </c>
      <c r="BK3" s="0" t="n">
        <v>41</v>
      </c>
      <c r="BL3" s="0" t="n">
        <v>43</v>
      </c>
      <c r="BM3" s="0" t="n">
        <v>45</v>
      </c>
      <c r="BN3" s="0" t="n">
        <v>47</v>
      </c>
      <c r="BO3" s="0" t="n">
        <v>49</v>
      </c>
      <c r="BP3" s="0" t="n">
        <v>51</v>
      </c>
      <c r="BQ3" s="0" t="n">
        <v>53</v>
      </c>
      <c r="BR3" s="0" t="n">
        <v>55</v>
      </c>
      <c r="BS3" s="0" t="n">
        <v>57</v>
      </c>
      <c r="BT3" s="0" t="n">
        <v>59</v>
      </c>
      <c r="BU3" s="0" t="n">
        <v>61</v>
      </c>
      <c r="BV3" s="0" t="n">
        <v>63</v>
      </c>
      <c r="BW3" s="0" t="n">
        <v>65</v>
      </c>
      <c r="BX3" s="0" t="n">
        <v>67</v>
      </c>
      <c r="BY3" s="0" t="n">
        <v>69</v>
      </c>
      <c r="BZ3" s="0" t="n">
        <v>71</v>
      </c>
      <c r="CA3" s="0" t="n">
        <v>73</v>
      </c>
      <c r="CB3" s="0" t="n">
        <v>75</v>
      </c>
      <c r="CC3" s="0" t="n">
        <v>77</v>
      </c>
      <c r="CD3" s="0" t="n">
        <v>79</v>
      </c>
      <c r="CE3" s="0" t="n">
        <v>81</v>
      </c>
      <c r="CF3" s="0" t="n">
        <v>83</v>
      </c>
      <c r="CG3" s="0" t="n">
        <v>85</v>
      </c>
      <c r="CH3" s="0" t="n">
        <v>87</v>
      </c>
      <c r="CI3" s="0" t="n">
        <v>89</v>
      </c>
      <c r="CJ3" s="0" t="n">
        <v>91</v>
      </c>
      <c r="CK3" s="0" t="n">
        <v>93</v>
      </c>
      <c r="CL3" s="0" t="n">
        <v>95</v>
      </c>
      <c r="CM3" s="0" t="n">
        <v>97</v>
      </c>
      <c r="CN3" s="0" t="n">
        <v>99</v>
      </c>
      <c r="CO3" s="0" t="n">
        <v>101</v>
      </c>
      <c r="CP3" s="0" t="n">
        <v>103</v>
      </c>
      <c r="CQ3" s="0" t="n">
        <v>105</v>
      </c>
      <c r="CR3" s="0" t="n">
        <v>107</v>
      </c>
      <c r="CS3" s="0" t="n">
        <v>109</v>
      </c>
      <c r="CT3" s="0" t="n">
        <v>111</v>
      </c>
      <c r="CU3" s="0" t="n">
        <v>113</v>
      </c>
      <c r="CV3" s="0" t="n">
        <v>115</v>
      </c>
      <c r="CW3" s="0" t="n">
        <v>117</v>
      </c>
      <c r="CX3" s="0" t="n">
        <v>119</v>
      </c>
      <c r="CY3" s="0" t="n">
        <v>121</v>
      </c>
      <c r="CZ3" s="0" t="n">
        <v>123</v>
      </c>
      <c r="DA3" s="0" t="n">
        <v>125</v>
      </c>
      <c r="DB3" s="0" t="n">
        <v>127</v>
      </c>
      <c r="DC3" s="0" t="n">
        <v>129</v>
      </c>
      <c r="DD3" s="0" t="n">
        <v>131</v>
      </c>
      <c r="DE3" s="0" t="n">
        <v>133</v>
      </c>
      <c r="DF3" s="0" t="n">
        <v>135</v>
      </c>
      <c r="DG3" s="0" t="n">
        <v>137</v>
      </c>
      <c r="DH3" s="0" t="n">
        <v>139</v>
      </c>
      <c r="DI3" s="0" t="n">
        <v>141</v>
      </c>
      <c r="DJ3" s="0" t="n">
        <v>143</v>
      </c>
      <c r="DK3" s="0" t="n">
        <v>145</v>
      </c>
      <c r="DL3" s="0" t="n">
        <v>147</v>
      </c>
      <c r="DM3" s="0" t="n">
        <v>149</v>
      </c>
      <c r="DN3" s="0" t="n">
        <v>151</v>
      </c>
      <c r="DO3" s="0" t="n">
        <v>153</v>
      </c>
      <c r="DP3" s="0" t="n">
        <v>155</v>
      </c>
      <c r="DQ3" s="0" t="n">
        <v>157</v>
      </c>
      <c r="DR3" s="0" t="n">
        <v>159</v>
      </c>
      <c r="DS3" s="0" t="n">
        <v>161</v>
      </c>
      <c r="DT3" s="0" t="n">
        <v>163</v>
      </c>
      <c r="DU3" s="0" t="n">
        <v>165</v>
      </c>
      <c r="DV3" s="0" t="n">
        <v>167</v>
      </c>
      <c r="DW3" s="0" t="n">
        <v>169</v>
      </c>
      <c r="DX3" s="0" t="n">
        <v>171</v>
      </c>
      <c r="DY3" s="0" t="n">
        <v>173</v>
      </c>
      <c r="DZ3" s="0" t="n">
        <v>175</v>
      </c>
      <c r="EA3" s="0" t="n">
        <v>177</v>
      </c>
      <c r="EB3" s="0" t="n">
        <v>179</v>
      </c>
      <c r="EC3" s="0" t="n">
        <v>181</v>
      </c>
      <c r="ED3" s="0" t="n">
        <v>183</v>
      </c>
      <c r="EE3" s="0" t="n">
        <v>185</v>
      </c>
      <c r="EF3" s="0" t="n">
        <v>187</v>
      </c>
      <c r="EG3" s="0" t="n">
        <v>189</v>
      </c>
      <c r="EH3" s="0" t="n">
        <v>191</v>
      </c>
      <c r="EI3" s="0" t="n">
        <v>193</v>
      </c>
      <c r="EJ3" s="0" t="n">
        <v>195</v>
      </c>
      <c r="EK3" s="0" t="n">
        <v>197</v>
      </c>
      <c r="EL3" s="0" t="n">
        <v>199</v>
      </c>
      <c r="EM3" s="0" t="n">
        <v>201</v>
      </c>
      <c r="EN3" s="0" t="n">
        <v>203</v>
      </c>
      <c r="EO3" s="0" t="n">
        <v>205</v>
      </c>
      <c r="EP3" s="0" t="n">
        <v>207</v>
      </c>
      <c r="EQ3" s="0" t="n">
        <v>209</v>
      </c>
      <c r="ER3" s="0" t="n">
        <v>211</v>
      </c>
      <c r="ES3" s="0" t="n">
        <v>213</v>
      </c>
      <c r="ET3" s="0" t="n">
        <v>215</v>
      </c>
      <c r="EU3" s="0" t="n">
        <v>217</v>
      </c>
      <c r="EV3" s="0" t="n">
        <v>219</v>
      </c>
      <c r="EW3" s="0" t="n">
        <v>221</v>
      </c>
      <c r="EX3" s="0" t="n">
        <v>223</v>
      </c>
      <c r="EY3" s="0" t="n">
        <v>225</v>
      </c>
      <c r="EZ3" s="0" t="n">
        <v>227</v>
      </c>
      <c r="FA3" s="0" t="n">
        <v>229</v>
      </c>
      <c r="FB3" s="0" t="n">
        <v>231</v>
      </c>
      <c r="FC3" s="0" t="n">
        <v>233</v>
      </c>
      <c r="FD3" s="0" t="n">
        <v>235</v>
      </c>
      <c r="FE3" s="0" t="n">
        <v>237</v>
      </c>
      <c r="FF3" s="0" t="n">
        <v>239</v>
      </c>
      <c r="FG3" s="0" t="n">
        <v>241</v>
      </c>
      <c r="FH3" s="0" t="n">
        <v>243</v>
      </c>
      <c r="FI3" s="0" t="n">
        <v>245</v>
      </c>
      <c r="FJ3" s="0" t="n">
        <v>247</v>
      </c>
      <c r="FK3" s="0" t="n">
        <v>249</v>
      </c>
      <c r="FL3" s="0" t="n">
        <v>251</v>
      </c>
      <c r="FM3" s="0" t="n">
        <v>253</v>
      </c>
      <c r="FN3" s="0" t="n">
        <v>255</v>
      </c>
      <c r="FO3" s="0" t="n">
        <v>257</v>
      </c>
      <c r="FP3" s="0" t="n">
        <v>259</v>
      </c>
      <c r="FQ3" s="0" t="n">
        <v>261</v>
      </c>
      <c r="FR3" s="0" t="n">
        <v>263</v>
      </c>
      <c r="FS3" s="0" t="n">
        <v>265</v>
      </c>
      <c r="FT3" s="0" t="n">
        <v>267</v>
      </c>
      <c r="FU3" s="0" t="n">
        <v>269</v>
      </c>
      <c r="FV3" s="0" t="n">
        <v>271</v>
      </c>
      <c r="FW3" s="0" t="n">
        <v>273</v>
      </c>
      <c r="FX3" s="0" t="n">
        <v>275</v>
      </c>
      <c r="FY3" s="0" t="n">
        <v>277</v>
      </c>
      <c r="FZ3" s="0" t="n">
        <v>279</v>
      </c>
      <c r="GA3" s="0" t="n">
        <v>281</v>
      </c>
      <c r="GB3" s="0" t="n">
        <v>283</v>
      </c>
      <c r="GC3" s="0" t="n">
        <v>285</v>
      </c>
      <c r="GD3" s="0" t="n">
        <v>287</v>
      </c>
      <c r="GE3" s="0" t="n">
        <v>289</v>
      </c>
      <c r="GF3" s="0" t="n">
        <v>291</v>
      </c>
      <c r="GG3" s="0" t="n">
        <v>293</v>
      </c>
      <c r="GH3" s="0" t="n">
        <v>295</v>
      </c>
      <c r="GI3" s="0" t="n">
        <v>297</v>
      </c>
      <c r="GJ3" s="0" t="n">
        <v>299</v>
      </c>
      <c r="GK3" s="0" t="n">
        <v>301</v>
      </c>
      <c r="GL3" s="0" t="n">
        <v>303</v>
      </c>
      <c r="GM3" s="0" t="n">
        <v>305</v>
      </c>
      <c r="GN3" s="0" t="n">
        <v>307</v>
      </c>
      <c r="GO3" s="0" t="n">
        <v>309</v>
      </c>
      <c r="GP3" s="0" t="n">
        <v>311</v>
      </c>
      <c r="GQ3" s="0" t="n">
        <v>313</v>
      </c>
      <c r="GR3" s="0" t="n">
        <v>315</v>
      </c>
      <c r="GS3" s="0" t="n">
        <v>317</v>
      </c>
      <c r="GT3" s="0" t="n">
        <v>319</v>
      </c>
      <c r="GU3" s="0" t="n">
        <v>321</v>
      </c>
      <c r="GV3" s="0" t="n">
        <v>323</v>
      </c>
      <c r="GW3" s="0" t="n">
        <v>325</v>
      </c>
      <c r="GX3" s="0" t="n">
        <v>327</v>
      </c>
      <c r="GY3" s="0" t="n">
        <v>329</v>
      </c>
      <c r="GZ3" s="0" t="n">
        <v>331</v>
      </c>
      <c r="HA3" s="0" t="n">
        <v>333</v>
      </c>
      <c r="HB3" s="0" t="n">
        <v>335</v>
      </c>
      <c r="HC3" s="0" t="n">
        <v>337</v>
      </c>
      <c r="HD3" s="0" t="n">
        <v>339</v>
      </c>
      <c r="HE3" s="0" t="n">
        <v>341</v>
      </c>
      <c r="HF3" s="0" t="n">
        <v>343</v>
      </c>
      <c r="HG3" s="0" t="n">
        <v>345</v>
      </c>
      <c r="HH3" s="0" t="n">
        <v>347</v>
      </c>
      <c r="HI3" s="0" t="n">
        <v>349</v>
      </c>
      <c r="HJ3" s="0" t="n">
        <v>351</v>
      </c>
      <c r="HK3" s="0" t="n">
        <v>353</v>
      </c>
      <c r="HL3" s="0" t="n">
        <v>355</v>
      </c>
      <c r="HM3" s="0" t="n">
        <v>357</v>
      </c>
      <c r="HN3" s="0" t="n">
        <v>359</v>
      </c>
      <c r="HO3" s="0" t="n">
        <v>361</v>
      </c>
      <c r="HP3" s="0" t="n">
        <v>363</v>
      </c>
      <c r="HQ3" s="0" t="n">
        <v>365</v>
      </c>
      <c r="HR3" s="0" t="n">
        <v>367</v>
      </c>
      <c r="HS3" s="0" t="n">
        <v>369</v>
      </c>
      <c r="HT3" s="0" t="n">
        <v>371</v>
      </c>
      <c r="HU3" s="0" t="n">
        <v>373</v>
      </c>
      <c r="HV3" s="0" t="n">
        <v>375</v>
      </c>
      <c r="HW3" s="0" t="n">
        <v>377</v>
      </c>
      <c r="HX3" s="0" t="n">
        <v>379</v>
      </c>
      <c r="HY3" s="0" t="n">
        <v>381</v>
      </c>
      <c r="HZ3" s="0" t="n">
        <v>383</v>
      </c>
      <c r="IA3" s="0" t="n">
        <v>385</v>
      </c>
      <c r="IB3" s="0" t="n">
        <v>387</v>
      </c>
      <c r="IC3" s="0" t="n">
        <v>389</v>
      </c>
      <c r="ID3" s="0" t="n">
        <v>391</v>
      </c>
      <c r="IE3" s="0" t="n">
        <v>393</v>
      </c>
      <c r="IF3" s="0" t="n">
        <v>395</v>
      </c>
      <c r="IG3" s="0" t="n">
        <v>397</v>
      </c>
      <c r="IH3" s="0" t="n">
        <v>399</v>
      </c>
      <c r="II3" s="0" t="n">
        <v>401</v>
      </c>
      <c r="IJ3" s="0" t="n">
        <v>403</v>
      </c>
      <c r="IK3" s="0" t="n">
        <v>405</v>
      </c>
      <c r="IL3" s="0" t="n">
        <v>407</v>
      </c>
      <c r="IM3" s="0" t="n">
        <v>409</v>
      </c>
      <c r="IN3" s="0" t="n">
        <v>411</v>
      </c>
      <c r="IO3" s="0" t="n">
        <v>413</v>
      </c>
      <c r="IP3" s="0" t="n">
        <v>415</v>
      </c>
      <c r="IQ3" s="0" t="n">
        <v>417</v>
      </c>
      <c r="IR3" s="0" t="n">
        <v>419</v>
      </c>
      <c r="IS3" s="0" t="n">
        <v>421</v>
      </c>
      <c r="IT3" s="0" t="n">
        <v>423</v>
      </c>
      <c r="IU3" s="0" t="n">
        <v>425</v>
      </c>
      <c r="IV3" s="0" t="n">
        <v>427</v>
      </c>
      <c r="IW3" s="0" t="n">
        <v>429</v>
      </c>
      <c r="IX3" s="0" t="n">
        <v>431</v>
      </c>
      <c r="IY3" s="0" t="n">
        <v>433</v>
      </c>
      <c r="IZ3" s="0" t="n">
        <v>435</v>
      </c>
      <c r="JA3" s="0" t="n">
        <v>437</v>
      </c>
      <c r="JB3" s="0" t="n">
        <v>439</v>
      </c>
      <c r="JC3" s="0" t="n">
        <v>441</v>
      </c>
      <c r="JD3" s="0" t="n">
        <v>443</v>
      </c>
      <c r="JE3" s="0" t="n">
        <v>445</v>
      </c>
      <c r="JF3" s="0" t="n">
        <v>447</v>
      </c>
      <c r="JG3" s="0" t="n">
        <v>449</v>
      </c>
      <c r="JH3" s="0" t="n">
        <v>451</v>
      </c>
      <c r="JI3" s="0" t="n">
        <v>453</v>
      </c>
      <c r="JJ3" s="0" t="n">
        <v>455</v>
      </c>
      <c r="JK3" s="0" t="n">
        <v>457</v>
      </c>
      <c r="JL3" s="0" t="n">
        <v>459</v>
      </c>
      <c r="JM3" s="0" t="n">
        <v>461</v>
      </c>
      <c r="JN3" s="0" t="n">
        <v>463</v>
      </c>
      <c r="JO3" s="0" t="n">
        <v>465</v>
      </c>
      <c r="JP3" s="0" t="n">
        <v>467</v>
      </c>
      <c r="JQ3" s="0" t="n">
        <v>469</v>
      </c>
      <c r="JR3" s="0" t="n">
        <v>471</v>
      </c>
      <c r="JS3" s="0" t="n">
        <v>473</v>
      </c>
      <c r="JT3" s="0" t="n">
        <v>475</v>
      </c>
      <c r="JU3" s="0" t="n">
        <v>477</v>
      </c>
      <c r="JV3" s="0" t="n">
        <v>479</v>
      </c>
      <c r="JW3" s="0" t="n">
        <v>481</v>
      </c>
      <c r="JX3" s="0" t="n">
        <v>483</v>
      </c>
      <c r="JY3" s="0" t="n">
        <v>485</v>
      </c>
      <c r="JZ3" s="0" t="n">
        <v>487</v>
      </c>
      <c r="KA3" s="0" t="n">
        <v>489</v>
      </c>
      <c r="KB3" s="0" t="n">
        <v>491</v>
      </c>
      <c r="KC3" s="0" t="n">
        <v>493</v>
      </c>
      <c r="KD3" s="0" t="n">
        <v>495</v>
      </c>
      <c r="KE3" s="0" t="n">
        <v>497</v>
      </c>
      <c r="KF3" s="0" t="n">
        <v>499</v>
      </c>
      <c r="KG3" s="0" t="n">
        <v>501</v>
      </c>
      <c r="KH3" s="0" t="n">
        <v>503</v>
      </c>
      <c r="KI3" s="0" t="n">
        <v>505</v>
      </c>
      <c r="KJ3" s="0" t="n">
        <v>507</v>
      </c>
      <c r="KK3" s="0" t="n">
        <v>509</v>
      </c>
      <c r="KL3" s="0" t="n">
        <v>511</v>
      </c>
      <c r="KM3" s="0" t="n">
        <v>513</v>
      </c>
      <c r="KN3" s="0" t="n">
        <v>515</v>
      </c>
      <c r="KO3" s="0" t="n">
        <v>517</v>
      </c>
      <c r="KP3" s="0" t="n">
        <v>519</v>
      </c>
      <c r="KQ3" s="0" t="n">
        <v>521</v>
      </c>
      <c r="KR3" s="0" t="n">
        <v>523</v>
      </c>
    </row>
    <row hidden="false" ht="15.75" outlineLevel="0" r="4">
      <c r="A4" s="91" t="s">
        <v>684</v>
      </c>
      <c r="B4" s="92" t="str">
        <f aca="false" ca="false" dt2D="false" dtr="false" t="normal">RIGHT(D13, 1)&amp;E13&amp;F13&amp;G13&amp;H10&amp;I10&amp;J10&amp;K10&amp;L10&amp;M10</f>
        <v>720G1G1000000000029</v>
      </c>
      <c r="C4" s="98" t="n"/>
      <c r="D4" s="99" t="s">
        <v>685</v>
      </c>
      <c r="E4" s="1172" t="s"/>
      <c r="F4" s="1173" t="s"/>
      <c r="G4" s="1174" t="s"/>
      <c r="H4" s="53" t="s">
        <v>165</v>
      </c>
      <c r="I4" s="53" t="s">
        <v>166</v>
      </c>
      <c r="J4" s="53" t="s">
        <v>167</v>
      </c>
      <c r="K4" s="53" t="s">
        <v>168</v>
      </c>
      <c r="L4" s="53" t="s">
        <v>169</v>
      </c>
      <c r="M4" s="53" t="s">
        <v>221</v>
      </c>
      <c r="N4" s="63" t="n"/>
      <c r="P4" s="103" t="s">
        <v>686</v>
      </c>
      <c r="Q4" s="1175" t="s"/>
      <c r="R4" s="1176" t="s"/>
      <c r="S4" s="1177" t="s"/>
      <c r="T4" s="103" t="s">
        <v>687</v>
      </c>
      <c r="U4" s="1178" t="s"/>
      <c r="V4" s="1179" t="s"/>
      <c r="W4" s="1180" t="s"/>
      <c r="X4" s="103" t="s">
        <v>688</v>
      </c>
      <c r="Y4" s="1181" t="s"/>
      <c r="Z4" s="1182" t="s"/>
      <c r="AA4" s="1183" t="s"/>
      <c r="AB4" s="103" t="s">
        <v>689</v>
      </c>
      <c r="AC4" s="1184" t="s"/>
      <c r="AD4" s="1185" t="s"/>
      <c r="AE4" s="1186" t="s"/>
      <c r="AF4" s="103" t="s">
        <v>690</v>
      </c>
      <c r="AG4" s="1187" t="s"/>
      <c r="AH4" s="1188" t="s"/>
      <c r="AI4" s="1189" t="s"/>
      <c r="AJ4" s="103" t="s">
        <v>691</v>
      </c>
      <c r="AK4" s="1190" t="s"/>
      <c r="AO4" s="0" t="n">
        <f aca="false" ca="false" dt2D="false" dtr="false" t="normal">J120&amp;K120&amp;L120</f>
        <v>0</v>
      </c>
      <c r="AP4" s="0" t="n">
        <f aca="false" ca="false" dt2D="false" dtr="false" t="normal">AO4</f>
        <v>0</v>
      </c>
      <c r="AQ4" s="0" t="n">
        <f aca="false" ca="false" dt2D="false" dtr="false" t="normal">AP4&amp;AP5&amp;AP6&amp;AP7&amp;AP8&amp;AP9&amp;AP10&amp;AP11&amp;AP12&amp;AP13&amp;AP14&amp;AP15&amp;AP16&amp;AP17&amp;AP18&amp;AP19&amp;AP20&amp;AP21&amp;AP22&amp;AP23&amp;AP24&amp;AP25&amp;AP26&amp;AP27&amp;AP28&amp;AP29&amp;AP30&amp;AP31&amp;AP32&amp;AP33&amp;AP34&amp;AP35&amp;AP36&amp;AP37&amp;AP38&amp;AP39&amp;AP40&amp;AP41&amp;AP42&amp;AP43&amp;AP44&amp;AP45&amp;AP46&amp;AP47&amp;AP48&amp;AP49&amp;AP50&amp;AP51&amp;AP52&amp;AP53&amp;AP54&amp;AP55&amp;AP56</f>
        <v>53</v>
      </c>
    </row>
    <row hidden="false" ht="15.75" outlineLevel="0" r="5">
      <c r="A5" s="91" t="s">
        <v>692</v>
      </c>
      <c r="B5" s="92" t="str">
        <f aca="false" ca="false" dt2D="false" dtr="false" t="normal">RIGHT(D24, 1)&amp;E24&amp;F24&amp;G24&amp;H21&amp;I21&amp;J21&amp;K21&amp;L21&amp;M21</f>
        <v>720G1G200000000002A</v>
      </c>
      <c r="C5" s="98" t="s">
        <v>176</v>
      </c>
      <c r="D5" s="122" t="s">
        <v>177</v>
      </c>
      <c r="E5" s="123" t="s">
        <v>693</v>
      </c>
      <c r="F5" s="123" t="s">
        <v>179</v>
      </c>
      <c r="G5" s="1191" t="s">
        <v>179</v>
      </c>
      <c r="H5" s="126" t="n">
        <f aca="false" ca="false" dt2D="false" dtr="false" ref="H5:H5" t="array">MID(INDEX($A$3:$A$70, IF(ISNA(MATCH("720G1G1*", $A$3:$A$70, 0))=TRUE, MATCH("7200101*", $A$3:$A$70, 0), MATCH("720G1G1*", $A$3:$A$70, 0))), $AU$8, 2)</f>
        <v>0</v>
      </c>
      <c r="I5" s="126" t="n">
        <f aca="false" ca="false" dt2D="false" dtr="false" ref="I5:I5" t="array">MID(INDEX($A$3:$A$70, IF(ISNA(MATCH("720G1G1*", $A$3:$A$70, 0))=TRUE, MATCH("7200101*", $A$3:$A$70, 0), MATCH("720G1G1*", $A$3:$A$70, 0))), $AV$8, 2)</f>
        <v>0</v>
      </c>
      <c r="J5" s="126" t="n">
        <f aca="false" ca="false" dt2D="false" dtr="false" ref="J5:J5" t="array">MID(INDEX($A$3:$A$70, IF(ISNA(MATCH("720G1G1*", $A$3:$A$70, 0))=TRUE, MATCH("7200101*", $A$3:$A$70, 0), MATCH("720G1G1*", $A$3:$A$70, 0))), $AW$8, 2)</f>
        <v>0</v>
      </c>
      <c r="K5" s="126" t="n">
        <f aca="false" ca="false" dt2D="false" dtr="false" ref="K5:K5" t="array">MID(INDEX($A$3:$A$70, IF(ISNA(MATCH("720G1G1*", $A$3:$A$70, 0))=TRUE, MATCH("7200101*", $A$3:$A$70, 0), MATCH("720G1G1*", $A$3:$A$70, 0))), $AX$8, 2)</f>
        <v>0</v>
      </c>
      <c r="L5" s="127" t="n">
        <f aca="false" ca="false" dt2D="false" dtr="false" ref="L5:L5" t="array">MID(INDEX($A$3:$A$70, IF(ISNA(MATCH("720G1G1*", $A$3:$A$70, 0))=TRUE, MATCH("7200101*", $A$3:$A$70, 0), MATCH("720G1G1*", $A$3:$A$70, 0))), $AY$8, 2)</f>
        <v>0</v>
      </c>
      <c r="M5" s="128" t="n">
        <f aca="false" ca="false" dt2D="false" dtr="false" ref="M5:M5" t="array">MID(INDEX($A$3:$A$70, IF(ISNA(MATCH("720G1G1*", $A$3:$A$70, 0))=TRUE, MATCH("7200101*", $A$3:$A$70, 0), MATCH("720G1G1*", $A$3:$A$70, 0))), $AZ$8, 2)</f>
        <v>29</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1192" t="s"/>
      <c r="AO5" s="0" t="n">
        <f aca="false" ca="false" dt2D="false" dtr="false" t="normal">H131&amp;I131&amp;J131&amp;K131&amp;L131</f>
        <v>0</v>
      </c>
      <c r="AP5" s="0" t="n">
        <f aca="false" ca="false" dt2D="false" dtr="false" t="normal">AO5</f>
        <v>0</v>
      </c>
      <c r="AQ5" s="0" t="n">
        <f aca="false" ca="false" dt2D="false" dtr="false" t="normal">MID($AQ$4, AQ3, 2)</f>
        <v>0</v>
      </c>
      <c r="AR5" s="0" t="n">
        <f aca="false" ca="false" dt2D="false" dtr="false" t="normal">MID($AQ$4, AR3, 2)</f>
        <v>0</v>
      </c>
      <c r="AS5" s="0" t="n">
        <f aca="false" ca="false" dt2D="false" dtr="false" t="normal">MID($AQ$4, AS3, 2)</f>
        <v>0</v>
      </c>
      <c r="AT5" s="0" t="n">
        <f aca="false" ca="false" dt2D="false" dtr="false" t="normal">MID($AQ$4, AT3, 2)</f>
        <v>0</v>
      </c>
      <c r="AU5" s="0" t="n">
        <f aca="false" ca="false" dt2D="false" dtr="false" t="normal">MID($AQ$4, AU3, 2)</f>
        <v>0</v>
      </c>
      <c r="AV5" s="0" t="n">
        <f aca="false" ca="false" dt2D="false" dtr="false" t="normal">MID($AQ$4, AV3, 2)</f>
        <v>0</v>
      </c>
      <c r="AW5" s="0" t="n">
        <f aca="false" ca="false" dt2D="false" dtr="false" t="normal">MID($AQ$4, AW3, 2)</f>
        <v>0</v>
      </c>
      <c r="AX5" s="0" t="n">
        <f aca="false" ca="false" dt2D="false" dtr="false" t="normal">MID($AQ$4, AX3, 2)</f>
        <v>0</v>
      </c>
      <c r="AY5" s="0" t="n">
        <f aca="false" ca="false" dt2D="false" dtr="false" t="normal">MID($AQ$4, AY3, 2)</f>
        <v>0</v>
      </c>
      <c r="AZ5" s="0" t="n">
        <f aca="false" ca="false" dt2D="false" dtr="false" t="normal">MID($AQ$4, AZ3, 2)</f>
        <v>0</v>
      </c>
      <c r="BA5" s="0" t="n">
        <f aca="false" ca="false" dt2D="false" dtr="false" t="normal">MID($AQ$4, BA3, 2)</f>
        <v>0</v>
      </c>
      <c r="BB5" s="0" t="n">
        <f aca="false" ca="false" dt2D="false" dtr="false" t="normal">MID($AQ$4, BB3, 2)</f>
        <v>0</v>
      </c>
      <c r="BC5" s="0" t="n">
        <f aca="false" ca="false" dt2D="false" dtr="false" t="normal">MID($AQ$4, BC3, 2)</f>
        <v>0</v>
      </c>
      <c r="BD5" s="0" t="n">
        <f aca="false" ca="false" dt2D="false" dtr="false" t="normal">MID($AQ$4, BD3, 2)</f>
        <v>0</v>
      </c>
      <c r="BE5" s="0" t="n">
        <f aca="false" ca="false" dt2D="false" dtr="false" t="normal">MID($AQ$4, BE3, 2)</f>
        <v>0</v>
      </c>
      <c r="BF5" s="0" t="n">
        <f aca="false" ca="false" dt2D="false" dtr="false" t="normal">MID($AQ$4, BF3, 2)</f>
        <v>0</v>
      </c>
      <c r="BG5" s="0" t="n">
        <f aca="false" ca="false" dt2D="false" dtr="false" t="normal">MID($AQ$4, BG3, 2)</f>
        <v>0</v>
      </c>
      <c r="BH5" s="0" t="n">
        <f aca="false" ca="false" dt2D="false" dtr="false" t="normal">MID($AQ$4, BH3, 2)</f>
        <v>0</v>
      </c>
      <c r="BI5" s="0" t="n">
        <f aca="false" ca="false" dt2D="false" dtr="false" t="normal">MID($AQ$4, BI3, 2)</f>
        <v>0</v>
      </c>
      <c r="BJ5" s="0" t="n">
        <f aca="false" ca="false" dt2D="false" dtr="false" t="normal">MID($AQ$4, BJ3, 2)</f>
        <v>0</v>
      </c>
      <c r="BK5" s="0" t="n">
        <f aca="false" ca="false" dt2D="false" dtr="false" t="normal">MID($AQ$4, BK3, 2)</f>
        <v>0</v>
      </c>
      <c r="BL5" s="0" t="n">
        <f aca="false" ca="false" dt2D="false" dtr="false" t="normal">MID($AQ$4, BL3, 2)</f>
        <v>0</v>
      </c>
      <c r="BM5" s="0" t="n">
        <f aca="false" ca="false" dt2D="false" dtr="false" t="normal">MID($AQ$4, BM3, 2)</f>
        <v>0</v>
      </c>
      <c r="BN5" s="0" t="n">
        <f aca="false" ca="false" dt2D="false" dtr="false" t="normal">MID($AQ$4, BN3, 2)</f>
        <v>0</v>
      </c>
      <c r="BO5" s="0" t="n">
        <f aca="false" ca="false" dt2D="false" dtr="false" t="normal">MID($AQ$4, BO3, 2)</f>
        <v>0</v>
      </c>
      <c r="BP5" s="0" t="n">
        <f aca="false" ca="false" dt2D="false" dtr="false" t="normal">MID($AQ$4, BP3, 2)</f>
        <v>0</v>
      </c>
      <c r="BQ5" s="0" t="n">
        <f aca="false" ca="false" dt2D="false" dtr="false" t="normal">MID($AQ$4, BQ3, 2)</f>
        <v>0</v>
      </c>
      <c r="BR5" s="0" t="n">
        <f aca="false" ca="false" dt2D="false" dtr="false" t="normal">MID($AQ$4, BR3, 2)</f>
        <v>0</v>
      </c>
      <c r="BS5" s="0" t="n">
        <f aca="false" ca="false" dt2D="false" dtr="false" t="normal">MID($AQ$4, BS3, 2)</f>
        <v>0</v>
      </c>
      <c r="BT5" s="0" t="n">
        <f aca="false" ca="false" dt2D="false" dtr="false" t="normal">MID($AQ$4, BT3, 2)</f>
        <v>0</v>
      </c>
      <c r="BU5" s="0" t="n">
        <f aca="false" ca="false" dt2D="false" dtr="false" t="normal">MID($AQ$4, BU3, 2)</f>
        <v>0</v>
      </c>
      <c r="BV5" s="0" t="n">
        <f aca="false" ca="false" dt2D="false" dtr="false" t="normal">MID($AQ$4, BV3, 2)</f>
        <v>0</v>
      </c>
      <c r="BW5" s="0" t="n">
        <f aca="false" ca="false" dt2D="false" dtr="false" t="normal">MID($AQ$4, BW3, 2)</f>
        <v>0</v>
      </c>
      <c r="BX5" s="0" t="n">
        <f aca="false" ca="false" dt2D="false" dtr="false" t="normal">MID($AQ$4, BX3, 2)</f>
        <v>0</v>
      </c>
      <c r="BY5" s="0" t="n">
        <f aca="false" ca="false" dt2D="false" dtr="false" t="normal">MID($AQ$4, BY3, 2)</f>
        <v>0</v>
      </c>
      <c r="BZ5" s="0" t="n">
        <f aca="false" ca="false" dt2D="false" dtr="false" t="normal">MID($AQ$4, BZ3, 2)</f>
        <v>0</v>
      </c>
      <c r="CA5" s="0" t="n">
        <f aca="false" ca="false" dt2D="false" dtr="false" t="normal">MID($AQ$4, CA3, 2)</f>
        <v>0</v>
      </c>
      <c r="CB5" s="0" t="n">
        <f aca="false" ca="false" dt2D="false" dtr="false" t="normal">MID($AQ$4, CB3, 2)</f>
        <v>0</v>
      </c>
      <c r="CC5" s="0" t="n">
        <f aca="false" ca="false" dt2D="false" dtr="false" t="normal">MID($AQ$4, CC3, 2)</f>
        <v>0</v>
      </c>
      <c r="CD5" s="0" t="n">
        <f aca="false" ca="false" dt2D="false" dtr="false" t="normal">MID($AQ$4, CD3, 2)</f>
        <v>0</v>
      </c>
      <c r="CE5" s="0" t="n">
        <f aca="false" ca="false" dt2D="false" dtr="false" t="normal">MID($AQ$4, CE3, 2)</f>
        <v>0</v>
      </c>
      <c r="CF5" s="0" t="n">
        <f aca="false" ca="false" dt2D="false" dtr="false" t="normal">MID($AQ$4, CF3, 2)</f>
        <v>0</v>
      </c>
      <c r="CG5" s="0" t="n">
        <f aca="false" ca="false" dt2D="false" dtr="false" t="normal">MID($AQ$4, CG3, 2)</f>
        <v>0</v>
      </c>
      <c r="CH5" s="0" t="n">
        <f aca="false" ca="false" dt2D="false" dtr="false" t="normal">MID($AQ$4, CH3, 2)</f>
        <v>0</v>
      </c>
      <c r="CI5" s="0" t="n">
        <f aca="false" ca="false" dt2D="false" dtr="false" t="normal">MID($AQ$4, CI3, 2)</f>
        <v>0</v>
      </c>
      <c r="CJ5" s="0" t="n">
        <f aca="false" ca="false" dt2D="false" dtr="false" t="normal">MID($AQ$4, CJ3, 2)</f>
        <v>0</v>
      </c>
      <c r="CK5" s="0" t="n">
        <f aca="false" ca="false" dt2D="false" dtr="false" t="normal">MID($AQ$4, CK3, 2)</f>
        <v>0</v>
      </c>
      <c r="CL5" s="0" t="n">
        <f aca="false" ca="false" dt2D="false" dtr="false" t="normal">MID($AQ$4, CL3, 2)</f>
        <v>0</v>
      </c>
      <c r="CM5" s="0" t="n">
        <f aca="false" ca="false" dt2D="false" dtr="false" t="normal">MID($AQ$4, CM3, 2)</f>
        <v>0</v>
      </c>
      <c r="CN5" s="0" t="n">
        <f aca="false" ca="false" dt2D="false" dtr="false" t="normal">MID($AQ$4, CN3, 2)</f>
        <v>0</v>
      </c>
      <c r="CO5" s="0" t="n">
        <f aca="false" ca="false" dt2D="false" dtr="false" t="normal">MID($AQ$4, CO3, 2)</f>
        <v>0</v>
      </c>
      <c r="CP5" s="0" t="n">
        <f aca="false" ca="false" dt2D="false" dtr="false" t="normal">MID($AQ$4, CP3, 2)</f>
        <v>0</v>
      </c>
      <c r="CQ5" s="0" t="n">
        <f aca="false" ca="false" dt2D="false" dtr="false" t="normal">MID($AQ$4, CQ3, 2)</f>
        <v>0</v>
      </c>
      <c r="CR5" s="0" t="n">
        <f aca="false" ca="false" dt2D="false" dtr="false" t="normal">MID($AQ$4, CR3, 2)</f>
        <v>0</v>
      </c>
      <c r="CS5" s="0" t="n">
        <f aca="false" ca="false" dt2D="false" dtr="false" t="normal">MID($AQ$4, CS3, 2)</f>
        <v>0</v>
      </c>
      <c r="CT5" s="0" t="n">
        <f aca="false" ca="false" dt2D="false" dtr="false" t="normal">MID($AQ$4, CT3, 2)</f>
        <v>0</v>
      </c>
      <c r="CU5" s="0" t="n">
        <f aca="false" ca="false" dt2D="false" dtr="false" t="normal">MID($AQ$4, CU3, 2)</f>
        <v>0</v>
      </c>
      <c r="CV5" s="0" t="n">
        <f aca="false" ca="false" dt2D="false" dtr="false" t="normal">MID($AQ$4, CV3, 2)</f>
        <v>0</v>
      </c>
      <c r="CW5" s="0" t="n">
        <f aca="false" ca="false" dt2D="false" dtr="false" t="normal">MID($AQ$4, CW3, 2)</f>
        <v>0</v>
      </c>
      <c r="CX5" s="0" t="n">
        <f aca="false" ca="false" dt2D="false" dtr="false" t="normal">MID($AQ$4, CX3, 2)</f>
        <v>0</v>
      </c>
      <c r="CY5" s="0" t="n">
        <f aca="false" ca="false" dt2D="false" dtr="false" t="normal">MID($AQ$4, CY3, 2)</f>
        <v>0</v>
      </c>
      <c r="CZ5" s="0" t="n">
        <f aca="false" ca="false" dt2D="false" dtr="false" t="normal">MID($AQ$4, CZ3, 2)</f>
        <v>0</v>
      </c>
      <c r="DA5" s="0" t="n">
        <f aca="false" ca="false" dt2D="false" dtr="false" t="normal">MID($AQ$4, DA3, 2)</f>
        <v>0</v>
      </c>
      <c r="DB5" s="0" t="n">
        <f aca="false" ca="false" dt2D="false" dtr="false" t="normal">MID($AQ$4, DB3, 2)</f>
        <v>0</v>
      </c>
      <c r="DC5" s="0" t="n">
        <f aca="false" ca="false" dt2D="false" dtr="false" t="normal">MID($AQ$4, DC3, 2)</f>
        <v>0</v>
      </c>
      <c r="DD5" s="0" t="n">
        <f aca="false" ca="false" dt2D="false" dtr="false" t="normal">MID($AQ$4, DD3, 2)</f>
        <v>0</v>
      </c>
      <c r="DE5" s="0" t="n">
        <f aca="false" ca="false" dt2D="false" dtr="false" t="normal">MID($AQ$4, DE3, 2)</f>
        <v>0</v>
      </c>
      <c r="DF5" s="0" t="n">
        <f aca="false" ca="false" dt2D="false" dtr="false" t="normal">MID($AQ$4, DF3, 2)</f>
        <v>0</v>
      </c>
      <c r="DG5" s="0" t="n">
        <f aca="false" ca="false" dt2D="false" dtr="false" t="normal">MID($AQ$4, DG3, 2)</f>
        <v>0</v>
      </c>
      <c r="DH5" s="0" t="n">
        <f aca="false" ca="false" dt2D="false" dtr="false" t="normal">MID($AQ$4, DH3, 2)</f>
        <v>0</v>
      </c>
      <c r="DI5" s="0" t="n">
        <f aca="false" ca="false" dt2D="false" dtr="false" t="normal">MID($AQ$4, DI3, 2)</f>
        <v>0</v>
      </c>
      <c r="DJ5" s="0" t="n">
        <f aca="false" ca="false" dt2D="false" dtr="false" t="normal">MID($AQ$4, DJ3, 2)</f>
        <v>0</v>
      </c>
      <c r="DK5" s="0" t="n">
        <f aca="false" ca="false" dt2D="false" dtr="false" t="normal">MID($AQ$4, DK3, 2)</f>
        <v>0</v>
      </c>
      <c r="DL5" s="0" t="n">
        <f aca="false" ca="false" dt2D="false" dtr="false" t="normal">MID($AQ$4, DL3, 2)</f>
        <v>0</v>
      </c>
      <c r="DM5" s="0" t="n">
        <f aca="false" ca="false" dt2D="false" dtr="false" t="normal">MID($AQ$4, DM3, 2)</f>
        <v>0</v>
      </c>
      <c r="DN5" s="0" t="n">
        <f aca="false" ca="false" dt2D="false" dtr="false" t="normal">MID($AQ$4, DN3, 2)</f>
        <v>0</v>
      </c>
      <c r="DO5" s="0" t="n">
        <f aca="false" ca="false" dt2D="false" dtr="false" t="normal">MID($AQ$4, DO3, 2)</f>
        <v>0</v>
      </c>
      <c r="DP5" s="0" t="n">
        <f aca="false" ca="false" dt2D="false" dtr="false" t="normal">MID($AQ$4, DP3, 2)</f>
        <v>0</v>
      </c>
      <c r="DQ5" s="0" t="n">
        <f aca="false" ca="false" dt2D="false" dtr="false" t="normal">MID($AQ$4, DQ3, 2)</f>
        <v>0</v>
      </c>
      <c r="DR5" s="0" t="n">
        <f aca="false" ca="false" dt2D="false" dtr="false" t="normal">MID($AQ$4, DR3, 2)</f>
        <v>0</v>
      </c>
      <c r="DS5" s="0" t="n">
        <f aca="false" ca="false" dt2D="false" dtr="false" t="normal">MID($AQ$4, DS3, 2)</f>
        <v>0</v>
      </c>
      <c r="DT5" s="0" t="n">
        <f aca="false" ca="false" dt2D="false" dtr="false" t="normal">MID($AQ$4, DT3, 2)</f>
        <v>0</v>
      </c>
      <c r="DU5" s="0" t="n">
        <f aca="false" ca="false" dt2D="false" dtr="false" t="normal">MID($AQ$4, DU3, 2)</f>
        <v>0</v>
      </c>
      <c r="DV5" s="0" t="n">
        <f aca="false" ca="false" dt2D="false" dtr="false" t="normal">MID($AQ$4, DV3, 2)</f>
        <v>0</v>
      </c>
      <c r="DW5" s="0" t="n">
        <f aca="false" ca="false" dt2D="false" dtr="false" t="normal">MID($AQ$4, DW3, 2)</f>
        <v>0</v>
      </c>
      <c r="DX5" s="0" t="n">
        <f aca="false" ca="false" dt2D="false" dtr="false" t="normal">MID($AQ$4, DX3, 2)</f>
        <v>0</v>
      </c>
      <c r="DY5" s="0" t="n">
        <f aca="false" ca="false" dt2D="false" dtr="false" t="normal">MID($AQ$4, DY3, 2)</f>
        <v>0</v>
      </c>
      <c r="DZ5" s="0" t="n">
        <f aca="false" ca="false" dt2D="false" dtr="false" t="normal">MID($AQ$4, DZ3, 2)</f>
        <v>0</v>
      </c>
      <c r="EA5" s="0" t="n">
        <f aca="false" ca="false" dt2D="false" dtr="false" t="normal">MID($AQ$4, EA3, 2)</f>
        <v>0</v>
      </c>
      <c r="EB5" s="0" t="n">
        <f aca="false" ca="false" dt2D="false" dtr="false" t="normal">MID($AQ$4, EB3, 2)</f>
        <v>0</v>
      </c>
      <c r="EC5" s="0" t="n">
        <f aca="false" ca="false" dt2D="false" dtr="false" t="normal">MID($AQ$4, EC3, 2)</f>
        <v>0</v>
      </c>
      <c r="ED5" s="0" t="n">
        <f aca="false" ca="false" dt2D="false" dtr="false" t="normal">MID($AQ$4, ED3, 2)</f>
        <v>0</v>
      </c>
      <c r="EE5" s="0" t="n">
        <f aca="false" ca="false" dt2D="false" dtr="false" t="normal">MID($AQ$4, EE3, 2)</f>
        <v>0</v>
      </c>
      <c r="EF5" s="0" t="n">
        <f aca="false" ca="false" dt2D="false" dtr="false" t="normal">MID($AQ$4, EF3, 2)</f>
        <v>0</v>
      </c>
      <c r="EG5" s="0" t="n">
        <f aca="false" ca="false" dt2D="false" dtr="false" t="normal">MID($AQ$4, EG3, 2)</f>
        <v>0</v>
      </c>
      <c r="EH5" s="0" t="n">
        <f aca="false" ca="false" dt2D="false" dtr="false" t="normal">MID($AQ$4, EH3, 2)</f>
        <v>0</v>
      </c>
      <c r="EI5" s="0" t="n">
        <f aca="false" ca="false" dt2D="false" dtr="false" t="normal">MID($AQ$4, EI3, 2)</f>
        <v>0</v>
      </c>
      <c r="EJ5" s="0" t="n">
        <f aca="false" ca="false" dt2D="false" dtr="false" t="normal">MID($AQ$4, EJ3, 2)</f>
        <v>0</v>
      </c>
      <c r="EK5" s="0" t="n">
        <f aca="false" ca="false" dt2D="false" dtr="false" t="normal">MID($AQ$4, EK3, 2)</f>
        <v>0</v>
      </c>
      <c r="EL5" s="0" t="n">
        <f aca="false" ca="false" dt2D="false" dtr="false" t="normal">MID($AQ$4, EL3, 2)</f>
        <v>0</v>
      </c>
      <c r="EM5" s="0" t="n">
        <f aca="false" ca="false" dt2D="false" dtr="false" t="normal">MID($AQ$4, EM3, 2)</f>
        <v>0</v>
      </c>
      <c r="EN5" s="0" t="n">
        <f aca="false" ca="false" dt2D="false" dtr="false" t="normal">MID($AQ$4, EN3, 2)</f>
        <v>0</v>
      </c>
      <c r="EO5" s="0" t="n">
        <f aca="false" ca="false" dt2D="false" dtr="false" t="normal">MID($AQ$4, EO3, 2)</f>
        <v>0</v>
      </c>
      <c r="EP5" s="0" t="n">
        <f aca="false" ca="false" dt2D="false" dtr="false" t="normal">MID($AQ$4, EP3, 2)</f>
        <v>0</v>
      </c>
      <c r="EQ5" s="0" t="n">
        <f aca="false" ca="false" dt2D="false" dtr="false" t="normal">MID($AQ$4, EQ3, 2)</f>
        <v>0</v>
      </c>
      <c r="ER5" s="0" t="n">
        <f aca="false" ca="false" dt2D="false" dtr="false" t="normal">MID($AQ$4, ER3, 2)</f>
        <v>0</v>
      </c>
      <c r="ES5" s="0" t="n">
        <f aca="false" ca="false" dt2D="false" dtr="false" t="normal">MID($AQ$4, ES3, 2)</f>
        <v>0</v>
      </c>
      <c r="ET5" s="0" t="n">
        <f aca="false" ca="false" dt2D="false" dtr="false" t="normal">MID($AQ$4, ET3, 2)</f>
        <v>0</v>
      </c>
      <c r="EU5" s="0" t="n">
        <f aca="false" ca="false" dt2D="false" dtr="false" t="normal">MID($AQ$4, EU3, 2)</f>
        <v>0</v>
      </c>
      <c r="EV5" s="0" t="n">
        <f aca="false" ca="false" dt2D="false" dtr="false" t="normal">MID($AQ$4, EV3, 2)</f>
        <v>0</v>
      </c>
      <c r="EW5" s="0" t="n">
        <f aca="false" ca="false" dt2D="false" dtr="false" t="normal">MID($AQ$4, EW3, 2)</f>
        <v>0</v>
      </c>
      <c r="EX5" s="0" t="n">
        <f aca="false" ca="false" dt2D="false" dtr="false" t="normal">MID($AQ$4, EX3, 2)</f>
        <v>0</v>
      </c>
      <c r="EY5" s="0" t="n">
        <f aca="false" ca="false" dt2D="false" dtr="false" t="normal">MID($AQ$4, EY3, 2)</f>
        <v>0</v>
      </c>
      <c r="EZ5" s="0" t="n">
        <f aca="false" ca="false" dt2D="false" dtr="false" t="normal">MID($AQ$4, EZ3, 2)</f>
        <v>0</v>
      </c>
      <c r="FA5" s="0" t="n">
        <f aca="false" ca="false" dt2D="false" dtr="false" t="normal">MID($AQ$4, FA3, 2)</f>
        <v>0</v>
      </c>
      <c r="FB5" s="0" t="n">
        <f aca="false" ca="false" dt2D="false" dtr="false" t="normal">MID($AQ$4, FB3, 2)</f>
        <v>0</v>
      </c>
      <c r="FC5" s="0" t="n">
        <f aca="false" ca="false" dt2D="false" dtr="false" t="normal">MID($AQ$4, FC3, 2)</f>
        <v>0</v>
      </c>
      <c r="FD5" s="0" t="n">
        <f aca="false" ca="false" dt2D="false" dtr="false" t="normal">MID($AQ$4, FD3, 2)</f>
        <v>0</v>
      </c>
      <c r="FE5" s="0" t="n">
        <f aca="false" ca="false" dt2D="false" dtr="false" t="normal">MID($AQ$4, FE3, 2)</f>
        <v>0</v>
      </c>
      <c r="FF5" s="0" t="n">
        <f aca="false" ca="false" dt2D="false" dtr="false" t="normal">MID($AQ$4, FF3, 2)</f>
        <v>0</v>
      </c>
      <c r="FG5" s="0" t="n">
        <f aca="false" ca="false" dt2D="false" dtr="false" t="normal">MID($AQ$4, FG3, 2)</f>
        <v>0</v>
      </c>
      <c r="FH5" s="0" t="n">
        <f aca="false" ca="false" dt2D="false" dtr="false" t="normal">MID($AQ$4, FH3, 2)</f>
        <v>0</v>
      </c>
      <c r="FI5" s="0" t="n">
        <f aca="false" ca="false" dt2D="false" dtr="false" t="normal">MID($AQ$4, FI3, 2)</f>
        <v>0</v>
      </c>
      <c r="FJ5" s="0" t="n">
        <f aca="false" ca="false" dt2D="false" dtr="false" t="normal">MID($AQ$4, FJ3, 2)</f>
        <v>0</v>
      </c>
      <c r="FK5" s="0" t="n">
        <f aca="false" ca="false" dt2D="false" dtr="false" t="normal">MID($AQ$4, FK3, 2)</f>
        <v>0</v>
      </c>
      <c r="FL5" s="0" t="n">
        <f aca="false" ca="false" dt2D="false" dtr="false" t="normal">MID($AQ$4, FL3, 2)</f>
        <v>0</v>
      </c>
      <c r="FM5" s="0" t="n">
        <f aca="false" ca="false" dt2D="false" dtr="false" t="normal">MID($AQ$4, FM3, 2)</f>
        <v>0</v>
      </c>
      <c r="FN5" s="0" t="n">
        <f aca="false" ca="false" dt2D="false" dtr="false" t="normal">MID($AQ$4, FN3, 2)</f>
        <v>0</v>
      </c>
      <c r="FO5" s="0" t="n">
        <f aca="false" ca="false" dt2D="false" dtr="false" t="normal">MID($AQ$4, FO3, 2)</f>
        <v>0</v>
      </c>
      <c r="FP5" s="0" t="n">
        <f aca="false" ca="false" dt2D="false" dtr="false" t="normal">MID($AQ$4, FP3, 2)</f>
        <v>0</v>
      </c>
      <c r="FQ5" s="0" t="n">
        <f aca="false" ca="false" dt2D="false" dtr="false" t="normal">MID($AQ$4, FQ3, 2)</f>
        <v>0</v>
      </c>
      <c r="FR5" s="0" t="n">
        <f aca="false" ca="false" dt2D="false" dtr="false" t="normal">MID($AQ$4, FR3, 2)</f>
        <v>0</v>
      </c>
      <c r="FS5" s="0" t="n">
        <f aca="false" ca="false" dt2D="false" dtr="false" t="normal">MID($AQ$4, FS3, 2)</f>
        <v>0</v>
      </c>
      <c r="FT5" s="0" t="n">
        <f aca="false" ca="false" dt2D="false" dtr="false" t="normal">MID($AQ$4, FT3, 2)</f>
        <v>0</v>
      </c>
      <c r="FU5" s="0" t="n">
        <f aca="false" ca="false" dt2D="false" dtr="false" t="normal">MID($AQ$4, FU3, 2)</f>
        <v>53</v>
      </c>
      <c r="FV5" s="0" t="str">
        <f aca="false" ca="false" dt2D="false" dtr="false" t="normal">MID($AQ$4, FV3, 2)</f>
        <v/>
      </c>
      <c r="FW5" s="0" t="str">
        <f aca="false" ca="false" dt2D="false" dtr="false" t="normal">MID($AQ$4, FW3, 2)</f>
        <v/>
      </c>
      <c r="FX5" s="0" t="str">
        <f aca="false" ca="false" dt2D="false" dtr="false" t="normal">MID($AQ$4, FX3, 2)</f>
        <v/>
      </c>
      <c r="FY5" s="0" t="str">
        <f aca="false" ca="false" dt2D="false" dtr="false" t="normal">MID($AQ$4, FY3, 2)</f>
        <v/>
      </c>
      <c r="FZ5" s="0" t="str">
        <f aca="false" ca="false" dt2D="false" dtr="false" t="normal">MID($AQ$4, FZ3, 2)</f>
        <v/>
      </c>
      <c r="GA5" s="0" t="str">
        <f aca="false" ca="false" dt2D="false" dtr="false" t="normal">MID($AQ$4, GA3, 2)</f>
        <v/>
      </c>
      <c r="GB5" s="0" t="str">
        <f aca="false" ca="false" dt2D="false" dtr="false" t="normal">MID($AQ$4, GB3, 2)</f>
        <v/>
      </c>
      <c r="GC5" s="0" t="str">
        <f aca="false" ca="false" dt2D="false" dtr="false" t="normal">MID($AQ$4, GC3, 2)</f>
        <v/>
      </c>
      <c r="GD5" s="0" t="str">
        <f aca="false" ca="false" dt2D="false" dtr="false" t="normal">MID($AQ$4, GD3, 2)</f>
        <v/>
      </c>
      <c r="GE5" s="0" t="str">
        <f aca="false" ca="false" dt2D="false" dtr="false" t="normal">MID($AQ$4, GE3, 2)</f>
        <v/>
      </c>
      <c r="GF5" s="0" t="str">
        <f aca="false" ca="false" dt2D="false" dtr="false" t="normal">MID($AQ$4, GF3, 2)</f>
        <v/>
      </c>
      <c r="GG5" s="0" t="str">
        <f aca="false" ca="false" dt2D="false" dtr="false" t="normal">MID($AQ$4, GG3, 2)</f>
        <v/>
      </c>
      <c r="GH5" s="0" t="str">
        <f aca="false" ca="false" dt2D="false" dtr="false" t="normal">MID($AQ$4, GH3, 2)</f>
        <v/>
      </c>
      <c r="GI5" s="0" t="str">
        <f aca="false" ca="false" dt2D="false" dtr="false" t="normal">MID($AQ$4, GI3, 2)</f>
        <v/>
      </c>
      <c r="GJ5" s="0" t="str">
        <f aca="false" ca="false" dt2D="false" dtr="false" t="normal">MID($AQ$4, GJ3, 2)</f>
        <v/>
      </c>
      <c r="GK5" s="0" t="str">
        <f aca="false" ca="false" dt2D="false" dtr="false" t="normal">MID($AQ$4, GK3, 2)</f>
        <v/>
      </c>
      <c r="GL5" s="0" t="str">
        <f aca="false" ca="false" dt2D="false" dtr="false" t="normal">MID($AQ$4, GL3, 2)</f>
        <v/>
      </c>
      <c r="GM5" s="0" t="str">
        <f aca="false" ca="false" dt2D="false" dtr="false" t="normal">MID($AQ$4, GM3, 2)</f>
        <v/>
      </c>
      <c r="GN5" s="0" t="str">
        <f aca="false" ca="false" dt2D="false" dtr="false" t="normal">MID($AQ$4, GN3, 2)</f>
        <v/>
      </c>
      <c r="GO5" s="0" t="str">
        <f aca="false" ca="false" dt2D="false" dtr="false" t="normal">MID($AQ$4, GO3, 2)</f>
        <v/>
      </c>
      <c r="GP5" s="0" t="str">
        <f aca="false" ca="false" dt2D="false" dtr="false" t="normal">MID($AQ$4, GP3, 2)</f>
        <v/>
      </c>
      <c r="GQ5" s="0" t="str">
        <f aca="false" ca="false" dt2D="false" dtr="false" t="normal">MID($AQ$4, GQ3, 2)</f>
        <v/>
      </c>
      <c r="GR5" s="0" t="str">
        <f aca="false" ca="false" dt2D="false" dtr="false" t="normal">MID($AQ$4, GR3, 2)</f>
        <v/>
      </c>
      <c r="GS5" s="0" t="str">
        <f aca="false" ca="false" dt2D="false" dtr="false" t="normal">MID($AQ$4, GS3, 2)</f>
        <v/>
      </c>
      <c r="GT5" s="0" t="str">
        <f aca="false" ca="false" dt2D="false" dtr="false" t="normal">MID($AQ$4, GT3, 2)</f>
        <v/>
      </c>
      <c r="GU5" s="0" t="str">
        <f aca="false" ca="false" dt2D="false" dtr="false" t="normal">MID($AQ$4, GU3, 2)</f>
        <v/>
      </c>
      <c r="GV5" s="0" t="str">
        <f aca="false" ca="false" dt2D="false" dtr="false" t="normal">MID($AQ$4, GV3, 2)</f>
        <v/>
      </c>
      <c r="GW5" s="0" t="str">
        <f aca="false" ca="false" dt2D="false" dtr="false" t="normal">MID($AQ$4, GW3, 2)</f>
        <v/>
      </c>
      <c r="GX5" s="0" t="str">
        <f aca="false" ca="false" dt2D="false" dtr="false" t="normal">MID($AQ$4, GX3, 2)</f>
        <v/>
      </c>
      <c r="GY5" s="0" t="str">
        <f aca="false" ca="false" dt2D="false" dtr="false" t="normal">MID($AQ$4, GY3, 2)</f>
        <v/>
      </c>
      <c r="GZ5" s="0" t="str">
        <f aca="false" ca="false" dt2D="false" dtr="false" t="normal">MID($AQ$4, GZ3, 2)</f>
        <v/>
      </c>
      <c r="HA5" s="0" t="str">
        <f aca="false" ca="false" dt2D="false" dtr="false" t="normal">MID($AQ$4, HA3, 2)</f>
        <v/>
      </c>
      <c r="HB5" s="0" t="str">
        <f aca="false" ca="false" dt2D="false" dtr="false" t="normal">MID($AQ$4, HB3, 2)</f>
        <v/>
      </c>
      <c r="HC5" s="0" t="str">
        <f aca="false" ca="false" dt2D="false" dtr="false" t="normal">MID($AQ$4, HC3, 2)</f>
        <v/>
      </c>
      <c r="HD5" s="0" t="str">
        <f aca="false" ca="false" dt2D="false" dtr="false" t="normal">MID($AQ$4, HD3, 2)</f>
        <v/>
      </c>
      <c r="HE5" s="0" t="str">
        <f aca="false" ca="false" dt2D="false" dtr="false" t="normal">MID($AQ$4, HE3, 2)</f>
        <v/>
      </c>
      <c r="HF5" s="0" t="str">
        <f aca="false" ca="false" dt2D="false" dtr="false" t="normal">MID($AQ$4, HF3, 2)</f>
        <v/>
      </c>
      <c r="HG5" s="0" t="str">
        <f aca="false" ca="false" dt2D="false" dtr="false" t="normal">MID($AQ$4, HG3, 2)</f>
        <v/>
      </c>
      <c r="HH5" s="0" t="str">
        <f aca="false" ca="false" dt2D="false" dtr="false" t="normal">MID($AQ$4, HH3, 2)</f>
        <v/>
      </c>
      <c r="HI5" s="0" t="str">
        <f aca="false" ca="false" dt2D="false" dtr="false" t="normal">MID($AQ$4, HI3, 2)</f>
        <v/>
      </c>
      <c r="HJ5" s="0" t="str">
        <f aca="false" ca="false" dt2D="false" dtr="false" t="normal">MID($AQ$4, HJ3, 2)</f>
        <v/>
      </c>
      <c r="HK5" s="0" t="str">
        <f aca="false" ca="false" dt2D="false" dtr="false" t="normal">MID($AQ$4, HK3, 2)</f>
        <v/>
      </c>
      <c r="HL5" s="0" t="str">
        <f aca="false" ca="false" dt2D="false" dtr="false" t="normal">MID($AQ$4, HL3, 2)</f>
        <v/>
      </c>
      <c r="HM5" s="0" t="str">
        <f aca="false" ca="false" dt2D="false" dtr="false" t="normal">MID($AQ$4, HM3, 2)</f>
        <v/>
      </c>
      <c r="HN5" s="0" t="str">
        <f aca="false" ca="false" dt2D="false" dtr="false" t="normal">MID($AQ$4, HN3, 2)</f>
        <v/>
      </c>
      <c r="HO5" s="0" t="str">
        <f aca="false" ca="false" dt2D="false" dtr="false" t="normal">MID($AQ$4, HO3, 2)</f>
        <v/>
      </c>
      <c r="HP5" s="0" t="str">
        <f aca="false" ca="false" dt2D="false" dtr="false" t="normal">MID($AQ$4, HP3, 2)</f>
        <v/>
      </c>
      <c r="HQ5" s="0" t="str">
        <f aca="false" ca="false" dt2D="false" dtr="false" t="normal">MID($AQ$4, HQ3, 2)</f>
        <v/>
      </c>
      <c r="HR5" s="0" t="str">
        <f aca="false" ca="false" dt2D="false" dtr="false" t="normal">MID($AQ$4, HR3, 2)</f>
        <v/>
      </c>
      <c r="HS5" s="0" t="str">
        <f aca="false" ca="false" dt2D="false" dtr="false" t="normal">MID($AQ$4, HS3, 2)</f>
        <v/>
      </c>
      <c r="HT5" s="0" t="str">
        <f aca="false" ca="false" dt2D="false" dtr="false" t="normal">MID($AQ$4, HT3, 2)</f>
        <v/>
      </c>
      <c r="HU5" s="0" t="str">
        <f aca="false" ca="false" dt2D="false" dtr="false" t="normal">MID($AQ$4, HU3, 2)</f>
        <v/>
      </c>
      <c r="HV5" s="0" t="str">
        <f aca="false" ca="false" dt2D="false" dtr="false" t="normal">MID($AQ$4, HV3, 2)</f>
        <v/>
      </c>
      <c r="HW5" s="0" t="str">
        <f aca="false" ca="false" dt2D="false" dtr="false" t="normal">MID($AQ$4, HW3, 2)</f>
        <v/>
      </c>
      <c r="HX5" s="0" t="str">
        <f aca="false" ca="false" dt2D="false" dtr="false" t="normal">MID($AQ$4, HX3, 2)</f>
        <v/>
      </c>
      <c r="HY5" s="0" t="str">
        <f aca="false" ca="false" dt2D="false" dtr="false" t="normal">MID($AQ$4, HY3, 2)</f>
        <v/>
      </c>
      <c r="HZ5" s="0" t="str">
        <f aca="false" ca="false" dt2D="false" dtr="false" t="normal">MID($AQ$4, HZ3, 2)</f>
        <v/>
      </c>
      <c r="IA5" s="0" t="str">
        <f aca="false" ca="false" dt2D="false" dtr="false" t="normal">MID($AQ$4, IA3, 2)</f>
        <v/>
      </c>
      <c r="IB5" s="0" t="str">
        <f aca="false" ca="false" dt2D="false" dtr="false" t="normal">MID($AQ$4, IB3, 2)</f>
        <v/>
      </c>
      <c r="IC5" s="0" t="str">
        <f aca="false" ca="false" dt2D="false" dtr="false" t="normal">MID($AQ$4, IC3, 2)</f>
        <v/>
      </c>
      <c r="ID5" s="0" t="str">
        <f aca="false" ca="false" dt2D="false" dtr="false" t="normal">MID($AQ$4, ID3, 2)</f>
        <v/>
      </c>
      <c r="IE5" s="0" t="str">
        <f aca="false" ca="false" dt2D="false" dtr="false" t="normal">MID($AQ$4, IE3, 2)</f>
        <v/>
      </c>
      <c r="IF5" s="0" t="str">
        <f aca="false" ca="false" dt2D="false" dtr="false" t="normal">MID($AQ$4, IF3, 2)</f>
        <v/>
      </c>
      <c r="IG5" s="0" t="str">
        <f aca="false" ca="false" dt2D="false" dtr="false" t="normal">MID($AQ$4, IG3, 2)</f>
        <v/>
      </c>
      <c r="IH5" s="0" t="str">
        <f aca="false" ca="false" dt2D="false" dtr="false" t="normal">MID($AQ$4, IH3, 2)</f>
        <v/>
      </c>
      <c r="II5" s="0" t="str">
        <f aca="false" ca="false" dt2D="false" dtr="false" t="normal">MID($AQ$4, II3, 2)</f>
        <v/>
      </c>
      <c r="IJ5" s="0" t="str">
        <f aca="false" ca="false" dt2D="false" dtr="false" t="normal">MID($AQ$4, IJ3, 2)</f>
        <v/>
      </c>
      <c r="IK5" s="0" t="str">
        <f aca="false" ca="false" dt2D="false" dtr="false" t="normal">MID($AQ$4, IK3, 2)</f>
        <v/>
      </c>
      <c r="IL5" s="0" t="str">
        <f aca="false" ca="false" dt2D="false" dtr="false" t="normal">MID($AQ$4, IL3, 2)</f>
        <v/>
      </c>
      <c r="IM5" s="0" t="str">
        <f aca="false" ca="false" dt2D="false" dtr="false" t="normal">MID($AQ$4, IM3, 2)</f>
        <v/>
      </c>
      <c r="IN5" s="0" t="str">
        <f aca="false" ca="false" dt2D="false" dtr="false" t="normal">MID($AQ$4, IN3, 2)</f>
        <v/>
      </c>
      <c r="IO5" s="0" t="str">
        <f aca="false" ca="false" dt2D="false" dtr="false" t="normal">MID($AQ$4, IO3, 2)</f>
        <v/>
      </c>
      <c r="IP5" s="0" t="str">
        <f aca="false" ca="false" dt2D="false" dtr="false" t="normal">MID($AQ$4, IP3, 2)</f>
        <v/>
      </c>
      <c r="IQ5" s="0" t="str">
        <f aca="false" ca="false" dt2D="false" dtr="false" t="normal">MID($AQ$4, IQ3, 2)</f>
        <v/>
      </c>
      <c r="IR5" s="0" t="str">
        <f aca="false" ca="false" dt2D="false" dtr="false" t="normal">MID($AQ$4, IR3, 2)</f>
        <v/>
      </c>
      <c r="IS5" s="0" t="str">
        <f aca="false" ca="false" dt2D="false" dtr="false" t="normal">MID($AQ$4, IS3, 2)</f>
        <v/>
      </c>
      <c r="IT5" s="0" t="str">
        <f aca="false" ca="false" dt2D="false" dtr="false" t="normal">MID($AQ$4, IT3, 2)</f>
        <v/>
      </c>
      <c r="IU5" s="0" t="str">
        <f aca="false" ca="false" dt2D="false" dtr="false" t="normal">MID($AQ$4, IU3, 2)</f>
        <v/>
      </c>
      <c r="IV5" s="0" t="str">
        <f aca="false" ca="false" dt2D="false" dtr="false" t="normal">MID($AQ$4, IV3, 2)</f>
        <v/>
      </c>
      <c r="IW5" s="0" t="str">
        <f aca="false" ca="false" dt2D="false" dtr="false" t="normal">MID($AQ$4, IW3, 2)</f>
        <v/>
      </c>
      <c r="IX5" s="0" t="str">
        <f aca="false" ca="false" dt2D="false" dtr="false" t="normal">MID($AQ$4, IX3, 2)</f>
        <v/>
      </c>
      <c r="IY5" s="0" t="str">
        <f aca="false" ca="false" dt2D="false" dtr="false" t="normal">MID($AQ$4, IY3, 2)</f>
        <v/>
      </c>
      <c r="IZ5" s="0" t="str">
        <f aca="false" ca="false" dt2D="false" dtr="false" t="normal">MID($AQ$4, IZ3, 2)</f>
        <v/>
      </c>
      <c r="JA5" s="0" t="str">
        <f aca="false" ca="false" dt2D="false" dtr="false" t="normal">MID($AQ$4, JA3, 2)</f>
        <v/>
      </c>
      <c r="JB5" s="0" t="str">
        <f aca="false" ca="false" dt2D="false" dtr="false" t="normal">MID($AQ$4, JB3, 2)</f>
        <v/>
      </c>
      <c r="JC5" s="0" t="str">
        <f aca="false" ca="false" dt2D="false" dtr="false" t="normal">MID($AQ$4, JC3, 2)</f>
        <v/>
      </c>
      <c r="JD5" s="0" t="str">
        <f aca="false" ca="false" dt2D="false" dtr="false" t="normal">MID($AQ$4, JD3, 2)</f>
        <v/>
      </c>
      <c r="JE5" s="0" t="str">
        <f aca="false" ca="false" dt2D="false" dtr="false" t="normal">MID($AQ$4, JE3, 2)</f>
        <v/>
      </c>
      <c r="JF5" s="0" t="str">
        <f aca="false" ca="false" dt2D="false" dtr="false" t="normal">MID($AQ$4, JF3, 2)</f>
        <v/>
      </c>
      <c r="JG5" s="0" t="str">
        <f aca="false" ca="false" dt2D="false" dtr="false" t="normal">MID($AQ$4, JG3, 2)</f>
        <v/>
      </c>
      <c r="JH5" s="0" t="str">
        <f aca="false" ca="false" dt2D="false" dtr="false" t="normal">MID($AQ$4, JH3, 2)</f>
        <v/>
      </c>
      <c r="JI5" s="0" t="str">
        <f aca="false" ca="false" dt2D="false" dtr="false" t="normal">MID($AQ$4, JI3, 2)</f>
        <v/>
      </c>
      <c r="JJ5" s="0" t="str">
        <f aca="false" ca="false" dt2D="false" dtr="false" t="normal">MID($AQ$4, JJ3, 2)</f>
        <v/>
      </c>
      <c r="JK5" s="0" t="str">
        <f aca="false" ca="false" dt2D="false" dtr="false" t="normal">MID($AQ$4, JK3, 2)</f>
        <v/>
      </c>
      <c r="JL5" s="0" t="str">
        <f aca="false" ca="false" dt2D="false" dtr="false" t="normal">MID($AQ$4, JL3, 2)</f>
        <v/>
      </c>
      <c r="JM5" s="0" t="str">
        <f aca="false" ca="false" dt2D="false" dtr="false" t="normal">MID($AQ$4, JM3, 2)</f>
        <v/>
      </c>
      <c r="JN5" s="0" t="str">
        <f aca="false" ca="false" dt2D="false" dtr="false" t="normal">MID($AQ$4, JN3, 2)</f>
        <v/>
      </c>
      <c r="JO5" s="0" t="str">
        <f aca="false" ca="false" dt2D="false" dtr="false" t="normal">MID($AQ$4, JO3, 2)</f>
        <v/>
      </c>
      <c r="JP5" s="0" t="str">
        <f aca="false" ca="false" dt2D="false" dtr="false" t="normal">MID($AQ$4, JP3, 2)</f>
        <v/>
      </c>
      <c r="JQ5" s="0" t="str">
        <f aca="false" ca="false" dt2D="false" dtr="false" t="normal">MID($AQ$4, JQ3, 2)</f>
        <v/>
      </c>
      <c r="JR5" s="0" t="str">
        <f aca="false" ca="false" dt2D="false" dtr="false" t="normal">MID($AQ$4, JR3, 2)</f>
        <v/>
      </c>
      <c r="JS5" s="0" t="str">
        <f aca="false" ca="false" dt2D="false" dtr="false" t="normal">MID($AQ$4, JS3, 2)</f>
        <v/>
      </c>
      <c r="JT5" s="0" t="str">
        <f aca="false" ca="false" dt2D="false" dtr="false" t="normal">MID($AQ$4, JT3, 2)</f>
        <v/>
      </c>
      <c r="JU5" s="0" t="str">
        <f aca="false" ca="false" dt2D="false" dtr="false" t="normal">MID($AQ$4, JU3, 2)</f>
        <v/>
      </c>
      <c r="JV5" s="0" t="str">
        <f aca="false" ca="false" dt2D="false" dtr="false" t="normal">MID($AQ$4, JV3, 2)</f>
        <v/>
      </c>
      <c r="JW5" s="0" t="str">
        <f aca="false" ca="false" dt2D="false" dtr="false" t="normal">MID($AQ$4, JW3, 2)</f>
        <v/>
      </c>
      <c r="JX5" s="0" t="str">
        <f aca="false" ca="false" dt2D="false" dtr="false" t="normal">MID($AQ$4, JX3, 2)</f>
        <v/>
      </c>
      <c r="JY5" s="0" t="str">
        <f aca="false" ca="false" dt2D="false" dtr="false" t="normal">MID($AQ$4, JY3, 2)</f>
        <v/>
      </c>
      <c r="JZ5" s="0" t="str">
        <f aca="false" ca="false" dt2D="false" dtr="false" t="normal">MID($AQ$4, JZ3, 2)</f>
        <v/>
      </c>
      <c r="KA5" s="0" t="str">
        <f aca="false" ca="false" dt2D="false" dtr="false" t="normal">MID($AQ$4, KA3, 2)</f>
        <v/>
      </c>
      <c r="KB5" s="0" t="str">
        <f aca="false" ca="false" dt2D="false" dtr="false" t="normal">MID($AQ$4, KB3, 2)</f>
        <v/>
      </c>
      <c r="KC5" s="0" t="str">
        <f aca="false" ca="false" dt2D="false" dtr="false" t="normal">MID($AQ$4, KC3, 2)</f>
        <v/>
      </c>
      <c r="KD5" s="0" t="str">
        <f aca="false" ca="false" dt2D="false" dtr="false" t="normal">MID($AQ$4, KD3, 2)</f>
        <v/>
      </c>
      <c r="KE5" s="0" t="str">
        <f aca="false" ca="false" dt2D="false" dtr="false" t="normal">MID($AQ$4, KE3, 2)</f>
        <v/>
      </c>
      <c r="KF5" s="0" t="str">
        <f aca="false" ca="false" dt2D="false" dtr="false" t="normal">MID($AQ$4, KF3, 2)</f>
        <v/>
      </c>
      <c r="KG5" s="0" t="str">
        <f aca="false" ca="false" dt2D="false" dtr="false" t="normal">MID($AQ$4, KG3, 2)</f>
        <v/>
      </c>
      <c r="KH5" s="0" t="str">
        <f aca="false" ca="false" dt2D="false" dtr="false" t="normal">MID($AQ$4, KH3, 2)</f>
        <v/>
      </c>
      <c r="KI5" s="0" t="str">
        <f aca="false" ca="false" dt2D="false" dtr="false" t="normal">MID($AQ$4, KI3, 2)</f>
        <v/>
      </c>
      <c r="KJ5" s="0" t="str">
        <f aca="false" ca="false" dt2D="false" dtr="false" t="normal">MID($AQ$4, KJ3, 2)</f>
        <v/>
      </c>
      <c r="KK5" s="0" t="str">
        <f aca="false" ca="false" dt2D="false" dtr="false" t="normal">MID($AQ$4, KK3, 2)</f>
        <v/>
      </c>
      <c r="KL5" s="0" t="str">
        <f aca="false" ca="false" dt2D="false" dtr="false" t="normal">MID($AQ$4, KL3, 2)</f>
        <v/>
      </c>
      <c r="KM5" s="0" t="str">
        <f aca="false" ca="false" dt2D="false" dtr="false" t="normal">MID($AQ$4, KM3, 2)</f>
        <v/>
      </c>
      <c r="KN5" s="0" t="str">
        <f aca="false" ca="false" dt2D="false" dtr="false" t="normal">MID($AQ$4, KN3, 2)</f>
        <v/>
      </c>
      <c r="KO5" s="0" t="str">
        <f aca="false" ca="false" dt2D="false" dtr="false" t="normal">MID($AQ$4, KO3, 2)</f>
        <v/>
      </c>
      <c r="KP5" s="0" t="str">
        <f aca="false" ca="false" dt2D="false" dtr="false" t="normal">MID($AQ$4, KP3, 2)</f>
        <v/>
      </c>
      <c r="KQ5" s="0" t="str">
        <f aca="false" ca="false" dt2D="false" dtr="false" t="normal">MID($AQ$4, KQ3, 2)</f>
        <v/>
      </c>
      <c r="KR5" s="0" t="str">
        <f aca="false" ca="false" dt2D="false" dtr="false" t="normal">MID($AQ$4, KR3, 2)</f>
        <v/>
      </c>
    </row>
    <row hidden="false" ht="15" outlineLevel="0" r="6">
      <c r="A6" s="91" t="s">
        <v>694</v>
      </c>
      <c r="B6" s="92" t="str">
        <f aca="false" ca="false" dt2D="false" dtr="false" t="normal">RIGHT(D35, 1)&amp;E35&amp;F35&amp;G35&amp;H32&amp;I32&amp;J32&amp;K32&amp;L32&amp;M32</f>
        <v>720G1G300000000002B</v>
      </c>
      <c r="C6" s="98" t="s">
        <v>185</v>
      </c>
      <c r="D6" s="53" t="n">
        <f aca="false" ca="false" dt2D="false" dtr="false" t="normal">HEX2BIN(D5, 8)</f>
        <v>111</v>
      </c>
      <c r="E6" s="53" t="n">
        <f aca="false" ca="false" dt2D="false" dtr="false" t="normal">HEX2BIN(E5, 8)</f>
        <v>100000</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1193" t="s">
        <v>695</v>
      </c>
      <c r="T6" s="136" t="n">
        <f aca="false" ca="false" dt2D="false" dtr="false" t="normal">MID(I6, 1, 1)</f>
        <v>0</v>
      </c>
      <c r="U6" s="137" t="n">
        <f aca="false" ca="false" dt2D="false" dtr="false" t="normal">T6</f>
        <v>0</v>
      </c>
      <c r="V6" s="120" t="s">
        <v>186</v>
      </c>
      <c r="W6" s="1194" t="s">
        <v>696</v>
      </c>
      <c r="X6" s="136" t="n">
        <f aca="false" ca="false" dt2D="false" dtr="false" t="normal">MID(J6, 1, 1)</f>
        <v>0</v>
      </c>
      <c r="Y6" s="137" t="n">
        <f aca="false" ca="false" dt2D="false" dtr="false" t="normal">X6</f>
        <v>0</v>
      </c>
      <c r="Z6" s="120" t="s">
        <v>186</v>
      </c>
      <c r="AA6" s="1195" t="s">
        <v>697</v>
      </c>
      <c r="AB6" s="136" t="n">
        <f aca="false" ca="false" dt2D="false" dtr="false" t="normal">MID(K6, 1, 1)</f>
        <v>0</v>
      </c>
      <c r="AC6" s="137" t="n">
        <f aca="false" ca="false" dt2D="false" dtr="false" t="normal">AB6</f>
        <v>0</v>
      </c>
      <c r="AD6" s="120" t="s">
        <v>186</v>
      </c>
      <c r="AE6" s="131" t="s">
        <v>196</v>
      </c>
      <c r="AF6" s="136" t="n">
        <f aca="false" ca="false" dt2D="false" dtr="false" t="normal">MID(L6, 1, 1)</f>
        <v>0</v>
      </c>
      <c r="AG6" s="137" t="n">
        <f aca="false" ca="false" dt2D="false" dtr="false" t="normal">AF6</f>
        <v>0</v>
      </c>
      <c r="AH6" s="120" t="s">
        <v>186</v>
      </c>
      <c r="AI6" s="139" t="s">
        <v>698</v>
      </c>
      <c r="AJ6" s="1196" t="s"/>
      <c r="AK6" s="1197" t="s"/>
      <c r="AO6" s="0" t="n">
        <f aca="false" ca="false" dt2D="false" dtr="false" t="normal">H142&amp;I142&amp;J142&amp;K142&amp;L142</f>
        <v>0</v>
      </c>
      <c r="AP6" s="0" t="n">
        <f aca="false" ca="false" dt2D="false" dtr="false" t="normal">AO6</f>
        <v>0</v>
      </c>
      <c r="AQ6" s="0" t="n">
        <f aca="false" ca="false" dt2D="false" dtr="false" t="normal">HEX2DEC(AQ5)</f>
        <v>0</v>
      </c>
      <c r="AR6" s="0" t="n">
        <f aca="false" ca="false" dt2D="false" dtr="false" t="normal">HEX2DEC(AR5)</f>
        <v>0</v>
      </c>
      <c r="AS6" s="0" t="n">
        <f aca="false" ca="false" dt2D="false" dtr="false" t="normal">HEX2DEC(AS5)</f>
        <v>0</v>
      </c>
      <c r="AT6" s="0" t="n">
        <f aca="false" ca="false" dt2D="false" dtr="false" t="normal">HEX2DEC(AT5)</f>
        <v>0</v>
      </c>
      <c r="AU6" s="0" t="n">
        <f aca="false" ca="false" dt2D="false" dtr="false" t="normal">HEX2DEC(AU5)</f>
        <v>0</v>
      </c>
      <c r="AV6" s="0" t="n">
        <f aca="false" ca="false" dt2D="false" dtr="false" t="normal">HEX2DEC(AV5)</f>
        <v>0</v>
      </c>
      <c r="AW6" s="0" t="n">
        <f aca="false" ca="false" dt2D="false" dtr="false" t="normal">HEX2DEC(AW5)</f>
        <v>0</v>
      </c>
      <c r="AX6" s="0" t="n">
        <f aca="false" ca="false" dt2D="false" dtr="false" t="normal">HEX2DEC(AX5)</f>
        <v>0</v>
      </c>
      <c r="AY6" s="0" t="n">
        <f aca="false" ca="false" dt2D="false" dtr="false" t="normal">HEX2DEC(AY5)</f>
        <v>0</v>
      </c>
      <c r="AZ6" s="0" t="n">
        <f aca="false" ca="false" dt2D="false" dtr="false" t="normal">HEX2DEC(AZ5)</f>
        <v>0</v>
      </c>
      <c r="BA6" s="0" t="n">
        <f aca="false" ca="false" dt2D="false" dtr="false" t="normal">HEX2DEC(BA5)</f>
        <v>0</v>
      </c>
      <c r="BB6" s="0" t="n">
        <f aca="false" ca="false" dt2D="false" dtr="false" t="normal">HEX2DEC(BB5)</f>
        <v>0</v>
      </c>
      <c r="BC6" s="0" t="n">
        <f aca="false" ca="false" dt2D="false" dtr="false" t="normal">HEX2DEC(BC5)</f>
        <v>0</v>
      </c>
      <c r="BD6" s="0" t="n">
        <f aca="false" ca="false" dt2D="false" dtr="false" t="normal">HEX2DEC(BD5)</f>
        <v>0</v>
      </c>
      <c r="BE6" s="0" t="n">
        <f aca="false" ca="false" dt2D="false" dtr="false" t="normal">HEX2DEC(BE5)</f>
        <v>0</v>
      </c>
      <c r="BF6" s="0" t="n">
        <f aca="false" ca="false" dt2D="false" dtr="false" t="normal">HEX2DEC(BF5)</f>
        <v>0</v>
      </c>
      <c r="BG6" s="0" t="n">
        <f aca="false" ca="false" dt2D="false" dtr="false" t="normal">HEX2DEC(BG5)</f>
        <v>0</v>
      </c>
      <c r="BH6" s="0" t="n">
        <f aca="false" ca="false" dt2D="false" dtr="false" t="normal">HEX2DEC(BH5)</f>
        <v>0</v>
      </c>
      <c r="BI6" s="0" t="n">
        <f aca="false" ca="false" dt2D="false" dtr="false" t="normal">HEX2DEC(BI5)</f>
        <v>0</v>
      </c>
      <c r="BJ6" s="0" t="n">
        <f aca="false" ca="false" dt2D="false" dtr="false" t="normal">HEX2DEC(BJ5)</f>
        <v>0</v>
      </c>
      <c r="BK6" s="0" t="n">
        <f aca="false" ca="false" dt2D="false" dtr="false" t="normal">HEX2DEC(BK5)</f>
        <v>0</v>
      </c>
      <c r="BL6" s="0" t="n">
        <f aca="false" ca="false" dt2D="false" dtr="false" t="normal">HEX2DEC(BL5)</f>
        <v>0</v>
      </c>
      <c r="BM6" s="0" t="n">
        <f aca="false" ca="false" dt2D="false" dtr="false" t="normal">HEX2DEC(BM5)</f>
        <v>0</v>
      </c>
      <c r="BN6" s="0" t="n">
        <f aca="false" ca="false" dt2D="false" dtr="false" t="normal">HEX2DEC(BN5)</f>
        <v>0</v>
      </c>
      <c r="BO6" s="0" t="n">
        <f aca="false" ca="false" dt2D="false" dtr="false" t="normal">HEX2DEC(BO5)</f>
        <v>0</v>
      </c>
      <c r="BP6" s="0" t="n">
        <f aca="false" ca="false" dt2D="false" dtr="false" t="normal">HEX2DEC(BP5)</f>
        <v>0</v>
      </c>
      <c r="BQ6" s="0" t="n">
        <f aca="false" ca="false" dt2D="false" dtr="false" t="normal">HEX2DEC(BQ5)</f>
        <v>0</v>
      </c>
      <c r="BR6" s="0" t="n">
        <f aca="false" ca="false" dt2D="false" dtr="false" t="normal">HEX2DEC(BR5)</f>
        <v>0</v>
      </c>
      <c r="BS6" s="0" t="n">
        <f aca="false" ca="false" dt2D="false" dtr="false" t="normal">HEX2DEC(BS5)</f>
        <v>0</v>
      </c>
      <c r="BT6" s="0" t="n">
        <f aca="false" ca="false" dt2D="false" dtr="false" t="normal">HEX2DEC(BT5)</f>
        <v>0</v>
      </c>
      <c r="BU6" s="0" t="n">
        <f aca="false" ca="false" dt2D="false" dtr="false" t="normal">HEX2DEC(BU5)</f>
        <v>0</v>
      </c>
      <c r="BV6" s="0" t="n">
        <f aca="false" ca="false" dt2D="false" dtr="false" t="normal">HEX2DEC(BV5)</f>
        <v>0</v>
      </c>
      <c r="BW6" s="0" t="n">
        <f aca="false" ca="false" dt2D="false" dtr="false" t="normal">HEX2DEC(BW5)</f>
        <v>0</v>
      </c>
      <c r="BX6" s="0" t="n">
        <f aca="false" ca="false" dt2D="false" dtr="false" t="normal">HEX2DEC(BX5)</f>
        <v>0</v>
      </c>
      <c r="BY6" s="0" t="n">
        <f aca="false" ca="false" dt2D="false" dtr="false" t="normal">HEX2DEC(BY5)</f>
        <v>0</v>
      </c>
      <c r="BZ6" s="0" t="n">
        <f aca="false" ca="false" dt2D="false" dtr="false" t="normal">HEX2DEC(BZ5)</f>
        <v>0</v>
      </c>
      <c r="CA6" s="0" t="n">
        <f aca="false" ca="false" dt2D="false" dtr="false" t="normal">HEX2DEC(CA5)</f>
        <v>0</v>
      </c>
      <c r="CB6" s="0" t="n">
        <f aca="false" ca="false" dt2D="false" dtr="false" t="normal">HEX2DEC(CB5)</f>
        <v>0</v>
      </c>
      <c r="CC6" s="0" t="n">
        <f aca="false" ca="false" dt2D="false" dtr="false" t="normal">HEX2DEC(CC5)</f>
        <v>0</v>
      </c>
      <c r="CD6" s="0" t="n">
        <f aca="false" ca="false" dt2D="false" dtr="false" t="normal">HEX2DEC(CD5)</f>
        <v>0</v>
      </c>
      <c r="CE6" s="0" t="n">
        <f aca="false" ca="false" dt2D="false" dtr="false" t="normal">HEX2DEC(CE5)</f>
        <v>0</v>
      </c>
      <c r="CF6" s="0" t="n">
        <f aca="false" ca="false" dt2D="false" dtr="false" t="normal">HEX2DEC(CF5)</f>
        <v>0</v>
      </c>
      <c r="CG6" s="0" t="n">
        <f aca="false" ca="false" dt2D="false" dtr="false" t="normal">HEX2DEC(CG5)</f>
        <v>0</v>
      </c>
      <c r="CH6" s="0" t="n">
        <f aca="false" ca="false" dt2D="false" dtr="false" t="normal">HEX2DEC(CH5)</f>
        <v>0</v>
      </c>
      <c r="CI6" s="0" t="n">
        <f aca="false" ca="false" dt2D="false" dtr="false" t="normal">HEX2DEC(CI5)</f>
        <v>0</v>
      </c>
      <c r="CJ6" s="0" t="n">
        <f aca="false" ca="false" dt2D="false" dtr="false" t="normal">HEX2DEC(CJ5)</f>
        <v>0</v>
      </c>
      <c r="CK6" s="0" t="n">
        <f aca="false" ca="false" dt2D="false" dtr="false" t="normal">HEX2DEC(CK5)</f>
        <v>0</v>
      </c>
      <c r="CL6" s="0" t="n">
        <f aca="false" ca="false" dt2D="false" dtr="false" t="normal">HEX2DEC(CL5)</f>
        <v>0</v>
      </c>
      <c r="CM6" s="0" t="n">
        <f aca="false" ca="false" dt2D="false" dtr="false" t="normal">HEX2DEC(CM5)</f>
        <v>0</v>
      </c>
      <c r="CN6" s="0" t="n">
        <f aca="false" ca="false" dt2D="false" dtr="false" t="normal">HEX2DEC(CN5)</f>
        <v>0</v>
      </c>
      <c r="CO6" s="0" t="n">
        <f aca="false" ca="false" dt2D="false" dtr="false" t="normal">HEX2DEC(CO5)</f>
        <v>0</v>
      </c>
      <c r="CP6" s="0" t="n">
        <f aca="false" ca="false" dt2D="false" dtr="false" t="normal">HEX2DEC(CP5)</f>
        <v>0</v>
      </c>
      <c r="CQ6" s="0" t="n">
        <f aca="false" ca="false" dt2D="false" dtr="false" t="normal">HEX2DEC(CQ5)</f>
        <v>0</v>
      </c>
      <c r="CR6" s="0" t="n">
        <f aca="false" ca="false" dt2D="false" dtr="false" t="normal">HEX2DEC(CR5)</f>
        <v>0</v>
      </c>
      <c r="CS6" s="0" t="n">
        <f aca="false" ca="false" dt2D="false" dtr="false" t="normal">HEX2DEC(CS5)</f>
        <v>0</v>
      </c>
      <c r="CT6" s="0" t="n">
        <f aca="false" ca="false" dt2D="false" dtr="false" t="normal">HEX2DEC(CT5)</f>
        <v>0</v>
      </c>
      <c r="CU6" s="0" t="n">
        <f aca="false" ca="false" dt2D="false" dtr="false" t="normal">HEX2DEC(CU5)</f>
        <v>0</v>
      </c>
      <c r="CV6" s="0" t="n">
        <f aca="false" ca="false" dt2D="false" dtr="false" t="normal">HEX2DEC(CV5)</f>
        <v>0</v>
      </c>
      <c r="CW6" s="0" t="n">
        <f aca="false" ca="false" dt2D="false" dtr="false" t="normal">HEX2DEC(CW5)</f>
        <v>0</v>
      </c>
      <c r="CX6" s="0" t="n">
        <f aca="false" ca="false" dt2D="false" dtr="false" t="normal">HEX2DEC(CX5)</f>
        <v>0</v>
      </c>
      <c r="CY6" s="0" t="n">
        <f aca="false" ca="false" dt2D="false" dtr="false" t="normal">HEX2DEC(CY5)</f>
        <v>0</v>
      </c>
      <c r="CZ6" s="0" t="n">
        <f aca="false" ca="false" dt2D="false" dtr="false" t="normal">HEX2DEC(CZ5)</f>
        <v>0</v>
      </c>
      <c r="DA6" s="0" t="n">
        <f aca="false" ca="false" dt2D="false" dtr="false" t="normal">HEX2DEC(DA5)</f>
        <v>0</v>
      </c>
      <c r="DB6" s="0" t="n">
        <f aca="false" ca="false" dt2D="false" dtr="false" t="normal">HEX2DEC(DB5)</f>
        <v>0</v>
      </c>
      <c r="DC6" s="0" t="n">
        <f aca="false" ca="false" dt2D="false" dtr="false" t="normal">HEX2DEC(DC5)</f>
        <v>0</v>
      </c>
      <c r="DD6" s="0" t="n">
        <f aca="false" ca="false" dt2D="false" dtr="false" t="normal">HEX2DEC(DD5)</f>
        <v>0</v>
      </c>
      <c r="DE6" s="0" t="n">
        <f aca="false" ca="false" dt2D="false" dtr="false" t="normal">HEX2DEC(DE5)</f>
        <v>0</v>
      </c>
      <c r="DF6" s="0" t="n">
        <f aca="false" ca="false" dt2D="false" dtr="false" t="normal">HEX2DEC(DF5)</f>
        <v>0</v>
      </c>
      <c r="DG6" s="0" t="n">
        <f aca="false" ca="false" dt2D="false" dtr="false" t="normal">HEX2DEC(DG5)</f>
        <v>0</v>
      </c>
      <c r="DH6" s="0" t="n">
        <f aca="false" ca="false" dt2D="false" dtr="false" t="normal">HEX2DEC(DH5)</f>
        <v>0</v>
      </c>
      <c r="DI6" s="0" t="n">
        <f aca="false" ca="false" dt2D="false" dtr="false" t="normal">HEX2DEC(DI5)</f>
        <v>0</v>
      </c>
      <c r="DJ6" s="0" t="n">
        <f aca="false" ca="false" dt2D="false" dtr="false" t="normal">HEX2DEC(DJ5)</f>
        <v>0</v>
      </c>
      <c r="DK6" s="0" t="n">
        <f aca="false" ca="false" dt2D="false" dtr="false" t="normal">HEX2DEC(DK5)</f>
        <v>0</v>
      </c>
      <c r="DL6" s="0" t="n">
        <f aca="false" ca="false" dt2D="false" dtr="false" t="normal">HEX2DEC(DL5)</f>
        <v>0</v>
      </c>
      <c r="DM6" s="0" t="n">
        <f aca="false" ca="false" dt2D="false" dtr="false" t="normal">HEX2DEC(DM5)</f>
        <v>0</v>
      </c>
      <c r="DN6" s="0" t="n">
        <f aca="false" ca="false" dt2D="false" dtr="false" t="normal">HEX2DEC(DN5)</f>
        <v>0</v>
      </c>
      <c r="DO6" s="0" t="n">
        <f aca="false" ca="false" dt2D="false" dtr="false" t="normal">HEX2DEC(DO5)</f>
        <v>0</v>
      </c>
      <c r="DP6" s="0" t="n">
        <f aca="false" ca="false" dt2D="false" dtr="false" t="normal">HEX2DEC(DP5)</f>
        <v>0</v>
      </c>
      <c r="DQ6" s="0" t="n">
        <f aca="false" ca="false" dt2D="false" dtr="false" t="normal">HEX2DEC(DQ5)</f>
        <v>0</v>
      </c>
      <c r="DR6" s="0" t="n">
        <f aca="false" ca="false" dt2D="false" dtr="false" t="normal">HEX2DEC(DR5)</f>
        <v>0</v>
      </c>
      <c r="DS6" s="0" t="n">
        <f aca="false" ca="false" dt2D="false" dtr="false" t="normal">HEX2DEC(DS5)</f>
        <v>0</v>
      </c>
      <c r="DT6" s="0" t="n">
        <f aca="false" ca="false" dt2D="false" dtr="false" t="normal">HEX2DEC(DT5)</f>
        <v>0</v>
      </c>
      <c r="DU6" s="0" t="n">
        <f aca="false" ca="false" dt2D="false" dtr="false" t="normal">HEX2DEC(DU5)</f>
        <v>0</v>
      </c>
      <c r="DV6" s="0" t="n">
        <f aca="false" ca="false" dt2D="false" dtr="false" t="normal">HEX2DEC(DV5)</f>
        <v>0</v>
      </c>
      <c r="DW6" s="0" t="n">
        <f aca="false" ca="false" dt2D="false" dtr="false" t="normal">HEX2DEC(DW5)</f>
        <v>0</v>
      </c>
      <c r="DX6" s="0" t="n">
        <f aca="false" ca="false" dt2D="false" dtr="false" t="normal">HEX2DEC(DX5)</f>
        <v>0</v>
      </c>
      <c r="DY6" s="0" t="n">
        <f aca="false" ca="false" dt2D="false" dtr="false" t="normal">HEX2DEC(DY5)</f>
        <v>0</v>
      </c>
      <c r="DZ6" s="0" t="n">
        <f aca="false" ca="false" dt2D="false" dtr="false" t="normal">HEX2DEC(DZ5)</f>
        <v>0</v>
      </c>
      <c r="EA6" s="0" t="n">
        <f aca="false" ca="false" dt2D="false" dtr="false" t="normal">HEX2DEC(EA5)</f>
        <v>0</v>
      </c>
      <c r="EB6" s="0" t="n">
        <f aca="false" ca="false" dt2D="false" dtr="false" t="normal">HEX2DEC(EB5)</f>
        <v>0</v>
      </c>
      <c r="EC6" s="0" t="n">
        <f aca="false" ca="false" dt2D="false" dtr="false" t="normal">HEX2DEC(EC5)</f>
        <v>0</v>
      </c>
      <c r="ED6" s="0" t="n">
        <f aca="false" ca="false" dt2D="false" dtr="false" t="normal">HEX2DEC(ED5)</f>
        <v>0</v>
      </c>
      <c r="EE6" s="0" t="n">
        <f aca="false" ca="false" dt2D="false" dtr="false" t="normal">HEX2DEC(EE5)</f>
        <v>0</v>
      </c>
      <c r="EF6" s="0" t="n">
        <f aca="false" ca="false" dt2D="false" dtr="false" t="normal">HEX2DEC(EF5)</f>
        <v>0</v>
      </c>
      <c r="EG6" s="0" t="n">
        <f aca="false" ca="false" dt2D="false" dtr="false" t="normal">HEX2DEC(EG5)</f>
        <v>0</v>
      </c>
      <c r="EH6" s="0" t="n">
        <f aca="false" ca="false" dt2D="false" dtr="false" t="normal">HEX2DEC(EH5)</f>
        <v>0</v>
      </c>
      <c r="EI6" s="0" t="n">
        <f aca="false" ca="false" dt2D="false" dtr="false" t="normal">HEX2DEC(EI5)</f>
        <v>0</v>
      </c>
      <c r="EJ6" s="0" t="n">
        <f aca="false" ca="false" dt2D="false" dtr="false" t="normal">HEX2DEC(EJ5)</f>
        <v>0</v>
      </c>
      <c r="EK6" s="0" t="n">
        <f aca="false" ca="false" dt2D="false" dtr="false" t="normal">HEX2DEC(EK5)</f>
        <v>0</v>
      </c>
      <c r="EL6" s="0" t="n">
        <f aca="false" ca="false" dt2D="false" dtr="false" t="normal">HEX2DEC(EL5)</f>
        <v>0</v>
      </c>
      <c r="EM6" s="0" t="n">
        <f aca="false" ca="false" dt2D="false" dtr="false" t="normal">HEX2DEC(EM5)</f>
        <v>0</v>
      </c>
      <c r="EN6" s="0" t="n">
        <f aca="false" ca="false" dt2D="false" dtr="false" t="normal">HEX2DEC(EN5)</f>
        <v>0</v>
      </c>
      <c r="EO6" s="0" t="n">
        <f aca="false" ca="false" dt2D="false" dtr="false" t="normal">HEX2DEC(EO5)</f>
        <v>0</v>
      </c>
      <c r="EP6" s="0" t="n">
        <f aca="false" ca="false" dt2D="false" dtr="false" t="normal">HEX2DEC(EP5)</f>
        <v>0</v>
      </c>
      <c r="EQ6" s="0" t="n">
        <f aca="false" ca="false" dt2D="false" dtr="false" t="normal">HEX2DEC(EQ5)</f>
        <v>0</v>
      </c>
      <c r="ER6" s="0" t="n">
        <f aca="false" ca="false" dt2D="false" dtr="false" t="normal">HEX2DEC(ER5)</f>
        <v>0</v>
      </c>
      <c r="ES6" s="0" t="n">
        <f aca="false" ca="false" dt2D="false" dtr="false" t="normal">HEX2DEC(ES5)</f>
        <v>0</v>
      </c>
      <c r="ET6" s="0" t="n">
        <f aca="false" ca="false" dt2D="false" dtr="false" t="normal">HEX2DEC(ET5)</f>
        <v>0</v>
      </c>
      <c r="EU6" s="0" t="n">
        <f aca="false" ca="false" dt2D="false" dtr="false" t="normal">HEX2DEC(EU5)</f>
        <v>0</v>
      </c>
      <c r="EV6" s="0" t="n">
        <f aca="false" ca="false" dt2D="false" dtr="false" t="normal">HEX2DEC(EV5)</f>
        <v>0</v>
      </c>
      <c r="EW6" s="0" t="n">
        <f aca="false" ca="false" dt2D="false" dtr="false" t="normal">HEX2DEC(EW5)</f>
        <v>0</v>
      </c>
      <c r="EX6" s="0" t="n">
        <f aca="false" ca="false" dt2D="false" dtr="false" t="normal">HEX2DEC(EX5)</f>
        <v>0</v>
      </c>
      <c r="EY6" s="0" t="n">
        <f aca="false" ca="false" dt2D="false" dtr="false" t="normal">HEX2DEC(EY5)</f>
        <v>0</v>
      </c>
      <c r="EZ6" s="0" t="n">
        <f aca="false" ca="false" dt2D="false" dtr="false" t="normal">HEX2DEC(EZ5)</f>
        <v>0</v>
      </c>
      <c r="FA6" s="0" t="n">
        <f aca="false" ca="false" dt2D="false" dtr="false" t="normal">HEX2DEC(FA5)</f>
        <v>0</v>
      </c>
      <c r="FB6" s="0" t="n">
        <f aca="false" ca="false" dt2D="false" dtr="false" t="normal">HEX2DEC(FB5)</f>
        <v>0</v>
      </c>
      <c r="FC6" s="0" t="n">
        <f aca="false" ca="false" dt2D="false" dtr="false" t="normal">HEX2DEC(FC5)</f>
        <v>0</v>
      </c>
      <c r="FD6" s="0" t="n">
        <f aca="false" ca="false" dt2D="false" dtr="false" t="normal">HEX2DEC(FD5)</f>
        <v>0</v>
      </c>
      <c r="FE6" s="0" t="n">
        <f aca="false" ca="false" dt2D="false" dtr="false" t="normal">HEX2DEC(FE5)</f>
        <v>0</v>
      </c>
      <c r="FF6" s="0" t="n">
        <f aca="false" ca="false" dt2D="false" dtr="false" t="normal">HEX2DEC(FF5)</f>
        <v>0</v>
      </c>
      <c r="FG6" s="0" t="n">
        <f aca="false" ca="false" dt2D="false" dtr="false" t="normal">HEX2DEC(FG5)</f>
        <v>0</v>
      </c>
      <c r="FH6" s="0" t="n">
        <f aca="false" ca="false" dt2D="false" dtr="false" t="normal">HEX2DEC(FH5)</f>
        <v>0</v>
      </c>
      <c r="FI6" s="0" t="n">
        <f aca="false" ca="false" dt2D="false" dtr="false" t="normal">HEX2DEC(FI5)</f>
        <v>0</v>
      </c>
      <c r="FJ6" s="0" t="n">
        <f aca="false" ca="false" dt2D="false" dtr="false" t="normal">HEX2DEC(FJ5)</f>
        <v>0</v>
      </c>
      <c r="FK6" s="0" t="n">
        <f aca="false" ca="false" dt2D="false" dtr="false" t="normal">HEX2DEC(FK5)</f>
        <v>0</v>
      </c>
      <c r="FL6" s="0" t="n">
        <f aca="false" ca="false" dt2D="false" dtr="false" t="normal">HEX2DEC(FL5)</f>
        <v>0</v>
      </c>
      <c r="FM6" s="0" t="n">
        <f aca="false" ca="false" dt2D="false" dtr="false" t="normal">HEX2DEC(FM5)</f>
        <v>0</v>
      </c>
      <c r="FN6" s="0" t="n">
        <f aca="false" ca="false" dt2D="false" dtr="false" t="normal">HEX2DEC(FN5)</f>
        <v>0</v>
      </c>
      <c r="FO6" s="0" t="n">
        <f aca="false" ca="false" dt2D="false" dtr="false" t="normal">HEX2DEC(FO5)</f>
        <v>0</v>
      </c>
      <c r="FP6" s="0" t="n">
        <f aca="false" ca="false" dt2D="false" dtr="false" t="normal">HEX2DEC(FP5)</f>
        <v>0</v>
      </c>
      <c r="FQ6" s="0" t="n">
        <f aca="false" ca="false" dt2D="false" dtr="false" t="normal">HEX2DEC(FQ5)</f>
        <v>0</v>
      </c>
      <c r="FR6" s="0" t="n">
        <f aca="false" ca="false" dt2D="false" dtr="false" t="normal">HEX2DEC(FR5)</f>
        <v>0</v>
      </c>
      <c r="FS6" s="0" t="n">
        <f aca="false" ca="false" dt2D="false" dtr="false" t="normal">HEX2DEC(FS5)</f>
        <v>0</v>
      </c>
      <c r="FT6" s="0" t="n">
        <f aca="false" ca="false" dt2D="false" dtr="false" t="normal">HEX2DEC(FT5)</f>
        <v>0</v>
      </c>
      <c r="FU6" s="0" t="n">
        <f aca="false" ca="false" dt2D="false" dtr="false" t="normal">HEX2DEC(FU5)</f>
        <v>83</v>
      </c>
      <c r="FV6" s="0" t="n">
        <f aca="false" ca="false" dt2D="false" dtr="false" t="normal">HEX2DEC(FV5)</f>
        <v>0</v>
      </c>
      <c r="FW6" s="0" t="n">
        <f aca="false" ca="false" dt2D="false" dtr="false" t="normal">HEX2DEC(FW5)</f>
        <v>0</v>
      </c>
      <c r="FX6" s="0" t="n">
        <f aca="false" ca="false" dt2D="false" dtr="false" t="normal">HEX2DEC(FX5)</f>
        <v>0</v>
      </c>
      <c r="FY6" s="0" t="n">
        <f aca="false" ca="false" dt2D="false" dtr="false" t="normal">HEX2DEC(FY5)</f>
        <v>0</v>
      </c>
      <c r="FZ6" s="0" t="n">
        <f aca="false" ca="false" dt2D="false" dtr="false" t="normal">HEX2DEC(FZ5)</f>
        <v>0</v>
      </c>
      <c r="GA6" s="0" t="n">
        <f aca="false" ca="false" dt2D="false" dtr="false" t="normal">HEX2DEC(GA5)</f>
        <v>0</v>
      </c>
      <c r="GB6" s="0" t="n">
        <f aca="false" ca="false" dt2D="false" dtr="false" t="normal">HEX2DEC(GB5)</f>
        <v>0</v>
      </c>
      <c r="GC6" s="0" t="n">
        <f aca="false" ca="false" dt2D="false" dtr="false" t="normal">HEX2DEC(GC5)</f>
        <v>0</v>
      </c>
      <c r="GD6" s="0" t="n">
        <f aca="false" ca="false" dt2D="false" dtr="false" t="normal">HEX2DEC(GD5)</f>
        <v>0</v>
      </c>
      <c r="GE6" s="0" t="n">
        <f aca="false" ca="false" dt2D="false" dtr="false" t="normal">HEX2DEC(GE5)</f>
        <v>0</v>
      </c>
      <c r="GF6" s="0" t="n">
        <f aca="false" ca="false" dt2D="false" dtr="false" t="normal">HEX2DEC(GF5)</f>
        <v>0</v>
      </c>
      <c r="GG6" s="0" t="n">
        <f aca="false" ca="false" dt2D="false" dtr="false" t="normal">HEX2DEC(GG5)</f>
        <v>0</v>
      </c>
      <c r="GH6" s="0" t="n">
        <f aca="false" ca="false" dt2D="false" dtr="false" t="normal">HEX2DEC(GH5)</f>
        <v>0</v>
      </c>
      <c r="GI6" s="0" t="n">
        <f aca="false" ca="false" dt2D="false" dtr="false" t="normal">HEX2DEC(GI5)</f>
        <v>0</v>
      </c>
      <c r="GJ6" s="0" t="n">
        <f aca="false" ca="false" dt2D="false" dtr="false" t="normal">HEX2DEC(GJ5)</f>
        <v>0</v>
      </c>
      <c r="GK6" s="0" t="n">
        <f aca="false" ca="false" dt2D="false" dtr="false" t="normal">HEX2DEC(GK5)</f>
        <v>0</v>
      </c>
      <c r="GL6" s="0" t="n">
        <f aca="false" ca="false" dt2D="false" dtr="false" t="normal">HEX2DEC(GL5)</f>
        <v>0</v>
      </c>
      <c r="GM6" s="0" t="n">
        <f aca="false" ca="false" dt2D="false" dtr="false" t="normal">HEX2DEC(GM5)</f>
        <v>0</v>
      </c>
      <c r="GN6" s="0" t="n">
        <f aca="false" ca="false" dt2D="false" dtr="false" t="normal">HEX2DEC(GN5)</f>
        <v>0</v>
      </c>
      <c r="GO6" s="0" t="n">
        <f aca="false" ca="false" dt2D="false" dtr="false" t="normal">HEX2DEC(GO5)</f>
        <v>0</v>
      </c>
      <c r="GP6" s="0" t="n">
        <f aca="false" ca="false" dt2D="false" dtr="false" t="normal">HEX2DEC(GP5)</f>
        <v>0</v>
      </c>
      <c r="GQ6" s="0" t="n">
        <f aca="false" ca="false" dt2D="false" dtr="false" t="normal">HEX2DEC(GQ5)</f>
        <v>0</v>
      </c>
      <c r="GR6" s="0" t="n">
        <f aca="false" ca="false" dt2D="false" dtr="false" t="normal">HEX2DEC(GR5)</f>
        <v>0</v>
      </c>
      <c r="GS6" s="0" t="n">
        <f aca="false" ca="false" dt2D="false" dtr="false" t="normal">HEX2DEC(GS5)</f>
        <v>0</v>
      </c>
      <c r="GT6" s="0" t="n">
        <f aca="false" ca="false" dt2D="false" dtr="false" t="normal">HEX2DEC(GT5)</f>
        <v>0</v>
      </c>
      <c r="GU6" s="0" t="n">
        <f aca="false" ca="false" dt2D="false" dtr="false" t="normal">HEX2DEC(GU5)</f>
        <v>0</v>
      </c>
      <c r="GV6" s="0" t="n">
        <f aca="false" ca="false" dt2D="false" dtr="false" t="normal">HEX2DEC(GV5)</f>
        <v>0</v>
      </c>
      <c r="GW6" s="0" t="n">
        <f aca="false" ca="false" dt2D="false" dtr="false" t="normal">HEX2DEC(GW5)</f>
        <v>0</v>
      </c>
      <c r="GX6" s="0" t="n">
        <f aca="false" ca="false" dt2D="false" dtr="false" t="normal">HEX2DEC(GX5)</f>
        <v>0</v>
      </c>
      <c r="GY6" s="0" t="n">
        <f aca="false" ca="false" dt2D="false" dtr="false" t="normal">HEX2DEC(GY5)</f>
        <v>0</v>
      </c>
      <c r="GZ6" s="0" t="n">
        <f aca="false" ca="false" dt2D="false" dtr="false" t="normal">HEX2DEC(GZ5)</f>
        <v>0</v>
      </c>
      <c r="HA6" s="0" t="n">
        <f aca="false" ca="false" dt2D="false" dtr="false" t="normal">HEX2DEC(HA5)</f>
        <v>0</v>
      </c>
      <c r="HB6" s="0" t="n">
        <f aca="false" ca="false" dt2D="false" dtr="false" t="normal">HEX2DEC(HB5)</f>
        <v>0</v>
      </c>
      <c r="HC6" s="0" t="n">
        <f aca="false" ca="false" dt2D="false" dtr="false" t="normal">HEX2DEC(HC5)</f>
        <v>0</v>
      </c>
      <c r="HD6" s="0" t="n">
        <f aca="false" ca="false" dt2D="false" dtr="false" t="normal">HEX2DEC(HD5)</f>
        <v>0</v>
      </c>
      <c r="HE6" s="0" t="n">
        <f aca="false" ca="false" dt2D="false" dtr="false" t="normal">HEX2DEC(HE5)</f>
        <v>0</v>
      </c>
      <c r="HF6" s="0" t="n">
        <f aca="false" ca="false" dt2D="false" dtr="false" t="normal">HEX2DEC(HF5)</f>
        <v>0</v>
      </c>
      <c r="HG6" s="0" t="n">
        <f aca="false" ca="false" dt2D="false" dtr="false" t="normal">HEX2DEC(HG5)</f>
        <v>0</v>
      </c>
      <c r="HH6" s="0" t="n">
        <f aca="false" ca="false" dt2D="false" dtr="false" t="normal">HEX2DEC(HH5)</f>
        <v>0</v>
      </c>
      <c r="HI6" s="0" t="n">
        <f aca="false" ca="false" dt2D="false" dtr="false" t="normal">HEX2DEC(HI5)</f>
        <v>0</v>
      </c>
      <c r="HJ6" s="0" t="n">
        <f aca="false" ca="false" dt2D="false" dtr="false" t="normal">HEX2DEC(HJ5)</f>
        <v>0</v>
      </c>
      <c r="HK6" s="0" t="n">
        <f aca="false" ca="false" dt2D="false" dtr="false" t="normal">HEX2DEC(HK5)</f>
        <v>0</v>
      </c>
      <c r="HL6" s="0" t="n">
        <f aca="false" ca="false" dt2D="false" dtr="false" t="normal">HEX2DEC(HL5)</f>
        <v>0</v>
      </c>
      <c r="HM6" s="0" t="n">
        <f aca="false" ca="false" dt2D="false" dtr="false" t="normal">HEX2DEC(HM5)</f>
        <v>0</v>
      </c>
      <c r="HN6" s="0" t="n">
        <f aca="false" ca="false" dt2D="false" dtr="false" t="normal">HEX2DEC(HN5)</f>
        <v>0</v>
      </c>
      <c r="HO6" s="0" t="n">
        <f aca="false" ca="false" dt2D="false" dtr="false" t="normal">HEX2DEC(HO5)</f>
        <v>0</v>
      </c>
      <c r="HP6" s="0" t="n">
        <f aca="false" ca="false" dt2D="false" dtr="false" t="normal">HEX2DEC(HP5)</f>
        <v>0</v>
      </c>
      <c r="HQ6" s="0" t="n">
        <f aca="false" ca="false" dt2D="false" dtr="false" t="normal">HEX2DEC(HQ5)</f>
        <v>0</v>
      </c>
      <c r="HR6" s="0" t="n">
        <f aca="false" ca="false" dt2D="false" dtr="false" t="normal">HEX2DEC(HR5)</f>
        <v>0</v>
      </c>
      <c r="HS6" s="0" t="n">
        <f aca="false" ca="false" dt2D="false" dtr="false" t="normal">HEX2DEC(HS5)</f>
        <v>0</v>
      </c>
      <c r="HT6" s="0" t="n">
        <f aca="false" ca="false" dt2D="false" dtr="false" t="normal">HEX2DEC(HT5)</f>
        <v>0</v>
      </c>
      <c r="HU6" s="0" t="n">
        <f aca="false" ca="false" dt2D="false" dtr="false" t="normal">HEX2DEC(HU5)</f>
        <v>0</v>
      </c>
      <c r="HV6" s="0" t="n">
        <f aca="false" ca="false" dt2D="false" dtr="false" t="normal">HEX2DEC(HV5)</f>
        <v>0</v>
      </c>
      <c r="HW6" s="0" t="n">
        <f aca="false" ca="false" dt2D="false" dtr="false" t="normal">HEX2DEC(HW5)</f>
        <v>0</v>
      </c>
      <c r="HX6" s="0" t="n">
        <f aca="false" ca="false" dt2D="false" dtr="false" t="normal">HEX2DEC(HX5)</f>
        <v>0</v>
      </c>
      <c r="HY6" s="0" t="n">
        <f aca="false" ca="false" dt2D="false" dtr="false" t="normal">HEX2DEC(HY5)</f>
        <v>0</v>
      </c>
      <c r="HZ6" s="0" t="n">
        <f aca="false" ca="false" dt2D="false" dtr="false" t="normal">HEX2DEC(HZ5)</f>
        <v>0</v>
      </c>
      <c r="IA6" s="0" t="n">
        <f aca="false" ca="false" dt2D="false" dtr="false" t="normal">HEX2DEC(IA5)</f>
        <v>0</v>
      </c>
      <c r="IB6" s="0" t="n">
        <f aca="false" ca="false" dt2D="false" dtr="false" t="normal">HEX2DEC(IB5)</f>
        <v>0</v>
      </c>
      <c r="IC6" s="0" t="n">
        <f aca="false" ca="false" dt2D="false" dtr="false" t="normal">HEX2DEC(IC5)</f>
        <v>0</v>
      </c>
      <c r="ID6" s="0" t="n">
        <f aca="false" ca="false" dt2D="false" dtr="false" t="normal">HEX2DEC(ID5)</f>
        <v>0</v>
      </c>
      <c r="IE6" s="0" t="n">
        <f aca="false" ca="false" dt2D="false" dtr="false" t="normal">HEX2DEC(IE5)</f>
        <v>0</v>
      </c>
      <c r="IF6" s="0" t="n">
        <f aca="false" ca="false" dt2D="false" dtr="false" t="normal">HEX2DEC(IF5)</f>
        <v>0</v>
      </c>
      <c r="IG6" s="0" t="n">
        <f aca="false" ca="false" dt2D="false" dtr="false" t="normal">HEX2DEC(IG5)</f>
        <v>0</v>
      </c>
      <c r="IH6" s="0" t="n">
        <f aca="false" ca="false" dt2D="false" dtr="false" t="normal">HEX2DEC(IH5)</f>
        <v>0</v>
      </c>
      <c r="II6" s="0" t="n">
        <f aca="false" ca="false" dt2D="false" dtr="false" t="normal">HEX2DEC(II5)</f>
        <v>0</v>
      </c>
      <c r="IJ6" s="0" t="n">
        <f aca="false" ca="false" dt2D="false" dtr="false" t="normal">HEX2DEC(IJ5)</f>
        <v>0</v>
      </c>
      <c r="IK6" s="0" t="n">
        <f aca="false" ca="false" dt2D="false" dtr="false" t="normal">HEX2DEC(IK5)</f>
        <v>0</v>
      </c>
      <c r="IL6" s="0" t="n">
        <f aca="false" ca="false" dt2D="false" dtr="false" t="normal">HEX2DEC(IL5)</f>
        <v>0</v>
      </c>
      <c r="IM6" s="0" t="n">
        <f aca="false" ca="false" dt2D="false" dtr="false" t="normal">HEX2DEC(IM5)</f>
        <v>0</v>
      </c>
      <c r="IN6" s="0" t="n">
        <f aca="false" ca="false" dt2D="false" dtr="false" t="normal">HEX2DEC(IN5)</f>
        <v>0</v>
      </c>
      <c r="IO6" s="0" t="n">
        <f aca="false" ca="false" dt2D="false" dtr="false" t="normal">HEX2DEC(IO5)</f>
        <v>0</v>
      </c>
      <c r="IP6" s="0" t="n">
        <f aca="false" ca="false" dt2D="false" dtr="false" t="normal">HEX2DEC(IP5)</f>
        <v>0</v>
      </c>
      <c r="IQ6" s="0" t="n">
        <f aca="false" ca="false" dt2D="false" dtr="false" t="normal">HEX2DEC(IQ5)</f>
        <v>0</v>
      </c>
      <c r="IR6" s="0" t="n">
        <f aca="false" ca="false" dt2D="false" dtr="false" t="normal">HEX2DEC(IR5)</f>
        <v>0</v>
      </c>
      <c r="IS6" s="0" t="n">
        <f aca="false" ca="false" dt2D="false" dtr="false" t="normal">HEX2DEC(IS5)</f>
        <v>0</v>
      </c>
      <c r="IT6" s="0" t="n">
        <f aca="false" ca="false" dt2D="false" dtr="false" t="normal">HEX2DEC(IT5)</f>
        <v>0</v>
      </c>
      <c r="IU6" s="0" t="n">
        <f aca="false" ca="false" dt2D="false" dtr="false" t="normal">HEX2DEC(IU5)</f>
        <v>0</v>
      </c>
      <c r="IV6" s="0" t="n">
        <f aca="false" ca="false" dt2D="false" dtr="false" t="normal">HEX2DEC(IV5)</f>
        <v>0</v>
      </c>
      <c r="IW6" s="0" t="n">
        <f aca="false" ca="false" dt2D="false" dtr="false" t="normal">HEX2DEC(IW5)</f>
        <v>0</v>
      </c>
      <c r="IX6" s="0" t="n">
        <f aca="false" ca="false" dt2D="false" dtr="false" t="normal">HEX2DEC(IX5)</f>
        <v>0</v>
      </c>
      <c r="IY6" s="0" t="n">
        <f aca="false" ca="false" dt2D="false" dtr="false" t="normal">HEX2DEC(IY5)</f>
        <v>0</v>
      </c>
      <c r="IZ6" s="0" t="n">
        <f aca="false" ca="false" dt2D="false" dtr="false" t="normal">HEX2DEC(IZ5)</f>
        <v>0</v>
      </c>
      <c r="JA6" s="0" t="n">
        <f aca="false" ca="false" dt2D="false" dtr="false" t="normal">HEX2DEC(JA5)</f>
        <v>0</v>
      </c>
      <c r="JB6" s="0" t="n">
        <f aca="false" ca="false" dt2D="false" dtr="false" t="normal">HEX2DEC(JB5)</f>
        <v>0</v>
      </c>
      <c r="JC6" s="0" t="n">
        <f aca="false" ca="false" dt2D="false" dtr="false" t="normal">HEX2DEC(JC5)</f>
        <v>0</v>
      </c>
      <c r="JD6" s="0" t="n">
        <f aca="false" ca="false" dt2D="false" dtr="false" t="normal">HEX2DEC(JD5)</f>
        <v>0</v>
      </c>
      <c r="JE6" s="0" t="n">
        <f aca="false" ca="false" dt2D="false" dtr="false" t="normal">HEX2DEC(JE5)</f>
        <v>0</v>
      </c>
      <c r="JF6" s="0" t="n">
        <f aca="false" ca="false" dt2D="false" dtr="false" t="normal">HEX2DEC(JF5)</f>
        <v>0</v>
      </c>
      <c r="JG6" s="0" t="n">
        <f aca="false" ca="false" dt2D="false" dtr="false" t="normal">HEX2DEC(JG5)</f>
        <v>0</v>
      </c>
      <c r="JH6" s="0" t="n">
        <f aca="false" ca="false" dt2D="false" dtr="false" t="normal">HEX2DEC(JH5)</f>
        <v>0</v>
      </c>
      <c r="JI6" s="0" t="n">
        <f aca="false" ca="false" dt2D="false" dtr="false" t="normal">HEX2DEC(JI5)</f>
        <v>0</v>
      </c>
      <c r="JJ6" s="0" t="n">
        <f aca="false" ca="false" dt2D="false" dtr="false" t="normal">HEX2DEC(JJ5)</f>
        <v>0</v>
      </c>
      <c r="JK6" s="0" t="n">
        <f aca="false" ca="false" dt2D="false" dtr="false" t="normal">HEX2DEC(JK5)</f>
        <v>0</v>
      </c>
      <c r="JL6" s="0" t="n">
        <f aca="false" ca="false" dt2D="false" dtr="false" t="normal">HEX2DEC(JL5)</f>
        <v>0</v>
      </c>
      <c r="JM6" s="0" t="n">
        <f aca="false" ca="false" dt2D="false" dtr="false" t="normal">HEX2DEC(JM5)</f>
        <v>0</v>
      </c>
      <c r="JN6" s="0" t="n">
        <f aca="false" ca="false" dt2D="false" dtr="false" t="normal">HEX2DEC(JN5)</f>
        <v>0</v>
      </c>
      <c r="JO6" s="0" t="n">
        <f aca="false" ca="false" dt2D="false" dtr="false" t="normal">HEX2DEC(JO5)</f>
        <v>0</v>
      </c>
      <c r="JP6" s="0" t="n">
        <f aca="false" ca="false" dt2D="false" dtr="false" t="normal">HEX2DEC(JP5)</f>
        <v>0</v>
      </c>
      <c r="JQ6" s="0" t="n">
        <f aca="false" ca="false" dt2D="false" dtr="false" t="normal">HEX2DEC(JQ5)</f>
        <v>0</v>
      </c>
      <c r="JR6" s="0" t="n">
        <f aca="false" ca="false" dt2D="false" dtr="false" t="normal">HEX2DEC(JR5)</f>
        <v>0</v>
      </c>
      <c r="JS6" s="0" t="n">
        <f aca="false" ca="false" dt2D="false" dtr="false" t="normal">HEX2DEC(JS5)</f>
        <v>0</v>
      </c>
      <c r="JT6" s="0" t="n">
        <f aca="false" ca="false" dt2D="false" dtr="false" t="normal">HEX2DEC(JT5)</f>
        <v>0</v>
      </c>
      <c r="JU6" s="0" t="n">
        <f aca="false" ca="false" dt2D="false" dtr="false" t="normal">HEX2DEC(JU5)</f>
        <v>0</v>
      </c>
      <c r="JV6" s="0" t="n">
        <f aca="false" ca="false" dt2D="false" dtr="false" t="normal">HEX2DEC(JV5)</f>
        <v>0</v>
      </c>
      <c r="JW6" s="0" t="n">
        <f aca="false" ca="false" dt2D="false" dtr="false" t="normal">HEX2DEC(JW5)</f>
        <v>0</v>
      </c>
      <c r="JX6" s="0" t="n">
        <f aca="false" ca="false" dt2D="false" dtr="false" t="normal">HEX2DEC(JX5)</f>
        <v>0</v>
      </c>
      <c r="JY6" s="0" t="n">
        <f aca="false" ca="false" dt2D="false" dtr="false" t="normal">HEX2DEC(JY5)</f>
        <v>0</v>
      </c>
      <c r="JZ6" s="0" t="n">
        <f aca="false" ca="false" dt2D="false" dtr="false" t="normal">HEX2DEC(JZ5)</f>
        <v>0</v>
      </c>
      <c r="KA6" s="0" t="n">
        <f aca="false" ca="false" dt2D="false" dtr="false" t="normal">HEX2DEC(KA5)</f>
        <v>0</v>
      </c>
      <c r="KB6" s="0" t="n">
        <f aca="false" ca="false" dt2D="false" dtr="false" t="normal">HEX2DEC(KB5)</f>
        <v>0</v>
      </c>
      <c r="KC6" s="0" t="n">
        <f aca="false" ca="false" dt2D="false" dtr="false" t="normal">HEX2DEC(KC5)</f>
        <v>0</v>
      </c>
      <c r="KD6" s="0" t="n">
        <f aca="false" ca="false" dt2D="false" dtr="false" t="normal">HEX2DEC(KD5)</f>
        <v>0</v>
      </c>
      <c r="KE6" s="0" t="n">
        <f aca="false" ca="false" dt2D="false" dtr="false" t="normal">HEX2DEC(KE5)</f>
        <v>0</v>
      </c>
      <c r="KF6" s="0" t="n">
        <f aca="false" ca="false" dt2D="false" dtr="false" t="normal">HEX2DEC(KF5)</f>
        <v>0</v>
      </c>
      <c r="KG6" s="0" t="n">
        <f aca="false" ca="false" dt2D="false" dtr="false" t="normal">HEX2DEC(KG5)</f>
        <v>0</v>
      </c>
      <c r="KH6" s="0" t="n">
        <f aca="false" ca="false" dt2D="false" dtr="false" t="normal">HEX2DEC(KH5)</f>
        <v>0</v>
      </c>
      <c r="KI6" s="0" t="n">
        <f aca="false" ca="false" dt2D="false" dtr="false" t="normal">HEX2DEC(KI5)</f>
        <v>0</v>
      </c>
      <c r="KJ6" s="0" t="n">
        <f aca="false" ca="false" dt2D="false" dtr="false" t="normal">HEX2DEC(KJ5)</f>
        <v>0</v>
      </c>
      <c r="KK6" s="0" t="n">
        <f aca="false" ca="false" dt2D="false" dtr="false" t="normal">HEX2DEC(KK5)</f>
        <v>0</v>
      </c>
      <c r="KL6" s="0" t="n">
        <f aca="false" ca="false" dt2D="false" dtr="false" t="normal">HEX2DEC(KL5)</f>
        <v>0</v>
      </c>
      <c r="KM6" s="0" t="n">
        <f aca="false" ca="false" dt2D="false" dtr="false" t="normal">HEX2DEC(KM5)</f>
        <v>0</v>
      </c>
      <c r="KN6" s="0" t="n">
        <f aca="false" ca="false" dt2D="false" dtr="false" t="normal">HEX2DEC(KN5)</f>
        <v>0</v>
      </c>
      <c r="KO6" s="0" t="n">
        <f aca="false" ca="false" dt2D="false" dtr="false" t="normal">HEX2DEC(KO5)</f>
        <v>0</v>
      </c>
      <c r="KP6" s="0" t="n">
        <f aca="false" ca="false" dt2D="false" dtr="false" t="normal">HEX2DEC(KP5)</f>
        <v>0</v>
      </c>
      <c r="KQ6" s="0" t="n">
        <f aca="false" ca="false" dt2D="false" dtr="false" t="normal">HEX2DEC(KQ5)</f>
        <v>0</v>
      </c>
      <c r="KR6" s="0" t="n">
        <f aca="false" ca="false" dt2D="false" dtr="false" t="normal">HEX2DEC(KR5)</f>
        <v>0</v>
      </c>
      <c r="KT6" s="0" t="n">
        <f aca="false" ca="false" dt2D="false" dtr="false" t="normal">IF(ISNA(MATCH("720G4HD*", $A$3:$A$70, 0))=TRUE, IF(ISNA(MATCH("7200429*", $A$3:$A$70, 0))=TRUE, SUM(AQ6:FT6), SUM(AQ6:KS6)), SUM(AQ6:KS6))</f>
        <v>0</v>
      </c>
    </row>
    <row customHeight="true" hidden="false" ht="15" outlineLevel="0" r="7">
      <c r="A7" s="91" t="s">
        <v>699</v>
      </c>
      <c r="B7" s="92" t="str">
        <f aca="false" ca="false" dt2D="false" dtr="false" t="normal">RIGHT(D46, 1)&amp;E46&amp;F46&amp;G46&amp;H43&amp;I43&amp;J43&amp;K43&amp;L43&amp;M43</f>
        <v>720G1G400000000002C</v>
      </c>
      <c r="C7" s="98" t="s">
        <v>191</v>
      </c>
      <c r="D7" s="53" t="n">
        <f aca="false" ca="false" dt2D="false" dtr="false" t="normal">HEX2DEC(D5)</f>
        <v>7</v>
      </c>
      <c r="E7" s="53" t="n">
        <f aca="false" ca="false" dt2D="false" dtr="false" t="normal">HEX2DEC(E5)</f>
        <v>32</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41</v>
      </c>
      <c r="N7" s="63" t="n"/>
      <c r="P7" s="136" t="n">
        <f aca="false" ca="false" dt2D="false" dtr="false" t="normal">MID(H6, 2, 1)</f>
        <v>0</v>
      </c>
      <c r="Q7" s="137" t="n">
        <f aca="false" ca="false" dt2D="false" dtr="false" t="normal">P7</f>
        <v>0</v>
      </c>
      <c r="R7" s="120" t="s">
        <v>192</v>
      </c>
      <c r="S7" s="131" t="s">
        <v>196</v>
      </c>
      <c r="T7" s="136" t="n">
        <f aca="false" ca="false" dt2D="false" dtr="false" t="normal">MID(I6, 2, 1)</f>
        <v>0</v>
      </c>
      <c r="U7" s="137" t="n">
        <f aca="false" ca="false" dt2D="false" dtr="false" t="normal">T7</f>
        <v>0</v>
      </c>
      <c r="V7" s="120" t="s">
        <v>192</v>
      </c>
      <c r="W7" s="1194" t="s">
        <v>700</v>
      </c>
      <c r="X7" s="136" t="n">
        <f aca="false" ca="false" dt2D="false" dtr="false" t="normal">MID(J6, 2, 1)</f>
        <v>0</v>
      </c>
      <c r="Y7" s="137" t="n">
        <f aca="false" ca="false" dt2D="false" dtr="false" t="normal">X7</f>
        <v>0</v>
      </c>
      <c r="Z7" s="120" t="s">
        <v>192</v>
      </c>
      <c r="AA7" s="1193" t="s">
        <v>701</v>
      </c>
      <c r="AB7" s="136" t="n">
        <f aca="false" ca="false" dt2D="false" dtr="false" t="normal">MID(K6, 2, 1)</f>
        <v>0</v>
      </c>
      <c r="AC7" s="137" t="n">
        <f aca="false" ca="false" dt2D="false" dtr="false" t="normal">AB7</f>
        <v>0</v>
      </c>
      <c r="AD7" s="120" t="s">
        <v>192</v>
      </c>
      <c r="AE7" s="208" t="s">
        <v>702</v>
      </c>
      <c r="AF7" s="209" t="n">
        <f aca="false" ca="false" dt2D="false" dtr="false" t="normal">MID(L6, 2, 1)</f>
        <v>0</v>
      </c>
      <c r="AG7" s="137" t="n">
        <f aca="false" ca="false" dt2D="false" dtr="false" t="normal">AF7</f>
        <v>0</v>
      </c>
      <c r="AH7" s="120" t="s">
        <v>192</v>
      </c>
      <c r="AI7" s="139" t="s">
        <v>703</v>
      </c>
      <c r="AJ7" s="1198" t="s"/>
      <c r="AK7" s="1199" t="s"/>
      <c r="AO7" s="0" t="n">
        <f aca="false" ca="false" dt2D="false" dtr="false" t="normal">H153&amp;I153&amp;J153&amp;K153&amp;L153</f>
        <v>0</v>
      </c>
      <c r="AP7" s="0" t="n">
        <f aca="false" ca="false" dt2D="false" dtr="false" t="normal">AO7</f>
        <v>0</v>
      </c>
    </row>
    <row customHeight="true" hidden="false" ht="15" outlineLevel="0" r="8">
      <c r="A8" s="91" t="s">
        <v>704</v>
      </c>
      <c r="B8" s="92" t="str">
        <f aca="false" ca="false" dt2D="false" dtr="false" t="normal">RIGHT(D57, 1)&amp;E57&amp;F57&amp;G57&amp;H54&amp;I54&amp;J54&amp;K54&amp;L54&amp;M54</f>
        <v>720G1G500000000002D</v>
      </c>
      <c r="C8" s="98" t="s">
        <v>194</v>
      </c>
      <c r="D8" s="149" t="n">
        <f aca="false" ca="false" dt2D="false" dtr="false" t="normal">D5</f>
        <v>7</v>
      </c>
      <c r="E8" s="149" t="n">
        <f aca="false" ca="false" dt2D="false" dtr="false" t="normal">E5</f>
        <v>20</v>
      </c>
      <c r="F8" s="53" t="str">
        <f aca="false" ca="false" dt2D="false" dtr="false" t="normal">MID(INDEX($A$3:$A$70, IF(ISNA(MATCH("720G1G1*", $A$3:$A$70, 0))=TRUE, MATCH("7200101*", $A$3:$A$70, 0), MATCH("720G1G1*", $A$3:$A$70, 0))), $AS$8, 2)</f>
        <v>G1</v>
      </c>
      <c r="G8" s="53" t="str">
        <f aca="false" ca="false" dt2D="false" dtr="false" t="normal">MID(INDEX($A$3:$A$70, IF(ISNA(MATCH("720G1G1*", $A$3:$A$70, 0))=TRUE, MATCH("7200101*", $A$3:$A$70, 0), MATCH("720G1G1*", $A$3:$A$70, 0))), $AT$8, 2)</f>
        <v>G1</v>
      </c>
      <c r="N8" s="63" t="n"/>
      <c r="P8" s="136" t="n">
        <f aca="false" ca="false" dt2D="false" dtr="false" t="normal">MID(H6, 3, 1)</f>
        <v>0</v>
      </c>
      <c r="Q8" s="137" t="n">
        <f aca="false" ca="false" dt2D="false" dtr="false" t="normal">P8</f>
        <v>0</v>
      </c>
      <c r="R8" s="120" t="s">
        <v>195</v>
      </c>
      <c r="S8" s="139" t="s">
        <v>705</v>
      </c>
      <c r="T8" s="136" t="n">
        <f aca="false" ca="false" dt2D="false" dtr="false" t="normal">MID(I6, 3, 1)</f>
        <v>0</v>
      </c>
      <c r="U8" s="137" t="n">
        <f aca="false" ca="false" dt2D="false" dtr="false" t="normal">T8</f>
        <v>0</v>
      </c>
      <c r="V8" s="120" t="s">
        <v>195</v>
      </c>
      <c r="W8" s="1193" t="s">
        <v>706</v>
      </c>
      <c r="X8" s="136" t="n">
        <f aca="false" ca="false" dt2D="false" dtr="false" t="normal">MID(J6, 3, 1)</f>
        <v>0</v>
      </c>
      <c r="Y8" s="137" t="n">
        <f aca="false" ca="false" dt2D="false" dtr="false" t="normal">X8</f>
        <v>0</v>
      </c>
      <c r="Z8" s="120" t="s">
        <v>195</v>
      </c>
      <c r="AA8" s="1193" t="s">
        <v>707</v>
      </c>
      <c r="AB8" s="136" t="n">
        <f aca="false" ca="false" dt2D="false" dtr="false" t="normal">MID(K6, 3, 1)</f>
        <v>0</v>
      </c>
      <c r="AC8" s="137" t="n">
        <f aca="false" ca="false" dt2D="false" dtr="false" t="normal">AB8</f>
        <v>0</v>
      </c>
      <c r="AD8" s="120" t="s">
        <v>195</v>
      </c>
      <c r="AE8" s="139" t="s">
        <v>708</v>
      </c>
      <c r="AF8" s="209" t="n">
        <f aca="false" ca="false" dt2D="false" dtr="false" t="normal">MID(L6, 3, 1)</f>
        <v>0</v>
      </c>
      <c r="AG8" s="137" t="n">
        <f aca="false" ca="false" dt2D="false" dtr="false" t="normal">AF8</f>
        <v>0</v>
      </c>
      <c r="AH8" s="120" t="s">
        <v>195</v>
      </c>
      <c r="AI8" s="139" t="s">
        <v>412</v>
      </c>
      <c r="AJ8" s="1200" t="s"/>
      <c r="AK8" s="1201" t="s"/>
      <c r="AO8" s="0" t="n">
        <f aca="false" ca="false" dt2D="false" dtr="false" t="normal">H164&amp;I164&amp;J164&amp;K164&amp;L164</f>
        <v>0</v>
      </c>
      <c r="AP8" s="0" t="n">
        <f aca="false" ca="false" dt2D="false" dtr="false" t="normal">AO8</f>
        <v>0</v>
      </c>
      <c r="AS8" s="0" t="n">
        <v>4</v>
      </c>
      <c r="AT8" s="0" t="n">
        <v>6</v>
      </c>
      <c r="AU8" s="0" t="n">
        <v>8</v>
      </c>
      <c r="AV8" s="0" t="n">
        <v>10</v>
      </c>
      <c r="AW8" s="0" t="n">
        <v>12</v>
      </c>
      <c r="AX8" s="0" t="n">
        <v>14</v>
      </c>
      <c r="AY8" s="0" t="n">
        <v>16</v>
      </c>
      <c r="AZ8" s="0" t="n">
        <v>18</v>
      </c>
    </row>
    <row hidden="false" ht="15.75" outlineLevel="0" r="9">
      <c r="A9" s="1202" t="s">
        <v>709</v>
      </c>
      <c r="B9" s="92" t="str">
        <f aca="false" ca="false" dt2D="false" dtr="false" t="normal">RIGHT(D68, 1)&amp;E68&amp;F68&amp;G68&amp;H65&amp;I65&amp;J65&amp;K65&amp;L65&amp;M65</f>
        <v>720G1G60000002E</v>
      </c>
      <c r="C9" s="98" t="n"/>
      <c r="N9" s="63" t="n"/>
      <c r="P9" s="136" t="n">
        <f aca="false" ca="false" dt2D="false" dtr="false" t="normal">MID(H6, 4, 1)</f>
        <v>0</v>
      </c>
      <c r="Q9" s="137" t="n">
        <f aca="false" ca="false" dt2D="false" dtr="false" t="normal">P9</f>
        <v>0</v>
      </c>
      <c r="R9" s="120" t="s">
        <v>197</v>
      </c>
      <c r="S9" s="131" t="s">
        <v>196</v>
      </c>
      <c r="T9" s="136" t="n">
        <f aca="false" ca="false" dt2D="false" dtr="false" t="normal">MID(I6, 4, 1)</f>
        <v>0</v>
      </c>
      <c r="U9" s="137" t="n">
        <f aca="false" ca="false" dt2D="false" dtr="false" t="normal">T9</f>
        <v>0</v>
      </c>
      <c r="V9" s="120" t="s">
        <v>197</v>
      </c>
      <c r="W9" s="139" t="s">
        <v>710</v>
      </c>
      <c r="X9" s="136" t="n">
        <f aca="false" ca="false" dt2D="false" dtr="false" t="normal">MID(J6, 4, 1)</f>
        <v>0</v>
      </c>
      <c r="Y9" s="137" t="n">
        <f aca="false" ca="false" dt2D="false" dtr="false" t="normal">X9</f>
        <v>0</v>
      </c>
      <c r="Z9" s="120" t="s">
        <v>197</v>
      </c>
      <c r="AA9" s="1193" t="s">
        <v>711</v>
      </c>
      <c r="AB9" s="136" t="n">
        <f aca="false" ca="false" dt2D="false" dtr="false" t="normal">MID(K6, 4, 1)</f>
        <v>0</v>
      </c>
      <c r="AC9" s="137" t="n">
        <f aca="false" ca="false" dt2D="false" dtr="false" t="normal">AB9</f>
        <v>0</v>
      </c>
      <c r="AD9" s="120" t="s">
        <v>197</v>
      </c>
      <c r="AE9" s="1195" t="s">
        <v>712</v>
      </c>
      <c r="AF9" s="209" t="n">
        <f aca="false" ca="false" dt2D="false" dtr="false" t="normal">MID(L6, 4, 1)</f>
        <v>0</v>
      </c>
      <c r="AG9" s="137" t="n">
        <f aca="false" ca="false" dt2D="false" dtr="false" t="normal">AF9</f>
        <v>0</v>
      </c>
      <c r="AH9" s="120" t="s">
        <v>197</v>
      </c>
      <c r="AI9" s="139" t="s">
        <v>713</v>
      </c>
      <c r="AJ9" s="1203" t="s"/>
      <c r="AK9" s="1204" t="s"/>
      <c r="AO9" s="0" t="n">
        <f aca="false" ca="false" dt2D="false" dtr="false" t="normal">H175&amp;I175&amp;J175&amp;K175&amp;L175</f>
        <v>0</v>
      </c>
      <c r="AP9" s="0" t="n">
        <f aca="false" ca="false" dt2D="false" dtr="false" t="normal">AO9</f>
        <v>0</v>
      </c>
    </row>
    <row customHeight="true" hidden="false" ht="15.75" outlineLevel="0" r="10">
      <c r="A10" s="1202" t="s">
        <v>175</v>
      </c>
      <c r="B10" s="92" t="str">
        <f aca="false" ca="false" dt2D="false" dtr="false" t="normal">IF(OR(LEFT(A10, 7)="720G1G7", LEFT(A10, 7)="7200107"), RIGHT(D79, 1)&amp;E79&amp;F79&amp;G79&amp;H76&amp;I76&amp;J76&amp;K76&amp;L76&amp;M76, A10)</f>
        <v>;Block 2</v>
      </c>
      <c r="C10" s="98" t="s">
        <v>176</v>
      </c>
      <c r="D10" s="159" t="n">
        <f aca="false" ca="false" dt2D="false" dtr="false" t="normal">D5</f>
        <v>7</v>
      </c>
      <c r="E10" s="160" t="n">
        <f aca="false" ca="false" dt2D="false" dtr="false" t="normal">E5</f>
        <v>20</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n">
        <f aca="false" ca="false" dt2D="false" dtr="false" t="normal">IF(LEN(M11)&gt;2, MID(M11, 2, 2), M11)</f>
        <v>29</v>
      </c>
      <c r="N10" s="63" t="s">
        <v>181</v>
      </c>
      <c r="P10" s="136" t="n">
        <f aca="false" ca="false" dt2D="false" dtr="false" t="normal">MID(H6, 5, 1)</f>
        <v>0</v>
      </c>
      <c r="Q10" s="137" t="n">
        <f aca="false" ca="false" dt2D="false" dtr="false" t="normal">P10</f>
        <v>0</v>
      </c>
      <c r="R10" s="120" t="s">
        <v>200</v>
      </c>
      <c r="S10" s="140" t="s">
        <v>714</v>
      </c>
      <c r="T10" s="136" t="n">
        <f aca="false" ca="false" dt2D="false" dtr="false" t="normal">MID(I6, 5, 1)</f>
        <v>0</v>
      </c>
      <c r="U10" s="137" t="n">
        <f aca="false" ca="false" dt2D="false" dtr="false" t="normal">T10</f>
        <v>0</v>
      </c>
      <c r="V10" s="120" t="s">
        <v>200</v>
      </c>
      <c r="W10" s="1194" t="s">
        <v>715</v>
      </c>
      <c r="X10" s="136" t="n">
        <f aca="false" ca="false" dt2D="false" dtr="false" t="normal">MID(J6, 5, 1)</f>
        <v>0</v>
      </c>
      <c r="Y10" s="137" t="n">
        <f aca="false" ca="false" dt2D="false" dtr="false" t="normal">X10</f>
        <v>0</v>
      </c>
      <c r="Z10" s="120" t="s">
        <v>200</v>
      </c>
      <c r="AA10" s="1193" t="s">
        <v>716</v>
      </c>
      <c r="AB10" s="136" t="n">
        <f aca="false" ca="false" dt2D="false" dtr="false" t="normal">MID(K6, 5, 1)</f>
        <v>0</v>
      </c>
      <c r="AC10" s="137" t="n">
        <f aca="false" ca="false" dt2D="false" dtr="false" t="normal">AB10</f>
        <v>0</v>
      </c>
      <c r="AD10" s="120" t="s">
        <v>200</v>
      </c>
      <c r="AE10" s="139" t="s">
        <v>717</v>
      </c>
      <c r="AF10" s="136" t="n">
        <f aca="false" ca="false" dt2D="false" dtr="false" t="normal">MID(L6, 5, 1)</f>
        <v>0</v>
      </c>
      <c r="AG10" s="137" t="n">
        <f aca="false" ca="false" dt2D="false" dtr="false" t="normal">AF10</f>
        <v>0</v>
      </c>
      <c r="AH10" s="120" t="s">
        <v>200</v>
      </c>
      <c r="AI10" s="139" t="s">
        <v>718</v>
      </c>
      <c r="AJ10" s="1205" t="s"/>
      <c r="AK10" s="1206" t="s"/>
      <c r="AN10" s="1207" t="n"/>
      <c r="AO10" s="0" t="n">
        <f aca="false" ca="false" dt2D="false" dtr="false" t="normal">H186&amp;I186&amp;J186&amp;K186&amp;L186</f>
        <v>0</v>
      </c>
      <c r="AP10" s="0" t="n">
        <f aca="false" ca="false" dt2D="false" dtr="false" t="normal">AO10</f>
        <v>0</v>
      </c>
      <c r="AT10" s="1208" t="n"/>
      <c r="AU10" s="1209" t="n"/>
    </row>
    <row customHeight="true" hidden="false" ht="15" outlineLevel="0" r="11">
      <c r="A11" s="91" t="s">
        <v>719</v>
      </c>
      <c r="B11" s="92" t="str">
        <f aca="false" ca="false" dt2D="false" dtr="false" t="normal">IF(OR(LEFT(A11, 7)="720G1G8", LEFT(A11, 7)="7200108"), RIGHT(D90, 1)&amp;E90&amp;F90&amp;G90&amp;H87&amp;I87&amp;J87&amp;K87&amp;L87&amp;M87, IF(OR(LEFT(A11, 7)="720G2G1", LEFT(A11, 7)="7200201"), RIGHT(D112, 1)&amp;E112&amp;F112&amp;G112&amp;H109&amp;I109&amp;J109&amp;K109&amp;L109&amp;M109, A11))</f>
        <v>720G2G100000000002A</v>
      </c>
      <c r="C11" s="98" t="s">
        <v>185</v>
      </c>
      <c r="D11" s="53" t="n">
        <f aca="false" ca="false" dt2D="false" dtr="false" t="normal">HEX2BIN(D10, 8)</f>
        <v>111</v>
      </c>
      <c r="E11" s="53" t="n">
        <f aca="false" ca="false" dt2D="false" dtr="false" t="normal">HEX2BIN(E10, 8)</f>
        <v>100000</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n">
        <f aca="false" ca="false" dt2D="false" dtr="false" t="normal">DEC2HEX(M12)</f>
        <v>29</v>
      </c>
      <c r="N11" s="63" t="n"/>
      <c r="P11" s="136" t="n">
        <f aca="false" ca="false" dt2D="false" dtr="false" t="normal">MID(H6, 6, 1)</f>
        <v>0</v>
      </c>
      <c r="Q11" s="137" t="n">
        <f aca="false" ca="false" dt2D="false" dtr="false" t="normal">P11</f>
        <v>0</v>
      </c>
      <c r="R11" s="120" t="s">
        <v>203</v>
      </c>
      <c r="S11" s="1210" t="s"/>
      <c r="T11" s="136" t="n">
        <f aca="false" ca="false" dt2D="false" dtr="false" t="normal">MID(I6, 6, 1)</f>
        <v>0</v>
      </c>
      <c r="U11" s="137" t="n">
        <f aca="false" ca="false" dt2D="false" dtr="false" t="normal">T11</f>
        <v>0</v>
      </c>
      <c r="V11" s="120" t="s">
        <v>203</v>
      </c>
      <c r="W11" s="1194" t="s">
        <v>720</v>
      </c>
      <c r="X11" s="136" t="n">
        <f aca="false" ca="false" dt2D="false" dtr="false" t="normal">MID(J6, 6, 1)</f>
        <v>0</v>
      </c>
      <c r="Y11" s="137" t="n">
        <f aca="false" ca="false" dt2D="false" dtr="false" t="normal">X11</f>
        <v>0</v>
      </c>
      <c r="Z11" s="120" t="s">
        <v>203</v>
      </c>
      <c r="AA11" s="276" t="s">
        <v>721</v>
      </c>
      <c r="AB11" s="136" t="n">
        <f aca="false" ca="false" dt2D="false" dtr="false" t="normal">MID(K6, 6, 1)</f>
        <v>0</v>
      </c>
      <c r="AC11" s="137" t="n">
        <f aca="false" ca="false" dt2D="false" dtr="false" t="normal">AB11</f>
        <v>0</v>
      </c>
      <c r="AD11" s="120" t="s">
        <v>203</v>
      </c>
      <c r="AE11" s="139" t="s">
        <v>722</v>
      </c>
      <c r="AF11" s="136" t="n">
        <f aca="false" ca="false" dt2D="false" dtr="false" t="normal">MID(L6, 6, 1)</f>
        <v>0</v>
      </c>
      <c r="AG11" s="137" t="n">
        <f aca="false" ca="false" dt2D="false" dtr="false" t="normal">AF11</f>
        <v>0</v>
      </c>
      <c r="AH11" s="120" t="s">
        <v>203</v>
      </c>
      <c r="AI11" s="139" t="s">
        <v>723</v>
      </c>
      <c r="AJ11" s="1211" t="s"/>
      <c r="AK11" s="1212" t="s"/>
      <c r="AN11" s="1207" t="n"/>
      <c r="AO11" s="0" t="n">
        <f aca="false" ca="false" dt2D="false" dtr="false" t="normal">H197&amp;I197&amp;J197&amp;K197&amp;L197</f>
        <v>0</v>
      </c>
      <c r="AP11" s="0" t="n">
        <f aca="false" ca="false" dt2D="false" dtr="false" t="normal">AO11</f>
        <v>0</v>
      </c>
      <c r="AT11" s="1208" t="n"/>
      <c r="AU11" s="1209" t="n"/>
    </row>
    <row hidden="false" ht="15" outlineLevel="0" r="12">
      <c r="A12" s="1202" t="s">
        <v>242</v>
      </c>
      <c r="B12" s="92" t="str">
        <f aca="false" ca="false" dt2D="false" dtr="false" t="normal">IF(OR(LEFT(A12, 7)="720G1G9", LEFT(A12, 7)="7200109"), RIGHT(D101, 1)&amp;E101&amp;F101&amp;G101&amp;H98&amp;I98&amp;J98&amp;K98&amp;L98, IF(OR(LEFT(A12, 7)="720G2G1", LEFT(A12, 7)="7200201"), RIGHT(D112, 1)&amp;E112&amp;F112&amp;G112&amp;H109&amp;I109&amp;J109&amp;K109&amp;L109&amp;M109, A12))</f>
        <v>;Block 3</v>
      </c>
      <c r="C12" s="98" t="s">
        <v>191</v>
      </c>
      <c r="D12" s="53" t="n">
        <f aca="false" ca="false" dt2D="false" dtr="false" t="normal">HEX2DEC(D10)</f>
        <v>7</v>
      </c>
      <c r="E12" s="53" t="n">
        <f aca="false" ca="false" dt2D="false" dtr="false" t="normal">HEX2DEC(E10)</f>
        <v>32</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41</v>
      </c>
      <c r="N12" s="63" t="n"/>
      <c r="P12" s="136" t="n">
        <f aca="false" ca="false" dt2D="false" dtr="false" t="normal">MID(H6, 7, 1)</f>
        <v>0</v>
      </c>
      <c r="Q12" s="137" t="n">
        <f aca="false" ca="false" dt2D="false" dtr="false" t="normal">P12</f>
        <v>0</v>
      </c>
      <c r="R12" s="120" t="s">
        <v>206</v>
      </c>
      <c r="S12" s="1213" t="s"/>
      <c r="T12" s="136" t="n">
        <f aca="false" ca="false" dt2D="false" dtr="false" t="normal">MID(I6, 7, 1)</f>
        <v>0</v>
      </c>
      <c r="U12" s="137" t="n">
        <f aca="false" ca="false" dt2D="false" dtr="false" t="normal">T12</f>
        <v>0</v>
      </c>
      <c r="V12" s="120" t="s">
        <v>206</v>
      </c>
      <c r="W12" s="1214" t="s">
        <v>724</v>
      </c>
      <c r="X12" s="136" t="n">
        <f aca="false" ca="false" dt2D="false" dtr="false" t="normal">MID(J6, 7, 1)</f>
        <v>0</v>
      </c>
      <c r="Y12" s="137" t="n">
        <f aca="false" ca="false" dt2D="false" dtr="false" t="normal">X12</f>
        <v>0</v>
      </c>
      <c r="Z12" s="120" t="s">
        <v>206</v>
      </c>
      <c r="AA12" s="1215" t="s"/>
      <c r="AB12" s="136" t="n">
        <f aca="false" ca="false" dt2D="false" dtr="false" t="normal">MID(K6, 7, 1)</f>
        <v>0</v>
      </c>
      <c r="AC12" s="137" t="n">
        <f aca="false" ca="false" dt2D="false" dtr="false" t="normal">AB12</f>
        <v>0</v>
      </c>
      <c r="AD12" s="120" t="s">
        <v>206</v>
      </c>
      <c r="AE12" s="139" t="s">
        <v>725</v>
      </c>
      <c r="AF12" s="136" t="n">
        <f aca="false" ca="false" dt2D="false" dtr="false" t="normal">MID(L6, 7, 1)</f>
        <v>0</v>
      </c>
      <c r="AG12" s="137" t="n">
        <f aca="false" ca="false" dt2D="false" dtr="false" t="normal">AF12</f>
        <v>0</v>
      </c>
      <c r="AH12" s="120" t="s">
        <v>206</v>
      </c>
      <c r="AI12" s="139" t="s">
        <v>726</v>
      </c>
      <c r="AJ12" s="1216" t="s"/>
      <c r="AK12" s="1217" t="s"/>
      <c r="AN12" s="1207" t="n"/>
      <c r="AO12" s="0" t="n">
        <f aca="false" ca="false" dt2D="false" dtr="false" t="normal">H208&amp;I208&amp;J208&amp;K208&amp;L208</f>
        <v>0</v>
      </c>
      <c r="AP12" s="0" t="n">
        <f aca="false" ca="false" dt2D="false" dtr="false" t="normal">AO12</f>
        <v>0</v>
      </c>
      <c r="AT12" s="1208" t="n"/>
      <c r="AU12" s="1209" t="n"/>
    </row>
    <row hidden="false" ht="15.75" outlineLevel="0" r="13">
      <c r="A13" s="1202" t="s">
        <v>727</v>
      </c>
      <c r="B13" s="92" t="str">
        <f aca="false" ca="false" dt2D="false" dtr="false" t="normal">A13</f>
        <v>720G3G1012C</v>
      </c>
      <c r="C13" s="180" t="s">
        <v>194</v>
      </c>
      <c r="D13" s="299" t="n">
        <f aca="false" ca="false" dt2D="false" dtr="false" t="normal">D8</f>
        <v>7</v>
      </c>
      <c r="E13" s="299" t="n">
        <f aca="false" ca="false" dt2D="false" dtr="false" t="normal">E8</f>
        <v>20</v>
      </c>
      <c r="F13" s="299" t="str">
        <f aca="false" ca="false" dt2D="false" dtr="false" t="normal">F8</f>
        <v>G1</v>
      </c>
      <c r="G13" s="299"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218" t="s">
        <v>728</v>
      </c>
      <c r="T13" s="182" t="n">
        <f aca="false" ca="false" dt2D="false" dtr="false" t="normal">MID(I6, 8, 1)</f>
        <v>0</v>
      </c>
      <c r="U13" s="183" t="n">
        <f aca="false" ca="false" dt2D="false" dtr="false" t="normal">T13</f>
        <v>0</v>
      </c>
      <c r="V13" s="184" t="s">
        <v>208</v>
      </c>
      <c r="W13" s="1219" t="s">
        <v>729</v>
      </c>
      <c r="X13" s="182" t="n">
        <f aca="false" ca="false" dt2D="false" dtr="false" t="normal">MID(J6, 8, 1)</f>
        <v>0</v>
      </c>
      <c r="Y13" s="183" t="n">
        <f aca="false" ca="false" dt2D="false" dtr="false" t="normal">X13</f>
        <v>0</v>
      </c>
      <c r="Z13" s="184" t="s">
        <v>208</v>
      </c>
      <c r="AA13" s="1220" t="s">
        <v>730</v>
      </c>
      <c r="AB13" s="182" t="n">
        <f aca="false" ca="false" dt2D="false" dtr="false" t="normal">MID(K6, 8, 1)</f>
        <v>0</v>
      </c>
      <c r="AC13" s="183" t="n">
        <f aca="false" ca="false" dt2D="false" dtr="false" t="normal">AB13</f>
        <v>0</v>
      </c>
      <c r="AD13" s="184" t="s">
        <v>208</v>
      </c>
      <c r="AE13" s="187" t="s">
        <v>731</v>
      </c>
      <c r="AF13" s="182" t="n">
        <f aca="false" ca="false" dt2D="false" dtr="false" t="normal">MID(L6, 8, 1)</f>
        <v>0</v>
      </c>
      <c r="AG13" s="183" t="n">
        <f aca="false" ca="false" dt2D="false" dtr="false" t="normal">AF13</f>
        <v>0</v>
      </c>
      <c r="AH13" s="184" t="s">
        <v>208</v>
      </c>
      <c r="AI13" s="187" t="s">
        <v>732</v>
      </c>
      <c r="AJ13" s="1221" t="s"/>
      <c r="AK13" s="1222" t="s"/>
      <c r="AN13" s="1207" t="n"/>
      <c r="AO13" s="0" t="n">
        <f aca="false" ca="false" dt2D="false" dtr="false" t="normal">H219&amp;I219&amp;J219&amp;K219&amp;L219</f>
        <v>0</v>
      </c>
      <c r="AP13" s="0" t="n">
        <f aca="false" ca="false" dt2D="false" dtr="false" t="normal">AO13</f>
        <v>0</v>
      </c>
      <c r="AT13" s="1208" t="n"/>
      <c r="AU13" s="1209" t="n"/>
    </row>
    <row hidden="false" ht="15.75" outlineLevel="0" r="14">
      <c r="A14" s="1202" t="s">
        <v>249</v>
      </c>
      <c r="B14" s="92" t="str">
        <f aca="false" ca="false" dt2D="false" dtr="false" t="normal">IF(OR(LEFT(A14, 7)="720G2G1", LEFT(A14, 7)="7200201"), RIGHT(D112, 1)&amp;E112&amp;F112&amp;G112&amp;H109&amp;I109&amp;J109&amp;K109&amp;L109&amp;M109, A14)</f>
        <v>;Block 4</v>
      </c>
      <c r="C14" s="93" t="n"/>
      <c r="D14" s="94" t="n"/>
      <c r="E14" s="94" t="n"/>
      <c r="F14" s="94" t="n"/>
      <c r="G14" s="94" t="n"/>
      <c r="H14" s="94" t="n"/>
      <c r="I14" s="94" t="n"/>
      <c r="J14" s="94" t="n"/>
      <c r="K14" s="94" t="n"/>
      <c r="L14" s="94" t="n"/>
      <c r="M14" s="94" t="s">
        <v>161</v>
      </c>
      <c r="N14" s="60" t="n"/>
      <c r="P14" s="95" t="str">
        <f aca="false" ca="false" dt2D="false" dtr="false" t="normal">RIGHT(D16, 1)&amp;E16&amp;"-"&amp;F16&amp;"-"&amp;G16</f>
        <v>720-01-02</v>
      </c>
      <c r="Q14" s="1223" t="s"/>
      <c r="R14" s="234" t="s">
        <v>733</v>
      </c>
      <c r="S14" s="1224" t="s"/>
      <c r="T14" s="1225" t="s"/>
      <c r="U14" s="1226" t="s"/>
      <c r="V14" s="1227" t="s"/>
      <c r="W14" s="1228" t="s"/>
      <c r="X14" s="1229" t="s"/>
      <c r="Y14" s="1230" t="s"/>
      <c r="Z14" s="1231" t="s"/>
      <c r="AA14" s="1232" t="s"/>
      <c r="AB14" s="1233" t="s"/>
      <c r="AC14" s="1234" t="s"/>
      <c r="AD14" s="1235" t="s"/>
      <c r="AE14" s="1236" t="s"/>
      <c r="AF14" s="1237" t="s"/>
      <c r="AG14" s="1238" t="s"/>
      <c r="AH14" s="1239" t="s"/>
      <c r="AI14" s="1240" t="s"/>
      <c r="AJ14" s="1241" t="s"/>
      <c r="AK14" s="1242" t="s"/>
      <c r="AN14" s="1207" t="n"/>
      <c r="AO14" s="0" t="n">
        <f aca="false" ca="false" dt2D="false" dtr="false" t="normal">H230&amp;I230&amp;J230&amp;K230&amp;L230</f>
        <v>0</v>
      </c>
      <c r="AP14" s="0" t="n">
        <f aca="false" ca="false" dt2D="false" dtr="false" t="normal">AO14</f>
        <v>0</v>
      </c>
      <c r="AT14" s="1208" t="n"/>
      <c r="AU14" s="1209" t="n"/>
      <c r="BB14" s="0" t="n">
        <v>40</v>
      </c>
      <c r="BC14" s="56" t="s">
        <v>734</v>
      </c>
      <c r="BD14" s="0" t="n">
        <v>25</v>
      </c>
      <c r="BE14" s="0" t="n">
        <v>384</v>
      </c>
      <c r="BF14" s="56" t="s">
        <v>735</v>
      </c>
      <c r="BG14" s="0" t="n">
        <v>26</v>
      </c>
      <c r="BH14" s="0" t="n">
        <v>395</v>
      </c>
      <c r="BI14" s="0" t="n">
        <f aca="false" ca="false" dt2D="false" dtr="false" t="normal">BE14-22</f>
        <v>362</v>
      </c>
      <c r="BK14" s="0" t="str">
        <f aca="false" ca="false" dt2D="false" dtr="false" t="normal">"=IF(OR(LEFT(A"&amp;BB14&amp;";7)=""720G4"&amp;BC14&amp;""";LEFT(A"&amp;BB14&amp;";7)=""72004"&amp;BD14&amp;""");RIGHT(D"&amp;BE14&amp;";1)&amp;E"&amp;BE14&amp;"&amp;F"&amp;BE14&amp;"&amp;G"&amp;BE14&amp;"&amp;H"&amp;BE14&amp;"&amp;I"&amp;BE14&amp;"&amp;J"&amp;BE14&amp;"&amp;K"&amp;BE14&amp;"&amp;L"&amp;BE14&amp;"&amp;M"&amp;BE14&amp;";IF(OR(LEFT(A"&amp;BB14&amp;";7)=""720G4"&amp;BF14&amp;""";LEFT(A"&amp;BB14&amp;";7)=""72004"&amp;BG14&amp;""");RIGHT(D"&amp;BH14&amp;";1)&amp;E"&amp;BH14&amp;"&amp;F"&amp;BH14&amp;"&amp;G"&amp;BH14&amp;"&amp;H"&amp;BH14&amp;"&amp;I"&amp;BH14&amp;"&amp;J"&amp;BH14&amp;"&amp;K"&amp;BH14&amp;"&amp;L"&amp;BH14&amp;"&amp;M"&amp;BH14&amp;";RIGHT(D"&amp;BI14&amp;";1)&amp;E"&amp;BI14&amp;"&amp;F"&amp;BI14&amp;"&amp;G"&amp;BI14&amp;"&amp;H"&amp;BI14&amp;"&amp;I"&amp;BI14&amp;"&amp;J"&amp;BI14&amp;"&amp;K"&amp;BI14&amp;"&amp;L"&amp;BI14&amp;"&amp;M"&amp;BI14&amp;"))"</f>
        <v>=IF(OR(LEFT(A40;7)="720G4H9";LEFT(A40;7)="7200425");RIGHT(D384;1)&amp;E384&amp;F384&amp;G384&amp;H384&amp;I384&amp;J384&amp;K384&amp;L384&amp;M384;IF(OR(LEFT(A40;7)="720G4HA";LEFT(A40;7)="7200426");RIGHT(D395;1)&amp;E395&amp;F395&amp;G395&amp;H395&amp;I395&amp;J395&amp;K395&amp;L395&amp;M395;RIGHT(D362;1)&amp;E362&amp;F362&amp;G362&amp;H362&amp;I362&amp;J362&amp;K362&amp;L362&amp;M362))</v>
      </c>
      <c r="BN14" s="0" t="n">
        <f aca="false" ca="false" dt2D="false" dtr="false" t="normal">IF(OR(LEFT(A40, 7)="720G4H9", LEFT(A40, 7)="7200425"), RIGHT(D384, 1)&amp;E384&amp;F384&amp;G384&amp;H384&amp;I384&amp;J384&amp;K384&amp;L384&amp;M384, IF(OR(LEFT(A40, 7)="720G4HA", LEFT(A40, 7)="7200426"), RIGHT(D395, 1)&amp;E395&amp;F395&amp;G395&amp;H395&amp;I395&amp;J395&amp;K395&amp;L395&amp;M395, RIGHT(D362, 1)&amp;E362&amp;F362&amp;G362&amp;H362&amp;I362&amp;J362&amp;K362&amp;L362&amp;M362))</f>
        <v>7.200426E+18</v>
      </c>
    </row>
    <row hidden="false" ht="15.75" outlineLevel="0" r="15">
      <c r="A15" s="91" t="s">
        <v>736</v>
      </c>
      <c r="B15" s="92" t="str">
        <f aca="false" ca="false" dt2D="false" dtr="false" t="normal">IF(OR(LEFT(A15, 7)="720G4G1", LEFT(A15, 7)="7200401"), RIGHT(D123, 1)&amp;E123&amp;F123&amp;G123&amp;H120&amp;I120&amp;J120&amp;K120&amp;L120&amp;M120, A15)</f>
        <v>720G4G100000000002C</v>
      </c>
      <c r="C15" s="98" t="n"/>
      <c r="D15" s="99" t="s">
        <v>737</v>
      </c>
      <c r="E15" s="1243" t="s"/>
      <c r="F15" s="1244" t="s"/>
      <c r="G15" s="1245" t="s"/>
      <c r="H15" s="53" t="s">
        <v>165</v>
      </c>
      <c r="I15" s="53" t="s">
        <v>166</v>
      </c>
      <c r="J15" s="53" t="s">
        <v>167</v>
      </c>
      <c r="K15" s="53" t="s">
        <v>168</v>
      </c>
      <c r="L15" s="53" t="s">
        <v>169</v>
      </c>
      <c r="M15" s="53" t="s">
        <v>221</v>
      </c>
      <c r="N15" s="63" t="n"/>
      <c r="P15" s="103" t="s">
        <v>738</v>
      </c>
      <c r="Q15" s="1246" t="s"/>
      <c r="R15" s="1247" t="s"/>
      <c r="S15" s="1248" t="s"/>
      <c r="T15" s="103" t="s">
        <v>739</v>
      </c>
      <c r="U15" s="1249" t="s"/>
      <c r="V15" s="1250" t="s"/>
      <c r="W15" s="1251" t="s"/>
      <c r="X15" s="103" t="s">
        <v>740</v>
      </c>
      <c r="Y15" s="1252" t="s"/>
      <c r="Z15" s="1253" t="s"/>
      <c r="AA15" s="1254" t="s"/>
      <c r="AB15" s="103" t="s">
        <v>741</v>
      </c>
      <c r="AC15" s="1255" t="s"/>
      <c r="AD15" s="1256" t="s"/>
      <c r="AE15" s="1257" t="s"/>
      <c r="AF15" s="103" t="s">
        <v>742</v>
      </c>
      <c r="AG15" s="1258" t="s"/>
      <c r="AH15" s="1259" t="s"/>
      <c r="AI15" s="1260" t="s"/>
      <c r="AJ15" s="103" t="s">
        <v>743</v>
      </c>
      <c r="AK15" s="1261" t="s"/>
      <c r="AN15" s="1207" t="n"/>
      <c r="AO15" s="0" t="n">
        <f aca="false" ca="false" dt2D="false" dtr="false" t="normal">H241&amp;I241&amp;J241&amp;K241&amp;L241</f>
        <v>0</v>
      </c>
      <c r="AP15" s="0" t="n">
        <f aca="false" ca="false" dt2D="false" dtr="false" t="normal">AO15</f>
        <v>0</v>
      </c>
      <c r="AT15" s="1208" t="n"/>
      <c r="AU15" s="1209" t="n"/>
      <c r="BB15" s="0" t="n">
        <v>41</v>
      </c>
      <c r="BC15" s="56" t="s">
        <v>735</v>
      </c>
      <c r="BD15" s="0" t="n">
        <v>26</v>
      </c>
      <c r="BE15" s="0" t="n">
        <f aca="false" ca="false" dt2D="false" dtr="false" t="normal">BE14+11</f>
        <v>395</v>
      </c>
      <c r="BF15" s="56" t="s">
        <v>744</v>
      </c>
      <c r="BG15" s="0" t="n">
        <v>27</v>
      </c>
      <c r="BH15" s="0" t="n">
        <f aca="false" ca="false" dt2D="false" dtr="false" t="normal">BH14+11</f>
        <v>406</v>
      </c>
      <c r="BI15" s="0" t="n">
        <f aca="false" ca="false" dt2D="false" dtr="false" t="normal">BI14+11</f>
        <v>373</v>
      </c>
      <c r="BK15" s="0" t="str">
        <f aca="false" ca="false" dt2D="false" dtr="false" t="normal">"=IF(OR(LEFT(A"&amp;BB15&amp;";7)=""720G4"&amp;BC15&amp;""";LEFT(A"&amp;BB15&amp;";7)=""72004"&amp;BD15&amp;""");RIGHT(D"&amp;BE15&amp;";1)&amp;E"&amp;BE15&amp;"&amp;F"&amp;BE15&amp;"&amp;G"&amp;BE15&amp;"&amp;H"&amp;BE15&amp;"&amp;I"&amp;BE15&amp;"&amp;J"&amp;BE15&amp;"&amp;K"&amp;BE15&amp;"&amp;L"&amp;BE15&amp;"&amp;M"&amp;BE15&amp;";IF(OR(LEFT(A"&amp;BB15&amp;";7)=""720G4"&amp;BF15&amp;""";LEFT(A"&amp;BB15&amp;";7)=""72004"&amp;BG15&amp;""");RIGHT(D"&amp;BH15&amp;";1)&amp;E"&amp;BH15&amp;"&amp;F"&amp;BH15&amp;"&amp;G"&amp;BH15&amp;"&amp;H"&amp;BH15&amp;"&amp;I"&amp;BH15&amp;"&amp;J"&amp;BH15&amp;"&amp;K"&amp;BH15&amp;"&amp;L"&amp;BH15&amp;"&amp;M"&amp;BH15&amp;";RIGHT(D"&amp;BI15&amp;";1)&amp;E"&amp;BI15&amp;"&amp;F"&amp;BI15&amp;"&amp;G"&amp;BI15&amp;"&amp;H"&amp;BI15&amp;"&amp;I"&amp;BI15&amp;"&amp;J"&amp;BI15&amp;"&amp;K"&amp;BI15&amp;"&amp;L"&amp;BI15&amp;"&amp;M"&amp;BI15&amp;"))"</f>
        <v>=IF(OR(LEFT(A41;7)="720G4HA";LEFT(A41;7)="7200426");RIGHT(D395;1)&amp;E395&amp;F395&amp;G395&amp;H395&amp;I395&amp;J395&amp;K395&amp;L395&amp;M395;IF(OR(LEFT(A41;7)="720G4HB";LEFT(A41;7)="7200427");RIGHT(D406;1)&amp;E406&amp;F406&amp;G406&amp;H406&amp;I406&amp;J406&amp;K406&amp;L406&amp;M406;RIGHT(D373;1)&amp;E373&amp;F373&amp;G373&amp;H373&amp;I373&amp;J373&amp;K373&amp;L373&amp;M373))</v>
      </c>
      <c r="BN15" s="0" t="n">
        <f aca="false" ca="false" dt2D="false" dtr="false" t="normal">IF(OR(LEFT(A41, 7)="720G4HA", LEFT(A41, 7)="7200426"), RIGHT(D395, 1)&amp;E395&amp;F395&amp;G395&amp;H395&amp;I395&amp;J395&amp;K395&amp;L395&amp;M395, IF(OR(LEFT(A41, 7)="720G4HB", LEFT(A41, 7)="7200427"), RIGHT(D406, 1)&amp;E406&amp;F406&amp;G406&amp;H406&amp;I406&amp;J406&amp;K406&amp;L406&amp;M406, RIGHT(D373, 1)&amp;E373&amp;F373&amp;G373&amp;H373&amp;I373&amp;J373&amp;K373&amp;L373&amp;M373))</f>
        <v>7.200427E+18</v>
      </c>
    </row>
    <row hidden="false" ht="15.75" outlineLevel="0" r="16">
      <c r="A16" s="91" t="s">
        <v>745</v>
      </c>
      <c r="B16" s="92" t="str">
        <f aca="false" ca="false" dt2D="false" dtr="false" t="normal">IF(OR(LEFT(A16, 7)="720G4G1", LEFT(A16, 7)="7200401"), RIGHT(D123, 1)&amp;E123&amp;F123&amp;G123&amp;H120&amp;I120&amp;J120&amp;K120&amp;L120&amp;M120, IF(OR(LEFT(A16, 7)="720G4G2", LEFT(A16, 7)="7200402"), RIGHT(D134, 1)&amp;E134&amp;F134&amp;G134&amp;H131&amp;I131&amp;J131&amp;K131&amp;L131&amp;M131, A16))</f>
        <v>720G4G200000000002D</v>
      </c>
      <c r="C16" s="98" t="s">
        <v>176</v>
      </c>
      <c r="D16" s="122" t="s">
        <v>177</v>
      </c>
      <c r="E16" s="123" t="s">
        <v>693</v>
      </c>
      <c r="F16" s="123" t="s">
        <v>179</v>
      </c>
      <c r="G16" s="124" t="s">
        <v>216</v>
      </c>
      <c r="H16" s="125" t="n">
        <f aca="false" ca="false" dt2D="false" dtr="false" ref="H16:H16" t="array">MID(INDEX($A$3:$A$70, IF(ISNA(MATCH("720G1G2*", $A$3:$A$70, 0))=TRUE, MATCH("7200102*", $A$3:$A$70, 0), MATCH("720G1G2*", $A$3:$A$70, 0))), $AU$8, 2)</f>
        <v>0</v>
      </c>
      <c r="I16" s="126" t="n">
        <f aca="false" ca="false" dt2D="false" dtr="false" ref="I16:I16" t="array">MID(INDEX($A$3:$A$70, IF(ISNA(MATCH("720G1G2*", $A$3:$A$70, 0))=TRUE, MATCH("7200102*", $A$3:$A$70, 0), MATCH("720G1G2*", $A$3:$A$70, 0))), $AV$8, 2)</f>
        <v>0</v>
      </c>
      <c r="J16" s="126" t="n">
        <f aca="false" ca="false" dt2D="false" dtr="false" ref="J16:J16" t="array">MID(INDEX($A$3:$A$70, IF(ISNA(MATCH("720G1G2*", $A$3:$A$70, 0))=TRUE, MATCH("7200102*", $A$3:$A$70, 0), MATCH("720G1G2*", $A$3:$A$70, 0))), $AW$8, 2)</f>
        <v>0</v>
      </c>
      <c r="K16" s="126" t="n">
        <f aca="false" ca="false" dt2D="false" dtr="false" ref="K16:K16" t="array">MID(INDEX($A$3:$A$70, IF(ISNA(MATCH("720G1G2*", $A$3:$A$70, 0))=TRUE, MATCH("7200102*", $A$3:$A$70, 0), MATCH("720G1G2*", $A$3:$A$70, 0))), $AX$8, 2)</f>
        <v>0</v>
      </c>
      <c r="L16" s="274" t="n">
        <f aca="false" ca="false" dt2D="false" dtr="false" ref="L16:L16" t="array">MID(INDEX($A$3:$A$70, IF(ISNA(MATCH("720G1G2*", $A$3:$A$70, 0))=TRUE, MATCH("7200102*", $A$3:$A$70, 0), MATCH("720G1G2*", $A$3:$A$70, 0))), $AY$8, 2)</f>
        <v>0</v>
      </c>
      <c r="M16" s="128" t="str">
        <f aca="false" ca="false" dt2D="false" dtr="false" ref="M16:M16" t="array">MID(INDEX($A$3:$A$70, IF(ISNA(MATCH("720G1G2*", $A$3:$A$70, 0))=TRUE, MATCH("7200102*", $A$3:$A$70, 0), MATCH("720G1G2*", $A$3:$A$70, 0))), $AZ$8, 2)</f>
        <v>2A</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1262" t="s"/>
      <c r="AN16" s="1207" t="n"/>
      <c r="AO16" s="0" t="n">
        <f aca="false" ca="false" dt2D="false" dtr="false" t="normal">H252&amp;I252&amp;J252&amp;K252&amp;L252</f>
        <v>0</v>
      </c>
      <c r="AP16" s="0" t="n">
        <f aca="false" ca="false" dt2D="false" dtr="false" t="normal">AO16</f>
        <v>0</v>
      </c>
      <c r="AT16" s="1208" t="n"/>
      <c r="AU16" s="1209" t="n"/>
      <c r="BB16" s="0" t="n">
        <v>42</v>
      </c>
      <c r="BC16" s="56" t="s">
        <v>744</v>
      </c>
      <c r="BD16" s="0" t="n">
        <v>27</v>
      </c>
      <c r="BE16" s="0" t="n">
        <f aca="false" ca="false" dt2D="false" dtr="false" t="normal">BE15+11</f>
        <v>406</v>
      </c>
      <c r="BF16" s="56" t="s">
        <v>746</v>
      </c>
      <c r="BG16" s="0" t="n">
        <v>28</v>
      </c>
      <c r="BH16" s="0" t="n">
        <f aca="false" ca="false" dt2D="false" dtr="false" t="normal">BH15+11</f>
        <v>417</v>
      </c>
      <c r="BI16" s="0" t="n">
        <f aca="false" ca="false" dt2D="false" dtr="false" t="normal">BI15+11</f>
        <v>384</v>
      </c>
      <c r="BK16" s="0" t="str">
        <f aca="false" ca="false" dt2D="false" dtr="false" t="normal">"=IF(OR(LEFT(A"&amp;BB16&amp;";7)=""720G4"&amp;BC16&amp;""";LEFT(A"&amp;BB16&amp;";7)=""72004"&amp;BD16&amp;""");RIGHT(D"&amp;BE16&amp;";1)&amp;E"&amp;BE16&amp;"&amp;F"&amp;BE16&amp;"&amp;G"&amp;BE16&amp;"&amp;H"&amp;BE16&amp;"&amp;I"&amp;BE16&amp;"&amp;J"&amp;BE16&amp;"&amp;K"&amp;BE16&amp;"&amp;L"&amp;BE16&amp;"&amp;M"&amp;BE16&amp;";IF(OR(LEFT(A"&amp;BB16&amp;";7)=""720G4"&amp;BF16&amp;""";LEFT(A"&amp;BB16&amp;";7)=""72004"&amp;BG16&amp;""");RIGHT(D"&amp;BH16&amp;";1)&amp;E"&amp;BH16&amp;"&amp;F"&amp;BH16&amp;"&amp;G"&amp;BH16&amp;"&amp;H"&amp;BH16&amp;"&amp;I"&amp;BH16&amp;"&amp;J"&amp;BH16&amp;"&amp;K"&amp;BH16&amp;"&amp;L"&amp;BH16&amp;"&amp;M"&amp;BH16&amp;";RIGHT(D"&amp;BI16&amp;";1)&amp;E"&amp;BI16&amp;"&amp;F"&amp;BI16&amp;"&amp;G"&amp;BI16&amp;"&amp;H"&amp;BI16&amp;"&amp;I"&amp;BI16&amp;"&amp;J"&amp;BI16&amp;"&amp;K"&amp;BI16&amp;"&amp;L"&amp;BI16&amp;"&amp;M"&amp;BI16&amp;"))"</f>
        <v>=IF(OR(LEFT(A42;7)="720G4HB";LEFT(A42;7)="7200427");RIGHT(D406;1)&amp;E406&amp;F406&amp;G406&amp;H406&amp;I406&amp;J406&amp;K406&amp;L406&amp;M406;IF(OR(LEFT(A42;7)="720G4HC";LEFT(A42;7)="7200428");RIGHT(D417;1)&amp;E417&amp;F417&amp;G417&amp;H417&amp;I417&amp;J417&amp;K417&amp;L417&amp;M417;RIGHT(D384;1)&amp;E384&amp;F384&amp;G384&amp;H384&amp;I384&amp;J384&amp;K384&amp;L384&amp;M384))</v>
      </c>
      <c r="BN16" s="0" t="n">
        <f aca="false" ca="false" dt2D="false" dtr="false" t="normal">IF(OR(LEFT(A42, 7)="720G4HB", LEFT(A42, 7)="7200427"), RIGHT(D406, 1)&amp;E406&amp;F406&amp;G406&amp;H406&amp;I406&amp;J406&amp;K406&amp;L406&amp;M406, IF(OR(LEFT(A42, 7)="720G4HC", LEFT(A42, 7)="7200428"), RIGHT(D417, 1)&amp;E417&amp;F417&amp;G417&amp;H417&amp;I417&amp;J417&amp;K417&amp;L417&amp;M417, RIGHT(D384, 1)&amp;E384&amp;F384&amp;G384&amp;H384&amp;I384&amp;J384&amp;K384&amp;L384&amp;M384))</f>
        <v>72004280053</v>
      </c>
    </row>
    <row customHeight="true" hidden="false" ht="15" outlineLevel="0" r="17">
      <c r="A17" s="91" t="s">
        <v>747</v>
      </c>
      <c r="B17" s="92" t="str">
        <f aca="false" ca="false" dt2D="false" dtr="false" t="normal">IF(OR(LEFT(A17, 7)="720G4G2", LEFT(A17, 7)="7200402"), RIGHT(D134, 1)&amp;E134&amp;F134&amp;G134&amp;H131&amp;I131&amp;J131&amp;K131&amp;L131&amp;M131, IF(OR(LEFT(A17, 7)="720G4G3", LEFT(A17, 7)="7200403"), RIGHT(D145, 1)&amp;E145&amp;F145&amp;G145&amp;H142&amp;I142&amp;J142&amp;K142&amp;L142&amp;M142, A17))</f>
        <v>720G4G300000000002E</v>
      </c>
      <c r="C17" s="98" t="s">
        <v>185</v>
      </c>
      <c r="D17" s="53" t="n">
        <f aca="false" ca="false" dt2D="false" dtr="false" t="normal">HEX2BIN(D16, 8)</f>
        <v>111</v>
      </c>
      <c r="E17" s="53" t="n">
        <f aca="false" ca="false" dt2D="false" dtr="false" t="normal">HEX2BIN(E16, 8)</f>
        <v>100000</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N17" s="63" t="n"/>
      <c r="P17" s="136" t="n">
        <f aca="false" ca="false" dt2D="false" dtr="false" t="normal">MID(H17, 1, 1)</f>
        <v>0</v>
      </c>
      <c r="Q17" s="137" t="n">
        <f aca="false" ca="false" dt2D="false" dtr="false" t="normal">P17</f>
        <v>0</v>
      </c>
      <c r="R17" s="120" t="s">
        <v>186</v>
      </c>
      <c r="S17" s="1193" t="s">
        <v>748</v>
      </c>
      <c r="T17" s="136" t="n">
        <f aca="false" ca="false" dt2D="false" dtr="false" t="normal">MID(I17, 1, 1)</f>
        <v>0</v>
      </c>
      <c r="U17" s="137" t="n">
        <f aca="false" ca="false" dt2D="false" dtr="false" t="normal">T17</f>
        <v>0</v>
      </c>
      <c r="V17" s="120" t="s">
        <v>186</v>
      </c>
      <c r="W17" s="276" t="s">
        <v>749</v>
      </c>
      <c r="X17" s="136" t="n">
        <f aca="false" ca="false" dt2D="false" dtr="false" t="normal">MID(J17, 1, 1)</f>
        <v>0</v>
      </c>
      <c r="Y17" s="137" t="n">
        <f aca="false" ca="false" dt2D="false" dtr="false" t="normal">X17</f>
        <v>0</v>
      </c>
      <c r="Z17" s="120" t="s">
        <v>186</v>
      </c>
      <c r="AA17" s="131" t="s">
        <v>196</v>
      </c>
      <c r="AB17" s="136" t="n">
        <f aca="false" ca="false" dt2D="false" dtr="false" t="normal">MID(K17, 1, 1)</f>
        <v>0</v>
      </c>
      <c r="AC17" s="137" t="n">
        <f aca="false" ca="false" dt2D="false" dtr="false" t="normal">AB17</f>
        <v>0</v>
      </c>
      <c r="AD17" s="120" t="s">
        <v>186</v>
      </c>
      <c r="AE17" s="131" t="s">
        <v>196</v>
      </c>
      <c r="AF17" s="136" t="n">
        <f aca="false" ca="false" dt2D="false" dtr="false" t="normal">MID(L17, 1, 1)</f>
        <v>0</v>
      </c>
      <c r="AG17" s="137" t="n">
        <f aca="false" ca="false" dt2D="false" dtr="false" t="normal">AF17</f>
        <v>0</v>
      </c>
      <c r="AH17" s="120" t="s">
        <v>186</v>
      </c>
      <c r="AI17" s="131" t="s">
        <v>196</v>
      </c>
      <c r="AJ17" s="1263" t="s"/>
      <c r="AK17" s="1264" t="s"/>
      <c r="AN17" s="1207" t="n"/>
      <c r="AO17" s="0" t="n">
        <f aca="false" ca="false" dt2D="false" dtr="false" t="normal">H263&amp;I263&amp;J263&amp;K263&amp;L263</f>
        <v>0</v>
      </c>
      <c r="AP17" s="0" t="n">
        <f aca="false" ca="false" dt2D="false" dtr="false" t="normal">AO17</f>
        <v>0</v>
      </c>
      <c r="AT17" s="1208" t="n"/>
      <c r="AU17" s="1209" t="n"/>
      <c r="BB17" s="0" t="n">
        <v>43</v>
      </c>
      <c r="BC17" s="56" t="s">
        <v>746</v>
      </c>
      <c r="BD17" s="0" t="n">
        <v>28</v>
      </c>
      <c r="BE17" s="0" t="n">
        <f aca="false" ca="false" dt2D="false" dtr="false" t="normal">BE16+11</f>
        <v>417</v>
      </c>
      <c r="BF17" s="56" t="s">
        <v>750</v>
      </c>
      <c r="BG17" s="0" t="n">
        <v>29</v>
      </c>
      <c r="BH17" s="0" t="n">
        <f aca="false" ca="false" dt2D="false" dtr="false" t="normal">BH16+11</f>
        <v>428</v>
      </c>
      <c r="BI17" s="0" t="n">
        <f aca="false" ca="false" dt2D="false" dtr="false" t="normal">BI16+11</f>
        <v>395</v>
      </c>
      <c r="BK17" s="0" t="str">
        <f aca="false" ca="false" dt2D="false" dtr="false" t="normal">"=IF(OR(LEFT(A"&amp;BB17&amp;";7)=""720G4"&amp;BC17&amp;""";LEFT(A"&amp;BB17&amp;";7)=""72004"&amp;BD17&amp;""");RIGHT(D"&amp;BE17&amp;";1)&amp;E"&amp;BE17&amp;"&amp;F"&amp;BE17&amp;"&amp;G"&amp;BE17&amp;"&amp;H"&amp;BE17&amp;"&amp;I"&amp;BE17&amp;"&amp;J"&amp;BE17&amp;"&amp;K"&amp;BE17&amp;"&amp;L"&amp;BE17&amp;"&amp;M"&amp;BE17&amp;";IF(OR(LEFT(A"&amp;BB17&amp;";7)=""720G4"&amp;BF17&amp;""";LEFT(A"&amp;BB17&amp;";7)=""72004"&amp;BG17&amp;""");RIGHT(D"&amp;BH17&amp;";1)&amp;E"&amp;BH17&amp;"&amp;F"&amp;BH17&amp;"&amp;G"&amp;BH17&amp;"&amp;H"&amp;BH17&amp;"&amp;I"&amp;BH17&amp;"&amp;J"&amp;BH17&amp;"&amp;K"&amp;BH17&amp;"&amp;L"&amp;BH17&amp;"&amp;M"&amp;BH17&amp;";RIGHT(D"&amp;BI17&amp;";1)&amp;E"&amp;BI17&amp;"&amp;F"&amp;BI17&amp;"&amp;G"&amp;BI17&amp;"&amp;H"&amp;BI17&amp;"&amp;I"&amp;BI17&amp;"&amp;J"&amp;BI17&amp;"&amp;K"&amp;BI17&amp;"&amp;L"&amp;BI17&amp;"&amp;M"&amp;BI17&amp;"))"</f>
        <v>=IF(OR(LEFT(A43;7)="720G4HC";LEFT(A43;7)="7200428");RIGHT(D417;1)&amp;E417&amp;F417&amp;G417&amp;H417&amp;I417&amp;J417&amp;K417&amp;L417&amp;M417;IF(OR(LEFT(A43;7)="720G4HD";LEFT(A43;7)="7200429");RIGHT(D428;1)&amp;E428&amp;F428&amp;G428&amp;H428&amp;I428&amp;J428&amp;K428&amp;L428&amp;M428;RIGHT(D395;1)&amp;E395&amp;F395&amp;G395&amp;H395&amp;I395&amp;J395&amp;K395&amp;L395&amp;M395))</v>
      </c>
      <c r="BN17" s="0" t="n">
        <f aca="false" ca="false" dt2D="false" dtr="false" t="normal">IF(OR(LEFT(A43, 7)="720G4HC", LEFT(A43, 7)="7200428"), RIGHT(D417, 1)&amp;E417&amp;F417&amp;G417&amp;H417&amp;I417&amp;J417&amp;K417&amp;L417&amp;M417, IF(OR(LEFT(A43, 7)="720G4HD", LEFT(A43, 7)="7200429"), RIGHT(D428, 1)&amp;E428&amp;F428&amp;G428&amp;H428&amp;I428&amp;J428&amp;K428&amp;L428&amp;M428, RIGHT(D395, 1)&amp;E395&amp;F395&amp;G395&amp;H395&amp;I395&amp;J395&amp;K395&amp;L395&amp;M395))</f>
        <v>7.200426E+18</v>
      </c>
    </row>
    <row hidden="false" ht="15" outlineLevel="0" r="18">
      <c r="A18" s="91" t="s">
        <v>751</v>
      </c>
      <c r="B18" s="92" t="str">
        <f aca="false" ca="false" dt2D="false" dtr="false" t="normal">IF(OR(LEFT(A18, 7)="720G4G3", LEFT(A18, 7)="7200403"), RIGHT(D145, 1)&amp;E145&amp;F145&amp;G145&amp;H142&amp;I142&amp;J142&amp;K142&amp;L142&amp;M142, IF(OR(LEFT(A18, 7)="720G4G4", LEFT(A18, 7)="7200404"), RIGHT(D156, 1)&amp;E156&amp;F156&amp;G156&amp;H153&amp;I153&amp;J153&amp;K153&amp;L153&amp;M153, RIGHT(D123, 1)&amp;E123&amp;F123&amp;G123&amp;H120&amp;I120&amp;J120&amp;K120&amp;L120&amp;M120))</f>
        <v>720G4G400000000002F</v>
      </c>
      <c r="C18" s="98" t="s">
        <v>191</v>
      </c>
      <c r="D18" s="53" t="n">
        <f aca="false" ca="false" dt2D="false" dtr="false" t="normal">HEX2DEC(D16)</f>
        <v>7</v>
      </c>
      <c r="E18" s="53" t="n">
        <f aca="false" ca="false" dt2D="false" dtr="false" t="normal">HEX2DEC(E16)</f>
        <v>32</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42</v>
      </c>
      <c r="N18" s="63" t="n"/>
      <c r="P18" s="136" t="n">
        <f aca="false" ca="false" dt2D="false" dtr="false" t="normal">MID(H17, 2, 1)</f>
        <v>0</v>
      </c>
      <c r="Q18" s="137" t="n">
        <f aca="false" ca="false" dt2D="false" dtr="false" t="normal">P18</f>
        <v>0</v>
      </c>
      <c r="R18" s="120" t="s">
        <v>192</v>
      </c>
      <c r="S18" s="131" t="s">
        <v>196</v>
      </c>
      <c r="T18" s="136" t="n">
        <f aca="false" ca="false" dt2D="false" dtr="false" t="normal">MID(I17, 2, 1)</f>
        <v>0</v>
      </c>
      <c r="U18" s="137" t="n">
        <f aca="false" ca="false" dt2D="false" dtr="false" t="normal">T18</f>
        <v>0</v>
      </c>
      <c r="V18" s="120" t="s">
        <v>192</v>
      </c>
      <c r="W18" s="1265" t="s"/>
      <c r="X18" s="136" t="n">
        <f aca="false" ca="false" dt2D="false" dtr="false" t="normal">MID(J17, 2, 1)</f>
        <v>0</v>
      </c>
      <c r="Y18" s="137" t="n">
        <f aca="false" ca="false" dt2D="false" dtr="false" t="normal">X18</f>
        <v>0</v>
      </c>
      <c r="Z18" s="120" t="s">
        <v>192</v>
      </c>
      <c r="AA18" s="131" t="s">
        <v>196</v>
      </c>
      <c r="AB18" s="136" t="n">
        <f aca="false" ca="false" dt2D="false" dtr="false" t="normal">MID(K17, 2, 1)</f>
        <v>0</v>
      </c>
      <c r="AC18" s="137" t="n">
        <f aca="false" ca="false" dt2D="false" dtr="false" t="normal">AB18</f>
        <v>0</v>
      </c>
      <c r="AD18" s="120" t="s">
        <v>192</v>
      </c>
      <c r="AE18" s="131" t="s">
        <v>196</v>
      </c>
      <c r="AF18" s="136" t="n">
        <f aca="false" ca="false" dt2D="false" dtr="false" t="normal">MID(L17, 2, 1)</f>
        <v>0</v>
      </c>
      <c r="AG18" s="137" t="n">
        <f aca="false" ca="false" dt2D="false" dtr="false" t="normal">AF18</f>
        <v>0</v>
      </c>
      <c r="AH18" s="120" t="s">
        <v>192</v>
      </c>
      <c r="AI18" s="139" t="s">
        <v>752</v>
      </c>
      <c r="AJ18" s="1266" t="s"/>
      <c r="AK18" s="1267" t="s"/>
      <c r="AN18" s="1207" t="n"/>
      <c r="AO18" s="0" t="n">
        <f aca="false" ca="false" dt2D="false" dtr="false" t="normal">H274&amp;I274&amp;J274&amp;K274&amp;L274</f>
        <v>0</v>
      </c>
      <c r="AP18" s="0" t="n">
        <f aca="false" ca="false" dt2D="false" dtr="false" t="normal">AO18</f>
        <v>0</v>
      </c>
      <c r="AT18" s="1208" t="n"/>
      <c r="AU18" s="1209" t="n"/>
      <c r="BB18" s="0" t="n">
        <v>44</v>
      </c>
      <c r="BC18" s="56" t="s">
        <v>750</v>
      </c>
      <c r="BD18" s="0" t="n">
        <v>29</v>
      </c>
      <c r="BE18" s="0" t="n">
        <f aca="false" ca="false" dt2D="false" dtr="false" t="normal">BE17+11</f>
        <v>428</v>
      </c>
      <c r="BF18" s="56" t="s">
        <v>753</v>
      </c>
      <c r="BG18" s="0" t="n">
        <v>30</v>
      </c>
      <c r="BH18" s="0" t="n">
        <f aca="false" ca="false" dt2D="false" dtr="false" t="normal">BH17+11</f>
        <v>439</v>
      </c>
      <c r="BI18" s="0" t="n">
        <f aca="false" ca="false" dt2D="false" dtr="false" t="normal">BI17+11</f>
        <v>406</v>
      </c>
      <c r="BK18" s="0" t="str">
        <f aca="false" ca="false" dt2D="false" dtr="false" t="normal">"=IF(OR(LEFT(A"&amp;BB18&amp;";7)=""720G4"&amp;BC18&amp;""";LEFT(A"&amp;BB18&amp;";7)=""72004"&amp;BD18&amp;""");RIGHT(D"&amp;BE18&amp;";1)&amp;E"&amp;BE18&amp;"&amp;F"&amp;BE18&amp;"&amp;G"&amp;BE18&amp;"&amp;H"&amp;BE18&amp;"&amp;I"&amp;BE18&amp;"&amp;J"&amp;BE18&amp;"&amp;K"&amp;BE18&amp;"&amp;L"&amp;BE18&amp;"&amp;M"&amp;BE18&amp;";IF(OR(LEFT(A"&amp;BB18&amp;";7)=""720G4"&amp;BF18&amp;""";LEFT(A"&amp;BB18&amp;";7)=""72004"&amp;BG18&amp;""");RIGHT(D"&amp;BH18&amp;";1)&amp;E"&amp;BH18&amp;"&amp;F"&amp;BH18&amp;"&amp;G"&amp;BH18&amp;"&amp;H"&amp;BH18&amp;"&amp;I"&amp;BH18&amp;"&amp;J"&amp;BH18&amp;"&amp;K"&amp;BH18&amp;"&amp;L"&amp;BH18&amp;"&amp;M"&amp;BH18&amp;";RIGHT(D"&amp;BI18&amp;";1)&amp;E"&amp;BI18&amp;"&amp;F"&amp;BI18&amp;"&amp;G"&amp;BI18&amp;"&amp;H"&amp;BI18&amp;"&amp;I"&amp;BI18&amp;"&amp;J"&amp;BI18&amp;"&amp;K"&amp;BI18&amp;"&amp;L"&amp;BI18&amp;"&amp;M"&amp;BI18&amp;"))"</f>
        <v>=IF(OR(LEFT(A44;7)="720G4HD";LEFT(A44;7)="7200429");RIGHT(D428;1)&amp;E428&amp;F428&amp;G428&amp;H428&amp;I428&amp;J428&amp;K428&amp;L428&amp;M428;IF(OR(LEFT(A44;7)="720G4HE";LEFT(A44;7)="7200430");RIGHT(D439;1)&amp;E439&amp;F439&amp;G439&amp;H439&amp;I439&amp;J439&amp;K439&amp;L439&amp;M439;RIGHT(D406;1)&amp;E406&amp;F406&amp;G406&amp;H406&amp;I406&amp;J406&amp;K406&amp;L406&amp;M406))</v>
      </c>
      <c r="BN18" s="0" t="n">
        <f aca="false" ca="false" dt2D="false" dtr="false" t="normal">IF(OR(LEFT(A44, 7)="720G4HD", LEFT(A44, 7)="7200429"), RIGHT(D428, 1)&amp;E428&amp;F428&amp;G428&amp;H428&amp;I428&amp;J428&amp;K428&amp;L428&amp;M428, IF(OR(LEFT(A44, 7)="720G4HE", LEFT(A44, 7)="7200430"), RIGHT(D439, 1)&amp;E439&amp;F439&amp;G439&amp;H439&amp;I439&amp;J439&amp;K439&amp;L439&amp;M439, RIGHT(D406, 1)&amp;E406&amp;F406&amp;G406&amp;H406&amp;I406&amp;J406&amp;K406&amp;L406&amp;M406))</f>
        <v>7.200427E+18</v>
      </c>
    </row>
    <row hidden="false" ht="15" outlineLevel="0" r="19">
      <c r="A19" s="91" t="s">
        <v>754</v>
      </c>
      <c r="B19" s="92" t="str">
        <f aca="false" ca="false" dt2D="false" dtr="false" t="normal">IF(OR(LEFT(A19, 7)="720G4G4", LEFT(A19, 7)="7200404"), RIGHT(D156, 1)&amp;E156&amp;F156&amp;G156&amp;H153&amp;I153&amp;J153&amp;K153&amp;L153&amp;M153, IF(OR(LEFT(A19, 7)="720G4G5", LEFT(A19, 7)="7200405"), RIGHT(D167, 1)&amp;E167&amp;F167&amp;G167&amp;H164&amp;I164&amp;J164&amp;K164&amp;L164&amp;M164, RIGHT(D134, 1)&amp;E134&amp;F134&amp;G134&amp;H131&amp;I131&amp;J131&amp;K131&amp;L131&amp;M131))</f>
        <v>720G4G5000000000030</v>
      </c>
      <c r="C19" s="98" t="s">
        <v>194</v>
      </c>
      <c r="D19" s="149" t="n">
        <f aca="false" ca="false" dt2D="false" dtr="false" t="normal">D16</f>
        <v>7</v>
      </c>
      <c r="E19" s="149" t="n">
        <f aca="false" ca="false" dt2D="false" dtr="false" t="normal">E16</f>
        <v>20</v>
      </c>
      <c r="F19" s="53" t="str">
        <f aca="false" ca="false" dt2D="false" dtr="false" t="normal">MID(INDEX($A$3:$A$70, IF(ISNA(MATCH("720G1G2*", $A$3:$A$70, 0))=TRUE, MATCH("7200102*", $A$3:$A$70, 0), MATCH("720G1G2*", $A$3:$A$70, 0))), $AS$8, 2)</f>
        <v>G1</v>
      </c>
      <c r="G19" s="53" t="str">
        <f aca="false" ca="false" dt2D="false" dtr="false" t="normal">MID(INDEX($A$3:$A$70, IF(ISNA(MATCH("720G1G2*", $A$3:$A$70, 0))=TRUE, MATCH("7200102*", $A$3:$A$70, 0), MATCH("720G1G2*", $A$3:$A$70, 0))), $AT$8, 2)</f>
        <v>G2</v>
      </c>
      <c r="N19" s="63" t="n"/>
      <c r="P19" s="136" t="n">
        <f aca="false" ca="false" dt2D="false" dtr="false" t="normal">MID(H17, 3, 1)</f>
        <v>0</v>
      </c>
      <c r="Q19" s="137" t="n">
        <f aca="false" ca="false" dt2D="false" dtr="false" t="normal">P19</f>
        <v>0</v>
      </c>
      <c r="R19" s="120" t="s">
        <v>195</v>
      </c>
      <c r="S19" s="1194" t="s">
        <v>755</v>
      </c>
      <c r="T19" s="136" t="n">
        <f aca="false" ca="false" dt2D="false" dtr="false" t="normal">MID(I17, 3, 1)</f>
        <v>0</v>
      </c>
      <c r="U19" s="137" t="n">
        <f aca="false" ca="false" dt2D="false" dtr="false" t="normal">T19</f>
        <v>0</v>
      </c>
      <c r="V19" s="120" t="s">
        <v>195</v>
      </c>
      <c r="W19" s="131" t="s">
        <v>196</v>
      </c>
      <c r="X19" s="136" t="n">
        <f aca="false" ca="false" dt2D="false" dtr="false" t="normal">MID(J17, 3, 1)</f>
        <v>0</v>
      </c>
      <c r="Y19" s="137" t="n">
        <f aca="false" ca="false" dt2D="false" dtr="false" t="normal">X19</f>
        <v>0</v>
      </c>
      <c r="Z19" s="120" t="s">
        <v>195</v>
      </c>
      <c r="AA19" s="131" t="s">
        <v>196</v>
      </c>
      <c r="AB19" s="136" t="n">
        <f aca="false" ca="false" dt2D="false" dtr="false" t="normal">MID(K17, 3, 1)</f>
        <v>0</v>
      </c>
      <c r="AC19" s="137" t="n">
        <f aca="false" ca="false" dt2D="false" dtr="false" t="normal">AB19</f>
        <v>0</v>
      </c>
      <c r="AD19" s="120" t="s">
        <v>195</v>
      </c>
      <c r="AE19" s="131" t="s">
        <v>196</v>
      </c>
      <c r="AF19" s="136" t="n">
        <f aca="false" ca="false" dt2D="false" dtr="false" t="normal">MID(L17, 3, 1)</f>
        <v>0</v>
      </c>
      <c r="AG19" s="137" t="n">
        <f aca="false" ca="false" dt2D="false" dtr="false" t="normal">AF19</f>
        <v>0</v>
      </c>
      <c r="AH19" s="120" t="s">
        <v>195</v>
      </c>
      <c r="AI19" s="1194" t="s">
        <v>756</v>
      </c>
      <c r="AJ19" s="1268" t="s"/>
      <c r="AK19" s="1269" t="s"/>
      <c r="AN19" s="1207" t="n"/>
      <c r="AO19" s="0" t="n">
        <f aca="false" ca="false" dt2D="false" dtr="false" t="normal">H285&amp;I285&amp;J285&amp;K285&amp;L285</f>
        <v>0</v>
      </c>
      <c r="AP19" s="0" t="n">
        <f aca="false" ca="false" dt2D="false" dtr="false" t="normal">AO19</f>
        <v>0</v>
      </c>
      <c r="AT19" s="1208" t="n"/>
      <c r="AU19" s="1209" t="n"/>
      <c r="BB19" s="0" t="n">
        <v>45</v>
      </c>
      <c r="BC19" s="56" t="s">
        <v>753</v>
      </c>
      <c r="BD19" s="0" t="n">
        <v>30</v>
      </c>
      <c r="BE19" s="0" t="n">
        <f aca="false" ca="false" dt2D="false" dtr="false" t="normal">BE18+11</f>
        <v>439</v>
      </c>
      <c r="BF19" s="56" t="s">
        <v>757</v>
      </c>
      <c r="BG19" s="0" t="n">
        <v>31</v>
      </c>
      <c r="BH19" s="0" t="n">
        <f aca="false" ca="false" dt2D="false" dtr="false" t="normal">BH18+11</f>
        <v>450</v>
      </c>
      <c r="BI19" s="0" t="n">
        <f aca="false" ca="false" dt2D="false" dtr="false" t="normal">BI18+11</f>
        <v>417</v>
      </c>
      <c r="BK19" s="0" t="str">
        <f aca="false" ca="false" dt2D="false" dtr="false" t="normal">"=IF(OR(LEFT(A"&amp;BB19&amp;";7)=""720G4"&amp;BC19&amp;""";LEFT(A"&amp;BB19&amp;";7)=""72004"&amp;BD19&amp;""");RIGHT(D"&amp;BE19&amp;";1)&amp;E"&amp;BE19&amp;"&amp;F"&amp;BE19&amp;"&amp;G"&amp;BE19&amp;"&amp;H"&amp;BE19&amp;"&amp;I"&amp;BE19&amp;"&amp;J"&amp;BE19&amp;"&amp;K"&amp;BE19&amp;"&amp;L"&amp;BE19&amp;"&amp;M"&amp;BE19&amp;";IF(OR(LEFT(A"&amp;BB19&amp;";7)=""720G4"&amp;BF19&amp;""";LEFT(A"&amp;BB19&amp;";7)=""72004"&amp;BG19&amp;""");RIGHT(D"&amp;BH19&amp;";1)&amp;E"&amp;BH19&amp;"&amp;F"&amp;BH19&amp;"&amp;G"&amp;BH19&amp;"&amp;H"&amp;BH19&amp;"&amp;I"&amp;BH19&amp;"&amp;J"&amp;BH19&amp;"&amp;K"&amp;BH19&amp;"&amp;L"&amp;BH19&amp;"&amp;M"&amp;BH19&amp;";RIGHT(D"&amp;BI19&amp;";1)&amp;E"&amp;BI19&amp;"&amp;F"&amp;BI19&amp;"&amp;G"&amp;BI19&amp;"&amp;H"&amp;BI19&amp;"&amp;I"&amp;BI19&amp;"&amp;J"&amp;BI19&amp;"&amp;K"&amp;BI19&amp;"&amp;L"&amp;BI19&amp;"&amp;M"&amp;BI19&amp;"))"</f>
        <v>=IF(OR(LEFT(A45;7)="720G4HE";LEFT(A45;7)="7200430");RIGHT(D439;1)&amp;E439&amp;F439&amp;G439&amp;H439&amp;I439&amp;J439&amp;K439&amp;L439&amp;M439;IF(OR(LEFT(A45;7)="720G4HF";LEFT(A45;7)="7200431");RIGHT(D450;1)&amp;E450&amp;F450&amp;G450&amp;H450&amp;I450&amp;J450&amp;K450&amp;L450&amp;M450;RIGHT(D417;1)&amp;E417&amp;F417&amp;G417&amp;H417&amp;I417&amp;J417&amp;K417&amp;L417&amp;M417))</v>
      </c>
      <c r="BN19" s="0" t="n">
        <f aca="false" ca="false" dt2D="false" dtr="false" t="normal">IF(OR(LEFT(A45, 7)="720G4HE", LEFT(A45, 7)="7200430"), RIGHT(D439, 1)&amp;E439&amp;F439&amp;G439&amp;H439&amp;I439&amp;J439&amp;K439&amp;L439&amp;M439, IF(OR(LEFT(A45, 7)="720G4HF", LEFT(A45, 7)="7200431"), RIGHT(D450, 1)&amp;E450&amp;F450&amp;G450&amp;H450&amp;I450&amp;J450&amp;K450&amp;L450&amp;M450, RIGHT(D417, 1)&amp;E417&amp;F417&amp;G417&amp;H417&amp;I417&amp;J417&amp;K417&amp;L417&amp;M417))</f>
        <v>72004280053</v>
      </c>
    </row>
    <row hidden="false" ht="15.75" outlineLevel="0" r="20">
      <c r="A20" s="91" t="s">
        <v>758</v>
      </c>
      <c r="B20" s="92" t="str">
        <f aca="false" ca="false" dt2D="false" dtr="false" t="normal">IF(OR(LEFT(A20, 7)="720G4G5", LEFT(A20, 7)="7200405"), RIGHT(D167, 1)&amp;E167&amp;F167&amp;G167&amp;H164&amp;I164&amp;J164&amp;K164&amp;L164&amp;M164, IF(OR(LEFT(A20, 7)="720G4G6", LEFT(A20, 7)="7200406"), RIGHT(D178, 1)&amp;E178&amp;F178&amp;G178&amp;H175&amp;I175&amp;J175&amp;K175&amp;L175&amp;M175, RIGHT(D145, 1)&amp;E145&amp;F145&amp;G145&amp;H142&amp;I142&amp;J142&amp;K142&amp;L142&amp;M142))</f>
        <v>720G4G6000000000031</v>
      </c>
      <c r="C20" s="98" t="n"/>
      <c r="N20" s="63" t="n"/>
      <c r="P20" s="136" t="n">
        <f aca="false" ca="false" dt2D="false" dtr="false" t="normal">MID(H17, 4, 1)</f>
        <v>0</v>
      </c>
      <c r="Q20" s="137" t="n">
        <f aca="false" ca="false" dt2D="false" dtr="false" t="normal">P20</f>
        <v>0</v>
      </c>
      <c r="R20" s="120" t="s">
        <v>197</v>
      </c>
      <c r="S20" s="1194" t="s">
        <v>759</v>
      </c>
      <c r="T20" s="136" t="n">
        <f aca="false" ca="false" dt2D="false" dtr="false" t="normal">MID(I17, 4, 1)</f>
        <v>0</v>
      </c>
      <c r="U20" s="137" t="n">
        <f aca="false" ca="false" dt2D="false" dtr="false" t="normal">T20</f>
        <v>0</v>
      </c>
      <c r="V20" s="120" t="s">
        <v>197</v>
      </c>
      <c r="W20" s="131" t="s">
        <v>196</v>
      </c>
      <c r="X20" s="136" t="n">
        <f aca="false" ca="false" dt2D="false" dtr="false" t="normal">MID(J17, 4, 1)</f>
        <v>0</v>
      </c>
      <c r="Y20" s="137" t="n">
        <f aca="false" ca="false" dt2D="false" dtr="false" t="normal">X20</f>
        <v>0</v>
      </c>
      <c r="Z20" s="120" t="s">
        <v>197</v>
      </c>
      <c r="AA20" s="131" t="s">
        <v>196</v>
      </c>
      <c r="AB20" s="136" t="n">
        <f aca="false" ca="false" dt2D="false" dtr="false" t="normal">MID(K17, 4, 1)</f>
        <v>0</v>
      </c>
      <c r="AC20" s="137" t="n">
        <f aca="false" ca="false" dt2D="false" dtr="false" t="normal">AB20</f>
        <v>0</v>
      </c>
      <c r="AD20" s="120" t="s">
        <v>197</v>
      </c>
      <c r="AE20" s="131" t="s">
        <v>196</v>
      </c>
      <c r="AF20" s="136" t="n">
        <f aca="false" ca="false" dt2D="false" dtr="false" t="normal">MID(L17, 4, 1)</f>
        <v>0</v>
      </c>
      <c r="AG20" s="137" t="n">
        <f aca="false" ca="false" dt2D="false" dtr="false" t="normal">AF20</f>
        <v>0</v>
      </c>
      <c r="AH20" s="120" t="s">
        <v>197</v>
      </c>
      <c r="AI20" s="131" t="s">
        <v>196</v>
      </c>
      <c r="AJ20" s="1270" t="s"/>
      <c r="AK20" s="1271" t="s"/>
      <c r="AN20" s="1207" t="n"/>
      <c r="AO20" s="0" t="n">
        <f aca="false" ca="false" dt2D="false" dtr="false" t="normal">H296&amp;I296&amp;J296&amp;K296&amp;L296</f>
        <v>0</v>
      </c>
      <c r="AP20" s="0" t="n">
        <f aca="false" ca="false" dt2D="false" dtr="false" t="normal">AO20</f>
        <v>0</v>
      </c>
      <c r="AT20" s="1208" t="n"/>
      <c r="AU20" s="1209" t="n"/>
      <c r="BB20" s="0" t="n">
        <v>46</v>
      </c>
      <c r="BC20" s="56" t="s">
        <v>757</v>
      </c>
      <c r="BD20" s="0" t="n">
        <v>31</v>
      </c>
      <c r="BE20" s="0" t="n">
        <f aca="false" ca="false" dt2D="false" dtr="false" t="normal">BE19+11</f>
        <v>450</v>
      </c>
      <c r="BF20" s="56" t="s">
        <v>760</v>
      </c>
      <c r="BG20" s="0" t="n">
        <v>32</v>
      </c>
      <c r="BH20" s="0" t="n">
        <f aca="false" ca="false" dt2D="false" dtr="false" t="normal">BH19+11</f>
        <v>461</v>
      </c>
      <c r="BI20" s="0" t="n">
        <f aca="false" ca="false" dt2D="false" dtr="false" t="normal">BI19+11</f>
        <v>428</v>
      </c>
      <c r="BK20" s="0" t="str">
        <f aca="false" ca="false" dt2D="false" dtr="false" t="normal">"=IF(OR(LEFT(A"&amp;BB20&amp;";7)=""720G4"&amp;BC20&amp;""";LEFT(A"&amp;BB20&amp;";7)=""72004"&amp;BD20&amp;""");RIGHT(D"&amp;BE20&amp;";1)&amp;E"&amp;BE20&amp;"&amp;F"&amp;BE20&amp;"&amp;G"&amp;BE20&amp;"&amp;H"&amp;BE20&amp;"&amp;I"&amp;BE20&amp;"&amp;J"&amp;BE20&amp;"&amp;K"&amp;BE20&amp;"&amp;L"&amp;BE20&amp;"&amp;M"&amp;BE20&amp;";IF(OR(LEFT(A"&amp;BB20&amp;";7)=""720G4"&amp;BF20&amp;""";LEFT(A"&amp;BB20&amp;";7)=""72004"&amp;BG20&amp;""");RIGHT(D"&amp;BH20&amp;";1)&amp;E"&amp;BH20&amp;"&amp;F"&amp;BH20&amp;"&amp;G"&amp;BH20&amp;"&amp;H"&amp;BH20&amp;"&amp;I"&amp;BH20&amp;"&amp;J"&amp;BH20&amp;"&amp;K"&amp;BH20&amp;"&amp;L"&amp;BH20&amp;"&amp;M"&amp;BH20&amp;";RIGHT(D"&amp;BI20&amp;";1)&amp;E"&amp;BI20&amp;"&amp;F"&amp;BI20&amp;"&amp;G"&amp;BI20&amp;"&amp;H"&amp;BI20&amp;"&amp;I"&amp;BI20&amp;"&amp;J"&amp;BI20&amp;"&amp;K"&amp;BI20&amp;"&amp;L"&amp;BI20&amp;"&amp;M"&amp;BI20&amp;"))"</f>
        <v>=IF(OR(LEFT(A46;7)="720G4HF";LEFT(A46;7)="7200431");RIGHT(D450;1)&amp;E450&amp;F450&amp;G450&amp;H450&amp;I450&amp;J450&amp;K450&amp;L450&amp;M450;IF(OR(LEFT(A46;7)="720G4I0";LEFT(A46;7)="7200432");RIGHT(D461;1)&amp;E461&amp;F461&amp;G461&amp;H461&amp;I461&amp;J461&amp;K461&amp;L461&amp;M461;RIGHT(D428;1)&amp;E428&amp;F428&amp;G428&amp;H428&amp;I428&amp;J428&amp;K428&amp;L428&amp;M428))</v>
      </c>
      <c r="BN20" s="0" t="str">
        <f aca="false" ca="false" dt2D="false" dtr="false" t="normal">IF(OR(LEFT(A46, 7)="720G4HF", LEFT(A46, 7)="7200431"), RIGHT(D450, 1)&amp;E450&amp;F450&amp;G450&amp;H450&amp;I450&amp;J450&amp;K450&amp;L450&amp;M450, IF(OR(LEFT(A46, 7)="720G4I0", LEFT(A46, 7)="7200432"), RIGHT(D461, 1)&amp;E461&amp;F461&amp;G461&amp;H461&amp;I461&amp;J461&amp;K461&amp;L461&amp;M461, RIGHT(D428, 1)&amp;E428&amp;F428&amp;G428&amp;H428&amp;I428&amp;J428&amp;K428&amp;L428&amp;M428))</f>
        <v/>
      </c>
    </row>
    <row hidden="false" ht="15.75" outlineLevel="0" r="21">
      <c r="A21" s="91" t="s">
        <v>761</v>
      </c>
      <c r="B21" s="92" t="str">
        <f aca="false" ca="false" dt2D="false" dtr="false" t="normal">IF(OR(LEFT(A21, 7)="720G4G6", LEFT(A21, 7)="7200406"), RIGHT(D178, 1)&amp;E178&amp;F178&amp;G178&amp;H175&amp;I175&amp;J175&amp;K175&amp;L175&amp;M175, IF(OR(LEFT(A21, 7)="720G4G7", LEFT(A21, 7)="7200407"), RIGHT(D189, 1)&amp;E189&amp;F189&amp;G189&amp;H186&amp;I186&amp;J186&amp;K186&amp;L186&amp;M186, RIGHT(D156, 1)&amp;E156&amp;F156&amp;G156&amp;H153&amp;I153&amp;J153&amp;K153&amp;L153&amp;M153))</f>
        <v>720G4G7000000000032</v>
      </c>
      <c r="C21" s="98" t="s">
        <v>176</v>
      </c>
      <c r="D21" s="159" t="n">
        <f aca="false" ca="false" dt2D="false" dtr="false" t="normal">D16</f>
        <v>7</v>
      </c>
      <c r="E21" s="160" t="n">
        <f aca="false" ca="false" dt2D="false" dtr="false" t="normal">E16</f>
        <v>20</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str">
        <f aca="false" ca="false" dt2D="false" dtr="false" t="normal">IF(LEN(M22)&gt;2, MID(M22, 2, 2), M22)</f>
        <v>2A</v>
      </c>
      <c r="N21" s="63" t="s">
        <v>181</v>
      </c>
      <c r="P21" s="136" t="n">
        <f aca="false" ca="false" dt2D="false" dtr="false" t="normal">MID(H17, 5, 1)</f>
        <v>0</v>
      </c>
      <c r="Q21" s="137" t="n">
        <f aca="false" ca="false" dt2D="false" dtr="false" t="normal">P21</f>
        <v>0</v>
      </c>
      <c r="R21" s="120" t="s">
        <v>200</v>
      </c>
      <c r="S21" s="131" t="s">
        <v>196</v>
      </c>
      <c r="T21" s="136" t="n">
        <f aca="false" ca="false" dt2D="false" dtr="false" t="normal">MID(I17, 5, 1)</f>
        <v>0</v>
      </c>
      <c r="U21" s="137" t="n">
        <f aca="false" ca="false" dt2D="false" dtr="false" t="normal">T21</f>
        <v>0</v>
      </c>
      <c r="V21" s="120" t="s">
        <v>200</v>
      </c>
      <c r="W21" s="208" t="s">
        <v>762</v>
      </c>
      <c r="X21" s="136" t="n">
        <f aca="false" ca="false" dt2D="false" dtr="false" t="normal">MID(J17, 5, 1)</f>
        <v>0</v>
      </c>
      <c r="Y21" s="137" t="n">
        <f aca="false" ca="false" dt2D="false" dtr="false" t="normal">X21</f>
        <v>0</v>
      </c>
      <c r="Z21" s="120" t="s">
        <v>200</v>
      </c>
      <c r="AA21" s="131" t="s">
        <v>196</v>
      </c>
      <c r="AB21" s="136" t="n">
        <f aca="false" ca="false" dt2D="false" dtr="false" t="normal">MID(K17, 5, 1)</f>
        <v>0</v>
      </c>
      <c r="AC21" s="137" t="n">
        <f aca="false" ca="false" dt2D="false" dtr="false" t="normal">AB21</f>
        <v>0</v>
      </c>
      <c r="AD21" s="120" t="s">
        <v>200</v>
      </c>
      <c r="AE21" s="131" t="s">
        <v>196</v>
      </c>
      <c r="AF21" s="136" t="n">
        <f aca="false" ca="false" dt2D="false" dtr="false" t="normal">MID(L17, 5, 1)</f>
        <v>0</v>
      </c>
      <c r="AG21" s="137" t="n">
        <f aca="false" ca="false" dt2D="false" dtr="false" t="normal">AF21</f>
        <v>0</v>
      </c>
      <c r="AH21" s="120" t="s">
        <v>200</v>
      </c>
      <c r="AI21" s="139" t="s">
        <v>583</v>
      </c>
      <c r="AJ21" s="1272" t="s"/>
      <c r="AK21" s="1273" t="s"/>
      <c r="AN21" s="1207" t="n"/>
      <c r="AO21" s="0" t="n">
        <f aca="false" ca="false" dt2D="false" dtr="false" t="normal">H307&amp;I307&amp;J307&amp;K307&amp;L307</f>
        <v>0</v>
      </c>
      <c r="AP21" s="0" t="n">
        <f aca="false" ca="false" dt2D="false" dtr="false" t="normal">AO21</f>
        <v>0</v>
      </c>
      <c r="AT21" s="1208" t="n"/>
      <c r="AU21" s="1209" t="n"/>
      <c r="BB21" s="0" t="n">
        <v>47</v>
      </c>
      <c r="BC21" s="56" t="s">
        <v>760</v>
      </c>
      <c r="BD21" s="0" t="n">
        <v>32</v>
      </c>
      <c r="BE21" s="0" t="n">
        <f aca="false" ca="false" dt2D="false" dtr="false" t="normal">BE20+11</f>
        <v>461</v>
      </c>
      <c r="BF21" s="56" t="s">
        <v>763</v>
      </c>
      <c r="BG21" s="0" t="n">
        <v>33</v>
      </c>
      <c r="BH21" s="0" t="n">
        <f aca="false" ca="false" dt2D="false" dtr="false" t="normal">BH20+11</f>
        <v>472</v>
      </c>
      <c r="BI21" s="0" t="n">
        <f aca="false" ca="false" dt2D="false" dtr="false" t="normal">BI20+11</f>
        <v>439</v>
      </c>
      <c r="BK21" s="0" t="str">
        <f aca="false" ca="false" dt2D="false" dtr="false" t="normal">"=IF(OR(LEFT(A"&amp;BB21&amp;";7)=""720G4"&amp;BC21&amp;""";LEFT(A"&amp;BB21&amp;";7)=""72004"&amp;BD21&amp;""");RIGHT(D"&amp;BE21&amp;";1)&amp;E"&amp;BE21&amp;"&amp;F"&amp;BE21&amp;"&amp;G"&amp;BE21&amp;"&amp;H"&amp;BE21&amp;"&amp;I"&amp;BE21&amp;"&amp;J"&amp;BE21&amp;"&amp;K"&amp;BE21&amp;"&amp;L"&amp;BE21&amp;"&amp;M"&amp;BE21&amp;";IF(OR(LEFT(A"&amp;BB21&amp;";7)=""720G4"&amp;BF21&amp;""";LEFT(A"&amp;BB21&amp;";7)=""72004"&amp;BG21&amp;""");RIGHT(D"&amp;BH21&amp;";1)&amp;E"&amp;BH21&amp;"&amp;F"&amp;BH21&amp;"&amp;G"&amp;BH21&amp;"&amp;H"&amp;BH21&amp;"&amp;I"&amp;BH21&amp;"&amp;J"&amp;BH21&amp;"&amp;K"&amp;BH21&amp;"&amp;L"&amp;BH21&amp;"&amp;M"&amp;BH21&amp;";RIGHT(D"&amp;BI21&amp;";1)&amp;E"&amp;BI21&amp;"&amp;F"&amp;BI21&amp;"&amp;G"&amp;BI21&amp;"&amp;H"&amp;BI21&amp;"&amp;I"&amp;BI21&amp;"&amp;J"&amp;BI21&amp;"&amp;K"&amp;BI21&amp;"&amp;L"&amp;BI21&amp;"&amp;M"&amp;BI21&amp;"))"</f>
        <v>=IF(OR(LEFT(A47;7)="720G4I0";LEFT(A47;7)="7200432");RIGHT(D461;1)&amp;E461&amp;F461&amp;G461&amp;H461&amp;I461&amp;J461&amp;K461&amp;L461&amp;M461;IF(OR(LEFT(A47;7)="720G4I1";LEFT(A47;7)="7200433");RIGHT(D472;1)&amp;E472&amp;F472&amp;G472&amp;H472&amp;I472&amp;J472&amp;K472&amp;L472&amp;M472;RIGHT(D439;1)&amp;E439&amp;F439&amp;G439&amp;H439&amp;I439&amp;J439&amp;K439&amp;L439&amp;M439))</v>
      </c>
      <c r="BN21" s="0" t="str">
        <f aca="false" ca="false" dt2D="false" dtr="false" t="normal">IF(OR(LEFT(A47, 7)="720G4I0", LEFT(A47, 7)="7200432"), RIGHT(D461, 1)&amp;E461&amp;F461&amp;G461&amp;H461&amp;I461&amp;J461&amp;K461&amp;L461&amp;M461, IF(OR(LEFT(A47, 7)="720G4I1", LEFT(A47, 7)="7200433"), RIGHT(D472, 1)&amp;E472&amp;F472&amp;G472&amp;H472&amp;I472&amp;J472&amp;K472&amp;L472&amp;M472, RIGHT(D439, 1)&amp;E439&amp;F439&amp;G439&amp;H439&amp;I439&amp;J439&amp;K439&amp;L439&amp;M439))</f>
        <v/>
      </c>
    </row>
    <row hidden="false" ht="15" outlineLevel="0" r="22">
      <c r="A22" s="91" t="s">
        <v>764</v>
      </c>
      <c r="B22" s="92" t="str">
        <f aca="false" ca="false" dt2D="false" dtr="false" t="normal">IF(OR(LEFT(A22, 7)="720G4G7", LEFT(A22, 7)="7200407"), RIGHT(D189, 1)&amp;E189&amp;F189&amp;G189&amp;H186&amp;I186&amp;J186&amp;K186&amp;L186&amp;M186, IF(OR(LEFT(A22, 7)="720G4G8", LEFT(A22, 7)="7200408"), RIGHT(D200, 1)&amp;E200&amp;F200&amp;G200&amp;H197&amp;I197&amp;J197&amp;K197&amp;L197&amp;M197, RIGHT(D167, 1)&amp;E167&amp;F167&amp;G167&amp;H164&amp;I164&amp;J164&amp;K164&amp;L164&amp;M164))</f>
        <v>720G4G8000000000033</v>
      </c>
      <c r="C22" s="98" t="s">
        <v>185</v>
      </c>
      <c r="D22" s="53" t="n">
        <f aca="false" ca="false" dt2D="false" dtr="false" t="normal">HEX2BIN(D21, 8)</f>
        <v>111</v>
      </c>
      <c r="E22" s="53" t="n">
        <f aca="false" ca="false" dt2D="false" dtr="false" t="normal">HEX2BIN(E21, 8)</f>
        <v>100000</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171" t="n">
        <f aca="false" ca="false" dt2D="false" dtr="false" t="normal">AC17&amp;AC18&amp;AC19&amp;AC20&amp;AC21&amp;AC22&amp;AC23&amp;AC24</f>
        <v>0</v>
      </c>
      <c r="L22" s="53" t="n">
        <f aca="false" ca="false" dt2D="false" dtr="false" t="normal">AG17&amp;AG18&amp;AG19&amp;AG20&amp;AG21&amp;AG22&amp;AG23&amp;AG24</f>
        <v>0</v>
      </c>
      <c r="M22" s="53" t="str">
        <f aca="false" ca="false" dt2D="false" dtr="false" t="normal">DEC2HEX(M23)</f>
        <v>2A</v>
      </c>
      <c r="N22" s="63" t="n"/>
      <c r="P22" s="136" t="n">
        <f aca="false" ca="false" dt2D="false" dtr="false" t="normal">MID(H17, 6, 1)</f>
        <v>0</v>
      </c>
      <c r="Q22" s="137" t="n">
        <f aca="false" ca="false" dt2D="false" dtr="false" t="normal">P22</f>
        <v>0</v>
      </c>
      <c r="R22" s="120" t="s">
        <v>203</v>
      </c>
      <c r="S22" s="139" t="s">
        <v>765</v>
      </c>
      <c r="T22" s="136" t="n">
        <f aca="false" ca="false" dt2D="false" dtr="false" t="normal">MID(I17, 6, 1)</f>
        <v>0</v>
      </c>
      <c r="U22" s="137" t="n">
        <f aca="false" ca="false" dt2D="false" dtr="false" t="normal">T22</f>
        <v>0</v>
      </c>
      <c r="V22" s="120" t="s">
        <v>203</v>
      </c>
      <c r="W22" s="1194" t="s">
        <v>766</v>
      </c>
      <c r="X22" s="136" t="n">
        <f aca="false" ca="false" dt2D="false" dtr="false" t="normal">MID(J17, 6, 1)</f>
        <v>0</v>
      </c>
      <c r="Y22" s="137" t="n">
        <f aca="false" ca="false" dt2D="false" dtr="false" t="normal">X22</f>
        <v>0</v>
      </c>
      <c r="Z22" s="120" t="s">
        <v>203</v>
      </c>
      <c r="AA22" s="139" t="s">
        <v>767</v>
      </c>
      <c r="AB22" s="136" t="n">
        <f aca="false" ca="false" dt2D="false" dtr="false" t="normal">MID(K17, 6, 1)</f>
        <v>0</v>
      </c>
      <c r="AC22" s="137" t="n">
        <f aca="false" ca="false" dt2D="false" dtr="false" t="normal">AB22</f>
        <v>0</v>
      </c>
      <c r="AD22" s="120" t="s">
        <v>203</v>
      </c>
      <c r="AE22" s="131" t="s">
        <v>196</v>
      </c>
      <c r="AF22" s="136" t="n">
        <f aca="false" ca="false" dt2D="false" dtr="false" t="normal">MID(L17, 6, 1)</f>
        <v>0</v>
      </c>
      <c r="AG22" s="137" t="n">
        <f aca="false" ca="false" dt2D="false" dtr="false" t="normal">AF22</f>
        <v>0</v>
      </c>
      <c r="AH22" s="120" t="s">
        <v>203</v>
      </c>
      <c r="AI22" s="139" t="s">
        <v>768</v>
      </c>
      <c r="AJ22" s="1274" t="s"/>
      <c r="AK22" s="1275" t="s"/>
      <c r="AN22" s="1207" t="n"/>
      <c r="AO22" s="0" t="n">
        <f aca="false" ca="false" dt2D="false" dtr="false" t="normal">H318&amp;I318&amp;J318&amp;K318&amp;L318</f>
        <v>0</v>
      </c>
      <c r="AP22" s="0" t="n">
        <f aca="false" ca="false" dt2D="false" dtr="false" t="normal">AO22</f>
        <v>0</v>
      </c>
      <c r="AT22" s="1208" t="n"/>
      <c r="AU22" s="1209" t="n"/>
      <c r="BB22" s="0" t="n">
        <v>48</v>
      </c>
      <c r="BC22" s="56" t="s">
        <v>763</v>
      </c>
      <c r="BD22" s="0" t="n">
        <v>33</v>
      </c>
      <c r="BE22" s="0" t="n">
        <f aca="false" ca="false" dt2D="false" dtr="false" t="normal">BE21+11</f>
        <v>472</v>
      </c>
      <c r="BF22" s="56" t="s">
        <v>769</v>
      </c>
      <c r="BG22" s="0" t="n">
        <v>34</v>
      </c>
      <c r="BH22" s="0" t="n">
        <f aca="false" ca="false" dt2D="false" dtr="false" t="normal">BH21+11</f>
        <v>483</v>
      </c>
      <c r="BI22" s="0" t="n">
        <f aca="false" ca="false" dt2D="false" dtr="false" t="normal">BI21+11</f>
        <v>450</v>
      </c>
      <c r="BK22" s="0" t="str">
        <f aca="false" ca="false" dt2D="false" dtr="false" t="normal">"=IF(OR(LEFT(A"&amp;BB22&amp;";7)=""720G4"&amp;BC22&amp;""";LEFT(A"&amp;BB22&amp;";7)=""72004"&amp;BD22&amp;""");RIGHT(D"&amp;BE22&amp;";1)&amp;E"&amp;BE22&amp;"&amp;F"&amp;BE22&amp;"&amp;G"&amp;BE22&amp;"&amp;H"&amp;BE22&amp;"&amp;I"&amp;BE22&amp;"&amp;J"&amp;BE22&amp;"&amp;K"&amp;BE22&amp;"&amp;L"&amp;BE22&amp;"&amp;M"&amp;BE22&amp;";IF(OR(LEFT(A"&amp;BB22&amp;";7)=""720G4"&amp;BF22&amp;""";LEFT(A"&amp;BB22&amp;";7)=""72004"&amp;BG22&amp;""");RIGHT(D"&amp;BH22&amp;";1)&amp;E"&amp;BH22&amp;"&amp;F"&amp;BH22&amp;"&amp;G"&amp;BH22&amp;"&amp;H"&amp;BH22&amp;"&amp;I"&amp;BH22&amp;"&amp;J"&amp;BH22&amp;"&amp;K"&amp;BH22&amp;"&amp;L"&amp;BH22&amp;"&amp;M"&amp;BH22&amp;";RIGHT(D"&amp;BI22&amp;";1)&amp;E"&amp;BI22&amp;"&amp;F"&amp;BI22&amp;"&amp;G"&amp;BI22&amp;"&amp;H"&amp;BI22&amp;"&amp;I"&amp;BI22&amp;"&amp;J"&amp;BI22&amp;"&amp;K"&amp;BI22&amp;"&amp;L"&amp;BI22&amp;"&amp;M"&amp;BI22&amp;"))"</f>
        <v>=IF(OR(LEFT(A48;7)="720G4I1";LEFT(A48;7)="7200433");RIGHT(D472;1)&amp;E472&amp;F472&amp;G472&amp;H472&amp;I472&amp;J472&amp;K472&amp;L472&amp;M472;IF(OR(LEFT(A48;7)="720G4I2";LEFT(A48;7)="7200434");RIGHT(D483;1)&amp;E483&amp;F483&amp;G483&amp;H483&amp;I483&amp;J483&amp;K483&amp;L483&amp;M483;RIGHT(D450;1)&amp;E450&amp;F450&amp;G450&amp;H450&amp;I450&amp;J450&amp;K450&amp;L450&amp;M450))</v>
      </c>
      <c r="BN22" s="0" t="str">
        <f aca="false" ca="false" dt2D="false" dtr="false" t="normal">IF(OR(LEFT(A48, 7)="720G4I1", LEFT(A48, 7)="7200433"), RIGHT(D472, 1)&amp;E472&amp;F472&amp;G472&amp;H472&amp;I472&amp;J472&amp;K472&amp;L472&amp;M472, IF(OR(LEFT(A48, 7)="720G4I2", LEFT(A48, 7)="7200434"), RIGHT(D483, 1)&amp;E483&amp;F483&amp;G483&amp;H483&amp;I483&amp;J483&amp;K483&amp;L483&amp;M483, RIGHT(D450, 1)&amp;E450&amp;F450&amp;G450&amp;H450&amp;I450&amp;J450&amp;K450&amp;L450&amp;M450))</f>
        <v/>
      </c>
    </row>
    <row hidden="false" ht="15" outlineLevel="0" r="23">
      <c r="A23" s="91" t="s">
        <v>770</v>
      </c>
      <c r="B23" s="92" t="str">
        <f aca="false" ca="false" dt2D="false" dtr="false" t="normal">IF(OR(LEFT(A23, 7)="720G4G8", LEFT(A23, 7)="7200408"), RIGHT(D200, 1)&amp;E200&amp;F200&amp;G200&amp;H197&amp;I197&amp;J197&amp;K197&amp;L197&amp;M197, IF(OR(LEFT(A23, 7)="720G4G9", LEFT(A23, 7)="7200409"), RIGHT(D211, 1)&amp;E211&amp;F211&amp;G211&amp;H208&amp;I208&amp;J208&amp;K208&amp;L208&amp;M208, RIGHT(D178, 1)&amp;E178&amp;F178&amp;G178&amp;H175&amp;I175&amp;J175&amp;K175&amp;L175&amp;M175))</f>
        <v>720G4G9000000000034</v>
      </c>
      <c r="C23" s="98" t="s">
        <v>191</v>
      </c>
      <c r="D23" s="53" t="n">
        <f aca="false" ca="false" dt2D="false" dtr="false" t="normal">HEX2DEC(D21)</f>
        <v>7</v>
      </c>
      <c r="E23" s="53" t="n">
        <f aca="false" ca="false" dt2D="false" dtr="false" t="normal">HEX2DEC(E21)</f>
        <v>32</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42</v>
      </c>
      <c r="N23" s="63" t="n"/>
      <c r="P23" s="136" t="n">
        <f aca="false" ca="false" dt2D="false" dtr="false" t="normal">MID(H17, 7, 1)</f>
        <v>0</v>
      </c>
      <c r="Q23" s="137" t="n">
        <f aca="false" ca="false" dt2D="false" dtr="false" t="normal">P23</f>
        <v>0</v>
      </c>
      <c r="R23" s="120" t="s">
        <v>206</v>
      </c>
      <c r="S23" s="131" t="s">
        <v>196</v>
      </c>
      <c r="T23" s="136" t="n">
        <f aca="false" ca="false" dt2D="false" dtr="false" t="normal">MID(I17, 7, 1)</f>
        <v>0</v>
      </c>
      <c r="U23" s="137" t="n">
        <f aca="false" ca="false" dt2D="false" dtr="false" t="normal">T23</f>
        <v>0</v>
      </c>
      <c r="V23" s="120" t="s">
        <v>206</v>
      </c>
      <c r="W23" s="131" t="s">
        <v>196</v>
      </c>
      <c r="X23" s="136" t="n">
        <f aca="false" ca="false" dt2D="false" dtr="false" t="normal">MID(J17, 7, 1)</f>
        <v>0</v>
      </c>
      <c r="Y23" s="137" t="n">
        <f aca="false" ca="false" dt2D="false" dtr="false" t="normal">X23</f>
        <v>0</v>
      </c>
      <c r="Z23" s="120" t="s">
        <v>206</v>
      </c>
      <c r="AA23" s="131" t="s">
        <v>196</v>
      </c>
      <c r="AB23" s="136" t="n">
        <f aca="false" ca="false" dt2D="false" dtr="false" t="normal">MID(K17, 7, 1)</f>
        <v>0</v>
      </c>
      <c r="AC23" s="137" t="n">
        <f aca="false" ca="false" dt2D="false" dtr="false" t="normal">AB23</f>
        <v>0</v>
      </c>
      <c r="AD23" s="120" t="s">
        <v>206</v>
      </c>
      <c r="AE23" s="131" t="s">
        <v>196</v>
      </c>
      <c r="AF23" s="136" t="n">
        <f aca="false" ca="false" dt2D="false" dtr="false" t="normal">MID(L17, 7, 1)</f>
        <v>0</v>
      </c>
      <c r="AG23" s="137" t="n">
        <f aca="false" ca="false" dt2D="false" dtr="false" t="normal">AF23</f>
        <v>0</v>
      </c>
      <c r="AH23" s="120" t="s">
        <v>206</v>
      </c>
      <c r="AI23" s="139" t="s">
        <v>771</v>
      </c>
      <c r="AJ23" s="1276" t="s"/>
      <c r="AK23" s="1277" t="s"/>
      <c r="AN23" s="1207" t="n"/>
      <c r="AO23" s="0" t="n">
        <f aca="false" ca="false" dt2D="false" dtr="false" t="normal">H329&amp;I329&amp;J329&amp;K329&amp;L329</f>
        <v>0</v>
      </c>
      <c r="AP23" s="0" t="n">
        <f aca="false" ca="false" dt2D="false" dtr="false" t="normal">AO23</f>
        <v>0</v>
      </c>
      <c r="AT23" s="1208" t="n"/>
      <c r="AU23" s="1209" t="n"/>
      <c r="BB23" s="0" t="n">
        <v>49</v>
      </c>
      <c r="BC23" s="56" t="s">
        <v>769</v>
      </c>
      <c r="BD23" s="0" t="n">
        <v>34</v>
      </c>
      <c r="BE23" s="0" t="n">
        <f aca="false" ca="false" dt2D="false" dtr="false" t="normal">BE22+11</f>
        <v>483</v>
      </c>
      <c r="BF23" s="56" t="s">
        <v>772</v>
      </c>
      <c r="BG23" s="0" t="n">
        <v>35</v>
      </c>
      <c r="BH23" s="0" t="n">
        <f aca="false" ca="false" dt2D="false" dtr="false" t="normal">BH22+11</f>
        <v>494</v>
      </c>
      <c r="BI23" s="0" t="n">
        <f aca="false" ca="false" dt2D="false" dtr="false" t="normal">BI22+11</f>
        <v>461</v>
      </c>
      <c r="BK23" s="0" t="str">
        <f aca="false" ca="false" dt2D="false" dtr="false" t="normal">"=IF(OR(LEFT(A"&amp;BB23&amp;";7)=""720G4"&amp;BC23&amp;""";LEFT(A"&amp;BB23&amp;";7)=""72004"&amp;BD23&amp;""");RIGHT(D"&amp;BE23&amp;";1)&amp;E"&amp;BE23&amp;"&amp;F"&amp;BE23&amp;"&amp;G"&amp;BE23&amp;"&amp;H"&amp;BE23&amp;"&amp;I"&amp;BE23&amp;"&amp;J"&amp;BE23&amp;"&amp;K"&amp;BE23&amp;"&amp;L"&amp;BE23&amp;"&amp;M"&amp;BE23&amp;";IF(OR(LEFT(A"&amp;BB23&amp;";7)=""720G4"&amp;BF23&amp;""";LEFT(A"&amp;BB23&amp;";7)=""72004"&amp;BG23&amp;""");RIGHT(D"&amp;BH23&amp;";1)&amp;E"&amp;BH23&amp;"&amp;F"&amp;BH23&amp;"&amp;G"&amp;BH23&amp;"&amp;H"&amp;BH23&amp;"&amp;I"&amp;BH23&amp;"&amp;J"&amp;BH23&amp;"&amp;K"&amp;BH23&amp;"&amp;L"&amp;BH23&amp;"&amp;M"&amp;BH23&amp;";RIGHT(D"&amp;BI23&amp;";1)&amp;E"&amp;BI23&amp;"&amp;F"&amp;BI23&amp;"&amp;G"&amp;BI23&amp;"&amp;H"&amp;BI23&amp;"&amp;I"&amp;BI23&amp;"&amp;J"&amp;BI23&amp;"&amp;K"&amp;BI23&amp;"&amp;L"&amp;BI23&amp;"&amp;M"&amp;BI23&amp;"))"</f>
        <v>=IF(OR(LEFT(A49;7)="720G4I2";LEFT(A49;7)="7200434");RIGHT(D483;1)&amp;E483&amp;F483&amp;G483&amp;H483&amp;I483&amp;J483&amp;K483&amp;L483&amp;M483;IF(OR(LEFT(A49;7)="720G4I3";LEFT(A49;7)="7200435");RIGHT(D494;1)&amp;E494&amp;F494&amp;G494&amp;H494&amp;I494&amp;J494&amp;K494&amp;L494&amp;M494;RIGHT(D461;1)&amp;E461&amp;F461&amp;G461&amp;H461&amp;I461&amp;J461&amp;K461&amp;L461&amp;M461))</v>
      </c>
      <c r="BN23" s="0" t="str">
        <f aca="false" ca="false" dt2D="false" dtr="false" t="normal">IF(OR(LEFT(A49, 7)="720G4I2", LEFT(A49, 7)="7200434"), RIGHT(D483, 1)&amp;E483&amp;F483&amp;G483&amp;H483&amp;I483&amp;J483&amp;K483&amp;L483&amp;M483, IF(OR(LEFT(A49, 7)="720G4I3", LEFT(A49, 7)="7200435"), RIGHT(D494, 1)&amp;E494&amp;F494&amp;G494&amp;H494&amp;I494&amp;J494&amp;K494&amp;L494&amp;M494, RIGHT(D461, 1)&amp;E461&amp;F461&amp;G461&amp;H461&amp;I461&amp;J461&amp;K461&amp;L461&amp;M461))</f>
        <v/>
      </c>
    </row>
    <row hidden="false" ht="15.75" outlineLevel="0" r="24">
      <c r="A24" s="91" t="s">
        <v>773</v>
      </c>
      <c r="B24" s="92" t="str">
        <f aca="false" ca="false" dt2D="false" dtr="false" t="normal">IF(OR(LEFT(A24, 7)="720G4G9", LEFT(A24, 7)="7200409"), RIGHT(D211, 1)&amp;E211&amp;F211&amp;G211&amp;H208&amp;I208&amp;J208&amp;K208&amp;L208&amp;M208, IF(OR(LEFT(A24, 7)="720G4GA", LEFT(A24, 7)="7200410"), RIGHT(D222, 1)&amp;E222&amp;F222&amp;G222&amp;H219&amp;I219&amp;J219&amp;K219&amp;L219&amp;M219, RIGHT(D189, 1)&amp;E189&amp;F189&amp;G189&amp;H186&amp;I186&amp;J186&amp;K186&amp;L186&amp;M186))</f>
        <v>720G4GA00000000003B</v>
      </c>
      <c r="C24" s="180" t="s">
        <v>194</v>
      </c>
      <c r="D24" s="299" t="n">
        <f aca="false" ca="false" dt2D="false" dtr="false" t="normal">D19</f>
        <v>7</v>
      </c>
      <c r="E24" s="299" t="n">
        <f aca="false" ca="false" dt2D="false" dtr="false" t="normal">E19</f>
        <v>20</v>
      </c>
      <c r="F24" s="299" t="str">
        <f aca="false" ca="false" dt2D="false" dtr="false" t="normal">F19</f>
        <v>G1</v>
      </c>
      <c r="G24" s="299"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5" t="s">
        <v>196</v>
      </c>
      <c r="T24" s="182" t="n">
        <f aca="false" ca="false" dt2D="false" dtr="false" t="normal">MID(I17, 8, 1)</f>
        <v>0</v>
      </c>
      <c r="U24" s="183" t="n">
        <f aca="false" ca="false" dt2D="false" dtr="false" t="normal">T24</f>
        <v>0</v>
      </c>
      <c r="V24" s="184" t="s">
        <v>208</v>
      </c>
      <c r="W24" s="185" t="s">
        <v>196</v>
      </c>
      <c r="X24" s="182" t="n">
        <f aca="false" ca="false" dt2D="false" dtr="false" t="normal">MID(J17, 8, 1)</f>
        <v>0</v>
      </c>
      <c r="Y24" s="183" t="n">
        <f aca="false" ca="false" dt2D="false" dtr="false" t="normal">X24</f>
        <v>0</v>
      </c>
      <c r="Z24" s="184" t="s">
        <v>208</v>
      </c>
      <c r="AA24" s="185" t="s">
        <v>196</v>
      </c>
      <c r="AB24" s="182" t="n">
        <f aca="false" ca="false" dt2D="false" dtr="false" t="normal">MID(K17, 8, 1)</f>
        <v>0</v>
      </c>
      <c r="AC24" s="183" t="n">
        <f aca="false" ca="false" dt2D="false" dtr="false" t="normal">AB24</f>
        <v>0</v>
      </c>
      <c r="AD24" s="184" t="s">
        <v>208</v>
      </c>
      <c r="AE24" s="185" t="s">
        <v>196</v>
      </c>
      <c r="AF24" s="182" t="n">
        <f aca="false" ca="false" dt2D="false" dtr="false" t="normal">MID(L17, 8, 1)</f>
        <v>0</v>
      </c>
      <c r="AG24" s="183" t="n">
        <f aca="false" ca="false" dt2D="false" dtr="false" t="normal">AF24</f>
        <v>0</v>
      </c>
      <c r="AH24" s="184" t="s">
        <v>208</v>
      </c>
      <c r="AI24" s="187" t="s">
        <v>774</v>
      </c>
      <c r="AJ24" s="1278" t="s"/>
      <c r="AK24" s="1279" t="s"/>
      <c r="AN24" s="1207" t="n"/>
      <c r="AO24" s="0" t="n">
        <f aca="false" ca="false" dt2D="false" dtr="false" t="normal">H340&amp;I340&amp;J340&amp;K340&amp;L340</f>
        <v>0</v>
      </c>
      <c r="AP24" s="0" t="n">
        <f aca="false" ca="false" dt2D="false" dtr="false" t="normal">AO24</f>
        <v>0</v>
      </c>
      <c r="AT24" s="1208" t="n"/>
      <c r="AU24" s="1209" t="n"/>
      <c r="BB24" s="0" t="n">
        <v>50</v>
      </c>
      <c r="BC24" s="56" t="s">
        <v>772</v>
      </c>
      <c r="BD24" s="0" t="n">
        <v>35</v>
      </c>
      <c r="BE24" s="0" t="n">
        <f aca="false" ca="false" dt2D="false" dtr="false" t="normal">BE23+11</f>
        <v>494</v>
      </c>
      <c r="BF24" s="56" t="s">
        <v>775</v>
      </c>
      <c r="BG24" s="0" t="n">
        <v>36</v>
      </c>
      <c r="BH24" s="0" t="n">
        <f aca="false" ca="false" dt2D="false" dtr="false" t="normal">BH23+11</f>
        <v>505</v>
      </c>
      <c r="BI24" s="0" t="n">
        <f aca="false" ca="false" dt2D="false" dtr="false" t="normal">BI23+11</f>
        <v>472</v>
      </c>
      <c r="BK24" s="0" t="str">
        <f aca="false" ca="false" dt2D="false" dtr="false" t="normal">"=IF(OR(LEFT(A"&amp;BB24&amp;";7)=""720G4"&amp;BC24&amp;""";LEFT(A"&amp;BB24&amp;";7)=""72004"&amp;BD24&amp;""");RIGHT(D"&amp;BE24&amp;";1)&amp;E"&amp;BE24&amp;"&amp;F"&amp;BE24&amp;"&amp;G"&amp;BE24&amp;"&amp;H"&amp;BE24&amp;"&amp;I"&amp;BE24&amp;"&amp;J"&amp;BE24&amp;"&amp;K"&amp;BE24&amp;"&amp;L"&amp;BE24&amp;"&amp;M"&amp;BE24&amp;";IF(OR(LEFT(A"&amp;BB24&amp;";7)=""720G4"&amp;BF24&amp;""";LEFT(A"&amp;BB24&amp;";7)=""72004"&amp;BG24&amp;""");RIGHT(D"&amp;BH24&amp;";1)&amp;E"&amp;BH24&amp;"&amp;F"&amp;BH24&amp;"&amp;G"&amp;BH24&amp;"&amp;H"&amp;BH24&amp;"&amp;I"&amp;BH24&amp;"&amp;J"&amp;BH24&amp;"&amp;K"&amp;BH24&amp;"&amp;L"&amp;BH24&amp;"&amp;M"&amp;BH24&amp;";RIGHT(D"&amp;BI24&amp;";1)&amp;E"&amp;BI24&amp;"&amp;F"&amp;BI24&amp;"&amp;G"&amp;BI24&amp;"&amp;H"&amp;BI24&amp;"&amp;I"&amp;BI24&amp;"&amp;J"&amp;BI24&amp;"&amp;K"&amp;BI24&amp;"&amp;L"&amp;BI24&amp;"&amp;M"&amp;BI24&amp;"))"</f>
        <v>=IF(OR(LEFT(A50;7)="720G4I3";LEFT(A50;7)="7200435");RIGHT(D494;1)&amp;E494&amp;F494&amp;G494&amp;H494&amp;I494&amp;J494&amp;K494&amp;L494&amp;M494;IF(OR(LEFT(A50;7)="720G4I4";LEFT(A50;7)="7200436");RIGHT(D505;1)&amp;E505&amp;F505&amp;G505&amp;H505&amp;I505&amp;J505&amp;K505&amp;L505&amp;M505;RIGHT(D472;1)&amp;E472&amp;F472&amp;G472&amp;H472&amp;I472&amp;J472&amp;K472&amp;L472&amp;M472))</v>
      </c>
      <c r="BN24" s="0" t="str">
        <f aca="false" ca="false" dt2D="false" dtr="false" t="normal">IF(OR(LEFT(A50, 7)="720G4I3", LEFT(A50, 7)="7200435"), RIGHT(D494, 1)&amp;E494&amp;F494&amp;G494&amp;H494&amp;I494&amp;J494&amp;K494&amp;L494&amp;M494, IF(OR(LEFT(A50, 7)="720G4I4", LEFT(A50, 7)="7200436"), RIGHT(D505, 1)&amp;E505&amp;F505&amp;G505&amp;H505&amp;I505&amp;J505&amp;K505&amp;L505&amp;M505, RIGHT(D472, 1)&amp;E472&amp;F472&amp;G472&amp;H472&amp;I472&amp;J472&amp;K472&amp;L472&amp;M472))</f>
        <v/>
      </c>
    </row>
    <row hidden="false" ht="15.75" outlineLevel="0" r="25">
      <c r="A25" s="91" t="s">
        <v>776</v>
      </c>
      <c r="B25" s="92" t="str">
        <f aca="false" ca="false" dt2D="false" dtr="false" t="normal">IF(OR(LEFT(A25, 7)="720G4GA", LEFT(A25, 7)="7200410"), RIGHT(D222, 1)&amp;E222&amp;F222&amp;G222&amp;H219&amp;I219&amp;J219&amp;K219&amp;L219&amp;M219, IF(OR(LEFT(A25, 7)="720G4GB", LEFT(A25, 7)="7200411"), RIGHT(D233, 1)&amp;E233&amp;F233&amp;G233&amp;H230&amp;I230&amp;J230&amp;K230&amp;L230&amp;M230, RIGHT(D200, 1)&amp;E200&amp;F200&amp;G200&amp;H197&amp;I197&amp;J197&amp;K197&amp;L197&amp;M197))</f>
        <v>720G4GB00000000003C</v>
      </c>
      <c r="C25" s="93" t="n"/>
      <c r="D25" s="94" t="n"/>
      <c r="E25" s="94" t="n"/>
      <c r="F25" s="94" t="n"/>
      <c r="G25" s="94" t="n"/>
      <c r="H25" s="94" t="n"/>
      <c r="I25" s="94" t="n"/>
      <c r="J25" s="94" t="n"/>
      <c r="K25" s="94" t="n"/>
      <c r="L25" s="94" t="n"/>
      <c r="M25" s="94" t="s">
        <v>161</v>
      </c>
      <c r="N25" s="60" t="n"/>
      <c r="P25" s="95" t="str">
        <f aca="false" ca="false" dt2D="false" dtr="false" t="normal">RIGHT(D27, 1)&amp;E27&amp;"-"&amp;F27&amp;"-"&amp;G27</f>
        <v>720-01-03</v>
      </c>
      <c r="Q25" s="1280" t="s"/>
      <c r="R25" s="234" t="s">
        <v>777</v>
      </c>
      <c r="S25" s="1281" t="s"/>
      <c r="T25" s="1282" t="s"/>
      <c r="U25" s="1283" t="s"/>
      <c r="V25" s="1284" t="s"/>
      <c r="W25" s="1285" t="s"/>
      <c r="X25" s="1286" t="s"/>
      <c r="Y25" s="1287" t="s"/>
      <c r="Z25" s="1288" t="s"/>
      <c r="AA25" s="1289" t="s"/>
      <c r="AB25" s="1290" t="s"/>
      <c r="AC25" s="1291" t="s"/>
      <c r="AD25" s="1292" t="s"/>
      <c r="AE25" s="1293" t="s"/>
      <c r="AF25" s="1294" t="s"/>
      <c r="AG25" s="1295" t="s"/>
      <c r="AH25" s="1296" t="s"/>
      <c r="AI25" s="1297" t="s"/>
      <c r="AJ25" s="1298" t="s"/>
      <c r="AK25" s="1299" t="s"/>
      <c r="AN25" s="1207" t="n"/>
      <c r="AO25" s="0" t="n">
        <f aca="false" ca="false" dt2D="false" dtr="false" t="normal">H351&amp;I351&amp;J351&amp;K351&amp;L351</f>
        <v>0</v>
      </c>
      <c r="AP25" s="0" t="n">
        <f aca="false" ca="false" dt2D="false" dtr="false" t="normal">AO25</f>
        <v>0</v>
      </c>
      <c r="AT25" s="1208" t="n"/>
      <c r="AU25" s="1209" t="n"/>
      <c r="BB25" s="0" t="n">
        <v>51</v>
      </c>
      <c r="BC25" s="56" t="s">
        <v>775</v>
      </c>
      <c r="BD25" s="0" t="n">
        <v>36</v>
      </c>
      <c r="BE25" s="0" t="n">
        <f aca="false" ca="false" dt2D="false" dtr="false" t="normal">BE24+11</f>
        <v>505</v>
      </c>
      <c r="BF25" s="56" t="s">
        <v>778</v>
      </c>
      <c r="BG25" s="0" t="n">
        <v>37</v>
      </c>
      <c r="BH25" s="0" t="n">
        <f aca="false" ca="false" dt2D="false" dtr="false" t="normal">BH24+11</f>
        <v>516</v>
      </c>
      <c r="BI25" s="0" t="n">
        <f aca="false" ca="false" dt2D="false" dtr="false" t="normal">BI24+11</f>
        <v>483</v>
      </c>
      <c r="BK25" s="0" t="str">
        <f aca="false" ca="false" dt2D="false" dtr="false" t="normal">"=IF(OR(LEFT(A"&amp;BB25&amp;";7)=""720G4"&amp;BC25&amp;""";LEFT(A"&amp;BB25&amp;";7)=""72004"&amp;BD25&amp;""");RIGHT(D"&amp;BE25&amp;";1)&amp;E"&amp;BE25&amp;"&amp;F"&amp;BE25&amp;"&amp;G"&amp;BE25&amp;"&amp;H"&amp;BE25&amp;"&amp;I"&amp;BE25&amp;"&amp;J"&amp;BE25&amp;"&amp;K"&amp;BE25&amp;"&amp;L"&amp;BE25&amp;"&amp;M"&amp;BE25&amp;";IF(OR(LEFT(A"&amp;BB25&amp;";7)=""720G4"&amp;BF25&amp;""";LEFT(A"&amp;BB25&amp;";7)=""72004"&amp;BG25&amp;""");RIGHT(D"&amp;BH25&amp;";1)&amp;E"&amp;BH25&amp;"&amp;F"&amp;BH25&amp;"&amp;G"&amp;BH25&amp;"&amp;H"&amp;BH25&amp;"&amp;I"&amp;BH25&amp;"&amp;J"&amp;BH25&amp;"&amp;K"&amp;BH25&amp;"&amp;L"&amp;BH25&amp;"&amp;M"&amp;BH25&amp;";RIGHT(D"&amp;BI25&amp;";1)&amp;E"&amp;BI25&amp;"&amp;F"&amp;BI25&amp;"&amp;G"&amp;BI25&amp;"&amp;H"&amp;BI25&amp;"&amp;I"&amp;BI25&amp;"&amp;J"&amp;BI25&amp;"&amp;K"&amp;BI25&amp;"&amp;L"&amp;BI25&amp;"&amp;M"&amp;BI25&amp;"))"</f>
        <v>=IF(OR(LEFT(A51;7)="720G4I4";LEFT(A51;7)="7200436");RIGHT(D505;1)&amp;E505&amp;F505&amp;G505&amp;H505&amp;I505&amp;J505&amp;K505&amp;L505&amp;M505;IF(OR(LEFT(A51;7)="720G4I5";LEFT(A51;7)="7200437");RIGHT(D516;1)&amp;E516&amp;F516&amp;G516&amp;H516&amp;I516&amp;J516&amp;K516&amp;L516&amp;M516;RIGHT(D483;1)&amp;E483&amp;F483&amp;G483&amp;H483&amp;I483&amp;J483&amp;K483&amp;L483&amp;M483))</v>
      </c>
      <c r="BN25" s="0" t="str">
        <f aca="false" ca="false" dt2D="false" dtr="false" t="normal">IF(OR(LEFT(A51, 7)="720G4I4", LEFT(A51, 7)="7200436"), RIGHT(D505, 1)&amp;E505&amp;F505&amp;G505&amp;H505&amp;I505&amp;J505&amp;K505&amp;L505&amp;M505, IF(OR(LEFT(A51, 7)="720G4I5", LEFT(A51, 7)="7200437"), RIGHT(D516, 1)&amp;E516&amp;F516&amp;G516&amp;H516&amp;I516&amp;J516&amp;K516&amp;L516&amp;M516, RIGHT(D483, 1)&amp;E483&amp;F483&amp;G483&amp;H483&amp;I483&amp;J483&amp;K483&amp;L483&amp;M483))</f>
        <v/>
      </c>
    </row>
    <row hidden="false" ht="15.75" outlineLevel="0" r="26">
      <c r="A26" s="91" t="s">
        <v>779</v>
      </c>
      <c r="B26" s="92" t="str">
        <f aca="false" ca="false" dt2D="false" dtr="false" t="normal">IF(OR(LEFT(A26, 7)="720G4GB", LEFT(A26, 7)="7200411"), RIGHT(D233, 1)&amp;E233&amp;F233&amp;G233&amp;H230&amp;I230&amp;J230&amp;K230&amp;L230&amp;M230, IF(OR(LEFT(A26, 7)="720G4GC", LEFT(A26, 7)="7200412"), RIGHT(D244, 1)&amp;E244&amp;F244&amp;G244&amp;H241&amp;I241&amp;J241&amp;K241&amp;L241&amp;M241, RIGHT(D211, 1)&amp;E211&amp;F211&amp;G211&amp;H208&amp;I208&amp;J208&amp;K208&amp;L208&amp;M208))</f>
        <v>720G4GC00000000003D</v>
      </c>
      <c r="C26" s="98" t="n"/>
      <c r="D26" s="99" t="s">
        <v>780</v>
      </c>
      <c r="E26" s="1300" t="s"/>
      <c r="F26" s="1301" t="s"/>
      <c r="G26" s="1302" t="s"/>
      <c r="H26" s="53" t="s">
        <v>165</v>
      </c>
      <c r="I26" s="53" t="s">
        <v>166</v>
      </c>
      <c r="J26" s="53" t="s">
        <v>167</v>
      </c>
      <c r="K26" s="53" t="s">
        <v>168</v>
      </c>
      <c r="L26" s="53" t="s">
        <v>169</v>
      </c>
      <c r="M26" s="53" t="s">
        <v>221</v>
      </c>
      <c r="N26" s="63" t="n"/>
      <c r="P26" s="103" t="s">
        <v>781</v>
      </c>
      <c r="Q26" s="1303" t="s"/>
      <c r="R26" s="1304" t="s"/>
      <c r="S26" s="1305" t="s"/>
      <c r="T26" s="103" t="s">
        <v>782</v>
      </c>
      <c r="U26" s="1306" t="s"/>
      <c r="V26" s="1307" t="s"/>
      <c r="W26" s="1308" t="s"/>
      <c r="X26" s="103" t="s">
        <v>783</v>
      </c>
      <c r="Y26" s="1309" t="s"/>
      <c r="Z26" s="1310" t="s"/>
      <c r="AA26" s="1311" t="s"/>
      <c r="AB26" s="103" t="s">
        <v>784</v>
      </c>
      <c r="AC26" s="1312" t="s"/>
      <c r="AD26" s="1313" t="s"/>
      <c r="AE26" s="1314" t="s"/>
      <c r="AF26" s="103" t="s">
        <v>785</v>
      </c>
      <c r="AG26" s="1315" t="s"/>
      <c r="AH26" s="1316" t="s"/>
      <c r="AI26" s="1317" t="s"/>
      <c r="AJ26" s="103" t="s">
        <v>786</v>
      </c>
      <c r="AK26" s="1318" t="s"/>
      <c r="AN26" s="1207" t="n"/>
      <c r="AO26" s="0" t="n">
        <f aca="false" ca="false" dt2D="false" dtr="false" t="normal">H362&amp;I362&amp;J362&amp;K362&amp;L362</f>
        <v>0</v>
      </c>
      <c r="AP26" s="0" t="n">
        <f aca="false" ca="false" dt2D="false" dtr="false" t="normal">AO26</f>
        <v>0</v>
      </c>
      <c r="AT26" s="1208" t="n"/>
      <c r="AU26" s="1209" t="n"/>
      <c r="BB26" s="0" t="n">
        <v>52</v>
      </c>
      <c r="BC26" s="56" t="s">
        <v>778</v>
      </c>
      <c r="BD26" s="0" t="n">
        <v>37</v>
      </c>
      <c r="BE26" s="0" t="n">
        <f aca="false" ca="false" dt2D="false" dtr="false" t="normal">BE25+11</f>
        <v>516</v>
      </c>
      <c r="BF26" s="56" t="s">
        <v>787</v>
      </c>
      <c r="BG26" s="0" t="n">
        <v>38</v>
      </c>
      <c r="BH26" s="0" t="n">
        <f aca="false" ca="false" dt2D="false" dtr="false" t="normal">BH25+11</f>
        <v>527</v>
      </c>
      <c r="BI26" s="0" t="n">
        <f aca="false" ca="false" dt2D="false" dtr="false" t="normal">BI25+11</f>
        <v>494</v>
      </c>
      <c r="BK26" s="0" t="str">
        <f aca="false" ca="false" dt2D="false" dtr="false" t="normal">"=IF(OR(LEFT(A"&amp;BB26&amp;";7)=""720G4"&amp;BC26&amp;""";LEFT(A"&amp;BB26&amp;";7)=""72004"&amp;BD26&amp;""");RIGHT(D"&amp;BE26&amp;";1)&amp;E"&amp;BE26&amp;"&amp;F"&amp;BE26&amp;"&amp;G"&amp;BE26&amp;"&amp;H"&amp;BE26&amp;"&amp;I"&amp;BE26&amp;"&amp;J"&amp;BE26&amp;"&amp;K"&amp;BE26&amp;"&amp;L"&amp;BE26&amp;"&amp;M"&amp;BE26&amp;";IF(OR(LEFT(A"&amp;BB26&amp;";7)=""720G4"&amp;BF26&amp;""";LEFT(A"&amp;BB26&amp;";7)=""72004"&amp;BG26&amp;""");RIGHT(D"&amp;BH26&amp;";1)&amp;E"&amp;BH26&amp;"&amp;F"&amp;BH26&amp;"&amp;G"&amp;BH26&amp;"&amp;H"&amp;BH26&amp;"&amp;I"&amp;BH26&amp;"&amp;J"&amp;BH26&amp;"&amp;K"&amp;BH26&amp;"&amp;L"&amp;BH26&amp;"&amp;M"&amp;BH26&amp;";RIGHT(D"&amp;BI26&amp;";1)&amp;E"&amp;BI26&amp;"&amp;F"&amp;BI26&amp;"&amp;G"&amp;BI26&amp;"&amp;H"&amp;BI26&amp;"&amp;I"&amp;BI26&amp;"&amp;J"&amp;BI26&amp;"&amp;K"&amp;BI26&amp;"&amp;L"&amp;BI26&amp;"&amp;M"&amp;BI26&amp;"))"</f>
        <v>=IF(OR(LEFT(A52;7)="720G4I5";LEFT(A52;7)="7200437");RIGHT(D516;1)&amp;E516&amp;F516&amp;G516&amp;H516&amp;I516&amp;J516&amp;K516&amp;L516&amp;M516;IF(OR(LEFT(A52;7)="720G4I6";LEFT(A52;7)="7200438");RIGHT(D527;1)&amp;E527&amp;F527&amp;G527&amp;H527&amp;I527&amp;J527&amp;K527&amp;L527&amp;M527;RIGHT(D494;1)&amp;E494&amp;F494&amp;G494&amp;H494&amp;I494&amp;J494&amp;K494&amp;L494&amp;M494))</v>
      </c>
      <c r="BN26" s="0" t="str">
        <f aca="false" ca="false" dt2D="false" dtr="false" t="normal">IF(OR(LEFT(A52, 7)="720G4I5", LEFT(A52, 7)="7200437"), RIGHT(D516, 1)&amp;E516&amp;F516&amp;G516&amp;H516&amp;I516&amp;J516&amp;K516&amp;L516&amp;M516, IF(OR(LEFT(A52, 7)="720G4I6", LEFT(A52, 7)="7200438"), RIGHT(D527, 1)&amp;E527&amp;F527&amp;G527&amp;H527&amp;I527&amp;J527&amp;K527&amp;L527&amp;M527, RIGHT(D494, 1)&amp;E494&amp;F494&amp;G494&amp;H494&amp;I494&amp;J494&amp;K494&amp;L494&amp;M494))</f>
        <v/>
      </c>
    </row>
    <row hidden="false" ht="15.75" outlineLevel="0" r="27">
      <c r="A27" s="91" t="s">
        <v>788</v>
      </c>
      <c r="B27" s="92" t="str">
        <f aca="false" ca="false" dt2D="false" dtr="false" t="normal">IF(OR(LEFT(A27, 7)="720G4GC", LEFT(A27, 7)="7200412"), RIGHT(D244, 1)&amp;E244&amp;F244&amp;G244&amp;H241&amp;I241&amp;J241&amp;K241&amp;L241&amp;M241, IF(OR(LEFT(A27, 7)="720G4GD", LEFT(A27, 7)="7200413"), RIGHT(D255, 1)&amp;E255&amp;F255&amp;G255&amp;H252&amp;I252&amp;J252&amp;K252&amp;L252&amp;M252, RIGHT(D222, 1)&amp;E222&amp;F222&amp;G222&amp;H219&amp;I219&amp;J219&amp;K219&amp;L219&amp;M219))</f>
        <v>720G4GD00000000003E</v>
      </c>
      <c r="C27" s="98" t="s">
        <v>176</v>
      </c>
      <c r="D27" s="122" t="s">
        <v>177</v>
      </c>
      <c r="E27" s="123" t="s">
        <v>693</v>
      </c>
      <c r="F27" s="123" t="s">
        <v>179</v>
      </c>
      <c r="G27" s="124" t="s">
        <v>307</v>
      </c>
      <c r="H27" s="125" t="n">
        <f aca="false" ca="false" dt2D="false" dtr="false" ref="H27:H27" t="array">MID(INDEX($A$3:$A$70, IF(ISNA(MATCH("720G1G3*", $A$3:$A$70, 0))=TRUE, MATCH("7200103*", $A$3:$A$70, 0), MATCH("720G1G3*", $A$3:$A$70, 0))), $AU$8, 2)</f>
        <v>0</v>
      </c>
      <c r="I27" s="126" t="n">
        <f aca="false" ca="false" dt2D="false" dtr="false" ref="I27:I27" t="array">MID(INDEX($A$3:$A$70, IF(ISNA(MATCH("720G1G3*", $A$3:$A$70, 0))=TRUE, MATCH("7200103*", $A$3:$A$70, 0), MATCH("720G1G3*", $A$3:$A$70, 0))), $AV$8, 2)</f>
        <v>0</v>
      </c>
      <c r="J27" s="126" t="n">
        <f aca="false" ca="false" dt2D="false" dtr="false" ref="J27:J27" t="array">MID(INDEX($A$3:$A$70, IF(ISNA(MATCH("720G1G3*", $A$3:$A$70, 0))=TRUE, MATCH("7200103*", $A$3:$A$70, 0), MATCH("720G1G3*", $A$3:$A$70, 0))), $AW$8, 2)</f>
        <v>0</v>
      </c>
      <c r="K27" s="126" t="n">
        <f aca="false" ca="false" dt2D="false" dtr="false" ref="K27:K27" t="array">MID(INDEX($A$3:$A$70, IF(ISNA(MATCH("720G1G3*", $A$3:$A$70, 0))=TRUE, MATCH("7200103*", $A$3:$A$70, 0), MATCH("720G1G3*", $A$3:$A$70, 0))), $AX$8, 2)</f>
        <v>0</v>
      </c>
      <c r="L27" s="274" t="n">
        <f aca="false" ca="false" dt2D="false" dtr="false" ref="L27:L27" t="array">MID(INDEX($A$3:$A$70, IF(ISNA(MATCH("720G1G3*", $A$3:$A$70, 0))=TRUE, MATCH("7200103*", $A$3:$A$70, 0), MATCH("720G1G3*", $A$3:$A$70, 0))), $AY$8, 2)</f>
        <v>0</v>
      </c>
      <c r="M27" s="128" t="str">
        <f aca="false" ca="false" dt2D="false" dtr="false" ref="M27:M27" t="array">MID(INDEX($A$3:$A$70, IF(ISNA(MATCH("720G1G3*", $A$3:$A$70, 0))=TRUE, MATCH("7200103*", $A$3:$A$70, 0), MATCH("720G1G3*", $A$3:$A$70, 0))), $AZ$8, 2)</f>
        <v>2B</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29" t="s">
        <v>180</v>
      </c>
      <c r="AC27" s="130" t="s">
        <v>181</v>
      </c>
      <c r="AD27" s="121" t="s">
        <v>182</v>
      </c>
      <c r="AE27" s="131" t="n"/>
      <c r="AF27" s="129" t="s">
        <v>180</v>
      </c>
      <c r="AG27" s="130" t="s">
        <v>181</v>
      </c>
      <c r="AH27" s="121" t="s">
        <v>182</v>
      </c>
      <c r="AI27" s="121" t="n"/>
      <c r="AJ27" s="116" t="s">
        <v>183</v>
      </c>
      <c r="AK27" s="1319" t="s"/>
      <c r="AN27" s="1207" t="n"/>
      <c r="AO27" s="0" t="n">
        <f aca="false" ca="false" dt2D="false" dtr="false" t="normal">H373&amp;I373&amp;J373&amp;K373&amp;L373</f>
        <v>0</v>
      </c>
      <c r="AP27" s="0" t="n">
        <f aca="false" ca="false" dt2D="false" dtr="false" t="normal">AO27</f>
        <v>0</v>
      </c>
      <c r="AT27" s="1208" t="n"/>
      <c r="AU27" s="1209" t="n"/>
      <c r="BB27" s="0" t="n">
        <v>53</v>
      </c>
      <c r="BC27" s="56" t="s">
        <v>787</v>
      </c>
      <c r="BD27" s="0" t="n">
        <v>38</v>
      </c>
      <c r="BE27" s="0" t="n">
        <f aca="false" ca="false" dt2D="false" dtr="false" t="normal">BE26+11</f>
        <v>527</v>
      </c>
      <c r="BF27" s="56" t="s">
        <v>789</v>
      </c>
      <c r="BG27" s="0" t="n">
        <v>39</v>
      </c>
      <c r="BH27" s="0" t="n">
        <f aca="false" ca="false" dt2D="false" dtr="false" t="normal">BH26+11</f>
        <v>538</v>
      </c>
      <c r="BI27" s="0" t="n">
        <f aca="false" ca="false" dt2D="false" dtr="false" t="normal">BI26+11</f>
        <v>505</v>
      </c>
      <c r="BK27" s="0" t="str">
        <f aca="false" ca="false" dt2D="false" dtr="false" t="normal">"=IF(OR(LEFT(A"&amp;BB27&amp;";7)=""720G4"&amp;BC27&amp;""";LEFT(A"&amp;BB27&amp;";7)=""72004"&amp;BD27&amp;""");RIGHT(D"&amp;BE27&amp;";1)&amp;E"&amp;BE27&amp;"&amp;F"&amp;BE27&amp;"&amp;G"&amp;BE27&amp;"&amp;H"&amp;BE27&amp;"&amp;I"&amp;BE27&amp;"&amp;J"&amp;BE27&amp;"&amp;K"&amp;BE27&amp;"&amp;L"&amp;BE27&amp;"&amp;M"&amp;BE27&amp;";IF(OR(LEFT(A"&amp;BB27&amp;";7)=""720G4"&amp;BF27&amp;""";LEFT(A"&amp;BB27&amp;";7)=""72004"&amp;BG27&amp;""");RIGHT(D"&amp;BH27&amp;";1)&amp;E"&amp;BH27&amp;"&amp;F"&amp;BH27&amp;"&amp;G"&amp;BH27&amp;"&amp;H"&amp;BH27&amp;"&amp;I"&amp;BH27&amp;"&amp;J"&amp;BH27&amp;"&amp;K"&amp;BH27&amp;"&amp;L"&amp;BH27&amp;"&amp;M"&amp;BH27&amp;";RIGHT(D"&amp;BI27&amp;";1)&amp;E"&amp;BI27&amp;"&amp;F"&amp;BI27&amp;"&amp;G"&amp;BI27&amp;"&amp;H"&amp;BI27&amp;"&amp;I"&amp;BI27&amp;"&amp;J"&amp;BI27&amp;"&amp;K"&amp;BI27&amp;"&amp;L"&amp;BI27&amp;"&amp;M"&amp;BI27&amp;"))"</f>
        <v>=IF(OR(LEFT(A53;7)="720G4I6";LEFT(A53;7)="7200438");RIGHT(D527;1)&amp;E527&amp;F527&amp;G527&amp;H527&amp;I527&amp;J527&amp;K527&amp;L527&amp;M527;IF(OR(LEFT(A53;7)="720G4I7";LEFT(A53;7)="7200439");RIGHT(D538;1)&amp;E538&amp;F538&amp;G538&amp;H538&amp;I538&amp;J538&amp;K538&amp;L538&amp;M538;RIGHT(D505;1)&amp;E505&amp;F505&amp;G505&amp;H505&amp;I505&amp;J505&amp;K505&amp;L505&amp;M505))</v>
      </c>
      <c r="BN27" s="0" t="str">
        <f aca="false" ca="false" dt2D="false" dtr="false" t="normal">IF(OR(LEFT(A53, 7)="720G4I6", LEFT(A53, 7)="7200438"), RIGHT(D527, 1)&amp;E527&amp;F527&amp;G527&amp;H527&amp;I527&amp;J527&amp;K527&amp;L527&amp;M527, IF(OR(LEFT(A53, 7)="720G4I7", LEFT(A53, 7)="7200439"), RIGHT(D538, 1)&amp;E538&amp;F538&amp;G538&amp;H538&amp;I538&amp;J538&amp;K538&amp;L538&amp;M538, RIGHT(D505, 1)&amp;E505&amp;F505&amp;G505&amp;H505&amp;I505&amp;J505&amp;K505&amp;L505&amp;M505))</f>
        <v/>
      </c>
    </row>
    <row customHeight="true" hidden="false" ht="15" outlineLevel="0" r="28">
      <c r="A28" s="91" t="s">
        <v>790</v>
      </c>
      <c r="B28" s="92" t="str">
        <f aca="false" ca="false" dt2D="false" dtr="false" t="normal">IF(OR(LEFT(A28, 7)="720G4GD", LEFT(A28, 7)="7200413"), RIGHT(D255, 1)&amp;E255&amp;F255&amp;G255&amp;H252&amp;I252&amp;J252&amp;K252&amp;L252&amp;M252, IF(OR(LEFT(A28, 7)="720G4GE", LEFT(A28, 7)="7200414"), RIGHT(D266, 1)&amp;E266&amp;F266&amp;G266&amp;H263&amp;I263&amp;J263&amp;K263&amp;L263&amp;M263, RIGHT(D233, 1)&amp;E233&amp;F233&amp;G233&amp;H230&amp;I230&amp;J230&amp;K230&amp;L230&amp;M230))</f>
        <v>720G4GE00000000003F</v>
      </c>
      <c r="C28" s="98" t="s">
        <v>185</v>
      </c>
      <c r="D28" s="53" t="n">
        <f aca="false" ca="false" dt2D="false" dtr="false" t="normal">HEX2BIN(D27, 8)</f>
        <v>111</v>
      </c>
      <c r="E28" s="53" t="n">
        <f aca="false" ca="false" dt2D="false" dtr="false" t="normal">HEX2BIN(E27, 8)</f>
        <v>100000</v>
      </c>
      <c r="F28" s="53" t="n">
        <f aca="false" ca="false" dt2D="false" dtr="false" t="normal">HEX2BIN(F27, 8)</f>
        <v>1</v>
      </c>
      <c r="G28" s="53"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f aca="false" ca="false" dt2D="false" dtr="false" t="normal">HEX2BIN(K27, 8)</f>
        <v>0</v>
      </c>
      <c r="L28" s="53" t="n">
        <f aca="false" ca="false" dt2D="false" dtr="false" t="normal">HEX2BIN(L27, 8)</f>
        <v>0</v>
      </c>
      <c r="N28" s="63" t="n"/>
      <c r="P28" s="136" t="n">
        <f aca="false" ca="false" dt2D="false" dtr="false" t="normal">MID(H28, 1, 1)</f>
        <v>0</v>
      </c>
      <c r="Q28" s="137" t="n">
        <f aca="false" ca="false" dt2D="false" dtr="false" t="normal">P28</f>
        <v>0</v>
      </c>
      <c r="R28" s="120" t="s">
        <v>186</v>
      </c>
      <c r="S28" s="1194" t="s">
        <v>791</v>
      </c>
      <c r="T28" s="136" t="n">
        <f aca="false" ca="false" dt2D="false" dtr="false" t="normal">MID(I28, 1, 1)</f>
        <v>0</v>
      </c>
      <c r="U28" s="137" t="n">
        <f aca="false" ca="false" dt2D="false" dtr="false" t="normal">T28</f>
        <v>0</v>
      </c>
      <c r="V28" s="120" t="s">
        <v>186</v>
      </c>
      <c r="W28" s="139" t="s">
        <v>792</v>
      </c>
      <c r="X28" s="136" t="n">
        <f aca="false" ca="false" dt2D="false" dtr="false" t="normal">MID(J28, 1, 1)</f>
        <v>0</v>
      </c>
      <c r="Y28" s="137" t="n">
        <f aca="false" ca="false" dt2D="false" dtr="false" t="normal">X28</f>
        <v>0</v>
      </c>
      <c r="Z28" s="120" t="s">
        <v>186</v>
      </c>
      <c r="AA28" s="131" t="s">
        <v>196</v>
      </c>
      <c r="AB28" s="136" t="n">
        <f aca="false" ca="false" dt2D="false" dtr="false" t="normal">MID(K28, 1, 1)</f>
        <v>0</v>
      </c>
      <c r="AC28" s="137" t="n">
        <f aca="false" ca="false" dt2D="false" dtr="false" t="normal">AB28</f>
        <v>0</v>
      </c>
      <c r="AD28" s="120" t="s">
        <v>186</v>
      </c>
      <c r="AE28" s="131" t="s">
        <v>196</v>
      </c>
      <c r="AF28" s="136" t="n">
        <f aca="false" ca="false" dt2D="false" dtr="false" t="normal">MID(L28, 1, 1)</f>
        <v>0</v>
      </c>
      <c r="AG28" s="137" t="n">
        <f aca="false" ca="false" dt2D="false" dtr="false" t="normal">AF28</f>
        <v>0</v>
      </c>
      <c r="AH28" s="120" t="s">
        <v>186</v>
      </c>
      <c r="AI28" s="131" t="s">
        <v>196</v>
      </c>
      <c r="AJ28" s="1320" t="s"/>
      <c r="AK28" s="1321" t="s"/>
      <c r="AN28" s="1207" t="n"/>
      <c r="AO28" s="0" t="n">
        <f aca="false" ca="false" dt2D="false" dtr="false" t="normal">H384&amp;I384&amp;J384&amp;K384&amp;L384</f>
        <v>0</v>
      </c>
      <c r="AP28" s="0" t="n">
        <f aca="false" ca="false" dt2D="false" dtr="false" t="normal">AO28</f>
        <v>0</v>
      </c>
      <c r="AT28" s="1208" t="n"/>
      <c r="AU28" s="1209" t="n"/>
      <c r="BB28" s="0" t="n">
        <v>54</v>
      </c>
      <c r="BC28" s="56" t="s">
        <v>789</v>
      </c>
      <c r="BD28" s="0" t="n">
        <v>39</v>
      </c>
      <c r="BE28" s="0" t="n">
        <f aca="false" ca="false" dt2D="false" dtr="false" t="normal">BE27+11</f>
        <v>538</v>
      </c>
      <c r="BF28" s="56" t="s">
        <v>793</v>
      </c>
      <c r="BG28" s="0" t="n">
        <v>40</v>
      </c>
      <c r="BH28" s="0" t="n">
        <f aca="false" ca="false" dt2D="false" dtr="false" t="normal">BH27+11</f>
        <v>549</v>
      </c>
      <c r="BI28" s="0" t="n">
        <f aca="false" ca="false" dt2D="false" dtr="false" t="normal">BI27+11</f>
        <v>516</v>
      </c>
      <c r="BK28" s="0" t="str">
        <f aca="false" ca="false" dt2D="false" dtr="false" t="normal">"=IF(OR(LEFT(A"&amp;BB28&amp;";7)=""720G4"&amp;BC28&amp;""";LEFT(A"&amp;BB28&amp;";7)=""72004"&amp;BD28&amp;""");RIGHT(D"&amp;BE28&amp;";1)&amp;E"&amp;BE28&amp;"&amp;F"&amp;BE28&amp;"&amp;G"&amp;BE28&amp;"&amp;H"&amp;BE28&amp;"&amp;I"&amp;BE28&amp;"&amp;J"&amp;BE28&amp;"&amp;K"&amp;BE28&amp;"&amp;L"&amp;BE28&amp;"&amp;M"&amp;BE28&amp;";IF(OR(LEFT(A"&amp;BB28&amp;";7)=""720G4"&amp;BF28&amp;""";LEFT(A"&amp;BB28&amp;";7)=""72004"&amp;BG28&amp;""");RIGHT(D"&amp;BH28&amp;";1)&amp;E"&amp;BH28&amp;"&amp;F"&amp;BH28&amp;"&amp;G"&amp;BH28&amp;"&amp;H"&amp;BH28&amp;"&amp;I"&amp;BH28&amp;"&amp;J"&amp;BH28&amp;"&amp;K"&amp;BH28&amp;"&amp;L"&amp;BH28&amp;"&amp;M"&amp;BH28&amp;";RIGHT(D"&amp;BI28&amp;";1)&amp;E"&amp;BI28&amp;"&amp;F"&amp;BI28&amp;"&amp;G"&amp;BI28&amp;"&amp;H"&amp;BI28&amp;"&amp;I"&amp;BI28&amp;"&amp;J"&amp;BI28&amp;"&amp;K"&amp;BI28&amp;"&amp;L"&amp;BI28&amp;"&amp;M"&amp;BI28&amp;"))"</f>
        <v>=IF(OR(LEFT(A54;7)="720G4I7";LEFT(A54;7)="7200439");RIGHT(D538;1)&amp;E538&amp;F538&amp;G538&amp;H538&amp;I538&amp;J538&amp;K538&amp;L538&amp;M538;IF(OR(LEFT(A54;7)="720G4I8";LEFT(A54;7)="7200440");RIGHT(D549;1)&amp;E549&amp;F549&amp;G549&amp;H549&amp;I549&amp;J549&amp;K549&amp;L549&amp;M549;RIGHT(D516;1)&amp;E516&amp;F516&amp;G516&amp;H516&amp;I516&amp;J516&amp;K516&amp;L516&amp;M516))</v>
      </c>
      <c r="BN28" s="0" t="str">
        <f aca="false" ca="false" dt2D="false" dtr="false" t="normal">IF(OR(LEFT(A54, 7)="720G4I7", LEFT(A54, 7)="7200439"), RIGHT(D538, 1)&amp;E538&amp;F538&amp;G538&amp;H538&amp;I538&amp;J538&amp;K538&amp;L538&amp;M538, IF(OR(LEFT(A54, 7)="720G4I8", LEFT(A54, 7)="7200440"), RIGHT(D549, 1)&amp;E549&amp;F549&amp;G549&amp;H549&amp;I549&amp;J549&amp;K549&amp;L549&amp;M549, RIGHT(D516, 1)&amp;E516&amp;F516&amp;G516&amp;H516&amp;I516&amp;J516&amp;K516&amp;L516&amp;M516))</f>
        <v/>
      </c>
    </row>
    <row hidden="false" ht="15" outlineLevel="0" r="29">
      <c r="A29" s="91" t="s">
        <v>794</v>
      </c>
      <c r="B29" s="92" t="str">
        <f aca="false" ca="false" dt2D="false" dtr="false" t="normal">IF(OR(LEFT(A29, 7)="720G4GE", LEFT(A29, 7)="7200414"), RIGHT(D266, 1)&amp;E266&amp;F266&amp;G266&amp;H263&amp;I263&amp;J263&amp;K263&amp;L263&amp;M263, IF(OR(LEFT(A29, 7)="720G4GF", LEFT(A29, 7)="7200415"), RIGHT(D277, 1)&amp;E277&amp;F277&amp;G277&amp;H274&amp;I274&amp;J274&amp;K274&amp;L274&amp;M274, RIGHT(D244, 1)&amp;E244&amp;F244&amp;G244&amp;H241&amp;I241&amp;J241&amp;K241&amp;L241&amp;M241))</f>
        <v>720G4GF000000000040</v>
      </c>
      <c r="C29" s="98" t="s">
        <v>191</v>
      </c>
      <c r="D29" s="53" t="n">
        <f aca="false" ca="false" dt2D="false" dtr="false" t="normal">HEX2DEC(D27)</f>
        <v>7</v>
      </c>
      <c r="E29" s="53" t="n">
        <f aca="false" ca="false" dt2D="false" dtr="false" t="normal">HEX2DEC(E27)</f>
        <v>32</v>
      </c>
      <c r="F29" s="53" t="n">
        <f aca="false" ca="false" dt2D="false" dtr="false" t="normal">HEX2DEC(F27)</f>
        <v>1</v>
      </c>
      <c r="G29" s="53"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HEX2DEC(K27)</f>
        <v>0</v>
      </c>
      <c r="L29" s="53" t="n">
        <f aca="false" ca="false" dt2D="false" dtr="false" t="normal">HEX2DEC(L27)</f>
        <v>0</v>
      </c>
      <c r="M29" s="53" t="n">
        <f aca="false" ca="false" dt2D="false" dtr="false" t="normal">SUM(D29:L29)</f>
        <v>43</v>
      </c>
      <c r="N29" s="63" t="n"/>
      <c r="P29" s="136" t="n">
        <f aca="false" ca="false" dt2D="false" dtr="false" t="normal">MID(H28, 2, 1)</f>
        <v>0</v>
      </c>
      <c r="Q29" s="137" t="n">
        <f aca="false" ca="false" dt2D="false" dtr="false" t="normal">P29</f>
        <v>0</v>
      </c>
      <c r="R29" s="120" t="s">
        <v>192</v>
      </c>
      <c r="S29" s="139" t="s">
        <v>795</v>
      </c>
      <c r="T29" s="136" t="n">
        <f aca="false" ca="false" dt2D="false" dtr="false" t="normal">MID(I28, 2, 1)</f>
        <v>0</v>
      </c>
      <c r="U29" s="137" t="n">
        <f aca="false" ca="false" dt2D="false" dtr="false" t="normal">T29</f>
        <v>0</v>
      </c>
      <c r="V29" s="120" t="s">
        <v>192</v>
      </c>
      <c r="W29" s="139" t="s">
        <v>796</v>
      </c>
      <c r="X29" s="136" t="n">
        <f aca="false" ca="false" dt2D="false" dtr="false" t="normal">MID(J28, 2, 1)</f>
        <v>0</v>
      </c>
      <c r="Y29" s="137" t="n">
        <f aca="false" ca="false" dt2D="false" dtr="false" t="normal">X29</f>
        <v>0</v>
      </c>
      <c r="Z29" s="120" t="s">
        <v>192</v>
      </c>
      <c r="AA29" s="131" t="s">
        <v>196</v>
      </c>
      <c r="AB29" s="136" t="n">
        <f aca="false" ca="false" dt2D="false" dtr="false" t="normal">MID(K28, 2, 1)</f>
        <v>0</v>
      </c>
      <c r="AC29" s="137" t="n">
        <f aca="false" ca="false" dt2D="false" dtr="false" t="normal">AB29</f>
        <v>0</v>
      </c>
      <c r="AD29" s="120" t="s">
        <v>192</v>
      </c>
      <c r="AE29" s="131" t="s">
        <v>196</v>
      </c>
      <c r="AF29" s="136" t="n">
        <f aca="false" ca="false" dt2D="false" dtr="false" t="normal">MID(L28, 2, 1)</f>
        <v>0</v>
      </c>
      <c r="AG29" s="137" t="n">
        <f aca="false" ca="false" dt2D="false" dtr="false" t="normal">AF29</f>
        <v>0</v>
      </c>
      <c r="AH29" s="120" t="s">
        <v>192</v>
      </c>
      <c r="AI29" s="131" t="s">
        <v>196</v>
      </c>
      <c r="AJ29" s="1322" t="s"/>
      <c r="AK29" s="1323" t="s"/>
      <c r="AN29" s="1207" t="n"/>
      <c r="AO29" s="0" t="n">
        <f aca="false" ca="false" dt2D="false" dtr="false" t="normal">H395&amp;I395&amp;J395&amp;K395&amp;L395</f>
        <v>0</v>
      </c>
      <c r="AP29" s="0" t="n">
        <f aca="false" ca="false" dt2D="false" dtr="false" t="normal">AO29</f>
        <v>0</v>
      </c>
      <c r="AT29" s="1208" t="n"/>
      <c r="AU29" s="1209" t="n"/>
      <c r="BB29" s="0" t="n">
        <v>55</v>
      </c>
      <c r="BC29" s="56" t="s">
        <v>793</v>
      </c>
      <c r="BD29" s="0" t="n">
        <v>40</v>
      </c>
      <c r="BE29" s="0" t="n">
        <f aca="false" ca="false" dt2D="false" dtr="false" t="normal">BE28+11</f>
        <v>549</v>
      </c>
      <c r="BF29" s="56" t="s">
        <v>797</v>
      </c>
      <c r="BG29" s="0" t="n">
        <v>41</v>
      </c>
      <c r="BH29" s="0" t="n">
        <f aca="false" ca="false" dt2D="false" dtr="false" t="normal">BH28+11</f>
        <v>560</v>
      </c>
      <c r="BI29" s="0" t="n">
        <f aca="false" ca="false" dt2D="false" dtr="false" t="normal">BI28+11</f>
        <v>527</v>
      </c>
      <c r="BK29" s="0" t="str">
        <f aca="false" ca="false" dt2D="false" dtr="false" t="normal">"=IF(OR(LEFT(A"&amp;BB29&amp;";7)=""720G4"&amp;BC29&amp;""";LEFT(A"&amp;BB29&amp;";7)=""72004"&amp;BD29&amp;""");RIGHT(D"&amp;BE29&amp;";1)&amp;E"&amp;BE29&amp;"&amp;F"&amp;BE29&amp;"&amp;G"&amp;BE29&amp;"&amp;H"&amp;BE29&amp;"&amp;I"&amp;BE29&amp;"&amp;J"&amp;BE29&amp;"&amp;K"&amp;BE29&amp;"&amp;L"&amp;BE29&amp;"&amp;M"&amp;BE29&amp;";IF(OR(LEFT(A"&amp;BB29&amp;";7)=""720G4"&amp;BF29&amp;""";LEFT(A"&amp;BB29&amp;";7)=""72004"&amp;BG29&amp;""");RIGHT(D"&amp;BH29&amp;";1)&amp;E"&amp;BH29&amp;"&amp;F"&amp;BH29&amp;"&amp;G"&amp;BH29&amp;"&amp;H"&amp;BH29&amp;"&amp;I"&amp;BH29&amp;"&amp;J"&amp;BH29&amp;"&amp;K"&amp;BH29&amp;"&amp;L"&amp;BH29&amp;"&amp;M"&amp;BH29&amp;";RIGHT(D"&amp;BI29&amp;";1)&amp;E"&amp;BI29&amp;"&amp;F"&amp;BI29&amp;"&amp;G"&amp;BI29&amp;"&amp;H"&amp;BI29&amp;"&amp;I"&amp;BI29&amp;"&amp;J"&amp;BI29&amp;"&amp;K"&amp;BI29&amp;"&amp;L"&amp;BI29&amp;"&amp;M"&amp;BI29&amp;"))"</f>
        <v>=IF(OR(LEFT(A55;7)="720G4I8";LEFT(A55;7)="7200440");RIGHT(D549;1)&amp;E549&amp;F549&amp;G549&amp;H549&amp;I549&amp;J549&amp;K549&amp;L549&amp;M549;IF(OR(LEFT(A55;7)="720G4I9";LEFT(A55;7)="7200441");RIGHT(D560;1)&amp;E560&amp;F560&amp;G560&amp;H560&amp;I560&amp;J560&amp;K560&amp;L560&amp;M560;RIGHT(D527;1)&amp;E527&amp;F527&amp;G527&amp;H527&amp;I527&amp;J527&amp;K527&amp;L527&amp;M527))</v>
      </c>
      <c r="BN29" s="0" t="str">
        <f aca="false" ca="false" dt2D="false" dtr="false" t="normal">IF(OR(LEFT(A55, 7)="720G4I8", LEFT(A55, 7)="7200440"), RIGHT(D549, 1)&amp;E549&amp;F549&amp;G549&amp;H549&amp;I549&amp;J549&amp;K549&amp;L549&amp;M549, IF(OR(LEFT(A55, 7)="720G4I9", LEFT(A55, 7)="7200441"), RIGHT(D560, 1)&amp;E560&amp;F560&amp;G560&amp;H560&amp;I560&amp;J560&amp;K560&amp;L560&amp;M560, RIGHT(D527, 1)&amp;E527&amp;F527&amp;G527&amp;H527&amp;I527&amp;J527&amp;K527&amp;L527&amp;M527))</f>
        <v/>
      </c>
    </row>
    <row customHeight="true" hidden="false" ht="15" outlineLevel="0" r="30">
      <c r="A30" s="91" t="s">
        <v>798</v>
      </c>
      <c r="B30" s="92" t="str">
        <f aca="false" ca="false" dt2D="false" dtr="false" t="normal">IF(OR(LEFT(A30, 7)="720G4GF", LEFT(A30, 7)="7200415"), RIGHT(D277, 1)&amp;E277&amp;F277&amp;G277&amp;H274&amp;I274&amp;J274&amp;K274&amp;L274&amp;M274, IF(OR(LEFT(A30, 7)="720G4H0", LEFT(A30, 7)="7200416"), RIGHT(D288, 1)&amp;E288&amp;F288&amp;G288&amp;H285&amp;I285&amp;J285&amp;K285&amp;L285&amp;M285, RIGHT(D255, 1)&amp;E255&amp;F255&amp;G255&amp;H252&amp;I252&amp;J252&amp;K252&amp;L252&amp;M252))</f>
        <v>720G4H0000000000041</v>
      </c>
      <c r="C30" s="98" t="s">
        <v>194</v>
      </c>
      <c r="D30" s="149" t="n">
        <f aca="false" ca="false" dt2D="false" dtr="false" t="normal">D27</f>
        <v>7</v>
      </c>
      <c r="E30" s="149" t="n">
        <f aca="false" ca="false" dt2D="false" dtr="false" t="normal">E27</f>
        <v>20</v>
      </c>
      <c r="F30" s="53" t="str">
        <f aca="false" ca="false" dt2D="false" dtr="false" t="normal">MID(INDEX($A$3:$A$70, IF(ISNA(MATCH("720G1G3*", $A$3:$A$70, 0))=TRUE, MATCH("7200103*", $A$3:$A$70, 0), MATCH("720G1G3*", $A$3:$A$70, 0))), $AS$8, 2)</f>
        <v>G1</v>
      </c>
      <c r="G30" s="53" t="str">
        <f aca="false" ca="false" dt2D="false" dtr="false" t="normal">MID(INDEX($A$3:$A$70, IF(ISNA(MATCH("720G1G3*", $A$3:$A$70, 0))=TRUE, MATCH("7200103*", $A$3:$A$70, 0), MATCH("720G1G3*", $A$3:$A$70, 0))), $AT$8, 2)</f>
        <v>G3</v>
      </c>
      <c r="N30" s="63" t="n"/>
      <c r="P30" s="136" t="n">
        <f aca="false" ca="false" dt2D="false" dtr="false" t="normal">MID(H28, 3, 1)</f>
        <v>0</v>
      </c>
      <c r="Q30" s="137" t="n">
        <f aca="false" ca="false" dt2D="false" dtr="false" t="normal">P30</f>
        <v>0</v>
      </c>
      <c r="R30" s="120" t="s">
        <v>195</v>
      </c>
      <c r="S30" s="139" t="s">
        <v>799</v>
      </c>
      <c r="T30" s="136" t="n">
        <f aca="false" ca="false" dt2D="false" dtr="false" t="normal">MID(I28, 3, 1)</f>
        <v>0</v>
      </c>
      <c r="U30" s="137" t="n">
        <f aca="false" ca="false" dt2D="false" dtr="false" t="normal">T30</f>
        <v>0</v>
      </c>
      <c r="V30" s="120" t="s">
        <v>195</v>
      </c>
      <c r="W30" s="139" t="s">
        <v>800</v>
      </c>
      <c r="X30" s="136" t="n">
        <f aca="false" ca="false" dt2D="false" dtr="false" t="normal">MID(J28, 3, 1)</f>
        <v>0</v>
      </c>
      <c r="Y30" s="137" t="n">
        <f aca="false" ca="false" dt2D="false" dtr="false" t="normal">X30</f>
        <v>0</v>
      </c>
      <c r="Z30" s="120" t="s">
        <v>195</v>
      </c>
      <c r="AA30" s="131" t="s">
        <v>196</v>
      </c>
      <c r="AB30" s="136" t="n">
        <f aca="false" ca="false" dt2D="false" dtr="false" t="normal">MID(K28, 3, 1)</f>
        <v>0</v>
      </c>
      <c r="AC30" s="137" t="n">
        <f aca="false" ca="false" dt2D="false" dtr="false" t="normal">AB30</f>
        <v>0</v>
      </c>
      <c r="AD30" s="120" t="s">
        <v>195</v>
      </c>
      <c r="AE30" s="131" t="s">
        <v>196</v>
      </c>
      <c r="AF30" s="136" t="n">
        <f aca="false" ca="false" dt2D="false" dtr="false" t="normal">MID(L28, 3, 1)</f>
        <v>0</v>
      </c>
      <c r="AG30" s="137" t="n">
        <f aca="false" ca="false" dt2D="false" dtr="false" t="normal">AF30</f>
        <v>0</v>
      </c>
      <c r="AH30" s="120" t="s">
        <v>195</v>
      </c>
      <c r="AI30" s="131" t="s">
        <v>196</v>
      </c>
      <c r="AJ30" s="1324" t="s"/>
      <c r="AK30" s="1325" t="s"/>
      <c r="AN30" s="1207" t="n"/>
      <c r="AO30" s="0" t="n">
        <f aca="false" ca="false" dt2D="false" dtr="false" t="normal">H406&amp;I406&amp;J406&amp;K406&amp;L406</f>
        <v>0</v>
      </c>
      <c r="AP30" s="0" t="n">
        <f aca="false" ca="false" dt2D="false" dtr="false" t="normal">AO30</f>
        <v>0</v>
      </c>
      <c r="AT30" s="1208" t="n"/>
      <c r="AU30" s="1209" t="n"/>
      <c r="BB30" s="0" t="n">
        <v>56</v>
      </c>
      <c r="BC30" s="56" t="s">
        <v>797</v>
      </c>
      <c r="BD30" s="0" t="n">
        <v>41</v>
      </c>
      <c r="BE30" s="0" t="n">
        <f aca="false" ca="false" dt2D="false" dtr="false" t="normal">BE29+11</f>
        <v>560</v>
      </c>
      <c r="BF30" s="56" t="s">
        <v>801</v>
      </c>
      <c r="BG30" s="0" t="n">
        <v>42</v>
      </c>
      <c r="BH30" s="0" t="n">
        <f aca="false" ca="false" dt2D="false" dtr="false" t="normal">BH29+11</f>
        <v>571</v>
      </c>
      <c r="BI30" s="0" t="n">
        <f aca="false" ca="false" dt2D="false" dtr="false" t="normal">BI29+11</f>
        <v>538</v>
      </c>
      <c r="BK30" s="0" t="str">
        <f aca="false" ca="false" dt2D="false" dtr="false" t="normal">"=IF(OR(LEFT(A"&amp;BB30&amp;";7)=""720G4"&amp;BC30&amp;""";LEFT(A"&amp;BB30&amp;";7)=""72004"&amp;BD30&amp;""");RIGHT(D"&amp;BE30&amp;";1)&amp;E"&amp;BE30&amp;"&amp;F"&amp;BE30&amp;"&amp;G"&amp;BE30&amp;"&amp;H"&amp;BE30&amp;"&amp;I"&amp;BE30&amp;"&amp;J"&amp;BE30&amp;"&amp;K"&amp;BE30&amp;"&amp;L"&amp;BE30&amp;"&amp;M"&amp;BE30&amp;";IF(OR(LEFT(A"&amp;BB30&amp;";7)=""720G4"&amp;BF30&amp;""";LEFT(A"&amp;BB30&amp;";7)=""72004"&amp;BG30&amp;""");RIGHT(D"&amp;BH30&amp;";1)&amp;E"&amp;BH30&amp;"&amp;F"&amp;BH30&amp;"&amp;G"&amp;BH30&amp;"&amp;H"&amp;BH30&amp;"&amp;I"&amp;BH30&amp;"&amp;J"&amp;BH30&amp;"&amp;K"&amp;BH30&amp;"&amp;L"&amp;BH30&amp;"&amp;M"&amp;BH30&amp;";RIGHT(D"&amp;BI30&amp;";1)&amp;E"&amp;BI30&amp;"&amp;F"&amp;BI30&amp;"&amp;G"&amp;BI30&amp;"&amp;H"&amp;BI30&amp;"&amp;I"&amp;BI30&amp;"&amp;J"&amp;BI30&amp;"&amp;K"&amp;BI30&amp;"&amp;L"&amp;BI30&amp;"&amp;M"&amp;BI30&amp;"))"</f>
        <v>=IF(OR(LEFT(A56;7)="720G4I9";LEFT(A56;7)="7200441");RIGHT(D560;1)&amp;E560&amp;F560&amp;G560&amp;H560&amp;I560&amp;J560&amp;K560&amp;L560&amp;M560;IF(OR(LEFT(A56;7)="720G4IA";LEFT(A56;7)="7200442");RIGHT(D571;1)&amp;E571&amp;F571&amp;G571&amp;H571&amp;I571&amp;J571&amp;K571&amp;L571&amp;M571;RIGHT(D538;1)&amp;E538&amp;F538&amp;G538&amp;H538&amp;I538&amp;J538&amp;K538&amp;L538&amp;M538))</v>
      </c>
      <c r="BN30" s="0" t="str">
        <f aca="false" ca="false" dt2D="false" dtr="false" t="normal">IF(OR(LEFT(A56, 7)="720G4I9", LEFT(A56, 7)="7200441"), RIGHT(D560, 1)&amp;E560&amp;F560&amp;G560&amp;H560&amp;I560&amp;J560&amp;K560&amp;L560&amp;M560, IF(OR(LEFT(A56, 7)="720G4IA", LEFT(A56, 7)="7200442"), RIGHT(D571, 1)&amp;E571&amp;F571&amp;G571&amp;H571&amp;I571&amp;J571&amp;K571&amp;L571&amp;M571, RIGHT(D538, 1)&amp;E538&amp;F538&amp;G538&amp;H538&amp;I538&amp;J538&amp;K538&amp;L538&amp;M538))</f>
        <v/>
      </c>
    </row>
    <row hidden="false" ht="15.75" outlineLevel="0" r="31">
      <c r="A31" s="91" t="s">
        <v>802</v>
      </c>
      <c r="B31" s="92" t="str">
        <f aca="false" ca="false" dt2D="false" dtr="false" t="normal">IF(OR(LEFT(A31, 7)="720G4H0", LEFT(A31, 7)="7200416"), RIGHT(D288, 1)&amp;E288&amp;F288&amp;G288&amp;H285&amp;I285&amp;J285&amp;K285&amp;L285&amp;M285, IF(OR(LEFT(A31, 7)="720G4H1", LEFT(A31, 7)="7200417"), RIGHT(D299, 1)&amp;E299&amp;F299&amp;G299&amp;H296&amp;I296&amp;J296&amp;K296&amp;L296&amp;M296, RIGHT(D266, 1)&amp;E266&amp;F266&amp;G266&amp;H263&amp;I263&amp;J263&amp;K263&amp;L263&amp;M263))</f>
        <v>720G4H1000000000042</v>
      </c>
      <c r="C31" s="98" t="n"/>
      <c r="N31" s="63" t="n"/>
      <c r="P31" s="136" t="n">
        <f aca="false" ca="false" dt2D="false" dtr="false" t="normal">MID(H28, 4, 1)</f>
        <v>0</v>
      </c>
      <c r="Q31" s="137" t="n">
        <f aca="false" ca="false" dt2D="false" dtr="false" t="normal">P31</f>
        <v>0</v>
      </c>
      <c r="R31" s="120" t="s">
        <v>197</v>
      </c>
      <c r="S31" s="139" t="s">
        <v>803</v>
      </c>
      <c r="T31" s="136" t="n">
        <f aca="false" ca="false" dt2D="false" dtr="false" t="normal">MID(I28, 4, 1)</f>
        <v>0</v>
      </c>
      <c r="U31" s="137" t="n">
        <f aca="false" ca="false" dt2D="false" dtr="false" t="normal">T31</f>
        <v>0</v>
      </c>
      <c r="V31" s="120" t="s">
        <v>197</v>
      </c>
      <c r="W31" s="139" t="s">
        <v>804</v>
      </c>
      <c r="X31" s="136" t="n">
        <f aca="false" ca="false" dt2D="false" dtr="false" t="normal">MID(J28, 4, 1)</f>
        <v>0</v>
      </c>
      <c r="Y31" s="137" t="n">
        <f aca="false" ca="false" dt2D="false" dtr="false" t="normal">X31</f>
        <v>0</v>
      </c>
      <c r="Z31" s="120" t="s">
        <v>197</v>
      </c>
      <c r="AA31" s="131" t="s">
        <v>196</v>
      </c>
      <c r="AB31" s="136" t="n">
        <f aca="false" ca="false" dt2D="false" dtr="false" t="normal">MID(K28, 4, 1)</f>
        <v>0</v>
      </c>
      <c r="AC31" s="137" t="n">
        <f aca="false" ca="false" dt2D="false" dtr="false" t="normal">AB31</f>
        <v>0</v>
      </c>
      <c r="AD31" s="120" t="s">
        <v>197</v>
      </c>
      <c r="AE31" s="131" t="s">
        <v>196</v>
      </c>
      <c r="AF31" s="136" t="n">
        <f aca="false" ca="false" dt2D="false" dtr="false" t="normal">MID(L28, 4, 1)</f>
        <v>0</v>
      </c>
      <c r="AG31" s="137" t="n">
        <f aca="false" ca="false" dt2D="false" dtr="false" t="normal">AF31</f>
        <v>0</v>
      </c>
      <c r="AH31" s="120" t="s">
        <v>197</v>
      </c>
      <c r="AI31" s="131" t="s">
        <v>196</v>
      </c>
      <c r="AJ31" s="1326" t="s"/>
      <c r="AK31" s="1327" t="s"/>
      <c r="AN31" s="1207" t="n"/>
      <c r="AO31" s="0" t="n">
        <f aca="false" ca="false" dt2D="false" dtr="false" t="normal">H417&amp;I417&amp;J417&amp;K417&amp;L417</f>
        <v>53</v>
      </c>
      <c r="AP31" s="0" t="n">
        <f aca="false" ca="false" dt2D="false" dtr="false" t="normal">AO31</f>
        <v>53</v>
      </c>
      <c r="AT31" s="1208" t="n"/>
      <c r="AU31" s="1209" t="n"/>
      <c r="BB31" s="0" t="n">
        <v>57</v>
      </c>
      <c r="BC31" s="56" t="s">
        <v>801</v>
      </c>
      <c r="BD31" s="0" t="n">
        <v>42</v>
      </c>
      <c r="BE31" s="0" t="n">
        <f aca="false" ca="false" dt2D="false" dtr="false" t="normal">BE30+11</f>
        <v>571</v>
      </c>
      <c r="BF31" s="56" t="s">
        <v>805</v>
      </c>
      <c r="BG31" s="0" t="n">
        <v>43</v>
      </c>
      <c r="BH31" s="0" t="n">
        <f aca="false" ca="false" dt2D="false" dtr="false" t="normal">BH30+11</f>
        <v>582</v>
      </c>
      <c r="BI31" s="0" t="n">
        <f aca="false" ca="false" dt2D="false" dtr="false" t="normal">BI30+11</f>
        <v>549</v>
      </c>
      <c r="BK31" s="0" t="str">
        <f aca="false" ca="false" dt2D="false" dtr="false" t="normal">"=IF(OR(LEFT(A"&amp;BB31&amp;";7)=""720G4"&amp;BC31&amp;""";LEFT(A"&amp;BB31&amp;";7)=""72004"&amp;BD31&amp;""");RIGHT(D"&amp;BE31&amp;";1)&amp;E"&amp;BE31&amp;"&amp;F"&amp;BE31&amp;"&amp;G"&amp;BE31&amp;"&amp;H"&amp;BE31&amp;"&amp;I"&amp;BE31&amp;"&amp;J"&amp;BE31&amp;"&amp;K"&amp;BE31&amp;"&amp;L"&amp;BE31&amp;"&amp;M"&amp;BE31&amp;";IF(OR(LEFT(A"&amp;BB31&amp;";7)=""720G4"&amp;BF31&amp;""";LEFT(A"&amp;BB31&amp;";7)=""72004"&amp;BG31&amp;""");RIGHT(D"&amp;BH31&amp;";1)&amp;E"&amp;BH31&amp;"&amp;F"&amp;BH31&amp;"&amp;G"&amp;BH31&amp;"&amp;H"&amp;BH31&amp;"&amp;I"&amp;BH31&amp;"&amp;J"&amp;BH31&amp;"&amp;K"&amp;BH31&amp;"&amp;L"&amp;BH31&amp;"&amp;M"&amp;BH31&amp;";RIGHT(D"&amp;BI31&amp;";1)&amp;E"&amp;BI31&amp;"&amp;F"&amp;BI31&amp;"&amp;G"&amp;BI31&amp;"&amp;H"&amp;BI31&amp;"&amp;I"&amp;BI31&amp;"&amp;J"&amp;BI31&amp;"&amp;K"&amp;BI31&amp;"&amp;L"&amp;BI31&amp;"&amp;M"&amp;BI31&amp;"))"</f>
        <v>=IF(OR(LEFT(A57;7)="720G4IA";LEFT(A57;7)="7200442");RIGHT(D571;1)&amp;E571&amp;F571&amp;G571&amp;H571&amp;I571&amp;J571&amp;K571&amp;L571&amp;M571;IF(OR(LEFT(A57;7)="720G4IB";LEFT(A57;7)="7200443");RIGHT(D582;1)&amp;E582&amp;F582&amp;G582&amp;H582&amp;I582&amp;J582&amp;K582&amp;L582&amp;M582;RIGHT(D549;1)&amp;E549&amp;F549&amp;G549&amp;H549&amp;I549&amp;J549&amp;K549&amp;L549&amp;M549))</v>
      </c>
      <c r="BN31" s="0" t="str">
        <f aca="false" ca="false" dt2D="false" dtr="false" t="normal">IF(OR(LEFT(A57, 7)="720G4IA", LEFT(A57, 7)="7200442"), RIGHT(D571, 1)&amp;E571&amp;F571&amp;G571&amp;H571&amp;I571&amp;J571&amp;K571&amp;L571&amp;M571, IF(OR(LEFT(A57, 7)="720G4IB", LEFT(A57, 7)="7200443"), RIGHT(D582, 1)&amp;E582&amp;F582&amp;G582&amp;H582&amp;I582&amp;J582&amp;K582&amp;L582&amp;M582, RIGHT(D549, 1)&amp;E549&amp;F549&amp;G549&amp;H549&amp;I549&amp;J549&amp;K549&amp;L549&amp;M549))</f>
        <v/>
      </c>
    </row>
    <row customHeight="true" hidden="false" ht="15.75" outlineLevel="0" r="32">
      <c r="A32" s="91" t="s">
        <v>806</v>
      </c>
      <c r="B32" s="92" t="str">
        <f aca="false" ca="false" dt2D="false" dtr="false" t="normal">IF(OR(LEFT(A32, 7)="720G4H1", LEFT(A32, 7)="7200417"), RIGHT(D299, 1)&amp;E299&amp;F299&amp;G299&amp;H296&amp;I296&amp;J296&amp;K296&amp;L296&amp;M296, IF(OR(LEFT(A32, 7)="720G4H2", LEFT(A32, 7)="7200418"), RIGHT(D310, 1)&amp;E310&amp;F310&amp;G310&amp;H307&amp;I307&amp;J307&amp;K307&amp;L307&amp;M307, RIGHT(D277, 1)&amp;E277&amp;F277&amp;G277&amp;H274&amp;I274&amp;J274&amp;K274&amp;L274&amp;M274))</f>
        <v>720G4H2000000000043</v>
      </c>
      <c r="C32" s="98" t="s">
        <v>176</v>
      </c>
      <c r="D32" s="159" t="n">
        <f aca="false" ca="false" dt2D="false" dtr="false" t="normal">D27</f>
        <v>7</v>
      </c>
      <c r="E32" s="160" t="n">
        <f aca="false" ca="false" dt2D="false" dtr="false" t="normal">E27</f>
        <v>20</v>
      </c>
      <c r="F32" s="160" t="n">
        <f aca="false" ca="false" dt2D="false" dtr="false" t="normal">F27</f>
        <v>1</v>
      </c>
      <c r="G32" s="161"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165" t="n">
        <f aca="false" ca="false" dt2D="false" dtr="false" t="normal">BIN2HEX(K33, 2)</f>
        <v>0</v>
      </c>
      <c r="L32" s="288" t="n">
        <f aca="false" ca="false" dt2D="false" dtr="false" t="normal">BIN2HEX(L33, 2)</f>
        <v>0</v>
      </c>
      <c r="M32" s="166" t="str">
        <f aca="false" ca="false" dt2D="false" dtr="false" t="normal">IF(LEN(M33)&gt;2, MID(M33, 2, 2), M33)</f>
        <v>2B</v>
      </c>
      <c r="N32" s="63" t="s">
        <v>181</v>
      </c>
      <c r="P32" s="136" t="n">
        <f aca="false" ca="false" dt2D="false" dtr="false" t="normal">MID(H28, 5, 1)</f>
        <v>0</v>
      </c>
      <c r="Q32" s="137" t="n">
        <f aca="false" ca="false" dt2D="false" dtr="false" t="normal">P32</f>
        <v>0</v>
      </c>
      <c r="R32" s="120" t="s">
        <v>200</v>
      </c>
      <c r="S32" s="139" t="s">
        <v>807</v>
      </c>
      <c r="T32" s="136" t="n">
        <f aca="false" ca="false" dt2D="false" dtr="false" t="normal">MID(I28, 5, 1)</f>
        <v>0</v>
      </c>
      <c r="U32" s="137" t="n">
        <f aca="false" ca="false" dt2D="false" dtr="false" t="normal">T32</f>
        <v>0</v>
      </c>
      <c r="V32" s="120" t="s">
        <v>200</v>
      </c>
      <c r="W32" s="139" t="s">
        <v>808</v>
      </c>
      <c r="X32" s="136" t="n">
        <f aca="false" ca="false" dt2D="false" dtr="false" t="normal">MID(J28, 5, 1)</f>
        <v>0</v>
      </c>
      <c r="Y32" s="137" t="n">
        <f aca="false" ca="false" dt2D="false" dtr="false" t="normal">X32</f>
        <v>0</v>
      </c>
      <c r="Z32" s="120" t="s">
        <v>200</v>
      </c>
      <c r="AA32" s="131" t="s">
        <v>196</v>
      </c>
      <c r="AB32" s="136" t="n">
        <f aca="false" ca="false" dt2D="false" dtr="false" t="normal">MID(K28, 5, 1)</f>
        <v>0</v>
      </c>
      <c r="AC32" s="137" t="n">
        <f aca="false" ca="false" dt2D="false" dtr="false" t="normal">AB32</f>
        <v>0</v>
      </c>
      <c r="AD32" s="120" t="s">
        <v>200</v>
      </c>
      <c r="AE32" s="131" t="s">
        <v>196</v>
      </c>
      <c r="AF32" s="136" t="n">
        <f aca="false" ca="false" dt2D="false" dtr="false" t="normal">MID(L28, 5, 1)</f>
        <v>0</v>
      </c>
      <c r="AG32" s="137" t="n">
        <f aca="false" ca="false" dt2D="false" dtr="false" t="normal">AF32</f>
        <v>0</v>
      </c>
      <c r="AH32" s="120" t="s">
        <v>200</v>
      </c>
      <c r="AI32" s="131" t="s">
        <v>196</v>
      </c>
      <c r="AJ32" s="1328" t="s"/>
      <c r="AK32" s="1329" t="s"/>
      <c r="AN32" s="1207" t="n"/>
      <c r="AO32" s="0" t="str">
        <f aca="false" ca="false" dt2D="false" dtr="false" t="normal">H428&amp;I428&amp;J428&amp;K428&amp;L428</f>
        <v/>
      </c>
      <c r="AP32" s="0" t="str">
        <f aca="false" ca="false" dt2D="false" dtr="false" t="normal">AO32</f>
        <v/>
      </c>
      <c r="AT32" s="1208" t="n"/>
      <c r="AU32" s="1209" t="n"/>
      <c r="BB32" s="0" t="n">
        <v>58</v>
      </c>
      <c r="BC32" s="56" t="s">
        <v>805</v>
      </c>
      <c r="BD32" s="0" t="n">
        <v>43</v>
      </c>
      <c r="BE32" s="0" t="n">
        <f aca="false" ca="false" dt2D="false" dtr="false" t="normal">BE31+11</f>
        <v>582</v>
      </c>
      <c r="BF32" s="56" t="s">
        <v>809</v>
      </c>
      <c r="BG32" s="0" t="n">
        <v>44</v>
      </c>
      <c r="BH32" s="0" t="n">
        <f aca="false" ca="false" dt2D="false" dtr="false" t="normal">BH31+11</f>
        <v>593</v>
      </c>
      <c r="BI32" s="0" t="n">
        <f aca="false" ca="false" dt2D="false" dtr="false" t="normal">BI31+11</f>
        <v>560</v>
      </c>
      <c r="BK32" s="0" t="str">
        <f aca="false" ca="false" dt2D="false" dtr="false" t="normal">"=IF(OR(LEFT(A"&amp;BB32&amp;";7)=""720G4"&amp;BC32&amp;""";LEFT(A"&amp;BB32&amp;";7)=""72004"&amp;BD32&amp;""");RIGHT(D"&amp;BE32&amp;";1)&amp;E"&amp;BE32&amp;"&amp;F"&amp;BE32&amp;"&amp;G"&amp;BE32&amp;"&amp;H"&amp;BE32&amp;"&amp;I"&amp;BE32&amp;"&amp;J"&amp;BE32&amp;"&amp;K"&amp;BE32&amp;"&amp;L"&amp;BE32&amp;"&amp;M"&amp;BE32&amp;";IF(OR(LEFT(A"&amp;BB32&amp;";7)=""720G4"&amp;BF32&amp;""";LEFT(A"&amp;BB32&amp;";7)=""72004"&amp;BG32&amp;""");RIGHT(D"&amp;BH32&amp;";1)&amp;E"&amp;BH32&amp;"&amp;F"&amp;BH32&amp;"&amp;G"&amp;BH32&amp;"&amp;H"&amp;BH32&amp;"&amp;I"&amp;BH32&amp;"&amp;J"&amp;BH32&amp;"&amp;K"&amp;BH32&amp;"&amp;L"&amp;BH32&amp;"&amp;M"&amp;BH32&amp;";RIGHT(D"&amp;BI32&amp;";1)&amp;E"&amp;BI32&amp;"&amp;F"&amp;BI32&amp;"&amp;G"&amp;BI32&amp;"&amp;H"&amp;BI32&amp;"&amp;I"&amp;BI32&amp;"&amp;J"&amp;BI32&amp;"&amp;K"&amp;BI32&amp;"&amp;L"&amp;BI32&amp;"&amp;M"&amp;BI32&amp;"))"</f>
        <v>=IF(OR(LEFT(A58;7)="720G4IB";LEFT(A58;7)="7200443");RIGHT(D582;1)&amp;E582&amp;F582&amp;G582&amp;H582&amp;I582&amp;J582&amp;K582&amp;L582&amp;M582;IF(OR(LEFT(A58;7)="720G4IC";LEFT(A58;7)="7200444");RIGHT(D593;1)&amp;E593&amp;F593&amp;G593&amp;H593&amp;I593&amp;J593&amp;K593&amp;L593&amp;M593;RIGHT(D560;1)&amp;E560&amp;F560&amp;G560&amp;H560&amp;I560&amp;J560&amp;K560&amp;L560&amp;M560))</v>
      </c>
      <c r="BN32" s="0" t="str">
        <f aca="false" ca="false" dt2D="false" dtr="false" t="normal">IF(OR(LEFT(A58, 7)="720G4IB", LEFT(A58, 7)="7200443"), RIGHT(D582, 1)&amp;E582&amp;F582&amp;G582&amp;H582&amp;I582&amp;J582&amp;K582&amp;L582&amp;M582, IF(OR(LEFT(A58, 7)="720G4IC", LEFT(A58, 7)="7200444"), RIGHT(D593, 1)&amp;E593&amp;F593&amp;G593&amp;H593&amp;I593&amp;J593&amp;K593&amp;L593&amp;M593, RIGHT(D560, 1)&amp;E560&amp;F560&amp;G560&amp;H560&amp;I560&amp;J560&amp;K560&amp;L560&amp;M560))</f>
        <v/>
      </c>
    </row>
    <row hidden="false" ht="15" outlineLevel="0" r="33">
      <c r="A33" s="91" t="s">
        <v>810</v>
      </c>
      <c r="B33" s="92" t="str">
        <f aca="false" ca="false" dt2D="false" dtr="false" t="normal">IF(OR(LEFT(A33, 7)="720G4H2", LEFT(A33, 7)="7200418"), RIGHT(D310, 1)&amp;E310&amp;F310&amp;G310&amp;H307&amp;I307&amp;J307&amp;K307&amp;L307&amp;M307, IF(OR(LEFT(A33, 7)="720G4H3", LEFT(A33, 7)="7200419"), RIGHT(D321, 1)&amp;E321&amp;F321&amp;G321&amp;H318&amp;I318&amp;J318&amp;K318&amp;L318&amp;M318, RIGHT(D288, 1)&amp;E288&amp;F288&amp;G288&amp;H285&amp;I285&amp;J285&amp;K285&amp;L285&amp;M285))</f>
        <v>720G4H3000000000044</v>
      </c>
      <c r="C33" s="98" t="s">
        <v>185</v>
      </c>
      <c r="D33" s="53" t="n">
        <f aca="false" ca="false" dt2D="false" dtr="false" t="normal">HEX2BIN(D32, 8)</f>
        <v>111</v>
      </c>
      <c r="E33" s="53" t="n">
        <f aca="false" ca="false" dt2D="false" dtr="false" t="normal">HEX2BIN(E32, 8)</f>
        <v>100000</v>
      </c>
      <c r="F33" s="53" t="n">
        <f aca="false" ca="false" dt2D="false" dtr="false" t="normal">HEX2BIN(F32, 8)</f>
        <v>1</v>
      </c>
      <c r="G33" s="53" t="n">
        <f aca="false" ca="false" dt2D="false" dtr="false" t="normal">HEX2BIN(G32, 8)</f>
        <v>11</v>
      </c>
      <c r="H33" s="171" t="n">
        <f aca="false" ca="false" dt2D="false" dtr="false" t="normal">Q28&amp;Q29&amp;Q30&amp;Q31&amp;Q32&amp;Q33&amp;Q34&amp;Q35</f>
        <v>0</v>
      </c>
      <c r="I33" s="53" t="n">
        <f aca="false" ca="false" dt2D="false" dtr="false" t="normal">U28&amp;U29&amp;U30&amp;U31&amp;U32&amp;U33&amp;U34&amp;U35</f>
        <v>0</v>
      </c>
      <c r="J33" s="171" t="n">
        <f aca="false" ca="false" dt2D="false" dtr="false" t="normal">Y28&amp;Y29&amp;Y30&amp;Y31&amp;Y32&amp;Y33&amp;Y34&amp;Y35</f>
        <v>0</v>
      </c>
      <c r="K33" s="171" t="n">
        <f aca="false" ca="false" dt2D="false" dtr="false" t="normal">AC28&amp;AC29&amp;AC30&amp;AC31&amp;AC32&amp;AC33&amp;AC34&amp;AC35</f>
        <v>0</v>
      </c>
      <c r="L33" s="53" t="n">
        <f aca="false" ca="false" dt2D="false" dtr="false" t="normal">AG28&amp;AG29&amp;AG30&amp;AG31&amp;AG32&amp;AG33&amp;AG34&amp;AG35</f>
        <v>0</v>
      </c>
      <c r="M33" s="53" t="str">
        <f aca="false" ca="false" dt2D="false" dtr="false" t="normal">DEC2HEX(M34)</f>
        <v>2B</v>
      </c>
      <c r="N33" s="63" t="n"/>
      <c r="P33" s="136" t="n">
        <f aca="false" ca="false" dt2D="false" dtr="false" t="normal">MID(H28, 6, 1)</f>
        <v>0</v>
      </c>
      <c r="Q33" s="137" t="n">
        <f aca="false" ca="false" dt2D="false" dtr="false" t="normal">P33</f>
        <v>0</v>
      </c>
      <c r="R33" s="120" t="s">
        <v>203</v>
      </c>
      <c r="S33" s="139" t="s">
        <v>811</v>
      </c>
      <c r="T33" s="136" t="n">
        <f aca="false" ca="false" dt2D="false" dtr="false" t="normal">MID(I28, 6, 1)</f>
        <v>0</v>
      </c>
      <c r="U33" s="137" t="n">
        <f aca="false" ca="false" dt2D="false" dtr="false" t="normal">T33</f>
        <v>0</v>
      </c>
      <c r="V33" s="120" t="s">
        <v>203</v>
      </c>
      <c r="W33" s="139" t="s">
        <v>812</v>
      </c>
      <c r="X33" s="136" t="n">
        <f aca="false" ca="false" dt2D="false" dtr="false" t="normal">MID(J28, 6, 1)</f>
        <v>0</v>
      </c>
      <c r="Y33" s="137" t="n">
        <f aca="false" ca="false" dt2D="false" dtr="false" t="normal">X33</f>
        <v>0</v>
      </c>
      <c r="Z33" s="120" t="s">
        <v>203</v>
      </c>
      <c r="AA33" s="131" t="s">
        <v>196</v>
      </c>
      <c r="AB33" s="136" t="n">
        <f aca="false" ca="false" dt2D="false" dtr="false" t="normal">MID(K28, 6, 1)</f>
        <v>0</v>
      </c>
      <c r="AC33" s="137" t="n">
        <f aca="false" ca="false" dt2D="false" dtr="false" t="normal">AB33</f>
        <v>0</v>
      </c>
      <c r="AD33" s="120" t="s">
        <v>203</v>
      </c>
      <c r="AE33" s="131" t="s">
        <v>196</v>
      </c>
      <c r="AF33" s="136" t="n">
        <f aca="false" ca="false" dt2D="false" dtr="false" t="normal">MID(L28, 6, 1)</f>
        <v>0</v>
      </c>
      <c r="AG33" s="137" t="n">
        <f aca="false" ca="false" dt2D="false" dtr="false" t="normal">AF33</f>
        <v>0</v>
      </c>
      <c r="AH33" s="120" t="s">
        <v>203</v>
      </c>
      <c r="AI33" s="131" t="s">
        <v>196</v>
      </c>
      <c r="AJ33" s="1330" t="s"/>
      <c r="AK33" s="1331" t="s"/>
      <c r="AN33" s="1207" t="n"/>
      <c r="AO33" s="0" t="str">
        <f aca="false" ca="false" dt2D="false" dtr="false" t="normal">H439&amp;I439&amp;J439&amp;K439&amp;L439</f>
        <v/>
      </c>
      <c r="AP33" s="0" t="str">
        <f aca="false" ca="false" dt2D="false" dtr="false" t="normal">AO33</f>
        <v/>
      </c>
      <c r="AT33" s="1208" t="n"/>
      <c r="AU33" s="1209" t="n"/>
      <c r="BB33" s="0" t="n">
        <v>59</v>
      </c>
      <c r="BC33" s="56" t="s">
        <v>809</v>
      </c>
      <c r="BD33" s="0" t="n">
        <v>44</v>
      </c>
      <c r="BE33" s="0" t="n">
        <f aca="false" ca="false" dt2D="false" dtr="false" t="normal">BE32+11</f>
        <v>593</v>
      </c>
      <c r="BF33" s="56" t="s">
        <v>813</v>
      </c>
      <c r="BG33" s="0" t="n">
        <v>45</v>
      </c>
      <c r="BH33" s="0" t="n">
        <f aca="false" ca="false" dt2D="false" dtr="false" t="normal">BH32+11</f>
        <v>604</v>
      </c>
      <c r="BI33" s="0" t="n">
        <f aca="false" ca="false" dt2D="false" dtr="false" t="normal">BI32+11</f>
        <v>571</v>
      </c>
      <c r="BK33" s="0" t="str">
        <f aca="false" ca="false" dt2D="false" dtr="false" t="normal">"=IF(OR(LEFT(A"&amp;BB33&amp;";7)=""720G4"&amp;BC33&amp;""";LEFT(A"&amp;BB33&amp;";7)=""72004"&amp;BD33&amp;""");RIGHT(D"&amp;BE33&amp;";1)&amp;E"&amp;BE33&amp;"&amp;F"&amp;BE33&amp;"&amp;G"&amp;BE33&amp;"&amp;H"&amp;BE33&amp;"&amp;I"&amp;BE33&amp;"&amp;J"&amp;BE33&amp;"&amp;K"&amp;BE33&amp;"&amp;L"&amp;BE33&amp;"&amp;M"&amp;BE33&amp;";IF(OR(LEFT(A"&amp;BB33&amp;";7)=""720G4"&amp;BF33&amp;""";LEFT(A"&amp;BB33&amp;";7)=""72004"&amp;BG33&amp;""");RIGHT(D"&amp;BH33&amp;";1)&amp;E"&amp;BH33&amp;"&amp;F"&amp;BH33&amp;"&amp;G"&amp;BH33&amp;"&amp;H"&amp;BH33&amp;"&amp;I"&amp;BH33&amp;"&amp;J"&amp;BH33&amp;"&amp;K"&amp;BH33&amp;"&amp;L"&amp;BH33&amp;"&amp;M"&amp;BH33&amp;";RIGHT(D"&amp;BI33&amp;";1)&amp;E"&amp;BI33&amp;"&amp;F"&amp;BI33&amp;"&amp;G"&amp;BI33&amp;"&amp;H"&amp;BI33&amp;"&amp;I"&amp;BI33&amp;"&amp;J"&amp;BI33&amp;"&amp;K"&amp;BI33&amp;"&amp;L"&amp;BI33&amp;"&amp;M"&amp;BI33&amp;"))"</f>
        <v>=IF(OR(LEFT(A59;7)="720G4IC";LEFT(A59;7)="7200444");RIGHT(D593;1)&amp;E593&amp;F593&amp;G593&amp;H593&amp;I593&amp;J593&amp;K593&amp;L593&amp;M593;IF(OR(LEFT(A59;7)="720G4ID";LEFT(A59;7)="7200445");RIGHT(D604;1)&amp;E604&amp;F604&amp;G604&amp;H604&amp;I604&amp;J604&amp;K604&amp;L604&amp;M604;RIGHT(D571;1)&amp;E571&amp;F571&amp;G571&amp;H571&amp;I571&amp;J571&amp;K571&amp;L571&amp;M571))</v>
      </c>
      <c r="BN33" s="0" t="str">
        <f aca="false" ca="false" dt2D="false" dtr="false" t="normal">IF(OR(LEFT(A59, 7)="720G4IC", LEFT(A59, 7)="7200444"), RIGHT(D593, 1)&amp;E593&amp;F593&amp;G593&amp;H593&amp;I593&amp;J593&amp;K593&amp;L593&amp;M593, IF(OR(LEFT(A59, 7)="720G4ID", LEFT(A59, 7)="7200445"), RIGHT(D604, 1)&amp;E604&amp;F604&amp;G604&amp;H604&amp;I604&amp;J604&amp;K604&amp;L604&amp;M604, RIGHT(D571, 1)&amp;E571&amp;F571&amp;G571&amp;H571&amp;I571&amp;J571&amp;K571&amp;L571&amp;M571))</f>
        <v/>
      </c>
    </row>
    <row customHeight="true" hidden="false" ht="15" outlineLevel="0" r="34">
      <c r="A34" s="91" t="s">
        <v>814</v>
      </c>
      <c r="B34" s="92" t="str">
        <f aca="false" ca="false" dt2D="false" dtr="false" t="normal">IF(OR(LEFT(A34, 7)="720G4H3", LEFT(A34, 7)="7200419"), RIGHT(D321, 1)&amp;E321&amp;F321&amp;G321&amp;H318&amp;I318&amp;J318&amp;K318&amp;L318&amp;M318, IF(OR(LEFT(A34, 7)="720G4H4", LEFT(A34, 7)="7200420"), RIGHT(D332, 1)&amp;E332&amp;F332&amp;G332&amp;H329&amp;I329&amp;J329&amp;K329&amp;L329&amp;M329, RIGHT(D299, 1)&amp;E299&amp;F299&amp;G299&amp;H296&amp;I296&amp;J296&amp;K296&amp;L296&amp;M296))</f>
        <v>720G4H400000000004B</v>
      </c>
      <c r="C34" s="98" t="s">
        <v>191</v>
      </c>
      <c r="D34" s="53" t="n">
        <f aca="false" ca="false" dt2D="false" dtr="false" t="normal">HEX2DEC(D32)</f>
        <v>7</v>
      </c>
      <c r="E34" s="53" t="n">
        <f aca="false" ca="false" dt2D="false" dtr="false" t="normal">HEX2DEC(E32)</f>
        <v>32</v>
      </c>
      <c r="F34" s="53" t="n">
        <f aca="false" ca="false" dt2D="false" dtr="false" t="normal">HEX2DEC(F32)</f>
        <v>1</v>
      </c>
      <c r="G34" s="53"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HEX2DEC(K32)</f>
        <v>0</v>
      </c>
      <c r="L34" s="53" t="n">
        <f aca="false" ca="false" dt2D="false" dtr="false" t="normal">HEX2DEC(L32)</f>
        <v>0</v>
      </c>
      <c r="M34" s="53" t="n">
        <f aca="false" ca="false" dt2D="false" dtr="false" t="normal">SUM(D34:L34)</f>
        <v>43</v>
      </c>
      <c r="N34" s="63" t="n"/>
      <c r="P34" s="136" t="n">
        <f aca="false" ca="false" dt2D="false" dtr="false" t="normal">MID(H28, 7, 1)</f>
        <v>0</v>
      </c>
      <c r="Q34" s="137" t="n">
        <f aca="false" ca="false" dt2D="false" dtr="false" t="normal">P34</f>
        <v>0</v>
      </c>
      <c r="R34" s="120" t="s">
        <v>206</v>
      </c>
      <c r="S34" s="139" t="s">
        <v>815</v>
      </c>
      <c r="T34" s="136" t="n">
        <f aca="false" ca="false" dt2D="false" dtr="false" t="normal">MID(I28, 7, 1)</f>
        <v>0</v>
      </c>
      <c r="U34" s="137" t="n">
        <f aca="false" ca="false" dt2D="false" dtr="false" t="normal">T34</f>
        <v>0</v>
      </c>
      <c r="V34" s="120" t="s">
        <v>206</v>
      </c>
      <c r="W34" s="139" t="s">
        <v>816</v>
      </c>
      <c r="X34" s="136" t="n">
        <f aca="false" ca="false" dt2D="false" dtr="false" t="normal">MID(J28, 7, 1)</f>
        <v>0</v>
      </c>
      <c r="Y34" s="137" t="n">
        <f aca="false" ca="false" dt2D="false" dtr="false" t="normal">X34</f>
        <v>0</v>
      </c>
      <c r="Z34" s="120" t="s">
        <v>206</v>
      </c>
      <c r="AA34" s="131" t="s">
        <v>196</v>
      </c>
      <c r="AB34" s="136" t="n">
        <f aca="false" ca="false" dt2D="false" dtr="false" t="normal">MID(K28, 7, 1)</f>
        <v>0</v>
      </c>
      <c r="AC34" s="137" t="n">
        <f aca="false" ca="false" dt2D="false" dtr="false" t="normal">AB34</f>
        <v>0</v>
      </c>
      <c r="AD34" s="120" t="s">
        <v>206</v>
      </c>
      <c r="AE34" s="131" t="s">
        <v>196</v>
      </c>
      <c r="AF34" s="136" t="n">
        <f aca="false" ca="false" dt2D="false" dtr="false" t="normal">MID(L28, 7, 1)</f>
        <v>0</v>
      </c>
      <c r="AG34" s="137" t="n">
        <f aca="false" ca="false" dt2D="false" dtr="false" t="normal">AF34</f>
        <v>0</v>
      </c>
      <c r="AH34" s="120" t="s">
        <v>206</v>
      </c>
      <c r="AI34" s="131" t="s">
        <v>196</v>
      </c>
      <c r="AJ34" s="1332" t="s"/>
      <c r="AK34" s="1333" t="s"/>
      <c r="AN34" s="1207" t="n"/>
      <c r="AO34" s="0" t="str">
        <f aca="false" ca="false" dt2D="false" dtr="false" t="normal">H450&amp;I450&amp;J450&amp;K450&amp;L450</f>
        <v/>
      </c>
      <c r="AP34" s="0" t="str">
        <f aca="false" ca="false" dt2D="false" dtr="false" t="normal">AO34</f>
        <v/>
      </c>
      <c r="AT34" s="1208" t="n"/>
      <c r="AU34" s="1209" t="n"/>
      <c r="BB34" s="0" t="n">
        <v>60</v>
      </c>
      <c r="BC34" s="56" t="s">
        <v>813</v>
      </c>
      <c r="BD34" s="0" t="n">
        <v>45</v>
      </c>
      <c r="BE34" s="0" t="n">
        <f aca="false" ca="false" dt2D="false" dtr="false" t="normal">BE33+11</f>
        <v>604</v>
      </c>
      <c r="BF34" s="56" t="s">
        <v>817</v>
      </c>
      <c r="BG34" s="0" t="n">
        <v>46</v>
      </c>
      <c r="BH34" s="0" t="n">
        <f aca="false" ca="false" dt2D="false" dtr="false" t="normal">BH33+11</f>
        <v>615</v>
      </c>
      <c r="BI34" s="0" t="n">
        <f aca="false" ca="false" dt2D="false" dtr="false" t="normal">BI33+11</f>
        <v>582</v>
      </c>
      <c r="BK34" s="0" t="str">
        <f aca="false" ca="false" dt2D="false" dtr="false" t="normal">"=IF(OR(LEFT(A"&amp;BB34&amp;";7)=""720G4"&amp;BC34&amp;""";LEFT(A"&amp;BB34&amp;";7)=""72004"&amp;BD34&amp;""");RIGHT(D"&amp;BE34&amp;";1)&amp;E"&amp;BE34&amp;"&amp;F"&amp;BE34&amp;"&amp;G"&amp;BE34&amp;"&amp;H"&amp;BE34&amp;"&amp;I"&amp;BE34&amp;"&amp;J"&amp;BE34&amp;"&amp;K"&amp;BE34&amp;"&amp;L"&amp;BE34&amp;"&amp;M"&amp;BE34&amp;";IF(OR(LEFT(A"&amp;BB34&amp;";7)=""720G4"&amp;BF34&amp;""";LEFT(A"&amp;BB34&amp;";7)=""72004"&amp;BG34&amp;""");RIGHT(D"&amp;BH34&amp;";1)&amp;E"&amp;BH34&amp;"&amp;F"&amp;BH34&amp;"&amp;G"&amp;BH34&amp;"&amp;H"&amp;BH34&amp;"&amp;I"&amp;BH34&amp;"&amp;J"&amp;BH34&amp;"&amp;K"&amp;BH34&amp;"&amp;L"&amp;BH34&amp;"&amp;M"&amp;BH34&amp;";RIGHT(D"&amp;BI34&amp;";1)&amp;E"&amp;BI34&amp;"&amp;F"&amp;BI34&amp;"&amp;G"&amp;BI34&amp;"&amp;H"&amp;BI34&amp;"&amp;I"&amp;BI34&amp;"&amp;J"&amp;BI34&amp;"&amp;K"&amp;BI34&amp;"&amp;L"&amp;BI34&amp;"&amp;M"&amp;BI34&amp;"))"</f>
        <v>=IF(OR(LEFT(A60;7)="720G4ID";LEFT(A60;7)="7200445");RIGHT(D604;1)&amp;E604&amp;F604&amp;G604&amp;H604&amp;I604&amp;J604&amp;K604&amp;L604&amp;M604;IF(OR(LEFT(A60;7)="720G4IE";LEFT(A60;7)="7200446");RIGHT(D615;1)&amp;E615&amp;F615&amp;G615&amp;H615&amp;I615&amp;J615&amp;K615&amp;L615&amp;M615;RIGHT(D582;1)&amp;E582&amp;F582&amp;G582&amp;H582&amp;I582&amp;J582&amp;K582&amp;L582&amp;M582))</v>
      </c>
      <c r="BN34" s="0" t="str">
        <f aca="false" ca="false" dt2D="false" dtr="false" t="normal">IF(OR(LEFT(A60, 7)="720G4ID", LEFT(A60, 7)="7200445"), RIGHT(D604, 1)&amp;E604&amp;F604&amp;G604&amp;H604&amp;I604&amp;J604&amp;K604&amp;L604&amp;M604, IF(OR(LEFT(A60, 7)="720G4IE", LEFT(A60, 7)="7200446"), RIGHT(D615, 1)&amp;E615&amp;F615&amp;G615&amp;H615&amp;I615&amp;J615&amp;K615&amp;L615&amp;M615, RIGHT(D582, 1)&amp;E582&amp;F582&amp;G582&amp;H582&amp;I582&amp;J582&amp;K582&amp;L582&amp;M582))</f>
        <v/>
      </c>
    </row>
    <row hidden="false" ht="15.75" outlineLevel="0" r="35">
      <c r="A35" s="91" t="s">
        <v>818</v>
      </c>
      <c r="B35" s="92" t="str">
        <f aca="false" ca="false" dt2D="false" dtr="false" t="normal">IF(OR(LEFT(A35, 7)="720G4H4", LEFT(A35, 7)="7200420"), RIGHT(D332, 1)&amp;E332&amp;F332&amp;G332&amp;H329&amp;I329&amp;J329&amp;K329&amp;L329&amp;M329, IF(OR(LEFT(A35, 7)="720G4H5", LEFT(A35, 7)="7200421"), RIGHT(D343, 1)&amp;E343&amp;F343&amp;G343&amp;H340&amp;I340&amp;J340&amp;K340&amp;L340&amp;M340, RIGHT(D310, 1)&amp;E310&amp;F310&amp;G310&amp;H307&amp;I307&amp;J307&amp;K307&amp;L307&amp;M307))</f>
        <v>720G4H500000000004C</v>
      </c>
      <c r="C35" s="180" t="s">
        <v>194</v>
      </c>
      <c r="D35" s="299" t="n">
        <f aca="false" ca="false" dt2D="false" dtr="false" t="normal">D30</f>
        <v>7</v>
      </c>
      <c r="E35" s="299" t="n">
        <f aca="false" ca="false" dt2D="false" dtr="false" t="normal">E30</f>
        <v>20</v>
      </c>
      <c r="F35" s="299" t="str">
        <f aca="false" ca="false" dt2D="false" dtr="false" t="normal">F30</f>
        <v>G1</v>
      </c>
      <c r="G35" s="299"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87" t="s">
        <v>819</v>
      </c>
      <c r="T35" s="182" t="n">
        <f aca="false" ca="false" dt2D="false" dtr="false" t="normal">MID(I28, 8, 1)</f>
        <v>0</v>
      </c>
      <c r="U35" s="183" t="n">
        <f aca="false" ca="false" dt2D="false" dtr="false" t="normal">T35</f>
        <v>0</v>
      </c>
      <c r="V35" s="184" t="s">
        <v>208</v>
      </c>
      <c r="W35" s="187" t="s">
        <v>820</v>
      </c>
      <c r="X35" s="182" t="n">
        <f aca="false" ca="false" dt2D="false" dtr="false" t="normal">MID(J28, 8, 1)</f>
        <v>0</v>
      </c>
      <c r="Y35" s="183" t="n">
        <f aca="false" ca="false" dt2D="false" dtr="false" t="normal">X35</f>
        <v>0</v>
      </c>
      <c r="Z35" s="184" t="s">
        <v>208</v>
      </c>
      <c r="AA35" s="185" t="s">
        <v>196</v>
      </c>
      <c r="AB35" s="182" t="n">
        <f aca="false" ca="false" dt2D="false" dtr="false" t="normal">MID(K28, 8, 1)</f>
        <v>0</v>
      </c>
      <c r="AC35" s="183" t="n">
        <f aca="false" ca="false" dt2D="false" dtr="false" t="normal">AB35</f>
        <v>0</v>
      </c>
      <c r="AD35" s="184" t="s">
        <v>208</v>
      </c>
      <c r="AE35" s="185" t="s">
        <v>196</v>
      </c>
      <c r="AF35" s="182" t="n">
        <f aca="false" ca="false" dt2D="false" dtr="false" t="normal">MID(L28, 8, 1)</f>
        <v>0</v>
      </c>
      <c r="AG35" s="183" t="n">
        <f aca="false" ca="false" dt2D="false" dtr="false" t="normal">AF35</f>
        <v>0</v>
      </c>
      <c r="AH35" s="184" t="s">
        <v>208</v>
      </c>
      <c r="AI35" s="185" t="s">
        <v>196</v>
      </c>
      <c r="AJ35" s="1334" t="s"/>
      <c r="AK35" s="1335" t="s"/>
      <c r="AN35" s="1207" t="n"/>
      <c r="AO35" s="0" t="str">
        <f aca="false" ca="false" dt2D="false" dtr="false" t="normal">H461&amp;I461&amp;J461&amp;K461&amp;L461</f>
        <v/>
      </c>
      <c r="AP35" s="0" t="str">
        <f aca="false" ca="false" dt2D="false" dtr="false" t="normal">AO35</f>
        <v/>
      </c>
      <c r="AT35" s="1208" t="n"/>
      <c r="AU35" s="1209" t="n"/>
      <c r="BB35" s="0" t="n">
        <v>61</v>
      </c>
      <c r="BC35" s="56" t="s">
        <v>817</v>
      </c>
      <c r="BD35" s="0" t="n">
        <v>46</v>
      </c>
      <c r="BE35" s="0" t="n">
        <f aca="false" ca="false" dt2D="false" dtr="false" t="normal">BE34+11</f>
        <v>615</v>
      </c>
      <c r="BF35" s="56" t="s">
        <v>821</v>
      </c>
      <c r="BG35" s="0" t="n">
        <v>47</v>
      </c>
      <c r="BH35" s="0" t="n">
        <f aca="false" ca="false" dt2D="false" dtr="false" t="normal">BH34+11</f>
        <v>626</v>
      </c>
      <c r="BI35" s="0" t="n">
        <f aca="false" ca="false" dt2D="false" dtr="false" t="normal">BI34+11</f>
        <v>593</v>
      </c>
      <c r="BK35" s="0" t="str">
        <f aca="false" ca="false" dt2D="false" dtr="false" t="normal">"=IF(OR(LEFT(A"&amp;BB35&amp;";7)=""720G4"&amp;BC35&amp;""";LEFT(A"&amp;BB35&amp;";7)=""72004"&amp;BD35&amp;""");RIGHT(D"&amp;BE35&amp;";1)&amp;E"&amp;BE35&amp;"&amp;F"&amp;BE35&amp;"&amp;G"&amp;BE35&amp;"&amp;H"&amp;BE35&amp;"&amp;I"&amp;BE35&amp;"&amp;J"&amp;BE35&amp;"&amp;K"&amp;BE35&amp;"&amp;L"&amp;BE35&amp;"&amp;M"&amp;BE35&amp;";IF(OR(LEFT(A"&amp;BB35&amp;";7)=""720G4"&amp;BF35&amp;""";LEFT(A"&amp;BB35&amp;";7)=""72004"&amp;BG35&amp;""");RIGHT(D"&amp;BH35&amp;";1)&amp;E"&amp;BH35&amp;"&amp;F"&amp;BH35&amp;"&amp;G"&amp;BH35&amp;"&amp;H"&amp;BH35&amp;"&amp;I"&amp;BH35&amp;"&amp;J"&amp;BH35&amp;"&amp;K"&amp;BH35&amp;"&amp;L"&amp;BH35&amp;"&amp;M"&amp;BH35&amp;";RIGHT(D"&amp;BI35&amp;";1)&amp;E"&amp;BI35&amp;"&amp;F"&amp;BI35&amp;"&amp;G"&amp;BI35&amp;"&amp;H"&amp;BI35&amp;"&amp;I"&amp;BI35&amp;"&amp;J"&amp;BI35&amp;"&amp;K"&amp;BI35&amp;"&amp;L"&amp;BI35&amp;"&amp;M"&amp;BI35&amp;"))"</f>
        <v>=IF(OR(LEFT(A61;7)="720G4IE";LEFT(A61;7)="7200446");RIGHT(D615;1)&amp;E615&amp;F615&amp;G615&amp;H615&amp;I615&amp;J615&amp;K615&amp;L615&amp;M615;IF(OR(LEFT(A61;7)="720G4IF";LEFT(A61;7)="7200447");RIGHT(D626;1)&amp;E626&amp;F626&amp;G626&amp;H626&amp;I626&amp;J626&amp;K626&amp;L626&amp;M626;RIGHT(D593;1)&amp;E593&amp;F593&amp;G593&amp;H593&amp;I593&amp;J593&amp;K593&amp;L593&amp;M593))</v>
      </c>
      <c r="BN35" s="0" t="str">
        <f aca="false" ca="false" dt2D="false" dtr="false" t="normal">IF(OR(LEFT(A61, 7)="720G4IE", LEFT(A61, 7)="7200446"), RIGHT(D615, 1)&amp;E615&amp;F615&amp;G615&amp;H615&amp;I615&amp;J615&amp;K615&amp;L615&amp;M615, IF(OR(LEFT(A61, 7)="720G4IF", LEFT(A61, 7)="7200447"), RIGHT(D626, 1)&amp;E626&amp;F626&amp;G626&amp;H626&amp;I626&amp;J626&amp;K626&amp;L626&amp;M626, RIGHT(D593, 1)&amp;E593&amp;F593&amp;G593&amp;H593&amp;I593&amp;J593&amp;K593&amp;L593&amp;M593))</f>
        <v/>
      </c>
    </row>
    <row hidden="false" ht="15.75" outlineLevel="0" r="36">
      <c r="A36" s="91" t="s">
        <v>822</v>
      </c>
      <c r="B36" s="92" t="str">
        <f aca="false" ca="false" dt2D="false" dtr="false" t="normal">IF(OR(LEFT(A36, 7)="720G4H5", LEFT(A36, 7)="7200421"), RIGHT(D343, 1)&amp;E343&amp;F343&amp;G343&amp;H340&amp;I340&amp;J340&amp;K340&amp;L340&amp;M340, IF(OR(LEFT(A36, 7)="720G4H6", LEFT(A36, 7)="7200422"), RIGHT(D354, 1)&amp;E354&amp;F354&amp;G354&amp;H351&amp;I351&amp;J351&amp;K351&amp;L351&amp;M351, RIGHT(D321, 1)&amp;E321&amp;F321&amp;G321&amp;H318&amp;I318&amp;J318&amp;K318&amp;L318&amp;M318))</f>
        <v>720G4H600000000004D</v>
      </c>
      <c r="C36" s="93" t="n"/>
      <c r="D36" s="94" t="n"/>
      <c r="E36" s="94" t="n"/>
      <c r="F36" s="94" t="n"/>
      <c r="G36" s="94" t="n"/>
      <c r="H36" s="94" t="n"/>
      <c r="I36" s="94" t="n"/>
      <c r="J36" s="94" t="n"/>
      <c r="K36" s="94" t="n"/>
      <c r="L36" s="94" t="n"/>
      <c r="M36" s="94" t="s">
        <v>161</v>
      </c>
      <c r="N36" s="60" t="n"/>
      <c r="P36" s="95" t="str">
        <f aca="false" ca="false" dt2D="false" dtr="false" t="normal">RIGHT(D38, 1)&amp;E38&amp;"-"&amp;F38&amp;"-"&amp;G38</f>
        <v>720-01-04</v>
      </c>
      <c r="Q36" s="1336" t="s"/>
      <c r="R36" s="234" t="s">
        <v>823</v>
      </c>
      <c r="S36" s="1337" t="s"/>
      <c r="T36" s="1338" t="s"/>
      <c r="U36" s="1339" t="s"/>
      <c r="V36" s="1340" t="s"/>
      <c r="W36" s="1341" t="s"/>
      <c r="X36" s="1342" t="s"/>
      <c r="Y36" s="1343" t="s"/>
      <c r="Z36" s="1344" t="s"/>
      <c r="AA36" s="1345" t="s"/>
      <c r="AB36" s="1346" t="s"/>
      <c r="AC36" s="1347" t="s"/>
      <c r="AD36" s="1348" t="s"/>
      <c r="AE36" s="1349" t="s"/>
      <c r="AF36" s="1350" t="s"/>
      <c r="AG36" s="1351" t="s"/>
      <c r="AH36" s="1352" t="s"/>
      <c r="AI36" s="1353" t="s"/>
      <c r="AJ36" s="1354" t="s"/>
      <c r="AK36" s="1355" t="s"/>
      <c r="AN36" s="1207" t="n"/>
      <c r="AO36" s="0" t="str">
        <f aca="false" ca="false" dt2D="false" dtr="false" t="normal">H472&amp;I472&amp;J472&amp;K472&amp;L472</f>
        <v/>
      </c>
      <c r="AP36" s="0" t="str">
        <f aca="false" ca="false" dt2D="false" dtr="false" t="normal">AO36</f>
        <v/>
      </c>
      <c r="AR36" s="0" t="n">
        <f aca="false" ca="false" dt2D="false" dtr="false" t="normal">H137</f>
        <v>0</v>
      </c>
      <c r="AS36" s="1356" t="str">
        <f aca="false" ca="false" dt2D="false" dtr="false" t="normal">IFERROR(VLOOKUP($AR36, $AT$36:$AU$71, 2, FALSE), "")</f>
        <v/>
      </c>
      <c r="AT36" s="1208" t="s">
        <v>824</v>
      </c>
      <c r="AU36" s="1209" t="n">
        <v>0</v>
      </c>
      <c r="AV36" s="1208" t="s">
        <v>824</v>
      </c>
      <c r="BB36" s="0" t="n">
        <v>62</v>
      </c>
      <c r="BC36" s="56" t="s">
        <v>821</v>
      </c>
      <c r="BD36" s="0" t="n">
        <v>47</v>
      </c>
      <c r="BE36" s="0" t="n">
        <f aca="false" ca="false" dt2D="false" dtr="false" t="normal">BE35+11</f>
        <v>626</v>
      </c>
      <c r="BF36" s="56" t="s">
        <v>825</v>
      </c>
      <c r="BG36" s="0" t="n">
        <v>48</v>
      </c>
      <c r="BH36" s="0" t="n">
        <f aca="false" ca="false" dt2D="false" dtr="false" t="normal">BH35+11</f>
        <v>637</v>
      </c>
      <c r="BI36" s="0" t="n">
        <f aca="false" ca="false" dt2D="false" dtr="false" t="normal">BI35+11</f>
        <v>604</v>
      </c>
      <c r="BK36" s="0" t="str">
        <f aca="false" ca="false" dt2D="false" dtr="false" t="normal">"=IF(OR(LEFT(A"&amp;BB36&amp;";7)=""720G4"&amp;BC36&amp;""";LEFT(A"&amp;BB36&amp;";7)=""72004"&amp;BD36&amp;""");RIGHT(D"&amp;BE36&amp;";1)&amp;E"&amp;BE36&amp;"&amp;F"&amp;BE36&amp;"&amp;G"&amp;BE36&amp;"&amp;H"&amp;BE36&amp;"&amp;I"&amp;BE36&amp;"&amp;J"&amp;BE36&amp;"&amp;K"&amp;BE36&amp;"&amp;L"&amp;BE36&amp;"&amp;M"&amp;BE36&amp;";IF(OR(LEFT(A"&amp;BB36&amp;";7)=""720G4"&amp;BF36&amp;""";LEFT(A"&amp;BB36&amp;";7)=""72004"&amp;BG36&amp;""");RIGHT(D"&amp;BH36&amp;";1)&amp;E"&amp;BH36&amp;"&amp;F"&amp;BH36&amp;"&amp;G"&amp;BH36&amp;"&amp;H"&amp;BH36&amp;"&amp;I"&amp;BH36&amp;"&amp;J"&amp;BH36&amp;"&amp;K"&amp;BH36&amp;"&amp;L"&amp;BH36&amp;"&amp;M"&amp;BH36&amp;";RIGHT(D"&amp;BI36&amp;";1)&amp;E"&amp;BI36&amp;"&amp;F"&amp;BI36&amp;"&amp;G"&amp;BI36&amp;"&amp;H"&amp;BI36&amp;"&amp;I"&amp;BI36&amp;"&amp;J"&amp;BI36&amp;"&amp;K"&amp;BI36&amp;"&amp;L"&amp;BI36&amp;"&amp;M"&amp;BI36&amp;"))"</f>
        <v>=IF(OR(LEFT(A62;7)="720G4IF";LEFT(A62;7)="7200447");RIGHT(D626;1)&amp;E626&amp;F626&amp;G626&amp;H626&amp;I626&amp;J626&amp;K626&amp;L626&amp;M626;IF(OR(LEFT(A62;7)="720G4J0";LEFT(A62;7)="7200448");RIGHT(D637;1)&amp;E637&amp;F637&amp;G637&amp;H637&amp;I637&amp;J637&amp;K637&amp;L637&amp;M637;RIGHT(D604;1)&amp;E604&amp;F604&amp;G604&amp;H604&amp;I604&amp;J604&amp;K604&amp;L604&amp;M604))</v>
      </c>
      <c r="BN36" s="0" t="str">
        <f aca="false" ca="false" dt2D="false" dtr="false" t="normal">IF(OR(LEFT(A62, 7)="720G4IF", LEFT(A62, 7)="7200447"), RIGHT(D626, 1)&amp;E626&amp;F626&amp;G626&amp;H626&amp;I626&amp;J626&amp;K626&amp;L626&amp;M626, IF(OR(LEFT(A62, 7)="720G4J0", LEFT(A62, 7)="7200448"), RIGHT(D637, 1)&amp;E637&amp;F637&amp;G637&amp;H637&amp;I637&amp;J637&amp;K637&amp;L637&amp;M637, RIGHT(D604, 1)&amp;E604&amp;F604&amp;G604&amp;H604&amp;I604&amp;J604&amp;K604&amp;L604&amp;M604))</f>
        <v/>
      </c>
    </row>
    <row hidden="false" ht="15.75" outlineLevel="0" r="37">
      <c r="A37" s="91" t="s">
        <v>826</v>
      </c>
      <c r="B37" s="92" t="str">
        <f aca="false" ca="false" dt2D="false" dtr="false" t="normal">IF(OR(LEFT(A37, 7)="720G4H6", LEFT(A37, 7)="7200422"), RIGHT(D354, 1)&amp;E354&amp;F354&amp;G354&amp;H351&amp;I351&amp;J351&amp;K351&amp;L351&amp;M351, IF(OR(LEFT(A37, 7)="720G4H7", LEFT(A37, 7)="7200423"), RIGHT(D365, 1)&amp;E365&amp;F365&amp;G365&amp;H362&amp;I362&amp;J362&amp;K362&amp;L362&amp;M362, RIGHT(D332, 1)&amp;E332&amp;F332&amp;G332&amp;H329&amp;I329&amp;J329&amp;K329&amp;L329&amp;M329))</f>
        <v>720G4H700000000004E</v>
      </c>
      <c r="C37" s="98" t="n"/>
      <c r="D37" s="99" t="s">
        <v>827</v>
      </c>
      <c r="E37" s="1357" t="s"/>
      <c r="F37" s="1358" t="s"/>
      <c r="G37" s="1359" t="s"/>
      <c r="H37" s="53" t="s">
        <v>165</v>
      </c>
      <c r="I37" s="53" t="s">
        <v>166</v>
      </c>
      <c r="J37" s="53" t="s">
        <v>167</v>
      </c>
      <c r="K37" s="53" t="s">
        <v>168</v>
      </c>
      <c r="L37" s="53" t="s">
        <v>169</v>
      </c>
      <c r="M37" s="53" t="s">
        <v>221</v>
      </c>
      <c r="N37" s="63" t="n"/>
      <c r="P37" s="103" t="s">
        <v>828</v>
      </c>
      <c r="Q37" s="1360" t="s"/>
      <c r="R37" s="1361" t="s"/>
      <c r="S37" s="1362" t="s"/>
      <c r="T37" s="103" t="s">
        <v>829</v>
      </c>
      <c r="U37" s="1363" t="s"/>
      <c r="V37" s="1364" t="s"/>
      <c r="W37" s="1365" t="s"/>
      <c r="X37" s="103" t="s">
        <v>830</v>
      </c>
      <c r="Y37" s="1366" t="s"/>
      <c r="Z37" s="1367" t="s"/>
      <c r="AA37" s="1368" t="s"/>
      <c r="AB37" s="103" t="s">
        <v>831</v>
      </c>
      <c r="AC37" s="1369" t="s"/>
      <c r="AD37" s="1370" t="s"/>
      <c r="AE37" s="1371" t="s"/>
      <c r="AF37" s="103" t="s">
        <v>832</v>
      </c>
      <c r="AG37" s="1372" t="s"/>
      <c r="AH37" s="1373" t="s"/>
      <c r="AI37" s="1374" t="s"/>
      <c r="AJ37" s="103" t="s">
        <v>833</v>
      </c>
      <c r="AK37" s="1375" t="s"/>
      <c r="AN37" s="1207" t="n"/>
      <c r="AO37" s="0" t="str">
        <f aca="false" ca="false" dt2D="false" dtr="false" t="normal">H483&amp;I483&amp;J483&amp;K483&amp;L483</f>
        <v/>
      </c>
      <c r="AP37" s="0" t="str">
        <f aca="false" ca="false" dt2D="false" dtr="false" t="normal">AO37</f>
        <v/>
      </c>
      <c r="AR37" s="0" t="n">
        <f aca="false" ca="false" dt2D="false" dtr="false" t="normal">I137</f>
        <v>0</v>
      </c>
      <c r="AS37" s="1356" t="str">
        <f aca="false" ca="false" dt2D="false" dtr="false" t="normal">IFERROR(VLOOKUP($AR37, $AT$36:$AU$71, 2, FALSE), "")</f>
        <v/>
      </c>
      <c r="AT37" s="1208" t="s">
        <v>834</v>
      </c>
      <c r="AU37" s="1209" t="n">
        <v>1</v>
      </c>
      <c r="AV37" s="1208" t="s">
        <v>834</v>
      </c>
      <c r="BB37" s="0" t="n">
        <v>63</v>
      </c>
      <c r="BC37" s="56" t="s">
        <v>825</v>
      </c>
      <c r="BD37" s="0" t="n">
        <v>48</v>
      </c>
      <c r="BE37" s="0" t="n">
        <f aca="false" ca="false" dt2D="false" dtr="false" t="normal">BE36+11</f>
        <v>637</v>
      </c>
      <c r="BF37" s="56" t="s">
        <v>835</v>
      </c>
      <c r="BG37" s="0" t="n">
        <v>49</v>
      </c>
      <c r="BH37" s="0" t="n">
        <f aca="false" ca="false" dt2D="false" dtr="false" t="normal">BH36+11</f>
        <v>648</v>
      </c>
      <c r="BI37" s="0" t="n">
        <f aca="false" ca="false" dt2D="false" dtr="false" t="normal">BI36+11</f>
        <v>615</v>
      </c>
      <c r="BK37" s="0" t="str">
        <f aca="false" ca="false" dt2D="false" dtr="false" t="normal">"=IF(OR(LEFT(A"&amp;BB37&amp;";7)=""720G4"&amp;BC37&amp;""";LEFT(A"&amp;BB37&amp;";7)=""72004"&amp;BD37&amp;""");RIGHT(D"&amp;BE37&amp;";1)&amp;E"&amp;BE37&amp;"&amp;F"&amp;BE37&amp;"&amp;G"&amp;BE37&amp;"&amp;H"&amp;BE37&amp;"&amp;I"&amp;BE37&amp;"&amp;J"&amp;BE37&amp;"&amp;K"&amp;BE37&amp;"&amp;L"&amp;BE37&amp;"&amp;M"&amp;BE37&amp;";IF(OR(LEFT(A"&amp;BB37&amp;";7)=""720G4"&amp;BF37&amp;""";LEFT(A"&amp;BB37&amp;";7)=""72004"&amp;BG37&amp;""");RIGHT(D"&amp;BH37&amp;";1)&amp;E"&amp;BH37&amp;"&amp;F"&amp;BH37&amp;"&amp;G"&amp;BH37&amp;"&amp;H"&amp;BH37&amp;"&amp;I"&amp;BH37&amp;"&amp;J"&amp;BH37&amp;"&amp;K"&amp;BH37&amp;"&amp;L"&amp;BH37&amp;"&amp;M"&amp;BH37&amp;";RIGHT(D"&amp;BI37&amp;";1)&amp;E"&amp;BI37&amp;"&amp;F"&amp;BI37&amp;"&amp;G"&amp;BI37&amp;"&amp;H"&amp;BI37&amp;"&amp;I"&amp;BI37&amp;"&amp;J"&amp;BI37&amp;"&amp;K"&amp;BI37&amp;"&amp;L"&amp;BI37&amp;"&amp;M"&amp;BI37&amp;"))"</f>
        <v>=IF(OR(LEFT(A63;7)="720G4J0";LEFT(A63;7)="7200448");RIGHT(D637;1)&amp;E637&amp;F637&amp;G637&amp;H637&amp;I637&amp;J637&amp;K637&amp;L637&amp;M637;IF(OR(LEFT(A63;7)="720G4J1";LEFT(A63;7)="7200449");RIGHT(D648;1)&amp;E648&amp;F648&amp;G648&amp;H648&amp;I648&amp;J648&amp;K648&amp;L648&amp;M648;RIGHT(D615;1)&amp;E615&amp;F615&amp;G615&amp;H615&amp;I615&amp;J615&amp;K615&amp;L615&amp;M615))</v>
      </c>
      <c r="BN37" s="0" t="str">
        <f aca="false" ca="false" dt2D="false" dtr="false" t="normal">IF(OR(LEFT(A63, 7)="720G4J0", LEFT(A63, 7)="7200448"), RIGHT(D637, 1)&amp;E637&amp;F637&amp;G637&amp;H637&amp;I637&amp;J637&amp;K637&amp;L637&amp;M637, IF(OR(LEFT(A63, 7)="720G4J1", LEFT(A63, 7)="7200449"), RIGHT(D648, 1)&amp;E648&amp;F648&amp;G648&amp;H648&amp;I648&amp;J648&amp;K648&amp;L648&amp;M648, RIGHT(D615, 1)&amp;E615&amp;F615&amp;G615&amp;H615&amp;I615&amp;J615&amp;K615&amp;L615&amp;M615))</f>
        <v/>
      </c>
    </row>
    <row hidden="false" ht="15.75" outlineLevel="0" r="38">
      <c r="A38" s="91" t="s">
        <v>836</v>
      </c>
      <c r="B38" s="92" t="str">
        <f aca="false" ca="false" dt2D="false" dtr="false" t="normal">IF(OR(LEFT(A38, 7)="720G4H7", LEFT(A38, 7)="7200423"), RIGHT(D365, 1)&amp;E365&amp;F365&amp;G365&amp;H362&amp;I362&amp;J362&amp;K362&amp;L362&amp;M362, IF(OR(LEFT(A38, 7)="720G4H8", LEFT(A38, 7)="7200424"), RIGHT(D376, 1)&amp;E376&amp;F376&amp;G376&amp;H373&amp;I373&amp;J373&amp;K373&amp;L373&amp;M373, RIGHT(D343, 1)&amp;E343&amp;F343&amp;G343&amp;H340&amp;I340&amp;J340&amp;K340&amp;L340&amp;M340))</f>
        <v>720G4H800000000004F</v>
      </c>
      <c r="C38" s="98" t="s">
        <v>176</v>
      </c>
      <c r="D38" s="122" t="s">
        <v>177</v>
      </c>
      <c r="E38" s="123" t="s">
        <v>693</v>
      </c>
      <c r="F38" s="123" t="s">
        <v>179</v>
      </c>
      <c r="G38" s="124" t="s">
        <v>342</v>
      </c>
      <c r="H38" s="125" t="n">
        <f aca="false" ca="false" dt2D="false" dtr="false" ref="H38:H38" t="array">MID(INDEX($A$3:$A$70, IF(ISNA(MATCH("720G1G4*", $A$3:$A$70, 0))=TRUE, MATCH("7200104*", $A$3:$A$70, 0), MATCH("720G1G4*", $A$3:$A$70, 0))), $AU$8, 2)</f>
        <v>0</v>
      </c>
      <c r="I38" s="126" t="n">
        <f aca="false" ca="false" dt2D="false" dtr="false" ref="I38:I38" t="array">MID(INDEX($A$3:$A$70, IF(ISNA(MATCH("720G1G4*", $A$3:$A$70, 0))=TRUE, MATCH("7200104*", $A$3:$A$70, 0), MATCH("720G1G4*", $A$3:$A$70, 0))), $AV$8, 2)</f>
        <v>0</v>
      </c>
      <c r="J38" s="126" t="n">
        <f aca="false" ca="false" dt2D="false" dtr="false" ref="J38:J38" t="array">MID(INDEX($A$3:$A$70, IF(ISNA(MATCH("720G1G4*", $A$3:$A$70, 0))=TRUE, MATCH("7200104*", $A$3:$A$70, 0), MATCH("720G1G4*", $A$3:$A$70, 0))), $AW$8, 2)</f>
        <v>0</v>
      </c>
      <c r="K38" s="126" t="n">
        <f aca="false" ca="false" dt2D="false" dtr="false" ref="K38:K38" t="array">MID(INDEX($A$3:$A$70, IF(ISNA(MATCH("720G1G4*", $A$3:$A$70, 0))=TRUE, MATCH("7200104*", $A$3:$A$70, 0), MATCH("720G1G4*", $A$3:$A$70, 0))), $AX$8, 2)</f>
        <v>0</v>
      </c>
      <c r="L38" s="274" t="n">
        <f aca="false" ca="false" dt2D="false" dtr="false" ref="L38:L38" t="array">MID(INDEX($A$3:$A$70, IF(ISNA(MATCH("720G1G4*", $A$3:$A$70, 0))=TRUE, MATCH("7200104*", $A$3:$A$70, 0), MATCH("720G1G4*", $A$3:$A$70, 0))), $AY$8, 2)</f>
        <v>0</v>
      </c>
      <c r="M38" s="128" t="str">
        <f aca="false" ca="false" dt2D="false" dtr="false" ref="M38:M38" t="array">MID(INDEX($A$3:$A$70, IF(ISNA(MATCH("720G1G4*", $A$3:$A$70, 0))=TRUE, MATCH("7200104*", $A$3:$A$70, 0), MATCH("720G1G4*", $A$3:$A$70, 0))), $AZ$8, 2)</f>
        <v>2C</v>
      </c>
      <c r="N38" s="63" t="s">
        <v>180</v>
      </c>
      <c r="P38" s="129" t="s">
        <v>180</v>
      </c>
      <c r="Q38" s="130" t="s">
        <v>181</v>
      </c>
      <c r="R38" s="121" t="s">
        <v>182</v>
      </c>
      <c r="S38" s="131" t="n"/>
      <c r="T38" s="129" t="s">
        <v>180</v>
      </c>
      <c r="U38" s="130" t="s">
        <v>181</v>
      </c>
      <c r="V38" s="121" t="s">
        <v>182</v>
      </c>
      <c r="W38" s="131" t="n"/>
      <c r="X38" s="129" t="s">
        <v>180</v>
      </c>
      <c r="Y38" s="130" t="s">
        <v>181</v>
      </c>
      <c r="Z38" s="121" t="s">
        <v>182</v>
      </c>
      <c r="AA38" s="131" t="n"/>
      <c r="AB38" s="129" t="s">
        <v>180</v>
      </c>
      <c r="AC38" s="130" t="s">
        <v>181</v>
      </c>
      <c r="AD38" s="121" t="s">
        <v>182</v>
      </c>
      <c r="AE38" s="131" t="n"/>
      <c r="AF38" s="129" t="s">
        <v>180</v>
      </c>
      <c r="AG38" s="130" t="s">
        <v>181</v>
      </c>
      <c r="AH38" s="121" t="s">
        <v>182</v>
      </c>
      <c r="AI38" s="121" t="n"/>
      <c r="AJ38" s="116" t="s">
        <v>183</v>
      </c>
      <c r="AK38" s="1376" t="s"/>
      <c r="AN38" s="1207" t="n"/>
      <c r="AO38" s="0" t="str">
        <f aca="false" ca="false" dt2D="false" dtr="false" t="normal">H494&amp;I494&amp;J494&amp;K494&amp;L494</f>
        <v/>
      </c>
      <c r="AP38" s="0" t="str">
        <f aca="false" ca="false" dt2D="false" dtr="false" t="normal">AO38</f>
        <v/>
      </c>
      <c r="AR38" s="0" t="n">
        <f aca="false" ca="false" dt2D="false" dtr="false" t="normal">J137</f>
        <v>0</v>
      </c>
      <c r="AS38" s="1356" t="str">
        <f aca="false" ca="false" dt2D="false" dtr="false" t="normal">IFERROR(VLOOKUP($AR38, $AT$36:$AU$71, 2, FALSE), "")</f>
        <v/>
      </c>
      <c r="AT38" s="1208" t="s">
        <v>837</v>
      </c>
      <c r="AU38" s="1209" t="n">
        <v>2</v>
      </c>
      <c r="AV38" s="1208" t="s">
        <v>837</v>
      </c>
      <c r="BB38" s="0" t="n">
        <v>64</v>
      </c>
      <c r="BC38" s="56" t="s">
        <v>835</v>
      </c>
      <c r="BD38" s="0" t="n">
        <v>49</v>
      </c>
      <c r="BE38" s="0" t="n">
        <f aca="false" ca="false" dt2D="false" dtr="false" t="normal">BE37+11</f>
        <v>648</v>
      </c>
      <c r="BF38" s="56" t="s">
        <v>838</v>
      </c>
      <c r="BG38" s="0" t="n">
        <v>50</v>
      </c>
      <c r="BH38" s="0" t="n">
        <f aca="false" ca="false" dt2D="false" dtr="false" t="normal">BH37+11</f>
        <v>659</v>
      </c>
      <c r="BI38" s="0" t="n">
        <f aca="false" ca="false" dt2D="false" dtr="false" t="normal">BI37+11</f>
        <v>626</v>
      </c>
      <c r="BK38" s="0" t="str">
        <f aca="false" ca="false" dt2D="false" dtr="false" t="normal">"=IF(OR(LEFT(A"&amp;BB38&amp;";7)=""720G4"&amp;BC38&amp;""";LEFT(A"&amp;BB38&amp;";7)=""72004"&amp;BD38&amp;""");RIGHT(D"&amp;BE38&amp;";1)&amp;E"&amp;BE38&amp;"&amp;F"&amp;BE38&amp;"&amp;G"&amp;BE38&amp;"&amp;H"&amp;BE38&amp;"&amp;I"&amp;BE38&amp;"&amp;J"&amp;BE38&amp;"&amp;K"&amp;BE38&amp;"&amp;L"&amp;BE38&amp;"&amp;M"&amp;BE38&amp;";IF(OR(LEFT(A"&amp;BB38&amp;";7)=""720G4"&amp;BF38&amp;""";LEFT(A"&amp;BB38&amp;";7)=""72004"&amp;BG38&amp;""");RIGHT(D"&amp;BH38&amp;";1)&amp;E"&amp;BH38&amp;"&amp;F"&amp;BH38&amp;"&amp;G"&amp;BH38&amp;"&amp;H"&amp;BH38&amp;"&amp;I"&amp;BH38&amp;"&amp;J"&amp;BH38&amp;"&amp;K"&amp;BH38&amp;"&amp;L"&amp;BH38&amp;"&amp;M"&amp;BH38&amp;";RIGHT(D"&amp;BI38&amp;";1)&amp;E"&amp;BI38&amp;"&amp;F"&amp;BI38&amp;"&amp;G"&amp;BI38&amp;"&amp;H"&amp;BI38&amp;"&amp;I"&amp;BI38&amp;"&amp;J"&amp;BI38&amp;"&amp;K"&amp;BI38&amp;"&amp;L"&amp;BI38&amp;"&amp;M"&amp;BI38&amp;"))"</f>
        <v>=IF(OR(LEFT(A64;7)="720G4J1";LEFT(A64;7)="7200449");RIGHT(D648;1)&amp;E648&amp;F648&amp;G648&amp;H648&amp;I648&amp;J648&amp;K648&amp;L648&amp;M648;IF(OR(LEFT(A64;7)="720G4J2";LEFT(A64;7)="7200450");RIGHT(D659;1)&amp;E659&amp;F659&amp;G659&amp;H659&amp;I659&amp;J659&amp;K659&amp;L659&amp;M659;RIGHT(D626;1)&amp;E626&amp;F626&amp;G626&amp;H626&amp;I626&amp;J626&amp;K626&amp;L626&amp;M626))</v>
      </c>
      <c r="BN38" s="0" t="str">
        <f aca="false" ca="false" dt2D="false" dtr="false" t="normal">IF(OR(LEFT(A64, 7)="720G4J1", LEFT(A64, 7)="7200449"), RIGHT(D648, 1)&amp;E648&amp;F648&amp;G648&amp;H648&amp;I648&amp;J648&amp;K648&amp;L648&amp;M648, IF(OR(LEFT(A64, 7)="720G4J2", LEFT(A64, 7)="7200450"), RIGHT(D659, 1)&amp;E659&amp;F659&amp;G659&amp;H659&amp;I659&amp;J659&amp;K659&amp;L659&amp;M659, RIGHT(D626, 1)&amp;E626&amp;F626&amp;G626&amp;H626&amp;I626&amp;J626&amp;K626&amp;L626&amp;M626))</f>
        <v/>
      </c>
    </row>
    <row hidden="false" ht="15" outlineLevel="0" r="39">
      <c r="A39" s="91" t="s">
        <v>839</v>
      </c>
      <c r="B39" s="92" t="str">
        <f aca="false" ca="false" dt2D="false" dtr="false" t="normal">IF(OR(LEFT(A39, 7)="720G4H8", LEFT(A39, 7)="7200424"), RIGHT(D376, 1)&amp;E376&amp;F376&amp;G376&amp;H373&amp;I373&amp;J373&amp;K373&amp;L373&amp;M373, IF(OR(LEFT(A39, 7)="720G4H9", LEFT(A39, 7)="7200425"), RIGHT(D387, 1)&amp;E387&amp;F387&amp;G387&amp;H384&amp;I384&amp;J384&amp;K384&amp;L384&amp;M384, RIGHT(D354, 1)&amp;E354&amp;F354&amp;G354&amp;H351&amp;I351&amp;J351&amp;K351&amp;L351&amp;M351))</f>
        <v>720G4H9000000000050</v>
      </c>
      <c r="C39" s="98" t="s">
        <v>185</v>
      </c>
      <c r="D39" s="53" t="n">
        <f aca="false" ca="false" dt2D="false" dtr="false" t="normal">HEX2BIN(D38, 8)</f>
        <v>111</v>
      </c>
      <c r="E39" s="53" t="n">
        <f aca="false" ca="false" dt2D="false" dtr="false" t="normal">HEX2BIN(E38, 8)</f>
        <v>100000</v>
      </c>
      <c r="F39" s="53" t="n">
        <f aca="false" ca="false" dt2D="false" dtr="false" t="normal">HEX2BIN(F38, 8)</f>
        <v>1</v>
      </c>
      <c r="G39" s="53" t="n">
        <f aca="false" ca="false" dt2D="false" dtr="false" t="normal">HEX2BIN(G38, 8)</f>
        <v>100</v>
      </c>
      <c r="H39" s="53" t="n">
        <f aca="false" ca="false" dt2D="false" dtr="false" t="normal">HEX2BIN(H38, 8)</f>
        <v>0</v>
      </c>
      <c r="I39" s="53" t="n">
        <f aca="false" ca="false" dt2D="false" dtr="false" t="normal">HEX2BIN(I38, 8)</f>
        <v>0</v>
      </c>
      <c r="J39" s="53" t="n">
        <f aca="false" ca="false" dt2D="false" dtr="false" t="normal">HEX2BIN(J38, 8)</f>
        <v>0</v>
      </c>
      <c r="K39" s="53" t="n">
        <f aca="false" ca="false" dt2D="false" dtr="false" t="normal">HEX2BIN(K38, 8)</f>
        <v>0</v>
      </c>
      <c r="L39" s="53" t="n">
        <f aca="false" ca="false" dt2D="false" dtr="false" t="normal">HEX2BIN(L38, 8)</f>
        <v>0</v>
      </c>
      <c r="N39" s="63" t="n"/>
      <c r="P39" s="136" t="n">
        <f aca="false" ca="false" dt2D="false" dtr="false" t="normal">MID(H39, 1, 1)</f>
        <v>0</v>
      </c>
      <c r="Q39" s="137" t="n">
        <f aca="false" ca="false" dt2D="false" dtr="false" t="normal">P39</f>
        <v>0</v>
      </c>
      <c r="R39" s="120" t="s">
        <v>186</v>
      </c>
      <c r="S39" s="131" t="s">
        <v>196</v>
      </c>
      <c r="T39" s="136" t="n">
        <f aca="false" ca="false" dt2D="false" dtr="false" t="normal">MID(I39, 1, 1)</f>
        <v>0</v>
      </c>
      <c r="U39" s="137" t="n">
        <f aca="false" ca="false" dt2D="false" dtr="false" t="normal">T39</f>
        <v>0</v>
      </c>
      <c r="V39" s="120" t="s">
        <v>186</v>
      </c>
      <c r="W39" s="131" t="s">
        <v>196</v>
      </c>
      <c r="X39" s="136" t="n">
        <f aca="false" ca="false" dt2D="false" dtr="false" t="normal">MID(J39, 1, 1)</f>
        <v>0</v>
      </c>
      <c r="Y39" s="137" t="n">
        <f aca="false" ca="false" dt2D="false" dtr="false" t="normal">X39</f>
        <v>0</v>
      </c>
      <c r="Z39" s="120" t="s">
        <v>186</v>
      </c>
      <c r="AA39" s="131" t="s">
        <v>196</v>
      </c>
      <c r="AB39" s="136" t="n">
        <f aca="false" ca="false" dt2D="false" dtr="false" t="normal">MID(K39, 1, 1)</f>
        <v>0</v>
      </c>
      <c r="AC39" s="137" t="n">
        <f aca="false" ca="false" dt2D="false" dtr="false" t="normal">AB39</f>
        <v>0</v>
      </c>
      <c r="AD39" s="120" t="s">
        <v>186</v>
      </c>
      <c r="AE39" s="131" t="s">
        <v>196</v>
      </c>
      <c r="AF39" s="136" t="n">
        <f aca="false" ca="false" dt2D="false" dtr="false" t="normal">MID(L39, 1, 1)</f>
        <v>0</v>
      </c>
      <c r="AG39" s="137" t="n">
        <f aca="false" ca="false" dt2D="false" dtr="false" t="normal">AF39</f>
        <v>0</v>
      </c>
      <c r="AH39" s="120" t="s">
        <v>186</v>
      </c>
      <c r="AI39" s="131" t="s">
        <v>196</v>
      </c>
      <c r="AJ39" s="1377" t="s"/>
      <c r="AK39" s="1378" t="s"/>
      <c r="AN39" s="1207" t="n"/>
      <c r="AO39" s="0" t="str">
        <f aca="false" ca="false" dt2D="false" dtr="false" t="normal">H505&amp;I505&amp;J505&amp;K505&amp;L505</f>
        <v/>
      </c>
      <c r="AP39" s="0" t="str">
        <f aca="false" ca="false" dt2D="false" dtr="false" t="normal">AO39</f>
        <v/>
      </c>
      <c r="AR39" s="0" t="n">
        <f aca="false" ca="false" dt2D="false" dtr="false" t="normal">K137</f>
        <v>0</v>
      </c>
      <c r="AS39" s="1356" t="str">
        <f aca="false" ca="false" dt2D="false" dtr="false" t="normal">IFERROR(VLOOKUP($AR39, $AT$36:$AU$71, 2, FALSE), "")</f>
        <v/>
      </c>
      <c r="AT39" s="1208" t="s">
        <v>840</v>
      </c>
      <c r="AU39" s="1209" t="n">
        <v>3</v>
      </c>
      <c r="AV39" s="1208" t="s">
        <v>840</v>
      </c>
      <c r="BB39" s="0" t="n">
        <v>65</v>
      </c>
      <c r="BC39" s="56" t="s">
        <v>838</v>
      </c>
      <c r="BD39" s="0" t="n">
        <v>50</v>
      </c>
      <c r="BE39" s="0" t="n">
        <f aca="false" ca="false" dt2D="false" dtr="false" t="normal">BE38+11</f>
        <v>659</v>
      </c>
      <c r="BF39" s="56" t="s">
        <v>841</v>
      </c>
      <c r="BG39" s="0" t="n">
        <v>51</v>
      </c>
      <c r="BH39" s="0" t="n">
        <f aca="false" ca="false" dt2D="false" dtr="false" t="normal">BH38+11</f>
        <v>670</v>
      </c>
      <c r="BI39" s="0" t="n">
        <f aca="false" ca="false" dt2D="false" dtr="false" t="normal">BI38+11</f>
        <v>637</v>
      </c>
      <c r="BK39" s="0" t="str">
        <f aca="false" ca="false" dt2D="false" dtr="false" t="normal">"=IF(OR(LEFT(A"&amp;BB39&amp;";7)=""720G4"&amp;BC39&amp;""";LEFT(A"&amp;BB39&amp;";7)=""72004"&amp;BD39&amp;""");RIGHT(D"&amp;BE39&amp;";1)&amp;E"&amp;BE39&amp;"&amp;F"&amp;BE39&amp;"&amp;G"&amp;BE39&amp;"&amp;H"&amp;BE39&amp;"&amp;I"&amp;BE39&amp;"&amp;J"&amp;BE39&amp;"&amp;K"&amp;BE39&amp;"&amp;L"&amp;BE39&amp;"&amp;M"&amp;BE39&amp;";IF(OR(LEFT(A"&amp;BB39&amp;";7)=""720G4"&amp;BF39&amp;""";LEFT(A"&amp;BB39&amp;";7)=""72004"&amp;BG39&amp;""");RIGHT(D"&amp;BH39&amp;";1)&amp;E"&amp;BH39&amp;"&amp;F"&amp;BH39&amp;"&amp;G"&amp;BH39&amp;"&amp;H"&amp;BH39&amp;"&amp;I"&amp;BH39&amp;"&amp;J"&amp;BH39&amp;"&amp;K"&amp;BH39&amp;"&amp;L"&amp;BH39&amp;"&amp;M"&amp;BH39&amp;";RIGHT(D"&amp;BI39&amp;";1)&amp;E"&amp;BI39&amp;"&amp;F"&amp;BI39&amp;"&amp;G"&amp;BI39&amp;"&amp;H"&amp;BI39&amp;"&amp;I"&amp;BI39&amp;"&amp;J"&amp;BI39&amp;"&amp;K"&amp;BI39&amp;"&amp;L"&amp;BI39&amp;"&amp;M"&amp;BI39&amp;"))"</f>
        <v>=IF(OR(LEFT(A65;7)="720G4J2";LEFT(A65;7)="7200450");RIGHT(D659;1)&amp;E659&amp;F659&amp;G659&amp;H659&amp;I659&amp;J659&amp;K659&amp;L659&amp;M659;IF(OR(LEFT(A65;7)="720G4J3";LEFT(A65;7)="7200451");RIGHT(D670;1)&amp;E670&amp;F670&amp;G670&amp;H670&amp;I670&amp;J670&amp;K670&amp;L670&amp;M670;RIGHT(D637;1)&amp;E637&amp;F637&amp;G637&amp;H637&amp;I637&amp;J637&amp;K637&amp;L637&amp;M637))</v>
      </c>
      <c r="BN39" s="0" t="str">
        <f aca="false" ca="false" dt2D="false" dtr="false" t="normal">IF(OR(LEFT(A65, 7)="720G4J2", LEFT(A65, 7)="7200450"), RIGHT(D659, 1)&amp;E659&amp;F659&amp;G659&amp;H659&amp;I659&amp;J659&amp;K659&amp;L659&amp;M659, IF(OR(LEFT(A65, 7)="720G4J3", LEFT(A65, 7)="7200451"), RIGHT(D670, 1)&amp;E670&amp;F670&amp;G670&amp;H670&amp;I670&amp;J670&amp;K670&amp;L670&amp;M670, RIGHT(D637, 1)&amp;E637&amp;F637&amp;G637&amp;H637&amp;I637&amp;J637&amp;K637&amp;L637&amp;M637))</f>
        <v/>
      </c>
    </row>
    <row hidden="false" ht="15" outlineLevel="0" r="40">
      <c r="A40" s="91" t="s">
        <v>842</v>
      </c>
      <c r="B40" s="92" t="str">
        <f aca="false" ca="false" dt2D="false" dtr="false" t="normal">IF(OR(LEFT(A40, 7)="720G4H9", LEFT(A40, 7)="7200425"), RIGHT(D387, 1)&amp;E387&amp;F387&amp;G387&amp;H384&amp;I384&amp;J384&amp;K384&amp;L384&amp;M384, IF(OR(LEFT(A40, 7)="720G4HA", LEFT(A40, 7)="7200426"), RIGHT(D398, 1)&amp;E398&amp;F398&amp;G398&amp;H395&amp;I395&amp;J395&amp;K395&amp;L395&amp;M395, RIGHT(D365, 1)&amp;E365&amp;F365&amp;G365&amp;H362&amp;I362&amp;J362&amp;K362&amp;L362&amp;M362))</f>
        <v>720G4HA000000000051</v>
      </c>
      <c r="C40" s="98" t="s">
        <v>191</v>
      </c>
      <c r="D40" s="53" t="n">
        <f aca="false" ca="false" dt2D="false" dtr="false" t="normal">HEX2DEC(D38)</f>
        <v>7</v>
      </c>
      <c r="E40" s="53" t="n">
        <f aca="false" ca="false" dt2D="false" dtr="false" t="normal">HEX2DEC(E38)</f>
        <v>32</v>
      </c>
      <c r="F40" s="53" t="n">
        <f aca="false" ca="false" dt2D="false" dtr="false" t="normal">HEX2DEC(F38)</f>
        <v>1</v>
      </c>
      <c r="G40" s="53" t="n">
        <f aca="false" ca="false" dt2D="false" dtr="false" t="normal">HEX2DEC(G38)</f>
        <v>4</v>
      </c>
      <c r="H40" s="53" t="n">
        <f aca="false" ca="false" dt2D="false" dtr="false" t="normal">HEX2DEC(H38)</f>
        <v>0</v>
      </c>
      <c r="I40" s="53" t="n">
        <f aca="false" ca="false" dt2D="false" dtr="false" t="normal">HEX2DEC(I38)</f>
        <v>0</v>
      </c>
      <c r="J40" s="53" t="n">
        <f aca="false" ca="false" dt2D="false" dtr="false" t="normal">HEX2DEC(J38)</f>
        <v>0</v>
      </c>
      <c r="K40" s="53" t="n">
        <f aca="false" ca="false" dt2D="false" dtr="false" t="normal">HEX2DEC(K38)</f>
        <v>0</v>
      </c>
      <c r="L40" s="53" t="n">
        <f aca="false" ca="false" dt2D="false" dtr="false" t="normal">HEX2DEC(L38)</f>
        <v>0</v>
      </c>
      <c r="M40" s="53" t="n">
        <f aca="false" ca="false" dt2D="false" dtr="false" t="normal">SUM(D40:L40)</f>
        <v>44</v>
      </c>
      <c r="N40" s="63" t="n"/>
      <c r="P40" s="136" t="n">
        <f aca="false" ca="false" dt2D="false" dtr="false" t="normal">MID(H39, 2, 1)</f>
        <v>0</v>
      </c>
      <c r="Q40" s="137" t="n">
        <f aca="false" ca="false" dt2D="false" dtr="false" t="normal">P40</f>
        <v>0</v>
      </c>
      <c r="R40" s="120" t="s">
        <v>192</v>
      </c>
      <c r="S40" s="131" t="s">
        <v>196</v>
      </c>
      <c r="T40" s="136" t="n">
        <f aca="false" ca="false" dt2D="false" dtr="false" t="normal">MID(I39, 2, 1)</f>
        <v>0</v>
      </c>
      <c r="U40" s="137" t="n">
        <f aca="false" ca="false" dt2D="false" dtr="false" t="normal">T40</f>
        <v>0</v>
      </c>
      <c r="V40" s="120" t="s">
        <v>192</v>
      </c>
      <c r="W40" s="131" t="s">
        <v>196</v>
      </c>
      <c r="X40" s="136" t="n">
        <f aca="false" ca="false" dt2D="false" dtr="false" t="normal">MID(J39, 2, 1)</f>
        <v>0</v>
      </c>
      <c r="Y40" s="137" t="n">
        <f aca="false" ca="false" dt2D="false" dtr="false" t="normal">X40</f>
        <v>0</v>
      </c>
      <c r="Z40" s="120" t="s">
        <v>192</v>
      </c>
      <c r="AA40" s="131" t="s">
        <v>196</v>
      </c>
      <c r="AB40" s="136" t="n">
        <f aca="false" ca="false" dt2D="false" dtr="false" t="normal">MID(K39, 2, 1)</f>
        <v>0</v>
      </c>
      <c r="AC40" s="137" t="n">
        <f aca="false" ca="false" dt2D="false" dtr="false" t="normal">AB40</f>
        <v>0</v>
      </c>
      <c r="AD40" s="120" t="s">
        <v>192</v>
      </c>
      <c r="AE40" s="131" t="s">
        <v>196</v>
      </c>
      <c r="AF40" s="136" t="n">
        <f aca="false" ca="false" dt2D="false" dtr="false" t="normal">MID(L39, 2, 1)</f>
        <v>0</v>
      </c>
      <c r="AG40" s="137" t="n">
        <f aca="false" ca="false" dt2D="false" dtr="false" t="normal">AF40</f>
        <v>0</v>
      </c>
      <c r="AH40" s="120" t="s">
        <v>192</v>
      </c>
      <c r="AI40" s="131" t="s">
        <v>196</v>
      </c>
      <c r="AJ40" s="1379" t="s"/>
      <c r="AK40" s="1380" t="s"/>
      <c r="AN40" s="1207" t="n"/>
      <c r="AO40" s="0" t="str">
        <f aca="false" ca="false" dt2D="false" dtr="false" t="normal">H516&amp;I516&amp;J516&amp;K516&amp;L516</f>
        <v/>
      </c>
      <c r="AP40" s="0" t="str">
        <f aca="false" ca="false" dt2D="false" dtr="false" t="normal">AO40</f>
        <v/>
      </c>
      <c r="AR40" s="0" t="n">
        <f aca="false" ca="false" dt2D="false" dtr="false" t="normal">L137</f>
        <v>0</v>
      </c>
      <c r="AS40" s="1356" t="str">
        <f aca="false" ca="false" dt2D="false" dtr="false" t="normal">IFERROR(VLOOKUP($AR40, $AT$36:$AU$71, 2, FALSE), "")</f>
        <v/>
      </c>
      <c r="AT40" s="1208" t="s">
        <v>843</v>
      </c>
      <c r="AU40" s="1209" t="n">
        <v>4</v>
      </c>
      <c r="AV40" s="1208" t="s">
        <v>843</v>
      </c>
      <c r="BB40" s="0" t="n">
        <v>66</v>
      </c>
      <c r="BC40" s="56" t="s">
        <v>841</v>
      </c>
      <c r="BD40" s="0" t="n">
        <v>51</v>
      </c>
      <c r="BE40" s="0" t="n">
        <f aca="false" ca="false" dt2D="false" dtr="false" t="normal">BE39+11</f>
        <v>670</v>
      </c>
      <c r="BF40" s="56" t="s">
        <v>844</v>
      </c>
      <c r="BG40" s="0" t="n">
        <v>52</v>
      </c>
      <c r="BH40" s="0" t="n">
        <f aca="false" ca="false" dt2D="false" dtr="false" t="normal">BH39+11</f>
        <v>681</v>
      </c>
      <c r="BI40" s="0" t="n">
        <f aca="false" ca="false" dt2D="false" dtr="false" t="normal">BI39+11</f>
        <v>648</v>
      </c>
      <c r="BK40" s="0" t="str">
        <f aca="false" ca="false" dt2D="false" dtr="false" t="normal">"=IF(OR(LEFT(A"&amp;BB40&amp;";7)=""720G4"&amp;BC40&amp;""";LEFT(A"&amp;BB40&amp;";7)=""72004"&amp;BD40&amp;""");RIGHT(D"&amp;BE40&amp;";1)&amp;E"&amp;BE40&amp;"&amp;F"&amp;BE40&amp;"&amp;G"&amp;BE40&amp;"&amp;H"&amp;BE40&amp;"&amp;I"&amp;BE40&amp;"&amp;J"&amp;BE40&amp;"&amp;K"&amp;BE40&amp;"&amp;L"&amp;BE40&amp;"&amp;M"&amp;BE40&amp;";IF(OR(LEFT(A"&amp;BB40&amp;";7)=""720G4"&amp;BF40&amp;""";LEFT(A"&amp;BB40&amp;";7)=""72004"&amp;BG40&amp;""");RIGHT(D"&amp;BH40&amp;";1)&amp;E"&amp;BH40&amp;"&amp;F"&amp;BH40&amp;"&amp;G"&amp;BH40&amp;"&amp;H"&amp;BH40&amp;"&amp;I"&amp;BH40&amp;"&amp;J"&amp;BH40&amp;"&amp;K"&amp;BH40&amp;"&amp;L"&amp;BH40&amp;"&amp;M"&amp;BH40&amp;";RIGHT(D"&amp;BI40&amp;";1)&amp;E"&amp;BI40&amp;"&amp;F"&amp;BI40&amp;"&amp;G"&amp;BI40&amp;"&amp;H"&amp;BI40&amp;"&amp;I"&amp;BI40&amp;"&amp;J"&amp;BI40&amp;"&amp;K"&amp;BI40&amp;"&amp;L"&amp;BI40&amp;"&amp;M"&amp;BI40&amp;"))"</f>
        <v>=IF(OR(LEFT(A66;7)="720G4J3";LEFT(A66;7)="7200451");RIGHT(D670;1)&amp;E670&amp;F670&amp;G670&amp;H670&amp;I670&amp;J670&amp;K670&amp;L670&amp;M670;IF(OR(LEFT(A66;7)="720G4J4";LEFT(A66;7)="7200452");RIGHT(D681;1)&amp;E681&amp;F681&amp;G681&amp;H681&amp;I681&amp;J681&amp;K681&amp;L681&amp;M681;RIGHT(D648;1)&amp;E648&amp;F648&amp;G648&amp;H648&amp;I648&amp;J648&amp;K648&amp;L648&amp;M648))</v>
      </c>
      <c r="BN40" s="0" t="str">
        <f aca="false" ca="false" dt2D="false" dtr="false" t="normal">IF(OR(LEFT(A66, 7)="720G4J3", LEFT(A66, 7)="7200451"), RIGHT(D670, 1)&amp;E670&amp;F670&amp;G670&amp;H670&amp;I670&amp;J670&amp;K670&amp;L670&amp;M670, IF(OR(LEFT(A66, 7)="720G4J4", LEFT(A66, 7)="7200452"), RIGHT(D681, 1)&amp;E681&amp;F681&amp;G681&amp;H681&amp;I681&amp;J681&amp;K681&amp;L681&amp;M681, RIGHT(D648, 1)&amp;E648&amp;F648&amp;G648&amp;H648&amp;I648&amp;J648&amp;K648&amp;L648&amp;M648))</f>
        <v/>
      </c>
    </row>
    <row hidden="false" ht="15" outlineLevel="0" r="41">
      <c r="A41" s="91" t="s">
        <v>845</v>
      </c>
      <c r="B41" s="92" t="str">
        <f aca="false" ca="false" dt2D="false" dtr="false" t="normal">IF(OR(LEFT(A41, 7)="720G4HA", LEFT(A41, 7)="7200426"), RIGHT(D398, 1)&amp;E398&amp;F398&amp;G398&amp;H395&amp;I395&amp;J395&amp;K395&amp;L395&amp;M395, IF(OR(LEFT(A41, 7)="720G4HB", LEFT(A41, 7)="7200427"), RIGHT(D409, 1)&amp;E409&amp;F409&amp;G409&amp;H406&amp;I406&amp;J406&amp;K406&amp;L406&amp;M406, RIGHT(D376, 1)&amp;E376&amp;F376&amp;G376&amp;H373&amp;I373&amp;J373&amp;K373&amp;L373&amp;M373))</f>
        <v>720G4HB000000000052</v>
      </c>
      <c r="C41" s="98" t="s">
        <v>194</v>
      </c>
      <c r="D41" s="149" t="n">
        <f aca="false" ca="false" dt2D="false" dtr="false" t="normal">D38</f>
        <v>7</v>
      </c>
      <c r="E41" s="149" t="n">
        <f aca="false" ca="false" dt2D="false" dtr="false" t="normal">E38</f>
        <v>20</v>
      </c>
      <c r="F41" s="53" t="str">
        <f aca="false" ca="false" dt2D="false" dtr="false" t="normal">MID(INDEX($A$3:$A$70, IF(ISNA(MATCH("720G1G4*", $A$3:$A$70, 0))=TRUE, MATCH("7200104*", $A$3:$A$70, 0), MATCH("720G1G4*", $A$3:$A$70, 0))), $AS$8, 2)</f>
        <v>G1</v>
      </c>
      <c r="G41" s="53" t="str">
        <f aca="false" ca="false" dt2D="false" dtr="false" t="normal">MID(INDEX($A$3:$A$70, IF(ISNA(MATCH("720G1G4*", $A$3:$A$70, 0))=TRUE, MATCH("7200104*", $A$3:$A$70, 0), MATCH("720G1G4*", $A$3:$A$70, 0))), $AT$8, 2)</f>
        <v>G4</v>
      </c>
      <c r="N41" s="63" t="n"/>
      <c r="P41" s="136" t="n">
        <f aca="false" ca="false" dt2D="false" dtr="false" t="normal">MID(H39, 3, 1)</f>
        <v>0</v>
      </c>
      <c r="Q41" s="137" t="n">
        <f aca="false" ca="false" dt2D="false" dtr="false" t="normal">P41</f>
        <v>0</v>
      </c>
      <c r="R41" s="120" t="s">
        <v>195</v>
      </c>
      <c r="S41" s="131" t="s">
        <v>196</v>
      </c>
      <c r="T41" s="136" t="n">
        <f aca="false" ca="false" dt2D="false" dtr="false" t="normal">MID(I39, 3, 1)</f>
        <v>0</v>
      </c>
      <c r="U41" s="137" t="n">
        <f aca="false" ca="false" dt2D="false" dtr="false" t="normal">T41</f>
        <v>0</v>
      </c>
      <c r="V41" s="120" t="s">
        <v>195</v>
      </c>
      <c r="W41" s="131" t="s">
        <v>196</v>
      </c>
      <c r="X41" s="136" t="n">
        <f aca="false" ca="false" dt2D="false" dtr="false" t="normal">MID(J39, 3, 1)</f>
        <v>0</v>
      </c>
      <c r="Y41" s="137" t="n">
        <f aca="false" ca="false" dt2D="false" dtr="false" t="normal">X41</f>
        <v>0</v>
      </c>
      <c r="Z41" s="120" t="s">
        <v>195</v>
      </c>
      <c r="AA41" s="131" t="s">
        <v>196</v>
      </c>
      <c r="AB41" s="136" t="n">
        <f aca="false" ca="false" dt2D="false" dtr="false" t="normal">MID(K39, 3, 1)</f>
        <v>0</v>
      </c>
      <c r="AC41" s="137" t="n">
        <f aca="false" ca="false" dt2D="false" dtr="false" t="normal">AB41</f>
        <v>0</v>
      </c>
      <c r="AD41" s="120" t="s">
        <v>195</v>
      </c>
      <c r="AE41" s="131" t="s">
        <v>196</v>
      </c>
      <c r="AF41" s="136" t="n">
        <f aca="false" ca="false" dt2D="false" dtr="false" t="normal">MID(L39, 3, 1)</f>
        <v>0</v>
      </c>
      <c r="AG41" s="137" t="n">
        <f aca="false" ca="false" dt2D="false" dtr="false" t="normal">AF41</f>
        <v>0</v>
      </c>
      <c r="AH41" s="120" t="s">
        <v>195</v>
      </c>
      <c r="AI41" s="131" t="s">
        <v>196</v>
      </c>
      <c r="AJ41" s="1381" t="s"/>
      <c r="AK41" s="1382" t="s"/>
      <c r="AN41" s="1207" t="n"/>
      <c r="AO41" s="0" t="str">
        <f aca="false" ca="false" dt2D="false" dtr="false" t="normal">H527&amp;I527&amp;J527&amp;K527&amp;L527</f>
        <v/>
      </c>
      <c r="AP41" s="0" t="str">
        <f aca="false" ca="false" dt2D="false" dtr="false" t="normal">AO41</f>
        <v/>
      </c>
      <c r="AR41" s="0" t="n">
        <f aca="false" ca="false" dt2D="false" dtr="false" t="normal">H148</f>
        <v>0</v>
      </c>
      <c r="AS41" s="1356" t="str">
        <f aca="false" ca="false" dt2D="false" dtr="false" t="normal">IFERROR(VLOOKUP($AR41, $AT$36:$AU$71, 2, FALSE), "")</f>
        <v/>
      </c>
      <c r="AT41" s="1208" t="s">
        <v>846</v>
      </c>
      <c r="AU41" s="1209" t="n">
        <v>5</v>
      </c>
      <c r="AV41" s="1208" t="s">
        <v>846</v>
      </c>
      <c r="BB41" s="0" t="n">
        <v>67</v>
      </c>
      <c r="BC41" s="56" t="s">
        <v>844</v>
      </c>
      <c r="BD41" s="0" t="n">
        <v>52</v>
      </c>
      <c r="BE41" s="0" t="n">
        <f aca="false" ca="false" dt2D="false" dtr="false" t="normal">BE40+11</f>
        <v>681</v>
      </c>
      <c r="BF41" s="56" t="s">
        <v>847</v>
      </c>
      <c r="BG41" s="0" t="n">
        <v>53</v>
      </c>
      <c r="BH41" s="0" t="n">
        <f aca="false" ca="false" dt2D="false" dtr="false" t="normal">BH40+11</f>
        <v>692</v>
      </c>
      <c r="BI41" s="0" t="n">
        <f aca="false" ca="false" dt2D="false" dtr="false" t="normal">BI40+11</f>
        <v>659</v>
      </c>
      <c r="BK41" s="0" t="str">
        <f aca="false" ca="false" dt2D="false" dtr="false" t="normal">"=IF(OR(LEFT(A"&amp;BB41&amp;";7)=""720G4"&amp;BC41&amp;""";LEFT(A"&amp;BB41&amp;";7)=""72004"&amp;BD41&amp;""");RIGHT(D"&amp;BE41&amp;";1)&amp;E"&amp;BE41&amp;"&amp;F"&amp;BE41&amp;"&amp;G"&amp;BE41&amp;"&amp;H"&amp;BE41&amp;"&amp;I"&amp;BE41&amp;"&amp;J"&amp;BE41&amp;"&amp;K"&amp;BE41&amp;"&amp;L"&amp;BE41&amp;"&amp;M"&amp;BE41&amp;";IF(OR(LEFT(A"&amp;BB41&amp;";7)=""720G4"&amp;BF41&amp;""";LEFT(A"&amp;BB41&amp;";7)=""72004"&amp;BG41&amp;""");RIGHT(D"&amp;BH41&amp;";1)&amp;E"&amp;BH41&amp;"&amp;F"&amp;BH41&amp;"&amp;G"&amp;BH41&amp;"&amp;H"&amp;BH41&amp;"&amp;I"&amp;BH41&amp;"&amp;J"&amp;BH41&amp;"&amp;K"&amp;BH41&amp;"&amp;L"&amp;BH41&amp;"&amp;M"&amp;BH41&amp;";RIGHT(D"&amp;BI41&amp;";1)&amp;E"&amp;BI41&amp;"&amp;F"&amp;BI41&amp;"&amp;G"&amp;BI41&amp;"&amp;H"&amp;BI41&amp;"&amp;I"&amp;BI41&amp;"&amp;J"&amp;BI41&amp;"&amp;K"&amp;BI41&amp;"&amp;L"&amp;BI41&amp;"&amp;M"&amp;BI41&amp;"))"</f>
        <v>=IF(OR(LEFT(A67;7)="720G4J4";LEFT(A67;7)="7200452");RIGHT(D681;1)&amp;E681&amp;F681&amp;G681&amp;H681&amp;I681&amp;J681&amp;K681&amp;L681&amp;M681;IF(OR(LEFT(A67;7)="720G4J5";LEFT(A67;7)="7200453");RIGHT(D692;1)&amp;E692&amp;F692&amp;G692&amp;H692&amp;I692&amp;J692&amp;K692&amp;L692&amp;M692;RIGHT(D659;1)&amp;E659&amp;F659&amp;G659&amp;H659&amp;I659&amp;J659&amp;K659&amp;L659&amp;M659))</v>
      </c>
      <c r="BN41" s="0" t="str">
        <f aca="false" ca="false" dt2D="false" dtr="false" t="normal">IF(OR(LEFT(A67, 7)="720G4J4", LEFT(A67, 7)="7200452"), RIGHT(D681, 1)&amp;E681&amp;F681&amp;G681&amp;H681&amp;I681&amp;J681&amp;K681&amp;L681&amp;M681, IF(OR(LEFT(A67, 7)="720G4J5", LEFT(A67, 7)="7200453"), RIGHT(D692, 1)&amp;E692&amp;F692&amp;G692&amp;H692&amp;I692&amp;J692&amp;K692&amp;L692&amp;M692, RIGHT(D659, 1)&amp;E659&amp;F659&amp;G659&amp;H659&amp;I659&amp;J659&amp;K659&amp;L659&amp;M659))</f>
        <v/>
      </c>
    </row>
    <row hidden="false" ht="15.75" outlineLevel="0" r="42">
      <c r="A42" s="1202" t="s">
        <v>848</v>
      </c>
      <c r="B42" s="92" t="str">
        <f aca="false" ca="false" dt2D="false" dtr="false" t="normal">IF(OR(LEFT(A42, 7)="720G4HB", LEFT(A42, 7)="7200427"), RIGHT(D409, 1)&amp;E409&amp;F409&amp;G409&amp;H406&amp;I406&amp;J406&amp;K406&amp;L406&amp;M406, IF(OR(LEFT(A42, 7)="720G4HC", LEFT(A42, 7)="7200428"), RIGHT(D420, 1)&amp;E420&amp;F420&amp;G420&amp;H417&amp;I417&amp;J417&amp;K417&amp;L417&amp;M417, RIGHT(D387, 1)&amp;E387&amp;F387&amp;G387&amp;H384&amp;I384&amp;J384&amp;K384&amp;L384&amp;M384))</f>
        <v>720G4HC0053</v>
      </c>
      <c r="C42" s="98" t="n"/>
      <c r="N42" s="63" t="n"/>
      <c r="P42" s="136" t="n">
        <f aca="false" ca="false" dt2D="false" dtr="false" t="normal">MID(H39, 4, 1)</f>
        <v>0</v>
      </c>
      <c r="Q42" s="137" t="n">
        <f aca="false" ca="false" dt2D="false" dtr="false" t="normal">P42</f>
        <v>0</v>
      </c>
      <c r="R42" s="120" t="s">
        <v>197</v>
      </c>
      <c r="S42" s="131" t="s">
        <v>196</v>
      </c>
      <c r="T42" s="136" t="n">
        <f aca="false" ca="false" dt2D="false" dtr="false" t="normal">MID(I39, 4, 1)</f>
        <v>0</v>
      </c>
      <c r="U42" s="137" t="n">
        <f aca="false" ca="false" dt2D="false" dtr="false" t="normal">T42</f>
        <v>0</v>
      </c>
      <c r="V42" s="120" t="s">
        <v>197</v>
      </c>
      <c r="W42" s="131" t="s">
        <v>196</v>
      </c>
      <c r="X42" s="136" t="n">
        <f aca="false" ca="false" dt2D="false" dtr="false" t="normal">MID(J39, 4, 1)</f>
        <v>0</v>
      </c>
      <c r="Y42" s="137" t="n">
        <f aca="false" ca="false" dt2D="false" dtr="false" t="normal">X42</f>
        <v>0</v>
      </c>
      <c r="Z42" s="120" t="s">
        <v>197</v>
      </c>
      <c r="AA42" s="131" t="s">
        <v>196</v>
      </c>
      <c r="AB42" s="136" t="n">
        <f aca="false" ca="false" dt2D="false" dtr="false" t="normal">MID(K39, 4, 1)</f>
        <v>0</v>
      </c>
      <c r="AC42" s="137" t="n">
        <f aca="false" ca="false" dt2D="false" dtr="false" t="normal">AB42</f>
        <v>0</v>
      </c>
      <c r="AD42" s="120" t="s">
        <v>197</v>
      </c>
      <c r="AE42" s="131" t="s">
        <v>196</v>
      </c>
      <c r="AF42" s="136" t="n">
        <f aca="false" ca="false" dt2D="false" dtr="false" t="normal">MID(L39, 4, 1)</f>
        <v>0</v>
      </c>
      <c r="AG42" s="137" t="n">
        <f aca="false" ca="false" dt2D="false" dtr="false" t="normal">AF42</f>
        <v>0</v>
      </c>
      <c r="AH42" s="120" t="s">
        <v>197</v>
      </c>
      <c r="AI42" s="131" t="s">
        <v>196</v>
      </c>
      <c r="AJ42" s="1383" t="s"/>
      <c r="AK42" s="1384" t="s"/>
      <c r="AN42" s="1207" t="n"/>
      <c r="AO42" s="0" t="str">
        <f aca="false" ca="false" dt2D="false" dtr="false" t="normal">H538&amp;I538&amp;J538&amp;K538&amp;L538</f>
        <v/>
      </c>
      <c r="AP42" s="0" t="str">
        <f aca="false" ca="false" dt2D="false" dtr="false" t="normal">AO42</f>
        <v/>
      </c>
      <c r="AR42" s="0" t="n">
        <f aca="false" ca="false" dt2D="false" dtr="false" t="normal">K148</f>
        <v>0</v>
      </c>
      <c r="AS42" s="1356" t="str">
        <f aca="false" ca="false" dt2D="false" dtr="false" t="normal">IFERROR(VLOOKUP($AR42, $AT$36:$AU$71, 2, FALSE), "")</f>
        <v/>
      </c>
      <c r="AT42" s="1208" t="s">
        <v>849</v>
      </c>
      <c r="AU42" s="1209" t="n">
        <v>6</v>
      </c>
      <c r="AV42" s="1208" t="s">
        <v>849</v>
      </c>
      <c r="BB42" s="0" t="n">
        <v>68</v>
      </c>
      <c r="BC42" s="56" t="s">
        <v>847</v>
      </c>
      <c r="BD42" s="0" t="n">
        <v>53</v>
      </c>
      <c r="BE42" s="0" t="n">
        <f aca="false" ca="false" dt2D="false" dtr="false" t="normal">BE41+11</f>
        <v>692</v>
      </c>
      <c r="BF42" s="56" t="s">
        <v>850</v>
      </c>
      <c r="BG42" s="0" t="n">
        <v>54</v>
      </c>
      <c r="BH42" s="0" t="n">
        <f aca="false" ca="false" dt2D="false" dtr="false" t="normal">BH41+11</f>
        <v>703</v>
      </c>
      <c r="BI42" s="0" t="n">
        <f aca="false" ca="false" dt2D="false" dtr="false" t="normal">BI41+11</f>
        <v>670</v>
      </c>
      <c r="BK42" s="0" t="str">
        <f aca="false" ca="false" dt2D="false" dtr="false" t="normal">"=IF(OR(LEFT(A"&amp;BB42&amp;";7)=""720G4"&amp;BC42&amp;""";LEFT(A"&amp;BB42&amp;";7)=""72004"&amp;BD42&amp;""");RIGHT(D"&amp;BE42&amp;";1)&amp;E"&amp;BE42&amp;"&amp;F"&amp;BE42&amp;"&amp;G"&amp;BE42&amp;"&amp;H"&amp;BE42&amp;"&amp;I"&amp;BE42&amp;"&amp;J"&amp;BE42&amp;"&amp;K"&amp;BE42&amp;"&amp;L"&amp;BE42&amp;"&amp;M"&amp;BE42&amp;";IF(OR(LEFT(A"&amp;BB42&amp;";7)=""720G4"&amp;BF42&amp;""";LEFT(A"&amp;BB42&amp;";7)=""72004"&amp;BG42&amp;""");RIGHT(D"&amp;BH42&amp;";1)&amp;E"&amp;BH42&amp;"&amp;F"&amp;BH42&amp;"&amp;G"&amp;BH42&amp;"&amp;H"&amp;BH42&amp;"&amp;I"&amp;BH42&amp;"&amp;J"&amp;BH42&amp;"&amp;K"&amp;BH42&amp;"&amp;L"&amp;BH42&amp;"&amp;M"&amp;BH42&amp;";RIGHT(D"&amp;BI42&amp;";1)&amp;E"&amp;BI42&amp;"&amp;F"&amp;BI42&amp;"&amp;G"&amp;BI42&amp;"&amp;H"&amp;BI42&amp;"&amp;I"&amp;BI42&amp;"&amp;J"&amp;BI42&amp;"&amp;K"&amp;BI42&amp;"&amp;L"&amp;BI42&amp;"&amp;M"&amp;BI42&amp;"))"</f>
        <v>=IF(OR(LEFT(A68;7)="720G4J5";LEFT(A68;7)="7200453");RIGHT(D692;1)&amp;E692&amp;F692&amp;G692&amp;H692&amp;I692&amp;J692&amp;K692&amp;L692&amp;M692;IF(OR(LEFT(A68;7)="720G4J6";LEFT(A68;7)="7200454");RIGHT(D703;1)&amp;E703&amp;F703&amp;G703&amp;H703&amp;I703&amp;J703&amp;K703&amp;L703&amp;M703;RIGHT(D670;1)&amp;E670&amp;F670&amp;G670&amp;H670&amp;I670&amp;J670&amp;K670&amp;L670&amp;M670))</v>
      </c>
      <c r="BN42" s="0" t="str">
        <f aca="false" ca="false" dt2D="false" dtr="false" t="normal">IF(OR(LEFT(A68, 7)="720G4J5", LEFT(A68, 7)="7200453"), RIGHT(D692, 1)&amp;E692&amp;F692&amp;G692&amp;H692&amp;I692&amp;J692&amp;K692&amp;L692&amp;M692, IF(OR(LEFT(A68, 7)="720G4J6", LEFT(A68, 7)="7200454"), RIGHT(D703, 1)&amp;E703&amp;F703&amp;G703&amp;H703&amp;I703&amp;J703&amp;K703&amp;L703&amp;M703, RIGHT(D670, 1)&amp;E670&amp;F670&amp;G670&amp;H670&amp;I670&amp;J670&amp;K670&amp;L670&amp;M670))</f>
        <v/>
      </c>
    </row>
    <row hidden="false" ht="15.75" outlineLevel="0" r="43">
      <c r="A43" s="91" t="n"/>
      <c r="B43" s="92" t="str">
        <f aca="false" ca="false" dt2D="false" dtr="false" t="normal">IF(OR(LEFT(A43, 7)="720G4HC", LEFT(A43, 7)="7200428"), RIGHT(D420, 1)&amp;E420&amp;F420&amp;G420&amp;H417&amp;I417&amp;J417&amp;K417&amp;L417&amp;M417, IF(OR(LEFT(A43, 7)="720G4HD", LEFT(A43, 7)="7200429"), RIGHT(D431, 1)&amp;E431&amp;F431&amp;G431&amp;H428&amp;I428&amp;J428&amp;K428&amp;L428&amp;M428, IF(A44="", "", RIGHT(D398, 1)&amp;E398&amp;F398&amp;G398&amp;H395&amp;I395&amp;J395&amp;K395&amp;L395&amp;M395)))</f>
        <v/>
      </c>
      <c r="C43" s="98" t="s">
        <v>176</v>
      </c>
      <c r="D43" s="159" t="n">
        <f aca="false" ca="false" dt2D="false" dtr="false" t="normal">D38</f>
        <v>7</v>
      </c>
      <c r="E43" s="160" t="n">
        <f aca="false" ca="false" dt2D="false" dtr="false" t="normal">E38</f>
        <v>20</v>
      </c>
      <c r="F43" s="160" t="n">
        <f aca="false" ca="false" dt2D="false" dtr="false" t="normal">F38</f>
        <v>1</v>
      </c>
      <c r="G43" s="161" t="n">
        <f aca="false" ca="false" dt2D="false" dtr="false" t="normal">G38</f>
        <v>4</v>
      </c>
      <c r="H43" s="162" t="n">
        <f aca="false" ca="false" dt2D="false" dtr="false" t="normal">BIN2HEX(H44, 2)</f>
        <v>0</v>
      </c>
      <c r="I43" s="163" t="n">
        <f aca="false" ca="false" dt2D="false" dtr="false" t="normal">BIN2HEX(I44, 2)</f>
        <v>0</v>
      </c>
      <c r="J43" s="164" t="n">
        <f aca="false" ca="false" dt2D="false" dtr="false" t="normal">BIN2HEX(J44, 2)</f>
        <v>0</v>
      </c>
      <c r="K43" s="165" t="n">
        <f aca="false" ca="false" dt2D="false" dtr="false" t="normal">BIN2HEX(K44, 2)</f>
        <v>0</v>
      </c>
      <c r="L43" s="288" t="n">
        <f aca="false" ca="false" dt2D="false" dtr="false" t="normal">BIN2HEX(L44, 2)</f>
        <v>0</v>
      </c>
      <c r="M43" s="166" t="str">
        <f aca="false" ca="false" dt2D="false" dtr="false" t="normal">IF(LEN(M44)&gt;2, MID(M44, 2, 2), M44)</f>
        <v>2C</v>
      </c>
      <c r="N43" s="63" t="s">
        <v>181</v>
      </c>
      <c r="P43" s="136" t="n">
        <f aca="false" ca="false" dt2D="false" dtr="false" t="normal">MID(H39, 5, 1)</f>
        <v>0</v>
      </c>
      <c r="Q43" s="137" t="n">
        <f aca="false" ca="false" dt2D="false" dtr="false" t="normal">P43</f>
        <v>0</v>
      </c>
      <c r="R43" s="120" t="s">
        <v>200</v>
      </c>
      <c r="S43" s="131" t="s">
        <v>196</v>
      </c>
      <c r="T43" s="136" t="n">
        <f aca="false" ca="false" dt2D="false" dtr="false" t="normal">MID(I39, 5, 1)</f>
        <v>0</v>
      </c>
      <c r="U43" s="137" t="n">
        <f aca="false" ca="false" dt2D="false" dtr="false" t="normal">T43</f>
        <v>0</v>
      </c>
      <c r="V43" s="120" t="s">
        <v>200</v>
      </c>
      <c r="W43" s="131" t="s">
        <v>196</v>
      </c>
      <c r="X43" s="136" t="n">
        <f aca="false" ca="false" dt2D="false" dtr="false" t="normal">MID(J39, 5, 1)</f>
        <v>0</v>
      </c>
      <c r="Y43" s="137" t="n">
        <f aca="false" ca="false" dt2D="false" dtr="false" t="normal">X43</f>
        <v>0</v>
      </c>
      <c r="Z43" s="120" t="s">
        <v>200</v>
      </c>
      <c r="AA43" s="131" t="s">
        <v>196</v>
      </c>
      <c r="AB43" s="136" t="n">
        <f aca="false" ca="false" dt2D="false" dtr="false" t="normal">MID(K39, 5, 1)</f>
        <v>0</v>
      </c>
      <c r="AC43" s="137" t="n">
        <f aca="false" ca="false" dt2D="false" dtr="false" t="normal">AB43</f>
        <v>0</v>
      </c>
      <c r="AD43" s="120" t="s">
        <v>200</v>
      </c>
      <c r="AE43" s="131" t="s">
        <v>196</v>
      </c>
      <c r="AF43" s="136" t="n">
        <f aca="false" ca="false" dt2D="false" dtr="false" t="normal">MID(L39, 5, 1)</f>
        <v>0</v>
      </c>
      <c r="AG43" s="137" t="n">
        <f aca="false" ca="false" dt2D="false" dtr="false" t="normal">AF43</f>
        <v>0</v>
      </c>
      <c r="AH43" s="120" t="s">
        <v>200</v>
      </c>
      <c r="AI43" s="131" t="s">
        <v>196</v>
      </c>
      <c r="AJ43" s="1385" t="s"/>
      <c r="AK43" s="1386" t="s"/>
      <c r="AN43" s="1207" t="n"/>
      <c r="AO43" s="0" t="str">
        <f aca="false" ca="false" dt2D="false" dtr="false" t="normal">H549&amp;I549&amp;J549&amp;K549&amp;L549</f>
        <v/>
      </c>
      <c r="AP43" s="0" t="str">
        <f aca="false" ca="false" dt2D="false" dtr="false" t="normal">AO43</f>
        <v/>
      </c>
      <c r="AR43" s="0" t="n">
        <f aca="false" ca="false" dt2D="false" dtr="false" t="normal">L148</f>
        <v>0</v>
      </c>
      <c r="AS43" s="1356" t="str">
        <f aca="false" ca="false" dt2D="false" dtr="false" t="normal">IFERROR(VLOOKUP($AR43, $AT$36:$AU$71, 2, FALSE), "")</f>
        <v/>
      </c>
      <c r="AT43" s="1208" t="s">
        <v>851</v>
      </c>
      <c r="AU43" s="1209" t="n">
        <v>7</v>
      </c>
      <c r="AV43" s="1208" t="s">
        <v>851</v>
      </c>
      <c r="BB43" s="0" t="n">
        <v>69</v>
      </c>
      <c r="BC43" s="56" t="s">
        <v>850</v>
      </c>
      <c r="BD43" s="0" t="n">
        <v>54</v>
      </c>
      <c r="BE43" s="0" t="n">
        <f aca="false" ca="false" dt2D="false" dtr="false" t="normal">BE42+11</f>
        <v>703</v>
      </c>
      <c r="BF43" s="56" t="s">
        <v>852</v>
      </c>
      <c r="BG43" s="0" t="n">
        <v>55</v>
      </c>
      <c r="BH43" s="0" t="n">
        <f aca="false" ca="false" dt2D="false" dtr="false" t="normal">BH42+11</f>
        <v>714</v>
      </c>
      <c r="BI43" s="0" t="n">
        <f aca="false" ca="false" dt2D="false" dtr="false" t="normal">BI42+11</f>
        <v>681</v>
      </c>
      <c r="BK43" s="0" t="str">
        <f aca="false" ca="false" dt2D="false" dtr="false" t="normal">"=IF(OR(LEFT(A"&amp;BB43&amp;";7)=""720G4"&amp;BC43&amp;""";LEFT(A"&amp;BB43&amp;";7)=""72004"&amp;BD43&amp;""");RIGHT(D"&amp;BE43&amp;";1)&amp;E"&amp;BE43&amp;"&amp;F"&amp;BE43&amp;"&amp;G"&amp;BE43&amp;"&amp;H"&amp;BE43&amp;"&amp;I"&amp;BE43&amp;"&amp;J"&amp;BE43&amp;"&amp;K"&amp;BE43&amp;"&amp;L"&amp;BE43&amp;"&amp;M"&amp;BE43&amp;";IF(OR(LEFT(A"&amp;BB43&amp;";7)=""720G4"&amp;BF43&amp;""";LEFT(A"&amp;BB43&amp;";7)=""72004"&amp;BG43&amp;""");RIGHT(D"&amp;BH43&amp;";1)&amp;E"&amp;BH43&amp;"&amp;F"&amp;BH43&amp;"&amp;G"&amp;BH43&amp;"&amp;H"&amp;BH43&amp;"&amp;I"&amp;BH43&amp;"&amp;J"&amp;BH43&amp;"&amp;K"&amp;BH43&amp;"&amp;L"&amp;BH43&amp;"&amp;M"&amp;BH43&amp;";RIGHT(D"&amp;BI43&amp;";1)&amp;E"&amp;BI43&amp;"&amp;F"&amp;BI43&amp;"&amp;G"&amp;BI43&amp;"&amp;H"&amp;BI43&amp;"&amp;I"&amp;BI43&amp;"&amp;J"&amp;BI43&amp;"&amp;K"&amp;BI43&amp;"&amp;L"&amp;BI43&amp;"&amp;M"&amp;BI43&amp;"))"</f>
        <v>=IF(OR(LEFT(A69;7)="720G4J6";LEFT(A69;7)="7200454");RIGHT(D703;1)&amp;E703&amp;F703&amp;G703&amp;H703&amp;I703&amp;J703&amp;K703&amp;L703&amp;M703;IF(OR(LEFT(A69;7)="720G4J7";LEFT(A69;7)="7200455");RIGHT(D714;1)&amp;E714&amp;F714&amp;G714&amp;H714&amp;I714&amp;J714&amp;K714&amp;L714&amp;M714;RIGHT(D681;1)&amp;E681&amp;F681&amp;G681&amp;H681&amp;I681&amp;J681&amp;K681&amp;L681&amp;M681))</v>
      </c>
      <c r="BN43" s="0" t="str">
        <f aca="false" ca="false" dt2D="false" dtr="false" t="normal">IF(OR(LEFT(A69, 7)="720G4J6", LEFT(A69, 7)="7200454"), RIGHT(D703, 1)&amp;E703&amp;F703&amp;G703&amp;H703&amp;I703&amp;J703&amp;K703&amp;L703&amp;M703, IF(OR(LEFT(A69, 7)="720G4J7", LEFT(A69, 7)="7200455"), RIGHT(D714, 1)&amp;E714&amp;F714&amp;G714&amp;H714&amp;I714&amp;J714&amp;K714&amp;L714&amp;M714, RIGHT(D681, 1)&amp;E681&amp;F681&amp;G681&amp;H681&amp;I681&amp;J681&amp;K681&amp;L681&amp;M681))</f>
        <v/>
      </c>
    </row>
    <row hidden="false" ht="15" outlineLevel="0" r="44">
      <c r="A44" s="91" t="n"/>
      <c r="B44" s="92" t="str">
        <f aca="false" ca="false" dt2D="false" dtr="false" t="normal">IF(OR(LEFT(A44, 7)="720G4HD", LEFT(A44, 7)="7200429"), RIGHT(D431, 1)&amp;E431&amp;F431&amp;G431&amp;H428&amp;I428&amp;J428&amp;K428&amp;L428&amp;M428, IF(OR(LEFT(A44, 7)="720G4HE", LEFT(A44, 7)="7200430"), RIGHT(D442, 1)&amp;E442&amp;F442&amp;G442&amp;H439&amp;I439&amp;J439&amp;K439&amp;L439&amp;M439, IF(A44="", "", RIGHT(D409, 1)&amp;E409&amp;F409&amp;G409&amp;H406&amp;I406&amp;J406&amp;K406&amp;L406&amp;M406)))</f>
        <v/>
      </c>
      <c r="C44" s="98" t="s">
        <v>185</v>
      </c>
      <c r="D44" s="53" t="n">
        <f aca="false" ca="false" dt2D="false" dtr="false" t="normal">HEX2BIN(D43, 8)</f>
        <v>111</v>
      </c>
      <c r="E44" s="53" t="n">
        <f aca="false" ca="false" dt2D="false" dtr="false" t="normal">HEX2BIN(E43, 8)</f>
        <v>100000</v>
      </c>
      <c r="F44" s="53" t="n">
        <f aca="false" ca="false" dt2D="false" dtr="false" t="normal">HEX2BIN(F43, 8)</f>
        <v>1</v>
      </c>
      <c r="G44" s="53" t="n">
        <f aca="false" ca="false" dt2D="false" dtr="false" t="normal">HEX2BIN(G43, 8)</f>
        <v>100</v>
      </c>
      <c r="H44" s="171" t="n">
        <f aca="false" ca="false" dt2D="false" dtr="false" t="normal">Q39&amp;Q40&amp;Q41&amp;Q42&amp;Q43&amp;Q44&amp;Q45&amp;Q46</f>
        <v>0</v>
      </c>
      <c r="I44" s="53" t="n">
        <f aca="false" ca="false" dt2D="false" dtr="false" t="normal">U39&amp;U40&amp;U41&amp;U42&amp;U43&amp;U44&amp;U45&amp;U46</f>
        <v>0</v>
      </c>
      <c r="J44" s="171" t="n">
        <f aca="false" ca="false" dt2D="false" dtr="false" t="normal">Y39&amp;Y40&amp;Y41&amp;Y42&amp;Y43&amp;Y44&amp;Y45&amp;Y46</f>
        <v>0</v>
      </c>
      <c r="K44" s="171" t="n">
        <f aca="false" ca="false" dt2D="false" dtr="false" t="normal">AC39&amp;AC40&amp;AC41&amp;AC42&amp;AC43&amp;AC44&amp;AC45&amp;AC46</f>
        <v>0</v>
      </c>
      <c r="L44" s="53" t="n">
        <f aca="false" ca="false" dt2D="false" dtr="false" t="normal">AG39&amp;AG40&amp;AG41&amp;AG42&amp;AG43&amp;AG44&amp;AG45&amp;AG46</f>
        <v>0</v>
      </c>
      <c r="M44" s="53" t="str">
        <f aca="false" ca="false" dt2D="false" dtr="false" t="normal">DEC2HEX(M45)</f>
        <v>2C</v>
      </c>
      <c r="N44" s="63" t="n"/>
      <c r="P44" s="136" t="n">
        <f aca="false" ca="false" dt2D="false" dtr="false" t="normal">MID(H39, 6, 1)</f>
        <v>0</v>
      </c>
      <c r="Q44" s="137" t="n">
        <f aca="false" ca="false" dt2D="false" dtr="false" t="normal">P44</f>
        <v>0</v>
      </c>
      <c r="R44" s="120" t="s">
        <v>203</v>
      </c>
      <c r="S44" s="131" t="s">
        <v>196</v>
      </c>
      <c r="T44" s="136" t="n">
        <f aca="false" ca="false" dt2D="false" dtr="false" t="normal">MID(I39, 6, 1)</f>
        <v>0</v>
      </c>
      <c r="U44" s="137" t="n">
        <f aca="false" ca="false" dt2D="false" dtr="false" t="normal">T44</f>
        <v>0</v>
      </c>
      <c r="V44" s="120" t="s">
        <v>203</v>
      </c>
      <c r="W44" s="131" t="s">
        <v>196</v>
      </c>
      <c r="X44" s="136" t="n">
        <f aca="false" ca="false" dt2D="false" dtr="false" t="normal">MID(J39, 6, 1)</f>
        <v>0</v>
      </c>
      <c r="Y44" s="137" t="n">
        <f aca="false" ca="false" dt2D="false" dtr="false" t="normal">X44</f>
        <v>0</v>
      </c>
      <c r="Z44" s="120" t="s">
        <v>203</v>
      </c>
      <c r="AA44" s="131" t="s">
        <v>196</v>
      </c>
      <c r="AB44" s="136" t="n">
        <f aca="false" ca="false" dt2D="false" dtr="false" t="normal">MID(K39, 6, 1)</f>
        <v>0</v>
      </c>
      <c r="AC44" s="137" t="n">
        <f aca="false" ca="false" dt2D="false" dtr="false" t="normal">AB44</f>
        <v>0</v>
      </c>
      <c r="AD44" s="120" t="s">
        <v>203</v>
      </c>
      <c r="AE44" s="131" t="s">
        <v>196</v>
      </c>
      <c r="AF44" s="136" t="n">
        <f aca="false" ca="false" dt2D="false" dtr="false" t="normal">MID(L39, 6, 1)</f>
        <v>0</v>
      </c>
      <c r="AG44" s="137" t="n">
        <f aca="false" ca="false" dt2D="false" dtr="false" t="normal">AF44</f>
        <v>0</v>
      </c>
      <c r="AH44" s="120" t="s">
        <v>203</v>
      </c>
      <c r="AI44" s="131" t="s">
        <v>196</v>
      </c>
      <c r="AJ44" s="1387" t="s"/>
      <c r="AK44" s="1388" t="s"/>
      <c r="AN44" s="1207" t="n"/>
      <c r="AO44" s="0" t="str">
        <f aca="false" ca="false" dt2D="false" dtr="false" t="normal">H560&amp;I560&amp;J560&amp;K560&amp;L560</f>
        <v/>
      </c>
      <c r="AP44" s="0" t="str">
        <f aca="false" ca="false" dt2D="false" dtr="false" t="normal">AO44</f>
        <v/>
      </c>
      <c r="AR44" s="0" t="n">
        <f aca="false" ca="false" dt2D="false" dtr="false" t="normal">H159</f>
        <v>0</v>
      </c>
      <c r="AS44" s="1356" t="str">
        <f aca="false" ca="false" dt2D="false" dtr="false" t="normal">IFERROR(VLOOKUP($AR44, $AT$36:$AU$71, 2, FALSE), "")</f>
        <v/>
      </c>
      <c r="AT44" s="1208" t="s">
        <v>853</v>
      </c>
      <c r="AU44" s="1209" t="n">
        <v>8</v>
      </c>
      <c r="AV44" s="1208" t="s">
        <v>853</v>
      </c>
      <c r="BB44" s="0" t="n">
        <v>70</v>
      </c>
      <c r="BC44" s="56" t="s">
        <v>852</v>
      </c>
      <c r="BD44" s="0" t="n">
        <v>55</v>
      </c>
      <c r="BE44" s="0" t="n">
        <f aca="false" ca="false" dt2D="false" dtr="false" t="normal">BE43+11</f>
        <v>714</v>
      </c>
      <c r="BF44" s="56" t="s">
        <v>854</v>
      </c>
      <c r="BG44" s="0" t="n">
        <v>56</v>
      </c>
      <c r="BH44" s="0" t="n">
        <f aca="false" ca="false" dt2D="false" dtr="false" t="normal">BH43+11</f>
        <v>725</v>
      </c>
      <c r="BI44" s="0" t="n">
        <f aca="false" ca="false" dt2D="false" dtr="false" t="normal">BI43+11</f>
        <v>692</v>
      </c>
      <c r="BK44" s="0" t="str">
        <f aca="false" ca="false" dt2D="false" dtr="false" t="normal">"=IF(OR(LEFT(A"&amp;BB44&amp;";7)=""720G4"&amp;BC44&amp;""";LEFT(A"&amp;BB44&amp;";7)=""72004"&amp;BD44&amp;""");RIGHT(D"&amp;BE44&amp;";1)&amp;E"&amp;BE44&amp;"&amp;F"&amp;BE44&amp;"&amp;G"&amp;BE44&amp;"&amp;H"&amp;BE44&amp;"&amp;I"&amp;BE44&amp;"&amp;J"&amp;BE44&amp;"&amp;K"&amp;BE44&amp;"&amp;L"&amp;BE44&amp;"&amp;M"&amp;BE44&amp;";IF(OR(LEFT(A"&amp;BB44&amp;";7)=""720G4"&amp;BF44&amp;""";LEFT(A"&amp;BB44&amp;";7)=""72004"&amp;BG44&amp;""");RIGHT(D"&amp;BH44&amp;";1)&amp;E"&amp;BH44&amp;"&amp;F"&amp;BH44&amp;"&amp;G"&amp;BH44&amp;"&amp;H"&amp;BH44&amp;"&amp;I"&amp;BH44&amp;"&amp;J"&amp;BH44&amp;"&amp;K"&amp;BH44&amp;"&amp;L"&amp;BH44&amp;"&amp;M"&amp;BH44&amp;";RIGHT(D"&amp;BI44&amp;";1)&amp;E"&amp;BI44&amp;"&amp;F"&amp;BI44&amp;"&amp;G"&amp;BI44&amp;"&amp;H"&amp;BI44&amp;"&amp;I"&amp;BI44&amp;"&amp;J"&amp;BI44&amp;"&amp;K"&amp;BI44&amp;"&amp;L"&amp;BI44&amp;"&amp;M"&amp;BI44&amp;"))"</f>
        <v>=IF(OR(LEFT(A70;7)="720G4J7";LEFT(A70;7)="7200455");RIGHT(D714;1)&amp;E714&amp;F714&amp;G714&amp;H714&amp;I714&amp;J714&amp;K714&amp;L714&amp;M714;IF(OR(LEFT(A70;7)="720G4J8";LEFT(A70;7)="7200456");RIGHT(D725;1)&amp;E725&amp;F725&amp;G725&amp;H725&amp;I725&amp;J725&amp;K725&amp;L725&amp;M725;RIGHT(D692;1)&amp;E692&amp;F692&amp;G692&amp;H692&amp;I692&amp;J692&amp;K692&amp;L692&amp;M692))</v>
      </c>
    </row>
    <row hidden="false" ht="15" outlineLevel="0" r="45">
      <c r="A45" s="91" t="n"/>
      <c r="B45" s="92" t="str">
        <f aca="false" ca="false" dt2D="false" dtr="false" t="normal">IF(OR(LEFT(A45, 7)="720G4HE", LEFT(A45, 7)="7200430"), RIGHT(D442, 1)&amp;E442&amp;F442&amp;G442&amp;H439&amp;I439&amp;J439&amp;K439&amp;L439&amp;M439, IF(OR(LEFT(A45, 7)="720G4HF", LEFT(A45, 7)="7200431"), RIGHT(D453, 1)&amp;E453&amp;F453&amp;G453&amp;H450&amp;I450&amp;J450&amp;K450&amp;L450&amp;M450, IF(A45="", "", RIGHT(D420, 1)&amp;E420&amp;F420&amp;G420&amp;H417&amp;I417&amp;J417&amp;K417&amp;L417&amp;M417)))</f>
        <v/>
      </c>
      <c r="C45" s="98" t="s">
        <v>191</v>
      </c>
      <c r="D45" s="53" t="n">
        <f aca="false" ca="false" dt2D="false" dtr="false" t="normal">HEX2DEC(D43)</f>
        <v>7</v>
      </c>
      <c r="E45" s="53" t="n">
        <f aca="false" ca="false" dt2D="false" dtr="false" t="normal">HEX2DEC(E43)</f>
        <v>32</v>
      </c>
      <c r="F45" s="53" t="n">
        <f aca="false" ca="false" dt2D="false" dtr="false" t="normal">HEX2DEC(F43)</f>
        <v>1</v>
      </c>
      <c r="G45" s="53" t="n">
        <f aca="false" ca="false" dt2D="false" dtr="false" t="normal">HEX2DEC(G43)</f>
        <v>4</v>
      </c>
      <c r="H45" s="53" t="n">
        <f aca="false" ca="false" dt2D="false" dtr="false" t="normal">HEX2DEC(H43)</f>
        <v>0</v>
      </c>
      <c r="I45" s="53" t="n">
        <f aca="false" ca="false" dt2D="false" dtr="false" t="normal">HEX2DEC(I43)</f>
        <v>0</v>
      </c>
      <c r="J45" s="53" t="n">
        <f aca="false" ca="false" dt2D="false" dtr="false" t="normal">HEX2DEC(J43)</f>
        <v>0</v>
      </c>
      <c r="K45" s="53" t="n">
        <f aca="false" ca="false" dt2D="false" dtr="false" t="normal">HEX2DEC(K43)</f>
        <v>0</v>
      </c>
      <c r="L45" s="53" t="n">
        <f aca="false" ca="false" dt2D="false" dtr="false" t="normal">HEX2DEC(L43)</f>
        <v>0</v>
      </c>
      <c r="M45" s="53" t="n">
        <f aca="false" ca="false" dt2D="false" dtr="false" t="normal">SUM(D45:L45)</f>
        <v>44</v>
      </c>
      <c r="N45" s="63" t="n"/>
      <c r="P45" s="136" t="n">
        <f aca="false" ca="false" dt2D="false" dtr="false" t="normal">MID(H39, 7, 1)</f>
        <v>0</v>
      </c>
      <c r="Q45" s="137" t="n">
        <f aca="false" ca="false" dt2D="false" dtr="false" t="normal">P45</f>
        <v>0</v>
      </c>
      <c r="R45" s="120" t="s">
        <v>206</v>
      </c>
      <c r="S45" s="131" t="s">
        <v>196</v>
      </c>
      <c r="T45" s="136" t="n">
        <f aca="false" ca="false" dt2D="false" dtr="false" t="normal">MID(I39, 7, 1)</f>
        <v>0</v>
      </c>
      <c r="U45" s="137" t="n">
        <f aca="false" ca="false" dt2D="false" dtr="false" t="normal">T45</f>
        <v>0</v>
      </c>
      <c r="V45" s="120" t="s">
        <v>206</v>
      </c>
      <c r="W45" s="131" t="s">
        <v>196</v>
      </c>
      <c r="X45" s="136" t="n">
        <f aca="false" ca="false" dt2D="false" dtr="false" t="normal">MID(J39, 7, 1)</f>
        <v>0</v>
      </c>
      <c r="Y45" s="137" t="n">
        <f aca="false" ca="false" dt2D="false" dtr="false" t="normal">X45</f>
        <v>0</v>
      </c>
      <c r="Z45" s="120" t="s">
        <v>206</v>
      </c>
      <c r="AA45" s="131" t="s">
        <v>196</v>
      </c>
      <c r="AB45" s="136" t="n">
        <f aca="false" ca="false" dt2D="false" dtr="false" t="normal">MID(K39, 7, 1)</f>
        <v>0</v>
      </c>
      <c r="AC45" s="137" t="n">
        <f aca="false" ca="false" dt2D="false" dtr="false" t="normal">AB45</f>
        <v>0</v>
      </c>
      <c r="AD45" s="120" t="s">
        <v>206</v>
      </c>
      <c r="AE45" s="131" t="s">
        <v>196</v>
      </c>
      <c r="AF45" s="136" t="n">
        <f aca="false" ca="false" dt2D="false" dtr="false" t="normal">MID(L39, 7, 1)</f>
        <v>0</v>
      </c>
      <c r="AG45" s="137" t="n">
        <f aca="false" ca="false" dt2D="false" dtr="false" t="normal">AF45</f>
        <v>0</v>
      </c>
      <c r="AH45" s="120" t="s">
        <v>206</v>
      </c>
      <c r="AI45" s="131" t="s">
        <v>196</v>
      </c>
      <c r="AJ45" s="1389" t="s"/>
      <c r="AK45" s="1390" t="s"/>
      <c r="AN45" s="1207" t="n"/>
      <c r="AO45" s="0" t="str">
        <f aca="false" ca="false" dt2D="false" dtr="false" t="normal">H571&amp;I571&amp;J571&amp;K571&amp;L571</f>
        <v/>
      </c>
      <c r="AP45" s="0" t="str">
        <f aca="false" ca="false" dt2D="false" dtr="false" t="normal">AO45</f>
        <v/>
      </c>
      <c r="AR45" s="0" t="n">
        <f aca="false" ca="false" dt2D="false" dtr="false" t="normal">I159</f>
        <v>0</v>
      </c>
      <c r="AS45" s="1356" t="str">
        <f aca="false" ca="false" dt2D="false" dtr="false" t="normal">IFERROR(VLOOKUP($AR45, $AT$36:$AU$71, 2, FALSE), "")</f>
        <v/>
      </c>
      <c r="AT45" s="1208" t="s">
        <v>855</v>
      </c>
      <c r="AU45" s="1209" t="n">
        <v>9</v>
      </c>
      <c r="AV45" s="1208" t="s">
        <v>855</v>
      </c>
    </row>
    <row hidden="false" ht="15.75" outlineLevel="0" r="46">
      <c r="A46" s="91" t="n"/>
      <c r="B46" s="92" t="str">
        <f aca="false" ca="false" dt2D="false" dtr="false" t="normal">IF(OR(LEFT(A46, 7)="720G4HF", LEFT(A46, 7)="7200431"), RIGHT(D453, 1)&amp;E453&amp;F453&amp;G453&amp;H450&amp;I450&amp;J450&amp;K450&amp;L450&amp;M450, IF(OR(LEFT(A46, 7)="720G4I0", LEFT(A46, 7)="7200432"), RIGHT(D464, 1)&amp;E464&amp;F464&amp;G464&amp;H461&amp;I461&amp;J461&amp;K461&amp;L461&amp;M461, RIGHT(D431, 1)&amp;E431&amp;F431&amp;G431&amp;H428&amp;I428&amp;J428&amp;K428&amp;L428&amp;M428))</f>
        <v/>
      </c>
      <c r="C46" s="180" t="s">
        <v>194</v>
      </c>
      <c r="D46" s="299" t="n">
        <f aca="false" ca="false" dt2D="false" dtr="false" t="normal">D41</f>
        <v>7</v>
      </c>
      <c r="E46" s="299" t="n">
        <f aca="false" ca="false" dt2D="false" dtr="false" t="normal">E41</f>
        <v>20</v>
      </c>
      <c r="F46" s="299" t="str">
        <f aca="false" ca="false" dt2D="false" dtr="false" t="normal">F41</f>
        <v>G1</v>
      </c>
      <c r="G46" s="299" t="str">
        <f aca="false" ca="false" dt2D="false" dtr="false" t="normal">G41</f>
        <v>G4</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5" t="s">
        <v>196</v>
      </c>
      <c r="T46" s="182" t="n">
        <f aca="false" ca="false" dt2D="false" dtr="false" t="normal">MID(I39, 8, 1)</f>
        <v>0</v>
      </c>
      <c r="U46" s="183" t="n">
        <f aca="false" ca="false" dt2D="false" dtr="false" t="normal">T46</f>
        <v>0</v>
      </c>
      <c r="V46" s="184" t="s">
        <v>208</v>
      </c>
      <c r="W46" s="185" t="s">
        <v>196</v>
      </c>
      <c r="X46" s="182" t="n">
        <f aca="false" ca="false" dt2D="false" dtr="false" t="normal">MID(J39, 8, 1)</f>
        <v>0</v>
      </c>
      <c r="Y46" s="183" t="n">
        <f aca="false" ca="false" dt2D="false" dtr="false" t="normal">X46</f>
        <v>0</v>
      </c>
      <c r="Z46" s="184" t="s">
        <v>208</v>
      </c>
      <c r="AA46" s="185" t="s">
        <v>196</v>
      </c>
      <c r="AB46" s="182" t="n">
        <f aca="false" ca="false" dt2D="false" dtr="false" t="normal">MID(K39, 8, 1)</f>
        <v>0</v>
      </c>
      <c r="AC46" s="183" t="n">
        <f aca="false" ca="false" dt2D="false" dtr="false" t="normal">AB46</f>
        <v>0</v>
      </c>
      <c r="AD46" s="184" t="s">
        <v>208</v>
      </c>
      <c r="AE46" s="185" t="s">
        <v>196</v>
      </c>
      <c r="AF46" s="182" t="n">
        <f aca="false" ca="false" dt2D="false" dtr="false" t="normal">MID(L39, 8, 1)</f>
        <v>0</v>
      </c>
      <c r="AG46" s="183" t="n">
        <f aca="false" ca="false" dt2D="false" dtr="false" t="normal">AF46</f>
        <v>0</v>
      </c>
      <c r="AH46" s="184" t="s">
        <v>208</v>
      </c>
      <c r="AI46" s="185" t="s">
        <v>196</v>
      </c>
      <c r="AJ46" s="1391" t="s"/>
      <c r="AK46" s="1392" t="s"/>
      <c r="AN46" s="1207" t="n"/>
      <c r="AO46" s="0" t="str">
        <f aca="false" ca="false" dt2D="false" dtr="false" t="normal">H582&amp;I582&amp;J582&amp;K582&amp;L582</f>
        <v/>
      </c>
      <c r="AP46" s="0" t="str">
        <f aca="false" ca="false" dt2D="false" dtr="false" t="normal">AO46</f>
        <v/>
      </c>
      <c r="AR46" s="0" t="n">
        <f aca="false" ca="false" dt2D="false" dtr="false" t="normal">J159</f>
        <v>0</v>
      </c>
      <c r="AS46" s="1356" t="str">
        <f aca="false" ca="false" dt2D="false" dtr="false" t="normal">IFERROR(VLOOKUP($AR46, $AT$36:$AU$71, 2, FALSE), "")</f>
        <v/>
      </c>
      <c r="AT46" s="1208" t="s">
        <v>856</v>
      </c>
      <c r="AU46" s="1209" t="s">
        <v>857</v>
      </c>
      <c r="AV46" s="1208" t="s">
        <v>856</v>
      </c>
    </row>
    <row hidden="false" ht="15.75" outlineLevel="0" r="47">
      <c r="A47" s="91" t="n"/>
      <c r="B47" s="92" t="str">
        <f aca="false" ca="false" dt2D="false" dtr="false" t="normal">IF(OR(LEFT(A47, 7)="720G4I0", LEFT(A47, 7)="7200432"), RIGHT(D464, 1)&amp;E464&amp;F464&amp;G464&amp;H461&amp;I461&amp;J461&amp;K461&amp;L461&amp;M461, IF(OR(LEFT(A47, 7)="720G4I1", LEFT(A47, 7)="7200433"), RIGHT(D475, 1)&amp;E475&amp;F475&amp;G475&amp;H472&amp;I472&amp;J472&amp;K472&amp;L472&amp;M472, RIGHT(D442, 1)&amp;E442&amp;F442&amp;G442&amp;H439&amp;I439&amp;J439&amp;K439&amp;L439&amp;M439))</f>
        <v/>
      </c>
      <c r="C47" s="93" t="n"/>
      <c r="D47" s="94" t="n"/>
      <c r="E47" s="94" t="n"/>
      <c r="F47" s="94" t="n"/>
      <c r="G47" s="94" t="n"/>
      <c r="H47" s="94" t="n"/>
      <c r="I47" s="94" t="n"/>
      <c r="J47" s="94" t="n"/>
      <c r="K47" s="94" t="n"/>
      <c r="L47" s="94" t="n"/>
      <c r="M47" s="94" t="s">
        <v>161</v>
      </c>
      <c r="N47" s="60" t="n"/>
      <c r="P47" s="95" t="str">
        <f aca="false" ca="false" dt2D="false" dtr="false" t="normal">RIGHT(D49, 1)&amp;E49&amp;"-"&amp;F49&amp;"-"&amp;G49</f>
        <v>720-01-05</v>
      </c>
      <c r="Q47" s="1393" t="s"/>
      <c r="R47" s="234" t="s">
        <v>858</v>
      </c>
      <c r="S47" s="1394" t="s"/>
      <c r="T47" s="1395" t="s"/>
      <c r="U47" s="1396" t="s"/>
      <c r="V47" s="1397" t="s"/>
      <c r="W47" s="1398" t="s"/>
      <c r="X47" s="1399" t="s"/>
      <c r="Y47" s="1400" t="s"/>
      <c r="Z47" s="1401" t="s"/>
      <c r="AA47" s="1402" t="s"/>
      <c r="AB47" s="1403" t="s"/>
      <c r="AC47" s="1404" t="s"/>
      <c r="AD47" s="1405" t="s"/>
      <c r="AE47" s="1406" t="s"/>
      <c r="AF47" s="1407" t="s"/>
      <c r="AG47" s="1408" t="s"/>
      <c r="AH47" s="1409" t="s"/>
      <c r="AI47" s="1410" t="s"/>
      <c r="AJ47" s="1411" t="s"/>
      <c r="AK47" s="1412" t="s"/>
      <c r="AN47" s="1207" t="n"/>
      <c r="AO47" s="0" t="str">
        <f aca="false" ca="false" dt2D="false" dtr="false" t="normal">H593&amp;I593&amp;J593&amp;K593&amp;L593</f>
        <v/>
      </c>
      <c r="AP47" s="0" t="str">
        <f aca="false" ca="false" dt2D="false" dtr="false" t="normal">AO47</f>
        <v/>
      </c>
      <c r="AR47" s="0" t="n">
        <f aca="false" ca="false" dt2D="false" dtr="false" t="normal">K159</f>
        <v>0</v>
      </c>
      <c r="AS47" s="1356" t="str">
        <f aca="false" ca="false" dt2D="false" dtr="false" t="normal">IFERROR(VLOOKUP($AR47, $AT$36:$AU$71, 2, FALSE), "")</f>
        <v/>
      </c>
      <c r="AT47" s="1208" t="s">
        <v>859</v>
      </c>
      <c r="AU47" s="1209" t="s">
        <v>860</v>
      </c>
      <c r="AV47" s="1208" t="s">
        <v>859</v>
      </c>
    </row>
    <row hidden="false" ht="15.75" outlineLevel="0" r="48">
      <c r="A48" s="91" t="n"/>
      <c r="B48" s="92" t="str">
        <f aca="false" ca="false" dt2D="false" dtr="false" t="normal">IF(OR(LEFT(A48, 7)="720G4I1", LEFT(A48, 7)="7200433"), RIGHT(D475, 1)&amp;E475&amp;F475&amp;G475&amp;H472&amp;I472&amp;J472&amp;K472&amp;L472&amp;M472, IF(OR(LEFT(A48, 7)="720G4I2", LEFT(A48, 7)="7200434"), RIGHT(D486, 1)&amp;E486&amp;F486&amp;G486&amp;H483&amp;I483&amp;J483&amp;K483&amp;L483&amp;M483, RIGHT(D453, 1)&amp;E453&amp;F453&amp;G453&amp;H450&amp;I450&amp;J450&amp;K450&amp;L450&amp;M450))</f>
        <v/>
      </c>
      <c r="C48" s="98" t="n"/>
      <c r="D48" s="99" t="s">
        <v>861</v>
      </c>
      <c r="E48" s="1413" t="s"/>
      <c r="F48" s="1414" t="s"/>
      <c r="G48" s="1415" t="s"/>
      <c r="H48" s="53" t="s">
        <v>165</v>
      </c>
      <c r="I48" s="53" t="s">
        <v>166</v>
      </c>
      <c r="J48" s="53" t="s">
        <v>167</v>
      </c>
      <c r="K48" s="53" t="s">
        <v>168</v>
      </c>
      <c r="L48" s="53" t="s">
        <v>169</v>
      </c>
      <c r="M48" s="53" t="s">
        <v>221</v>
      </c>
      <c r="N48" s="63" t="n"/>
      <c r="P48" s="103" t="s">
        <v>862</v>
      </c>
      <c r="Q48" s="1416" t="s"/>
      <c r="R48" s="1417" t="s"/>
      <c r="S48" s="1418" t="s"/>
      <c r="T48" s="103" t="s">
        <v>863</v>
      </c>
      <c r="U48" s="1419" t="s"/>
      <c r="V48" s="1420" t="s"/>
      <c r="W48" s="1421" t="s"/>
      <c r="X48" s="103" t="s">
        <v>864</v>
      </c>
      <c r="Y48" s="1422" t="s"/>
      <c r="Z48" s="1423" t="s"/>
      <c r="AA48" s="1424" t="s"/>
      <c r="AB48" s="103" t="s">
        <v>865</v>
      </c>
      <c r="AC48" s="1425" t="s"/>
      <c r="AD48" s="1426" t="s"/>
      <c r="AE48" s="1427" t="s"/>
      <c r="AF48" s="103" t="s">
        <v>866</v>
      </c>
      <c r="AG48" s="1428" t="s"/>
      <c r="AH48" s="1429" t="s"/>
      <c r="AI48" s="1430" t="s"/>
      <c r="AJ48" s="103" t="s">
        <v>867</v>
      </c>
      <c r="AK48" s="1431" t="s"/>
      <c r="AN48" s="1207" t="n"/>
      <c r="AO48" s="0" t="str">
        <f aca="false" ca="false" dt2D="false" dtr="false" t="normal">H604&amp;I604&amp;J604&amp;K604&amp;L604</f>
        <v/>
      </c>
      <c r="AP48" s="0" t="str">
        <f aca="false" ca="false" dt2D="false" dtr="false" t="normal">AO48</f>
        <v/>
      </c>
      <c r="AR48" s="0" t="n">
        <f aca="false" ca="false" dt2D="false" dtr="false" t="normal">I170</f>
        <v>0</v>
      </c>
      <c r="AS48" s="1356" t="str">
        <f aca="false" ca="false" dt2D="false" dtr="false" t="normal">IFERROR(VLOOKUP($AR48, $AT$36:$AU$71, 2, FALSE), "")</f>
        <v/>
      </c>
      <c r="AT48" s="1208" t="s">
        <v>868</v>
      </c>
      <c r="AU48" s="1209" t="s">
        <v>869</v>
      </c>
      <c r="AV48" s="1208" t="s">
        <v>868</v>
      </c>
    </row>
    <row hidden="false" ht="15.75" outlineLevel="0" r="49">
      <c r="A49" s="91" t="n"/>
      <c r="B49" s="92" t="str">
        <f aca="false" ca="false" dt2D="false" dtr="false" t="normal">IF(OR(LEFT(A49, 7)="720G4I2", LEFT(A49, 7)="7200434"), RIGHT(D486, 1)&amp;E486&amp;F486&amp;G486&amp;H483&amp;I483&amp;J483&amp;K483&amp;L483&amp;M483, IF(OR(LEFT(A49, 7)="720G4I3", LEFT(A49, 7)="7200435"), RIGHT(D497, 1)&amp;E497&amp;F497&amp;G497&amp;H494&amp;I494&amp;J494&amp;K494&amp;L494&amp;M494, RIGHT(D464, 1)&amp;E464&amp;F464&amp;G464&amp;H461&amp;I461&amp;J461&amp;K461&amp;L461&amp;M461))</f>
        <v/>
      </c>
      <c r="C49" s="98" t="s">
        <v>176</v>
      </c>
      <c r="D49" s="122" t="s">
        <v>177</v>
      </c>
      <c r="E49" s="123" t="s">
        <v>693</v>
      </c>
      <c r="F49" s="123" t="s">
        <v>179</v>
      </c>
      <c r="G49" s="124" t="s">
        <v>347</v>
      </c>
      <c r="H49" s="125" t="n">
        <f aca="false" ca="false" dt2D="false" dtr="false" ref="H49:H49" t="array">MID(INDEX($A$3:$A$70, IF(ISNA(MATCH("720G1G5*", $A$3:$A$70, 0))=TRUE, MATCH("7200105*", $A$3:$A$70, 0), MATCH("720G1G5*", $A$3:$A$70, 0))), $AU$8, 2)</f>
        <v>0</v>
      </c>
      <c r="I49" s="126" t="n">
        <f aca="false" ca="false" dt2D="false" dtr="false" ref="I49:I49" t="array">MID(INDEX($A$3:$A$70, IF(ISNA(MATCH("720G1G5*", $A$3:$A$70, 0))=TRUE, MATCH("7200105*", $A$3:$A$70, 0), MATCH("720G1G5*", $A$3:$A$70, 0))), $AV$8, 2)</f>
        <v>0</v>
      </c>
      <c r="J49" s="126" t="n">
        <f aca="false" ca="false" dt2D="false" dtr="false" ref="J49:J49" t="array">MID(INDEX($A$3:$A$70, IF(ISNA(MATCH("720G1G5*", $A$3:$A$70, 0))=TRUE, MATCH("7200105*", $A$3:$A$70, 0), MATCH("720G1G5*", $A$3:$A$70, 0))), $AW$8, 2)</f>
        <v>0</v>
      </c>
      <c r="K49" s="126" t="n">
        <f aca="false" ca="false" dt2D="false" dtr="false" ref="K49:K49" t="array">MID(INDEX($A$3:$A$70, IF(ISNA(MATCH("720G1G5*", $A$3:$A$70, 0))=TRUE, MATCH("7200105*", $A$3:$A$70, 0), MATCH("720G1G5*", $A$3:$A$70, 0))), $AX$8, 2)</f>
        <v>0</v>
      </c>
      <c r="L49" s="274" t="n">
        <f aca="false" ca="false" dt2D="false" dtr="false" ref="L49:L49" t="array">MID(INDEX($A$3:$A$70, IF(ISNA(MATCH("720G1G5*", $A$3:$A$70, 0))=TRUE, MATCH("7200105*", $A$3:$A$70, 0), MATCH("720G1G5*", $A$3:$A$70, 0))), $AY$8, 2)</f>
        <v>0</v>
      </c>
      <c r="M49" s="128" t="str">
        <f aca="false" ca="false" dt2D="false" dtr="false" ref="M49:M49" t="array">MID(INDEX($A$3:$A$70, IF(ISNA(MATCH("720G1G5*", $A$3:$A$70, 0))=TRUE, MATCH("7200105*", $A$3:$A$70, 0), MATCH("720G1G5*", $A$3:$A$70, 0))), $AZ$8, 2)</f>
        <v>2D</v>
      </c>
      <c r="N49" s="63" t="s">
        <v>180</v>
      </c>
      <c r="P49" s="129" t="s">
        <v>180</v>
      </c>
      <c r="Q49" s="130" t="s">
        <v>181</v>
      </c>
      <c r="R49" s="121" t="s">
        <v>182</v>
      </c>
      <c r="S49" s="131" t="n"/>
      <c r="T49" s="129" t="s">
        <v>180</v>
      </c>
      <c r="U49" s="130" t="s">
        <v>181</v>
      </c>
      <c r="V49" s="121" t="s">
        <v>182</v>
      </c>
      <c r="W49" s="131" t="n"/>
      <c r="X49" s="129" t="s">
        <v>180</v>
      </c>
      <c r="Y49" s="130" t="s">
        <v>181</v>
      </c>
      <c r="Z49" s="121" t="s">
        <v>182</v>
      </c>
      <c r="AA49" s="131" t="n"/>
      <c r="AB49" s="129" t="s">
        <v>180</v>
      </c>
      <c r="AC49" s="130" t="s">
        <v>181</v>
      </c>
      <c r="AD49" s="121" t="s">
        <v>182</v>
      </c>
      <c r="AE49" s="131" t="n"/>
      <c r="AF49" s="129" t="s">
        <v>180</v>
      </c>
      <c r="AG49" s="130" t="s">
        <v>181</v>
      </c>
      <c r="AH49" s="121" t="s">
        <v>182</v>
      </c>
      <c r="AI49" s="121" t="n"/>
      <c r="AJ49" s="116" t="s">
        <v>183</v>
      </c>
      <c r="AK49" s="1432" t="s"/>
      <c r="AN49" s="1207" t="n"/>
      <c r="AO49" s="0" t="str">
        <f aca="false" ca="false" dt2D="false" dtr="false" t="normal">H615&amp;I615&amp;J615&amp;K615&amp;L615</f>
        <v/>
      </c>
      <c r="AP49" s="0" t="str">
        <f aca="false" ca="false" dt2D="false" dtr="false" t="normal">AO49</f>
        <v/>
      </c>
      <c r="AR49" s="0" t="n">
        <f aca="false" ca="false" dt2D="false" dtr="false" t="normal">J170</f>
        <v>0</v>
      </c>
      <c r="AS49" s="1356" t="str">
        <f aca="false" ca="false" dt2D="false" dtr="false" t="normal">IFERROR(VLOOKUP($AR49, $AT$36:$AU$71, 2, FALSE), "")</f>
        <v/>
      </c>
      <c r="AT49" s="1208" t="s">
        <v>870</v>
      </c>
      <c r="AU49" s="1209" t="s">
        <v>871</v>
      </c>
      <c r="AV49" s="1208" t="s">
        <v>870</v>
      </c>
    </row>
    <row hidden="false" ht="15" outlineLevel="0" r="50">
      <c r="A50" s="91" t="n"/>
      <c r="B50" s="92" t="str">
        <f aca="false" ca="false" dt2D="false" dtr="false" t="normal">IF(OR(LEFT(A50, 7)="720G4I3", LEFT(A50, 7)="7200435"), RIGHT(D497, 1)&amp;E497&amp;F497&amp;G497&amp;H494&amp;I494&amp;J494&amp;K494&amp;L494&amp;M494, IF(OR(LEFT(A50, 7)="720G4I4", LEFT(A50, 7)="7200436"), RIGHT(D508, 1)&amp;E508&amp;F508&amp;G508&amp;H505&amp;I505&amp;J505&amp;K505&amp;L505&amp;M505, RIGHT(D475, 1)&amp;E475&amp;F475&amp;G475&amp;H472&amp;I472&amp;J472&amp;K472&amp;L472&amp;M472))</f>
        <v/>
      </c>
      <c r="C50" s="98" t="s">
        <v>185</v>
      </c>
      <c r="D50" s="53" t="n">
        <f aca="false" ca="false" dt2D="false" dtr="false" t="normal">HEX2BIN(D49, 8)</f>
        <v>111</v>
      </c>
      <c r="E50" s="53" t="n">
        <f aca="false" ca="false" dt2D="false" dtr="false" t="normal">HEX2BIN(E49, 8)</f>
        <v>100000</v>
      </c>
      <c r="F50" s="53" t="n">
        <f aca="false" ca="false" dt2D="false" dtr="false" t="normal">HEX2BIN(F49, 8)</f>
        <v>1</v>
      </c>
      <c r="G50" s="53" t="n">
        <f aca="false" ca="false" dt2D="false" dtr="false" t="normal">HEX2BIN(G49, 8)</f>
        <v>101</v>
      </c>
      <c r="H50" s="53" t="n">
        <f aca="false" ca="false" dt2D="false" dtr="false" t="normal">HEX2BIN(H49, 8)</f>
        <v>0</v>
      </c>
      <c r="I50" s="53" t="n">
        <f aca="false" ca="false" dt2D="false" dtr="false" t="normal">HEX2BIN(I49, 8)</f>
        <v>0</v>
      </c>
      <c r="J50" s="53" t="n">
        <f aca="false" ca="false" dt2D="false" dtr="false" t="normal">HEX2BIN(J49, 8)</f>
        <v>0</v>
      </c>
      <c r="K50" s="53" t="n">
        <f aca="false" ca="false" dt2D="false" dtr="false" t="normal">HEX2BIN(K49, 8)</f>
        <v>0</v>
      </c>
      <c r="L50" s="53" t="n">
        <f aca="false" ca="false" dt2D="false" dtr="false" t="normal">HEX2BIN(L49, 8)</f>
        <v>0</v>
      </c>
      <c r="N50" s="63" t="n"/>
      <c r="P50" s="136" t="n">
        <f aca="false" ca="false" dt2D="false" dtr="false" t="normal">MID(H50, 1, 1)</f>
        <v>0</v>
      </c>
      <c r="Q50" s="137" t="n">
        <f aca="false" ca="false" dt2D="false" dtr="false" t="normal">P50</f>
        <v>0</v>
      </c>
      <c r="R50" s="120" t="s">
        <v>186</v>
      </c>
      <c r="S50" s="131" t="s">
        <v>196</v>
      </c>
      <c r="T50" s="136" t="n">
        <f aca="false" ca="false" dt2D="false" dtr="false" t="normal">MID(I50, 1, 1)</f>
        <v>0</v>
      </c>
      <c r="U50" s="137" t="n">
        <f aca="false" ca="false" dt2D="false" dtr="false" t="normal">T50</f>
        <v>0</v>
      </c>
      <c r="V50" s="120" t="s">
        <v>186</v>
      </c>
      <c r="W50" s="131" t="s">
        <v>196</v>
      </c>
      <c r="X50" s="136" t="n">
        <f aca="false" ca="false" dt2D="false" dtr="false" t="normal">MID(J50, 1, 1)</f>
        <v>0</v>
      </c>
      <c r="Y50" s="137" t="n">
        <f aca="false" ca="false" dt2D="false" dtr="false" t="normal">X50</f>
        <v>0</v>
      </c>
      <c r="Z50" s="120" t="s">
        <v>186</v>
      </c>
      <c r="AA50" s="131" t="s">
        <v>196</v>
      </c>
      <c r="AB50" s="136" t="n">
        <f aca="false" ca="false" dt2D="false" dtr="false" t="normal">MID(K50, 1, 1)</f>
        <v>0</v>
      </c>
      <c r="AC50" s="137" t="n">
        <f aca="false" ca="false" dt2D="false" dtr="false" t="normal">AB50</f>
        <v>0</v>
      </c>
      <c r="AD50" s="120" t="s">
        <v>186</v>
      </c>
      <c r="AE50" s="131" t="s">
        <v>196</v>
      </c>
      <c r="AF50" s="136" t="n">
        <f aca="false" ca="false" dt2D="false" dtr="false" t="normal">MID(L50, 1, 1)</f>
        <v>0</v>
      </c>
      <c r="AG50" s="137" t="n">
        <f aca="false" ca="false" dt2D="false" dtr="false" t="normal">AF50</f>
        <v>0</v>
      </c>
      <c r="AH50" s="120" t="s">
        <v>186</v>
      </c>
      <c r="AI50" s="131" t="s">
        <v>196</v>
      </c>
      <c r="AJ50" s="1433" t="s"/>
      <c r="AK50" s="1434" t="s"/>
      <c r="AN50" s="1207" t="n"/>
      <c r="AO50" s="0" t="str">
        <f aca="false" ca="false" dt2D="false" dtr="false" t="normal">H626&amp;I626&amp;J626&amp;K626&amp;L626</f>
        <v/>
      </c>
      <c r="AP50" s="0" t="str">
        <f aca="false" ca="false" dt2D="false" dtr="false" t="normal">AO50</f>
        <v/>
      </c>
      <c r="AR50" s="0" t="n">
        <f aca="false" ca="false" dt2D="false" dtr="false" t="normal">K170</f>
        <v>0</v>
      </c>
      <c r="AS50" s="1356" t="str">
        <f aca="false" ca="false" dt2D="false" dtr="false" t="normal">IFERROR(VLOOKUP($AR50, $AT$36:$AU$71, 2, FALSE), "")</f>
        <v/>
      </c>
      <c r="AT50" s="1208" t="s">
        <v>872</v>
      </c>
      <c r="AU50" s="1209" t="s">
        <v>873</v>
      </c>
      <c r="AV50" s="1208" t="s">
        <v>872</v>
      </c>
    </row>
    <row hidden="false" ht="15" outlineLevel="0" r="51">
      <c r="A51" s="91" t="n"/>
      <c r="B51" s="92" t="str">
        <f aca="false" ca="false" dt2D="false" dtr="false" t="normal">IF(OR(LEFT(A51, 7)="720G4I4", LEFT(A51, 7)="7200436"), RIGHT(D508, 1)&amp;E508&amp;F508&amp;G508&amp;H505&amp;I505&amp;J505&amp;K505&amp;L505&amp;M505, IF(OR(LEFT(A51, 7)="720G4I5", LEFT(A51, 7)="7200437"), RIGHT(D519, 1)&amp;E519&amp;F519&amp;G519&amp;H516&amp;I516&amp;J516&amp;K516&amp;L516&amp;M516, RIGHT(D486, 1)&amp;E486&amp;F486&amp;G486&amp;H483&amp;I483&amp;J483&amp;K483&amp;L483&amp;M483))</f>
        <v/>
      </c>
      <c r="C51" s="98" t="s">
        <v>191</v>
      </c>
      <c r="D51" s="53" t="n">
        <f aca="false" ca="false" dt2D="false" dtr="false" t="normal">HEX2DEC(D49)</f>
        <v>7</v>
      </c>
      <c r="E51" s="53" t="n">
        <f aca="false" ca="false" dt2D="false" dtr="false" t="normal">HEX2DEC(E49)</f>
        <v>32</v>
      </c>
      <c r="F51" s="53" t="n">
        <f aca="false" ca="false" dt2D="false" dtr="false" t="normal">HEX2DEC(F49)</f>
        <v>1</v>
      </c>
      <c r="G51" s="53" t="n">
        <f aca="false" ca="false" dt2D="false" dtr="false" t="normal">HEX2DEC(G49)</f>
        <v>5</v>
      </c>
      <c r="H51" s="53" t="n">
        <f aca="false" ca="false" dt2D="false" dtr="false" t="normal">HEX2DEC(H49)</f>
        <v>0</v>
      </c>
      <c r="I51" s="53" t="n">
        <f aca="false" ca="false" dt2D="false" dtr="false" t="normal">HEX2DEC(I49)</f>
        <v>0</v>
      </c>
      <c r="J51" s="53" t="n">
        <f aca="false" ca="false" dt2D="false" dtr="false" t="normal">HEX2DEC(J49)</f>
        <v>0</v>
      </c>
      <c r="K51" s="53" t="n">
        <f aca="false" ca="false" dt2D="false" dtr="false" t="normal">HEX2DEC(K49)</f>
        <v>0</v>
      </c>
      <c r="L51" s="53" t="n">
        <f aca="false" ca="false" dt2D="false" dtr="false" t="normal">HEX2DEC(L49)</f>
        <v>0</v>
      </c>
      <c r="M51" s="53" t="n">
        <f aca="false" ca="false" dt2D="false" dtr="false" t="normal">SUM(D51:L51)</f>
        <v>45</v>
      </c>
      <c r="N51" s="63" t="n"/>
      <c r="P51" s="136" t="n">
        <f aca="false" ca="false" dt2D="false" dtr="false" t="normal">MID(H50, 2, 1)</f>
        <v>0</v>
      </c>
      <c r="Q51" s="137" t="n">
        <f aca="false" ca="false" dt2D="false" dtr="false" t="normal">P51</f>
        <v>0</v>
      </c>
      <c r="R51" s="120" t="s">
        <v>192</v>
      </c>
      <c r="S51" s="131" t="s">
        <v>196</v>
      </c>
      <c r="T51" s="136" t="n">
        <f aca="false" ca="false" dt2D="false" dtr="false" t="normal">MID(I50, 2, 1)</f>
        <v>0</v>
      </c>
      <c r="U51" s="137" t="n">
        <f aca="false" ca="false" dt2D="false" dtr="false" t="normal">T51</f>
        <v>0</v>
      </c>
      <c r="V51" s="120" t="s">
        <v>192</v>
      </c>
      <c r="W51" s="131" t="s">
        <v>196</v>
      </c>
      <c r="X51" s="136" t="n">
        <f aca="false" ca="false" dt2D="false" dtr="false" t="normal">MID(J50, 2, 1)</f>
        <v>0</v>
      </c>
      <c r="Y51" s="137" t="n">
        <f aca="false" ca="false" dt2D="false" dtr="false" t="normal">X51</f>
        <v>0</v>
      </c>
      <c r="Z51" s="120" t="s">
        <v>192</v>
      </c>
      <c r="AA51" s="131" t="s">
        <v>196</v>
      </c>
      <c r="AB51" s="136" t="n">
        <f aca="false" ca="false" dt2D="false" dtr="false" t="normal">MID(K50, 2, 1)</f>
        <v>0</v>
      </c>
      <c r="AC51" s="137" t="n">
        <f aca="false" ca="false" dt2D="false" dtr="false" t="normal">AB51</f>
        <v>0</v>
      </c>
      <c r="AD51" s="120" t="s">
        <v>192</v>
      </c>
      <c r="AE51" s="131" t="s">
        <v>196</v>
      </c>
      <c r="AF51" s="136" t="n">
        <f aca="false" ca="false" dt2D="false" dtr="false" t="normal">MID(L50, 2, 1)</f>
        <v>0</v>
      </c>
      <c r="AG51" s="137" t="n">
        <f aca="false" ca="false" dt2D="false" dtr="false" t="normal">AF51</f>
        <v>0</v>
      </c>
      <c r="AH51" s="120" t="s">
        <v>192</v>
      </c>
      <c r="AI51" s="131" t="s">
        <v>196</v>
      </c>
      <c r="AJ51" s="1435" t="s"/>
      <c r="AK51" s="1436" t="s"/>
      <c r="AN51" s="1207" t="n"/>
      <c r="AO51" s="0" t="str">
        <f aca="false" ca="false" dt2D="false" dtr="false" t="normal">H637&amp;I637&amp;J637&amp;K637&amp;L637</f>
        <v/>
      </c>
      <c r="AP51" s="0" t="str">
        <f aca="false" ca="false" dt2D="false" dtr="false" t="normal">AO51</f>
        <v/>
      </c>
      <c r="AR51" s="0" t="n">
        <f aca="false" ca="false" dt2D="false" dtr="false" t="normal">L170</f>
        <v>0</v>
      </c>
      <c r="AS51" s="1356" t="str">
        <f aca="false" ca="false" dt2D="false" dtr="false" t="normal">IFERROR(VLOOKUP($AR51, $AT$36:$AU$71, 2, FALSE), "")</f>
        <v/>
      </c>
      <c r="AT51" s="1208" t="s">
        <v>874</v>
      </c>
      <c r="AU51" s="1209" t="s">
        <v>875</v>
      </c>
      <c r="AV51" s="1208" t="s">
        <v>874</v>
      </c>
    </row>
    <row hidden="false" ht="15" outlineLevel="0" r="52">
      <c r="A52" s="91" t="n"/>
      <c r="B52" s="92" t="str">
        <f aca="false" ca="false" dt2D="false" dtr="false" t="normal">IF(OR(LEFT(A52, 7)="720G4I5", LEFT(A52, 7)="7200437"), RIGHT(D519, 1)&amp;E519&amp;F519&amp;G519&amp;H516&amp;I516&amp;J516&amp;K516&amp;L516&amp;M516, IF(OR(LEFT(A52, 7)="720G4I6", LEFT(A52, 7)="7200438"), RIGHT(D530, 1)&amp;E530&amp;F530&amp;G530&amp;H527&amp;I527&amp;J527&amp;K527&amp;L527&amp;M527, RIGHT(D497, 1)&amp;E497&amp;F497&amp;G497&amp;H494&amp;I494&amp;J494&amp;K494&amp;L494&amp;M494))</f>
        <v/>
      </c>
      <c r="C52" s="98" t="s">
        <v>194</v>
      </c>
      <c r="D52" s="149" t="n">
        <f aca="false" ca="false" dt2D="false" dtr="false" t="normal">D49</f>
        <v>7</v>
      </c>
      <c r="E52" s="149" t="n">
        <f aca="false" ca="false" dt2D="false" dtr="false" t="normal">E49</f>
        <v>20</v>
      </c>
      <c r="F52" s="53" t="str">
        <f aca="false" ca="false" dt2D="false" dtr="false" t="normal">MID(INDEX($A$3:$A$70, IF(ISNA(MATCH("720G1G5*", $A$3:$A$70, 0))=TRUE, MATCH("7200105*", $A$3:$A$70, 0), MATCH("720G1G5*", $A$3:$A$70, 0))), $AS$8, 2)</f>
        <v>G1</v>
      </c>
      <c r="G52" s="53" t="str">
        <f aca="false" ca="false" dt2D="false" dtr="false" t="normal">MID(INDEX($A$3:$A$70, IF(ISNA(MATCH("720G1G5*", $A$3:$A$70, 0))=TRUE, MATCH("7200105*", $A$3:$A$70, 0), MATCH("720G1G5*", $A$3:$A$70, 0))), $AT$8, 2)</f>
        <v>G5</v>
      </c>
      <c r="N52" s="63" t="n"/>
      <c r="P52" s="136" t="n">
        <f aca="false" ca="false" dt2D="false" dtr="false" t="normal">MID(H50, 3, 1)</f>
        <v>0</v>
      </c>
      <c r="Q52" s="137" t="n">
        <f aca="false" ca="false" dt2D="false" dtr="false" t="normal">P52</f>
        <v>0</v>
      </c>
      <c r="R52" s="120" t="s">
        <v>195</v>
      </c>
      <c r="S52" s="131" t="s">
        <v>196</v>
      </c>
      <c r="T52" s="136" t="n">
        <f aca="false" ca="false" dt2D="false" dtr="false" t="normal">MID(I50, 3, 1)</f>
        <v>0</v>
      </c>
      <c r="U52" s="137" t="n">
        <f aca="false" ca="false" dt2D="false" dtr="false" t="normal">T52</f>
        <v>0</v>
      </c>
      <c r="V52" s="120" t="s">
        <v>195</v>
      </c>
      <c r="W52" s="131" t="s">
        <v>196</v>
      </c>
      <c r="X52" s="136" t="n">
        <f aca="false" ca="false" dt2D="false" dtr="false" t="normal">MID(J50, 3, 1)</f>
        <v>0</v>
      </c>
      <c r="Y52" s="137" t="n">
        <f aca="false" ca="false" dt2D="false" dtr="false" t="normal">X52</f>
        <v>0</v>
      </c>
      <c r="Z52" s="120" t="s">
        <v>195</v>
      </c>
      <c r="AA52" s="131" t="s">
        <v>196</v>
      </c>
      <c r="AB52" s="136" t="n">
        <f aca="false" ca="false" dt2D="false" dtr="false" t="normal">MID(K50, 3, 1)</f>
        <v>0</v>
      </c>
      <c r="AC52" s="137" t="n">
        <f aca="false" ca="false" dt2D="false" dtr="false" t="normal">AB52</f>
        <v>0</v>
      </c>
      <c r="AD52" s="120" t="s">
        <v>195</v>
      </c>
      <c r="AE52" s="131" t="s">
        <v>196</v>
      </c>
      <c r="AF52" s="136" t="n">
        <f aca="false" ca="false" dt2D="false" dtr="false" t="normal">MID(L50, 3, 1)</f>
        <v>0</v>
      </c>
      <c r="AG52" s="137" t="n">
        <f aca="false" ca="false" dt2D="false" dtr="false" t="normal">AF52</f>
        <v>0</v>
      </c>
      <c r="AH52" s="120" t="s">
        <v>195</v>
      </c>
      <c r="AI52" s="131" t="s">
        <v>196</v>
      </c>
      <c r="AJ52" s="1437" t="s"/>
      <c r="AK52" s="1438" t="s"/>
      <c r="AN52" s="1207" t="n"/>
      <c r="AO52" s="0" t="str">
        <f aca="false" ca="false" dt2D="false" dtr="false" t="normal">H648&amp;I648&amp;J648&amp;K648&amp;L648</f>
        <v/>
      </c>
      <c r="AP52" s="0" t="str">
        <f aca="false" ca="false" dt2D="false" dtr="false" t="normal">AO52</f>
        <v/>
      </c>
      <c r="AR52" s="0" t="n">
        <f aca="false" ca="false" dt2D="false" dtr="false" t="normal">H181</f>
        <v>0</v>
      </c>
      <c r="AS52" s="1356" t="str">
        <f aca="false" ca="false" dt2D="false" dtr="false" t="normal">IFERROR(VLOOKUP($AR52, $AT$36:$AU$71, 2, FALSE), "")</f>
        <v/>
      </c>
      <c r="AT52" s="1208" t="s">
        <v>876</v>
      </c>
      <c r="AU52" s="1209" t="s">
        <v>877</v>
      </c>
      <c r="AV52" s="1208" t="s">
        <v>876</v>
      </c>
    </row>
    <row hidden="false" ht="15.75" outlineLevel="0" r="53">
      <c r="A53" s="91" t="n"/>
      <c r="B53" s="92" t="str">
        <f aca="false" ca="false" dt2D="false" dtr="false" t="normal">IF(OR(LEFT(A53, 7)="720G4I6", LEFT(A53, 7)="7200438"), RIGHT(D530, 1)&amp;E530&amp;F530&amp;G530&amp;H527&amp;I527&amp;J527&amp;K527&amp;L527&amp;M527, IF(OR(LEFT(A53, 7)="720G4I7", LEFT(A53, 7)="7200439"), RIGHT(D541, 1)&amp;E541&amp;F541&amp;G541&amp;H538&amp;I538&amp;J538&amp;K538&amp;L538&amp;M538, RIGHT(D508, 1)&amp;E508&amp;F508&amp;G508&amp;H505&amp;I505&amp;J505&amp;K505&amp;L505&amp;M505))</f>
        <v/>
      </c>
      <c r="C53" s="98" t="n"/>
      <c r="N53" s="63" t="n"/>
      <c r="P53" s="136" t="n">
        <f aca="false" ca="false" dt2D="false" dtr="false" t="normal">MID(H50, 4, 1)</f>
        <v>0</v>
      </c>
      <c r="Q53" s="137" t="n">
        <f aca="false" ca="false" dt2D="false" dtr="false" t="normal">P53</f>
        <v>0</v>
      </c>
      <c r="R53" s="120" t="s">
        <v>197</v>
      </c>
      <c r="S53" s="131" t="s">
        <v>196</v>
      </c>
      <c r="T53" s="136" t="n">
        <f aca="false" ca="false" dt2D="false" dtr="false" t="normal">MID(I50, 4, 1)</f>
        <v>0</v>
      </c>
      <c r="U53" s="137" t="n">
        <f aca="false" ca="false" dt2D="false" dtr="false" t="normal">T53</f>
        <v>0</v>
      </c>
      <c r="V53" s="120" t="s">
        <v>197</v>
      </c>
      <c r="W53" s="131" t="s">
        <v>196</v>
      </c>
      <c r="X53" s="136" t="n">
        <f aca="false" ca="false" dt2D="false" dtr="false" t="normal">MID(J50, 4, 1)</f>
        <v>0</v>
      </c>
      <c r="Y53" s="137" t="n">
        <f aca="false" ca="false" dt2D="false" dtr="false" t="normal">X53</f>
        <v>0</v>
      </c>
      <c r="Z53" s="120" t="s">
        <v>197</v>
      </c>
      <c r="AA53" s="131" t="s">
        <v>196</v>
      </c>
      <c r="AB53" s="136" t="n">
        <f aca="false" ca="false" dt2D="false" dtr="false" t="normal">MID(K50, 4, 1)</f>
        <v>0</v>
      </c>
      <c r="AC53" s="137" t="n">
        <f aca="false" ca="false" dt2D="false" dtr="false" t="normal">AB53</f>
        <v>0</v>
      </c>
      <c r="AD53" s="120" t="s">
        <v>197</v>
      </c>
      <c r="AE53" s="131" t="s">
        <v>196</v>
      </c>
      <c r="AF53" s="136" t="n">
        <f aca="false" ca="false" dt2D="false" dtr="false" t="normal">MID(L50, 4, 1)</f>
        <v>0</v>
      </c>
      <c r="AG53" s="137" t="n">
        <f aca="false" ca="false" dt2D="false" dtr="false" t="normal">AF53</f>
        <v>0</v>
      </c>
      <c r="AH53" s="120" t="s">
        <v>197</v>
      </c>
      <c r="AI53" s="131" t="s">
        <v>196</v>
      </c>
      <c r="AJ53" s="1439" t="s"/>
      <c r="AK53" s="1440" t="s"/>
      <c r="AN53" s="1207" t="n"/>
      <c r="AO53" s="0" t="str">
        <f aca="false" ca="false" dt2D="false" dtr="false" t="normal">H659&amp;I659&amp;J659&amp;K659&amp;L659</f>
        <v/>
      </c>
      <c r="AP53" s="0" t="str">
        <f aca="false" ca="false" dt2D="false" dtr="false" t="normal">AO53</f>
        <v/>
      </c>
      <c r="AT53" s="1208" t="s">
        <v>878</v>
      </c>
      <c r="AU53" s="1209" t="s">
        <v>879</v>
      </c>
      <c r="AV53" s="1208" t="s">
        <v>878</v>
      </c>
    </row>
    <row hidden="false" ht="15.75" outlineLevel="0" r="54">
      <c r="A54" s="91" t="n"/>
      <c r="B54" s="92" t="str">
        <f aca="false" ca="false" dt2D="false" dtr="false" t="normal">IF(OR(LEFT(A54, 7)="720G4I7", LEFT(A54, 7)="7200439"), RIGHT(D541, 1)&amp;E541&amp;F541&amp;G541&amp;H538&amp;I538&amp;J538&amp;K538&amp;L538&amp;M538, IF(OR(LEFT(A54, 7)="720G4I8", LEFT(A54, 7)="7200440"), RIGHT(D552, 1)&amp;E552&amp;F552&amp;G552&amp;H549&amp;I549&amp;J549&amp;K549&amp;L549&amp;M549, RIGHT(D519, 1)&amp;E519&amp;F519&amp;G519&amp;H516&amp;I516&amp;J516&amp;K516&amp;L516&amp;M516))</f>
        <v/>
      </c>
      <c r="C54" s="98" t="s">
        <v>176</v>
      </c>
      <c r="D54" s="159" t="n">
        <f aca="false" ca="false" dt2D="false" dtr="false" t="normal">D49</f>
        <v>7</v>
      </c>
      <c r="E54" s="160" t="n">
        <f aca="false" ca="false" dt2D="false" dtr="false" t="normal">E49</f>
        <v>20</v>
      </c>
      <c r="F54" s="160" t="n">
        <f aca="false" ca="false" dt2D="false" dtr="false" t="normal">F49</f>
        <v>1</v>
      </c>
      <c r="G54" s="161" t="n">
        <f aca="false" ca="false" dt2D="false" dtr="false" t="normal">G49</f>
        <v>5</v>
      </c>
      <c r="H54" s="162" t="n">
        <f aca="false" ca="false" dt2D="false" dtr="false" t="normal">BIN2HEX(H55, 2)</f>
        <v>0</v>
      </c>
      <c r="I54" s="163" t="n">
        <f aca="false" ca="false" dt2D="false" dtr="false" t="normal">BIN2HEX(I55, 2)</f>
        <v>0</v>
      </c>
      <c r="J54" s="164" t="n">
        <f aca="false" ca="false" dt2D="false" dtr="false" t="normal">BIN2HEX(J55, 2)</f>
        <v>0</v>
      </c>
      <c r="K54" s="165" t="n">
        <f aca="false" ca="false" dt2D="false" dtr="false" t="normal">BIN2HEX(K55, 2)</f>
        <v>0</v>
      </c>
      <c r="L54" s="288" t="n">
        <f aca="false" ca="false" dt2D="false" dtr="false" t="normal">BIN2HEX(L55, 2)</f>
        <v>0</v>
      </c>
      <c r="M54" s="166" t="str">
        <f aca="false" ca="false" dt2D="false" dtr="false" t="normal">IF(LEN(M55)&gt;2, MID(M55, 2, 2), M55)</f>
        <v>2D</v>
      </c>
      <c r="N54" s="63" t="s">
        <v>181</v>
      </c>
      <c r="P54" s="136" t="n">
        <f aca="false" ca="false" dt2D="false" dtr="false" t="normal">MID(H50, 5, 1)</f>
        <v>0</v>
      </c>
      <c r="Q54" s="137" t="n">
        <f aca="false" ca="false" dt2D="false" dtr="false" t="normal">P54</f>
        <v>0</v>
      </c>
      <c r="R54" s="120" t="s">
        <v>200</v>
      </c>
      <c r="S54" s="131" t="s">
        <v>196</v>
      </c>
      <c r="T54" s="136" t="n">
        <f aca="false" ca="false" dt2D="false" dtr="false" t="normal">MID(I50, 5, 1)</f>
        <v>0</v>
      </c>
      <c r="U54" s="137" t="n">
        <f aca="false" ca="false" dt2D="false" dtr="false" t="normal">T54</f>
        <v>0</v>
      </c>
      <c r="V54" s="120" t="s">
        <v>200</v>
      </c>
      <c r="W54" s="131" t="s">
        <v>196</v>
      </c>
      <c r="X54" s="136" t="n">
        <f aca="false" ca="false" dt2D="false" dtr="false" t="normal">MID(J50, 5, 1)</f>
        <v>0</v>
      </c>
      <c r="Y54" s="137" t="n">
        <f aca="false" ca="false" dt2D="false" dtr="false" t="normal">X54</f>
        <v>0</v>
      </c>
      <c r="Z54" s="120" t="s">
        <v>200</v>
      </c>
      <c r="AA54" s="131" t="s">
        <v>196</v>
      </c>
      <c r="AB54" s="136" t="n">
        <f aca="false" ca="false" dt2D="false" dtr="false" t="normal">MID(K50, 5, 1)</f>
        <v>0</v>
      </c>
      <c r="AC54" s="137" t="n">
        <f aca="false" ca="false" dt2D="false" dtr="false" t="normal">AB54</f>
        <v>0</v>
      </c>
      <c r="AD54" s="120" t="s">
        <v>200</v>
      </c>
      <c r="AE54" s="131" t="s">
        <v>196</v>
      </c>
      <c r="AF54" s="136" t="n">
        <f aca="false" ca="false" dt2D="false" dtr="false" t="normal">MID(L50, 5, 1)</f>
        <v>0</v>
      </c>
      <c r="AG54" s="137" t="n">
        <f aca="false" ca="false" dt2D="false" dtr="false" t="normal">AF54</f>
        <v>0</v>
      </c>
      <c r="AH54" s="120" t="s">
        <v>200</v>
      </c>
      <c r="AI54" s="131" t="s">
        <v>196</v>
      </c>
      <c r="AJ54" s="1441" t="s"/>
      <c r="AK54" s="1442" t="s"/>
      <c r="AN54" s="1207" t="n"/>
      <c r="AO54" s="0" t="str">
        <f aca="false" ca="false" dt2D="false" dtr="false" t="normal">H670&amp;I670&amp;J670&amp;K670&amp;L670</f>
        <v/>
      </c>
      <c r="AP54" s="0" t="str">
        <f aca="false" ca="false" dt2D="false" dtr="false" t="normal">AO54</f>
        <v/>
      </c>
      <c r="AT54" s="1208" t="s">
        <v>880</v>
      </c>
      <c r="AU54" s="1209" t="s">
        <v>881</v>
      </c>
      <c r="AV54" s="1208" t="s">
        <v>880</v>
      </c>
    </row>
    <row hidden="false" ht="15" outlineLevel="0" r="55">
      <c r="A55" s="91" t="n"/>
      <c r="B55" s="92" t="str">
        <f aca="false" ca="false" dt2D="false" dtr="false" t="normal">IF(OR(LEFT(A55, 7)="720G4I8", LEFT(A55, 7)="7200440"), RIGHT(D552, 1)&amp;E552&amp;F552&amp;G552&amp;H549&amp;I549&amp;J549&amp;K549&amp;L549&amp;M549, IF(OR(LEFT(A55, 7)="720G4I9", LEFT(A55, 7)="7200441"), RIGHT(D563, 1)&amp;E563&amp;F563&amp;G563&amp;H560&amp;I560&amp;J560&amp;K560&amp;L560&amp;M560, RIGHT(D530, 1)&amp;E530&amp;F530&amp;G530&amp;H527&amp;I527&amp;J527&amp;K527&amp;L527&amp;M527))</f>
        <v/>
      </c>
      <c r="C55" s="98" t="s">
        <v>185</v>
      </c>
      <c r="D55" s="53" t="n">
        <f aca="false" ca="false" dt2D="false" dtr="false" t="normal">HEX2BIN(D54, 8)</f>
        <v>111</v>
      </c>
      <c r="E55" s="53" t="n">
        <f aca="false" ca="false" dt2D="false" dtr="false" t="normal">HEX2BIN(E54, 8)</f>
        <v>100000</v>
      </c>
      <c r="F55" s="53" t="n">
        <f aca="false" ca="false" dt2D="false" dtr="false" t="normal">HEX2BIN(F54, 8)</f>
        <v>1</v>
      </c>
      <c r="G55" s="53" t="n">
        <f aca="false" ca="false" dt2D="false" dtr="false" t="normal">HEX2BIN(G54, 8)</f>
        <v>101</v>
      </c>
      <c r="H55" s="171" t="n">
        <f aca="false" ca="false" dt2D="false" dtr="false" t="normal">Q50&amp;Q51&amp;Q52&amp;Q53&amp;Q54&amp;Q55&amp;Q56&amp;Q57</f>
        <v>0</v>
      </c>
      <c r="I55" s="53" t="n">
        <f aca="false" ca="false" dt2D="false" dtr="false" t="normal">U50&amp;U51&amp;U52&amp;U53&amp;U54&amp;U55&amp;U56&amp;U57</f>
        <v>0</v>
      </c>
      <c r="J55" s="171" t="n">
        <f aca="false" ca="false" dt2D="false" dtr="false" t="normal">Y50&amp;Y51&amp;Y52&amp;Y53&amp;Y54&amp;Y55&amp;Y56&amp;Y57</f>
        <v>0</v>
      </c>
      <c r="K55" s="171" t="n">
        <f aca="false" ca="false" dt2D="false" dtr="false" t="normal">AC50&amp;AC51&amp;AC52&amp;AC53&amp;AC54&amp;AC55&amp;AC56&amp;AC57</f>
        <v>0</v>
      </c>
      <c r="L55" s="53" t="n">
        <f aca="false" ca="false" dt2D="false" dtr="false" t="normal">AG50&amp;AG51&amp;AG52&amp;AG53&amp;AG54&amp;AG55&amp;AG56&amp;AG57</f>
        <v>0</v>
      </c>
      <c r="M55" s="53" t="str">
        <f aca="false" ca="false" dt2D="false" dtr="false" t="normal">DEC2HEX(M56)</f>
        <v>2D</v>
      </c>
      <c r="N55" s="63" t="n"/>
      <c r="P55" s="136" t="n">
        <f aca="false" ca="false" dt2D="false" dtr="false" t="normal">MID(H50, 6, 1)</f>
        <v>0</v>
      </c>
      <c r="Q55" s="137" t="n">
        <f aca="false" ca="false" dt2D="false" dtr="false" t="normal">P55</f>
        <v>0</v>
      </c>
      <c r="R55" s="120" t="s">
        <v>203</v>
      </c>
      <c r="S55" s="131" t="s">
        <v>196</v>
      </c>
      <c r="T55" s="136" t="n">
        <f aca="false" ca="false" dt2D="false" dtr="false" t="normal">MID(I50, 6, 1)</f>
        <v>0</v>
      </c>
      <c r="U55" s="137" t="n">
        <f aca="false" ca="false" dt2D="false" dtr="false" t="normal">T55</f>
        <v>0</v>
      </c>
      <c r="V55" s="120" t="s">
        <v>203</v>
      </c>
      <c r="W55" s="131" t="s">
        <v>196</v>
      </c>
      <c r="X55" s="136" t="n">
        <f aca="false" ca="false" dt2D="false" dtr="false" t="normal">MID(J50, 6, 1)</f>
        <v>0</v>
      </c>
      <c r="Y55" s="137" t="n">
        <f aca="false" ca="false" dt2D="false" dtr="false" t="normal">X55</f>
        <v>0</v>
      </c>
      <c r="Z55" s="120" t="s">
        <v>203</v>
      </c>
      <c r="AA55" s="131" t="s">
        <v>196</v>
      </c>
      <c r="AB55" s="136" t="n">
        <f aca="false" ca="false" dt2D="false" dtr="false" t="normal">MID(K50, 6, 1)</f>
        <v>0</v>
      </c>
      <c r="AC55" s="137" t="n">
        <f aca="false" ca="false" dt2D="false" dtr="false" t="normal">AB55</f>
        <v>0</v>
      </c>
      <c r="AD55" s="120" t="s">
        <v>203</v>
      </c>
      <c r="AE55" s="131" t="s">
        <v>196</v>
      </c>
      <c r="AF55" s="136" t="n">
        <f aca="false" ca="false" dt2D="false" dtr="false" t="normal">MID(L50, 6, 1)</f>
        <v>0</v>
      </c>
      <c r="AG55" s="137" t="n">
        <f aca="false" ca="false" dt2D="false" dtr="false" t="normal">AF55</f>
        <v>0</v>
      </c>
      <c r="AH55" s="120" t="s">
        <v>203</v>
      </c>
      <c r="AI55" s="131" t="s">
        <v>196</v>
      </c>
      <c r="AJ55" s="1443" t="s"/>
      <c r="AK55" s="1444" t="s"/>
      <c r="AN55" s="1207" t="n"/>
      <c r="AO55" s="0" t="str">
        <f aca="false" ca="false" dt2D="false" dtr="false" t="normal">H681&amp;I681&amp;J681&amp;K681&amp;L681</f>
        <v/>
      </c>
      <c r="AP55" s="0" t="str">
        <f aca="false" ca="false" dt2D="false" dtr="false" t="normal">AO55</f>
        <v/>
      </c>
      <c r="AT55" s="1208" t="s">
        <v>882</v>
      </c>
      <c r="AU55" s="1209" t="s">
        <v>883</v>
      </c>
      <c r="AV55" s="1208" t="s">
        <v>882</v>
      </c>
    </row>
    <row hidden="false" ht="15" outlineLevel="0" r="56">
      <c r="A56" s="91" t="n"/>
      <c r="B56" s="92" t="str">
        <f aca="false" ca="false" dt2D="false" dtr="false" t="normal">IF(OR(LEFT(A56, 7)="720G4I9", LEFT(A56, 7)="7200441"), RIGHT(D563, 1)&amp;E563&amp;F563&amp;G563&amp;H560&amp;I560&amp;J560&amp;K560&amp;L560&amp;M560, IF(OR(LEFT(A56, 7)="720G4IA", LEFT(A56, 7)="7200442"), RIGHT(D574, 1)&amp;E574&amp;F574&amp;G574&amp;H571&amp;I571&amp;J571&amp;K571&amp;L571&amp;M571, RIGHT(D541, 1)&amp;E541&amp;F541&amp;G541&amp;H538&amp;I538&amp;J538&amp;K538&amp;L538&amp;M538))</f>
        <v/>
      </c>
      <c r="C56" s="98" t="s">
        <v>191</v>
      </c>
      <c r="D56" s="53" t="n">
        <f aca="false" ca="false" dt2D="false" dtr="false" t="normal">HEX2DEC(D54)</f>
        <v>7</v>
      </c>
      <c r="E56" s="53" t="n">
        <f aca="false" ca="false" dt2D="false" dtr="false" t="normal">HEX2DEC(E54)</f>
        <v>32</v>
      </c>
      <c r="F56" s="53" t="n">
        <f aca="false" ca="false" dt2D="false" dtr="false" t="normal">HEX2DEC(F54)</f>
        <v>1</v>
      </c>
      <c r="G56" s="53" t="n">
        <f aca="false" ca="false" dt2D="false" dtr="false" t="normal">HEX2DEC(G54)</f>
        <v>5</v>
      </c>
      <c r="H56" s="53" t="n">
        <f aca="false" ca="false" dt2D="false" dtr="false" t="normal">HEX2DEC(H54)</f>
        <v>0</v>
      </c>
      <c r="I56" s="53" t="n">
        <f aca="false" ca="false" dt2D="false" dtr="false" t="normal">HEX2DEC(I54)</f>
        <v>0</v>
      </c>
      <c r="J56" s="53" t="n">
        <f aca="false" ca="false" dt2D="false" dtr="false" t="normal">HEX2DEC(J54)</f>
        <v>0</v>
      </c>
      <c r="K56" s="53" t="n">
        <f aca="false" ca="false" dt2D="false" dtr="false" t="normal">HEX2DEC(K54)</f>
        <v>0</v>
      </c>
      <c r="L56" s="53" t="n">
        <f aca="false" ca="false" dt2D="false" dtr="false" t="normal">HEX2DEC(L54)</f>
        <v>0</v>
      </c>
      <c r="M56" s="53" t="n">
        <f aca="false" ca="false" dt2D="false" dtr="false" t="normal">SUM(D56:L56)</f>
        <v>45</v>
      </c>
      <c r="N56" s="63" t="n"/>
      <c r="P56" s="136" t="n">
        <f aca="false" ca="false" dt2D="false" dtr="false" t="normal">MID(H50, 7, 1)</f>
        <v>0</v>
      </c>
      <c r="Q56" s="137" t="n">
        <f aca="false" ca="false" dt2D="false" dtr="false" t="normal">P56</f>
        <v>0</v>
      </c>
      <c r="R56" s="120" t="s">
        <v>206</v>
      </c>
      <c r="S56" s="131" t="s">
        <v>196</v>
      </c>
      <c r="T56" s="136" t="n">
        <f aca="false" ca="false" dt2D="false" dtr="false" t="normal">MID(I50, 7, 1)</f>
        <v>0</v>
      </c>
      <c r="U56" s="137" t="n">
        <f aca="false" ca="false" dt2D="false" dtr="false" t="normal">T56</f>
        <v>0</v>
      </c>
      <c r="V56" s="120" t="s">
        <v>206</v>
      </c>
      <c r="W56" s="131" t="s">
        <v>196</v>
      </c>
      <c r="X56" s="136" t="n">
        <f aca="false" ca="false" dt2D="false" dtr="false" t="normal">MID(J50, 7, 1)</f>
        <v>0</v>
      </c>
      <c r="Y56" s="137" t="n">
        <f aca="false" ca="false" dt2D="false" dtr="false" t="normal">X56</f>
        <v>0</v>
      </c>
      <c r="Z56" s="120" t="s">
        <v>206</v>
      </c>
      <c r="AA56" s="131" t="s">
        <v>196</v>
      </c>
      <c r="AB56" s="136" t="n">
        <f aca="false" ca="false" dt2D="false" dtr="false" t="normal">MID(K50, 7, 1)</f>
        <v>0</v>
      </c>
      <c r="AC56" s="137" t="n">
        <f aca="false" ca="false" dt2D="false" dtr="false" t="normal">AB56</f>
        <v>0</v>
      </c>
      <c r="AD56" s="120" t="s">
        <v>206</v>
      </c>
      <c r="AE56" s="131" t="s">
        <v>196</v>
      </c>
      <c r="AF56" s="136" t="n">
        <f aca="false" ca="false" dt2D="false" dtr="false" t="normal">MID(L50, 7, 1)</f>
        <v>0</v>
      </c>
      <c r="AG56" s="137" t="n">
        <f aca="false" ca="false" dt2D="false" dtr="false" t="normal">AF56</f>
        <v>0</v>
      </c>
      <c r="AH56" s="120" t="s">
        <v>206</v>
      </c>
      <c r="AI56" s="131" t="s">
        <v>196</v>
      </c>
      <c r="AJ56" s="1445" t="s"/>
      <c r="AK56" s="1446" t="s"/>
      <c r="AN56" s="1207" t="n"/>
      <c r="AO56" s="0" t="str">
        <f aca="false" ca="false" dt2D="false" dtr="false" t="normal">H692&amp;I692&amp;J692&amp;K692&amp;L692</f>
        <v/>
      </c>
      <c r="AP56" s="0" t="str">
        <f aca="false" ca="false" dt2D="false" dtr="false" t="normal">AO56</f>
        <v/>
      </c>
      <c r="AT56" s="1208" t="s">
        <v>884</v>
      </c>
      <c r="AU56" s="1209" t="s">
        <v>885</v>
      </c>
      <c r="AV56" s="1208" t="s">
        <v>884</v>
      </c>
    </row>
    <row hidden="false" ht="15.75" outlineLevel="0" r="57">
      <c r="A57" s="91" t="n"/>
      <c r="B57" s="92" t="str">
        <f aca="false" ca="false" dt2D="false" dtr="false" t="normal">IF(OR(LEFT(A57, 7)="720G4IA", LEFT(A57, 7)="7200442"), RIGHT(D574, 1)&amp;E574&amp;F574&amp;G574&amp;H571&amp;I571&amp;J571&amp;K571&amp;L571&amp;M571, IF(OR(LEFT(A57, 7)="720G4IB", LEFT(A57, 7)="7200443"), RIGHT(D585, 1)&amp;E585&amp;F585&amp;G585&amp;H582&amp;I582&amp;J582&amp;K582&amp;L582&amp;M582, RIGHT(D552, 1)&amp;E552&amp;F552&amp;G552&amp;H549&amp;I549&amp;J549&amp;K549&amp;L549&amp;M549))</f>
        <v/>
      </c>
      <c r="C57" s="180" t="s">
        <v>194</v>
      </c>
      <c r="D57" s="299" t="n">
        <f aca="false" ca="false" dt2D="false" dtr="false" t="normal">D52</f>
        <v>7</v>
      </c>
      <c r="E57" s="299" t="n">
        <f aca="false" ca="false" dt2D="false" dtr="false" t="normal">E52</f>
        <v>20</v>
      </c>
      <c r="F57" s="299" t="str">
        <f aca="false" ca="false" dt2D="false" dtr="false" t="normal">F52</f>
        <v>G1</v>
      </c>
      <c r="G57" s="299" t="str">
        <f aca="false" ca="false" dt2D="false" dtr="false" t="normal">G52</f>
        <v>G5</v>
      </c>
      <c r="H57" s="45" t="n"/>
      <c r="I57" s="45" t="n"/>
      <c r="J57" s="45" t="n"/>
      <c r="K57" s="45" t="n"/>
      <c r="L57" s="45" t="n"/>
      <c r="M57" s="45" t="n"/>
      <c r="N57" s="49" t="n"/>
      <c r="P57" s="182" t="n">
        <f aca="false" ca="false" dt2D="false" dtr="false" t="normal">MID(H50, 8, 1)</f>
        <v>0</v>
      </c>
      <c r="Q57" s="183" t="n">
        <f aca="false" ca="false" dt2D="false" dtr="false" t="normal">P57</f>
        <v>0</v>
      </c>
      <c r="R57" s="184" t="s">
        <v>208</v>
      </c>
      <c r="S57" s="185" t="s">
        <v>196</v>
      </c>
      <c r="T57" s="182" t="n">
        <f aca="false" ca="false" dt2D="false" dtr="false" t="normal">MID(I50, 8, 1)</f>
        <v>0</v>
      </c>
      <c r="U57" s="183" t="n">
        <f aca="false" ca="false" dt2D="false" dtr="false" t="normal">T57</f>
        <v>0</v>
      </c>
      <c r="V57" s="184" t="s">
        <v>208</v>
      </c>
      <c r="W57" s="185" t="s">
        <v>196</v>
      </c>
      <c r="X57" s="182" t="n">
        <f aca="false" ca="false" dt2D="false" dtr="false" t="normal">MID(J50, 8, 1)</f>
        <v>0</v>
      </c>
      <c r="Y57" s="183" t="n">
        <f aca="false" ca="false" dt2D="false" dtr="false" t="normal">X57</f>
        <v>0</v>
      </c>
      <c r="Z57" s="184" t="s">
        <v>208</v>
      </c>
      <c r="AA57" s="185" t="s">
        <v>196</v>
      </c>
      <c r="AB57" s="182" t="n">
        <f aca="false" ca="false" dt2D="false" dtr="false" t="normal">MID(K50, 8, 1)</f>
        <v>0</v>
      </c>
      <c r="AC57" s="183" t="n">
        <f aca="false" ca="false" dt2D="false" dtr="false" t="normal">AB57</f>
        <v>0</v>
      </c>
      <c r="AD57" s="184" t="s">
        <v>208</v>
      </c>
      <c r="AE57" s="185" t="s">
        <v>196</v>
      </c>
      <c r="AF57" s="182" t="n">
        <f aca="false" ca="false" dt2D="false" dtr="false" t="normal">MID(L50, 8, 1)</f>
        <v>0</v>
      </c>
      <c r="AG57" s="183" t="n">
        <f aca="false" ca="false" dt2D="false" dtr="false" t="normal">AF57</f>
        <v>0</v>
      </c>
      <c r="AH57" s="184" t="s">
        <v>208</v>
      </c>
      <c r="AI57" s="185" t="s">
        <v>196</v>
      </c>
      <c r="AJ57" s="1447" t="s"/>
      <c r="AK57" s="1448" t="s"/>
      <c r="AT57" s="1208" t="s">
        <v>886</v>
      </c>
      <c r="AU57" s="1209" t="s">
        <v>887</v>
      </c>
      <c r="AV57" s="1208" t="s">
        <v>886</v>
      </c>
    </row>
    <row hidden="false" ht="15.75" outlineLevel="0" r="58">
      <c r="A58" s="91" t="n"/>
      <c r="B58" s="92" t="str">
        <f aca="false" ca="false" dt2D="false" dtr="false" t="normal">IF(OR(LEFT(A58, 7)="720G4IB", LEFT(A58, 7)="7200443"), RIGHT(D585, 1)&amp;E585&amp;F585&amp;G585&amp;H582&amp;I582&amp;J582&amp;K582&amp;L582&amp;M582, IF(OR(LEFT(A58, 7)="720G4IC", LEFT(A58, 7)="7200444"), RIGHT(D596, 1)&amp;E596&amp;F596&amp;G596&amp;H593&amp;I593&amp;J593&amp;K593&amp;L593&amp;M593, RIGHT(D563, 1)&amp;E563&amp;F563&amp;G563&amp;H560&amp;I560&amp;J560&amp;K560&amp;L560&amp;M560))</f>
        <v/>
      </c>
      <c r="C58" s="93" t="n"/>
      <c r="D58" s="94" t="n"/>
      <c r="E58" s="94" t="n"/>
      <c r="F58" s="94" t="n"/>
      <c r="G58" s="94" t="n"/>
      <c r="H58" s="94" t="n"/>
      <c r="I58" s="94" t="n"/>
      <c r="J58" s="94" t="n"/>
      <c r="K58" s="94" t="str">
        <f aca="false" ca="false" dt2D="false" dtr="false" t="normal">IF(L60="", "checksum", "")</f>
        <v>checksum</v>
      </c>
      <c r="L58" s="94" t="n"/>
      <c r="M58" s="94" t="str">
        <f aca="false" ca="false" dt2D="false" dtr="false" t="normal">IF(L60="", "", "checksum")</f>
        <v/>
      </c>
      <c r="N58" s="60" t="n"/>
      <c r="P58" s="95" t="str">
        <f aca="false" ca="false" dt2D="false" dtr="false" t="normal">RIGHT(D60, 1)&amp;E60&amp;"-"&amp;F60&amp;"-"&amp;G60</f>
        <v>720-01-06</v>
      </c>
      <c r="Q58" s="1449" t="s"/>
      <c r="R58" s="234" t="s">
        <v>888</v>
      </c>
      <c r="S58" s="1450" t="s"/>
      <c r="T58" s="1451" t="s"/>
      <c r="U58" s="1452" t="s"/>
      <c r="V58" s="1453" t="s"/>
      <c r="W58" s="1454" t="s"/>
      <c r="X58" s="1455" t="s"/>
      <c r="Y58" s="1456" t="s"/>
      <c r="Z58" s="1457" t="s"/>
      <c r="AA58" s="1458" t="s"/>
      <c r="AB58" s="1459" t="s"/>
      <c r="AC58" s="1460" t="s"/>
      <c r="AD58" s="1461" t="s"/>
      <c r="AE58" s="1462" t="s"/>
      <c r="AF58" s="1463" t="s"/>
      <c r="AG58" s="1464" t="s"/>
      <c r="AH58" s="1465" t="s"/>
      <c r="AI58" s="1466" t="s"/>
      <c r="AJ58" s="1467" t="s"/>
      <c r="AK58" s="1468" t="s"/>
      <c r="AL58" s="1469" t="s">
        <v>889</v>
      </c>
      <c r="AT58" s="1208" t="s">
        <v>890</v>
      </c>
      <c r="AU58" s="1209" t="s">
        <v>891</v>
      </c>
      <c r="AV58" s="1208" t="s">
        <v>890</v>
      </c>
    </row>
    <row hidden="false" ht="15.75" outlineLevel="0" r="59">
      <c r="A59" s="91" t="n"/>
      <c r="B59" s="92" t="str">
        <f aca="false" ca="false" dt2D="false" dtr="false" t="normal">IF(OR(LEFT(A59, 7)="720G4IC", LEFT(A59, 7)="7200444"), RIGHT(D596, 1)&amp;E596&amp;F596&amp;G596&amp;H593&amp;I593&amp;J593&amp;K593&amp;L593&amp;M593, IF(OR(LEFT(A59, 7)="720G4ID", LEFT(A59, 7)="7200445"), RIGHT(D607, 1)&amp;E607&amp;F607&amp;G607&amp;H604&amp;I604&amp;J604&amp;K604&amp;L604&amp;M604, RIGHT(D574, 1)&amp;E574&amp;F574&amp;G574&amp;H571&amp;I571&amp;J571&amp;K571&amp;L571&amp;M571))</f>
        <v/>
      </c>
      <c r="C59" s="98" t="n"/>
      <c r="D59" s="99" t="s">
        <v>892</v>
      </c>
      <c r="E59" s="1470" t="s"/>
      <c r="F59" s="1471" t="s"/>
      <c r="G59" s="1472" t="s"/>
      <c r="H59" s="53" t="s">
        <v>165</v>
      </c>
      <c r="I59" s="53" t="s">
        <v>166</v>
      </c>
      <c r="J59" s="53" t="s">
        <v>167</v>
      </c>
      <c r="K59" s="53" t="s">
        <v>168</v>
      </c>
      <c r="L59" s="53" t="s">
        <v>169</v>
      </c>
      <c r="M59" s="53" t="s">
        <v>221</v>
      </c>
      <c r="N59" s="63" t="n"/>
      <c r="P59" s="103" t="s">
        <v>893</v>
      </c>
      <c r="Q59" s="1473" t="s"/>
      <c r="R59" s="1474" t="s"/>
      <c r="S59" s="1475" t="s"/>
      <c r="T59" s="103" t="s">
        <v>894</v>
      </c>
      <c r="U59" s="1476" t="s"/>
      <c r="V59" s="1477" t="s"/>
      <c r="W59" s="1478" t="s"/>
      <c r="X59" s="103" t="s">
        <v>895</v>
      </c>
      <c r="Y59" s="1479" t="s"/>
      <c r="Z59" s="1480" t="s"/>
      <c r="AA59" s="1481" t="s"/>
      <c r="AB59" s="103" t="s">
        <v>896</v>
      </c>
      <c r="AC59" s="1482" t="s"/>
      <c r="AD59" s="1483" t="s"/>
      <c r="AE59" s="1484" t="s"/>
      <c r="AF59" s="103" t="s">
        <v>897</v>
      </c>
      <c r="AG59" s="1485" t="s"/>
      <c r="AH59" s="1486" t="s"/>
      <c r="AI59" s="1487" t="s"/>
      <c r="AJ59" s="103" t="s">
        <v>898</v>
      </c>
      <c r="AK59" s="1488" t="s"/>
      <c r="AL59" s="1489" t="s"/>
      <c r="AT59" s="1208" t="s">
        <v>899</v>
      </c>
      <c r="AU59" s="1209" t="s">
        <v>900</v>
      </c>
      <c r="AV59" s="1208" t="s">
        <v>899</v>
      </c>
    </row>
    <row hidden="false" ht="15.75" outlineLevel="0" r="60">
      <c r="A60" s="91" t="n"/>
      <c r="B60" s="92" t="str">
        <f aca="false" ca="false" dt2D="false" dtr="false" t="normal">IF(OR(LEFT(A60, 7)="720G4ID", LEFT(A60, 7)="7200445"), RIGHT(D607, 1)&amp;E607&amp;F607&amp;G607&amp;H604&amp;I604&amp;J604&amp;K604&amp;L604&amp;M604, IF(OR(LEFT(A60, 7)="720G4IE", LEFT(A60, 7)="7200446"), RIGHT(D618, 1)&amp;E618&amp;F618&amp;G618&amp;H615&amp;I615&amp;J615&amp;K615&amp;L615&amp;M615, RIGHT(D585, 1)&amp;E585&amp;F585&amp;G585&amp;H582&amp;I582&amp;J582&amp;K582&amp;L582&amp;M582))</f>
        <v/>
      </c>
      <c r="C60" s="98" t="s">
        <v>176</v>
      </c>
      <c r="D60" s="122" t="s">
        <v>177</v>
      </c>
      <c r="E60" s="123" t="s">
        <v>693</v>
      </c>
      <c r="F60" s="123" t="s">
        <v>179</v>
      </c>
      <c r="G60" s="124" t="s">
        <v>358</v>
      </c>
      <c r="H60" s="125" t="n">
        <f aca="false" ca="false" dt2D="false" dtr="false" ref="H60:H60" t="array">MID(INDEX($A$3:$A$70, IF(ISNA(MATCH("720G1G6*", $A$3:$A$70, 0))=TRUE, MATCH("7200106*", $A$3:$A$70, 0), MATCH("720G1G6*", $A$3:$A$70, 0))), $AU$8, 2)</f>
        <v>0</v>
      </c>
      <c r="I60" s="126" t="n">
        <f aca="false" ca="false" dt2D="false" dtr="false" ref="I60:I60" t="array">MID(INDEX($A$3:$A$70, IF(ISNA(MATCH("720G1G6*", $A$3:$A$70, 0))=TRUE, MATCH("7200106*", $A$3:$A$70, 0), MATCH("720G1G6*", $A$3:$A$70, 0))), $AV$8, 2)</f>
        <v>0</v>
      </c>
      <c r="J60" s="126" t="n">
        <f aca="false" ca="false" dt2D="false" dtr="false" ref="J60:J60" t="array">MID(INDEX($A$3:$A$70, IF(ISNA(MATCH("720G1G6*", $A$3:$A$70, 0))=TRUE, MATCH("7200106*", $A$3:$A$70, 0), MATCH("720G1G6*", $A$3:$A$70, 0))), $AW$8, 2)</f>
        <v>0</v>
      </c>
      <c r="K60" s="126" t="str">
        <f aca="false" ca="false" dt2D="false" dtr="false" ref="K60:K60" t="array">MID(INDEX($A$3:$A$70, IF(ISNA(MATCH("720G1G6*", $A$3:$A$70, 0))=TRUE, MATCH("7200106*", $A$3:$A$70, 0), MATCH("720G1G6*", $A$3:$A$70, 0))), $AX$8, 2)</f>
        <v>2E</v>
      </c>
      <c r="L60" s="274" t="str">
        <f aca="false" ca="false" dt2D="false" dtr="false" ref="L60:L60" t="array">MID(INDEX($A$3:$A$70, IF(ISNA(MATCH("720G1G6*", $A$3:$A$70, 0))=TRUE, MATCH("7200106*", $A$3:$A$70, 0), MATCH("720G1G6*", $A$3:$A$70, 0))), $AY$8, 2)</f>
        <v/>
      </c>
      <c r="M60" s="128" t="str">
        <f aca="false" ca="false" dt2D="false" dtr="false" ref="M60:M60" t="array">MID(INDEX($A$3:$A$70, IF(ISNA(MATCH("720G1G6*", $A$3:$A$70, 0))=TRUE, MATCH("7200106*", $A$3:$A$70, 0), MATCH("720G1G6*", $A$3:$A$70, 0))), $AZ$8, 2)</f>
        <v/>
      </c>
      <c r="N60" s="63" t="s">
        <v>180</v>
      </c>
      <c r="P60" s="129" t="s">
        <v>180</v>
      </c>
      <c r="Q60" s="130" t="s">
        <v>181</v>
      </c>
      <c r="R60" s="121" t="s">
        <v>182</v>
      </c>
      <c r="S60" s="131" t="n"/>
      <c r="T60" s="129" t="s">
        <v>180</v>
      </c>
      <c r="U60" s="130" t="s">
        <v>181</v>
      </c>
      <c r="V60" s="121" t="s">
        <v>182</v>
      </c>
      <c r="W60" s="131" t="n"/>
      <c r="X60" s="129" t="s">
        <v>180</v>
      </c>
      <c r="Y60" s="130" t="s">
        <v>181</v>
      </c>
      <c r="Z60" s="121" t="s">
        <v>182</v>
      </c>
      <c r="AA60" s="131" t="n"/>
      <c r="AB60" s="129" t="s">
        <v>180</v>
      </c>
      <c r="AC60" s="130" t="s">
        <v>181</v>
      </c>
      <c r="AD60" s="121" t="s">
        <v>182</v>
      </c>
      <c r="AE60" s="131" t="n"/>
      <c r="AF60" s="129" t="s">
        <v>180</v>
      </c>
      <c r="AG60" s="130" t="s">
        <v>181</v>
      </c>
      <c r="AH60" s="121" t="s">
        <v>182</v>
      </c>
      <c r="AI60" s="121" t="n"/>
      <c r="AJ60" s="116" t="s">
        <v>183</v>
      </c>
      <c r="AK60" s="1490" t="s"/>
      <c r="AL60" s="1491" t="s"/>
      <c r="AT60" s="1208" t="s">
        <v>901</v>
      </c>
      <c r="AU60" s="1209" t="s">
        <v>902</v>
      </c>
      <c r="AV60" s="1208" t="s">
        <v>901</v>
      </c>
    </row>
    <row hidden="false" ht="15" outlineLevel="0" r="61">
      <c r="A61" s="91" t="n"/>
      <c r="B61" s="92" t="str">
        <f aca="false" ca="false" dt2D="false" dtr="false" t="normal">IF(OR(LEFT(A61, 7)="720G4IE", LEFT(A61, 7)="7200446"), RIGHT(D618, 1)&amp;E618&amp;F618&amp;G618&amp;H615&amp;I615&amp;J615&amp;K615&amp;L615&amp;M615, IF(OR(LEFT(A61, 7)="720G4IF", LEFT(A61, 7)="7200447"), RIGHT(D629, 1)&amp;E629&amp;F629&amp;G629&amp;H626&amp;I626&amp;J626&amp;K626&amp;L626&amp;M626, RIGHT(D596, 1)&amp;E596&amp;F596&amp;G596&amp;H593&amp;I593&amp;J593&amp;K593&amp;L593&amp;M593))</f>
        <v/>
      </c>
      <c r="C61" s="98" t="s">
        <v>185</v>
      </c>
      <c r="D61" s="53" t="n">
        <f aca="false" ca="false" dt2D="false" dtr="false" t="normal">HEX2BIN(D60, 8)</f>
        <v>111</v>
      </c>
      <c r="E61" s="53" t="n">
        <f aca="false" ca="false" dt2D="false" dtr="false" t="normal">HEX2BIN(E60, 8)</f>
        <v>100000</v>
      </c>
      <c r="F61" s="53" t="n">
        <f aca="false" ca="false" dt2D="false" dtr="false" t="normal">HEX2BIN(F60, 8)</f>
        <v>1</v>
      </c>
      <c r="G61" s="53" t="n">
        <f aca="false" ca="false" dt2D="false" dtr="false" t="normal">HEX2BIN(G60, 8)</f>
        <v>110</v>
      </c>
      <c r="H61" s="53" t="n">
        <f aca="false" ca="false" dt2D="false" dtr="false" t="normal">HEX2BIN(H60, 8)</f>
        <v>0</v>
      </c>
      <c r="I61" s="53" t="n">
        <f aca="false" ca="false" dt2D="false" dtr="false" t="normal">HEX2BIN(I60, 8)</f>
        <v>0</v>
      </c>
      <c r="J61" s="53" t="n">
        <f aca="false" ca="false" dt2D="false" dtr="false" t="normal">HEX2BIN(J60, 8)</f>
        <v>0</v>
      </c>
      <c r="K61" s="53" t="str">
        <f aca="false" ca="false" dt2D="false" dtr="false" t="normal">IF(L60="", "", HEX2BIN(K60, 8))</f>
        <v/>
      </c>
      <c r="L61" s="53" t="str">
        <f aca="false" ca="false" dt2D="false" dtr="false" t="normal">IF(L60="", "", HEX2BIN(L60, 8))</f>
        <v/>
      </c>
      <c r="N61" s="63" t="n"/>
      <c r="P61" s="136" t="n">
        <f aca="false" ca="false" dt2D="false" dtr="false" t="normal">MID(H61, 1, 1)</f>
        <v>0</v>
      </c>
      <c r="Q61" s="137" t="n">
        <f aca="false" ca="false" dt2D="false" dtr="false" t="normal">P61</f>
        <v>0</v>
      </c>
      <c r="R61" s="120" t="s">
        <v>186</v>
      </c>
      <c r="S61" s="131" t="s">
        <v>196</v>
      </c>
      <c r="T61" s="136" t="n">
        <f aca="false" ca="false" dt2D="false" dtr="false" t="normal">MID(I61, 1, 1)</f>
        <v>0</v>
      </c>
      <c r="U61" s="137" t="n">
        <f aca="false" ca="false" dt2D="false" dtr="false" t="normal">T61</f>
        <v>0</v>
      </c>
      <c r="V61" s="120" t="s">
        <v>186</v>
      </c>
      <c r="W61" s="131" t="s">
        <v>196</v>
      </c>
      <c r="X61" s="136" t="n">
        <f aca="false" ca="false" dt2D="false" dtr="false" t="normal">MID(J61, 1, 1)</f>
        <v>0</v>
      </c>
      <c r="Y61" s="137" t="n">
        <f aca="false" ca="false" dt2D="false" dtr="false" t="normal">X61</f>
        <v>0</v>
      </c>
      <c r="Z61" s="120" t="s">
        <v>186</v>
      </c>
      <c r="AA61" s="131" t="s">
        <v>196</v>
      </c>
      <c r="AB61" s="136" t="str">
        <f aca="false" ca="false" dt2D="false" dtr="false" t="normal">MID(K61, 1, 1)</f>
        <v/>
      </c>
      <c r="AC61" s="137" t="str">
        <f aca="false" ca="false" dt2D="false" dtr="false" t="normal">AB61</f>
        <v/>
      </c>
      <c r="AD61" s="120" t="s">
        <v>186</v>
      </c>
      <c r="AE61" s="139" t="s">
        <v>903</v>
      </c>
      <c r="AF61" s="136" t="str">
        <f aca="false" ca="false" dt2D="false" dtr="false" t="normal">MID(L61, 1, 1)</f>
        <v/>
      </c>
      <c r="AG61" s="137" t="str">
        <f aca="false" ca="false" dt2D="false" dtr="false" t="normal">AF61</f>
        <v/>
      </c>
      <c r="AH61" s="120" t="s">
        <v>186</v>
      </c>
      <c r="AI61" s="139" t="s">
        <v>904</v>
      </c>
      <c r="AJ61" s="1492" t="s"/>
      <c r="AK61" s="1493" t="s"/>
      <c r="AL61" s="1494" t="s"/>
      <c r="AT61" s="1208" t="s">
        <v>905</v>
      </c>
      <c r="AU61" s="1209" t="s">
        <v>906</v>
      </c>
      <c r="AV61" s="1208" t="s">
        <v>905</v>
      </c>
    </row>
    <row hidden="false" ht="15" outlineLevel="0" r="62">
      <c r="A62" s="91" t="n"/>
      <c r="B62" s="92" t="str">
        <f aca="false" ca="false" dt2D="false" dtr="false" t="normal">IF(OR(LEFT(A62, 7)="720G4IF", LEFT(A62, 7)="7200447"), RIGHT(D629, 1)&amp;E629&amp;F629&amp;G629&amp;H626&amp;I626&amp;J626&amp;K626&amp;L626&amp;M626, IF(OR(LEFT(A62, 7)="720G4J0", LEFT(A62, 7)="7200448"), RIGHT(D640, 1)&amp;E640&amp;F640&amp;G640&amp;H637&amp;I637&amp;J637&amp;K637&amp;L637&amp;M637, RIGHT(D607, 1)&amp;E607&amp;F607&amp;G607&amp;H604&amp;I604&amp;J604&amp;K604&amp;L604&amp;M604))</f>
        <v/>
      </c>
      <c r="C62" s="98" t="s">
        <v>191</v>
      </c>
      <c r="D62" s="53" t="n">
        <f aca="false" ca="false" dt2D="false" dtr="false" t="normal">HEX2DEC(D60)</f>
        <v>7</v>
      </c>
      <c r="E62" s="53" t="n">
        <f aca="false" ca="false" dt2D="false" dtr="false" t="normal">HEX2DEC(E60)</f>
        <v>32</v>
      </c>
      <c r="F62" s="53" t="n">
        <f aca="false" ca="false" dt2D="false" dtr="false" t="normal">HEX2DEC(F60)</f>
        <v>1</v>
      </c>
      <c r="G62" s="53" t="n">
        <f aca="false" ca="false" dt2D="false" dtr="false" t="normal">HEX2DEC(G60)</f>
        <v>6</v>
      </c>
      <c r="H62" s="53" t="n">
        <f aca="false" ca="false" dt2D="false" dtr="false" t="normal">HEX2DEC(H60)</f>
        <v>0</v>
      </c>
      <c r="I62" s="53" t="n">
        <f aca="false" ca="false" dt2D="false" dtr="false" t="normal">HEX2DEC(I60)</f>
        <v>0</v>
      </c>
      <c r="J62" s="53" t="n">
        <f aca="false" ca="false" dt2D="false" dtr="false" t="normal">HEX2DEC(J60)</f>
        <v>0</v>
      </c>
      <c r="K62" s="53" t="n">
        <f aca="false" ca="false" dt2D="false" dtr="false" t="normal">IF(L60="", SUM(D62:J62), HEX2DEC(K60))</f>
        <v>46</v>
      </c>
      <c r="L62" s="53" t="str">
        <f aca="false" ca="false" dt2D="false" dtr="false" t="normal">IF(L60="", "", HEX2DEC(L60))</f>
        <v/>
      </c>
      <c r="M62" s="53" t="str">
        <f aca="false" ca="false" dt2D="false" dtr="false" t="normal">IF(L60="", "", SUM(D62:L62))</f>
        <v/>
      </c>
      <c r="N62" s="63" t="n"/>
      <c r="P62" s="136" t="n">
        <f aca="false" ca="false" dt2D="false" dtr="false" t="normal">MID(H61, 2, 1)</f>
        <v>0</v>
      </c>
      <c r="Q62" s="137" t="n">
        <f aca="false" ca="false" dt2D="false" dtr="false" t="normal">P62</f>
        <v>0</v>
      </c>
      <c r="R62" s="120" t="s">
        <v>192</v>
      </c>
      <c r="S62" s="131" t="s">
        <v>196</v>
      </c>
      <c r="T62" s="136" t="n">
        <f aca="false" ca="false" dt2D="false" dtr="false" t="normal">MID(I61, 2, 1)</f>
        <v>0</v>
      </c>
      <c r="U62" s="137" t="n">
        <f aca="false" ca="false" dt2D="false" dtr="false" t="normal">T62</f>
        <v>0</v>
      </c>
      <c r="V62" s="120" t="s">
        <v>192</v>
      </c>
      <c r="W62" s="131" t="s">
        <v>196</v>
      </c>
      <c r="X62" s="136" t="n">
        <f aca="false" ca="false" dt2D="false" dtr="false" t="normal">MID(J61, 2, 1)</f>
        <v>0</v>
      </c>
      <c r="Y62" s="137" t="n">
        <f aca="false" ca="false" dt2D="false" dtr="false" t="normal">X62</f>
        <v>0</v>
      </c>
      <c r="Z62" s="120" t="s">
        <v>192</v>
      </c>
      <c r="AA62" s="131" t="s">
        <v>196</v>
      </c>
      <c r="AB62" s="136" t="str">
        <f aca="false" ca="false" dt2D="false" dtr="false" t="normal">MID(K61, 2, 1)</f>
        <v/>
      </c>
      <c r="AC62" s="137" t="str">
        <f aca="false" ca="false" dt2D="false" dtr="false" t="normal">AB62</f>
        <v/>
      </c>
      <c r="AD62" s="120" t="s">
        <v>192</v>
      </c>
      <c r="AE62" s="131" t="s">
        <v>196</v>
      </c>
      <c r="AF62" s="136" t="str">
        <f aca="false" ca="false" dt2D="false" dtr="false" t="normal">MID(L61, 2, 1)</f>
        <v/>
      </c>
      <c r="AG62" s="137" t="str">
        <f aca="false" ca="false" dt2D="false" dtr="false" t="normal">AF62</f>
        <v/>
      </c>
      <c r="AH62" s="120" t="s">
        <v>192</v>
      </c>
      <c r="AI62" s="139" t="s">
        <v>907</v>
      </c>
      <c r="AJ62" s="1495" t="s"/>
      <c r="AK62" s="1496" t="s"/>
      <c r="AL62" s="1497" t="s"/>
      <c r="AT62" s="1208" t="s">
        <v>908</v>
      </c>
      <c r="AU62" s="1209" t="s">
        <v>909</v>
      </c>
      <c r="AV62" s="1208" t="s">
        <v>908</v>
      </c>
    </row>
    <row hidden="false" ht="15" outlineLevel="0" r="63">
      <c r="A63" s="91" t="n"/>
      <c r="B63" s="92" t="str">
        <f aca="false" ca="false" dt2D="false" dtr="false" t="normal">IF(OR(LEFT(A63, 7)="720G4J0", LEFT(A63, 7)="7200448"), RIGHT(D640, 1)&amp;E640&amp;F640&amp;G640&amp;H637&amp;I637&amp;J637&amp;K637&amp;L637&amp;M637, IF(OR(LEFT(A63, 7)="720G4J1", LEFT(A63, 7)="7200449"), RIGHT(D651, 1)&amp;E651&amp;F651&amp;G651&amp;H648&amp;I648&amp;J648&amp;K648&amp;L648&amp;M648, RIGHT(D618, 1)&amp;E618&amp;F618&amp;G618&amp;H615&amp;I615&amp;J615&amp;K615&amp;L615&amp;M615))</f>
        <v/>
      </c>
      <c r="C63" s="98" t="s">
        <v>194</v>
      </c>
      <c r="D63" s="149" t="n">
        <f aca="false" ca="false" dt2D="false" dtr="false" t="normal">D60</f>
        <v>7</v>
      </c>
      <c r="E63" s="149" t="n">
        <f aca="false" ca="false" dt2D="false" dtr="false" t="normal">E60</f>
        <v>20</v>
      </c>
      <c r="F63" s="53" t="str">
        <f aca="false" ca="false" dt2D="false" dtr="false" t="normal">MID(INDEX($A$3:$A$70, IF(ISNA(MATCH("720G1G6*", $A$3:$A$70, 0))=TRUE, MATCH("7200106*", $A$3:$A$70, 0), MATCH("720G1G6*", $A$3:$A$70, 0))), $AS$8, 2)</f>
        <v>G1</v>
      </c>
      <c r="G63" s="53" t="str">
        <f aca="false" ca="false" dt2D="false" dtr="false" t="normal">MID(INDEX($A$3:$A$70, IF(ISNA(MATCH("720G1G6*", $A$3:$A$70, 0))=TRUE, MATCH("7200106*", $A$3:$A$70, 0), MATCH("720G1G6*", $A$3:$A$70, 0))), $AT$8, 2)</f>
        <v>G6</v>
      </c>
      <c r="N63" s="63" t="n"/>
      <c r="P63" s="136" t="n">
        <f aca="false" ca="false" dt2D="false" dtr="false" t="normal">MID(H61, 3, 1)</f>
        <v>0</v>
      </c>
      <c r="Q63" s="137" t="n">
        <f aca="false" ca="false" dt2D="false" dtr="false" t="normal">P63</f>
        <v>0</v>
      </c>
      <c r="R63" s="120" t="s">
        <v>195</v>
      </c>
      <c r="S63" s="131" t="s">
        <v>196</v>
      </c>
      <c r="T63" s="136" t="n">
        <f aca="false" ca="false" dt2D="false" dtr="false" t="normal">MID(I61, 3, 1)</f>
        <v>0</v>
      </c>
      <c r="U63" s="137" t="n">
        <f aca="false" ca="false" dt2D="false" dtr="false" t="normal">T63</f>
        <v>0</v>
      </c>
      <c r="V63" s="120" t="s">
        <v>195</v>
      </c>
      <c r="W63" s="131" t="s">
        <v>196</v>
      </c>
      <c r="X63" s="136" t="n">
        <f aca="false" ca="false" dt2D="false" dtr="false" t="normal">MID(J61, 3, 1)</f>
        <v>0</v>
      </c>
      <c r="Y63" s="137" t="n">
        <f aca="false" ca="false" dt2D="false" dtr="false" t="normal">X63</f>
        <v>0</v>
      </c>
      <c r="Z63" s="120" t="s">
        <v>195</v>
      </c>
      <c r="AA63" s="131" t="s">
        <v>196</v>
      </c>
      <c r="AB63" s="136" t="str">
        <f aca="false" ca="false" dt2D="false" dtr="false" t="normal">MID(K61, 3, 1)</f>
        <v/>
      </c>
      <c r="AC63" s="137" t="str">
        <f aca="false" ca="false" dt2D="false" dtr="false" t="normal">AB63</f>
        <v/>
      </c>
      <c r="AD63" s="120" t="s">
        <v>195</v>
      </c>
      <c r="AE63" s="131" t="s">
        <v>196</v>
      </c>
      <c r="AF63" s="136" t="str">
        <f aca="false" ca="false" dt2D="false" dtr="false" t="normal">MID(L61, 3, 1)</f>
        <v/>
      </c>
      <c r="AG63" s="137" t="str">
        <f aca="false" ca="false" dt2D="false" dtr="false" t="normal">AF63</f>
        <v/>
      </c>
      <c r="AH63" s="120" t="s">
        <v>195</v>
      </c>
      <c r="AI63" s="139" t="s">
        <v>910</v>
      </c>
      <c r="AJ63" s="1498" t="s"/>
      <c r="AK63" s="1499" t="s"/>
      <c r="AL63" s="1500" t="s"/>
      <c r="AT63" s="1208" t="s">
        <v>911</v>
      </c>
      <c r="AU63" s="1209" t="s">
        <v>912</v>
      </c>
      <c r="AV63" s="1208" t="s">
        <v>911</v>
      </c>
    </row>
    <row hidden="false" ht="15.75" outlineLevel="0" r="64">
      <c r="A64" s="91" t="n"/>
      <c r="B64" s="92" t="str">
        <f aca="false" ca="false" dt2D="false" dtr="false" t="normal">IF(OR(LEFT(A64, 7)="720G4J1", LEFT(A64, 7)="7200449"), RIGHT(D651, 1)&amp;E651&amp;F651&amp;G651&amp;H648&amp;I648&amp;J648&amp;K648&amp;L648&amp;M648, IF(OR(LEFT(A64, 7)="720G4J2", LEFT(A64, 7)="7200450"), RIGHT(D662, 1)&amp;E662&amp;F662&amp;G662&amp;H659&amp;I659&amp;J659&amp;K659&amp;L659&amp;M659, RIGHT(D629, 1)&amp;E629&amp;F629&amp;G629&amp;H626&amp;I626&amp;J626&amp;K626&amp;L626&amp;M626))</f>
        <v/>
      </c>
      <c r="C64" s="98" t="n"/>
      <c r="N64" s="63" t="n"/>
      <c r="P64" s="136" t="n">
        <f aca="false" ca="false" dt2D="false" dtr="false" t="normal">MID(H61, 4, 1)</f>
        <v>0</v>
      </c>
      <c r="Q64" s="137" t="n">
        <f aca="false" ca="false" dt2D="false" dtr="false" t="normal">P64</f>
        <v>0</v>
      </c>
      <c r="R64" s="120" t="s">
        <v>197</v>
      </c>
      <c r="S64" s="131" t="s">
        <v>196</v>
      </c>
      <c r="T64" s="136" t="n">
        <f aca="false" ca="false" dt2D="false" dtr="false" t="normal">MID(I61, 4, 1)</f>
        <v>0</v>
      </c>
      <c r="U64" s="137" t="n">
        <f aca="false" ca="false" dt2D="false" dtr="false" t="normal">T64</f>
        <v>0</v>
      </c>
      <c r="V64" s="120" t="s">
        <v>197</v>
      </c>
      <c r="W64" s="131" t="s">
        <v>196</v>
      </c>
      <c r="X64" s="136" t="n">
        <f aca="false" ca="false" dt2D="false" dtr="false" t="normal">MID(J61, 4, 1)</f>
        <v>0</v>
      </c>
      <c r="Y64" s="137" t="n">
        <f aca="false" ca="false" dt2D="false" dtr="false" t="normal">X64</f>
        <v>0</v>
      </c>
      <c r="Z64" s="120" t="s">
        <v>197</v>
      </c>
      <c r="AA64" s="131" t="s">
        <v>196</v>
      </c>
      <c r="AB64" s="136" t="str">
        <f aca="false" ca="false" dt2D="false" dtr="false" t="normal">MID(K61, 4, 1)</f>
        <v/>
      </c>
      <c r="AC64" s="137" t="str">
        <f aca="false" ca="false" dt2D="false" dtr="false" t="normal">AB64</f>
        <v/>
      </c>
      <c r="AD64" s="120" t="s">
        <v>197</v>
      </c>
      <c r="AE64" s="131" t="s">
        <v>196</v>
      </c>
      <c r="AF64" s="136" t="str">
        <f aca="false" ca="false" dt2D="false" dtr="false" t="normal">MID(L61, 4, 1)</f>
        <v/>
      </c>
      <c r="AG64" s="137" t="str">
        <f aca="false" ca="false" dt2D="false" dtr="false" t="normal">AF64</f>
        <v/>
      </c>
      <c r="AH64" s="120" t="s">
        <v>197</v>
      </c>
      <c r="AI64" s="139" t="s">
        <v>913</v>
      </c>
      <c r="AJ64" s="1501" t="s"/>
      <c r="AK64" s="1502" t="s"/>
      <c r="AL64" s="1503" t="s"/>
      <c r="AT64" s="1208" t="s">
        <v>914</v>
      </c>
      <c r="AU64" s="1209" t="s">
        <v>915</v>
      </c>
      <c r="AV64" s="1208" t="s">
        <v>914</v>
      </c>
    </row>
    <row hidden="false" ht="15.75" outlineLevel="0" r="65">
      <c r="A65" s="91" t="n"/>
      <c r="B65" s="92" t="str">
        <f aca="false" ca="false" dt2D="false" dtr="false" t="normal">IF(OR(LEFT(A65, 7)="720G4J2", LEFT(A65, 7)="7200450"), RIGHT(D662, 1)&amp;E662&amp;F662&amp;G662&amp;H659&amp;I659&amp;J659&amp;K659&amp;L659&amp;M659, IF(OR(LEFT(A65, 7)="720G4J3", LEFT(A65, 7)="7200451"), RIGHT(D673, 1)&amp;E673&amp;F673&amp;G673&amp;H670&amp;I670&amp;J670&amp;K670&amp;L670&amp;M670, RIGHT(D640, 1)&amp;E640&amp;F640&amp;G640&amp;H637&amp;I637&amp;J637&amp;K637&amp;L637&amp;M637))</f>
        <v/>
      </c>
      <c r="C65" s="98" t="s">
        <v>176</v>
      </c>
      <c r="D65" s="159" t="n">
        <f aca="false" ca="false" dt2D="false" dtr="false" t="normal">D60</f>
        <v>7</v>
      </c>
      <c r="E65" s="160" t="n">
        <f aca="false" ca="false" dt2D="false" dtr="false" t="normal">E60</f>
        <v>20</v>
      </c>
      <c r="F65" s="160" t="n">
        <f aca="false" ca="false" dt2D="false" dtr="false" t="normal">F60</f>
        <v>1</v>
      </c>
      <c r="G65" s="161" t="n">
        <f aca="false" ca="false" dt2D="false" dtr="false" t="normal">G60</f>
        <v>6</v>
      </c>
      <c r="H65" s="162" t="n">
        <f aca="false" ca="false" dt2D="false" dtr="false" t="normal">BIN2HEX(H66, 2)</f>
        <v>0</v>
      </c>
      <c r="I65" s="163" t="n">
        <f aca="false" ca="false" dt2D="false" dtr="false" t="normal">BIN2HEX(I66, 2)</f>
        <v>0</v>
      </c>
      <c r="J65" s="164" t="n">
        <f aca="false" ca="false" dt2D="false" dtr="false" t="normal">BIN2HEX(J66, 2)</f>
        <v>0</v>
      </c>
      <c r="K65" s="165" t="str">
        <f aca="false" ca="false" dt2D="false" dtr="false" t="normal">IF(L60="", IF(LEN(K66)&gt;2, MID(K66, 2, 2), K66), BIN2HEX(K66, 2))</f>
        <v>2E</v>
      </c>
      <c r="L65" s="288" t="str">
        <f aca="false" ca="false" dt2D="false" dtr="false" t="normal">IF(L60="", "", BIN2HEX(L66, 2))</f>
        <v/>
      </c>
      <c r="M65" s="166" t="str">
        <f aca="false" ca="false" dt2D="false" dtr="false" t="normal">IF(L60="", "", IF(LEN(M66)&gt;2, MID(M66, 2, 2), M66))</f>
        <v/>
      </c>
      <c r="N65" s="63" t="s">
        <v>181</v>
      </c>
      <c r="P65" s="136" t="n">
        <f aca="false" ca="false" dt2D="false" dtr="false" t="normal">MID(H61, 5, 1)</f>
        <v>0</v>
      </c>
      <c r="Q65" s="137" t="n">
        <f aca="false" ca="false" dt2D="false" dtr="false" t="normal">P65</f>
        <v>0</v>
      </c>
      <c r="R65" s="120" t="s">
        <v>200</v>
      </c>
      <c r="S65" s="131" t="s">
        <v>196</v>
      </c>
      <c r="T65" s="136" t="n">
        <f aca="false" ca="false" dt2D="false" dtr="false" t="normal">MID(I61, 5, 1)</f>
        <v>0</v>
      </c>
      <c r="U65" s="137" t="n">
        <f aca="false" ca="false" dt2D="false" dtr="false" t="normal">T65</f>
        <v>0</v>
      </c>
      <c r="V65" s="120" t="s">
        <v>200</v>
      </c>
      <c r="W65" s="131" t="s">
        <v>196</v>
      </c>
      <c r="X65" s="136" t="n">
        <f aca="false" ca="false" dt2D="false" dtr="false" t="normal">MID(J61, 5, 1)</f>
        <v>0</v>
      </c>
      <c r="Y65" s="137" t="n">
        <f aca="false" ca="false" dt2D="false" dtr="false" t="normal">X65</f>
        <v>0</v>
      </c>
      <c r="Z65" s="120" t="s">
        <v>200</v>
      </c>
      <c r="AA65" s="131" t="s">
        <v>196</v>
      </c>
      <c r="AB65" s="136" t="str">
        <f aca="false" ca="false" dt2D="false" dtr="false" t="normal">MID(K61, 5, 1)</f>
        <v/>
      </c>
      <c r="AC65" s="137" t="str">
        <f aca="false" ca="false" dt2D="false" dtr="false" t="normal">AB65</f>
        <v/>
      </c>
      <c r="AD65" s="120" t="s">
        <v>200</v>
      </c>
      <c r="AE65" s="131" t="s">
        <v>196</v>
      </c>
      <c r="AF65" s="136" t="str">
        <f aca="false" ca="false" dt2D="false" dtr="false" t="normal">MID(L61, 5, 1)</f>
        <v/>
      </c>
      <c r="AG65" s="137" t="str">
        <f aca="false" ca="false" dt2D="false" dtr="false" t="normal">AF65</f>
        <v/>
      </c>
      <c r="AH65" s="120" t="s">
        <v>200</v>
      </c>
      <c r="AI65" s="139" t="s">
        <v>916</v>
      </c>
      <c r="AJ65" s="1504" t="s"/>
      <c r="AK65" s="1505" t="s"/>
      <c r="AL65" s="1506" t="s"/>
      <c r="AT65" s="1208" t="s">
        <v>917</v>
      </c>
      <c r="AU65" s="1209" t="s">
        <v>918</v>
      </c>
      <c r="AV65" s="1208" t="s">
        <v>917</v>
      </c>
    </row>
    <row hidden="false" ht="15" outlineLevel="0" r="66">
      <c r="A66" s="91" t="n"/>
      <c r="B66" s="92" t="str">
        <f aca="false" ca="false" dt2D="false" dtr="false" t="normal">IF(OR(LEFT(A66, 7)="720G4J3", LEFT(A66, 7)="7200451"), RIGHT(D673, 1)&amp;E673&amp;F673&amp;G673&amp;H670&amp;I670&amp;J670&amp;K670&amp;L670&amp;M670, IF(OR(LEFT(A66, 7)="720G4J4", LEFT(A66, 7)="7200452"), RIGHT(D684, 1)&amp;E684&amp;F684&amp;G684&amp;H681&amp;I681&amp;J681&amp;K681&amp;L681&amp;M681, RIGHT(D651, 1)&amp;E651&amp;F651&amp;G651&amp;H648&amp;I648&amp;J648&amp;K648&amp;L648&amp;M648))</f>
        <v/>
      </c>
      <c r="C66" s="98" t="s">
        <v>185</v>
      </c>
      <c r="D66" s="53" t="n">
        <f aca="false" ca="false" dt2D="false" dtr="false" t="normal">HEX2BIN(D65, 8)</f>
        <v>111</v>
      </c>
      <c r="E66" s="53" t="n">
        <f aca="false" ca="false" dt2D="false" dtr="false" t="normal">HEX2BIN(E65, 8)</f>
        <v>100000</v>
      </c>
      <c r="F66" s="53" t="n">
        <f aca="false" ca="false" dt2D="false" dtr="false" t="normal">HEX2BIN(F65, 8)</f>
        <v>1</v>
      </c>
      <c r="G66" s="53" t="n">
        <f aca="false" ca="false" dt2D="false" dtr="false" t="normal">HEX2BIN(G65, 8)</f>
        <v>110</v>
      </c>
      <c r="H66" s="171" t="n">
        <f aca="false" ca="false" dt2D="false" dtr="false" t="normal">Q61&amp;Q62&amp;Q63&amp;Q64&amp;Q65&amp;Q66&amp;Q67&amp;Q68</f>
        <v>0</v>
      </c>
      <c r="I66" s="53" t="n">
        <f aca="false" ca="false" dt2D="false" dtr="false" t="normal">U61&amp;U62&amp;U63&amp;U64&amp;U65&amp;U66&amp;U67&amp;U68</f>
        <v>0</v>
      </c>
      <c r="J66" s="171" t="n">
        <f aca="false" ca="false" dt2D="false" dtr="false" t="normal">Y61&amp;Y62&amp;Y63&amp;Y64&amp;Y65&amp;Y66&amp;Y67&amp;Y68</f>
        <v>0</v>
      </c>
      <c r="K66" s="171" t="str">
        <f aca="false" ca="false" dt2D="false" dtr="false" t="normal">IF(L60="", DEC2HEX(K67), AC61&amp;AC62&amp;AC63&amp;AC64&amp;AC65&amp;AC66&amp;AC67&amp;AC68)</f>
        <v>2E</v>
      </c>
      <c r="L66" s="53" t="str">
        <f aca="false" ca="false" dt2D="false" dtr="false" t="normal">IF(L60="", "", AG61&amp;AG62&amp;AG63&amp;AG64&amp;AG65&amp;AG66&amp;AG67&amp;AG68)</f>
        <v/>
      </c>
      <c r="M66" s="53" t="str">
        <f aca="false" ca="false" dt2D="false" dtr="false" t="normal">IF(L60="", "", DEC2HEX(M67))</f>
        <v/>
      </c>
      <c r="N66" s="63" t="n"/>
      <c r="P66" s="136" t="n">
        <f aca="false" ca="false" dt2D="false" dtr="false" t="normal">MID(H61, 6, 1)</f>
        <v>0</v>
      </c>
      <c r="Q66" s="137" t="n">
        <f aca="false" ca="false" dt2D="false" dtr="false" t="normal">P66</f>
        <v>0</v>
      </c>
      <c r="R66" s="120" t="s">
        <v>203</v>
      </c>
      <c r="S66" s="131" t="s">
        <v>196</v>
      </c>
      <c r="T66" s="136" t="n">
        <f aca="false" ca="false" dt2D="false" dtr="false" t="normal">MID(I61, 6, 1)</f>
        <v>0</v>
      </c>
      <c r="U66" s="137" t="n">
        <f aca="false" ca="false" dt2D="false" dtr="false" t="normal">T66</f>
        <v>0</v>
      </c>
      <c r="V66" s="120" t="s">
        <v>203</v>
      </c>
      <c r="W66" s="131" t="s">
        <v>196</v>
      </c>
      <c r="X66" s="136" t="n">
        <f aca="false" ca="false" dt2D="false" dtr="false" t="normal">MID(J61, 6, 1)</f>
        <v>0</v>
      </c>
      <c r="Y66" s="137" t="n">
        <f aca="false" ca="false" dt2D="false" dtr="false" t="normal">X66</f>
        <v>0</v>
      </c>
      <c r="Z66" s="120" t="s">
        <v>203</v>
      </c>
      <c r="AA66" s="131" t="s">
        <v>196</v>
      </c>
      <c r="AB66" s="136" t="str">
        <f aca="false" ca="false" dt2D="false" dtr="false" t="normal">MID(K61, 6, 1)</f>
        <v/>
      </c>
      <c r="AC66" s="137" t="str">
        <f aca="false" ca="false" dt2D="false" dtr="false" t="normal">AB66</f>
        <v/>
      </c>
      <c r="AD66" s="120" t="s">
        <v>203</v>
      </c>
      <c r="AE66" s="131" t="s">
        <v>196</v>
      </c>
      <c r="AF66" s="136" t="str">
        <f aca="false" ca="false" dt2D="false" dtr="false" t="normal">MID(L61, 6, 1)</f>
        <v/>
      </c>
      <c r="AG66" s="137" t="str">
        <f aca="false" ca="false" dt2D="false" dtr="false" t="normal">AF66</f>
        <v/>
      </c>
      <c r="AH66" s="120" t="s">
        <v>203</v>
      </c>
      <c r="AI66" s="139" t="s">
        <v>919</v>
      </c>
      <c r="AJ66" s="1507" t="s"/>
      <c r="AK66" s="1508" t="s"/>
      <c r="AL66" s="1509" t="s"/>
      <c r="AT66" s="1208" t="s">
        <v>920</v>
      </c>
      <c r="AU66" s="1209" t="s">
        <v>921</v>
      </c>
      <c r="AV66" s="1208" t="s">
        <v>920</v>
      </c>
    </row>
    <row hidden="false" ht="15" outlineLevel="0" r="67">
      <c r="A67" s="91" t="n"/>
      <c r="B67" s="92" t="str">
        <f aca="false" ca="false" dt2D="false" dtr="false" t="normal">IF(OR(LEFT(A67, 7)="720G4J4", LEFT(A67, 7)="7200452"), RIGHT(D684, 1)&amp;E684&amp;F684&amp;G684&amp;H681&amp;I681&amp;J681&amp;K681&amp;L681&amp;M681, IF(OR(LEFT(A67, 7)="720G4J5", LEFT(A67, 7)="7200453"), RIGHT(D695, 1)&amp;E695&amp;F695&amp;G695&amp;H692&amp;I692&amp;J692&amp;K692&amp;L692, RIGHT(D662, 1)&amp;E662&amp;F662&amp;G662&amp;H659&amp;I659&amp;J659&amp;K659&amp;L659&amp;M659))</f>
        <v/>
      </c>
      <c r="C67" s="98" t="s">
        <v>191</v>
      </c>
      <c r="D67" s="53" t="n">
        <f aca="false" ca="false" dt2D="false" dtr="false" t="normal">HEX2DEC(D65)</f>
        <v>7</v>
      </c>
      <c r="E67" s="53" t="n">
        <f aca="false" ca="false" dt2D="false" dtr="false" t="normal">HEX2DEC(E65)</f>
        <v>32</v>
      </c>
      <c r="F67" s="53" t="n">
        <f aca="false" ca="false" dt2D="false" dtr="false" t="normal">HEX2DEC(F65)</f>
        <v>1</v>
      </c>
      <c r="G67" s="53" t="n">
        <f aca="false" ca="false" dt2D="false" dtr="false" t="normal">HEX2DEC(G65)</f>
        <v>6</v>
      </c>
      <c r="H67" s="53" t="n">
        <f aca="false" ca="false" dt2D="false" dtr="false" t="normal">HEX2DEC(H65)</f>
        <v>0</v>
      </c>
      <c r="I67" s="53" t="n">
        <f aca="false" ca="false" dt2D="false" dtr="false" t="normal">HEX2DEC(I65)</f>
        <v>0</v>
      </c>
      <c r="J67" s="53" t="n">
        <f aca="false" ca="false" dt2D="false" dtr="false" t="normal">HEX2DEC(J65)</f>
        <v>0</v>
      </c>
      <c r="K67" s="53" t="n">
        <f aca="false" ca="false" dt2D="false" dtr="false" t="normal">IF(L60="", SUM(D67:J67), HEX2DEC(K65))</f>
        <v>46</v>
      </c>
      <c r="L67" s="53" t="str">
        <f aca="false" ca="false" dt2D="false" dtr="false" t="normal">IF(L60="", "", HEX2DEC(L65))</f>
        <v/>
      </c>
      <c r="M67" s="53" t="str">
        <f aca="false" ca="false" dt2D="false" dtr="false" t="normal">IF(L60="", "", SUM(D67:L67))</f>
        <v/>
      </c>
      <c r="N67" s="63" t="n"/>
      <c r="P67" s="136" t="n">
        <f aca="false" ca="false" dt2D="false" dtr="false" t="normal">MID(H61, 7, 1)</f>
        <v>0</v>
      </c>
      <c r="Q67" s="137" t="n">
        <f aca="false" ca="false" dt2D="false" dtr="false" t="normal">P67</f>
        <v>0</v>
      </c>
      <c r="R67" s="120" t="s">
        <v>206</v>
      </c>
      <c r="S67" s="131" t="s">
        <v>196</v>
      </c>
      <c r="T67" s="136" t="n">
        <f aca="false" ca="false" dt2D="false" dtr="false" t="normal">MID(I61, 7, 1)</f>
        <v>0</v>
      </c>
      <c r="U67" s="137" t="n">
        <f aca="false" ca="false" dt2D="false" dtr="false" t="normal">T67</f>
        <v>0</v>
      </c>
      <c r="V67" s="120" t="s">
        <v>206</v>
      </c>
      <c r="W67" s="131" t="s">
        <v>196</v>
      </c>
      <c r="X67" s="136" t="n">
        <f aca="false" ca="false" dt2D="false" dtr="false" t="normal">MID(J61, 7, 1)</f>
        <v>0</v>
      </c>
      <c r="Y67" s="137" t="n">
        <f aca="false" ca="false" dt2D="false" dtr="false" t="normal">X67</f>
        <v>0</v>
      </c>
      <c r="Z67" s="120" t="s">
        <v>206</v>
      </c>
      <c r="AA67" s="131" t="s">
        <v>196</v>
      </c>
      <c r="AB67" s="136" t="str">
        <f aca="false" ca="false" dt2D="false" dtr="false" t="normal">MID(K61, 7, 1)</f>
        <v/>
      </c>
      <c r="AC67" s="137" t="str">
        <f aca="false" ca="false" dt2D="false" dtr="false" t="normal">AB67</f>
        <v/>
      </c>
      <c r="AD67" s="120" t="s">
        <v>206</v>
      </c>
      <c r="AE67" s="139" t="s">
        <v>922</v>
      </c>
      <c r="AF67" s="136" t="str">
        <f aca="false" ca="false" dt2D="false" dtr="false" t="normal">MID(L61, 7, 1)</f>
        <v/>
      </c>
      <c r="AG67" s="137" t="str">
        <f aca="false" ca="false" dt2D="false" dtr="false" t="normal">AF67</f>
        <v/>
      </c>
      <c r="AH67" s="120" t="s">
        <v>206</v>
      </c>
      <c r="AI67" s="139" t="s">
        <v>923</v>
      </c>
      <c r="AJ67" s="1510" t="s"/>
      <c r="AK67" s="1511" t="s"/>
      <c r="AL67" s="1512" t="s"/>
      <c r="AT67" s="1208" t="s">
        <v>924</v>
      </c>
      <c r="AU67" s="1209" t="s">
        <v>925</v>
      </c>
      <c r="AV67" s="1208" t="s">
        <v>924</v>
      </c>
    </row>
    <row hidden="false" ht="15.75" outlineLevel="0" r="68">
      <c r="A68" s="91" t="n"/>
      <c r="B68" s="92" t="str">
        <f aca="false" ca="false" dt2D="false" dtr="false" t="normal">IF(OR(LEFT(A68, 7)="720G4J5", LEFT(A68, 7)="7200453"), RIGHT(D695, 1)&amp;E695&amp;F695&amp;G695&amp;H692&amp;I692&amp;J692&amp;K692&amp;L692, IF(OR(LEFT(A68, 7)="720G4J3", LEFT(A68, 7)="7200451"), RIGHT(D673, 1)&amp;E673&amp;F673&amp;G673&amp;H670&amp;I670&amp;J670&amp;K670&amp;L670&amp;M670, ""))</f>
        <v/>
      </c>
      <c r="C68" s="180" t="s">
        <v>194</v>
      </c>
      <c r="D68" s="299" t="n">
        <f aca="false" ca="false" dt2D="false" dtr="false" t="normal">D63</f>
        <v>7</v>
      </c>
      <c r="E68" s="299" t="n">
        <f aca="false" ca="false" dt2D="false" dtr="false" t="normal">E63</f>
        <v>20</v>
      </c>
      <c r="F68" s="299" t="str">
        <f aca="false" ca="false" dt2D="false" dtr="false" t="normal">F63</f>
        <v>G1</v>
      </c>
      <c r="G68" s="299" t="str">
        <f aca="false" ca="false" dt2D="false" dtr="false" t="normal">G63</f>
        <v>G6</v>
      </c>
      <c r="H68" s="45" t="n"/>
      <c r="I68" s="45" t="n"/>
      <c r="J68" s="45" t="n"/>
      <c r="K68" s="45" t="n"/>
      <c r="L68" s="45" t="n"/>
      <c r="M68" s="45" t="n"/>
      <c r="N68" s="49" t="n"/>
      <c r="P68" s="182" t="n">
        <f aca="false" ca="false" dt2D="false" dtr="false" t="normal">MID(H61, 8, 1)</f>
        <v>0</v>
      </c>
      <c r="Q68" s="183" t="n">
        <f aca="false" ca="false" dt2D="false" dtr="false" t="normal">P68</f>
        <v>0</v>
      </c>
      <c r="R68" s="184" t="s">
        <v>208</v>
      </c>
      <c r="S68" s="185" t="s">
        <v>196</v>
      </c>
      <c r="T68" s="182" t="n">
        <f aca="false" ca="false" dt2D="false" dtr="false" t="normal">MID(I61, 8, 1)</f>
        <v>0</v>
      </c>
      <c r="U68" s="183" t="n">
        <f aca="false" ca="false" dt2D="false" dtr="false" t="normal">T68</f>
        <v>0</v>
      </c>
      <c r="V68" s="184" t="s">
        <v>208</v>
      </c>
      <c r="W68" s="185" t="s">
        <v>196</v>
      </c>
      <c r="X68" s="182" t="n">
        <f aca="false" ca="false" dt2D="false" dtr="false" t="normal">MID(J61, 8, 1)</f>
        <v>0</v>
      </c>
      <c r="Y68" s="183" t="n">
        <f aca="false" ca="false" dt2D="false" dtr="false" t="normal">X68</f>
        <v>0</v>
      </c>
      <c r="Z68" s="184" t="s">
        <v>208</v>
      </c>
      <c r="AA68" s="185" t="s">
        <v>196</v>
      </c>
      <c r="AB68" s="182" t="str">
        <f aca="false" ca="false" dt2D="false" dtr="false" t="normal">MID(K61, 8, 1)</f>
        <v/>
      </c>
      <c r="AC68" s="183" t="str">
        <f aca="false" ca="false" dt2D="false" dtr="false" t="normal">AB68</f>
        <v/>
      </c>
      <c r="AD68" s="184" t="s">
        <v>208</v>
      </c>
      <c r="AE68" s="187" t="s">
        <v>926</v>
      </c>
      <c r="AF68" s="182" t="str">
        <f aca="false" ca="false" dt2D="false" dtr="false" t="normal">MID(L61, 8, 1)</f>
        <v/>
      </c>
      <c r="AG68" s="183" t="str">
        <f aca="false" ca="false" dt2D="false" dtr="false" t="normal">AF68</f>
        <v/>
      </c>
      <c r="AH68" s="184" t="s">
        <v>208</v>
      </c>
      <c r="AI68" s="187" t="s">
        <v>927</v>
      </c>
      <c r="AJ68" s="1513" t="s"/>
      <c r="AK68" s="1514" t="s"/>
      <c r="AL68" s="1515" t="s"/>
      <c r="AT68" s="1208" t="s">
        <v>928</v>
      </c>
      <c r="AU68" s="1209" t="s">
        <v>929</v>
      </c>
      <c r="AV68" s="1208" t="s">
        <v>928</v>
      </c>
    </row>
    <row hidden="false" ht="15.75" outlineLevel="0" r="69">
      <c r="A69" s="91" t="n"/>
      <c r="B69" s="92" t="str">
        <f aca="false" ca="false" dt2D="false" dtr="false" t="normal">IF(OR(LEFT(A69, 7)="720G4J4", LEFT(A69, 7)="7200452"), RIGHT(D684, 1)&amp;E684&amp;F684&amp;G684&amp;H681&amp;I681&amp;J681&amp;K681&amp;L681&amp;M681, "")</f>
        <v/>
      </c>
      <c r="C69" s="93" t="n"/>
      <c r="D69" s="94" t="n"/>
      <c r="E69" s="94" t="n"/>
      <c r="F69" s="94" t="n"/>
      <c r="G69" s="94" t="n"/>
      <c r="H69" s="94" t="n"/>
      <c r="I69" s="94" t="n"/>
      <c r="J69" s="94" t="str">
        <f aca="false" ca="false" dt2D="false" dtr="false" t="normal">IF(K71="", "checksum", "")</f>
        <v>checksum</v>
      </c>
      <c r="K69" s="94" t="n"/>
      <c r="L69" s="94" t="n"/>
      <c r="M69" s="94" t="str">
        <f aca="false" ca="false" dt2D="false" dtr="false" t="normal">IF(K71="", "", "checksum")</f>
        <v/>
      </c>
      <c r="N69" s="60" t="n"/>
      <c r="P69" s="95" t="str">
        <f aca="false" ca="false" dt2D="false" dtr="false" t="normal">RIGHT(D71, 1)&amp;E71&amp;"-"&amp;F71&amp;"-"&amp;G71</f>
        <v>720-01-07</v>
      </c>
      <c r="Q69" s="1516" t="s"/>
      <c r="R69" s="234" t="s">
        <v>930</v>
      </c>
      <c r="S69" s="1517" t="s"/>
      <c r="T69" s="1518" t="s"/>
      <c r="U69" s="1519" t="s"/>
      <c r="V69" s="1520" t="s"/>
      <c r="W69" s="1521" t="s"/>
      <c r="X69" s="1522" t="s"/>
      <c r="Y69" s="1523" t="s"/>
      <c r="Z69" s="1524" t="s"/>
      <c r="AA69" s="1525" t="s"/>
      <c r="AB69" s="1526" t="s"/>
      <c r="AC69" s="1527" t="s"/>
      <c r="AD69" s="1528" t="s"/>
      <c r="AE69" s="1529" t="s"/>
      <c r="AF69" s="1530" t="s"/>
      <c r="AG69" s="1531" t="s"/>
      <c r="AH69" s="1532" t="s"/>
      <c r="AI69" s="1533" t="s"/>
      <c r="AJ69" s="1534" t="s"/>
      <c r="AK69" s="1535" t="s"/>
      <c r="AL69" s="1536" t="s"/>
      <c r="AM69" s="1537" t="s">
        <v>931</v>
      </c>
      <c r="AT69" s="1208" t="s">
        <v>932</v>
      </c>
      <c r="AU69" s="1209" t="s">
        <v>933</v>
      </c>
      <c r="AV69" s="1208" t="s">
        <v>932</v>
      </c>
    </row>
    <row hidden="false" ht="15.75" outlineLevel="0" r="70">
      <c r="A70" s="91" t="n"/>
      <c r="B70" s="92" t="str">
        <f aca="false" ca="false" dt2D="false" dtr="false" t="normal">IF(OR(LEFT(A70, 7)="720G4J5", LEFT(A70, 7)="7200453"), RIGHT(D695, 1)&amp;E695&amp;F695&amp;G695&amp;H692&amp;I692&amp;J692&amp;K692&amp;L692, "")</f>
        <v/>
      </c>
      <c r="C70" s="98" t="n"/>
      <c r="D70" s="99" t="s">
        <v>934</v>
      </c>
      <c r="E70" s="1538" t="s"/>
      <c r="F70" s="1539" t="s"/>
      <c r="G70" s="1540" t="s"/>
      <c r="H70" s="53" t="s">
        <v>165</v>
      </c>
      <c r="I70" s="53" t="s">
        <v>166</v>
      </c>
      <c r="J70" s="53" t="s">
        <v>167</v>
      </c>
      <c r="K70" s="53" t="s">
        <v>168</v>
      </c>
      <c r="L70" s="53" t="s">
        <v>169</v>
      </c>
      <c r="M70" s="53" t="s">
        <v>221</v>
      </c>
      <c r="N70" s="63" t="n"/>
      <c r="P70" s="103" t="s">
        <v>935</v>
      </c>
      <c r="Q70" s="1541" t="s"/>
      <c r="R70" s="1542" t="s"/>
      <c r="S70" s="1543" t="s"/>
      <c r="T70" s="103" t="s">
        <v>936</v>
      </c>
      <c r="U70" s="1544" t="s"/>
      <c r="V70" s="1545" t="s"/>
      <c r="W70" s="1546" t="s"/>
      <c r="X70" s="103" t="s">
        <v>937</v>
      </c>
      <c r="Y70" s="1547" t="s"/>
      <c r="Z70" s="1548" t="s"/>
      <c r="AA70" s="1549" t="s"/>
      <c r="AB70" s="103" t="s">
        <v>938</v>
      </c>
      <c r="AC70" s="1550" t="s"/>
      <c r="AD70" s="1551" t="s"/>
      <c r="AE70" s="1552" t="s"/>
      <c r="AF70" s="103" t="s">
        <v>939</v>
      </c>
      <c r="AG70" s="1553" t="s"/>
      <c r="AH70" s="1554" t="s"/>
      <c r="AI70" s="1555" t="s"/>
      <c r="AJ70" s="103" t="s">
        <v>940</v>
      </c>
      <c r="AK70" s="1556" t="s"/>
      <c r="AL70" s="1557" t="s"/>
      <c r="AM70" s="1558" t="s"/>
      <c r="AT70" s="1208" t="s">
        <v>941</v>
      </c>
      <c r="AU70" s="1209" t="s">
        <v>942</v>
      </c>
      <c r="AV70" s="1208" t="s">
        <v>941</v>
      </c>
    </row>
    <row hidden="false" ht="15.75" outlineLevel="0" r="71">
      <c r="A71" s="56" t="n"/>
      <c r="C71" s="98" t="s">
        <v>176</v>
      </c>
      <c r="D71" s="122" t="s">
        <v>177</v>
      </c>
      <c r="E71" s="123" t="s">
        <v>693</v>
      </c>
      <c r="F71" s="123" t="s">
        <v>179</v>
      </c>
      <c r="G71" s="124" t="s">
        <v>177</v>
      </c>
      <c r="H71" s="125" t="str">
        <f aca="false" ca="false" dt2D="false" dtr="false" ref="H71:H71" t="array">_XLFN.IFNA(MID(INDEX($A$3:$A$70, IF(ISNA(MATCH("720G1G7*", $A$3:$A$70, 0))=TRUE, MATCH("7200107*", $A$3:$A$70, 0), MATCH("720G1G7*", $A$3:$A$70, 0))), $AU$8, 2), "")</f>
        <v/>
      </c>
      <c r="I71" s="126" t="str">
        <f aca="false" ca="false" dt2D="false" dtr="false" ref="I71:I71" t="array">_XLFN.IFNA(MID(INDEX($A$3:$A$70, IF(ISNA(MATCH("720G1G7*", $A$3:$A$70, 0))=TRUE, MATCH("7200107*", $A$3:$A$70, 0), MATCH("720G1G7*", $A$3:$A$70, 0))), $AV$8, 2), "")</f>
        <v/>
      </c>
      <c r="J71" s="126" t="str">
        <f aca="false" ca="false" dt2D="false" dtr="false" ref="J71:J71" t="array">_XLFN.IFNA(MID(INDEX($A$3:$A$70, IF(ISNA(MATCH("720G1G7*", $A$3:$A$70, 0))=TRUE, MATCH("7200107*", $A$3:$A$70, 0), MATCH("720G1G7*", $A$3:$A$70, 0))), $AW$8, 2), "")</f>
        <v/>
      </c>
      <c r="K71" s="126" t="str">
        <f aca="false" ca="false" dt2D="false" dtr="false" ref="K71:K71" t="array">_XLFN.IFNA(MID(INDEX($A$3:$A$70, IF(ISNA(MATCH("720G1G7*", $A$3:$A$70, 0))=TRUE, MATCH("7200107*", $A$3:$A$70, 0), MATCH("720G1G7*", $A$3:$A$70, 0))), $AX$8, 2), "")</f>
        <v/>
      </c>
      <c r="L71" s="274" t="str">
        <f aca="false" ca="false" dt2D="false" dtr="false" ref="L71:L71" t="array">_XLFN.IFNA(MID(INDEX($A$3:$A$70, IF(ISNA(MATCH("720G1G7*", $A$3:$A$70, 0))=TRUE, MATCH("7200107*", $A$3:$A$70, 0), MATCH("720G1G7*", $A$3:$A$70, 0))), $AY$8, 2), "")</f>
        <v/>
      </c>
      <c r="M71" s="128" t="str">
        <f aca="false" ca="false" dt2D="false" dtr="false" ref="M71:M71" t="array">_XLFN.IFNA(MID(INDEX($A$3:$A$70, IF(ISNA(MATCH("720G1G7*", $A$3:$A$70, 0))=TRUE, MATCH("7200107*", $A$3:$A$70, 0), MATCH("720G1G7*", $A$3:$A$70, 0))), $AZ$8, 2), "")</f>
        <v/>
      </c>
      <c r="N71" s="63" t="s">
        <v>180</v>
      </c>
      <c r="P71" s="129" t="s">
        <v>180</v>
      </c>
      <c r="Q71" s="130" t="s">
        <v>181</v>
      </c>
      <c r="R71" s="121" t="s">
        <v>182</v>
      </c>
      <c r="S71" s="131" t="n"/>
      <c r="T71" s="129" t="s">
        <v>180</v>
      </c>
      <c r="U71" s="130" t="s">
        <v>181</v>
      </c>
      <c r="V71" s="121" t="s">
        <v>182</v>
      </c>
      <c r="W71" s="131" t="n"/>
      <c r="X71" s="129" t="s">
        <v>180</v>
      </c>
      <c r="Y71" s="130" t="s">
        <v>181</v>
      </c>
      <c r="Z71" s="121" t="s">
        <v>182</v>
      </c>
      <c r="AA71" s="131" t="n"/>
      <c r="AB71" s="129" t="s">
        <v>180</v>
      </c>
      <c r="AC71" s="130" t="s">
        <v>181</v>
      </c>
      <c r="AD71" s="121" t="s">
        <v>182</v>
      </c>
      <c r="AE71" s="131" t="n"/>
      <c r="AF71" s="129" t="s">
        <v>180</v>
      </c>
      <c r="AG71" s="130" t="s">
        <v>181</v>
      </c>
      <c r="AH71" s="121" t="s">
        <v>182</v>
      </c>
      <c r="AI71" s="121" t="n"/>
      <c r="AJ71" s="116" t="s">
        <v>183</v>
      </c>
      <c r="AK71" s="1559" t="s"/>
      <c r="AL71" s="1560" t="s"/>
      <c r="AM71" s="1561" t="s"/>
      <c r="AT71" s="1208" t="s">
        <v>943</v>
      </c>
      <c r="AU71" s="1209" t="s">
        <v>944</v>
      </c>
      <c r="AV71" s="1208" t="s">
        <v>943</v>
      </c>
    </row>
    <row hidden="false" ht="15" outlineLevel="0" r="72">
      <c r="A72" s="56" t="n"/>
      <c r="C72" s="98" t="s">
        <v>185</v>
      </c>
      <c r="D72" s="53" t="n">
        <f aca="false" ca="false" dt2D="false" dtr="false" t="normal">HEX2BIN(D71, 8)</f>
        <v>111</v>
      </c>
      <c r="E72" s="53" t="n">
        <f aca="false" ca="false" dt2D="false" dtr="false" t="normal">HEX2BIN(E71, 8)</f>
        <v>100000</v>
      </c>
      <c r="F72" s="53" t="n">
        <f aca="false" ca="false" dt2D="false" dtr="false" t="normal">HEX2BIN(F71, 8)</f>
        <v>1</v>
      </c>
      <c r="G72" s="53" t="n">
        <f aca="false" ca="false" dt2D="false" dtr="false" t="normal">HEX2BIN(G71, 8)</f>
        <v>111</v>
      </c>
      <c r="H72" s="53" t="n">
        <f aca="false" ca="false" dt2D="false" dtr="false" t="normal">HEX2BIN(H71, 8)</f>
        <v>0</v>
      </c>
      <c r="I72" s="53" t="n">
        <f aca="false" ca="false" dt2D="false" dtr="false" t="normal">HEX2BIN(I71, 8)</f>
        <v>0</v>
      </c>
      <c r="J72" s="53" t="str">
        <f aca="false" ca="false" dt2D="false" dtr="false" t="normal">IF(K71="", "", HEX2BIN(J71, 8))</f>
        <v/>
      </c>
      <c r="K72" s="53" t="str">
        <f aca="false" ca="false" dt2D="false" dtr="false" t="normal">IF(K71="", "", HEX2BIN(K71, 8))</f>
        <v/>
      </c>
      <c r="L72" s="53" t="str">
        <f aca="false" ca="false" dt2D="false" dtr="false" t="normal">IF(K71="", "", HEX2BIN(L71, 8))</f>
        <v/>
      </c>
      <c r="N72" s="63" t="n"/>
      <c r="P72" s="136" t="n">
        <f aca="false" ca="false" dt2D="false" dtr="false" t="normal">MID(H72, 1, 1)</f>
        <v>0</v>
      </c>
      <c r="Q72" s="137" t="n">
        <f aca="false" ca="false" dt2D="false" dtr="false" t="normal">P72</f>
        <v>0</v>
      </c>
      <c r="R72" s="120" t="s">
        <v>186</v>
      </c>
      <c r="S72" s="139" t="s">
        <v>945</v>
      </c>
      <c r="T72" s="136" t="n">
        <f aca="false" ca="false" dt2D="false" dtr="false" t="normal">MID(I72, 1, 1)</f>
        <v>0</v>
      </c>
      <c r="U72" s="137" t="n">
        <f aca="false" ca="false" dt2D="false" dtr="false" t="normal">T72</f>
        <v>0</v>
      </c>
      <c r="V72" s="120" t="s">
        <v>186</v>
      </c>
      <c r="W72" s="139" t="s">
        <v>946</v>
      </c>
      <c r="X72" s="136" t="str">
        <f aca="false" ca="false" dt2D="false" dtr="false" t="normal">MID(J72, 1, 1)</f>
        <v/>
      </c>
      <c r="Y72" s="137" t="str">
        <f aca="false" ca="false" dt2D="false" dtr="false" t="normal">X72</f>
        <v/>
      </c>
      <c r="Z72" s="120" t="s">
        <v>186</v>
      </c>
      <c r="AA72" s="131" t="s">
        <v>196</v>
      </c>
      <c r="AB72" s="136" t="str">
        <f aca="false" ca="false" dt2D="false" dtr="false" t="normal">MID(K72, 1, 1)</f>
        <v/>
      </c>
      <c r="AC72" s="137" t="str">
        <f aca="false" ca="false" dt2D="false" dtr="false" t="normal">AB72</f>
        <v/>
      </c>
      <c r="AD72" s="120" t="s">
        <v>186</v>
      </c>
      <c r="AE72" s="139" t="s">
        <v>246</v>
      </c>
      <c r="AF72" s="136" t="str">
        <f aca="false" ca="false" dt2D="false" dtr="false" t="normal">MID(L72, 1, 1)</f>
        <v/>
      </c>
      <c r="AG72" s="137" t="str">
        <f aca="false" ca="false" dt2D="false" dtr="false" t="normal">AF72</f>
        <v/>
      </c>
      <c r="AH72" s="120" t="s">
        <v>186</v>
      </c>
      <c r="AI72" s="139" t="s">
        <v>947</v>
      </c>
      <c r="AJ72" s="1562" t="s"/>
      <c r="AK72" s="1563" t="s"/>
      <c r="AL72" s="1564" t="s"/>
      <c r="AM72" s="1565" t="s"/>
    </row>
    <row hidden="false" ht="15" outlineLevel="0" r="73">
      <c r="A73" s="56" t="n"/>
      <c r="C73" s="98" t="s">
        <v>191</v>
      </c>
      <c r="D73" s="53" t="n">
        <f aca="false" ca="false" dt2D="false" dtr="false" t="normal">HEX2DEC(D71)</f>
        <v>7</v>
      </c>
      <c r="E73" s="53" t="n">
        <f aca="false" ca="false" dt2D="false" dtr="false" t="normal">HEX2DEC(E71)</f>
        <v>32</v>
      </c>
      <c r="F73" s="53" t="n">
        <f aca="false" ca="false" dt2D="false" dtr="false" t="normal">HEX2DEC(F71)</f>
        <v>1</v>
      </c>
      <c r="G73" s="53" t="n">
        <f aca="false" ca="false" dt2D="false" dtr="false" t="normal">HEX2DEC(G71)</f>
        <v>7</v>
      </c>
      <c r="H73" s="53" t="n">
        <f aca="false" ca="false" dt2D="false" dtr="false" t="normal">HEX2DEC(H71)</f>
        <v>0</v>
      </c>
      <c r="I73" s="53" t="n">
        <f aca="false" ca="false" dt2D="false" dtr="false" t="normal">HEX2DEC(I71)</f>
        <v>0</v>
      </c>
      <c r="J73" s="53" t="n">
        <f aca="false" ca="false" dt2D="false" dtr="false" t="normal">IF(K71="", SUM(D73:I73), HEX2DEC(J71))</f>
        <v>47</v>
      </c>
      <c r="K73" s="53" t="str">
        <f aca="false" ca="false" dt2D="false" dtr="false" t="normal">IF(K71="", "", HEX2DEC(K71))</f>
        <v/>
      </c>
      <c r="L73" s="53" t="str">
        <f aca="false" ca="false" dt2D="false" dtr="false" t="normal">IF(K71="", "", HEX2DEC(L71))</f>
        <v/>
      </c>
      <c r="M73" s="53" t="str">
        <f aca="false" ca="false" dt2D="false" dtr="false" t="normal">IF(K71="", "", SUM(D73:L73))</f>
        <v/>
      </c>
      <c r="N73" s="63" t="n"/>
      <c r="P73" s="136" t="n">
        <f aca="false" ca="false" dt2D="false" dtr="false" t="normal">MID(H72, 2, 1)</f>
        <v>0</v>
      </c>
      <c r="Q73" s="137" t="n">
        <f aca="false" ca="false" dt2D="false" dtr="false" t="normal">P73</f>
        <v>0</v>
      </c>
      <c r="R73" s="120" t="s">
        <v>192</v>
      </c>
      <c r="S73" s="139" t="s">
        <v>948</v>
      </c>
      <c r="T73" s="136" t="n">
        <f aca="false" ca="false" dt2D="false" dtr="false" t="normal">MID(I72, 2, 1)</f>
        <v>0</v>
      </c>
      <c r="U73" s="137" t="n">
        <f aca="false" ca="false" dt2D="false" dtr="false" t="normal">T73</f>
        <v>0</v>
      </c>
      <c r="V73" s="120" t="s">
        <v>192</v>
      </c>
      <c r="W73" s="139" t="s">
        <v>949</v>
      </c>
      <c r="X73" s="136" t="str">
        <f aca="false" ca="false" dt2D="false" dtr="false" t="normal">MID(J72, 2, 1)</f>
        <v/>
      </c>
      <c r="Y73" s="137" t="str">
        <f aca="false" ca="false" dt2D="false" dtr="false" t="normal">X73</f>
        <v/>
      </c>
      <c r="Z73" s="120" t="s">
        <v>192</v>
      </c>
      <c r="AA73" s="139" t="s">
        <v>950</v>
      </c>
      <c r="AB73" s="136" t="str">
        <f aca="false" ca="false" dt2D="false" dtr="false" t="normal">MID(K72, 2, 1)</f>
        <v/>
      </c>
      <c r="AC73" s="137" t="str">
        <f aca="false" ca="false" dt2D="false" dtr="false" t="normal">AB73</f>
        <v/>
      </c>
      <c r="AD73" s="120" t="s">
        <v>192</v>
      </c>
      <c r="AE73" s="139" t="s">
        <v>951</v>
      </c>
      <c r="AF73" s="136" t="str">
        <f aca="false" ca="false" dt2D="false" dtr="false" t="normal">MID(L72, 2, 1)</f>
        <v/>
      </c>
      <c r="AG73" s="137" t="str">
        <f aca="false" ca="false" dt2D="false" dtr="false" t="normal">AF73</f>
        <v/>
      </c>
      <c r="AH73" s="120" t="s">
        <v>192</v>
      </c>
      <c r="AI73" s="139" t="s">
        <v>952</v>
      </c>
      <c r="AJ73" s="1566" t="s"/>
      <c r="AK73" s="1567" t="s"/>
      <c r="AL73" s="1568" t="s"/>
      <c r="AM73" s="1569" t="s"/>
    </row>
    <row hidden="false" ht="15" outlineLevel="0" r="74">
      <c r="A74" s="56" t="n"/>
      <c r="C74" s="98" t="s">
        <v>194</v>
      </c>
      <c r="D74" s="149" t="n">
        <f aca="false" ca="false" dt2D="false" dtr="false" t="normal">D71</f>
        <v>7</v>
      </c>
      <c r="E74" s="149" t="n">
        <f aca="false" ca="false" dt2D="false" dtr="false" t="normal">E71</f>
        <v>20</v>
      </c>
      <c r="F74" s="53" t="str">
        <f aca="false" ca="false" dt2D="false" dtr="false" t="normal">_XLFN.IFNA(MID(INDEX($A$3:$A$70, IF(ISNA(MATCH("720G1G7*", $A$3:$A$70, 0))=TRUE, MATCH("7200107*", $A$3:$A$70, 0), MATCH("720G1G7*", $A$3:$A$70, 0))), $AS$8, 2), "")</f>
        <v/>
      </c>
      <c r="G74" s="53" t="str">
        <f aca="false" ca="false" dt2D="false" dtr="false" t="normal">_XLFN.IFNA(MID(INDEX($A$3:$A$70, IF(ISNA(MATCH("720G1G7*", $A$3:$A$70, 0))=TRUE, MATCH("7200107*", $A$3:$A$70, 0), MATCH("720G1G7*", $A$3:$A$70, 0))), $AT$8, 2), "")</f>
        <v/>
      </c>
      <c r="N74" s="63" t="n"/>
      <c r="P74" s="136" t="n">
        <f aca="false" ca="false" dt2D="false" dtr="false" t="normal">MID(H72, 3, 1)</f>
        <v>0</v>
      </c>
      <c r="Q74" s="137" t="n">
        <f aca="false" ca="false" dt2D="false" dtr="false" t="normal">P74</f>
        <v>0</v>
      </c>
      <c r="R74" s="120" t="s">
        <v>195</v>
      </c>
      <c r="S74" s="139" t="s">
        <v>953</v>
      </c>
      <c r="T74" s="136" t="n">
        <f aca="false" ca="false" dt2D="false" dtr="false" t="normal">MID(I72, 3, 1)</f>
        <v>0</v>
      </c>
      <c r="U74" s="137" t="n">
        <f aca="false" ca="false" dt2D="false" dtr="false" t="normal">T74</f>
        <v>0</v>
      </c>
      <c r="V74" s="120" t="s">
        <v>195</v>
      </c>
      <c r="W74" s="139" t="s">
        <v>954</v>
      </c>
      <c r="X74" s="136" t="str">
        <f aca="false" ca="false" dt2D="false" dtr="false" t="normal">MID(J72, 3, 1)</f>
        <v/>
      </c>
      <c r="Y74" s="137" t="str">
        <f aca="false" ca="false" dt2D="false" dtr="false" t="normal">X74</f>
        <v/>
      </c>
      <c r="Z74" s="120" t="s">
        <v>195</v>
      </c>
      <c r="AA74" s="131" t="s">
        <v>196</v>
      </c>
      <c r="AB74" s="136" t="str">
        <f aca="false" ca="false" dt2D="false" dtr="false" t="normal">MID(K72, 3, 1)</f>
        <v/>
      </c>
      <c r="AC74" s="137" t="str">
        <f aca="false" ca="false" dt2D="false" dtr="false" t="normal">AB74</f>
        <v/>
      </c>
      <c r="AD74" s="120" t="s">
        <v>195</v>
      </c>
      <c r="AE74" s="139" t="s">
        <v>955</v>
      </c>
      <c r="AF74" s="136" t="str">
        <f aca="false" ca="false" dt2D="false" dtr="false" t="normal">MID(L72, 3, 1)</f>
        <v/>
      </c>
      <c r="AG74" s="137" t="str">
        <f aca="false" ca="false" dt2D="false" dtr="false" t="normal">AF74</f>
        <v/>
      </c>
      <c r="AH74" s="120" t="s">
        <v>195</v>
      </c>
      <c r="AI74" s="139" t="s">
        <v>956</v>
      </c>
      <c r="AJ74" s="1570" t="s"/>
      <c r="AK74" s="1571" t="s"/>
      <c r="AL74" s="1572" t="s"/>
      <c r="AM74" s="1573" t="s"/>
    </row>
    <row hidden="false" ht="15.75" outlineLevel="0" r="75">
      <c r="A75" s="56" t="n"/>
      <c r="C75" s="98" t="n"/>
      <c r="N75" s="63" t="n"/>
      <c r="P75" s="136" t="n">
        <f aca="false" ca="false" dt2D="false" dtr="false" t="normal">MID(H72, 4, 1)</f>
        <v>0</v>
      </c>
      <c r="Q75" s="137" t="n">
        <f aca="false" ca="false" dt2D="false" dtr="false" t="normal">P75</f>
        <v>0</v>
      </c>
      <c r="R75" s="120" t="s">
        <v>197</v>
      </c>
      <c r="S75" s="139" t="s">
        <v>957</v>
      </c>
      <c r="T75" s="136" t="n">
        <f aca="false" ca="false" dt2D="false" dtr="false" t="normal">MID(I72, 4, 1)</f>
        <v>0</v>
      </c>
      <c r="U75" s="137" t="n">
        <f aca="false" ca="false" dt2D="false" dtr="false" t="normal">T75</f>
        <v>0</v>
      </c>
      <c r="V75" s="120" t="s">
        <v>197</v>
      </c>
      <c r="W75" s="139" t="s">
        <v>958</v>
      </c>
      <c r="X75" s="136" t="str">
        <f aca="false" ca="false" dt2D="false" dtr="false" t="normal">MID(J72, 4, 1)</f>
        <v/>
      </c>
      <c r="Y75" s="137" t="str">
        <f aca="false" ca="false" dt2D="false" dtr="false" t="normal">X75</f>
        <v/>
      </c>
      <c r="Z75" s="120" t="s">
        <v>197</v>
      </c>
      <c r="AA75" s="131" t="s">
        <v>196</v>
      </c>
      <c r="AB75" s="136" t="str">
        <f aca="false" ca="false" dt2D="false" dtr="false" t="normal">MID(K72, 4, 1)</f>
        <v/>
      </c>
      <c r="AC75" s="137" t="str">
        <f aca="false" ca="false" dt2D="false" dtr="false" t="normal">AB75</f>
        <v/>
      </c>
      <c r="AD75" s="120" t="s">
        <v>197</v>
      </c>
      <c r="AE75" s="139" t="s">
        <v>959</v>
      </c>
      <c r="AF75" s="136" t="str">
        <f aca="false" ca="false" dt2D="false" dtr="false" t="normal">MID(L72, 4, 1)</f>
        <v/>
      </c>
      <c r="AG75" s="137" t="str">
        <f aca="false" ca="false" dt2D="false" dtr="false" t="normal">AF75</f>
        <v/>
      </c>
      <c r="AH75" s="120" t="s">
        <v>197</v>
      </c>
      <c r="AI75" s="139" t="s">
        <v>960</v>
      </c>
      <c r="AJ75" s="1574" t="s"/>
      <c r="AK75" s="1575" t="s"/>
      <c r="AL75" s="1576" t="s"/>
      <c r="AM75" s="1577" t="s"/>
    </row>
    <row hidden="false" ht="15.75" outlineLevel="0" r="76">
      <c r="A76" s="56" t="n"/>
      <c r="C76" s="98" t="s">
        <v>176</v>
      </c>
      <c r="D76" s="159" t="n">
        <f aca="false" ca="false" dt2D="false" dtr="false" t="normal">D71</f>
        <v>7</v>
      </c>
      <c r="E76" s="160" t="n">
        <f aca="false" ca="false" dt2D="false" dtr="false" t="normal">E71</f>
        <v>20</v>
      </c>
      <c r="F76" s="160" t="n">
        <f aca="false" ca="false" dt2D="false" dtr="false" t="normal">F71</f>
        <v>1</v>
      </c>
      <c r="G76" s="161" t="n">
        <f aca="false" ca="false" dt2D="false" dtr="false" t="normal">G71</f>
        <v>7</v>
      </c>
      <c r="H76" s="162" t="str">
        <f aca="false" ca="false" dt2D="false" dtr="false" t="normal">IF(L60="", "", BIN2HEX(H77, 2))</f>
        <v/>
      </c>
      <c r="I76" s="163" t="str">
        <f aca="false" ca="false" dt2D="false" dtr="false" t="normal">IF(L60="", "", BIN2HEX(I77, 2))</f>
        <v/>
      </c>
      <c r="J76" s="164" t="str">
        <f aca="false" ca="false" dt2D="false" dtr="false" t="normal">IF(L60="", "", IF(K71="", IF(LEN(J77)&gt;2, MID(J77, 2, 2), J77), BIN2HEX(J77, 2)))</f>
        <v/>
      </c>
      <c r="K76" s="165" t="str">
        <f aca="false" ca="false" dt2D="false" dtr="false" t="normal">IF(K71="", "", BIN2HEX(K77, 2))</f>
        <v/>
      </c>
      <c r="L76" s="288" t="str">
        <f aca="false" ca="false" dt2D="false" dtr="false" t="normal">IF(K71="", "", BIN2HEX(L77, 2))</f>
        <v/>
      </c>
      <c r="M76" s="166" t="str">
        <f aca="false" ca="false" dt2D="false" dtr="false" t="normal">IF(K71="", "", IF(LEN(M77)&gt;2, MID(M77, 2, 2), M77))</f>
        <v/>
      </c>
      <c r="N76" s="63" t="s">
        <v>181</v>
      </c>
      <c r="P76" s="136" t="n">
        <f aca="false" ca="false" dt2D="false" dtr="false" t="normal">MID(H72, 5, 1)</f>
        <v>0</v>
      </c>
      <c r="Q76" s="137" t="n">
        <f aca="false" ca="false" dt2D="false" dtr="false" t="normal">P76</f>
        <v>0</v>
      </c>
      <c r="R76" s="120" t="s">
        <v>200</v>
      </c>
      <c r="S76" s="139" t="s">
        <v>961</v>
      </c>
      <c r="T76" s="136" t="n">
        <f aca="false" ca="false" dt2D="false" dtr="false" t="normal">MID(I72, 5, 1)</f>
        <v>0</v>
      </c>
      <c r="U76" s="137" t="n">
        <f aca="false" ca="false" dt2D="false" dtr="false" t="normal">T76</f>
        <v>0</v>
      </c>
      <c r="V76" s="120" t="s">
        <v>200</v>
      </c>
      <c r="W76" s="139" t="s">
        <v>962</v>
      </c>
      <c r="X76" s="136" t="str">
        <f aca="false" ca="false" dt2D="false" dtr="false" t="normal">MID(J72, 5, 1)</f>
        <v/>
      </c>
      <c r="Y76" s="137" t="str">
        <f aca="false" ca="false" dt2D="false" dtr="false" t="normal">X76</f>
        <v/>
      </c>
      <c r="Z76" s="120" t="s">
        <v>200</v>
      </c>
      <c r="AA76" s="131" t="s">
        <v>196</v>
      </c>
      <c r="AB76" s="136" t="str">
        <f aca="false" ca="false" dt2D="false" dtr="false" t="normal">MID(K72, 5, 1)</f>
        <v/>
      </c>
      <c r="AC76" s="137" t="str">
        <f aca="false" ca="false" dt2D="false" dtr="false" t="normal">AB76</f>
        <v/>
      </c>
      <c r="AD76" s="120" t="s">
        <v>200</v>
      </c>
      <c r="AE76" s="139" t="s">
        <v>963</v>
      </c>
      <c r="AF76" s="136" t="str">
        <f aca="false" ca="false" dt2D="false" dtr="false" t="normal">MID(L72, 5, 1)</f>
        <v/>
      </c>
      <c r="AG76" s="137" t="str">
        <f aca="false" ca="false" dt2D="false" dtr="false" t="normal">AF76</f>
        <v/>
      </c>
      <c r="AH76" s="120" t="s">
        <v>200</v>
      </c>
      <c r="AI76" s="139" t="s">
        <v>964</v>
      </c>
      <c r="AJ76" s="1578" t="s"/>
      <c r="AK76" s="1579" t="s"/>
      <c r="AL76" s="1580" t="s"/>
      <c r="AM76" s="1581" t="s"/>
    </row>
    <row hidden="false" ht="15" outlineLevel="0" r="77">
      <c r="A77" s="56" t="n"/>
      <c r="C77" s="98" t="s">
        <v>185</v>
      </c>
      <c r="D77" s="53" t="n">
        <f aca="false" ca="false" dt2D="false" dtr="false" t="normal">HEX2BIN(D76, 8)</f>
        <v>111</v>
      </c>
      <c r="E77" s="53" t="n">
        <f aca="false" ca="false" dt2D="false" dtr="false" t="normal">HEX2BIN(E76, 8)</f>
        <v>100000</v>
      </c>
      <c r="F77" s="53" t="n">
        <f aca="false" ca="false" dt2D="false" dtr="false" t="normal">HEX2BIN(F76, 8)</f>
        <v>1</v>
      </c>
      <c r="G77" s="53" t="n">
        <f aca="false" ca="false" dt2D="false" dtr="false" t="normal">HEX2BIN(G76, 8)</f>
        <v>111</v>
      </c>
      <c r="H77" s="171" t="n">
        <f aca="false" ca="false" dt2D="false" dtr="false" t="normal">Q72&amp;Q73&amp;Q74&amp;Q75&amp;Q76&amp;Q77&amp;Q78&amp;Q79</f>
        <v>0</v>
      </c>
      <c r="I77" s="53" t="n">
        <f aca="false" ca="false" dt2D="false" dtr="false" t="normal">U72&amp;U73&amp;U74&amp;U75&amp;U76&amp;U77&amp;U78&amp;U79</f>
        <v>0</v>
      </c>
      <c r="J77" s="171" t="str">
        <f aca="false" ca="false" dt2D="false" dtr="false" t="normal">IF(K71="", DEC2HEX(J78), Y72&amp;Y73&amp;Y74&amp;Y75&amp;Y76&amp;Y77&amp;Y78&amp;Y79)</f>
        <v>2F</v>
      </c>
      <c r="K77" s="171" t="str">
        <f aca="false" ca="false" dt2D="false" dtr="false" t="normal">IF(K71="", "", AC72&amp;AC73&amp;AC74&amp;AC75&amp;AC76&amp;AC77&amp;AC78&amp;AC79)</f>
        <v/>
      </c>
      <c r="L77" s="53" t="str">
        <f aca="false" ca="false" dt2D="false" dtr="false" t="normal">IF(K71="", "", AG72&amp;AG73&amp;AG74&amp;AG75&amp;AG76&amp;AG77&amp;AG78&amp;AG79)</f>
        <v/>
      </c>
      <c r="M77" s="53" t="str">
        <f aca="false" ca="false" dt2D="false" dtr="false" t="normal">IF(K71="", "", DEC2HEX(M78))</f>
        <v/>
      </c>
      <c r="N77" s="63" t="n"/>
      <c r="P77" s="136" t="n">
        <f aca="false" ca="false" dt2D="false" dtr="false" t="normal">MID(H72, 6, 1)</f>
        <v>0</v>
      </c>
      <c r="Q77" s="137" t="n">
        <f aca="false" ca="false" dt2D="false" dtr="false" t="normal">P77</f>
        <v>0</v>
      </c>
      <c r="R77" s="120" t="s">
        <v>203</v>
      </c>
      <c r="S77" s="139" t="s">
        <v>965</v>
      </c>
      <c r="T77" s="136" t="n">
        <f aca="false" ca="false" dt2D="false" dtr="false" t="normal">MID(I72, 6, 1)</f>
        <v>0</v>
      </c>
      <c r="U77" s="137" t="n">
        <f aca="false" ca="false" dt2D="false" dtr="false" t="normal">T77</f>
        <v>0</v>
      </c>
      <c r="V77" s="120" t="s">
        <v>203</v>
      </c>
      <c r="W77" s="139" t="s">
        <v>966</v>
      </c>
      <c r="X77" s="136" t="str">
        <f aca="false" ca="false" dt2D="false" dtr="false" t="normal">MID(J72, 6, 1)</f>
        <v/>
      </c>
      <c r="Y77" s="137" t="str">
        <f aca="false" ca="false" dt2D="false" dtr="false" t="normal">X77</f>
        <v/>
      </c>
      <c r="Z77" s="120" t="s">
        <v>203</v>
      </c>
      <c r="AA77" s="131" t="s">
        <v>196</v>
      </c>
      <c r="AB77" s="136" t="str">
        <f aca="false" ca="false" dt2D="false" dtr="false" t="normal">MID(K72, 6, 1)</f>
        <v/>
      </c>
      <c r="AC77" s="137" t="str">
        <f aca="false" ca="false" dt2D="false" dtr="false" t="normal">AB77</f>
        <v/>
      </c>
      <c r="AD77" s="120" t="s">
        <v>203</v>
      </c>
      <c r="AE77" s="139" t="s">
        <v>967</v>
      </c>
      <c r="AF77" s="136" t="str">
        <f aca="false" ca="false" dt2D="false" dtr="false" t="normal">MID(L72, 6, 1)</f>
        <v/>
      </c>
      <c r="AG77" s="137" t="str">
        <f aca="false" ca="false" dt2D="false" dtr="false" t="normal">AF77</f>
        <v/>
      </c>
      <c r="AH77" s="120" t="s">
        <v>203</v>
      </c>
      <c r="AI77" s="139" t="s">
        <v>968</v>
      </c>
      <c r="AJ77" s="1582" t="s"/>
      <c r="AK77" s="1583" t="s"/>
      <c r="AL77" s="1584" t="s"/>
      <c r="AM77" s="1585" t="s"/>
    </row>
    <row hidden="false" ht="15" outlineLevel="0" r="78">
      <c r="A78" s="56" t="n"/>
      <c r="C78" s="98" t="s">
        <v>191</v>
      </c>
      <c r="D78" s="53" t="n">
        <f aca="false" ca="false" dt2D="false" dtr="false" t="normal">HEX2DEC(D76)</f>
        <v>7</v>
      </c>
      <c r="E78" s="53" t="n">
        <f aca="false" ca="false" dt2D="false" dtr="false" t="normal">HEX2DEC(E76)</f>
        <v>32</v>
      </c>
      <c r="F78" s="53" t="n">
        <f aca="false" ca="false" dt2D="false" dtr="false" t="normal">HEX2DEC(F76)</f>
        <v>1</v>
      </c>
      <c r="G78" s="53" t="n">
        <f aca="false" ca="false" dt2D="false" dtr="false" t="normal">HEX2DEC(G76)</f>
        <v>7</v>
      </c>
      <c r="H78" s="53" t="n">
        <f aca="false" ca="false" dt2D="false" dtr="false" t="normal">HEX2DEC(H76)</f>
        <v>0</v>
      </c>
      <c r="I78" s="53" t="n">
        <f aca="false" ca="false" dt2D="false" dtr="false" t="normal">HEX2DEC(I76)</f>
        <v>0</v>
      </c>
      <c r="J78" s="53" t="n">
        <f aca="false" ca="false" dt2D="false" dtr="false" t="normal">IF(K71="", SUM(D78:I78), HEX2DEC(J76))</f>
        <v>47</v>
      </c>
      <c r="K78" s="53" t="str">
        <f aca="false" ca="false" dt2D="false" dtr="false" t="normal">IF(K71="", "", HEX2DEC(K76))</f>
        <v/>
      </c>
      <c r="L78" s="53" t="str">
        <f aca="false" ca="false" dt2D="false" dtr="false" t="normal">IF(K71="", "", HEX2DEC(L76))</f>
        <v/>
      </c>
      <c r="M78" s="53" t="str">
        <f aca="false" ca="false" dt2D="false" dtr="false" t="normal">IF(K71="", "", SUM(D78:L78))</f>
        <v/>
      </c>
      <c r="N78" s="63" t="n"/>
      <c r="P78" s="136" t="n">
        <f aca="false" ca="false" dt2D="false" dtr="false" t="normal">MID(H72, 7, 1)</f>
        <v>0</v>
      </c>
      <c r="Q78" s="137" t="n">
        <f aca="false" ca="false" dt2D="false" dtr="false" t="normal">P78</f>
        <v>0</v>
      </c>
      <c r="R78" s="120" t="s">
        <v>206</v>
      </c>
      <c r="S78" s="139" t="s">
        <v>969</v>
      </c>
      <c r="T78" s="136" t="n">
        <f aca="false" ca="false" dt2D="false" dtr="false" t="normal">MID(I72, 7, 1)</f>
        <v>0</v>
      </c>
      <c r="U78" s="137" t="n">
        <f aca="false" ca="false" dt2D="false" dtr="false" t="normal">T78</f>
        <v>0</v>
      </c>
      <c r="V78" s="120" t="s">
        <v>206</v>
      </c>
      <c r="W78" s="139" t="s">
        <v>970</v>
      </c>
      <c r="X78" s="136" t="str">
        <f aca="false" ca="false" dt2D="false" dtr="false" t="normal">MID(J72, 7, 1)</f>
        <v/>
      </c>
      <c r="Y78" s="137" t="str">
        <f aca="false" ca="false" dt2D="false" dtr="false" t="normal">X78</f>
        <v/>
      </c>
      <c r="Z78" s="120" t="s">
        <v>206</v>
      </c>
      <c r="AA78" s="131" t="s">
        <v>196</v>
      </c>
      <c r="AB78" s="136" t="str">
        <f aca="false" ca="false" dt2D="false" dtr="false" t="normal">MID(K72, 7, 1)</f>
        <v/>
      </c>
      <c r="AC78" s="137" t="str">
        <f aca="false" ca="false" dt2D="false" dtr="false" t="normal">AB78</f>
        <v/>
      </c>
      <c r="AD78" s="120" t="s">
        <v>206</v>
      </c>
      <c r="AE78" s="139" t="s">
        <v>971</v>
      </c>
      <c r="AF78" s="136" t="str">
        <f aca="false" ca="false" dt2D="false" dtr="false" t="normal">MID(L72, 7, 1)</f>
        <v/>
      </c>
      <c r="AG78" s="137" t="str">
        <f aca="false" ca="false" dt2D="false" dtr="false" t="normal">AF78</f>
        <v/>
      </c>
      <c r="AH78" s="120" t="s">
        <v>206</v>
      </c>
      <c r="AI78" s="131" t="s">
        <v>196</v>
      </c>
      <c r="AJ78" s="1586" t="s"/>
      <c r="AK78" s="1587" t="s"/>
      <c r="AL78" s="1588" t="s"/>
      <c r="AM78" s="1589" t="s"/>
    </row>
    <row hidden="false" ht="15.75" outlineLevel="0" r="79">
      <c r="A79" s="56" t="n"/>
      <c r="C79" s="180" t="s">
        <v>194</v>
      </c>
      <c r="D79" s="299" t="n">
        <f aca="false" ca="false" dt2D="false" dtr="false" t="normal">D74</f>
        <v>7</v>
      </c>
      <c r="E79" s="299" t="n">
        <f aca="false" ca="false" dt2D="false" dtr="false" t="normal">E74</f>
        <v>20</v>
      </c>
      <c r="F79" s="299" t="str">
        <f aca="false" ca="false" dt2D="false" dtr="false" t="normal">F74</f>
        <v/>
      </c>
      <c r="G79" s="299" t="str">
        <f aca="false" ca="false" dt2D="false" dtr="false" t="normal">G74</f>
        <v/>
      </c>
      <c r="H79" s="45" t="n"/>
      <c r="I79" s="45" t="n"/>
      <c r="J79" s="45" t="n"/>
      <c r="K79" s="45" t="n"/>
      <c r="L79" s="45" t="n"/>
      <c r="M79" s="45" t="n"/>
      <c r="N79" s="49" t="n"/>
      <c r="P79" s="182" t="n">
        <f aca="false" ca="false" dt2D="false" dtr="false" t="normal">MID(H72, 8, 1)</f>
        <v>0</v>
      </c>
      <c r="Q79" s="183" t="n">
        <f aca="false" ca="false" dt2D="false" dtr="false" t="normal">P79</f>
        <v>0</v>
      </c>
      <c r="R79" s="184" t="s">
        <v>208</v>
      </c>
      <c r="S79" s="187" t="s">
        <v>972</v>
      </c>
      <c r="T79" s="182" t="n">
        <f aca="false" ca="false" dt2D="false" dtr="false" t="normal">MID(I72, 8, 1)</f>
        <v>0</v>
      </c>
      <c r="U79" s="183" t="n">
        <f aca="false" ca="false" dt2D="false" dtr="false" t="normal">T79</f>
        <v>0</v>
      </c>
      <c r="V79" s="184" t="s">
        <v>208</v>
      </c>
      <c r="W79" s="187" t="s">
        <v>973</v>
      </c>
      <c r="X79" s="182" t="str">
        <f aca="false" ca="false" dt2D="false" dtr="false" t="normal">MID(J72, 8, 1)</f>
        <v/>
      </c>
      <c r="Y79" s="183" t="str">
        <f aca="false" ca="false" dt2D="false" dtr="false" t="normal">X79</f>
        <v/>
      </c>
      <c r="Z79" s="184" t="s">
        <v>208</v>
      </c>
      <c r="AA79" s="185" t="s">
        <v>196</v>
      </c>
      <c r="AB79" s="182" t="str">
        <f aca="false" ca="false" dt2D="false" dtr="false" t="normal">MID(K72, 8, 1)</f>
        <v/>
      </c>
      <c r="AC79" s="183" t="str">
        <f aca="false" ca="false" dt2D="false" dtr="false" t="normal">AB79</f>
        <v/>
      </c>
      <c r="AD79" s="184" t="s">
        <v>208</v>
      </c>
      <c r="AE79" s="185" t="s">
        <v>196</v>
      </c>
      <c r="AF79" s="182" t="str">
        <f aca="false" ca="false" dt2D="false" dtr="false" t="normal">MID(L72, 8, 1)</f>
        <v/>
      </c>
      <c r="AG79" s="183" t="str">
        <f aca="false" ca="false" dt2D="false" dtr="false" t="normal">AF79</f>
        <v/>
      </c>
      <c r="AH79" s="184" t="s">
        <v>208</v>
      </c>
      <c r="AI79" s="187" t="s">
        <v>974</v>
      </c>
      <c r="AJ79" s="1590" t="s"/>
      <c r="AK79" s="1591" t="s"/>
      <c r="AL79" s="1592" t="s"/>
      <c r="AM79" s="1593" t="s"/>
    </row>
    <row hidden="false" ht="15.75" outlineLevel="0" r="80">
      <c r="A80" s="56" t="n"/>
      <c r="C80" s="93" t="n"/>
      <c r="D80" s="94" t="n"/>
      <c r="E80" s="94" t="n"/>
      <c r="F80" s="94" t="n"/>
      <c r="G80" s="94" t="n"/>
      <c r="H80" s="94" t="n"/>
      <c r="I80" s="94" t="n"/>
      <c r="J80" s="94" t="n"/>
      <c r="K80" s="94" t="n"/>
      <c r="L80" s="94" t="n"/>
      <c r="M80" s="94" t="s">
        <v>161</v>
      </c>
      <c r="N80" s="60" t="n"/>
      <c r="P80" s="95" t="str">
        <f aca="false" ca="false" dt2D="false" dtr="false" t="normal">RIGHT(D82, 1)&amp;E82&amp;"-"&amp;F82&amp;"-"&amp;G82</f>
        <v>720-01-08</v>
      </c>
      <c r="Q80" s="1594" t="s"/>
      <c r="R80" s="234" t="s">
        <v>975</v>
      </c>
      <c r="S80" s="1595" t="s"/>
      <c r="T80" s="1596" t="s"/>
      <c r="U80" s="1597" t="s"/>
      <c r="V80" s="1598" t="s"/>
      <c r="W80" s="1599" t="s"/>
      <c r="X80" s="1600" t="s"/>
      <c r="Y80" s="1601" t="s"/>
      <c r="Z80" s="1602" t="s"/>
      <c r="AA80" s="1603" t="s"/>
      <c r="AB80" s="1604" t="s"/>
      <c r="AC80" s="1605" t="s"/>
      <c r="AD80" s="1606" t="s"/>
      <c r="AE80" s="1607" t="s"/>
      <c r="AF80" s="1608" t="s"/>
      <c r="AG80" s="1609" t="s"/>
      <c r="AH80" s="1610" t="s"/>
      <c r="AI80" s="1611" t="s"/>
      <c r="AJ80" s="1612" t="s"/>
      <c r="AK80" s="1613" t="s"/>
      <c r="AM80" s="1614" t="s"/>
    </row>
    <row hidden="false" ht="15.75" outlineLevel="0" r="81">
      <c r="A81" s="56" t="n"/>
      <c r="C81" s="98" t="n"/>
      <c r="D81" s="99" t="s">
        <v>976</v>
      </c>
      <c r="E81" s="1615" t="s"/>
      <c r="F81" s="1616" t="s"/>
      <c r="G81" s="1617" t="s"/>
      <c r="H81" s="53" t="s">
        <v>165</v>
      </c>
      <c r="I81" s="53" t="s">
        <v>166</v>
      </c>
      <c r="J81" s="53" t="s">
        <v>167</v>
      </c>
      <c r="K81" s="53" t="s">
        <v>168</v>
      </c>
      <c r="L81" s="53" t="s">
        <v>169</v>
      </c>
      <c r="M81" s="53" t="s">
        <v>221</v>
      </c>
      <c r="N81" s="63" t="n"/>
      <c r="P81" s="103" t="s">
        <v>977</v>
      </c>
      <c r="Q81" s="1618" t="s"/>
      <c r="R81" s="1619" t="s"/>
      <c r="S81" s="1620" t="s"/>
      <c r="T81" s="103" t="s">
        <v>978</v>
      </c>
      <c r="U81" s="1621" t="s"/>
      <c r="V81" s="1622" t="s"/>
      <c r="W81" s="1623" t="s"/>
      <c r="X81" s="103" t="s">
        <v>979</v>
      </c>
      <c r="Y81" s="1624" t="s"/>
      <c r="Z81" s="1625" t="s"/>
      <c r="AA81" s="1626" t="s"/>
      <c r="AB81" s="103" t="s">
        <v>980</v>
      </c>
      <c r="AC81" s="1627" t="s"/>
      <c r="AD81" s="1628" t="s"/>
      <c r="AE81" s="1629" t="s"/>
      <c r="AF81" s="103" t="s">
        <v>981</v>
      </c>
      <c r="AG81" s="1630" t="s"/>
      <c r="AH81" s="1631" t="s"/>
      <c r="AI81" s="1632" t="s"/>
      <c r="AJ81" s="103" t="s">
        <v>982</v>
      </c>
      <c r="AK81" s="1633" t="s"/>
      <c r="AM81" s="1634" t="s"/>
    </row>
    <row hidden="false" ht="15.75" outlineLevel="0" r="82">
      <c r="A82" s="56" t="n"/>
      <c r="C82" s="98" t="s">
        <v>176</v>
      </c>
      <c r="D82" s="122" t="s">
        <v>177</v>
      </c>
      <c r="E82" s="123" t="s">
        <v>693</v>
      </c>
      <c r="F82" s="123" t="s">
        <v>179</v>
      </c>
      <c r="G82" s="124" t="s">
        <v>983</v>
      </c>
      <c r="H82" s="125" t="str">
        <f aca="false" ca="false" dt2D="false" dtr="false" ref="H82:H82" t="array">_XLFN.IFNA(MID(INDEX($A$3:$A$70, IF(ISNA(MATCH("720G1G8*", $A$3:$A$70, 0))=TRUE, MATCH("7200108*", $A$3:$A$70, 0), MATCH("720G1G8*", $A$3:$A$70, 0))), $AU$8, 2), "")</f>
        <v/>
      </c>
      <c r="I82" s="126" t="str">
        <f aca="false" ca="false" dt2D="false" dtr="false" ref="I82:I82" t="array">_XLFN.IFNA(MID(INDEX($A$3:$A$70, IF(ISNA(MATCH("720G1G8*", $A$3:$A$70, 0))=TRUE, MATCH("7200108*", $A$3:$A$70, 0), MATCH("720G1G8*", $A$3:$A$70, 0))), $AV$8, 2), "")</f>
        <v/>
      </c>
      <c r="J82" s="126" t="str">
        <f aca="false" ca="false" dt2D="false" dtr="false" ref="J82:J82" t="array">_XLFN.IFNA(MID(INDEX($A$3:$A$70, IF(ISNA(MATCH("720G1G8*", $A$3:$A$70, 0))=TRUE, MATCH("7200108*", $A$3:$A$70, 0), MATCH("720G1G8*", $A$3:$A$70, 0))), $AW$8, 2), "")</f>
        <v/>
      </c>
      <c r="K82" s="126" t="str">
        <f aca="false" ca="false" dt2D="false" dtr="false" ref="K82:K82" t="array">_XLFN.IFNA(MID(INDEX($A$3:$A$70, IF(ISNA(MATCH("720G1G8*", $A$3:$A$70, 0))=TRUE, MATCH("7200108*", $A$3:$A$70, 0), MATCH("720G1G8*", $A$3:$A$70, 0))), $AX$8, 2), "")</f>
        <v/>
      </c>
      <c r="L82" s="274" t="str">
        <f aca="false" ca="false" dt2D="false" dtr="false" ref="L82:L82" t="array">_XLFN.IFNA(MID(INDEX($A$3:$A$70, IF(ISNA(MATCH("720G1G8*", $A$3:$A$70, 0))=TRUE, MATCH("7200108*", $A$3:$A$70, 0), MATCH("720G1G8*", $A$3:$A$70, 0))), $AY$8, 2), "")</f>
        <v/>
      </c>
      <c r="M82" s="128" t="str">
        <f aca="false" ca="false" dt2D="false" dtr="false" ref="M82:M82" t="array">_XLFN.IFNA(MID(INDEX($A$3:$A$70, IF(ISNA(MATCH("720G1G8*", $A$3:$A$70, 0))=TRUE, MATCH("7200108*", $A$3:$A$70, 0), MATCH("720G1G8*", $A$3:$A$70, 0))), $AZ$8, 2), "")</f>
        <v/>
      </c>
      <c r="N82" s="63" t="s">
        <v>180</v>
      </c>
      <c r="P82" s="129" t="s">
        <v>180</v>
      </c>
      <c r="Q82" s="130" t="s">
        <v>181</v>
      </c>
      <c r="R82" s="121" t="s">
        <v>182</v>
      </c>
      <c r="S82" s="131" t="n"/>
      <c r="T82" s="129" t="s">
        <v>180</v>
      </c>
      <c r="U82" s="130" t="s">
        <v>181</v>
      </c>
      <c r="V82" s="121" t="s">
        <v>182</v>
      </c>
      <c r="W82" s="131" t="n"/>
      <c r="X82" s="129" t="s">
        <v>180</v>
      </c>
      <c r="Y82" s="130" t="s">
        <v>181</v>
      </c>
      <c r="Z82" s="121" t="s">
        <v>182</v>
      </c>
      <c r="AA82" s="131" t="n"/>
      <c r="AB82" s="129" t="s">
        <v>180</v>
      </c>
      <c r="AC82" s="130" t="s">
        <v>181</v>
      </c>
      <c r="AD82" s="121" t="s">
        <v>182</v>
      </c>
      <c r="AE82" s="131" t="n"/>
      <c r="AF82" s="129" t="s">
        <v>180</v>
      </c>
      <c r="AG82" s="130" t="s">
        <v>181</v>
      </c>
      <c r="AH82" s="121" t="s">
        <v>182</v>
      </c>
      <c r="AI82" s="121" t="n"/>
      <c r="AJ82" s="116" t="s">
        <v>183</v>
      </c>
      <c r="AK82" s="1635" t="s"/>
      <c r="AM82" s="1636" t="s"/>
    </row>
    <row hidden="false" ht="15" outlineLevel="0" r="83">
      <c r="A83" s="56" t="n"/>
      <c r="C83" s="98" t="s">
        <v>185</v>
      </c>
      <c r="D83" s="53" t="n">
        <f aca="false" ca="false" dt2D="false" dtr="false" t="normal">HEX2BIN(D82, 8)</f>
        <v>111</v>
      </c>
      <c r="E83" s="53" t="n">
        <f aca="false" ca="false" dt2D="false" dtr="false" t="normal">HEX2BIN(E82, 8)</f>
        <v>100000</v>
      </c>
      <c r="F83" s="53" t="n">
        <f aca="false" ca="false" dt2D="false" dtr="false" t="normal">HEX2BIN(F82, 8)</f>
        <v>1</v>
      </c>
      <c r="G83" s="53" t="n">
        <f aca="false" ca="false" dt2D="false" dtr="false" t="normal">HEX2BIN(G82, 8)</f>
        <v>1000</v>
      </c>
      <c r="H83" s="53" t="n">
        <f aca="false" ca="false" dt2D="false" dtr="false" t="normal">HEX2BIN(H82, 8)</f>
        <v>0</v>
      </c>
      <c r="I83" s="53" t="n">
        <f aca="false" ca="false" dt2D="false" dtr="false" t="normal">HEX2BIN(I82, 8)</f>
        <v>0</v>
      </c>
      <c r="J83" s="53" t="n">
        <f aca="false" ca="false" dt2D="false" dtr="false" t="normal">HEX2BIN(J82, 8)</f>
        <v>0</v>
      </c>
      <c r="K83" s="53" t="n">
        <f aca="false" ca="false" dt2D="false" dtr="false" t="normal">HEX2BIN(K82, 8)</f>
        <v>0</v>
      </c>
      <c r="L83" s="53" t="n">
        <f aca="false" ca="false" dt2D="false" dtr="false" t="normal">HEX2BIN(L82, 8)</f>
        <v>0</v>
      </c>
      <c r="N83" s="63" t="n"/>
      <c r="P83" s="136" t="n">
        <f aca="false" ca="false" dt2D="false" dtr="false" t="normal">MID(H83, 1, 1)</f>
        <v>0</v>
      </c>
      <c r="Q83" s="137" t="n">
        <f aca="false" ca="false" dt2D="false" dtr="false" t="normal">P83</f>
        <v>0</v>
      </c>
      <c r="R83" s="120" t="s">
        <v>186</v>
      </c>
      <c r="S83" s="139" t="s">
        <v>984</v>
      </c>
      <c r="T83" s="136" t="n">
        <f aca="false" ca="false" dt2D="false" dtr="false" t="normal">MID(I83, 1, 1)</f>
        <v>0</v>
      </c>
      <c r="U83" s="137" t="n">
        <f aca="false" ca="false" dt2D="false" dtr="false" t="normal">T83</f>
        <v>0</v>
      </c>
      <c r="V83" s="120" t="s">
        <v>186</v>
      </c>
      <c r="W83" s="139" t="s">
        <v>985</v>
      </c>
      <c r="X83" s="136" t="n">
        <f aca="false" ca="false" dt2D="false" dtr="false" t="normal">MID(J83, 1, 1)</f>
        <v>0</v>
      </c>
      <c r="Y83" s="137" t="n">
        <f aca="false" ca="false" dt2D="false" dtr="false" t="normal">X83</f>
        <v>0</v>
      </c>
      <c r="Z83" s="120" t="s">
        <v>186</v>
      </c>
      <c r="AA83" s="139" t="s">
        <v>986</v>
      </c>
      <c r="AB83" s="136" t="n">
        <f aca="false" ca="false" dt2D="false" dtr="false" t="normal">MID(K83, 1, 1)</f>
        <v>0</v>
      </c>
      <c r="AC83" s="137" t="n">
        <f aca="false" ca="false" dt2D="false" dtr="false" t="normal">AB83</f>
        <v>0</v>
      </c>
      <c r="AD83" s="120" t="s">
        <v>186</v>
      </c>
      <c r="AE83" s="131" t="s">
        <v>196</v>
      </c>
      <c r="AF83" s="136" t="n">
        <f aca="false" ca="false" dt2D="false" dtr="false" t="normal">MID(L83, 1, 1)</f>
        <v>0</v>
      </c>
      <c r="AG83" s="137" t="n">
        <f aca="false" ca="false" dt2D="false" dtr="false" t="normal">AF83</f>
        <v>0</v>
      </c>
      <c r="AH83" s="120" t="s">
        <v>186</v>
      </c>
      <c r="AI83" s="139" t="s">
        <v>987</v>
      </c>
      <c r="AJ83" s="1637" t="s"/>
      <c r="AK83" s="1638" t="s"/>
      <c r="AM83" s="1639" t="s"/>
    </row>
    <row hidden="false" ht="15" outlineLevel="0" r="84">
      <c r="A84" s="56" t="n"/>
      <c r="C84" s="98" t="s">
        <v>191</v>
      </c>
      <c r="D84" s="53" t="n">
        <f aca="false" ca="false" dt2D="false" dtr="false" t="normal">HEX2DEC(D82)</f>
        <v>7</v>
      </c>
      <c r="E84" s="53" t="n">
        <f aca="false" ca="false" dt2D="false" dtr="false" t="normal">HEX2DEC(E82)</f>
        <v>32</v>
      </c>
      <c r="F84" s="53" t="n">
        <f aca="false" ca="false" dt2D="false" dtr="false" t="normal">HEX2DEC(F82)</f>
        <v>1</v>
      </c>
      <c r="G84" s="53" t="n">
        <f aca="false" ca="false" dt2D="false" dtr="false" t="normal">HEX2DEC(G82)</f>
        <v>8</v>
      </c>
      <c r="H84" s="53" t="n">
        <f aca="false" ca="false" dt2D="false" dtr="false" t="normal">HEX2DEC(H82)</f>
        <v>0</v>
      </c>
      <c r="I84" s="53" t="n">
        <f aca="false" ca="false" dt2D="false" dtr="false" t="normal">HEX2DEC(I82)</f>
        <v>0</v>
      </c>
      <c r="J84" s="53" t="n">
        <f aca="false" ca="false" dt2D="false" dtr="false" t="normal">HEX2DEC(J82)</f>
        <v>0</v>
      </c>
      <c r="K84" s="53" t="n">
        <f aca="false" ca="false" dt2D="false" dtr="false" t="normal">HEX2DEC(K82)</f>
        <v>0</v>
      </c>
      <c r="L84" s="53" t="n">
        <f aca="false" ca="false" dt2D="false" dtr="false" t="normal">HEX2DEC(L82)</f>
        <v>0</v>
      </c>
      <c r="M84" s="53" t="n">
        <f aca="false" ca="false" dt2D="false" dtr="false" t="normal">SUM(D84:L84)</f>
        <v>48</v>
      </c>
      <c r="N84" s="63" t="n"/>
      <c r="P84" s="136" t="n">
        <f aca="false" ca="false" dt2D="false" dtr="false" t="normal">MID(H83, 2, 1)</f>
        <v>0</v>
      </c>
      <c r="Q84" s="137" t="n">
        <f aca="false" ca="false" dt2D="false" dtr="false" t="normal">P84</f>
        <v>0</v>
      </c>
      <c r="R84" s="120" t="s">
        <v>192</v>
      </c>
      <c r="S84" s="139" t="s">
        <v>988</v>
      </c>
      <c r="T84" s="136" t="n">
        <f aca="false" ca="false" dt2D="false" dtr="false" t="normal">MID(I83, 2, 1)</f>
        <v>0</v>
      </c>
      <c r="U84" s="137" t="n">
        <f aca="false" ca="false" dt2D="false" dtr="false" t="normal">T84</f>
        <v>0</v>
      </c>
      <c r="V84" s="120" t="s">
        <v>192</v>
      </c>
      <c r="W84" s="139" t="s">
        <v>989</v>
      </c>
      <c r="X84" s="136" t="n">
        <f aca="false" ca="false" dt2D="false" dtr="false" t="normal">MID(J83, 2, 1)</f>
        <v>0</v>
      </c>
      <c r="Y84" s="137" t="n">
        <f aca="false" ca="false" dt2D="false" dtr="false" t="normal">X84</f>
        <v>0</v>
      </c>
      <c r="Z84" s="120" t="s">
        <v>192</v>
      </c>
      <c r="AA84" s="139" t="s">
        <v>990</v>
      </c>
      <c r="AB84" s="136" t="n">
        <f aca="false" ca="false" dt2D="false" dtr="false" t="normal">MID(K83, 2, 1)</f>
        <v>0</v>
      </c>
      <c r="AC84" s="137" t="n">
        <f aca="false" ca="false" dt2D="false" dtr="false" t="normal">AB84</f>
        <v>0</v>
      </c>
      <c r="AD84" s="120" t="s">
        <v>192</v>
      </c>
      <c r="AE84" s="131" t="s">
        <v>196</v>
      </c>
      <c r="AF84" s="136" t="n">
        <f aca="false" ca="false" dt2D="false" dtr="false" t="normal">MID(L83, 2, 1)</f>
        <v>0</v>
      </c>
      <c r="AG84" s="137" t="n">
        <f aca="false" ca="false" dt2D="false" dtr="false" t="normal">AF84</f>
        <v>0</v>
      </c>
      <c r="AH84" s="120" t="s">
        <v>192</v>
      </c>
      <c r="AI84" s="139" t="s">
        <v>991</v>
      </c>
      <c r="AJ84" s="1640" t="s"/>
      <c r="AK84" s="1641" t="s"/>
      <c r="AM84" s="1642" t="s"/>
    </row>
    <row hidden="false" ht="15" outlineLevel="0" r="85">
      <c r="A85" s="56" t="n"/>
      <c r="C85" s="98" t="s">
        <v>194</v>
      </c>
      <c r="D85" s="149" t="n">
        <f aca="false" ca="false" dt2D="false" dtr="false" t="normal">D82</f>
        <v>7</v>
      </c>
      <c r="E85" s="149" t="n">
        <f aca="false" ca="false" dt2D="false" dtr="false" t="normal">E82</f>
        <v>20</v>
      </c>
      <c r="F85" s="53" t="str">
        <f aca="false" ca="false" dt2D="false" dtr="false" t="normal">_XLFN.IFNA(MID(INDEX($A$3:$A$70, IF(ISNA(MATCH("720G1G8*", $A$3:$A$70, 0))=TRUE, MATCH("7200108*", $A$3:$A$70, 0), MATCH("720G1G8*", $A$3:$A$70, 0))), $AS$8, 2), "G1")</f>
        <v>G1</v>
      </c>
      <c r="G85" s="53" t="str">
        <f aca="false" ca="false" dt2D="false" dtr="false" t="normal">_XLFN.IFNA(MID(INDEX($A$3:$A$70, IF(ISNA(MATCH("720G1G8*", $A$3:$A$70, 0))=TRUE, MATCH("7200108*", $A$3:$A$70, 0), MATCH("720G1G8*", $A$3:$A$70, 0))), $AT$8, 2), "G8")</f>
        <v>G8</v>
      </c>
      <c r="N85" s="63" t="n"/>
      <c r="P85" s="136" t="n">
        <f aca="false" ca="false" dt2D="false" dtr="false" t="normal">MID(H83, 3, 1)</f>
        <v>0</v>
      </c>
      <c r="Q85" s="137" t="n">
        <f aca="false" ca="false" dt2D="false" dtr="false" t="normal">P85</f>
        <v>0</v>
      </c>
      <c r="R85" s="120" t="s">
        <v>195</v>
      </c>
      <c r="S85" s="139" t="s">
        <v>992</v>
      </c>
      <c r="T85" s="136" t="n">
        <f aca="false" ca="false" dt2D="false" dtr="false" t="normal">MID(I83, 3, 1)</f>
        <v>0</v>
      </c>
      <c r="U85" s="137" t="n">
        <f aca="false" ca="false" dt2D="false" dtr="false" t="normal">T85</f>
        <v>0</v>
      </c>
      <c r="V85" s="120" t="s">
        <v>195</v>
      </c>
      <c r="W85" s="139" t="s">
        <v>993</v>
      </c>
      <c r="X85" s="136" t="n">
        <f aca="false" ca="false" dt2D="false" dtr="false" t="normal">MID(J83, 3, 1)</f>
        <v>0</v>
      </c>
      <c r="Y85" s="137" t="n">
        <f aca="false" ca="false" dt2D="false" dtr="false" t="normal">X85</f>
        <v>0</v>
      </c>
      <c r="Z85" s="120" t="s">
        <v>195</v>
      </c>
      <c r="AA85" s="131" t="s">
        <v>196</v>
      </c>
      <c r="AB85" s="136" t="n">
        <f aca="false" ca="false" dt2D="false" dtr="false" t="normal">MID(K83, 3, 1)</f>
        <v>0</v>
      </c>
      <c r="AC85" s="137" t="n">
        <f aca="false" ca="false" dt2D="false" dtr="false" t="normal">AB85</f>
        <v>0</v>
      </c>
      <c r="AD85" s="120" t="s">
        <v>195</v>
      </c>
      <c r="AE85" s="131" t="s">
        <v>196</v>
      </c>
      <c r="AF85" s="136" t="n">
        <f aca="false" ca="false" dt2D="false" dtr="false" t="normal">MID(L83, 3, 1)</f>
        <v>0</v>
      </c>
      <c r="AG85" s="137" t="n">
        <f aca="false" ca="false" dt2D="false" dtr="false" t="normal">AF85</f>
        <v>0</v>
      </c>
      <c r="AH85" s="120" t="s">
        <v>195</v>
      </c>
      <c r="AI85" s="139" t="s">
        <v>994</v>
      </c>
      <c r="AJ85" s="1643" t="s"/>
      <c r="AK85" s="1644" t="s"/>
      <c r="AM85" s="1645" t="s"/>
    </row>
    <row hidden="false" ht="15.75" outlineLevel="0" r="86">
      <c r="A86" s="56" t="n"/>
      <c r="C86" s="98" t="n"/>
      <c r="N86" s="63" t="n"/>
      <c r="P86" s="136" t="n">
        <f aca="false" ca="false" dt2D="false" dtr="false" t="normal">MID(H83, 4, 1)</f>
        <v>0</v>
      </c>
      <c r="Q86" s="137" t="n">
        <f aca="false" ca="false" dt2D="false" dtr="false" t="normal">P86</f>
        <v>0</v>
      </c>
      <c r="R86" s="120" t="s">
        <v>197</v>
      </c>
      <c r="S86" s="131" t="s">
        <v>196</v>
      </c>
      <c r="T86" s="136" t="n">
        <f aca="false" ca="false" dt2D="false" dtr="false" t="normal">MID(I83, 4, 1)</f>
        <v>0</v>
      </c>
      <c r="U86" s="137" t="n">
        <f aca="false" ca="false" dt2D="false" dtr="false" t="normal">T86</f>
        <v>0</v>
      </c>
      <c r="V86" s="120" t="s">
        <v>197</v>
      </c>
      <c r="W86" s="139" t="s">
        <v>995</v>
      </c>
      <c r="X86" s="136" t="n">
        <f aca="false" ca="false" dt2D="false" dtr="false" t="normal">MID(J83, 4, 1)</f>
        <v>0</v>
      </c>
      <c r="Y86" s="137" t="n">
        <f aca="false" ca="false" dt2D="false" dtr="false" t="normal">X86</f>
        <v>0</v>
      </c>
      <c r="Z86" s="120" t="s">
        <v>197</v>
      </c>
      <c r="AA86" s="131" t="s">
        <v>196</v>
      </c>
      <c r="AB86" s="136" t="n">
        <f aca="false" ca="false" dt2D="false" dtr="false" t="normal">MID(K83, 4, 1)</f>
        <v>0</v>
      </c>
      <c r="AC86" s="137" t="n">
        <f aca="false" ca="false" dt2D="false" dtr="false" t="normal">AB86</f>
        <v>0</v>
      </c>
      <c r="AD86" s="120" t="s">
        <v>197</v>
      </c>
      <c r="AE86" s="131" t="s">
        <v>196</v>
      </c>
      <c r="AF86" s="136" t="n">
        <f aca="false" ca="false" dt2D="false" dtr="false" t="normal">MID(L83, 4, 1)</f>
        <v>0</v>
      </c>
      <c r="AG86" s="137" t="n">
        <f aca="false" ca="false" dt2D="false" dtr="false" t="normal">AF86</f>
        <v>0</v>
      </c>
      <c r="AH86" s="120" t="s">
        <v>197</v>
      </c>
      <c r="AI86" s="139" t="s">
        <v>996</v>
      </c>
      <c r="AJ86" s="1646" t="s"/>
      <c r="AK86" s="1647" t="s"/>
      <c r="AM86" s="1648" t="s"/>
    </row>
    <row hidden="false" ht="15.75" outlineLevel="0" r="87">
      <c r="A87" s="56" t="n"/>
      <c r="C87" s="98" t="s">
        <v>176</v>
      </c>
      <c r="D87" s="159" t="n">
        <f aca="false" ca="false" dt2D="false" dtr="false" t="normal">D82</f>
        <v>7</v>
      </c>
      <c r="E87" s="160" t="n">
        <f aca="false" ca="false" dt2D="false" dtr="false" t="normal">E82</f>
        <v>20</v>
      </c>
      <c r="F87" s="160" t="n">
        <f aca="false" ca="false" dt2D="false" dtr="false" t="normal">F82</f>
        <v>1</v>
      </c>
      <c r="G87" s="161" t="n">
        <f aca="false" ca="false" dt2D="false" dtr="false" t="normal">G82</f>
        <v>8</v>
      </c>
      <c r="H87" s="162" t="str">
        <f aca="false" ca="false" dt2D="false" dtr="false" t="normal">IF(K71="", "", BIN2HEX(H88, 2))</f>
        <v/>
      </c>
      <c r="I87" s="163" t="str">
        <f aca="false" ca="false" dt2D="false" dtr="false" t="normal">IF(K71="", "", BIN2HEX(I88, 2))</f>
        <v/>
      </c>
      <c r="J87" s="164" t="str">
        <f aca="false" ca="false" dt2D="false" dtr="false" t="normal">IF(K71="", "", BIN2HEX(J88, 2))</f>
        <v/>
      </c>
      <c r="K87" s="165" t="str">
        <f aca="false" ca="false" dt2D="false" dtr="false" t="normal">IF(K71="", "", BIN2HEX(K88, 2))</f>
        <v/>
      </c>
      <c r="L87" s="288" t="str">
        <f aca="false" ca="false" dt2D="false" dtr="false" t="normal">IF(K71="", "", BIN2HEX(L88, 2))</f>
        <v/>
      </c>
      <c r="M87" s="166" t="str">
        <f aca="false" ca="false" dt2D="false" dtr="false" t="normal">IF(K71="", "", IF(LEN(M88)&gt;2, MID(M88, 2, 2), M88))</f>
        <v/>
      </c>
      <c r="N87" s="63" t="s">
        <v>181</v>
      </c>
      <c r="P87" s="136" t="n">
        <f aca="false" ca="false" dt2D="false" dtr="false" t="normal">MID(H83, 5, 1)</f>
        <v>0</v>
      </c>
      <c r="Q87" s="137" t="n">
        <f aca="false" ca="false" dt2D="false" dtr="false" t="normal">P87</f>
        <v>0</v>
      </c>
      <c r="R87" s="120" t="s">
        <v>200</v>
      </c>
      <c r="S87" s="131" t="s">
        <v>196</v>
      </c>
      <c r="T87" s="136" t="n">
        <f aca="false" ca="false" dt2D="false" dtr="false" t="normal">MID(I83, 5, 1)</f>
        <v>0</v>
      </c>
      <c r="U87" s="137" t="n">
        <f aca="false" ca="false" dt2D="false" dtr="false" t="normal">T87</f>
        <v>0</v>
      </c>
      <c r="V87" s="120" t="s">
        <v>200</v>
      </c>
      <c r="W87" s="131" t="s">
        <v>196</v>
      </c>
      <c r="X87" s="136" t="n">
        <f aca="false" ca="false" dt2D="false" dtr="false" t="normal">MID(J83, 5, 1)</f>
        <v>0</v>
      </c>
      <c r="Y87" s="137" t="n">
        <f aca="false" ca="false" dt2D="false" dtr="false" t="normal">X87</f>
        <v>0</v>
      </c>
      <c r="Z87" s="120" t="s">
        <v>200</v>
      </c>
      <c r="AA87" s="131" t="s">
        <v>196</v>
      </c>
      <c r="AB87" s="136" t="n">
        <f aca="false" ca="false" dt2D="false" dtr="false" t="normal">MID(K83, 5, 1)</f>
        <v>0</v>
      </c>
      <c r="AC87" s="137" t="n">
        <f aca="false" ca="false" dt2D="false" dtr="false" t="normal">AB87</f>
        <v>0</v>
      </c>
      <c r="AD87" s="120" t="s">
        <v>200</v>
      </c>
      <c r="AE87" s="131" t="s">
        <v>196</v>
      </c>
      <c r="AF87" s="136" t="n">
        <f aca="false" ca="false" dt2D="false" dtr="false" t="normal">MID(L83, 5, 1)</f>
        <v>0</v>
      </c>
      <c r="AG87" s="137" t="n">
        <f aca="false" ca="false" dt2D="false" dtr="false" t="normal">AF87</f>
        <v>0</v>
      </c>
      <c r="AH87" s="120" t="s">
        <v>200</v>
      </c>
      <c r="AI87" s="131" t="s">
        <v>196</v>
      </c>
      <c r="AJ87" s="1649" t="s"/>
      <c r="AK87" s="1650" t="s"/>
      <c r="AM87" s="1651" t="s"/>
    </row>
    <row hidden="false" ht="15" outlineLevel="0" r="88">
      <c r="A88" s="56" t="n"/>
      <c r="C88" s="98" t="s">
        <v>185</v>
      </c>
      <c r="D88" s="53" t="n">
        <f aca="false" ca="false" dt2D="false" dtr="false" t="normal">HEX2BIN(D87, 8)</f>
        <v>111</v>
      </c>
      <c r="E88" s="53" t="n">
        <f aca="false" ca="false" dt2D="false" dtr="false" t="normal">HEX2BIN(E87, 8)</f>
        <v>100000</v>
      </c>
      <c r="F88" s="53" t="n">
        <f aca="false" ca="false" dt2D="false" dtr="false" t="normal">HEX2BIN(F87, 8)</f>
        <v>1</v>
      </c>
      <c r="G88" s="53" t="n">
        <f aca="false" ca="false" dt2D="false" dtr="false" t="normal">HEX2BIN(G87, 8)</f>
        <v>1000</v>
      </c>
      <c r="H88" s="171" t="n">
        <f aca="false" ca="false" dt2D="false" dtr="false" t="normal">Q83&amp;Q84&amp;Q85&amp;Q86&amp;Q87&amp;Q88&amp;Q89&amp;Q90</f>
        <v>0</v>
      </c>
      <c r="I88" s="53" t="n">
        <f aca="false" ca="false" dt2D="false" dtr="false" t="normal">U83&amp;U84&amp;U85&amp;U86&amp;U87&amp;U88&amp;U89&amp;U90</f>
        <v>0</v>
      </c>
      <c r="J88" s="171" t="n">
        <f aca="false" ca="false" dt2D="false" dtr="false" t="normal">Y83&amp;Y84&amp;Y85&amp;Y86&amp;Y87&amp;Y88&amp;Y89&amp;Y90</f>
        <v>0</v>
      </c>
      <c r="K88" s="171" t="n">
        <f aca="false" ca="false" dt2D="false" dtr="false" t="normal">AC83&amp;AC84&amp;AC85&amp;AC86&amp;AC87&amp;AC88&amp;AC89&amp;AC90</f>
        <v>0</v>
      </c>
      <c r="L88" s="53" t="n">
        <f aca="false" ca="false" dt2D="false" dtr="false" t="normal">AG83&amp;AG84&amp;AG85&amp;AG86&amp;AG87&amp;AG88&amp;AG89&amp;AG90</f>
        <v>0</v>
      </c>
      <c r="M88" s="53" t="n">
        <f aca="false" ca="false" dt2D="false" dtr="false" t="normal">DEC2HEX(M89)</f>
        <v>30</v>
      </c>
      <c r="N88" s="63" t="n"/>
      <c r="P88" s="136" t="n">
        <f aca="false" ca="false" dt2D="false" dtr="false" t="normal">MID(H83, 6, 1)</f>
        <v>0</v>
      </c>
      <c r="Q88" s="137" t="n">
        <f aca="false" ca="false" dt2D="false" dtr="false" t="normal">P88</f>
        <v>0</v>
      </c>
      <c r="R88" s="120" t="s">
        <v>203</v>
      </c>
      <c r="S88" s="131" t="s">
        <v>196</v>
      </c>
      <c r="T88" s="136" t="n">
        <f aca="false" ca="false" dt2D="false" dtr="false" t="normal">MID(I83, 6, 1)</f>
        <v>0</v>
      </c>
      <c r="U88" s="137" t="n">
        <f aca="false" ca="false" dt2D="false" dtr="false" t="normal">T88</f>
        <v>0</v>
      </c>
      <c r="V88" s="120" t="s">
        <v>203</v>
      </c>
      <c r="W88" s="139" t="s">
        <v>997</v>
      </c>
      <c r="X88" s="136" t="n">
        <f aca="false" ca="false" dt2D="false" dtr="false" t="normal">MID(J83, 6, 1)</f>
        <v>0</v>
      </c>
      <c r="Y88" s="137" t="n">
        <f aca="false" ca="false" dt2D="false" dtr="false" t="normal">X88</f>
        <v>0</v>
      </c>
      <c r="Z88" s="120" t="s">
        <v>203</v>
      </c>
      <c r="AA88" s="131" t="s">
        <v>196</v>
      </c>
      <c r="AB88" s="136" t="n">
        <f aca="false" ca="false" dt2D="false" dtr="false" t="normal">MID(K83, 6, 1)</f>
        <v>0</v>
      </c>
      <c r="AC88" s="137" t="n">
        <f aca="false" ca="false" dt2D="false" dtr="false" t="normal">AB88</f>
        <v>0</v>
      </c>
      <c r="AD88" s="120" t="s">
        <v>203</v>
      </c>
      <c r="AE88" s="131" t="s">
        <v>196</v>
      </c>
      <c r="AF88" s="136" t="n">
        <f aca="false" ca="false" dt2D="false" dtr="false" t="normal">MID(L83, 6, 1)</f>
        <v>0</v>
      </c>
      <c r="AG88" s="137" t="n">
        <f aca="false" ca="false" dt2D="false" dtr="false" t="normal">AF88</f>
        <v>0</v>
      </c>
      <c r="AH88" s="120" t="s">
        <v>203</v>
      </c>
      <c r="AI88" s="139" t="s">
        <v>998</v>
      </c>
      <c r="AJ88" s="1652" t="s"/>
      <c r="AK88" s="1653" t="s"/>
      <c r="AM88" s="1654" t="s"/>
    </row>
    <row hidden="false" ht="15" outlineLevel="0" r="89">
      <c r="A89" s="56" t="n"/>
      <c r="C89" s="98" t="s">
        <v>191</v>
      </c>
      <c r="D89" s="53" t="n">
        <f aca="false" ca="false" dt2D="false" dtr="false" t="normal">HEX2DEC(D87)</f>
        <v>7</v>
      </c>
      <c r="E89" s="53" t="n">
        <f aca="false" ca="false" dt2D="false" dtr="false" t="normal">HEX2DEC(E87)</f>
        <v>32</v>
      </c>
      <c r="F89" s="53" t="n">
        <f aca="false" ca="false" dt2D="false" dtr="false" t="normal">HEX2DEC(F87)</f>
        <v>1</v>
      </c>
      <c r="G89" s="53" t="n">
        <f aca="false" ca="false" dt2D="false" dtr="false" t="normal">HEX2DEC(G87)</f>
        <v>8</v>
      </c>
      <c r="H89" s="53" t="n">
        <f aca="false" ca="false" dt2D="false" dtr="false" t="normal">HEX2DEC(H87)</f>
        <v>0</v>
      </c>
      <c r="I89" s="53" t="n">
        <f aca="false" ca="false" dt2D="false" dtr="false" t="normal">HEX2DEC(I87)</f>
        <v>0</v>
      </c>
      <c r="J89" s="53" t="n">
        <f aca="false" ca="false" dt2D="false" dtr="false" t="normal">HEX2DEC(J87)</f>
        <v>0</v>
      </c>
      <c r="K89" s="53" t="n">
        <f aca="false" ca="false" dt2D="false" dtr="false" t="normal">HEX2DEC(K87)</f>
        <v>0</v>
      </c>
      <c r="L89" s="53" t="n">
        <f aca="false" ca="false" dt2D="false" dtr="false" t="normal">HEX2DEC(L87)</f>
        <v>0</v>
      </c>
      <c r="M89" s="53" t="n">
        <f aca="false" ca="false" dt2D="false" dtr="false" t="normal">SUM(D89:L89)</f>
        <v>48</v>
      </c>
      <c r="N89" s="63" t="n"/>
      <c r="P89" s="136" t="n">
        <f aca="false" ca="false" dt2D="false" dtr="false" t="normal">MID(H83, 7, 1)</f>
        <v>0</v>
      </c>
      <c r="Q89" s="137" t="n">
        <f aca="false" ca="false" dt2D="false" dtr="false" t="normal">P89</f>
        <v>0</v>
      </c>
      <c r="R89" s="120" t="s">
        <v>206</v>
      </c>
      <c r="S89" s="131" t="s">
        <v>196</v>
      </c>
      <c r="T89" s="136" t="n">
        <f aca="false" ca="false" dt2D="false" dtr="false" t="normal">MID(I83, 7, 1)</f>
        <v>0</v>
      </c>
      <c r="U89" s="137" t="n">
        <f aca="false" ca="false" dt2D="false" dtr="false" t="normal">T89</f>
        <v>0</v>
      </c>
      <c r="V89" s="120" t="s">
        <v>206</v>
      </c>
      <c r="W89" s="139" t="s">
        <v>999</v>
      </c>
      <c r="X89" s="136" t="n">
        <f aca="false" ca="false" dt2D="false" dtr="false" t="normal">MID(J83, 7, 1)</f>
        <v>0</v>
      </c>
      <c r="Y89" s="137" t="n">
        <f aca="false" ca="false" dt2D="false" dtr="false" t="normal">X89</f>
        <v>0</v>
      </c>
      <c r="Z89" s="120" t="s">
        <v>206</v>
      </c>
      <c r="AA89" s="131" t="s">
        <v>196</v>
      </c>
      <c r="AB89" s="136" t="n">
        <f aca="false" ca="false" dt2D="false" dtr="false" t="normal">MID(K83, 7, 1)</f>
        <v>0</v>
      </c>
      <c r="AC89" s="137" t="n">
        <f aca="false" ca="false" dt2D="false" dtr="false" t="normal">AB89</f>
        <v>0</v>
      </c>
      <c r="AD89" s="120" t="s">
        <v>206</v>
      </c>
      <c r="AE89" s="131" t="s">
        <v>196</v>
      </c>
      <c r="AF89" s="136" t="n">
        <f aca="false" ca="false" dt2D="false" dtr="false" t="normal">MID(L83, 7, 1)</f>
        <v>0</v>
      </c>
      <c r="AG89" s="137" t="n">
        <f aca="false" ca="false" dt2D="false" dtr="false" t="normal">AF89</f>
        <v>0</v>
      </c>
      <c r="AH89" s="120" t="s">
        <v>206</v>
      </c>
      <c r="AI89" s="139" t="s">
        <v>1000</v>
      </c>
      <c r="AJ89" s="1655" t="s"/>
      <c r="AK89" s="1656" t="s"/>
      <c r="AM89" s="1657" t="s"/>
    </row>
    <row hidden="false" ht="15.75" outlineLevel="0" r="90">
      <c r="A90" s="56" t="n"/>
      <c r="C90" s="180" t="s">
        <v>194</v>
      </c>
      <c r="D90" s="299" t="n">
        <f aca="false" ca="false" dt2D="false" dtr="false" t="normal">D85</f>
        <v>7</v>
      </c>
      <c r="E90" s="299" t="n">
        <f aca="false" ca="false" dt2D="false" dtr="false" t="normal">E85</f>
        <v>20</v>
      </c>
      <c r="F90" s="299" t="str">
        <f aca="false" ca="false" dt2D="false" dtr="false" t="normal">F85</f>
        <v>G1</v>
      </c>
      <c r="G90" s="299" t="str">
        <f aca="false" ca="false" dt2D="false" dtr="false" t="normal">G85</f>
        <v>G8</v>
      </c>
      <c r="H90" s="45" t="n"/>
      <c r="I90" s="45" t="n"/>
      <c r="J90" s="45" t="n"/>
      <c r="K90" s="45" t="n"/>
      <c r="L90" s="45" t="n"/>
      <c r="M90" s="45" t="n"/>
      <c r="N90" s="49" t="n"/>
      <c r="P90" s="182" t="n">
        <f aca="false" ca="false" dt2D="false" dtr="false" t="normal">MID(H83, 8, 1)</f>
        <v>0</v>
      </c>
      <c r="Q90" s="183" t="n">
        <f aca="false" ca="false" dt2D="false" dtr="false" t="normal">P90</f>
        <v>0</v>
      </c>
      <c r="R90" s="184" t="s">
        <v>208</v>
      </c>
      <c r="S90" s="185" t="s">
        <v>196</v>
      </c>
      <c r="T90" s="182" t="n">
        <f aca="false" ca="false" dt2D="false" dtr="false" t="normal">MID(I83, 8, 1)</f>
        <v>0</v>
      </c>
      <c r="U90" s="183" t="n">
        <f aca="false" ca="false" dt2D="false" dtr="false" t="normal">T90</f>
        <v>0</v>
      </c>
      <c r="V90" s="184" t="s">
        <v>208</v>
      </c>
      <c r="W90" s="187" t="s">
        <v>1001</v>
      </c>
      <c r="X90" s="182" t="n">
        <f aca="false" ca="false" dt2D="false" dtr="false" t="normal">MID(J83, 8, 1)</f>
        <v>0</v>
      </c>
      <c r="Y90" s="183" t="n">
        <f aca="false" ca="false" dt2D="false" dtr="false" t="normal">X90</f>
        <v>0</v>
      </c>
      <c r="Z90" s="184" t="s">
        <v>208</v>
      </c>
      <c r="AA90" s="185" t="s">
        <v>196</v>
      </c>
      <c r="AB90" s="182" t="n">
        <f aca="false" ca="false" dt2D="false" dtr="false" t="normal">MID(K83, 8, 1)</f>
        <v>0</v>
      </c>
      <c r="AC90" s="183" t="n">
        <f aca="false" ca="false" dt2D="false" dtr="false" t="normal">AB90</f>
        <v>0</v>
      </c>
      <c r="AD90" s="184" t="s">
        <v>208</v>
      </c>
      <c r="AE90" s="185" t="s">
        <v>196</v>
      </c>
      <c r="AF90" s="182" t="n">
        <f aca="false" ca="false" dt2D="false" dtr="false" t="normal">MID(L83, 8, 1)</f>
        <v>0</v>
      </c>
      <c r="AG90" s="183" t="n">
        <f aca="false" ca="false" dt2D="false" dtr="false" t="normal">AF90</f>
        <v>0</v>
      </c>
      <c r="AH90" s="184" t="s">
        <v>208</v>
      </c>
      <c r="AI90" s="187" t="s">
        <v>1002</v>
      </c>
      <c r="AJ90" s="1658" t="s"/>
      <c r="AK90" s="1659" t="s"/>
      <c r="AM90" s="1660" t="s"/>
    </row>
    <row hidden="false" ht="15.75" outlineLevel="0" r="91">
      <c r="A91" s="56" t="n"/>
      <c r="C91" s="93" t="n"/>
      <c r="D91" s="94" t="n"/>
      <c r="E91" s="94" t="n"/>
      <c r="F91" s="94" t="n"/>
      <c r="G91" s="94" t="n"/>
      <c r="H91" s="94" t="n"/>
      <c r="I91" s="94" t="n"/>
      <c r="J91" s="94" t="n"/>
      <c r="K91" s="94" t="n"/>
      <c r="L91" s="94" t="s">
        <v>161</v>
      </c>
      <c r="N91" s="60" t="n"/>
      <c r="P91" s="95" t="str">
        <f aca="false" ca="false" dt2D="false" dtr="false" t="normal">RIGHT(D93, 1)&amp;E93&amp;"-"&amp;F93&amp;"-"&amp;G93</f>
        <v>720-01-09</v>
      </c>
      <c r="Q91" s="1661" t="s"/>
      <c r="R91" s="97" t="s">
        <v>1003</v>
      </c>
      <c r="S91" s="97" t="s"/>
      <c r="T91" s="97" t="s"/>
      <c r="U91" s="97" t="s"/>
      <c r="V91" s="97" t="s"/>
      <c r="W91" s="97" t="s"/>
      <c r="X91" s="97" t="s"/>
      <c r="Y91" s="97" t="s"/>
      <c r="Z91" s="97" t="s"/>
      <c r="AA91" s="97" t="s"/>
      <c r="AB91" s="97" t="s"/>
      <c r="AC91" s="97" t="s"/>
      <c r="AD91" s="97" t="s"/>
      <c r="AE91" s="97" t="s"/>
      <c r="AF91" s="97" t="s"/>
      <c r="AG91" s="97" t="s"/>
      <c r="AH91" s="97" t="s"/>
      <c r="AI91" s="97" t="s"/>
      <c r="AJ91" s="97" t="s"/>
      <c r="AK91" s="97" t="s"/>
      <c r="AM91" s="1662" t="s"/>
    </row>
    <row hidden="false" ht="15.75" outlineLevel="0" r="92">
      <c r="A92" s="56" t="n"/>
      <c r="C92" s="98" t="n"/>
      <c r="D92" s="99" t="s">
        <v>1004</v>
      </c>
      <c r="E92" s="1663" t="s"/>
      <c r="F92" s="1664" t="s"/>
      <c r="G92" s="1665" t="s"/>
      <c r="H92" s="53" t="s">
        <v>165</v>
      </c>
      <c r="I92" s="53" t="s">
        <v>166</v>
      </c>
      <c r="J92" s="53" t="s">
        <v>167</v>
      </c>
      <c r="K92" s="53" t="s">
        <v>168</v>
      </c>
      <c r="L92" s="53" t="s">
        <v>169</v>
      </c>
      <c r="N92" s="63" t="n"/>
      <c r="P92" s="103" t="s">
        <v>1005</v>
      </c>
      <c r="Q92" s="1666" t="s"/>
      <c r="R92" s="1667" t="s"/>
      <c r="S92" s="1668" t="s"/>
      <c r="T92" s="103" t="s">
        <v>1006</v>
      </c>
      <c r="U92" s="1669" t="s"/>
      <c r="V92" s="1670" t="s"/>
      <c r="W92" s="1671" t="s"/>
      <c r="X92" s="103" t="s">
        <v>1007</v>
      </c>
      <c r="Y92" s="1672" t="s"/>
      <c r="Z92" s="1673" t="s"/>
      <c r="AA92" s="1674" t="s"/>
      <c r="AB92" s="103" t="s">
        <v>1008</v>
      </c>
      <c r="AC92" s="1675" t="s"/>
      <c r="AD92" s="1676" t="s"/>
      <c r="AE92" s="1677" t="s"/>
      <c r="AF92" s="116" t="s">
        <v>1009</v>
      </c>
      <c r="AG92" s="1678" t="s"/>
      <c r="AH92" s="1679" t="s"/>
      <c r="AI92" s="1680" t="s"/>
      <c r="AJ92" s="120" t="n"/>
      <c r="AK92" s="121" t="n"/>
      <c r="AM92" s="1681" t="s"/>
    </row>
    <row hidden="false" ht="15.75" outlineLevel="0" r="93">
      <c r="A93" s="56" t="n"/>
      <c r="C93" s="98" t="s">
        <v>176</v>
      </c>
      <c r="D93" s="122" t="s">
        <v>177</v>
      </c>
      <c r="E93" s="123" t="s">
        <v>693</v>
      </c>
      <c r="F93" s="123" t="s">
        <v>179</v>
      </c>
      <c r="G93" s="124" t="s">
        <v>1010</v>
      </c>
      <c r="H93" s="125" t="str">
        <f aca="false" ca="false" dt2D="false" dtr="false" ref="H93:H93" t="array">_XLFN.IFNA(MID(INDEX($A$3:$A$70, IF(ISNA(MATCH("720G1G9*", $A$3:$A$70, 0))=TRUE, MATCH("7200109*", $A$3:$A$70, 0), MATCH("720G1G9*", $A$3:$A$70, 0))), $AU$8, 2), "")</f>
        <v/>
      </c>
      <c r="I93" s="126" t="str">
        <f aca="false" ca="false" dt2D="false" dtr="false" ref="I93:I93" t="array">_XLFN.IFNA(MID(INDEX($A$3:$A$70, IF(ISNA(MATCH("720G1G9*", $A$3:$A$70, 0))=TRUE, MATCH("7200109*", $A$3:$A$70, 0), MATCH("720G1G9*", $A$3:$A$70, 0))), $AV$8, 2), "")</f>
        <v/>
      </c>
      <c r="J93" s="126" t="str">
        <f aca="false" ca="false" dt2D="false" dtr="false" ref="J93:J93" t="array">_XLFN.IFNA(MID(INDEX($A$3:$A$70, IF(ISNA(MATCH("720G1G9*", $A$3:$A$70, 0))=TRUE, MATCH("7200109*", $A$3:$A$70, 0), MATCH("720G1G9*", $A$3:$A$70, 0))), $AW$8, 2), "")</f>
        <v/>
      </c>
      <c r="K93" s="126" t="str">
        <f aca="false" ca="false" dt2D="false" dtr="false" ref="K93:K93" t="array">_XLFN.IFNA(MID(INDEX($A$3:$A$70, IF(ISNA(MATCH("720G1G9*", $A$3:$A$70, 0))=TRUE, MATCH("7200109*", $A$3:$A$70, 0), MATCH("720G1G9*", $A$3:$A$70, 0))), $AX$8, 2), "")</f>
        <v/>
      </c>
      <c r="L93" s="128" t="str">
        <f aca="false" ca="false" dt2D="false" dtr="false" ref="L93:L93" t="array">_XLFN.IFNA(MID(INDEX($A$3:$A$70, IF(ISNA(MATCH("720G1G9*", $A$3:$A$70, 0))=TRUE, MATCH("7200109*", $A$3:$A$70, 0), MATCH("720G1G9*", $A$3:$A$70, 0))), $AY$8, 2), "")</f>
        <v/>
      </c>
      <c r="N93" s="63" t="s">
        <v>180</v>
      </c>
      <c r="P93" s="129" t="s">
        <v>180</v>
      </c>
      <c r="Q93" s="130" t="s">
        <v>181</v>
      </c>
      <c r="R93" s="121" t="s">
        <v>182</v>
      </c>
      <c r="S93" s="131" t="n"/>
      <c r="T93" s="129" t="s">
        <v>180</v>
      </c>
      <c r="U93" s="130" t="s">
        <v>181</v>
      </c>
      <c r="V93" s="121" t="s">
        <v>182</v>
      </c>
      <c r="W93" s="131" t="n"/>
      <c r="X93" s="129" t="s">
        <v>180</v>
      </c>
      <c r="Y93" s="130" t="s">
        <v>181</v>
      </c>
      <c r="Z93" s="121" t="s">
        <v>182</v>
      </c>
      <c r="AA93" s="131" t="n"/>
      <c r="AB93" s="129" t="s">
        <v>180</v>
      </c>
      <c r="AC93" s="130" t="s">
        <v>181</v>
      </c>
      <c r="AD93" s="121" t="s">
        <v>182</v>
      </c>
      <c r="AE93" s="131" t="n"/>
      <c r="AF93" s="412" t="s">
        <v>183</v>
      </c>
      <c r="AG93" s="142" t="s"/>
      <c r="AH93" s="142" t="s"/>
      <c r="AI93" s="1682" t="s"/>
      <c r="AJ93" s="121" t="n"/>
      <c r="AK93" s="121" t="n"/>
      <c r="AM93" s="1683" t="s"/>
    </row>
    <row hidden="false" ht="15" outlineLevel="0" r="94">
      <c r="A94" s="56" t="n"/>
      <c r="C94" s="98" t="s">
        <v>185</v>
      </c>
      <c r="D94" s="53" t="n">
        <f aca="false" ca="false" dt2D="false" dtr="false" t="normal">HEX2BIN(D93, 8)</f>
        <v>111</v>
      </c>
      <c r="E94" s="53" t="n">
        <f aca="false" ca="false" dt2D="false" dtr="false" t="normal">HEX2BIN(E93, 8)</f>
        <v>100000</v>
      </c>
      <c r="F94" s="53" t="n">
        <f aca="false" ca="false" dt2D="false" dtr="false" t="normal">HEX2BIN(F93, 8)</f>
        <v>1</v>
      </c>
      <c r="G94" s="53" t="n">
        <f aca="false" ca="false" dt2D="false" dtr="false" t="normal">HEX2BIN(G93, 8)</f>
        <v>1001</v>
      </c>
      <c r="H94" s="53" t="n">
        <f aca="false" ca="false" dt2D="false" dtr="false" t="normal">HEX2BIN(H93, 8)</f>
        <v>0</v>
      </c>
      <c r="I94" s="53" t="n">
        <f aca="false" ca="false" dt2D="false" dtr="false" t="normal">HEX2BIN(I93, 8)</f>
        <v>0</v>
      </c>
      <c r="J94" s="53" t="n">
        <f aca="false" ca="false" dt2D="false" dtr="false" t="normal">HEX2BIN(J93, 8)</f>
        <v>0</v>
      </c>
      <c r="K94" s="53" t="n">
        <f aca="false" ca="false" dt2D="false" dtr="false" t="normal">HEX2BIN(K93, 8)</f>
        <v>0</v>
      </c>
      <c r="N94" s="63" t="n"/>
      <c r="P94" s="136" t="n">
        <f aca="false" ca="false" dt2D="false" dtr="false" t="normal">MID(H94, 1, 1)</f>
        <v>0</v>
      </c>
      <c r="Q94" s="137" t="n">
        <f aca="false" ca="false" dt2D="false" dtr="false" t="normal">P94</f>
        <v>0</v>
      </c>
      <c r="R94" s="120" t="s">
        <v>186</v>
      </c>
      <c r="S94" s="139" t="s">
        <v>1011</v>
      </c>
      <c r="T94" s="136" t="n">
        <f aca="false" ca="false" dt2D="false" dtr="false" t="normal">MID(I94, 1, 1)</f>
        <v>0</v>
      </c>
      <c r="U94" s="137" t="n">
        <f aca="false" ca="false" dt2D="false" dtr="false" t="normal">T94</f>
        <v>0</v>
      </c>
      <c r="V94" s="120" t="s">
        <v>186</v>
      </c>
      <c r="W94" s="139" t="s">
        <v>1012</v>
      </c>
      <c r="X94" s="136" t="n">
        <f aca="false" ca="false" dt2D="false" dtr="false" t="normal">MID(J94, 1, 1)</f>
        <v>0</v>
      </c>
      <c r="Y94" s="137" t="n">
        <f aca="false" ca="false" dt2D="false" dtr="false" t="normal">X94</f>
        <v>0</v>
      </c>
      <c r="Z94" s="120" t="s">
        <v>186</v>
      </c>
      <c r="AA94" s="139" t="s">
        <v>1013</v>
      </c>
      <c r="AB94" s="136" t="n">
        <f aca="false" ca="false" dt2D="false" dtr="false" t="normal">MID(K94, 1, 1)</f>
        <v>0</v>
      </c>
      <c r="AC94" s="137" t="n">
        <f aca="false" ca="false" dt2D="false" dtr="false" t="normal">AB94</f>
        <v>0</v>
      </c>
      <c r="AD94" s="120" t="s">
        <v>186</v>
      </c>
      <c r="AE94" s="139" t="s">
        <v>1014</v>
      </c>
      <c r="AF94" s="1684" t="s"/>
      <c r="AG94" s="142" t="s"/>
      <c r="AH94" s="142" t="s"/>
      <c r="AI94" s="1685" t="s"/>
      <c r="AJ94" s="121" t="n"/>
      <c r="AK94" s="121" t="n"/>
      <c r="AM94" s="1686" t="s"/>
    </row>
    <row hidden="false" ht="15" outlineLevel="0" r="95">
      <c r="A95" s="56" t="n"/>
      <c r="C95" s="98" t="s">
        <v>191</v>
      </c>
      <c r="D95" s="53" t="n">
        <f aca="false" ca="false" dt2D="false" dtr="false" t="normal">HEX2DEC(D93)</f>
        <v>7</v>
      </c>
      <c r="E95" s="53" t="n">
        <f aca="false" ca="false" dt2D="false" dtr="false" t="normal">HEX2DEC(E93)</f>
        <v>32</v>
      </c>
      <c r="F95" s="53" t="n">
        <f aca="false" ca="false" dt2D="false" dtr="false" t="normal">HEX2DEC(F93)</f>
        <v>1</v>
      </c>
      <c r="G95" s="53" t="n">
        <f aca="false" ca="false" dt2D="false" dtr="false" t="normal">HEX2DEC(G93)</f>
        <v>9</v>
      </c>
      <c r="H95" s="53" t="n">
        <f aca="false" ca="false" dt2D="false" dtr="false" t="normal">HEX2DEC(H93)</f>
        <v>0</v>
      </c>
      <c r="I95" s="53" t="n">
        <f aca="false" ca="false" dt2D="false" dtr="false" t="normal">HEX2DEC(I93)</f>
        <v>0</v>
      </c>
      <c r="J95" s="53" t="n">
        <f aca="false" ca="false" dt2D="false" dtr="false" t="normal">HEX2DEC(J93)</f>
        <v>0</v>
      </c>
      <c r="K95" s="53" t="n">
        <f aca="false" ca="false" dt2D="false" dtr="false" t="normal">HEX2DEC(K93)</f>
        <v>0</v>
      </c>
      <c r="L95" s="53" t="n">
        <f aca="false" ca="false" dt2D="false" dtr="false" t="normal">SUM(D95:K95)</f>
        <v>49</v>
      </c>
      <c r="N95" s="63" t="n"/>
      <c r="P95" s="136" t="n">
        <f aca="false" ca="false" dt2D="false" dtr="false" t="normal">MID(H94, 2, 1)</f>
        <v>0</v>
      </c>
      <c r="Q95" s="137" t="n">
        <f aca="false" ca="false" dt2D="false" dtr="false" t="normal">P95</f>
        <v>0</v>
      </c>
      <c r="R95" s="120" t="s">
        <v>192</v>
      </c>
      <c r="S95" s="139" t="s">
        <v>1015</v>
      </c>
      <c r="T95" s="136" t="n">
        <f aca="false" ca="false" dt2D="false" dtr="false" t="normal">MID(I94, 2, 1)</f>
        <v>0</v>
      </c>
      <c r="U95" s="137" t="n">
        <f aca="false" ca="false" dt2D="false" dtr="false" t="normal">T95</f>
        <v>0</v>
      </c>
      <c r="V95" s="120" t="s">
        <v>192</v>
      </c>
      <c r="W95" s="131" t="s">
        <v>196</v>
      </c>
      <c r="X95" s="136" t="n">
        <f aca="false" ca="false" dt2D="false" dtr="false" t="normal">MID(J94, 2, 1)</f>
        <v>0</v>
      </c>
      <c r="Y95" s="137" t="n">
        <f aca="false" ca="false" dt2D="false" dtr="false" t="normal">X95</f>
        <v>0</v>
      </c>
      <c r="Z95" s="120" t="s">
        <v>192</v>
      </c>
      <c r="AA95" s="131" t="s">
        <v>196</v>
      </c>
      <c r="AB95" s="136" t="n">
        <f aca="false" ca="false" dt2D="false" dtr="false" t="normal">MID(K94, 2, 1)</f>
        <v>0</v>
      </c>
      <c r="AC95" s="137" t="n">
        <f aca="false" ca="false" dt2D="false" dtr="false" t="normal">AB95</f>
        <v>0</v>
      </c>
      <c r="AD95" s="120" t="s">
        <v>192</v>
      </c>
      <c r="AE95" s="131" t="s">
        <v>196</v>
      </c>
      <c r="AF95" s="1687" t="s"/>
      <c r="AG95" s="142" t="s"/>
      <c r="AH95" s="142" t="s"/>
      <c r="AI95" s="1688" t="s"/>
      <c r="AJ95" s="121" t="n"/>
      <c r="AK95" s="121" t="n"/>
      <c r="AM95" s="1689" t="s"/>
    </row>
    <row hidden="false" ht="15" outlineLevel="0" r="96">
      <c r="A96" s="56" t="n"/>
      <c r="C96" s="98" t="s">
        <v>194</v>
      </c>
      <c r="D96" s="149" t="n">
        <f aca="false" ca="false" dt2D="false" dtr="false" t="normal">D93</f>
        <v>7</v>
      </c>
      <c r="E96" s="149" t="n">
        <f aca="false" ca="false" dt2D="false" dtr="false" t="normal">E93</f>
        <v>20</v>
      </c>
      <c r="F96" s="53" t="str">
        <f aca="false" ca="false" dt2D="false" dtr="false" t="normal">_XLFN.IFNA(MID(INDEX($A$3:$A$70, IF(ISNA(MATCH("720G1G9*", $A$3:$A$70, 0))=TRUE, MATCH("7200109*", $A$3:$A$70, 0), MATCH("720G1G9*", $A$3:$A$70, 0))), $AS$8, 2), "G1")</f>
        <v>G1</v>
      </c>
      <c r="G96" s="53" t="str">
        <f aca="false" ca="false" dt2D="false" dtr="false" t="normal">_XLFN.IFNA(MID(INDEX($A$3:$A$70, IF(ISNA(MATCH("720G1G9*", $A$3:$A$70, 0))=TRUE, MATCH("7200109*", $A$3:$A$70, 0), MATCH("720G1G9*", $A$3:$A$70, 0))), $AT$8, 2), "G9")</f>
        <v>G9</v>
      </c>
      <c r="N96" s="63" t="n"/>
      <c r="P96" s="136" t="n">
        <f aca="false" ca="false" dt2D="false" dtr="false" t="normal">MID(H94, 3, 1)</f>
        <v>0</v>
      </c>
      <c r="Q96" s="137" t="n">
        <f aca="false" ca="false" dt2D="false" dtr="false" t="normal">P96</f>
        <v>0</v>
      </c>
      <c r="R96" s="120" t="s">
        <v>195</v>
      </c>
      <c r="S96" s="139" t="s">
        <v>1016</v>
      </c>
      <c r="T96" s="136" t="n">
        <f aca="false" ca="false" dt2D="false" dtr="false" t="normal">MID(I94, 3, 1)</f>
        <v>0</v>
      </c>
      <c r="U96" s="137" t="n">
        <f aca="false" ca="false" dt2D="false" dtr="false" t="normal">T96</f>
        <v>0</v>
      </c>
      <c r="V96" s="120" t="s">
        <v>195</v>
      </c>
      <c r="W96" s="139" t="s">
        <v>1017</v>
      </c>
      <c r="X96" s="136" t="n">
        <f aca="false" ca="false" dt2D="false" dtr="false" t="normal">MID(J94, 3, 1)</f>
        <v>0</v>
      </c>
      <c r="Y96" s="137" t="n">
        <f aca="false" ca="false" dt2D="false" dtr="false" t="normal">X96</f>
        <v>0</v>
      </c>
      <c r="Z96" s="120" t="s">
        <v>195</v>
      </c>
      <c r="AA96" s="139" t="s">
        <v>1018</v>
      </c>
      <c r="AB96" s="136" t="n">
        <f aca="false" ca="false" dt2D="false" dtr="false" t="normal">MID(K94, 3, 1)</f>
        <v>0</v>
      </c>
      <c r="AC96" s="137" t="n">
        <f aca="false" ca="false" dt2D="false" dtr="false" t="normal">AB96</f>
        <v>0</v>
      </c>
      <c r="AD96" s="120" t="s">
        <v>195</v>
      </c>
      <c r="AE96" s="139" t="s">
        <v>1019</v>
      </c>
      <c r="AF96" s="1690" t="s"/>
      <c r="AG96" s="142" t="s"/>
      <c r="AH96" s="142" t="s"/>
      <c r="AI96" s="1691" t="s"/>
      <c r="AJ96" s="121" t="n"/>
      <c r="AK96" s="121" t="n"/>
      <c r="AM96" s="1692" t="s"/>
    </row>
    <row hidden="false" ht="15.75" outlineLevel="0" r="97">
      <c r="A97" s="56" t="n"/>
      <c r="C97" s="98" t="n"/>
      <c r="N97" s="63" t="n"/>
      <c r="P97" s="136" t="n">
        <f aca="false" ca="false" dt2D="false" dtr="false" t="normal">MID(H94, 4, 1)</f>
        <v>0</v>
      </c>
      <c r="Q97" s="137" t="n">
        <f aca="false" ca="false" dt2D="false" dtr="false" t="normal">P97</f>
        <v>0</v>
      </c>
      <c r="R97" s="120" t="s">
        <v>197</v>
      </c>
      <c r="S97" s="139" t="s">
        <v>1020</v>
      </c>
      <c r="T97" s="136" t="n">
        <f aca="false" ca="false" dt2D="false" dtr="false" t="normal">MID(I94, 4, 1)</f>
        <v>0</v>
      </c>
      <c r="U97" s="137" t="n">
        <f aca="false" ca="false" dt2D="false" dtr="false" t="normal">T97</f>
        <v>0</v>
      </c>
      <c r="V97" s="120" t="s">
        <v>197</v>
      </c>
      <c r="W97" s="131" t="s">
        <v>196</v>
      </c>
      <c r="X97" s="136" t="n">
        <f aca="false" ca="false" dt2D="false" dtr="false" t="normal">MID(J94, 4, 1)</f>
        <v>0</v>
      </c>
      <c r="Y97" s="137" t="n">
        <f aca="false" ca="false" dt2D="false" dtr="false" t="normal">X97</f>
        <v>0</v>
      </c>
      <c r="Z97" s="120" t="s">
        <v>197</v>
      </c>
      <c r="AA97" s="131" t="s">
        <v>196</v>
      </c>
      <c r="AB97" s="136" t="n">
        <f aca="false" ca="false" dt2D="false" dtr="false" t="normal">MID(K94, 4, 1)</f>
        <v>0</v>
      </c>
      <c r="AC97" s="137" t="n">
        <f aca="false" ca="false" dt2D="false" dtr="false" t="normal">AB97</f>
        <v>0</v>
      </c>
      <c r="AD97" s="120" t="s">
        <v>197</v>
      </c>
      <c r="AE97" s="131" t="s">
        <v>196</v>
      </c>
      <c r="AF97" s="1693" t="s"/>
      <c r="AG97" s="142" t="s"/>
      <c r="AH97" s="142" t="s"/>
      <c r="AI97" s="1694" t="s"/>
      <c r="AJ97" s="121" t="n"/>
      <c r="AK97" s="121" t="n"/>
      <c r="AM97" s="1695" t="s"/>
    </row>
    <row hidden="false" ht="15.75" outlineLevel="0" r="98">
      <c r="A98" s="56" t="n"/>
      <c r="C98" s="98" t="s">
        <v>176</v>
      </c>
      <c r="D98" s="159" t="n">
        <f aca="false" ca="false" dt2D="false" dtr="false" t="normal">D93</f>
        <v>7</v>
      </c>
      <c r="E98" s="160" t="n">
        <f aca="false" ca="false" dt2D="false" dtr="false" t="normal">E93</f>
        <v>20</v>
      </c>
      <c r="F98" s="160" t="n">
        <f aca="false" ca="false" dt2D="false" dtr="false" t="normal">F93</f>
        <v>1</v>
      </c>
      <c r="G98" s="161" t="n">
        <f aca="false" ca="false" dt2D="false" dtr="false" t="normal">G93</f>
        <v>9</v>
      </c>
      <c r="H98" s="162" t="str">
        <f aca="false" ca="false" dt2D="false" dtr="false" t="normal">IF(K71="", "", BIN2HEX(H99, 2))</f>
        <v/>
      </c>
      <c r="I98" s="163" t="str">
        <f aca="false" ca="false" dt2D="false" dtr="false" t="normal">IF(K71="", "", BIN2HEX(I99, 2))</f>
        <v/>
      </c>
      <c r="J98" s="164" t="str">
        <f aca="false" ca="false" dt2D="false" dtr="false" t="normal">IF(K71="", "", BIN2HEX(J99, 2))</f>
        <v/>
      </c>
      <c r="K98" s="165" t="str">
        <f aca="false" ca="false" dt2D="false" dtr="false" t="normal">IF(K71="", "", BIN2HEX(K99, 2))</f>
        <v/>
      </c>
      <c r="L98" s="1696" t="str">
        <f aca="false" ca="false" dt2D="false" dtr="false" t="normal">IF(K71="", "", IF(LEN(L99)&gt;2, MID(L99, 2, 2), L99))</f>
        <v/>
      </c>
      <c r="N98" s="63" t="s">
        <v>181</v>
      </c>
      <c r="P98" s="136" t="n">
        <f aca="false" ca="false" dt2D="false" dtr="false" t="normal">MID(H94, 5, 1)</f>
        <v>0</v>
      </c>
      <c r="Q98" s="137" t="n">
        <f aca="false" ca="false" dt2D="false" dtr="false" t="normal">P98</f>
        <v>0</v>
      </c>
      <c r="R98" s="120" t="s">
        <v>200</v>
      </c>
      <c r="S98" s="131" t="s">
        <v>196</v>
      </c>
      <c r="T98" s="136" t="n">
        <f aca="false" ca="false" dt2D="false" dtr="false" t="normal">MID(I94, 5, 1)</f>
        <v>0</v>
      </c>
      <c r="U98" s="137" t="n">
        <f aca="false" ca="false" dt2D="false" dtr="false" t="normal">T98</f>
        <v>0</v>
      </c>
      <c r="V98" s="120" t="s">
        <v>200</v>
      </c>
      <c r="W98" s="131" t="s">
        <v>196</v>
      </c>
      <c r="X98" s="136" t="n">
        <f aca="false" ca="false" dt2D="false" dtr="false" t="normal">MID(J94, 5, 1)</f>
        <v>0</v>
      </c>
      <c r="Y98" s="137" t="n">
        <f aca="false" ca="false" dt2D="false" dtr="false" t="normal">X98</f>
        <v>0</v>
      </c>
      <c r="Z98" s="120" t="s">
        <v>200</v>
      </c>
      <c r="AA98" s="139" t="s">
        <v>1021</v>
      </c>
      <c r="AB98" s="136" t="n">
        <f aca="false" ca="false" dt2D="false" dtr="false" t="normal">MID(K94, 5, 1)</f>
        <v>0</v>
      </c>
      <c r="AC98" s="137" t="n">
        <f aca="false" ca="false" dt2D="false" dtr="false" t="normal">AB98</f>
        <v>0</v>
      </c>
      <c r="AD98" s="120" t="s">
        <v>200</v>
      </c>
      <c r="AE98" s="139" t="s">
        <v>1022</v>
      </c>
      <c r="AF98" s="1697" t="s"/>
      <c r="AG98" s="142" t="s"/>
      <c r="AH98" s="142" t="s"/>
      <c r="AI98" s="1698" t="s"/>
      <c r="AJ98" s="121" t="n"/>
      <c r="AK98" s="121" t="n"/>
      <c r="AM98" s="1699" t="s"/>
    </row>
    <row hidden="false" ht="15" outlineLevel="0" r="99">
      <c r="A99" s="56" t="n"/>
      <c r="C99" s="98" t="s">
        <v>185</v>
      </c>
      <c r="D99" s="53" t="n">
        <f aca="false" ca="false" dt2D="false" dtr="false" t="normal">HEX2BIN(D98, 8)</f>
        <v>111</v>
      </c>
      <c r="E99" s="53" t="n">
        <f aca="false" ca="false" dt2D="false" dtr="false" t="normal">HEX2BIN(E98, 8)</f>
        <v>100000</v>
      </c>
      <c r="F99" s="53" t="n">
        <f aca="false" ca="false" dt2D="false" dtr="false" t="normal">HEX2BIN(F98, 8)</f>
        <v>1</v>
      </c>
      <c r="G99" s="53" t="n">
        <f aca="false" ca="false" dt2D="false" dtr="false" t="normal">HEX2BIN(G98, 8)</f>
        <v>1001</v>
      </c>
      <c r="H99" s="171" t="n">
        <f aca="false" ca="false" dt2D="false" dtr="false" t="normal">Q94&amp;Q95&amp;Q96&amp;Q97&amp;Q98&amp;Q99&amp;Q100&amp;Q101</f>
        <v>0</v>
      </c>
      <c r="I99" s="53" t="n">
        <f aca="false" ca="false" dt2D="false" dtr="false" t="normal">U94&amp;U95&amp;U96&amp;U97&amp;U98&amp;U99&amp;U100&amp;U101</f>
        <v>0</v>
      </c>
      <c r="J99" s="171" t="n">
        <f aca="false" ca="false" dt2D="false" dtr="false" t="normal">Y94&amp;Y95&amp;Y96&amp;Y97&amp;Y98&amp;Y99&amp;Y100&amp;Y101</f>
        <v>0</v>
      </c>
      <c r="K99" s="171" t="n">
        <f aca="false" ca="false" dt2D="false" dtr="false" t="normal">AC94&amp;AC95&amp;AC96&amp;AC97&amp;AC98&amp;AC99&amp;AC100&amp;AC101</f>
        <v>0</v>
      </c>
      <c r="L99" s="53" t="n">
        <f aca="false" ca="false" dt2D="false" dtr="false" t="normal">DEC2HEX(L100)</f>
        <v>31</v>
      </c>
      <c r="N99" s="63" t="n"/>
      <c r="P99" s="136" t="n">
        <f aca="false" ca="false" dt2D="false" dtr="false" t="normal">MID(H94, 6, 1)</f>
        <v>0</v>
      </c>
      <c r="Q99" s="137" t="n">
        <f aca="false" ca="false" dt2D="false" dtr="false" t="normal">P99</f>
        <v>0</v>
      </c>
      <c r="R99" s="120" t="s">
        <v>203</v>
      </c>
      <c r="S99" s="139" t="s">
        <v>1023</v>
      </c>
      <c r="T99" s="136" t="n">
        <f aca="false" ca="false" dt2D="false" dtr="false" t="normal">MID(I94, 6, 1)</f>
        <v>0</v>
      </c>
      <c r="U99" s="137" t="n">
        <f aca="false" ca="false" dt2D="false" dtr="false" t="normal">T99</f>
        <v>0</v>
      </c>
      <c r="V99" s="120" t="s">
        <v>203</v>
      </c>
      <c r="W99" s="139" t="s">
        <v>1024</v>
      </c>
      <c r="X99" s="136" t="n">
        <f aca="false" ca="false" dt2D="false" dtr="false" t="normal">MID(J94, 6, 1)</f>
        <v>0</v>
      </c>
      <c r="Y99" s="137" t="n">
        <f aca="false" ca="false" dt2D="false" dtr="false" t="normal">X99</f>
        <v>0</v>
      </c>
      <c r="Z99" s="120" t="s">
        <v>203</v>
      </c>
      <c r="AA99" s="139" t="s">
        <v>1025</v>
      </c>
      <c r="AB99" s="136" t="n">
        <f aca="false" ca="false" dt2D="false" dtr="false" t="normal">MID(K94, 6, 1)</f>
        <v>0</v>
      </c>
      <c r="AC99" s="137" t="n">
        <f aca="false" ca="false" dt2D="false" dtr="false" t="normal">AB99</f>
        <v>0</v>
      </c>
      <c r="AD99" s="120" t="s">
        <v>203</v>
      </c>
      <c r="AE99" s="139" t="s">
        <v>1026</v>
      </c>
      <c r="AF99" s="1700" t="s"/>
      <c r="AG99" s="142" t="s"/>
      <c r="AH99" s="142" t="s"/>
      <c r="AI99" s="1701" t="s"/>
      <c r="AJ99" s="121" t="n"/>
      <c r="AK99" s="121" t="n"/>
      <c r="AM99" s="1702" t="s"/>
    </row>
    <row hidden="false" ht="15" outlineLevel="0" r="100">
      <c r="A100" s="56" t="n"/>
      <c r="C100" s="98" t="s">
        <v>191</v>
      </c>
      <c r="D100" s="53" t="n">
        <f aca="false" ca="false" dt2D="false" dtr="false" t="normal">HEX2DEC(D98)</f>
        <v>7</v>
      </c>
      <c r="E100" s="53" t="n">
        <f aca="false" ca="false" dt2D="false" dtr="false" t="normal">HEX2DEC(E98)</f>
        <v>32</v>
      </c>
      <c r="F100" s="53" t="n">
        <f aca="false" ca="false" dt2D="false" dtr="false" t="normal">HEX2DEC(F98)</f>
        <v>1</v>
      </c>
      <c r="G100" s="53" t="n">
        <f aca="false" ca="false" dt2D="false" dtr="false" t="normal">HEX2DEC(G98)</f>
        <v>9</v>
      </c>
      <c r="H100" s="53" t="n">
        <f aca="false" ca="false" dt2D="false" dtr="false" t="normal">HEX2DEC(H98)</f>
        <v>0</v>
      </c>
      <c r="I100" s="53" t="n">
        <f aca="false" ca="false" dt2D="false" dtr="false" t="normal">HEX2DEC(I98)</f>
        <v>0</v>
      </c>
      <c r="J100" s="53" t="n">
        <f aca="false" ca="false" dt2D="false" dtr="false" t="normal">HEX2DEC(J98)</f>
        <v>0</v>
      </c>
      <c r="K100" s="53" t="n">
        <f aca="false" ca="false" dt2D="false" dtr="false" t="normal">HEX2DEC(K98)</f>
        <v>0</v>
      </c>
      <c r="L100" s="53" t="n">
        <f aca="false" ca="false" dt2D="false" dtr="false" t="normal">SUM(D100:K100)</f>
        <v>49</v>
      </c>
      <c r="N100" s="63" t="n"/>
      <c r="P100" s="136" t="n">
        <f aca="false" ca="false" dt2D="false" dtr="false" t="normal">MID(H94, 7, 1)</f>
        <v>0</v>
      </c>
      <c r="Q100" s="137" t="n">
        <f aca="false" ca="false" dt2D="false" dtr="false" t="normal">P100</f>
        <v>0</v>
      </c>
      <c r="R100" s="120" t="s">
        <v>206</v>
      </c>
      <c r="S100" s="139" t="s">
        <v>1027</v>
      </c>
      <c r="T100" s="136" t="n">
        <f aca="false" ca="false" dt2D="false" dtr="false" t="normal">MID(I94, 7, 1)</f>
        <v>0</v>
      </c>
      <c r="U100" s="137" t="n">
        <f aca="false" ca="false" dt2D="false" dtr="false" t="normal">T100</f>
        <v>0</v>
      </c>
      <c r="V100" s="120" t="s">
        <v>206</v>
      </c>
      <c r="W100" s="139" t="s">
        <v>1028</v>
      </c>
      <c r="X100" s="136" t="n">
        <f aca="false" ca="false" dt2D="false" dtr="false" t="normal">MID(J94, 7, 1)</f>
        <v>0</v>
      </c>
      <c r="Y100" s="137" t="n">
        <f aca="false" ca="false" dt2D="false" dtr="false" t="normal">X100</f>
        <v>0</v>
      </c>
      <c r="Z100" s="120" t="s">
        <v>206</v>
      </c>
      <c r="AA100" s="131" t="s">
        <v>196</v>
      </c>
      <c r="AB100" s="136" t="n">
        <f aca="false" ca="false" dt2D="false" dtr="false" t="normal">MID(K94, 7, 1)</f>
        <v>0</v>
      </c>
      <c r="AC100" s="137" t="n">
        <f aca="false" ca="false" dt2D="false" dtr="false" t="normal">AB100</f>
        <v>0</v>
      </c>
      <c r="AD100" s="120" t="s">
        <v>206</v>
      </c>
      <c r="AE100" s="131" t="s">
        <v>196</v>
      </c>
      <c r="AF100" s="1703" t="s"/>
      <c r="AG100" s="142" t="s"/>
      <c r="AH100" s="142" t="s"/>
      <c r="AI100" s="1704" t="s"/>
      <c r="AJ100" s="121" t="n"/>
      <c r="AK100" s="121" t="n"/>
      <c r="AM100" s="1705" t="s"/>
    </row>
    <row hidden="false" ht="15.75" outlineLevel="0" r="101">
      <c r="C101" s="180" t="s">
        <v>194</v>
      </c>
      <c r="D101" s="299" t="n">
        <f aca="false" ca="false" dt2D="false" dtr="false" t="normal">D96</f>
        <v>7</v>
      </c>
      <c r="E101" s="299" t="n">
        <f aca="false" ca="false" dt2D="false" dtr="false" t="normal">E96</f>
        <v>20</v>
      </c>
      <c r="F101" s="299" t="str">
        <f aca="false" ca="false" dt2D="false" dtr="false" t="normal">F96</f>
        <v>G1</v>
      </c>
      <c r="G101" s="299" t="str">
        <f aca="false" ca="false" dt2D="false" dtr="false" t="normal">G96</f>
        <v>G9</v>
      </c>
      <c r="H101" s="45" t="n"/>
      <c r="I101" s="45" t="n"/>
      <c r="J101" s="45" t="n"/>
      <c r="K101" s="45" t="n"/>
      <c r="L101" s="45" t="n"/>
      <c r="M101" s="45" t="n"/>
      <c r="N101" s="49" t="n"/>
      <c r="P101" s="182" t="n">
        <f aca="false" ca="false" dt2D="false" dtr="false" t="normal">MID(H94, 8, 1)</f>
        <v>0</v>
      </c>
      <c r="Q101" s="183" t="n">
        <f aca="false" ca="false" dt2D="false" dtr="false" t="normal">P101</f>
        <v>0</v>
      </c>
      <c r="R101" s="184" t="s">
        <v>208</v>
      </c>
      <c r="S101" s="187" t="s">
        <v>1029</v>
      </c>
      <c r="T101" s="182" t="n">
        <f aca="false" ca="false" dt2D="false" dtr="false" t="normal">MID(I94, 8, 1)</f>
        <v>0</v>
      </c>
      <c r="U101" s="183" t="n">
        <f aca="false" ca="false" dt2D="false" dtr="false" t="normal">T101</f>
        <v>0</v>
      </c>
      <c r="V101" s="184" t="s">
        <v>208</v>
      </c>
      <c r="W101" s="187" t="s">
        <v>1030</v>
      </c>
      <c r="X101" s="182" t="n">
        <f aca="false" ca="false" dt2D="false" dtr="false" t="normal">MID(J94, 8, 1)</f>
        <v>0</v>
      </c>
      <c r="Y101" s="183" t="n">
        <f aca="false" ca="false" dt2D="false" dtr="false" t="normal">X101</f>
        <v>0</v>
      </c>
      <c r="Z101" s="184" t="s">
        <v>208</v>
      </c>
      <c r="AA101" s="187" t="s">
        <v>1031</v>
      </c>
      <c r="AB101" s="182" t="n">
        <f aca="false" ca="false" dt2D="false" dtr="false" t="normal">MID(K94, 8, 1)</f>
        <v>0</v>
      </c>
      <c r="AC101" s="183" t="n">
        <f aca="false" ca="false" dt2D="false" dtr="false" t="normal">AB101</f>
        <v>0</v>
      </c>
      <c r="AD101" s="184" t="s">
        <v>208</v>
      </c>
      <c r="AE101" s="187" t="s">
        <v>1032</v>
      </c>
      <c r="AF101" s="1706" t="s"/>
      <c r="AG101" s="1707" t="s"/>
      <c r="AH101" s="1708" t="s"/>
      <c r="AI101" s="1709" t="s"/>
      <c r="AJ101" s="121" t="n"/>
      <c r="AK101" s="121" t="n"/>
      <c r="AM101" s="1710" t="s"/>
    </row>
    <row hidden="false" ht="15.75" outlineLevel="0" r="102">
      <c r="C102" s="93" t="n"/>
      <c r="D102" s="94" t="n"/>
      <c r="E102" s="94" t="n"/>
      <c r="F102" s="94" t="n"/>
      <c r="G102" s="94" t="n"/>
      <c r="H102" s="94" t="n"/>
      <c r="I102" s="94" t="n"/>
      <c r="J102" s="94" t="n"/>
      <c r="K102" s="94" t="str">
        <f aca="false" ca="false" dt2D="false" dtr="false" t="normal">IF(L104="", "checksum", "")</f>
        <v/>
      </c>
      <c r="L102" s="94" t="n"/>
      <c r="M102" s="94" t="str">
        <f aca="false" ca="false" dt2D="false" dtr="false" t="normal">IF(L104="", "", "checksum")</f>
        <v>checksum</v>
      </c>
      <c r="N102" s="60" t="n"/>
      <c r="P102" s="95" t="str">
        <f aca="false" ca="false" dt2D="false" dtr="false" t="normal">RIGHT(D104, 1)&amp;E104&amp;"-"&amp;F104&amp;"-"&amp;G104</f>
        <v>720-02-01</v>
      </c>
      <c r="Q102" s="1711" t="s"/>
      <c r="R102" s="234" t="s">
        <v>1033</v>
      </c>
      <c r="S102" s="1712" t="s"/>
      <c r="T102" s="1713" t="s"/>
      <c r="U102" s="1714" t="s"/>
      <c r="V102" s="1715" t="s"/>
      <c r="W102" s="1716" t="s"/>
      <c r="X102" s="1717" t="s"/>
      <c r="Y102" s="1718" t="s"/>
      <c r="Z102" s="1719" t="s"/>
      <c r="AA102" s="1720" t="s"/>
      <c r="AB102" s="1721" t="s"/>
      <c r="AC102" s="1722" t="s"/>
      <c r="AD102" s="1723" t="s"/>
      <c r="AE102" s="1724" t="s"/>
      <c r="AF102" s="1725" t="s"/>
      <c r="AG102" s="1726" t="s"/>
      <c r="AH102" s="1727" t="s"/>
      <c r="AI102" s="1728" t="s"/>
      <c r="AJ102" s="1729" t="s"/>
      <c r="AK102" s="1730" t="s"/>
    </row>
    <row hidden="false" ht="15.75" outlineLevel="0" r="103">
      <c r="C103" s="98" t="n"/>
      <c r="D103" s="99" t="s">
        <v>1034</v>
      </c>
      <c r="E103" s="1731" t="s"/>
      <c r="F103" s="1732" t="s"/>
      <c r="G103" s="1733" t="s"/>
      <c r="H103" s="53" t="s">
        <v>165</v>
      </c>
      <c r="I103" s="53" t="s">
        <v>166</v>
      </c>
      <c r="J103" s="53" t="s">
        <v>167</v>
      </c>
      <c r="K103" s="53" t="s">
        <v>168</v>
      </c>
      <c r="L103" s="53" t="s">
        <v>169</v>
      </c>
      <c r="M103" s="53" t="s">
        <v>221</v>
      </c>
      <c r="N103" s="63" t="n"/>
      <c r="P103" s="103" t="s">
        <v>1035</v>
      </c>
      <c r="Q103" s="1734" t="s"/>
      <c r="R103" s="1735" t="s"/>
      <c r="S103" s="1736" t="s"/>
      <c r="T103" s="103" t="s">
        <v>1036</v>
      </c>
      <c r="U103" s="1737" t="s"/>
      <c r="V103" s="1738" t="s"/>
      <c r="W103" s="1739" t="s"/>
      <c r="X103" s="103" t="s">
        <v>1037</v>
      </c>
      <c r="Y103" s="1740" t="s"/>
      <c r="Z103" s="1741" t="s"/>
      <c r="AA103" s="1742" t="s"/>
      <c r="AB103" s="103" t="s">
        <v>1038</v>
      </c>
      <c r="AC103" s="1743" t="s"/>
      <c r="AD103" s="1744" t="s"/>
      <c r="AE103" s="1745" t="s"/>
      <c r="AF103" s="103" t="s">
        <v>1039</v>
      </c>
      <c r="AG103" s="1746" t="s"/>
      <c r="AH103" s="1747" t="s"/>
      <c r="AI103" s="1748" t="s"/>
      <c r="AJ103" s="103" t="s">
        <v>1040</v>
      </c>
      <c r="AK103" s="1749" t="s"/>
    </row>
    <row hidden="false" ht="15.75" outlineLevel="0" r="104">
      <c r="C104" s="98" t="s">
        <v>176</v>
      </c>
      <c r="D104" s="122" t="s">
        <v>177</v>
      </c>
      <c r="E104" s="123" t="s">
        <v>693</v>
      </c>
      <c r="F104" s="123" t="s">
        <v>216</v>
      </c>
      <c r="G104" s="124" t="s">
        <v>179</v>
      </c>
      <c r="H104" s="125" t="n">
        <f aca="false" ca="false" dt2D="false" dtr="false" ref="H104:H104" t="array">MID(INDEX($A$3:$A$70, IF(ISNA(MATCH("720G2G1*", $A$3:$A$70, 0))=TRUE, MATCH("7200201*", $A$3:$A$70, 0), MATCH("720G2G1*", $A$3:$A$70, 0))), $AU$8, 2)</f>
        <v>0</v>
      </c>
      <c r="I104" s="126" t="n">
        <f aca="false" ca="false" dt2D="false" dtr="false" ref="I104:I104" t="array">MID(INDEX($A$3:$A$70, IF(ISNA(MATCH("720G2G1*", $A$3:$A$70, 0))=TRUE, MATCH("7200201*", $A$3:$A$70, 0), MATCH("720G2G1*", $A$3:$A$70, 0))), $AV$8, 2)</f>
        <v>0</v>
      </c>
      <c r="J104" s="126" t="n">
        <f aca="false" ca="false" dt2D="false" dtr="false" ref="J104:J104" t="array">MID(INDEX($A$3:$A$70, IF(ISNA(MATCH("720G2G1*", $A$3:$A$70, 0))=TRUE, MATCH("7200201*", $A$3:$A$70, 0), MATCH("720G2G1*", $A$3:$A$70, 0))), $AW$8, 2)</f>
        <v>0</v>
      </c>
      <c r="K104" s="126" t="n">
        <f aca="false" ca="false" dt2D="false" dtr="false" ref="K104:K104" t="array">MID(INDEX($A$3:$A$70, IF(ISNA(MATCH("720G2G1*", $A$3:$A$70, 0))=TRUE, MATCH("7200201*", $A$3:$A$70, 0), MATCH("720G2G1*", $A$3:$A$70, 0))), $AX$8, 2)</f>
        <v>0</v>
      </c>
      <c r="L104" s="274" t="n">
        <f aca="false" ca="false" dt2D="false" dtr="false" ref="L104:L104" t="array">MID(INDEX($A$3:$A$70, IF(ISNA(MATCH("720G2G1*", $A$3:$A$70, 0))=TRUE, MATCH("7200201*", $A$3:$A$70, 0), MATCH("720G2G1*", $A$3:$A$70, 0))), $AY$8, 2)</f>
        <v>0</v>
      </c>
      <c r="M104" s="128" t="str">
        <f aca="false" ca="false" dt2D="false" dtr="false" ref="M104:M104" t="array">MID(INDEX($A$3:$A$70, IF(ISNA(MATCH("720G2G1*", $A$3:$A$70, 0))=TRUE, MATCH("7200201*", $A$3:$A$70, 0), MATCH("720G2G1*", $A$3:$A$70, 0))), $AZ$8, 2)</f>
        <v>2A</v>
      </c>
      <c r="N104" s="63" t="s">
        <v>180</v>
      </c>
      <c r="P104" s="129" t="s">
        <v>180</v>
      </c>
      <c r="Q104" s="130" t="s">
        <v>181</v>
      </c>
      <c r="R104" s="121" t="s">
        <v>182</v>
      </c>
      <c r="S104" s="131" t="n"/>
      <c r="T104" s="129" t="s">
        <v>180</v>
      </c>
      <c r="U104" s="130" t="s">
        <v>181</v>
      </c>
      <c r="V104" s="121" t="s">
        <v>182</v>
      </c>
      <c r="W104" s="131" t="n"/>
      <c r="X104" s="129" t="s">
        <v>180</v>
      </c>
      <c r="Y104" s="130" t="s">
        <v>181</v>
      </c>
      <c r="Z104" s="121" t="s">
        <v>182</v>
      </c>
      <c r="AA104" s="131" t="n"/>
      <c r="AB104" s="129" t="s">
        <v>180</v>
      </c>
      <c r="AC104" s="130" t="s">
        <v>181</v>
      </c>
      <c r="AD104" s="121" t="s">
        <v>182</v>
      </c>
      <c r="AE104" s="131" t="n"/>
      <c r="AF104" s="129" t="s">
        <v>180</v>
      </c>
      <c r="AG104" s="130" t="s">
        <v>181</v>
      </c>
      <c r="AH104" s="121" t="s">
        <v>182</v>
      </c>
      <c r="AI104" s="121" t="n"/>
      <c r="AJ104" s="116" t="s">
        <v>183</v>
      </c>
      <c r="AK104" s="1750" t="s"/>
    </row>
    <row customHeight="true" hidden="false" ht="15" outlineLevel="0" r="105">
      <c r="C105" s="98" t="s">
        <v>185</v>
      </c>
      <c r="D105" s="53" t="n">
        <f aca="false" ca="false" dt2D="false" dtr="false" t="normal">HEX2BIN(D104, 8)</f>
        <v>111</v>
      </c>
      <c r="E105" s="53" t="n">
        <f aca="false" ca="false" dt2D="false" dtr="false" t="normal">HEX2BIN(E104, 8)</f>
        <v>100000</v>
      </c>
      <c r="F105" s="53" t="n">
        <f aca="false" ca="false" dt2D="false" dtr="false" t="normal">HEX2BIN(F104, 8)</f>
        <v>10</v>
      </c>
      <c r="G105" s="53" t="n">
        <f aca="false" ca="false" dt2D="false" dtr="false" t="normal">HEX2BIN(G104, 8)</f>
        <v>1</v>
      </c>
      <c r="H105" s="53" t="n">
        <f aca="false" ca="false" dt2D="false" dtr="false" t="normal">HEX2BIN(H104, 8)</f>
        <v>0</v>
      </c>
      <c r="I105" s="53" t="n">
        <f aca="false" ca="false" dt2D="false" dtr="false" t="normal">HEX2BIN(I104, 8)</f>
        <v>0</v>
      </c>
      <c r="J105" s="53" t="n">
        <f aca="false" ca="false" dt2D="false" dtr="false" t="normal">HEX2BIN(J104, 8)</f>
        <v>0</v>
      </c>
      <c r="K105" s="53" t="n">
        <f aca="false" ca="false" dt2D="false" dtr="false" t="normal">IF(L104="", "", HEX2BIN(K104, 8))</f>
        <v>0</v>
      </c>
      <c r="L105" s="53" t="n">
        <f aca="false" ca="false" dt2D="false" dtr="false" t="normal">IF(L104="", "", HEX2BIN(L104, 8))</f>
        <v>0</v>
      </c>
      <c r="N105" s="63" t="n"/>
      <c r="P105" s="136" t="n">
        <f aca="false" ca="false" dt2D="false" dtr="false" t="normal">MID(H105, 1, 1)</f>
        <v>0</v>
      </c>
      <c r="Q105" s="137" t="n">
        <f aca="false" ca="false" dt2D="false" dtr="false" t="normal">P105</f>
        <v>0</v>
      </c>
      <c r="R105" s="120" t="s">
        <v>186</v>
      </c>
      <c r="S105" s="131" t="s">
        <v>196</v>
      </c>
      <c r="T105" s="136" t="n">
        <f aca="false" ca="false" dt2D="false" dtr="false" t="normal">MID(I105, 1, 1)</f>
        <v>0</v>
      </c>
      <c r="U105" s="137" t="n">
        <f aca="false" ca="false" dt2D="false" dtr="false" t="normal">T105</f>
        <v>0</v>
      </c>
      <c r="V105" s="120" t="s">
        <v>186</v>
      </c>
      <c r="W105" s="635" t="s">
        <v>1041</v>
      </c>
      <c r="X105" s="136" t="n">
        <f aca="false" ca="false" dt2D="false" dtr="false" t="normal">MID(J105, 1, 1)</f>
        <v>0</v>
      </c>
      <c r="Y105" s="137" t="n">
        <f aca="false" ca="false" dt2D="false" dtr="false" t="normal">X105</f>
        <v>0</v>
      </c>
      <c r="Z105" s="120" t="s">
        <v>186</v>
      </c>
      <c r="AA105" s="140" t="s">
        <v>1042</v>
      </c>
      <c r="AB105" s="136" t="n">
        <f aca="false" ca="false" dt2D="false" dtr="false" t="normal">MID(K105, 1, 1)</f>
        <v>0</v>
      </c>
      <c r="AC105" s="137" t="n">
        <f aca="false" ca="false" dt2D="false" dtr="false" t="normal">AB105</f>
        <v>0</v>
      </c>
      <c r="AD105" s="120" t="s">
        <v>186</v>
      </c>
      <c r="AE105" s="131" t="s">
        <v>196</v>
      </c>
      <c r="AF105" s="136" t="n">
        <f aca="false" ca="false" dt2D="false" dtr="false" t="normal">MID(L105, 1, 1)</f>
        <v>0</v>
      </c>
      <c r="AG105" s="137" t="n">
        <f aca="false" ca="false" dt2D="false" dtr="false" t="normal">AF105</f>
        <v>0</v>
      </c>
      <c r="AH105" s="120" t="s">
        <v>186</v>
      </c>
      <c r="AI105" s="131" t="s">
        <v>196</v>
      </c>
      <c r="AJ105" s="1751" t="s"/>
      <c r="AK105" s="1752" t="s"/>
    </row>
    <row hidden="false" ht="15" outlineLevel="0" r="106">
      <c r="C106" s="98" t="s">
        <v>191</v>
      </c>
      <c r="D106" s="53" t="n">
        <f aca="false" ca="false" dt2D="false" dtr="false" t="normal">HEX2DEC(D104)</f>
        <v>7</v>
      </c>
      <c r="E106" s="53" t="n">
        <f aca="false" ca="false" dt2D="false" dtr="false" t="normal">HEX2DEC(E104)</f>
        <v>32</v>
      </c>
      <c r="F106" s="53" t="n">
        <f aca="false" ca="false" dt2D="false" dtr="false" t="normal">HEX2DEC(F104)</f>
        <v>2</v>
      </c>
      <c r="G106" s="53" t="n">
        <f aca="false" ca="false" dt2D="false" dtr="false" t="normal">HEX2DEC(G104)</f>
        <v>1</v>
      </c>
      <c r="H106" s="53" t="n">
        <f aca="false" ca="false" dt2D="false" dtr="false" t="normal">HEX2DEC(H104)</f>
        <v>0</v>
      </c>
      <c r="I106" s="53" t="n">
        <f aca="false" ca="false" dt2D="false" dtr="false" t="normal">HEX2DEC(I104)</f>
        <v>0</v>
      </c>
      <c r="J106" s="53" t="n">
        <f aca="false" ca="false" dt2D="false" dtr="false" t="normal">HEX2DEC(J104)</f>
        <v>0</v>
      </c>
      <c r="K106" s="53" t="n">
        <f aca="false" ca="false" dt2D="false" dtr="false" t="normal">IF(L104="", SUM(D106:J106), HEX2DEC(K104))</f>
        <v>0</v>
      </c>
      <c r="L106" s="53" t="n">
        <f aca="false" ca="false" dt2D="false" dtr="false" t="normal">IF(L104="", "", HEX2DEC(L104))</f>
        <v>0</v>
      </c>
      <c r="M106" s="53" t="n">
        <f aca="false" ca="false" dt2D="false" dtr="false" t="normal">IF(L104="", "", SUM(D106:L106))</f>
        <v>42</v>
      </c>
      <c r="N106" s="63" t="n"/>
      <c r="P106" s="136" t="n">
        <f aca="false" ca="false" dt2D="false" dtr="false" t="normal">MID(H105, 2, 1)</f>
        <v>0</v>
      </c>
      <c r="Q106" s="137" t="n">
        <f aca="false" ca="false" dt2D="false" dtr="false" t="normal">P106</f>
        <v>0</v>
      </c>
      <c r="R106" s="120" t="s">
        <v>192</v>
      </c>
      <c r="S106" s="131" t="s">
        <v>196</v>
      </c>
      <c r="T106" s="136" t="n">
        <f aca="false" ca="false" dt2D="false" dtr="false" t="normal">MID(I105, 2, 1)</f>
        <v>0</v>
      </c>
      <c r="U106" s="137" t="n">
        <f aca="false" ca="false" dt2D="false" dtr="false" t="normal">T106</f>
        <v>0</v>
      </c>
      <c r="V106" s="120" t="s">
        <v>192</v>
      </c>
      <c r="W106" s="1753" t="s"/>
      <c r="X106" s="136" t="n">
        <f aca="false" ca="false" dt2D="false" dtr="false" t="normal">MID(J105, 2, 1)</f>
        <v>0</v>
      </c>
      <c r="Y106" s="137" t="n">
        <f aca="false" ca="false" dt2D="false" dtr="false" t="normal">X106</f>
        <v>0</v>
      </c>
      <c r="Z106" s="120" t="s">
        <v>192</v>
      </c>
      <c r="AA106" s="1754" t="s"/>
      <c r="AB106" s="136" t="n">
        <f aca="false" ca="false" dt2D="false" dtr="false" t="normal">MID(K105, 2, 1)</f>
        <v>0</v>
      </c>
      <c r="AC106" s="137" t="n">
        <f aca="false" ca="false" dt2D="false" dtr="false" t="normal">AB106</f>
        <v>0</v>
      </c>
      <c r="AD106" s="120" t="s">
        <v>192</v>
      </c>
      <c r="AE106" s="131" t="s">
        <v>196</v>
      </c>
      <c r="AF106" s="136" t="n">
        <f aca="false" ca="false" dt2D="false" dtr="false" t="normal">MID(L105, 2, 1)</f>
        <v>0</v>
      </c>
      <c r="AG106" s="137" t="n">
        <f aca="false" ca="false" dt2D="false" dtr="false" t="normal">AF106</f>
        <v>0</v>
      </c>
      <c r="AH106" s="120" t="s">
        <v>192</v>
      </c>
      <c r="AI106" s="131" t="s">
        <v>196</v>
      </c>
      <c r="AJ106" s="1755" t="s"/>
      <c r="AK106" s="1756" t="s"/>
    </row>
    <row customHeight="true" hidden="false" ht="15" outlineLevel="0" r="107">
      <c r="C107" s="98" t="s">
        <v>194</v>
      </c>
      <c r="D107" s="149" t="n">
        <f aca="false" ca="false" dt2D="false" dtr="false" t="normal">D104</f>
        <v>7</v>
      </c>
      <c r="E107" s="149" t="n">
        <f aca="false" ca="false" dt2D="false" dtr="false" t="normal">E104</f>
        <v>20</v>
      </c>
      <c r="F107" s="53" t="str">
        <f aca="false" ca="false" dt2D="false" dtr="false" t="normal">MID(INDEX($A$3:$A$70, IF(ISNA(MATCH("720G2G1*", $A$3:$A$70, 0))=TRUE, MATCH("7200201*", $A$3:$A$70, 0), MATCH("720G2G1*", $A$3:$A$70, 0))), $AS$8, 2)</f>
        <v>G2</v>
      </c>
      <c r="G107" s="53" t="str">
        <f aca="false" ca="false" dt2D="false" dtr="false" t="normal">MID(INDEX($A$3:$A$70, IF(ISNA(MATCH("720G2G1*", $A$3:$A$70, 0))=TRUE, MATCH("7200201*", $A$3:$A$70, 0), MATCH("720G2G1*", $A$3:$A$70, 0))), $AT$8, 2)</f>
        <v>G1</v>
      </c>
      <c r="N107" s="63" t="n"/>
      <c r="P107" s="136" t="n">
        <f aca="false" ca="false" dt2D="false" dtr="false" t="normal">MID(H105, 3, 1)</f>
        <v>0</v>
      </c>
      <c r="Q107" s="137" t="n">
        <f aca="false" ca="false" dt2D="false" dtr="false" t="normal">P107</f>
        <v>0</v>
      </c>
      <c r="R107" s="120" t="s">
        <v>195</v>
      </c>
      <c r="S107" s="635" t="s">
        <v>1043</v>
      </c>
      <c r="T107" s="136" t="n">
        <f aca="false" ca="false" dt2D="false" dtr="false" t="normal">MID(I105, 3, 1)</f>
        <v>0</v>
      </c>
      <c r="U107" s="137" t="n">
        <f aca="false" ca="false" dt2D="false" dtr="false" t="normal">T107</f>
        <v>0</v>
      </c>
      <c r="V107" s="120" t="s">
        <v>195</v>
      </c>
      <c r="W107" s="635" t="s">
        <v>1044</v>
      </c>
      <c r="X107" s="136" t="n">
        <f aca="false" ca="false" dt2D="false" dtr="false" t="normal">MID(J105, 3, 1)</f>
        <v>0</v>
      </c>
      <c r="Y107" s="137" t="n">
        <f aca="false" ca="false" dt2D="false" dtr="false" t="normal">X107</f>
        <v>0</v>
      </c>
      <c r="Z107" s="120" t="s">
        <v>195</v>
      </c>
      <c r="AA107" s="635" t="s">
        <v>1045</v>
      </c>
      <c r="AB107" s="136" t="n">
        <f aca="false" ca="false" dt2D="false" dtr="false" t="normal">MID(K105, 3, 1)</f>
        <v>0</v>
      </c>
      <c r="AC107" s="137" t="n">
        <f aca="false" ca="false" dt2D="false" dtr="false" t="normal">AB107</f>
        <v>0</v>
      </c>
      <c r="AD107" s="120" t="s">
        <v>195</v>
      </c>
      <c r="AE107" s="131" t="s">
        <v>196</v>
      </c>
      <c r="AF107" s="136" t="n">
        <f aca="false" ca="false" dt2D="false" dtr="false" t="normal">MID(L105, 3, 1)</f>
        <v>0</v>
      </c>
      <c r="AG107" s="137" t="n">
        <f aca="false" ca="false" dt2D="false" dtr="false" t="normal">AF107</f>
        <v>0</v>
      </c>
      <c r="AH107" s="120" t="s">
        <v>195</v>
      </c>
      <c r="AI107" s="131" t="s">
        <v>196</v>
      </c>
      <c r="AJ107" s="1757" t="s"/>
      <c r="AK107" s="1758" t="s"/>
    </row>
    <row hidden="false" ht="15.75" outlineLevel="0" r="108">
      <c r="C108" s="98" t="n"/>
      <c r="N108" s="63" t="n"/>
      <c r="P108" s="136" t="n">
        <f aca="false" ca="false" dt2D="false" dtr="false" t="normal">MID(H105, 4, 1)</f>
        <v>0</v>
      </c>
      <c r="Q108" s="137" t="n">
        <f aca="false" ca="false" dt2D="false" dtr="false" t="normal">P108</f>
        <v>0</v>
      </c>
      <c r="R108" s="120" t="s">
        <v>197</v>
      </c>
      <c r="S108" s="1759" t="s"/>
      <c r="T108" s="136" t="n">
        <f aca="false" ca="false" dt2D="false" dtr="false" t="normal">MID(I105, 4, 1)</f>
        <v>0</v>
      </c>
      <c r="U108" s="137" t="n">
        <f aca="false" ca="false" dt2D="false" dtr="false" t="normal">T108</f>
        <v>0</v>
      </c>
      <c r="V108" s="120" t="s">
        <v>197</v>
      </c>
      <c r="W108" s="1760" t="s"/>
      <c r="X108" s="136" t="n">
        <f aca="false" ca="false" dt2D="false" dtr="false" t="normal">MID(J105, 4, 1)</f>
        <v>0</v>
      </c>
      <c r="Y108" s="137" t="n">
        <f aca="false" ca="false" dt2D="false" dtr="false" t="normal">X108</f>
        <v>0</v>
      </c>
      <c r="Z108" s="120" t="s">
        <v>197</v>
      </c>
      <c r="AA108" s="1761" t="s"/>
      <c r="AB108" s="136" t="n">
        <f aca="false" ca="false" dt2D="false" dtr="false" t="normal">MID(K105, 4, 1)</f>
        <v>0</v>
      </c>
      <c r="AC108" s="137" t="n">
        <f aca="false" ca="false" dt2D="false" dtr="false" t="normal">AB108</f>
        <v>0</v>
      </c>
      <c r="AD108" s="120" t="s">
        <v>197</v>
      </c>
      <c r="AE108" s="131" t="s">
        <v>196</v>
      </c>
      <c r="AF108" s="136" t="n">
        <f aca="false" ca="false" dt2D="false" dtr="false" t="normal">MID(L105, 4, 1)</f>
        <v>0</v>
      </c>
      <c r="AG108" s="137" t="n">
        <f aca="false" ca="false" dt2D="false" dtr="false" t="normal">AF108</f>
        <v>0</v>
      </c>
      <c r="AH108" s="120" t="s">
        <v>197</v>
      </c>
      <c r="AI108" s="131" t="s">
        <v>196</v>
      </c>
      <c r="AJ108" s="1762" t="s"/>
      <c r="AK108" s="1763" t="s"/>
    </row>
    <row customHeight="true" hidden="false" ht="15.75" outlineLevel="0" r="109">
      <c r="C109" s="98" t="s">
        <v>176</v>
      </c>
      <c r="D109" s="159" t="n">
        <f aca="false" ca="false" dt2D="false" dtr="false" t="normal">D104</f>
        <v>7</v>
      </c>
      <c r="E109" s="160" t="n">
        <f aca="false" ca="false" dt2D="false" dtr="false" t="normal">E104</f>
        <v>20</v>
      </c>
      <c r="F109" s="160" t="n">
        <f aca="false" ca="false" dt2D="false" dtr="false" t="normal">F104</f>
        <v>2</v>
      </c>
      <c r="G109" s="161" t="n">
        <f aca="false" ca="false" dt2D="false" dtr="false" t="normal">G104</f>
        <v>1</v>
      </c>
      <c r="H109" s="162" t="n">
        <f aca="false" ca="false" dt2D="false" dtr="false" t="normal">BIN2HEX(H110, 2)</f>
        <v>0</v>
      </c>
      <c r="I109" s="163" t="n">
        <f aca="false" ca="false" dt2D="false" dtr="false" t="normal">BIN2HEX(I110, 2)</f>
        <v>0</v>
      </c>
      <c r="J109" s="164" t="n">
        <f aca="false" ca="false" dt2D="false" dtr="false" t="normal">BIN2HEX(J110, 2)</f>
        <v>0</v>
      </c>
      <c r="K109" s="165" t="n">
        <f aca="false" ca="false" dt2D="false" dtr="false" t="normal">IF(L104="", IF(LEN(K110)&gt;2, MID(K110, 2, 2), K110), BIN2HEX(K110, 2))</f>
        <v>0</v>
      </c>
      <c r="L109" s="288" t="n">
        <f aca="false" ca="false" dt2D="false" dtr="false" t="normal">IF(L104="", "", BIN2HEX(L110, 2))</f>
        <v>0</v>
      </c>
      <c r="M109" s="166" t="str">
        <f aca="false" ca="false" dt2D="false" dtr="false" t="normal">IF(L104="", "", IF(LEN(M110)&gt;2, MID(M110, 2, 2), M110))</f>
        <v>2A</v>
      </c>
      <c r="N109" s="63" t="s">
        <v>181</v>
      </c>
      <c r="P109" s="136" t="n">
        <f aca="false" ca="false" dt2D="false" dtr="false" t="normal">MID(H105, 5, 1)</f>
        <v>0</v>
      </c>
      <c r="Q109" s="137" t="n">
        <f aca="false" ca="false" dt2D="false" dtr="false" t="normal">P109</f>
        <v>0</v>
      </c>
      <c r="R109" s="120" t="s">
        <v>200</v>
      </c>
      <c r="S109" s="635" t="s">
        <v>1046</v>
      </c>
      <c r="T109" s="136" t="n">
        <f aca="false" ca="false" dt2D="false" dtr="false" t="normal">MID(I105, 5, 1)</f>
        <v>0</v>
      </c>
      <c r="U109" s="137" t="n">
        <f aca="false" ca="false" dt2D="false" dtr="false" t="normal">T109</f>
        <v>0</v>
      </c>
      <c r="V109" s="120" t="s">
        <v>200</v>
      </c>
      <c r="W109" s="635" t="s">
        <v>1047</v>
      </c>
      <c r="X109" s="136" t="n">
        <f aca="false" ca="false" dt2D="false" dtr="false" t="normal">MID(J105, 5, 1)</f>
        <v>0</v>
      </c>
      <c r="Y109" s="137" t="n">
        <f aca="false" ca="false" dt2D="false" dtr="false" t="normal">X109</f>
        <v>0</v>
      </c>
      <c r="Z109" s="120" t="s">
        <v>200</v>
      </c>
      <c r="AA109" s="131" t="s">
        <v>196</v>
      </c>
      <c r="AB109" s="136" t="n">
        <f aca="false" ca="false" dt2D="false" dtr="false" t="normal">MID(K105, 5, 1)</f>
        <v>0</v>
      </c>
      <c r="AC109" s="137" t="n">
        <f aca="false" ca="false" dt2D="false" dtr="false" t="normal">AB109</f>
        <v>0</v>
      </c>
      <c r="AD109" s="120" t="s">
        <v>200</v>
      </c>
      <c r="AE109" s="131" t="s">
        <v>196</v>
      </c>
      <c r="AF109" s="136" t="n">
        <f aca="false" ca="false" dt2D="false" dtr="false" t="normal">MID(L105, 5, 1)</f>
        <v>0</v>
      </c>
      <c r="AG109" s="137" t="n">
        <f aca="false" ca="false" dt2D="false" dtr="false" t="normal">AF109</f>
        <v>0</v>
      </c>
      <c r="AH109" s="120" t="s">
        <v>200</v>
      </c>
      <c r="AI109" s="131" t="s">
        <v>196</v>
      </c>
      <c r="AJ109" s="1764" t="s"/>
      <c r="AK109" s="1765" t="s"/>
    </row>
    <row hidden="false" ht="15" outlineLevel="0" r="110">
      <c r="C110" s="98" t="s">
        <v>185</v>
      </c>
      <c r="D110" s="53" t="n">
        <f aca="false" ca="false" dt2D="false" dtr="false" t="normal">HEX2BIN(D109, 8)</f>
        <v>111</v>
      </c>
      <c r="E110" s="53" t="n">
        <f aca="false" ca="false" dt2D="false" dtr="false" t="normal">HEX2BIN(E109, 8)</f>
        <v>100000</v>
      </c>
      <c r="F110" s="53" t="n">
        <f aca="false" ca="false" dt2D="false" dtr="false" t="normal">HEX2BIN(F109, 8)</f>
        <v>10</v>
      </c>
      <c r="G110" s="53" t="n">
        <f aca="false" ca="false" dt2D="false" dtr="false" t="normal">HEX2BIN(G109, 8)</f>
        <v>1</v>
      </c>
      <c r="H110" s="171" t="n">
        <f aca="false" ca="false" dt2D="false" dtr="false" t="normal">Q105&amp;Q106&amp;Q107&amp;Q108&amp;Q109&amp;Q110&amp;Q111&amp;Q112</f>
        <v>0</v>
      </c>
      <c r="I110" s="53" t="n">
        <f aca="false" ca="false" dt2D="false" dtr="false" t="normal">U105&amp;U106&amp;U107&amp;U108&amp;U109&amp;U110&amp;U111&amp;U112</f>
        <v>0</v>
      </c>
      <c r="J110" s="171" t="n">
        <f aca="false" ca="false" dt2D="false" dtr="false" t="normal">Y105&amp;Y106&amp;Y107&amp;Y108&amp;Y109&amp;Y110&amp;Y111&amp;Y112</f>
        <v>0</v>
      </c>
      <c r="K110" s="171" t="n">
        <f aca="false" ca="false" dt2D="false" dtr="false" t="normal">IF(L104="", DEC2HEX(K111), AC105&amp;AC106&amp;AC107&amp;AC108&amp;AC109&amp;AC110&amp;AC111&amp;AC112)</f>
        <v>0</v>
      </c>
      <c r="L110" s="53" t="n">
        <f aca="false" ca="false" dt2D="false" dtr="false" t="normal">IF(L104="", "", AG105&amp;AG106&amp;AG107&amp;AG108&amp;AG109&amp;AG110&amp;AG111&amp;AG112)</f>
        <v>0</v>
      </c>
      <c r="M110" s="53" t="str">
        <f aca="false" ca="false" dt2D="false" dtr="false" t="normal">IF(L104="", "", DEC2HEX(M111))</f>
        <v>2A</v>
      </c>
      <c r="N110" s="63" t="n"/>
      <c r="P110" s="136" t="n">
        <f aca="false" ca="false" dt2D="false" dtr="false" t="normal">MID(H105, 6, 1)</f>
        <v>0</v>
      </c>
      <c r="Q110" s="137" t="n">
        <f aca="false" ca="false" dt2D="false" dtr="false" t="normal">P110</f>
        <v>0</v>
      </c>
      <c r="R110" s="120" t="s">
        <v>203</v>
      </c>
      <c r="S110" s="1766" t="s"/>
      <c r="T110" s="136" t="n">
        <f aca="false" ca="false" dt2D="false" dtr="false" t="normal">MID(I105, 6, 1)</f>
        <v>0</v>
      </c>
      <c r="U110" s="137" t="n">
        <f aca="false" ca="false" dt2D="false" dtr="false" t="normal">T110</f>
        <v>0</v>
      </c>
      <c r="V110" s="120" t="s">
        <v>203</v>
      </c>
      <c r="W110" s="1767" t="s"/>
      <c r="X110" s="136" t="n">
        <f aca="false" ca="false" dt2D="false" dtr="false" t="normal">MID(J105, 6, 1)</f>
        <v>0</v>
      </c>
      <c r="Y110" s="137" t="n">
        <f aca="false" ca="false" dt2D="false" dtr="false" t="normal">X110</f>
        <v>0</v>
      </c>
      <c r="Z110" s="120" t="s">
        <v>203</v>
      </c>
      <c r="AA110" s="131" t="s">
        <v>196</v>
      </c>
      <c r="AB110" s="136" t="n">
        <f aca="false" ca="false" dt2D="false" dtr="false" t="normal">MID(K105, 6, 1)</f>
        <v>0</v>
      </c>
      <c r="AC110" s="137" t="n">
        <f aca="false" ca="false" dt2D="false" dtr="false" t="normal">AB110</f>
        <v>0</v>
      </c>
      <c r="AD110" s="120" t="s">
        <v>203</v>
      </c>
      <c r="AE110" s="131" t="s">
        <v>196</v>
      </c>
      <c r="AF110" s="136" t="n">
        <f aca="false" ca="false" dt2D="false" dtr="false" t="normal">MID(L105, 6, 1)</f>
        <v>0</v>
      </c>
      <c r="AG110" s="137" t="n">
        <f aca="false" ca="false" dt2D="false" dtr="false" t="normal">AF110</f>
        <v>0</v>
      </c>
      <c r="AH110" s="120" t="s">
        <v>203</v>
      </c>
      <c r="AI110" s="131" t="s">
        <v>196</v>
      </c>
      <c r="AJ110" s="1768" t="s"/>
      <c r="AK110" s="1769" t="s"/>
    </row>
    <row customHeight="true" hidden="false" ht="15" outlineLevel="0" r="111">
      <c r="C111" s="98" t="s">
        <v>191</v>
      </c>
      <c r="D111" s="53" t="n">
        <f aca="false" ca="false" dt2D="false" dtr="false" t="normal">HEX2DEC(D109)</f>
        <v>7</v>
      </c>
      <c r="E111" s="53" t="n">
        <f aca="false" ca="false" dt2D="false" dtr="false" t="normal">HEX2DEC(E109)</f>
        <v>32</v>
      </c>
      <c r="F111" s="53" t="n">
        <f aca="false" ca="false" dt2D="false" dtr="false" t="normal">HEX2DEC(F109)</f>
        <v>2</v>
      </c>
      <c r="G111" s="53" t="n">
        <f aca="false" ca="false" dt2D="false" dtr="false" t="normal">HEX2DEC(G109)</f>
        <v>1</v>
      </c>
      <c r="H111" s="53" t="n">
        <f aca="false" ca="false" dt2D="false" dtr="false" t="normal">HEX2DEC(H109)</f>
        <v>0</v>
      </c>
      <c r="I111" s="53" t="n">
        <f aca="false" ca="false" dt2D="false" dtr="false" t="normal">HEX2DEC(I109)</f>
        <v>0</v>
      </c>
      <c r="J111" s="53" t="n">
        <f aca="false" ca="false" dt2D="false" dtr="false" t="normal">HEX2DEC(J109)</f>
        <v>0</v>
      </c>
      <c r="K111" s="53" t="n">
        <f aca="false" ca="false" dt2D="false" dtr="false" t="normal">IF(L104="", SUM(D111:J111), HEX2DEC(K109))</f>
        <v>0</v>
      </c>
      <c r="L111" s="53" t="n">
        <f aca="false" ca="false" dt2D="false" dtr="false" t="normal">IF(L104="", "", HEX2DEC(L109))</f>
        <v>0</v>
      </c>
      <c r="M111" s="53" t="n">
        <f aca="false" ca="false" dt2D="false" dtr="false" t="normal">IF(L104="", "", SUM(D111:L111))</f>
        <v>42</v>
      </c>
      <c r="N111" s="63" t="n"/>
      <c r="P111" s="136" t="n">
        <f aca="false" ca="false" dt2D="false" dtr="false" t="normal">MID(H105, 7, 1)</f>
        <v>0</v>
      </c>
      <c r="Q111" s="137" t="n">
        <f aca="false" ca="false" dt2D="false" dtr="false" t="normal">P111</f>
        <v>0</v>
      </c>
      <c r="R111" s="120" t="s">
        <v>206</v>
      </c>
      <c r="S111" s="1770" t="s">
        <v>1048</v>
      </c>
      <c r="T111" s="136" t="n">
        <f aca="false" ca="false" dt2D="false" dtr="false" t="normal">MID(I105, 7, 1)</f>
        <v>0</v>
      </c>
      <c r="U111" s="137" t="n">
        <f aca="false" ca="false" dt2D="false" dtr="false" t="normal">T111</f>
        <v>0</v>
      </c>
      <c r="V111" s="120" t="s">
        <v>206</v>
      </c>
      <c r="W111" s="1770" t="s">
        <v>1049</v>
      </c>
      <c r="X111" s="136" t="n">
        <f aca="false" ca="false" dt2D="false" dtr="false" t="normal">MID(J105, 7, 1)</f>
        <v>0</v>
      </c>
      <c r="Y111" s="137" t="n">
        <f aca="false" ca="false" dt2D="false" dtr="false" t="normal">X111</f>
        <v>0</v>
      </c>
      <c r="Z111" s="120" t="s">
        <v>206</v>
      </c>
      <c r="AA111" s="131" t="s">
        <v>196</v>
      </c>
      <c r="AB111" s="136" t="n">
        <f aca="false" ca="false" dt2D="false" dtr="false" t="normal">MID(K105, 7, 1)</f>
        <v>0</v>
      </c>
      <c r="AC111" s="137" t="n">
        <f aca="false" ca="false" dt2D="false" dtr="false" t="normal">AB111</f>
        <v>0</v>
      </c>
      <c r="AD111" s="120" t="s">
        <v>206</v>
      </c>
      <c r="AE111" s="131" t="s">
        <v>196</v>
      </c>
      <c r="AF111" s="136" t="n">
        <f aca="false" ca="false" dt2D="false" dtr="false" t="normal">MID(L105, 7, 1)</f>
        <v>0</v>
      </c>
      <c r="AG111" s="137" t="n">
        <f aca="false" ca="false" dt2D="false" dtr="false" t="normal">AF111</f>
        <v>0</v>
      </c>
      <c r="AH111" s="120" t="s">
        <v>206</v>
      </c>
      <c r="AI111" s="131" t="s">
        <v>196</v>
      </c>
      <c r="AJ111" s="1771" t="s"/>
      <c r="AK111" s="1772" t="s"/>
    </row>
    <row hidden="false" ht="15.75" outlineLevel="0" r="112">
      <c r="C112" s="180" t="s">
        <v>194</v>
      </c>
      <c r="D112" s="299" t="n">
        <f aca="false" ca="false" dt2D="false" dtr="false" t="normal">D107</f>
        <v>7</v>
      </c>
      <c r="E112" s="299" t="n">
        <f aca="false" ca="false" dt2D="false" dtr="false" t="normal">E107</f>
        <v>20</v>
      </c>
      <c r="F112" s="299" t="str">
        <f aca="false" ca="false" dt2D="false" dtr="false" t="normal">F107</f>
        <v>G2</v>
      </c>
      <c r="G112" s="299" t="str">
        <f aca="false" ca="false" dt2D="false" dtr="false" t="normal">G107</f>
        <v>G1</v>
      </c>
      <c r="H112" s="45" t="n"/>
      <c r="I112" s="45" t="n"/>
      <c r="J112" s="45" t="n"/>
      <c r="K112" s="45" t="n"/>
      <c r="L112" s="45" t="n"/>
      <c r="M112" s="45" t="n"/>
      <c r="N112" s="49" t="n"/>
      <c r="P112" s="182" t="n">
        <f aca="false" ca="false" dt2D="false" dtr="false" t="normal">MID(H105, 8, 1)</f>
        <v>0</v>
      </c>
      <c r="Q112" s="183" t="n">
        <f aca="false" ca="false" dt2D="false" dtr="false" t="normal">P112</f>
        <v>0</v>
      </c>
      <c r="R112" s="184" t="s">
        <v>208</v>
      </c>
      <c r="S112" s="1773" t="s"/>
      <c r="T112" s="182" t="n">
        <f aca="false" ca="false" dt2D="false" dtr="false" t="normal">MID(I105, 8, 1)</f>
        <v>0</v>
      </c>
      <c r="U112" s="183" t="n">
        <f aca="false" ca="false" dt2D="false" dtr="false" t="normal">T112</f>
        <v>0</v>
      </c>
      <c r="V112" s="184" t="s">
        <v>208</v>
      </c>
      <c r="W112" s="1774" t="s"/>
      <c r="X112" s="182" t="n">
        <f aca="false" ca="false" dt2D="false" dtr="false" t="normal">MID(J105, 8, 1)</f>
        <v>0</v>
      </c>
      <c r="Y112" s="183" t="n">
        <f aca="false" ca="false" dt2D="false" dtr="false" t="normal">X112</f>
        <v>0</v>
      </c>
      <c r="Z112" s="184" t="s">
        <v>208</v>
      </c>
      <c r="AA112" s="185" t="s">
        <v>196</v>
      </c>
      <c r="AB112" s="182" t="n">
        <f aca="false" ca="false" dt2D="false" dtr="false" t="normal">MID(K105, 8, 1)</f>
        <v>0</v>
      </c>
      <c r="AC112" s="183" t="n">
        <f aca="false" ca="false" dt2D="false" dtr="false" t="normal">AB112</f>
        <v>0</v>
      </c>
      <c r="AD112" s="184" t="s">
        <v>208</v>
      </c>
      <c r="AE112" s="185" t="s">
        <v>196</v>
      </c>
      <c r="AF112" s="182" t="n">
        <f aca="false" ca="false" dt2D="false" dtr="false" t="normal">MID(L105, 8, 1)</f>
        <v>0</v>
      </c>
      <c r="AG112" s="183" t="n">
        <f aca="false" ca="false" dt2D="false" dtr="false" t="normal">AF112</f>
        <v>0</v>
      </c>
      <c r="AH112" s="184" t="s">
        <v>208</v>
      </c>
      <c r="AI112" s="185" t="s">
        <v>196</v>
      </c>
      <c r="AJ112" s="1775" t="s"/>
      <c r="AK112" s="1776" t="s"/>
    </row>
    <row hidden="false" ht="15.75" outlineLevel="0" r="113">
      <c r="C113" s="93" t="n"/>
      <c r="D113" s="94" t="n"/>
      <c r="E113" s="94" t="n"/>
      <c r="F113" s="94" t="n"/>
      <c r="G113" s="94" t="n"/>
      <c r="H113" s="1777" t="s">
        <v>1050</v>
      </c>
      <c r="I113" s="1778" t="s"/>
      <c r="J113" s="94" t="n"/>
      <c r="K113" s="94" t="n"/>
      <c r="L113" s="94" t="n"/>
      <c r="M113" s="94" t="s">
        <v>161</v>
      </c>
      <c r="N113" s="60" t="n"/>
      <c r="P113" s="95" t="str">
        <f aca="false" ca="false" dt2D="false" dtr="false" t="normal">RIGHT(D115, 1)&amp;E115&amp;"-"&amp;F115&amp;"-"&amp;G115</f>
        <v>720-04-01</v>
      </c>
      <c r="Q113" s="1779" t="s"/>
      <c r="R113" s="234" t="s">
        <v>1051</v>
      </c>
      <c r="S113" s="1780" t="s"/>
      <c r="T113" s="1781" t="s"/>
      <c r="U113" s="1782" t="s"/>
      <c r="V113" s="1783" t="s"/>
      <c r="W113" s="1784" t="s"/>
      <c r="X113" s="1785" t="s"/>
      <c r="Y113" s="1786" t="s"/>
      <c r="Z113" s="1787" t="s"/>
      <c r="AA113" s="1788" t="s"/>
      <c r="AB113" s="1789" t="s"/>
      <c r="AC113" s="1790" t="s"/>
      <c r="AD113" s="1791" t="s"/>
      <c r="AE113" s="1792" t="s"/>
      <c r="AF113" s="1793" t="s"/>
      <c r="AG113" s="1794" t="s"/>
      <c r="AH113" s="1795" t="s"/>
      <c r="AI113" s="1796" t="s"/>
      <c r="AJ113" s="1797" t="s"/>
      <c r="AK113" s="1798" t="s"/>
    </row>
    <row hidden="false" ht="15.75" outlineLevel="0" r="114">
      <c r="C114" s="98" t="n"/>
      <c r="D114" s="99" t="s">
        <v>1052</v>
      </c>
      <c r="E114" s="1799" t="s"/>
      <c r="F114" s="1800" t="s"/>
      <c r="G114" s="1801" t="s"/>
      <c r="H114" s="53" t="s">
        <v>165</v>
      </c>
      <c r="I114" s="53" t="s">
        <v>166</v>
      </c>
      <c r="J114" s="53" t="s">
        <v>167</v>
      </c>
      <c r="K114" s="53" t="s">
        <v>168</v>
      </c>
      <c r="L114" s="53" t="s">
        <v>169</v>
      </c>
      <c r="M114" s="53" t="s">
        <v>221</v>
      </c>
      <c r="N114" s="63" t="n"/>
      <c r="P114" s="103" t="s">
        <v>1053</v>
      </c>
      <c r="Q114" s="1802" t="s"/>
      <c r="R114" s="1803" t="s"/>
      <c r="S114" s="1804" t="s"/>
      <c r="T114" s="1805" t="s"/>
      <c r="U114" s="1806" t="s"/>
      <c r="V114" s="1807" t="s"/>
      <c r="W114" s="1808" t="s"/>
      <c r="X114" s="103" t="s">
        <v>1054</v>
      </c>
      <c r="Y114" s="1809" t="s"/>
      <c r="Z114" s="1810" t="s"/>
      <c r="AA114" s="1811" t="s"/>
      <c r="AB114" s="103" t="s">
        <v>1055</v>
      </c>
      <c r="AC114" s="1812" t="s"/>
      <c r="AD114" s="1813" t="s"/>
      <c r="AE114" s="1814" t="s"/>
      <c r="AF114" s="103" t="s">
        <v>1056</v>
      </c>
      <c r="AG114" s="1815" t="s"/>
      <c r="AH114" s="1816" t="s"/>
      <c r="AI114" s="1817" t="s"/>
      <c r="AJ114" s="103" t="s">
        <v>1057</v>
      </c>
      <c r="AK114" s="1818" t="s"/>
    </row>
    <row hidden="false" ht="15.75" outlineLevel="0" r="115">
      <c r="C115" s="98" t="s">
        <v>176</v>
      </c>
      <c r="D115" s="122" t="s">
        <v>177</v>
      </c>
      <c r="E115" s="123" t="s">
        <v>693</v>
      </c>
      <c r="F115" s="123" t="s">
        <v>342</v>
      </c>
      <c r="G115" s="124" t="s">
        <v>179</v>
      </c>
      <c r="H115" s="1819" t="n">
        <f aca="false" ca="false" dt2D="false" dtr="false" ref="H115:H115" t="array">MID(INDEX($A$3:$A$70, IF(ISNA(MATCH("720G4G1*", $A$3:$A$70, 0))=TRUE, MATCH("7200401*", $A$3:$A$70, 0), MATCH("720G4G1*", $A$3:$A$70, 0))), $AU$8, 2)</f>
        <v>0</v>
      </c>
      <c r="I115" s="1820" t="n">
        <f aca="false" ca="false" dt2D="false" dtr="false" ref="I115:I115" t="array">MID(INDEX($A$3:$A$70, IF(ISNA(MATCH("720G4G1*", $A$3:$A$70, 0))=TRUE, MATCH("7200401*", $A$3:$A$70, 0), MATCH("720G4G1*", $A$3:$A$70, 0))), $AV$8, 2)</f>
        <v>0</v>
      </c>
      <c r="J115" s="164" t="n">
        <f aca="false" ca="false" dt2D="false" dtr="false" ref="J115:J115" t="array">MID(INDEX($A$3:$A$70, IF(ISNA(MATCH("720G4G1*", $A$3:$A$70, 0))=TRUE, MATCH("7200401*", $A$3:$A$70, 0), MATCH("720G4G1*", $A$3:$A$70, 0))), $AW$8, 2)</f>
        <v>0</v>
      </c>
      <c r="K115" s="1820" t="n">
        <f aca="false" ca="false" dt2D="false" dtr="false" ref="K115:K115" t="array">MID(INDEX($A$3:$A$70, IF(ISNA(MATCH("720G4G1*", $A$3:$A$70, 0))=TRUE, MATCH("7200401*", $A$3:$A$70, 0), MATCH("720G4G1*", $A$3:$A$70, 0))), $AX$8, 2)</f>
        <v>0</v>
      </c>
      <c r="L115" s="1821" t="n">
        <f aca="false" ca="false" dt2D="false" dtr="false" ref="L115:L115" t="array">MID(INDEX($A$3:$A$70, IF(ISNA(MATCH("720G4G1*", $A$3:$A$70, 0))=TRUE, MATCH("7200401*", $A$3:$A$70, 0), MATCH("720G4G1*", $A$3:$A$70, 0))), $AY$8, 2)</f>
        <v>0</v>
      </c>
      <c r="M115" s="218" t="str">
        <f aca="false" ca="false" dt2D="false" dtr="false" ref="M115:M115" t="array">MID(INDEX($A$3:$A$70, IF(ISNA(MATCH("720G4G1*", $A$3:$A$70, 0))=TRUE, MATCH("7200401*", $A$3:$A$70, 0), MATCH("720G4G1*", $A$3:$A$70, 0))), $AZ$8, 2)</f>
        <v>2C</v>
      </c>
      <c r="N115" s="63" t="s">
        <v>180</v>
      </c>
      <c r="P115" s="1822" t="s">
        <v>183</v>
      </c>
      <c r="Q115" s="1823" t="n"/>
      <c r="R115" s="1823" t="n"/>
      <c r="S115" s="1823" t="n"/>
      <c r="T115" s="1823" t="n"/>
      <c r="U115" s="1823" t="n"/>
      <c r="V115" s="1823" t="n"/>
      <c r="W115" s="1824" t="n"/>
      <c r="X115" s="1825" t="s">
        <v>180</v>
      </c>
      <c r="Y115" s="130" t="s">
        <v>181</v>
      </c>
      <c r="Z115" s="121" t="s">
        <v>182</v>
      </c>
      <c r="AA115" s="131" t="n"/>
      <c r="AB115" s="129" t="s">
        <v>180</v>
      </c>
      <c r="AC115" s="130" t="s">
        <v>181</v>
      </c>
      <c r="AD115" s="121" t="s">
        <v>182</v>
      </c>
      <c r="AE115" s="131" t="n"/>
      <c r="AF115" s="129" t="s">
        <v>180</v>
      </c>
      <c r="AG115" s="130" t="s">
        <v>181</v>
      </c>
      <c r="AH115" s="121" t="s">
        <v>182</v>
      </c>
      <c r="AI115" s="121" t="n"/>
      <c r="AJ115" s="116" t="s">
        <v>183</v>
      </c>
      <c r="AK115" s="1826" t="s"/>
    </row>
    <row hidden="false" ht="15" outlineLevel="0" r="116">
      <c r="C116" s="98" t="s">
        <v>185</v>
      </c>
      <c r="D116" s="53" t="n">
        <f aca="false" ca="false" dt2D="false" dtr="false" t="normal">HEX2BIN(D115, 8)</f>
        <v>111</v>
      </c>
      <c r="E116" s="53" t="n">
        <f aca="false" ca="false" dt2D="false" dtr="false" t="normal">HEX2BIN(E115, 8)</f>
        <v>100000</v>
      </c>
      <c r="F116" s="53" t="n">
        <f aca="false" ca="false" dt2D="false" dtr="false" t="normal">HEX2BIN(F115, 8)</f>
        <v>100</v>
      </c>
      <c r="G116" s="53" t="n">
        <f aca="false" ca="false" dt2D="false" dtr="false" t="normal">HEX2BIN(G115, 8)</f>
        <v>1</v>
      </c>
      <c r="H116" s="53" t="n">
        <f aca="false" ca="false" dt2D="false" dtr="false" t="normal">HEX2BIN(H115, 8)</f>
        <v>0</v>
      </c>
      <c r="I116" s="53" t="n">
        <f aca="false" ca="false" dt2D="false" dtr="false" t="normal">HEX2BIN(I115, 8)</f>
        <v>0</v>
      </c>
      <c r="J116" s="53" t="n">
        <f aca="false" ca="false" dt2D="false" dtr="false" t="normal">HEX2BIN(J115, 8)</f>
        <v>0</v>
      </c>
      <c r="K116" s="53" t="n">
        <f aca="false" ca="false" dt2D="false" dtr="false" t="normal">HEX2BIN(K115, 8)</f>
        <v>0</v>
      </c>
      <c r="L116" s="53" t="n">
        <f aca="false" ca="false" dt2D="false" dtr="false" t="normal">HEX2BIN(L115, 8)</f>
        <v>0</v>
      </c>
      <c r="N116" s="63" t="n"/>
      <c r="P116" s="120" t="s">
        <v>183</v>
      </c>
      <c r="Q116" s="1827" t="n"/>
      <c r="R116" s="121" t="n"/>
      <c r="S116" s="121" t="n"/>
      <c r="T116" s="121" t="n"/>
      <c r="U116" s="121" t="n"/>
      <c r="V116" s="121" t="n"/>
      <c r="W116" s="131" t="n"/>
      <c r="X116" s="209" t="n">
        <f aca="false" ca="false" dt2D="false" dtr="false" t="normal">MID(J116, 1, 1)</f>
        <v>0</v>
      </c>
      <c r="Y116" s="137" t="n">
        <f aca="false" ca="false" dt2D="false" dtr="false" t="normal">X116</f>
        <v>0</v>
      </c>
      <c r="Z116" s="120" t="s">
        <v>186</v>
      </c>
      <c r="AA116" s="131" t="s">
        <v>196</v>
      </c>
      <c r="AB116" s="136" t="n">
        <f aca="false" ca="false" dt2D="false" dtr="false" t="normal">MID(K116, 1, 1)</f>
        <v>0</v>
      </c>
      <c r="AC116" s="137" t="n">
        <f aca="false" ca="false" dt2D="false" dtr="false" t="normal">AB116</f>
        <v>0</v>
      </c>
      <c r="AD116" s="120" t="s">
        <v>186</v>
      </c>
      <c r="AE116" s="131" t="s">
        <v>196</v>
      </c>
      <c r="AF116" s="136" t="n">
        <f aca="false" ca="false" dt2D="false" dtr="false" t="normal">MID(L116, 1, 1)</f>
        <v>0</v>
      </c>
      <c r="AG116" s="137" t="n">
        <f aca="false" ca="false" dt2D="false" dtr="false" t="normal">AF116</f>
        <v>0</v>
      </c>
      <c r="AH116" s="120" t="s">
        <v>186</v>
      </c>
      <c r="AI116" s="131" t="s">
        <v>196</v>
      </c>
      <c r="AJ116" s="1828" t="s"/>
      <c r="AK116" s="1829" t="s"/>
    </row>
    <row hidden="false" ht="15" outlineLevel="0" r="117">
      <c r="C117" s="98" t="s">
        <v>191</v>
      </c>
      <c r="D117" s="53" t="n">
        <f aca="false" ca="false" dt2D="false" dtr="false" t="normal">HEX2DEC(D115)</f>
        <v>7</v>
      </c>
      <c r="E117" s="53" t="n">
        <f aca="false" ca="false" dt2D="false" dtr="false" t="normal">HEX2DEC(E115)</f>
        <v>32</v>
      </c>
      <c r="F117" s="53" t="n">
        <f aca="false" ca="false" dt2D="false" dtr="false" t="normal">HEX2DEC(F115)</f>
        <v>4</v>
      </c>
      <c r="G117" s="53" t="n">
        <f aca="false" ca="false" dt2D="false" dtr="false" t="normal">HEX2DEC(G115)</f>
        <v>1</v>
      </c>
      <c r="H117" s="53" t="n">
        <f aca="false" ca="false" dt2D="false" dtr="false" t="normal">HEX2DEC(H115)</f>
        <v>0</v>
      </c>
      <c r="I117" s="53" t="n">
        <f aca="false" ca="false" dt2D="false" dtr="false" t="normal">HEX2DEC(I115)</f>
        <v>0</v>
      </c>
      <c r="J117" s="53" t="n">
        <f aca="false" ca="false" dt2D="false" dtr="false" t="normal">HEX2DEC(J115)</f>
        <v>0</v>
      </c>
      <c r="K117" s="53" t="n">
        <f aca="false" ca="false" dt2D="false" dtr="false" t="normal">HEX2DEC(K115)</f>
        <v>0</v>
      </c>
      <c r="L117" s="53" t="n">
        <f aca="false" ca="false" dt2D="false" dtr="false" t="normal">HEX2DEC(L115)</f>
        <v>0</v>
      </c>
      <c r="M117" s="53" t="n">
        <f aca="false" ca="false" dt2D="false" dtr="false" t="normal">SUM(D117:L117)</f>
        <v>44</v>
      </c>
      <c r="N117" s="63" t="n"/>
      <c r="P117" s="120" t="s">
        <v>183</v>
      </c>
      <c r="Q117" s="1827" t="n"/>
      <c r="R117" s="121" t="n"/>
      <c r="S117" s="121" t="s">
        <v>1058</v>
      </c>
      <c r="T117" s="121" t="n"/>
      <c r="U117" s="121" t="n"/>
      <c r="V117" s="121" t="n"/>
      <c r="W117" s="131" t="n"/>
      <c r="X117" s="209" t="n">
        <f aca="false" ca="false" dt2D="false" dtr="false" t="normal">MID(J116, 2, 1)</f>
        <v>0</v>
      </c>
      <c r="Y117" s="137" t="n">
        <f aca="false" ca="false" dt2D="false" dtr="false" t="normal">X117</f>
        <v>0</v>
      </c>
      <c r="Z117" s="120" t="s">
        <v>192</v>
      </c>
      <c r="AA117" s="131" t="s">
        <v>196</v>
      </c>
      <c r="AB117" s="136" t="n">
        <f aca="false" ca="false" dt2D="false" dtr="false" t="normal">MID(K116, 2, 1)</f>
        <v>0</v>
      </c>
      <c r="AC117" s="137" t="n">
        <f aca="false" ca="false" dt2D="false" dtr="false" t="normal">AB117</f>
        <v>0</v>
      </c>
      <c r="AD117" s="120" t="s">
        <v>192</v>
      </c>
      <c r="AE117" s="131" t="s">
        <v>196</v>
      </c>
      <c r="AF117" s="136" t="n">
        <f aca="false" ca="false" dt2D="false" dtr="false" t="normal">MID(L116, 2, 1)</f>
        <v>0</v>
      </c>
      <c r="AG117" s="137" t="n">
        <f aca="false" ca="false" dt2D="false" dtr="false" t="normal">AF117</f>
        <v>0</v>
      </c>
      <c r="AH117" s="120" t="s">
        <v>192</v>
      </c>
      <c r="AI117" s="131" t="s">
        <v>196</v>
      </c>
      <c r="AJ117" s="1830" t="s"/>
      <c r="AK117" s="1831" t="s"/>
    </row>
    <row hidden="false" ht="15" outlineLevel="0" r="118">
      <c r="C118" s="98" t="s">
        <v>194</v>
      </c>
      <c r="D118" s="149" t="n">
        <f aca="false" ca="false" dt2D="false" dtr="false" t="normal">D115</f>
        <v>7</v>
      </c>
      <c r="E118" s="149" t="n">
        <f aca="false" ca="false" dt2D="false" dtr="false" t="normal">E115</f>
        <v>20</v>
      </c>
      <c r="F118" s="53" t="str">
        <f aca="false" ca="false" dt2D="false" dtr="false" t="normal">MID(INDEX($A$3:$A$70, IF(ISNA(MATCH("720G4G1*", $A$3:$A$70, 0))=TRUE, MATCH("7200401*", $A$3:$A$70, 0), MATCH("720G4G1*", $A$3:$A$70, 0))), $AS$8, 2)</f>
        <v>G4</v>
      </c>
      <c r="G118" s="53" t="str">
        <f aca="false" ca="false" dt2D="false" dtr="false" t="normal">MID(INDEX($A$3:$A$70, IF(ISNA(MATCH("720G4G1*", $A$3:$A$70, 0))=TRUE, MATCH("7200401*", $A$3:$A$70, 0), MATCH("720G4G1*", $A$3:$A$70, 0))), $AT$8, 2)</f>
        <v>G1</v>
      </c>
      <c r="N118" s="63" t="n"/>
      <c r="P118" s="120" t="s">
        <v>183</v>
      </c>
      <c r="Q118" s="1827" t="n"/>
      <c r="R118" s="121" t="n"/>
      <c r="S118" s="121" t="n">
        <f aca="false" ca="false" dt2D="false" dtr="false" t="normal">DEC2HEX(KT6)</f>
        <v>0</v>
      </c>
      <c r="T118" s="121" t="n"/>
      <c r="U118" s="121" t="n"/>
      <c r="V118" s="121" t="n"/>
      <c r="W118" s="131" t="n"/>
      <c r="X118" s="209" t="n">
        <f aca="false" ca="false" dt2D="false" dtr="false" t="normal">MID(J116, 3, 1)</f>
        <v>0</v>
      </c>
      <c r="Y118" s="137" t="n">
        <f aca="false" ca="false" dt2D="false" dtr="false" t="normal">X118</f>
        <v>0</v>
      </c>
      <c r="Z118" s="120" t="s">
        <v>195</v>
      </c>
      <c r="AA118" s="131" t="s">
        <v>196</v>
      </c>
      <c r="AB118" s="136" t="n">
        <f aca="false" ca="false" dt2D="false" dtr="false" t="normal">MID(K116, 3, 1)</f>
        <v>0</v>
      </c>
      <c r="AC118" s="137" t="n">
        <f aca="false" ca="false" dt2D="false" dtr="false" t="normal">AB118</f>
        <v>0</v>
      </c>
      <c r="AD118" s="120" t="s">
        <v>195</v>
      </c>
      <c r="AE118" s="131" t="s">
        <v>196</v>
      </c>
      <c r="AF118" s="136" t="n">
        <f aca="false" ca="false" dt2D="false" dtr="false" t="normal">MID(L116, 3, 1)</f>
        <v>0</v>
      </c>
      <c r="AG118" s="137" t="n">
        <f aca="false" ca="false" dt2D="false" dtr="false" t="normal">AF118</f>
        <v>0</v>
      </c>
      <c r="AH118" s="120" t="s">
        <v>195</v>
      </c>
      <c r="AI118" s="131" t="s">
        <v>196</v>
      </c>
      <c r="AJ118" s="1832" t="s"/>
      <c r="AK118" s="1833" t="s"/>
    </row>
    <row hidden="false" ht="15.75" outlineLevel="0" r="119">
      <c r="C119" s="98" t="n"/>
      <c r="N119" s="63" t="n"/>
      <c r="P119" s="120" t="s">
        <v>183</v>
      </c>
      <c r="Q119" s="1827" t="n"/>
      <c r="R119" s="121" t="n"/>
      <c r="S119" s="121" t="n"/>
      <c r="T119" s="121" t="n"/>
      <c r="U119" s="121" t="n"/>
      <c r="V119" s="121" t="n"/>
      <c r="W119" s="131" t="n"/>
      <c r="X119" s="209" t="n">
        <f aca="false" ca="false" dt2D="false" dtr="false" t="normal">MID(J116, 4, 1)</f>
        <v>0</v>
      </c>
      <c r="Y119" s="137" t="n">
        <f aca="false" ca="false" dt2D="false" dtr="false" t="normal">X119</f>
        <v>0</v>
      </c>
      <c r="Z119" s="120" t="s">
        <v>197</v>
      </c>
      <c r="AA119" s="131" t="s">
        <v>196</v>
      </c>
      <c r="AB119" s="136" t="n">
        <f aca="false" ca="false" dt2D="false" dtr="false" t="normal">MID(K116, 4, 1)</f>
        <v>0</v>
      </c>
      <c r="AC119" s="137" t="n">
        <f aca="false" ca="false" dt2D="false" dtr="false" t="normal">AB119</f>
        <v>0</v>
      </c>
      <c r="AD119" s="120" t="s">
        <v>197</v>
      </c>
      <c r="AE119" s="131" t="s">
        <v>196</v>
      </c>
      <c r="AF119" s="136" t="n">
        <f aca="false" ca="false" dt2D="false" dtr="false" t="normal">MID(L116, 4, 1)</f>
        <v>0</v>
      </c>
      <c r="AG119" s="137" t="n">
        <f aca="false" ca="false" dt2D="false" dtr="false" t="normal">AF119</f>
        <v>0</v>
      </c>
      <c r="AH119" s="120" t="s">
        <v>197</v>
      </c>
      <c r="AI119" s="131" t="s">
        <v>196</v>
      </c>
      <c r="AJ119" s="1834" t="s"/>
      <c r="AK119" s="1835" t="s"/>
    </row>
    <row hidden="false" ht="15.75" outlineLevel="0" r="120">
      <c r="C120" s="98" t="s">
        <v>176</v>
      </c>
      <c r="D120" s="122" t="n">
        <f aca="false" ca="false" dt2D="false" dtr="false" t="normal">D115</f>
        <v>7</v>
      </c>
      <c r="E120" s="160" t="n">
        <f aca="false" ca="false" dt2D="false" dtr="false" t="normal">E115</f>
        <v>20</v>
      </c>
      <c r="F120" s="1135" t="n">
        <f aca="false" ca="false" dt2D="false" dtr="false" t="normal">F115</f>
        <v>4</v>
      </c>
      <c r="G120" s="1136" t="n">
        <f aca="false" ca="false" dt2D="false" dtr="false" t="normal">G115</f>
        <v>1</v>
      </c>
      <c r="H120" s="1137" t="n">
        <f aca="false" ca="false" dt2D="false" dtr="false" t="normal">IF(MID(S118, 1, 2)="0", "00", MID(S118, 1, 2))</f>
        <v>0</v>
      </c>
      <c r="I120" s="1138" t="n">
        <f aca="false" ca="false" dt2D="false" dtr="false" t="normal">IF(MID(S118, 3, 2)="", "00", MID(S118, 3, 2))</f>
        <v>0</v>
      </c>
      <c r="J120" s="164" t="n">
        <f aca="false" ca="false" dt2D="false" dtr="false" t="normal">BIN2HEX(J121, 2)</f>
        <v>0</v>
      </c>
      <c r="K120" s="165" t="n">
        <f aca="false" ca="false" dt2D="false" dtr="false" t="normal">BIN2HEX(K121, 2)</f>
        <v>0</v>
      </c>
      <c r="L120" s="288" t="n">
        <f aca="false" ca="false" dt2D="false" dtr="false" t="normal">BIN2HEX(L121, 2)</f>
        <v>0</v>
      </c>
      <c r="M120" s="166" t="str">
        <f aca="false" ca="false" dt2D="false" dtr="false" t="normal">IF(LEN(M121)&gt;2, MID(M121, 2, 2), M121)</f>
        <v>2C</v>
      </c>
      <c r="N120" s="63" t="s">
        <v>181</v>
      </c>
      <c r="P120" s="120" t="s">
        <v>183</v>
      </c>
      <c r="Q120" s="1827" t="n"/>
      <c r="R120" s="121" t="n"/>
      <c r="S120" s="121" t="n"/>
      <c r="T120" s="121" t="n"/>
      <c r="U120" s="121" t="n"/>
      <c r="V120" s="121" t="n"/>
      <c r="W120" s="131" t="n"/>
      <c r="X120" s="209" t="n">
        <f aca="false" ca="false" dt2D="false" dtr="false" t="normal">MID(J116, 5, 1)</f>
        <v>0</v>
      </c>
      <c r="Y120" s="137" t="n">
        <f aca="false" ca="false" dt2D="false" dtr="false" t="normal">X120</f>
        <v>0</v>
      </c>
      <c r="Z120" s="120" t="s">
        <v>200</v>
      </c>
      <c r="AA120" s="131" t="s">
        <v>196</v>
      </c>
      <c r="AB120" s="136" t="n">
        <f aca="false" ca="false" dt2D="false" dtr="false" t="normal">MID(K116, 5, 1)</f>
        <v>0</v>
      </c>
      <c r="AC120" s="137" t="n">
        <f aca="false" ca="false" dt2D="false" dtr="false" t="normal">AB120</f>
        <v>0</v>
      </c>
      <c r="AD120" s="120" t="s">
        <v>200</v>
      </c>
      <c r="AE120" s="131" t="s">
        <v>196</v>
      </c>
      <c r="AF120" s="136" t="n">
        <f aca="false" ca="false" dt2D="false" dtr="false" t="normal">MID(L116, 5, 1)</f>
        <v>0</v>
      </c>
      <c r="AG120" s="137" t="n">
        <f aca="false" ca="false" dt2D="false" dtr="false" t="normal">AF120</f>
        <v>0</v>
      </c>
      <c r="AH120" s="120" t="s">
        <v>200</v>
      </c>
      <c r="AI120" s="131" t="s">
        <v>196</v>
      </c>
      <c r="AJ120" s="1836" t="s"/>
      <c r="AK120" s="1837" t="s"/>
    </row>
    <row hidden="false" ht="15" outlineLevel="0" r="121">
      <c r="C121" s="98" t="s">
        <v>185</v>
      </c>
      <c r="D121" s="53" t="n">
        <f aca="false" ca="false" dt2D="false" dtr="false" t="normal">HEX2BIN(D120, 8)</f>
        <v>111</v>
      </c>
      <c r="E121" s="53" t="n">
        <f aca="false" ca="false" dt2D="false" dtr="false" t="normal">HEX2BIN(E120, 8)</f>
        <v>100000</v>
      </c>
      <c r="F121" s="53" t="n">
        <f aca="false" ca="false" dt2D="false" dtr="false" t="normal">HEX2BIN(F120, 8)</f>
        <v>100</v>
      </c>
      <c r="G121" s="53" t="n">
        <f aca="false" ca="false" dt2D="false" dtr="false" t="normal">HEX2BIN(G120, 8)</f>
        <v>1</v>
      </c>
      <c r="H121" s="171" t="n">
        <f aca="false" ca="false" dt2D="false" dtr="false" t="normal">HEX2BIN(H120, 8)</f>
        <v>0</v>
      </c>
      <c r="I121" s="171" t="n">
        <f aca="false" ca="false" dt2D="false" dtr="false" t="normal">HEX2BIN(I120, 8)</f>
        <v>0</v>
      </c>
      <c r="J121" s="171" t="n">
        <f aca="false" ca="false" dt2D="false" dtr="false" t="normal">Y116&amp;Y117&amp;Y118&amp;Y119&amp;Y120&amp;Y121&amp;Y122&amp;Y123</f>
        <v>0</v>
      </c>
      <c r="K121" s="171" t="n">
        <f aca="false" ca="false" dt2D="false" dtr="false" t="normal">AC116&amp;AC117&amp;AC118&amp;AC119&amp;AC120&amp;AC121&amp;AC122&amp;AC123</f>
        <v>0</v>
      </c>
      <c r="L121" s="53" t="n">
        <f aca="false" ca="false" dt2D="false" dtr="false" t="normal">AG116&amp;AG117&amp;AG118&amp;AG119&amp;AG120&amp;AG121&amp;AG122&amp;AG123</f>
        <v>0</v>
      </c>
      <c r="M121" s="53" t="str">
        <f aca="false" ca="false" dt2D="false" dtr="false" t="normal">DEC2HEX(M122)</f>
        <v>2C</v>
      </c>
      <c r="N121" s="63" t="n"/>
      <c r="P121" s="120" t="s">
        <v>183</v>
      </c>
      <c r="Q121" s="1827" t="n"/>
      <c r="R121" s="121" t="n"/>
      <c r="S121" s="121" t="n"/>
      <c r="T121" s="121" t="n"/>
      <c r="U121" s="121" t="n"/>
      <c r="V121" s="121" t="n"/>
      <c r="W121" s="131" t="n"/>
      <c r="X121" s="209" t="n">
        <f aca="false" ca="false" dt2D="false" dtr="false" t="normal">MID(J116, 6, 1)</f>
        <v>0</v>
      </c>
      <c r="Y121" s="137" t="n">
        <f aca="false" ca="false" dt2D="false" dtr="false" t="normal">X121</f>
        <v>0</v>
      </c>
      <c r="Z121" s="120" t="s">
        <v>203</v>
      </c>
      <c r="AA121" s="131" t="s">
        <v>196</v>
      </c>
      <c r="AB121" s="136" t="n">
        <f aca="false" ca="false" dt2D="false" dtr="false" t="normal">MID(K116, 6, 1)</f>
        <v>0</v>
      </c>
      <c r="AC121" s="137" t="n">
        <f aca="false" ca="false" dt2D="false" dtr="false" t="normal">AB121</f>
        <v>0</v>
      </c>
      <c r="AD121" s="120" t="s">
        <v>203</v>
      </c>
      <c r="AE121" s="131" t="s">
        <v>196</v>
      </c>
      <c r="AF121" s="136" t="n">
        <f aca="false" ca="false" dt2D="false" dtr="false" t="normal">MID(L116, 6, 1)</f>
        <v>0</v>
      </c>
      <c r="AG121" s="137" t="n">
        <f aca="false" ca="false" dt2D="false" dtr="false" t="normal">AF121</f>
        <v>0</v>
      </c>
      <c r="AH121" s="120" t="s">
        <v>203</v>
      </c>
      <c r="AI121" s="131" t="s">
        <v>196</v>
      </c>
      <c r="AJ121" s="1838" t="s"/>
      <c r="AK121" s="1839" t="s"/>
    </row>
    <row hidden="false" ht="15" outlineLevel="0" r="122">
      <c r="C122" s="98" t="s">
        <v>191</v>
      </c>
      <c r="D122" s="53" t="n">
        <f aca="false" ca="false" dt2D="false" dtr="false" t="normal">HEX2DEC(D120)</f>
        <v>7</v>
      </c>
      <c r="E122" s="53" t="n">
        <f aca="false" ca="false" dt2D="false" dtr="false" t="normal">HEX2DEC(E120)</f>
        <v>32</v>
      </c>
      <c r="F122" s="53" t="n">
        <f aca="false" ca="false" dt2D="false" dtr="false" t="normal">HEX2DEC(F120)</f>
        <v>4</v>
      </c>
      <c r="G122" s="53" t="n">
        <f aca="false" ca="false" dt2D="false" dtr="false" t="normal">HEX2DEC(G120)</f>
        <v>1</v>
      </c>
      <c r="H122" s="53" t="n">
        <f aca="false" ca="false" dt2D="false" dtr="false" t="normal">HEX2DEC(H120)</f>
        <v>0</v>
      </c>
      <c r="I122" s="53" t="n">
        <f aca="false" ca="false" dt2D="false" dtr="false" t="normal">HEX2DEC(I120)</f>
        <v>0</v>
      </c>
      <c r="J122" s="53" t="n">
        <f aca="false" ca="false" dt2D="false" dtr="false" t="normal">HEX2DEC(J120)</f>
        <v>0</v>
      </c>
      <c r="K122" s="53" t="n">
        <f aca="false" ca="false" dt2D="false" dtr="false" t="normal">HEX2DEC(K120)</f>
        <v>0</v>
      </c>
      <c r="L122" s="53" t="n">
        <f aca="false" ca="false" dt2D="false" dtr="false" t="normal">HEX2DEC(L120)</f>
        <v>0</v>
      </c>
      <c r="M122" s="53" t="n">
        <f aca="false" ca="false" dt2D="false" dtr="false" t="normal">SUM(D122:L122)</f>
        <v>44</v>
      </c>
      <c r="N122" s="63" t="n"/>
      <c r="P122" s="120" t="s">
        <v>183</v>
      </c>
      <c r="Q122" s="1827" t="n"/>
      <c r="R122" s="121" t="n"/>
      <c r="S122" s="121" t="n"/>
      <c r="T122" s="121" t="n"/>
      <c r="U122" s="121" t="n"/>
      <c r="V122" s="121" t="n"/>
      <c r="W122" s="131" t="n"/>
      <c r="X122" s="209" t="n">
        <f aca="false" ca="false" dt2D="false" dtr="false" t="normal">MID(J116, 7, 1)</f>
        <v>0</v>
      </c>
      <c r="Y122" s="137" t="n">
        <f aca="false" ca="false" dt2D="false" dtr="false" t="normal">X122</f>
        <v>0</v>
      </c>
      <c r="Z122" s="120" t="s">
        <v>206</v>
      </c>
      <c r="AA122" s="131" t="s">
        <v>196</v>
      </c>
      <c r="AB122" s="136" t="n">
        <f aca="false" ca="false" dt2D="false" dtr="false" t="normal">MID(K116, 7, 1)</f>
        <v>0</v>
      </c>
      <c r="AC122" s="137" t="n">
        <f aca="false" ca="false" dt2D="false" dtr="false" t="normal">AB122</f>
        <v>0</v>
      </c>
      <c r="AD122" s="120" t="s">
        <v>206</v>
      </c>
      <c r="AE122" s="131" t="s">
        <v>196</v>
      </c>
      <c r="AF122" s="136" t="n">
        <f aca="false" ca="false" dt2D="false" dtr="false" t="normal">MID(L116, 7, 1)</f>
        <v>0</v>
      </c>
      <c r="AG122" s="137" t="n">
        <f aca="false" ca="false" dt2D="false" dtr="false" t="normal">AF122</f>
        <v>0</v>
      </c>
      <c r="AH122" s="120" t="s">
        <v>206</v>
      </c>
      <c r="AI122" s="131" t="s">
        <v>196</v>
      </c>
      <c r="AJ122" s="1840" t="s"/>
      <c r="AK122" s="1841" t="s"/>
    </row>
    <row hidden="false" ht="15.75" outlineLevel="0" r="123">
      <c r="C123" s="180" t="s">
        <v>194</v>
      </c>
      <c r="D123" s="299" t="n">
        <f aca="false" ca="false" dt2D="false" dtr="false" t="normal">D118</f>
        <v>7</v>
      </c>
      <c r="E123" s="299" t="n">
        <f aca="false" ca="false" dt2D="false" dtr="false" t="normal">E118</f>
        <v>20</v>
      </c>
      <c r="F123" s="299" t="str">
        <f aca="false" ca="false" dt2D="false" dtr="false" t="normal">F118</f>
        <v>G4</v>
      </c>
      <c r="G123" s="299" t="str">
        <f aca="false" ca="false" dt2D="false" dtr="false" t="normal">G118</f>
        <v>G1</v>
      </c>
      <c r="H123" s="45" t="n"/>
      <c r="I123" s="45" t="n"/>
      <c r="J123" s="45" t="n"/>
      <c r="K123" s="45" t="n"/>
      <c r="L123" s="45" t="n"/>
      <c r="M123" s="45" t="n"/>
      <c r="N123" s="49" t="n"/>
      <c r="P123" s="184" t="s">
        <v>183</v>
      </c>
      <c r="Q123" s="1842" t="n"/>
      <c r="R123" s="1843" t="n"/>
      <c r="S123" s="1843" t="n"/>
      <c r="T123" s="1843" t="n"/>
      <c r="U123" s="1843" t="n"/>
      <c r="V123" s="1843" t="n"/>
      <c r="W123" s="185" t="n"/>
      <c r="X123" s="300" t="n">
        <f aca="false" ca="false" dt2D="false" dtr="false" t="normal">MID(J116, 8, 1)</f>
        <v>0</v>
      </c>
      <c r="Y123" s="183" t="n">
        <f aca="false" ca="false" dt2D="false" dtr="false" t="normal">X123</f>
        <v>0</v>
      </c>
      <c r="Z123" s="184" t="s">
        <v>208</v>
      </c>
      <c r="AA123" s="185" t="s">
        <v>196</v>
      </c>
      <c r="AB123" s="182" t="n">
        <f aca="false" ca="false" dt2D="false" dtr="false" t="normal">MID(K116, 8, 1)</f>
        <v>0</v>
      </c>
      <c r="AC123" s="183" t="n">
        <f aca="false" ca="false" dt2D="false" dtr="false" t="normal">AB123</f>
        <v>0</v>
      </c>
      <c r="AD123" s="184" t="s">
        <v>208</v>
      </c>
      <c r="AE123" s="185" t="s">
        <v>196</v>
      </c>
      <c r="AF123" s="182" t="n">
        <f aca="false" ca="false" dt2D="false" dtr="false" t="normal">MID(L116, 8, 1)</f>
        <v>0</v>
      </c>
      <c r="AG123" s="183" t="n">
        <f aca="false" ca="false" dt2D="false" dtr="false" t="normal">AF123</f>
        <v>0</v>
      </c>
      <c r="AH123" s="184" t="s">
        <v>208</v>
      </c>
      <c r="AI123" s="185" t="s">
        <v>196</v>
      </c>
      <c r="AJ123" s="1844" t="s"/>
      <c r="AK123" s="1845" t="s"/>
    </row>
    <row hidden="false" ht="15.75" outlineLevel="0" r="124">
      <c r="C124" s="93" t="n"/>
      <c r="D124" s="94" t="n"/>
      <c r="E124" s="94" t="n"/>
      <c r="F124" s="94" t="n"/>
      <c r="G124" s="94" t="n"/>
      <c r="H124" s="94" t="n"/>
      <c r="I124" s="94" t="n"/>
      <c r="J124" s="94" t="n"/>
      <c r="K124" s="94" t="n"/>
      <c r="L124" s="94" t="n"/>
      <c r="M124" s="94" t="s">
        <v>161</v>
      </c>
      <c r="N124" s="60" t="n"/>
      <c r="P124" s="95" t="str">
        <f aca="false" ca="false" dt2D="false" dtr="false" t="normal">RIGHT(D126, 1)&amp;E126&amp;"-"&amp;F126&amp;"-"&amp;G126</f>
        <v>720-04-02</v>
      </c>
      <c r="Q124" s="1846" t="s"/>
      <c r="R124" s="234" t="s">
        <v>1059</v>
      </c>
      <c r="S124" s="1847" t="s"/>
      <c r="T124" s="1848" t="s"/>
      <c r="U124" s="1849" t="s"/>
      <c r="V124" s="1850" t="s"/>
      <c r="W124" s="1851" t="s"/>
      <c r="X124" s="1852" t="s"/>
      <c r="Y124" s="1853" t="s"/>
      <c r="Z124" s="1854" t="s"/>
      <c r="AA124" s="1855" t="s"/>
      <c r="AB124" s="1856" t="s"/>
      <c r="AC124" s="1857" t="s"/>
      <c r="AD124" s="1858" t="s"/>
      <c r="AE124" s="1859" t="s"/>
      <c r="AF124" s="1860" t="s"/>
      <c r="AG124" s="1861" t="s"/>
      <c r="AH124" s="1862" t="s"/>
      <c r="AI124" s="1863" t="s"/>
      <c r="AJ124" s="1864" t="s"/>
      <c r="AK124" s="1865" t="s"/>
    </row>
    <row hidden="false" ht="15.75" outlineLevel="0" r="125">
      <c r="C125" s="98" t="n"/>
      <c r="D125" s="99" t="s">
        <v>1060</v>
      </c>
      <c r="E125" s="1866" t="s"/>
      <c r="F125" s="1867" t="s"/>
      <c r="G125" s="1868" t="s"/>
      <c r="H125" s="53" t="s">
        <v>165</v>
      </c>
      <c r="I125" s="53" t="s">
        <v>166</v>
      </c>
      <c r="J125" s="53" t="s">
        <v>167</v>
      </c>
      <c r="K125" s="53" t="s">
        <v>168</v>
      </c>
      <c r="L125" s="53" t="s">
        <v>169</v>
      </c>
      <c r="M125" s="53" t="s">
        <v>221</v>
      </c>
      <c r="N125" s="63" t="n"/>
      <c r="P125" s="103" t="s">
        <v>1061</v>
      </c>
      <c r="Q125" s="1869" t="s"/>
      <c r="R125" s="1870" t="s"/>
      <c r="S125" s="1871" t="s"/>
      <c r="T125" s="103" t="s">
        <v>1062</v>
      </c>
      <c r="U125" s="1872" t="s"/>
      <c r="V125" s="1873" t="s"/>
      <c r="W125" s="1874" t="s"/>
      <c r="X125" s="103" t="s">
        <v>1063</v>
      </c>
      <c r="Y125" s="1875" t="s"/>
      <c r="Z125" s="1876" t="s"/>
      <c r="AA125" s="1877" t="s"/>
      <c r="AB125" s="116" t="s">
        <v>1064</v>
      </c>
      <c r="AC125" s="1878" t="s"/>
      <c r="AD125" s="1879" t="s"/>
      <c r="AE125" s="1880" t="s"/>
      <c r="AF125" s="116" t="s">
        <v>1065</v>
      </c>
      <c r="AG125" s="1881" t="s"/>
      <c r="AH125" s="1882" t="s"/>
      <c r="AI125" s="1883" t="s"/>
      <c r="AJ125" s="103" t="s">
        <v>1066</v>
      </c>
      <c r="AK125" s="1884" t="s"/>
    </row>
    <row hidden="false" ht="15.75" outlineLevel="0" r="126">
      <c r="C126" s="98" t="s">
        <v>176</v>
      </c>
      <c r="D126" s="122" t="s">
        <v>177</v>
      </c>
      <c r="E126" s="123" t="s">
        <v>693</v>
      </c>
      <c r="F126" s="123" t="s">
        <v>342</v>
      </c>
      <c r="G126" s="124" t="s">
        <v>216</v>
      </c>
      <c r="H126" s="1819" t="n">
        <f aca="false" ca="false" dt2D="false" dtr="false" ref="H126:H126" t="array">MID(INDEX($A$3:$A$70, IF(ISNA(MATCH("720G4G2*", $A$3:$A$70, 0))=TRUE, MATCH("7200402*", $A$3:$A$70, 0), MATCH("720G4G2*", $A$3:$A$70, 0))), $AU$8, 2)</f>
        <v>0</v>
      </c>
      <c r="I126" s="1820" t="n">
        <f aca="false" ca="false" dt2D="false" dtr="false" ref="I126:I126" t="array">MID(INDEX($A$3:$A$70, IF(ISNA(MATCH("720G4G2*", $A$3:$A$70, 0))=TRUE, MATCH("7200402*", $A$3:$A$70, 0), MATCH("720G4G2*", $A$3:$A$70, 0))), $AV$8, 2)</f>
        <v>0</v>
      </c>
      <c r="J126" s="164" t="n">
        <f aca="false" ca="false" dt2D="false" dtr="false" ref="J126:J126" t="array">MID(INDEX($A$3:$A$70, IF(ISNA(MATCH("720G4G2*", $A$3:$A$70, 0))=TRUE, MATCH("7200402*", $A$3:$A$70, 0), MATCH("720G4G2*", $A$3:$A$70, 0))), $AW$8, 2)</f>
        <v>0</v>
      </c>
      <c r="K126" s="1820" t="n">
        <f aca="false" ca="false" dt2D="false" dtr="false" ref="K126:K126" t="array">MID(INDEX($A$3:$A$70, IF(ISNA(MATCH("720G4G2*", $A$3:$A$70, 0))=TRUE, MATCH("7200402*", $A$3:$A$70, 0), MATCH("720G4G2*", $A$3:$A$70, 0))), $AX$8, 2)</f>
        <v>0</v>
      </c>
      <c r="L126" s="1821" t="n">
        <f aca="false" ca="false" dt2D="false" dtr="false" ref="L126:L126" t="array">MID(INDEX($A$3:$A$70, IF(ISNA(MATCH("720G4G2*", $A$3:$A$70, 0))=TRUE, MATCH("7200402*", $A$3:$A$70, 0), MATCH("720G4G2*", $A$3:$A$70, 0))), $AY$8, 2)</f>
        <v>0</v>
      </c>
      <c r="M126" s="218" t="str">
        <f aca="false" ca="false" dt2D="false" dtr="false" ref="M126:M126" t="array">MID(INDEX($A$3:$A$70, IF(ISNA(MATCH("720G4G2*", $A$3:$A$70, 0))=TRUE, MATCH("7200402*", $A$3:$A$70, 0), MATCH("720G4G2*", $A$3:$A$70, 0))), $AZ$8, 2)</f>
        <v>2D</v>
      </c>
      <c r="N126" s="63" t="s">
        <v>180</v>
      </c>
      <c r="P126" s="129" t="s">
        <v>180</v>
      </c>
      <c r="Q126" s="130" t="s">
        <v>181</v>
      </c>
      <c r="R126" s="121" t="s">
        <v>182</v>
      </c>
      <c r="S126" s="131" t="n"/>
      <c r="T126" s="129" t="s">
        <v>180</v>
      </c>
      <c r="U126" s="130" t="s">
        <v>181</v>
      </c>
      <c r="V126" s="121" t="s">
        <v>182</v>
      </c>
      <c r="W126" s="131" t="n"/>
      <c r="X126" s="129" t="s">
        <v>180</v>
      </c>
      <c r="Y126" s="130" t="s">
        <v>181</v>
      </c>
      <c r="Z126" s="121" t="s">
        <v>182</v>
      </c>
      <c r="AA126" s="131" t="n"/>
      <c r="AB126" s="116" t="n"/>
      <c r="AC126" s="1885" t="s"/>
      <c r="AD126" s="1886" t="s"/>
      <c r="AE126" s="1887" t="s"/>
      <c r="AF126" s="116" t="n"/>
      <c r="AG126" s="1888" t="s"/>
      <c r="AH126" s="1889" t="s"/>
      <c r="AI126" s="1890" t="s"/>
      <c r="AJ126" s="116" t="s">
        <v>183</v>
      </c>
      <c r="AK126" s="1891" t="s"/>
    </row>
    <row hidden="false" ht="15" outlineLevel="0" r="127">
      <c r="C127" s="98" t="s">
        <v>185</v>
      </c>
      <c r="D127" s="53" t="n">
        <f aca="false" ca="false" dt2D="false" dtr="false" t="normal">HEX2BIN(D126, 8)</f>
        <v>111</v>
      </c>
      <c r="E127" s="53" t="n">
        <f aca="false" ca="false" dt2D="false" dtr="false" t="normal">HEX2BIN(E126, 8)</f>
        <v>100000</v>
      </c>
      <c r="F127" s="53" t="n">
        <f aca="false" ca="false" dt2D="false" dtr="false" t="normal">HEX2BIN(F126, 8)</f>
        <v>100</v>
      </c>
      <c r="G127" s="53" t="n">
        <f aca="false" ca="false" dt2D="false" dtr="false" t="normal">HEX2BIN(G126, 8)</f>
        <v>10</v>
      </c>
      <c r="H127" s="53" t="n">
        <f aca="false" ca="false" dt2D="false" dtr="false" t="normal">HEX2BIN(H126, 8)</f>
        <v>0</v>
      </c>
      <c r="I127" s="53" t="n">
        <f aca="false" ca="false" dt2D="false" dtr="false" t="normal">HEX2BIN(I126, 8)</f>
        <v>0</v>
      </c>
      <c r="J127" s="53" t="n">
        <f aca="false" ca="false" dt2D="false" dtr="false" t="normal">HEX2BIN(J126, 8)</f>
        <v>0</v>
      </c>
      <c r="K127" s="53" t="n">
        <f aca="false" ca="false" dt2D="false" dtr="false" t="normal">HEX2BIN(K126, 8)</f>
        <v>0</v>
      </c>
      <c r="L127" s="53" t="n">
        <f aca="false" ca="false" dt2D="false" dtr="false" t="normal">HEX2BIN(L126, 8)</f>
        <v>0</v>
      </c>
      <c r="M127" s="53" t="n"/>
      <c r="N127" s="63" t="n"/>
      <c r="P127" s="136" t="n">
        <f aca="false" ca="false" dt2D="false" dtr="false" t="normal">MID(H127, 1, 1)</f>
        <v>0</v>
      </c>
      <c r="Q127" s="137" t="n">
        <f aca="false" ca="false" dt2D="false" dtr="false" t="normal">P127</f>
        <v>0</v>
      </c>
      <c r="R127" s="120" t="s">
        <v>186</v>
      </c>
      <c r="S127" s="131" t="s">
        <v>196</v>
      </c>
      <c r="T127" s="136" t="n">
        <f aca="false" ca="false" dt2D="false" dtr="false" t="normal">MID(I127, 1, 1)</f>
        <v>0</v>
      </c>
      <c r="U127" s="137" t="n">
        <f aca="false" ca="false" dt2D="false" dtr="false" t="normal">T127</f>
        <v>0</v>
      </c>
      <c r="V127" s="120" t="s">
        <v>186</v>
      </c>
      <c r="W127" s="131" t="s">
        <v>196</v>
      </c>
      <c r="X127" s="136" t="n">
        <f aca="false" ca="false" dt2D="false" dtr="false" t="normal">MID(J127, 1, 1)</f>
        <v>0</v>
      </c>
      <c r="Y127" s="137" t="n">
        <f aca="false" ca="false" dt2D="false" dtr="false" t="normal">X127</f>
        <v>0</v>
      </c>
      <c r="Z127" s="120" t="s">
        <v>186</v>
      </c>
      <c r="AA127" s="131" t="s">
        <v>196</v>
      </c>
      <c r="AB127" s="1892" t="s"/>
      <c r="AC127" s="142" t="s"/>
      <c r="AD127" s="142" t="s"/>
      <c r="AE127" s="1893" t="s"/>
      <c r="AF127" s="1894" t="s"/>
      <c r="AG127" s="142" t="s"/>
      <c r="AH127" s="142" t="s"/>
      <c r="AI127" s="1895" t="s"/>
      <c r="AJ127" s="1896" t="s"/>
      <c r="AK127" s="1897" t="s"/>
    </row>
    <row hidden="false" ht="15" outlineLevel="0" r="128">
      <c r="C128" s="98" t="s">
        <v>191</v>
      </c>
      <c r="D128" s="53" t="n">
        <f aca="false" ca="false" dt2D="false" dtr="false" t="normal">HEX2DEC(D126)</f>
        <v>7</v>
      </c>
      <c r="E128" s="53" t="n">
        <f aca="false" ca="false" dt2D="false" dtr="false" t="normal">HEX2DEC(E126)</f>
        <v>32</v>
      </c>
      <c r="F128" s="53" t="n">
        <f aca="false" ca="false" dt2D="false" dtr="false" t="normal">HEX2DEC(F126)</f>
        <v>4</v>
      </c>
      <c r="G128" s="53" t="n">
        <f aca="false" ca="false" dt2D="false" dtr="false" t="normal">HEX2DEC(G126)</f>
        <v>2</v>
      </c>
      <c r="H128" s="53" t="n">
        <f aca="false" ca="false" dt2D="false" dtr="false" t="normal">HEX2DEC(H126)</f>
        <v>0</v>
      </c>
      <c r="I128" s="53" t="n">
        <f aca="false" ca="false" dt2D="false" dtr="false" t="normal">HEX2DEC(I126)</f>
        <v>0</v>
      </c>
      <c r="J128" s="53" t="n">
        <f aca="false" ca="false" dt2D="false" dtr="false" t="normal">HEX2DEC(J126)</f>
        <v>0</v>
      </c>
      <c r="K128" s="53" t="n">
        <f aca="false" ca="false" dt2D="false" dtr="false" t="normal">HEX2DEC(K126)</f>
        <v>0</v>
      </c>
      <c r="L128" s="53" t="n">
        <f aca="false" ca="false" dt2D="false" dtr="false" t="normal">HEX2DEC(L126)</f>
        <v>0</v>
      </c>
      <c r="M128" s="53" t="n">
        <f aca="false" ca="false" dt2D="false" dtr="false" t="normal">SUM(D128:L128)</f>
        <v>45</v>
      </c>
      <c r="N128" s="63" t="n"/>
      <c r="P128" s="136" t="n">
        <f aca="false" ca="false" dt2D="false" dtr="false" t="normal">MID(H127, 2, 1)</f>
        <v>0</v>
      </c>
      <c r="Q128" s="137" t="n">
        <f aca="false" ca="false" dt2D="false" dtr="false" t="normal">P128</f>
        <v>0</v>
      </c>
      <c r="R128" s="120" t="s">
        <v>192</v>
      </c>
      <c r="S128" s="131" t="s">
        <v>196</v>
      </c>
      <c r="T128" s="136" t="n">
        <f aca="false" ca="false" dt2D="false" dtr="false" t="normal">MID(I127, 2, 1)</f>
        <v>0</v>
      </c>
      <c r="U128" s="137" t="n">
        <f aca="false" ca="false" dt2D="false" dtr="false" t="normal">T128</f>
        <v>0</v>
      </c>
      <c r="V128" s="120" t="s">
        <v>192</v>
      </c>
      <c r="W128" s="131" t="s">
        <v>196</v>
      </c>
      <c r="X128" s="136" t="n">
        <f aca="false" ca="false" dt2D="false" dtr="false" t="normal">MID(J127, 2, 1)</f>
        <v>0</v>
      </c>
      <c r="Y128" s="137" t="n">
        <f aca="false" ca="false" dt2D="false" dtr="false" t="normal">X128</f>
        <v>0</v>
      </c>
      <c r="Z128" s="120" t="s">
        <v>192</v>
      </c>
      <c r="AA128" s="131" t="s">
        <v>196</v>
      </c>
      <c r="AB128" s="1898" t="s"/>
      <c r="AC128" s="142" t="s"/>
      <c r="AD128" s="142" t="s"/>
      <c r="AE128" s="1899" t="s"/>
      <c r="AF128" s="1900" t="s"/>
      <c r="AG128" s="142" t="s"/>
      <c r="AH128" s="142" t="s"/>
      <c r="AI128" s="1901" t="s"/>
      <c r="AJ128" s="1902" t="s"/>
      <c r="AK128" s="1903" t="s"/>
    </row>
    <row hidden="false" ht="15" outlineLevel="0" r="129">
      <c r="C129" s="98" t="s">
        <v>194</v>
      </c>
      <c r="D129" s="149" t="n">
        <f aca="false" ca="false" dt2D="false" dtr="false" t="normal">D126</f>
        <v>7</v>
      </c>
      <c r="E129" s="149" t="n">
        <f aca="false" ca="false" dt2D="false" dtr="false" t="normal">E126</f>
        <v>20</v>
      </c>
      <c r="F129" s="53" t="str">
        <f aca="false" ca="false" dt2D="false" dtr="false" t="normal">MID(INDEX($A$3:$A$70, IF(ISNA(MATCH("720G4G2*", $A$3:$A$70, 0))=TRUE, MATCH("7200402*", $A$3:$A$70, 0), MATCH("720G4G2*", $A$3:$A$70, 0))), $AS$8, 2)</f>
        <v>G4</v>
      </c>
      <c r="G129" s="53" t="str">
        <f aca="false" ca="false" dt2D="false" dtr="false" t="normal">MID(INDEX($A$3:$A$70, IF(ISNA(MATCH("720G4G2*", $A$3:$A$70, 0))=TRUE, MATCH("7200402*", $A$3:$A$70, 0), MATCH("720G4G2*", $A$3:$A$70, 0))), $AT$8, 2)</f>
        <v>G2</v>
      </c>
      <c r="N129" s="63" t="n"/>
      <c r="P129" s="136" t="n">
        <f aca="false" ca="false" dt2D="false" dtr="false" t="normal">MID(H127, 3, 1)</f>
        <v>0</v>
      </c>
      <c r="Q129" s="137" t="n">
        <f aca="false" ca="false" dt2D="false" dtr="false" t="normal">P129</f>
        <v>0</v>
      </c>
      <c r="R129" s="120" t="s">
        <v>195</v>
      </c>
      <c r="S129" s="131" t="s">
        <v>196</v>
      </c>
      <c r="T129" s="136" t="n">
        <f aca="false" ca="false" dt2D="false" dtr="false" t="normal">MID(I127, 3, 1)</f>
        <v>0</v>
      </c>
      <c r="U129" s="137" t="n">
        <f aca="false" ca="false" dt2D="false" dtr="false" t="normal">T129</f>
        <v>0</v>
      </c>
      <c r="V129" s="120" t="s">
        <v>195</v>
      </c>
      <c r="W129" s="131" t="s">
        <v>196</v>
      </c>
      <c r="X129" s="136" t="n">
        <f aca="false" ca="false" dt2D="false" dtr="false" t="normal">MID(J127, 3, 1)</f>
        <v>0</v>
      </c>
      <c r="Y129" s="137" t="n">
        <f aca="false" ca="false" dt2D="false" dtr="false" t="normal">X129</f>
        <v>0</v>
      </c>
      <c r="Z129" s="120" t="s">
        <v>195</v>
      </c>
      <c r="AA129" s="131" t="s">
        <v>196</v>
      </c>
      <c r="AB129" s="1904" t="s"/>
      <c r="AC129" s="142" t="s"/>
      <c r="AD129" s="142" t="s"/>
      <c r="AE129" s="1905" t="s"/>
      <c r="AF129" s="1906" t="s"/>
      <c r="AG129" s="142" t="s"/>
      <c r="AH129" s="142" t="s"/>
      <c r="AI129" s="1907" t="s"/>
      <c r="AJ129" s="1908" t="s"/>
      <c r="AK129" s="1909" t="s"/>
    </row>
    <row hidden="false" ht="15.75" outlineLevel="0" r="130">
      <c r="C130" s="98" t="n"/>
      <c r="N130" s="63" t="n"/>
      <c r="P130" s="136" t="n">
        <f aca="false" ca="false" dt2D="false" dtr="false" t="normal">MID(H127, 4, 1)</f>
        <v>0</v>
      </c>
      <c r="Q130" s="137" t="n">
        <f aca="false" ca="false" dt2D="false" dtr="false" t="normal">P130</f>
        <v>0</v>
      </c>
      <c r="R130" s="120" t="s">
        <v>197</v>
      </c>
      <c r="S130" s="131" t="s">
        <v>196</v>
      </c>
      <c r="T130" s="136" t="n">
        <f aca="false" ca="false" dt2D="false" dtr="false" t="normal">MID(I127, 4, 1)</f>
        <v>0</v>
      </c>
      <c r="U130" s="137" t="n">
        <f aca="false" ca="false" dt2D="false" dtr="false" t="normal">T130</f>
        <v>0</v>
      </c>
      <c r="V130" s="120" t="s">
        <v>197</v>
      </c>
      <c r="W130" s="131" t="s">
        <v>196</v>
      </c>
      <c r="X130" s="136" t="n">
        <f aca="false" ca="false" dt2D="false" dtr="false" t="normal">MID(J127, 4, 1)</f>
        <v>0</v>
      </c>
      <c r="Y130" s="137" t="n">
        <f aca="false" ca="false" dt2D="false" dtr="false" t="normal">X130</f>
        <v>0</v>
      </c>
      <c r="Z130" s="120" t="s">
        <v>197</v>
      </c>
      <c r="AA130" s="131" t="s">
        <v>196</v>
      </c>
      <c r="AB130" s="1910" t="s"/>
      <c r="AC130" s="142" t="s"/>
      <c r="AD130" s="142" t="s"/>
      <c r="AE130" s="1911" t="s"/>
      <c r="AF130" s="1912" t="s"/>
      <c r="AG130" s="142" t="s"/>
      <c r="AH130" s="142" t="s"/>
      <c r="AI130" s="1913" t="s"/>
      <c r="AJ130" s="1914" t="s"/>
      <c r="AK130" s="1915" t="s"/>
    </row>
    <row hidden="false" ht="15.75" outlineLevel="0" r="131">
      <c r="C131" s="98" t="s">
        <v>176</v>
      </c>
      <c r="D131" s="159" t="n">
        <f aca="false" ca="false" dt2D="false" dtr="false" t="normal">D126</f>
        <v>7</v>
      </c>
      <c r="E131" s="160" t="n">
        <f aca="false" ca="false" dt2D="false" dtr="false" t="normal">E126</f>
        <v>20</v>
      </c>
      <c r="F131" s="160" t="n">
        <f aca="false" ca="false" dt2D="false" dtr="false" t="normal">F126</f>
        <v>4</v>
      </c>
      <c r="G131" s="161" t="n">
        <f aca="false" ca="false" dt2D="false" dtr="false" t="normal">G126</f>
        <v>2</v>
      </c>
      <c r="H131" s="162" t="n">
        <f aca="false" ca="false" dt2D="false" dtr="false" t="normal">BIN2HEX(H132, 2)</f>
        <v>0</v>
      </c>
      <c r="I131" s="163" t="n">
        <f aca="false" ca="false" dt2D="false" dtr="false" t="normal">BIN2HEX(I132, 2)</f>
        <v>0</v>
      </c>
      <c r="J131" s="164" t="n">
        <f aca="false" ca="false" dt2D="false" dtr="false" t="normal">BIN2HEX(J132, 2)</f>
        <v>0</v>
      </c>
      <c r="K131" s="1916" t="n">
        <f aca="false" ca="false" dt2D="false" dtr="false" t="normal">K126</f>
        <v>0</v>
      </c>
      <c r="L131" s="1917" t="n">
        <f aca="false" ca="false" dt2D="false" dtr="false" t="normal">L126</f>
        <v>0</v>
      </c>
      <c r="M131" s="166" t="str">
        <f aca="false" ca="false" dt2D="false" dtr="false" t="normal">IF(LEN(M132)&gt;2, MID(M132, 2, 2), M132)</f>
        <v>2D</v>
      </c>
      <c r="N131" s="63" t="s">
        <v>181</v>
      </c>
      <c r="P131" s="136" t="n">
        <f aca="false" ca="false" dt2D="false" dtr="false" t="normal">MID(H127, 5, 1)</f>
        <v>0</v>
      </c>
      <c r="Q131" s="137" t="n">
        <f aca="false" ca="false" dt2D="false" dtr="false" t="normal">P131</f>
        <v>0</v>
      </c>
      <c r="R131" s="120" t="s">
        <v>200</v>
      </c>
      <c r="S131" s="131" t="s">
        <v>196</v>
      </c>
      <c r="T131" s="136" t="n">
        <f aca="false" ca="false" dt2D="false" dtr="false" t="normal">MID(I127, 5, 1)</f>
        <v>0</v>
      </c>
      <c r="U131" s="137" t="n">
        <f aca="false" ca="false" dt2D="false" dtr="false" t="normal">T131</f>
        <v>0</v>
      </c>
      <c r="V131" s="120" t="s">
        <v>200</v>
      </c>
      <c r="W131" s="131" t="s">
        <v>196</v>
      </c>
      <c r="X131" s="136" t="n">
        <f aca="false" ca="false" dt2D="false" dtr="false" t="normal">MID(J127, 5, 1)</f>
        <v>0</v>
      </c>
      <c r="Y131" s="137" t="n">
        <f aca="false" ca="false" dt2D="false" dtr="false" t="normal">X131</f>
        <v>0</v>
      </c>
      <c r="Z131" s="120" t="s">
        <v>200</v>
      </c>
      <c r="AA131" s="131" t="s">
        <v>196</v>
      </c>
      <c r="AB131" s="1918" t="s"/>
      <c r="AC131" s="142" t="s"/>
      <c r="AD131" s="142" t="s"/>
      <c r="AE131" s="1919" t="s"/>
      <c r="AF131" s="1920" t="s"/>
      <c r="AG131" s="142" t="s"/>
      <c r="AH131" s="142" t="s"/>
      <c r="AI131" s="1921" t="s"/>
      <c r="AJ131" s="1922" t="s"/>
      <c r="AK131" s="1923" t="s"/>
    </row>
    <row hidden="false" ht="15" outlineLevel="0" r="132">
      <c r="C132" s="98" t="s">
        <v>185</v>
      </c>
      <c r="D132" s="53" t="n">
        <f aca="false" ca="false" dt2D="false" dtr="false" t="normal">HEX2BIN(D131, 8)</f>
        <v>111</v>
      </c>
      <c r="E132" s="53" t="n">
        <f aca="false" ca="false" dt2D="false" dtr="false" t="normal">HEX2BIN(E131, 8)</f>
        <v>100000</v>
      </c>
      <c r="F132" s="53" t="n">
        <f aca="false" ca="false" dt2D="false" dtr="false" t="normal">HEX2BIN(F131, 8)</f>
        <v>100</v>
      </c>
      <c r="G132" s="53" t="n">
        <f aca="false" ca="false" dt2D="false" dtr="false" t="normal">HEX2BIN(G131, 8)</f>
        <v>10</v>
      </c>
      <c r="H132" s="171" t="n">
        <f aca="false" ca="false" dt2D="false" dtr="false" t="normal">Q127&amp;Q128&amp;Q129&amp;Q130&amp;Q131&amp;Q132&amp;Q133&amp;Q134</f>
        <v>0</v>
      </c>
      <c r="I132" s="53" t="n">
        <f aca="false" ca="false" dt2D="false" dtr="false" t="normal">U127&amp;U128&amp;U129&amp;U130&amp;U131&amp;U132&amp;U133&amp;U134</f>
        <v>0</v>
      </c>
      <c r="J132" s="171" t="n">
        <f aca="false" ca="false" dt2D="false" dtr="false" t="normal">Y127&amp;Y128&amp;Y129&amp;Y130&amp;Y131&amp;Y132&amp;Y133&amp;Y134</f>
        <v>0</v>
      </c>
      <c r="K132" s="171" t="n"/>
      <c r="L132" s="53" t="n"/>
      <c r="M132" s="53" t="str">
        <f aca="false" ca="false" dt2D="false" dtr="false" t="normal">DEC2HEX(M133)</f>
        <v>2D</v>
      </c>
      <c r="N132" s="63" t="n"/>
      <c r="P132" s="136" t="n">
        <f aca="false" ca="false" dt2D="false" dtr="false" t="normal">MID(H127, 6, 1)</f>
        <v>0</v>
      </c>
      <c r="Q132" s="137" t="n">
        <f aca="false" ca="false" dt2D="false" dtr="false" t="normal">P132</f>
        <v>0</v>
      </c>
      <c r="R132" s="120" t="s">
        <v>203</v>
      </c>
      <c r="S132" s="131" t="s">
        <v>196</v>
      </c>
      <c r="T132" s="136" t="n">
        <f aca="false" ca="false" dt2D="false" dtr="false" t="normal">MID(I127, 6, 1)</f>
        <v>0</v>
      </c>
      <c r="U132" s="137" t="n">
        <f aca="false" ca="false" dt2D="false" dtr="false" t="normal">T132</f>
        <v>0</v>
      </c>
      <c r="V132" s="120" t="s">
        <v>203</v>
      </c>
      <c r="W132" s="131" t="s">
        <v>196</v>
      </c>
      <c r="X132" s="136" t="n">
        <f aca="false" ca="false" dt2D="false" dtr="false" t="normal">MID(J127, 6, 1)</f>
        <v>0</v>
      </c>
      <c r="Y132" s="137" t="n">
        <f aca="false" ca="false" dt2D="false" dtr="false" t="normal">X132</f>
        <v>0</v>
      </c>
      <c r="Z132" s="120" t="s">
        <v>203</v>
      </c>
      <c r="AA132" s="131" t="s">
        <v>196</v>
      </c>
      <c r="AB132" s="1924" t="s"/>
      <c r="AC132" s="142" t="s"/>
      <c r="AD132" s="142" t="s"/>
      <c r="AE132" s="1925" t="s"/>
      <c r="AF132" s="1926" t="s"/>
      <c r="AG132" s="142" t="s"/>
      <c r="AH132" s="142" t="s"/>
      <c r="AI132" s="1927" t="s"/>
      <c r="AJ132" s="1928" t="s"/>
      <c r="AK132" s="1929" t="s"/>
    </row>
    <row hidden="false" ht="15" outlineLevel="0" r="133">
      <c r="C133" s="98" t="s">
        <v>191</v>
      </c>
      <c r="D133" s="53" t="n">
        <f aca="false" ca="false" dt2D="false" dtr="false" t="normal">HEX2DEC(D131)</f>
        <v>7</v>
      </c>
      <c r="E133" s="53" t="n">
        <f aca="false" ca="false" dt2D="false" dtr="false" t="normal">HEX2DEC(E131)</f>
        <v>32</v>
      </c>
      <c r="F133" s="53" t="n">
        <f aca="false" ca="false" dt2D="false" dtr="false" t="normal">HEX2DEC(F131)</f>
        <v>4</v>
      </c>
      <c r="G133" s="53" t="n">
        <f aca="false" ca="false" dt2D="false" dtr="false" t="normal">HEX2DEC(G131)</f>
        <v>2</v>
      </c>
      <c r="H133" s="53" t="n">
        <f aca="false" ca="false" dt2D="false" dtr="false" t="normal">HEX2DEC(H131)</f>
        <v>0</v>
      </c>
      <c r="I133" s="53" t="n">
        <f aca="false" ca="false" dt2D="false" dtr="false" t="normal">HEX2DEC(I131)</f>
        <v>0</v>
      </c>
      <c r="J133" s="53" t="n">
        <f aca="false" ca="false" dt2D="false" dtr="false" t="normal">HEX2DEC(J131)</f>
        <v>0</v>
      </c>
      <c r="K133" s="53" t="n">
        <f aca="false" ca="false" dt2D="false" dtr="false" t="normal">HEX2DEC(K131)</f>
        <v>0</v>
      </c>
      <c r="L133" s="53" t="n">
        <f aca="false" ca="false" dt2D="false" dtr="false" t="normal">HEX2DEC(L131)</f>
        <v>0</v>
      </c>
      <c r="M133" s="53" t="n">
        <f aca="false" ca="false" dt2D="false" dtr="false" t="normal">SUM(D133:L133)</f>
        <v>45</v>
      </c>
      <c r="N133" s="63" t="n"/>
      <c r="P133" s="136" t="n">
        <f aca="false" ca="false" dt2D="false" dtr="false" t="normal">MID(H127, 7, 1)</f>
        <v>0</v>
      </c>
      <c r="Q133" s="137" t="n">
        <f aca="false" ca="false" dt2D="false" dtr="false" t="normal">P133</f>
        <v>0</v>
      </c>
      <c r="R133" s="120" t="s">
        <v>206</v>
      </c>
      <c r="S133" s="131" t="s">
        <v>196</v>
      </c>
      <c r="T133" s="136" t="n">
        <f aca="false" ca="false" dt2D="false" dtr="false" t="normal">MID(I127, 7, 1)</f>
        <v>0</v>
      </c>
      <c r="U133" s="137" t="n">
        <f aca="false" ca="false" dt2D="false" dtr="false" t="normal">T133</f>
        <v>0</v>
      </c>
      <c r="V133" s="120" t="s">
        <v>206</v>
      </c>
      <c r="W133" s="131" t="s">
        <v>196</v>
      </c>
      <c r="X133" s="136" t="n">
        <f aca="false" ca="false" dt2D="false" dtr="false" t="normal">MID(J127, 7, 1)</f>
        <v>0</v>
      </c>
      <c r="Y133" s="137" t="n">
        <f aca="false" ca="false" dt2D="false" dtr="false" t="normal">X133</f>
        <v>0</v>
      </c>
      <c r="Z133" s="120" t="s">
        <v>206</v>
      </c>
      <c r="AA133" s="131" t="s">
        <v>196</v>
      </c>
      <c r="AB133" s="1930" t="s"/>
      <c r="AC133" s="142" t="s"/>
      <c r="AD133" s="142" t="s"/>
      <c r="AE133" s="1931" t="s"/>
      <c r="AF133" s="1932" t="s"/>
      <c r="AG133" s="142" t="s"/>
      <c r="AH133" s="142" t="s"/>
      <c r="AI133" s="1933" t="s"/>
      <c r="AJ133" s="1934" t="s"/>
      <c r="AK133" s="1935" t="s"/>
    </row>
    <row hidden="false" ht="15.75" outlineLevel="0" r="134">
      <c r="C134" s="180" t="s">
        <v>194</v>
      </c>
      <c r="D134" s="299" t="n">
        <f aca="false" ca="false" dt2D="false" dtr="false" t="normal">D129</f>
        <v>7</v>
      </c>
      <c r="E134" s="299" t="n">
        <f aca="false" ca="false" dt2D="false" dtr="false" t="normal">E129</f>
        <v>20</v>
      </c>
      <c r="F134" s="299" t="str">
        <f aca="false" ca="false" dt2D="false" dtr="false" t="normal">F129</f>
        <v>G4</v>
      </c>
      <c r="G134" s="299" t="str">
        <f aca="false" ca="false" dt2D="false" dtr="false" t="normal">G129</f>
        <v>G2</v>
      </c>
      <c r="H134" s="45" t="n"/>
      <c r="I134" s="45" t="n"/>
      <c r="J134" s="45" t="n"/>
      <c r="K134" s="45" t="n"/>
      <c r="L134" s="45" t="n"/>
      <c r="M134" s="45" t="n"/>
      <c r="N134" s="49" t="n"/>
      <c r="P134" s="182" t="n">
        <f aca="false" ca="false" dt2D="false" dtr="false" t="normal">MID(H127, 8, 1)</f>
        <v>0</v>
      </c>
      <c r="Q134" s="183" t="n">
        <f aca="false" ca="false" dt2D="false" dtr="false" t="normal">P134</f>
        <v>0</v>
      </c>
      <c r="R134" s="184" t="s">
        <v>208</v>
      </c>
      <c r="S134" s="185" t="s">
        <v>196</v>
      </c>
      <c r="T134" s="182" t="n">
        <f aca="false" ca="false" dt2D="false" dtr="false" t="normal">MID(I127, 8, 1)</f>
        <v>0</v>
      </c>
      <c r="U134" s="183" t="n">
        <f aca="false" ca="false" dt2D="false" dtr="false" t="normal">T134</f>
        <v>0</v>
      </c>
      <c r="V134" s="184" t="s">
        <v>208</v>
      </c>
      <c r="W134" s="185" t="s">
        <v>196</v>
      </c>
      <c r="X134" s="182" t="n">
        <f aca="false" ca="false" dt2D="false" dtr="false" t="normal">MID(J127, 8, 1)</f>
        <v>0</v>
      </c>
      <c r="Y134" s="183" t="n">
        <f aca="false" ca="false" dt2D="false" dtr="false" t="normal">X134</f>
        <v>0</v>
      </c>
      <c r="Z134" s="184" t="s">
        <v>208</v>
      </c>
      <c r="AA134" s="185" t="s">
        <v>196</v>
      </c>
      <c r="AB134" s="1936" t="s"/>
      <c r="AC134" s="1937" t="s"/>
      <c r="AD134" s="1938" t="s"/>
      <c r="AE134" s="1939" t="s"/>
      <c r="AF134" s="1940" t="s"/>
      <c r="AG134" s="1941" t="s"/>
      <c r="AH134" s="1942" t="s"/>
      <c r="AI134" s="1943" t="s"/>
      <c r="AJ134" s="1944" t="s"/>
      <c r="AK134" s="1945" t="s"/>
    </row>
    <row hidden="false" ht="15.75" outlineLevel="0" r="135">
      <c r="C135" s="93" t="n"/>
      <c r="D135" s="94" t="n"/>
      <c r="E135" s="94" t="n"/>
      <c r="F135" s="94" t="n"/>
      <c r="G135" s="94" t="n"/>
      <c r="H135" s="1946" t="str">
        <f aca="false" ca="false" dt2D="false" dtr="false" t="normal">AS36</f>
        <v/>
      </c>
      <c r="I135" s="1946" t="str">
        <f aca="false" ca="false" dt2D="false" dtr="false" t="normal">AS37</f>
        <v/>
      </c>
      <c r="J135" s="1946" t="str">
        <f aca="false" ca="false" dt2D="false" dtr="false" t="normal">AS38</f>
        <v/>
      </c>
      <c r="K135" s="1946" t="str">
        <f aca="false" ca="false" dt2D="false" dtr="false" t="normal">AS39</f>
        <v/>
      </c>
      <c r="L135" s="1946" t="str">
        <f aca="false" ca="false" dt2D="false" dtr="false" t="normal">AS40</f>
        <v/>
      </c>
      <c r="M135" s="94" t="s">
        <v>161</v>
      </c>
      <c r="N135" s="60" t="n"/>
      <c r="P135" s="95" t="str">
        <f aca="false" ca="false" dt2D="false" dtr="false" t="normal">RIGHT(D137, 1)&amp;E137&amp;"-"&amp;F137&amp;"-"&amp;G137</f>
        <v>720-04-03</v>
      </c>
      <c r="Q135" s="1947" t="s"/>
      <c r="R135" s="234" t="s">
        <v>1067</v>
      </c>
      <c r="S135" s="1948" t="s"/>
      <c r="T135" s="1949" t="s"/>
      <c r="U135" s="1950" t="s"/>
      <c r="V135" s="1951" t="s"/>
      <c r="W135" s="1952" t="s"/>
      <c r="X135" s="1953" t="s"/>
      <c r="Y135" s="1954" t="s"/>
      <c r="Z135" s="1955" t="s"/>
      <c r="AA135" s="1956" t="s"/>
      <c r="AB135" s="1957" t="s"/>
      <c r="AC135" s="1958" t="s"/>
      <c r="AD135" s="1959" t="s"/>
      <c r="AE135" s="1960" t="s"/>
      <c r="AF135" s="1961" t="s"/>
      <c r="AG135" s="1962" t="s"/>
      <c r="AH135" s="1963" t="s"/>
      <c r="AI135" s="1964" t="s"/>
      <c r="AJ135" s="1965" t="s"/>
      <c r="AK135" s="1966" t="s"/>
    </row>
    <row hidden="false" ht="15.75" outlineLevel="0" r="136">
      <c r="C136" s="98" t="n"/>
      <c r="D136" s="99" t="s">
        <v>1068</v>
      </c>
      <c r="E136" s="1967" t="s"/>
      <c r="F136" s="1968" t="s"/>
      <c r="G136" s="1969" t="s"/>
      <c r="H136" s="53" t="s">
        <v>165</v>
      </c>
      <c r="I136" s="53" t="s">
        <v>166</v>
      </c>
      <c r="J136" s="53" t="s">
        <v>167</v>
      </c>
      <c r="K136" s="53" t="s">
        <v>168</v>
      </c>
      <c r="L136" s="53" t="s">
        <v>169</v>
      </c>
      <c r="M136" s="53" t="s">
        <v>221</v>
      </c>
      <c r="N136" s="63" t="n"/>
      <c r="P136" s="103" t="s">
        <v>1069</v>
      </c>
      <c r="Q136" s="1970" t="s"/>
      <c r="R136" s="1971" t="s"/>
      <c r="S136" s="1972" t="s"/>
      <c r="T136" s="103" t="s">
        <v>1070</v>
      </c>
      <c r="U136" s="1973" t="s"/>
      <c r="V136" s="1974" t="s"/>
      <c r="W136" s="1975" t="s"/>
      <c r="X136" s="103" t="s">
        <v>1071</v>
      </c>
      <c r="Y136" s="1976" t="s"/>
      <c r="Z136" s="1977" t="s"/>
      <c r="AA136" s="1978" t="s"/>
      <c r="AB136" s="103" t="s">
        <v>1072</v>
      </c>
      <c r="AC136" s="1979" t="s"/>
      <c r="AD136" s="1980" t="s"/>
      <c r="AE136" s="1981" t="s"/>
      <c r="AF136" s="103" t="s">
        <v>1073</v>
      </c>
      <c r="AG136" s="1982" t="s"/>
      <c r="AH136" s="1983" t="s"/>
      <c r="AI136" s="1984" t="s"/>
      <c r="AJ136" s="103" t="s">
        <v>1074</v>
      </c>
      <c r="AK136" s="1985" t="s"/>
    </row>
    <row customHeight="true" hidden="false" ht="15.75" outlineLevel="0" r="137">
      <c r="C137" s="98" t="s">
        <v>176</v>
      </c>
      <c r="D137" s="122" t="s">
        <v>177</v>
      </c>
      <c r="E137" s="123" t="s">
        <v>693</v>
      </c>
      <c r="F137" s="123" t="s">
        <v>342</v>
      </c>
      <c r="G137" s="124" t="s">
        <v>307</v>
      </c>
      <c r="H137" s="164" t="n">
        <f aca="false" ca="false" dt2D="false" dtr="false" ref="H137:H137" t="array">MID(INDEX($A$3:$A$70, IF(ISNA(MATCH("720G4G3*", $A$3:$A$70, 0))=TRUE, MATCH("7200403*", $A$3:$A$70, 0), MATCH("720G4G3*", $A$3:$A$70, 0))), $AU$8, 2)</f>
        <v>0</v>
      </c>
      <c r="I137" s="1820" t="n">
        <f aca="false" ca="false" dt2D="false" dtr="false" ref="I137:I137" t="array">MID(INDEX($A$3:$A$70, IF(ISNA(MATCH("720G4G3*", $A$3:$A$70, 0))=TRUE, MATCH("7200403*", $A$3:$A$70, 0), MATCH("720G4G3*", $A$3:$A$70, 0))), $AV$8, 2)</f>
        <v>0</v>
      </c>
      <c r="J137" s="1820" t="n">
        <f aca="false" ca="false" dt2D="false" dtr="false" ref="J137:J137" t="array">MID(INDEX($A$3:$A$70, IF(ISNA(MATCH("720G4G3*", $A$3:$A$70, 0))=TRUE, MATCH("7200403*", $A$3:$A$70, 0), MATCH("720G4G3*", $A$3:$A$70, 0))), $AW$8, 2)</f>
        <v>0</v>
      </c>
      <c r="K137" s="1821" t="n">
        <f aca="false" ca="false" dt2D="false" dtr="false" ref="K137:K137" t="array">MID(INDEX($A$3:$A$70, IF(ISNA(MATCH("720G4G3*", $A$3:$A$70, 0))=TRUE, MATCH("7200403*", $A$3:$A$70, 0), MATCH("720G4G3*", $A$3:$A$70, 0))), $AX$8, 2)</f>
        <v>0</v>
      </c>
      <c r="L137" s="1821" t="n">
        <f aca="false" ca="false" dt2D="false" dtr="false" ref="L137:L137" t="array">MID(INDEX($A$3:$A$70, IF(ISNA(MATCH("720G4G3*", $A$3:$A$70, 0))=TRUE, MATCH("7200403*", $A$3:$A$70, 0), MATCH("720G4G3*", $A$3:$A$70, 0))), $AY$8, 2)</f>
        <v>0</v>
      </c>
      <c r="M137" s="218" t="str">
        <f aca="false" ca="false" dt2D="false" dtr="false" ref="M137:M137" t="array">MID(INDEX($A$3:$A$70, IF(ISNA(MATCH("720G4G3*", $A$3:$A$70, 0))=TRUE, MATCH("7200403*", $A$3:$A$70, 0), MATCH("720G4G3*", $A$3:$A$70, 0))), $AZ$8, 2)</f>
        <v>2E</v>
      </c>
      <c r="N137" s="63" t="s">
        <v>180</v>
      </c>
      <c r="P137" s="1986" t="str">
        <f aca="false" ca="false" dt2D="false" dtr="false" t="normal">AS36</f>
        <v/>
      </c>
      <c r="Q137" s="1987" t="s"/>
      <c r="R137" s="1988" t="s"/>
      <c r="S137" s="1989" t="s"/>
      <c r="T137" s="1986" t="str">
        <f aca="false" ca="false" dt2D="false" dtr="false" t="normal">AS37</f>
        <v/>
      </c>
      <c r="U137" s="1990" t="s"/>
      <c r="V137" s="1991" t="s"/>
      <c r="W137" s="1992" t="s"/>
      <c r="X137" s="1986" t="str">
        <f aca="false" ca="false" dt2D="false" dtr="false" t="normal">AS38</f>
        <v/>
      </c>
      <c r="Y137" s="1993" t="s"/>
      <c r="Z137" s="1994" t="s"/>
      <c r="AA137" s="1995" t="s"/>
      <c r="AB137" s="1986" t="str">
        <f aca="false" ca="false" dt2D="false" dtr="false" t="normal">AS39</f>
        <v/>
      </c>
      <c r="AC137" s="1996" t="s"/>
      <c r="AD137" s="1997" t="s"/>
      <c r="AE137" s="1998" t="s"/>
      <c r="AF137" s="1986" t="str">
        <f aca="false" ca="false" dt2D="false" dtr="false" t="normal">AS40</f>
        <v/>
      </c>
      <c r="AG137" s="1999" t="s"/>
      <c r="AH137" s="2000" t="s"/>
      <c r="AI137" s="2001" t="s"/>
      <c r="AJ137" s="116" t="s">
        <v>183</v>
      </c>
      <c r="AK137" s="2002" t="s"/>
    </row>
    <row customHeight="true" hidden="false" ht="15" outlineLevel="0" r="138">
      <c r="C138" s="98" t="s">
        <v>185</v>
      </c>
      <c r="D138" s="53" t="n">
        <f aca="false" ca="false" dt2D="false" dtr="false" t="normal">HEX2BIN(D137, 8)</f>
        <v>111</v>
      </c>
      <c r="E138" s="53" t="n">
        <f aca="false" ca="false" dt2D="false" dtr="false" t="normal">HEX2BIN(E137, 8)</f>
        <v>100000</v>
      </c>
      <c r="F138" s="53" t="n">
        <f aca="false" ca="false" dt2D="false" dtr="false" t="normal">HEX2BIN(F137, 8)</f>
        <v>100</v>
      </c>
      <c r="G138" s="53" t="n">
        <f aca="false" ca="false" dt2D="false" dtr="false" t="normal">HEX2BIN(G137, 8)</f>
        <v>11</v>
      </c>
      <c r="H138" s="53" t="n">
        <f aca="false" ca="false" dt2D="false" dtr="false" t="normal">HEX2BIN(H137, 8)</f>
        <v>0</v>
      </c>
      <c r="I138" s="53" t="n">
        <f aca="false" ca="false" dt2D="false" dtr="false" t="normal">HEX2BIN(I137, 8)</f>
        <v>0</v>
      </c>
      <c r="J138" s="53" t="n">
        <f aca="false" ca="false" dt2D="false" dtr="false" t="normal">HEX2BIN(J137, 8)</f>
        <v>0</v>
      </c>
      <c r="K138" s="53" t="n">
        <f aca="false" ca="false" dt2D="false" dtr="false" t="normal">HEX2BIN(K137, 8)</f>
        <v>0</v>
      </c>
      <c r="L138" s="53" t="n">
        <f aca="false" ca="false" dt2D="false" dtr="false" t="normal">HEX2BIN(L137, 8)</f>
        <v>0</v>
      </c>
      <c r="N138" s="63" t="n"/>
      <c r="P138" s="2003" t="s"/>
      <c r="Q138" s="2004" t="s"/>
      <c r="R138" s="2004" t="s"/>
      <c r="S138" s="2005" t="s"/>
      <c r="T138" s="2006" t="s"/>
      <c r="U138" s="2004" t="s"/>
      <c r="V138" s="2004" t="s"/>
      <c r="W138" s="2007" t="s"/>
      <c r="X138" s="2008" t="s"/>
      <c r="Y138" s="2004" t="s"/>
      <c r="Z138" s="2004" t="s"/>
      <c r="AA138" s="2009" t="s"/>
      <c r="AB138" s="2010" t="s"/>
      <c r="AC138" s="2004" t="s"/>
      <c r="AD138" s="2004" t="s"/>
      <c r="AE138" s="2011" t="s"/>
      <c r="AF138" s="2012" t="s"/>
      <c r="AG138" s="2004" t="s"/>
      <c r="AH138" s="2004" t="s"/>
      <c r="AI138" s="2013" t="s"/>
      <c r="AJ138" s="2014" t="s"/>
      <c r="AK138" s="2015" t="s"/>
    </row>
    <row customHeight="true" hidden="false" ht="15" outlineLevel="0" r="139">
      <c r="C139" s="98" t="s">
        <v>191</v>
      </c>
      <c r="D139" s="53" t="n">
        <f aca="false" ca="false" dt2D="false" dtr="false" t="normal">HEX2DEC(D137)</f>
        <v>7</v>
      </c>
      <c r="E139" s="53" t="n">
        <f aca="false" ca="false" dt2D="false" dtr="false" t="normal">HEX2DEC(E137)</f>
        <v>32</v>
      </c>
      <c r="F139" s="53" t="n">
        <f aca="false" ca="false" dt2D="false" dtr="false" t="normal">HEX2DEC(F137)</f>
        <v>4</v>
      </c>
      <c r="G139" s="53" t="n">
        <f aca="false" ca="false" dt2D="false" dtr="false" t="normal">HEX2DEC(G137)</f>
        <v>3</v>
      </c>
      <c r="H139" s="53" t="n">
        <f aca="false" ca="false" dt2D="false" dtr="false" t="normal">HEX2DEC(H137)</f>
        <v>0</v>
      </c>
      <c r="I139" s="53" t="n">
        <f aca="false" ca="false" dt2D="false" dtr="false" t="normal">HEX2DEC(I137)</f>
        <v>0</v>
      </c>
      <c r="J139" s="53" t="n">
        <f aca="false" ca="false" dt2D="false" dtr="false" t="normal">HEX2DEC(J137)</f>
        <v>0</v>
      </c>
      <c r="K139" s="53" t="n">
        <f aca="false" ca="false" dt2D="false" dtr="false" t="normal">HEX2DEC(K137)</f>
        <v>0</v>
      </c>
      <c r="L139" s="53" t="n">
        <f aca="false" ca="false" dt2D="false" dtr="false" t="normal">HEX2DEC(L137)</f>
        <v>0</v>
      </c>
      <c r="M139" s="53" t="n">
        <f aca="false" ca="false" dt2D="false" dtr="false" t="normal">SUM(D139:L139)</f>
        <v>46</v>
      </c>
      <c r="N139" s="63" t="n"/>
      <c r="P139" s="2016" t="s"/>
      <c r="Q139" s="2004" t="s"/>
      <c r="R139" s="2004" t="s"/>
      <c r="S139" s="2017" t="s"/>
      <c r="T139" s="2018" t="s"/>
      <c r="U139" s="2004" t="s"/>
      <c r="V139" s="2004" t="s"/>
      <c r="W139" s="2019" t="s"/>
      <c r="X139" s="2020" t="s"/>
      <c r="Y139" s="2004" t="s"/>
      <c r="Z139" s="2004" t="s"/>
      <c r="AA139" s="2021" t="s"/>
      <c r="AB139" s="2022" t="s"/>
      <c r="AC139" s="2004" t="s"/>
      <c r="AD139" s="2004" t="s"/>
      <c r="AE139" s="2023" t="s"/>
      <c r="AF139" s="2024" t="s"/>
      <c r="AG139" s="2004" t="s"/>
      <c r="AH139" s="2004" t="s"/>
      <c r="AI139" s="2025" t="s"/>
      <c r="AJ139" s="2026" t="s"/>
      <c r="AK139" s="2027" t="s"/>
    </row>
    <row customHeight="true" hidden="false" ht="15" outlineLevel="0" r="140">
      <c r="C140" s="98" t="s">
        <v>194</v>
      </c>
      <c r="D140" s="149" t="n">
        <f aca="false" ca="false" dt2D="false" dtr="false" t="normal">D137</f>
        <v>7</v>
      </c>
      <c r="E140" s="149" t="n">
        <f aca="false" ca="false" dt2D="false" dtr="false" t="normal">E137</f>
        <v>20</v>
      </c>
      <c r="F140" s="53" t="str">
        <f aca="false" ca="false" dt2D="false" dtr="false" t="normal">MID(INDEX($A$3:$A$70, IF(ISNA(MATCH("720G4G3*", $A$3:$A$70, 0))=TRUE, MATCH("7200403*", $A$3:$A$70, 0), MATCH("720G4G3*", $A$3:$A$70, 0))), $AS$8, 2)</f>
        <v>G4</v>
      </c>
      <c r="G140" s="53" t="str">
        <f aca="false" ca="false" dt2D="false" dtr="false" t="normal">MID(INDEX($A$3:$A$70, IF(ISNA(MATCH("720G4G3*", $A$3:$A$70, 0))=TRUE, MATCH("7200403*", $A$3:$A$70, 0), MATCH("720G4G3*", $A$3:$A$70, 0))), $AT$8, 2)</f>
        <v>G3</v>
      </c>
      <c r="N140" s="63" t="n"/>
      <c r="P140" s="2028" t="s"/>
      <c r="Q140" s="2004" t="s"/>
      <c r="R140" s="2004" t="s"/>
      <c r="S140" s="2029" t="s"/>
      <c r="T140" s="2030" t="s"/>
      <c r="U140" s="2004" t="s"/>
      <c r="V140" s="2004" t="s"/>
      <c r="W140" s="2031" t="s"/>
      <c r="X140" s="2032" t="s"/>
      <c r="Y140" s="2004" t="s"/>
      <c r="Z140" s="2004" t="s"/>
      <c r="AA140" s="2033" t="s"/>
      <c r="AB140" s="2034" t="s"/>
      <c r="AC140" s="2004" t="s"/>
      <c r="AD140" s="2004" t="s"/>
      <c r="AE140" s="2035" t="s"/>
      <c r="AF140" s="2036" t="s"/>
      <c r="AG140" s="2004" t="s"/>
      <c r="AH140" s="2004" t="s"/>
      <c r="AI140" s="2037" t="s"/>
      <c r="AJ140" s="2038" t="s"/>
      <c r="AK140" s="2039" t="s"/>
    </row>
    <row customHeight="true" hidden="false" ht="15.75" outlineLevel="0" r="141">
      <c r="C141" s="98" t="n"/>
      <c r="H141" s="1946" t="str">
        <f aca="false" ca="false" dt2D="false" dtr="false" t="normal">P137</f>
        <v/>
      </c>
      <c r="I141" s="1946" t="str">
        <f aca="false" ca="false" dt2D="false" dtr="false" t="normal">T137</f>
        <v/>
      </c>
      <c r="J141" s="1946" t="str">
        <f aca="false" ca="false" dt2D="false" dtr="false" t="normal">X137</f>
        <v/>
      </c>
      <c r="K141" s="1946" t="str">
        <f aca="false" ca="false" dt2D="false" dtr="false" t="normal">AB137</f>
        <v/>
      </c>
      <c r="L141" s="1946" t="str">
        <f aca="false" ca="false" dt2D="false" dtr="false" t="normal">AF137</f>
        <v/>
      </c>
      <c r="N141" s="63" t="n"/>
      <c r="P141" s="2040" t="s"/>
      <c r="Q141" s="2004" t="s"/>
      <c r="R141" s="2004" t="s"/>
      <c r="S141" s="2041" t="s"/>
      <c r="T141" s="2042" t="s"/>
      <c r="U141" s="2004" t="s"/>
      <c r="V141" s="2004" t="s"/>
      <c r="W141" s="2043" t="s"/>
      <c r="X141" s="2044" t="s"/>
      <c r="Y141" s="2004" t="s"/>
      <c r="Z141" s="2004" t="s"/>
      <c r="AA141" s="2045" t="s"/>
      <c r="AB141" s="2046" t="s"/>
      <c r="AC141" s="2004" t="s"/>
      <c r="AD141" s="2004" t="s"/>
      <c r="AE141" s="2047" t="s"/>
      <c r="AF141" s="2048" t="s"/>
      <c r="AG141" s="2004" t="s"/>
      <c r="AH141" s="2004" t="s"/>
      <c r="AI141" s="2049" t="s"/>
      <c r="AJ141" s="2050" t="s"/>
      <c r="AK141" s="2051" t="s"/>
    </row>
    <row customHeight="true" hidden="false" ht="15.75" outlineLevel="0" r="142">
      <c r="C142" s="98" t="s">
        <v>176</v>
      </c>
      <c r="D142" s="159" t="n">
        <f aca="false" ca="false" dt2D="false" dtr="false" t="normal">D137</f>
        <v>7</v>
      </c>
      <c r="E142" s="160" t="n">
        <f aca="false" ca="false" dt2D="false" dtr="false" t="normal">E137</f>
        <v>20</v>
      </c>
      <c r="F142" s="160" t="n">
        <f aca="false" ca="false" dt2D="false" dtr="false" t="normal">F137</f>
        <v>4</v>
      </c>
      <c r="G142" s="161" t="n">
        <f aca="false" ca="false" dt2D="false" dtr="false" t="normal">G137</f>
        <v>3</v>
      </c>
      <c r="H142" s="2052" t="n">
        <f aca="false" ca="false" dt2D="false" dtr="false" t="normal">IFERROR(VLOOKUP($P$137, $AU$36:$AV$71, 2, FALSE), "00")</f>
        <v>0</v>
      </c>
      <c r="I142" s="2053" t="n">
        <f aca="false" ca="false" dt2D="false" dtr="false" t="normal">IFERROR(VLOOKUP(T137, $AU$36:$AV$71, 2, FALSE), "00")</f>
        <v>0</v>
      </c>
      <c r="J142" s="2053" t="n">
        <f aca="false" ca="false" dt2D="false" dtr="false" t="normal">IFERROR(VLOOKUP(X137, $AU$36:$AV$71, 2, FALSE), "00")</f>
        <v>0</v>
      </c>
      <c r="K142" s="2053" t="n">
        <f aca="false" ca="false" dt2D="false" dtr="false" t="normal">IFERROR(VLOOKUP(AB137, $AU$36:$AV$71, 2, FALSE), "00")</f>
        <v>0</v>
      </c>
      <c r="L142" s="2054" t="n">
        <f aca="false" ca="false" dt2D="false" dtr="false" t="normal">IFERROR(VLOOKUP(AF137, $AU$36:$AV$71, 2, FALSE), "00")</f>
        <v>0</v>
      </c>
      <c r="M142" s="166" t="str">
        <f aca="false" ca="false" dt2D="false" dtr="false" t="normal">IF(LEN(M143)&gt;2, MID(M143, 2, 2), M143)</f>
        <v>2E</v>
      </c>
      <c r="N142" s="63" t="s">
        <v>181</v>
      </c>
      <c r="P142" s="2055" t="s"/>
      <c r="Q142" s="2004" t="s"/>
      <c r="R142" s="2004" t="s"/>
      <c r="S142" s="2056" t="s"/>
      <c r="T142" s="2057" t="s"/>
      <c r="U142" s="2004" t="s"/>
      <c r="V142" s="2004" t="s"/>
      <c r="W142" s="2058" t="s"/>
      <c r="X142" s="2059" t="s"/>
      <c r="Y142" s="2004" t="s"/>
      <c r="Z142" s="2004" t="s"/>
      <c r="AA142" s="2060" t="s"/>
      <c r="AB142" s="2061" t="s"/>
      <c r="AC142" s="2004" t="s"/>
      <c r="AD142" s="2004" t="s"/>
      <c r="AE142" s="2062" t="s"/>
      <c r="AF142" s="2063" t="s"/>
      <c r="AG142" s="2004" t="s"/>
      <c r="AH142" s="2004" t="s"/>
      <c r="AI142" s="2064" t="s"/>
      <c r="AJ142" s="2065" t="s"/>
      <c r="AK142" s="2066" t="s"/>
    </row>
    <row customHeight="true" hidden="false" ht="15" outlineLevel="0" r="143">
      <c r="C143" s="98" t="s">
        <v>185</v>
      </c>
      <c r="D143" s="53" t="n">
        <f aca="false" ca="false" dt2D="false" dtr="false" t="normal">HEX2BIN(D142, 8)</f>
        <v>111</v>
      </c>
      <c r="E143" s="53" t="n">
        <f aca="false" ca="false" dt2D="false" dtr="false" t="normal">HEX2BIN(E142, 8)</f>
        <v>100000</v>
      </c>
      <c r="F143" s="53" t="n">
        <f aca="false" ca="false" dt2D="false" dtr="false" t="normal">HEX2BIN(F142, 8)</f>
        <v>100</v>
      </c>
      <c r="G143" s="53" t="n">
        <f aca="false" ca="false" dt2D="false" dtr="false" t="normal">HEX2BIN(G142, 8)</f>
        <v>11</v>
      </c>
      <c r="H143" s="171" t="n"/>
      <c r="I143" s="53" t="n"/>
      <c r="J143" s="171" t="n"/>
      <c r="K143" s="171" t="n"/>
      <c r="L143" s="53" t="n"/>
      <c r="M143" s="53" t="str">
        <f aca="false" ca="false" dt2D="false" dtr="false" t="normal">DEC2HEX(M144)</f>
        <v>2E</v>
      </c>
      <c r="N143" s="63" t="n"/>
      <c r="P143" s="2067" t="s"/>
      <c r="Q143" s="2004" t="s"/>
      <c r="R143" s="2004" t="s"/>
      <c r="S143" s="2068" t="s"/>
      <c r="T143" s="2069" t="s"/>
      <c r="U143" s="2004" t="s"/>
      <c r="V143" s="2004" t="s"/>
      <c r="W143" s="2070" t="s"/>
      <c r="X143" s="2071" t="s"/>
      <c r="Y143" s="2004" t="s"/>
      <c r="Z143" s="2004" t="s"/>
      <c r="AA143" s="2072" t="s"/>
      <c r="AB143" s="2073" t="s"/>
      <c r="AC143" s="2004" t="s"/>
      <c r="AD143" s="2004" t="s"/>
      <c r="AE143" s="2074" t="s"/>
      <c r="AF143" s="2075" t="s"/>
      <c r="AG143" s="2004" t="s"/>
      <c r="AH143" s="2004" t="s"/>
      <c r="AI143" s="2076" t="s"/>
      <c r="AJ143" s="2077" t="s"/>
      <c r="AK143" s="2078" t="s"/>
    </row>
    <row customHeight="true" hidden="false" ht="15" outlineLevel="0" r="144">
      <c r="C144" s="98" t="s">
        <v>191</v>
      </c>
      <c r="D144" s="53" t="n">
        <f aca="false" ca="false" dt2D="false" dtr="false" t="normal">HEX2DEC(D142)</f>
        <v>7</v>
      </c>
      <c r="E144" s="53" t="n">
        <f aca="false" ca="false" dt2D="false" dtr="false" t="normal">HEX2DEC(E142)</f>
        <v>32</v>
      </c>
      <c r="F144" s="53" t="n">
        <f aca="false" ca="false" dt2D="false" dtr="false" t="normal">HEX2DEC(F142)</f>
        <v>4</v>
      </c>
      <c r="G144" s="53" t="n">
        <f aca="false" ca="false" dt2D="false" dtr="false" t="normal">HEX2DEC(G142)</f>
        <v>3</v>
      </c>
      <c r="H144" s="53" t="n">
        <f aca="false" ca="false" dt2D="false" dtr="false" t="normal">HEX2DEC(H142)</f>
        <v>0</v>
      </c>
      <c r="I144" s="53" t="n">
        <f aca="false" ca="false" dt2D="false" dtr="false" t="normal">HEX2DEC(I142)</f>
        <v>0</v>
      </c>
      <c r="J144" s="53" t="n">
        <f aca="false" ca="false" dt2D="false" dtr="false" t="normal">HEX2DEC(J142)</f>
        <v>0</v>
      </c>
      <c r="K144" s="53" t="n">
        <f aca="false" ca="false" dt2D="false" dtr="false" t="normal">HEX2DEC(K142)</f>
        <v>0</v>
      </c>
      <c r="L144" s="53" t="n">
        <f aca="false" ca="false" dt2D="false" dtr="false" t="normal">HEX2DEC(L142)</f>
        <v>0</v>
      </c>
      <c r="M144" s="53" t="n">
        <f aca="false" ca="false" dt2D="false" dtr="false" t="normal">SUM(D144:L144)</f>
        <v>46</v>
      </c>
      <c r="N144" s="63" t="n"/>
      <c r="P144" s="2079" t="s"/>
      <c r="Q144" s="2004" t="s"/>
      <c r="R144" s="2004" t="s"/>
      <c r="S144" s="2080" t="s"/>
      <c r="T144" s="2081" t="s"/>
      <c r="U144" s="2004" t="s"/>
      <c r="V144" s="2004" t="s"/>
      <c r="W144" s="2082" t="s"/>
      <c r="X144" s="2083" t="s"/>
      <c r="Y144" s="2004" t="s"/>
      <c r="Z144" s="2004" t="s"/>
      <c r="AA144" s="2084" t="s"/>
      <c r="AB144" s="2085" t="s"/>
      <c r="AC144" s="2004" t="s"/>
      <c r="AD144" s="2004" t="s"/>
      <c r="AE144" s="2086" t="s"/>
      <c r="AF144" s="2087" t="s"/>
      <c r="AG144" s="2004" t="s"/>
      <c r="AH144" s="2004" t="s"/>
      <c r="AI144" s="2088" t="s"/>
      <c r="AJ144" s="2089" t="s"/>
      <c r="AK144" s="2090" t="s"/>
    </row>
    <row customHeight="true" hidden="false" ht="15.75" outlineLevel="0" r="145">
      <c r="C145" s="180" t="s">
        <v>194</v>
      </c>
      <c r="D145" s="299" t="n">
        <f aca="false" ca="false" dt2D="false" dtr="false" t="normal">D140</f>
        <v>7</v>
      </c>
      <c r="E145" s="299" t="n">
        <f aca="false" ca="false" dt2D="false" dtr="false" t="normal">E140</f>
        <v>20</v>
      </c>
      <c r="F145" s="299" t="str">
        <f aca="false" ca="false" dt2D="false" dtr="false" t="normal">F140</f>
        <v>G4</v>
      </c>
      <c r="G145" s="299" t="str">
        <f aca="false" ca="false" dt2D="false" dtr="false" t="normal">G140</f>
        <v>G3</v>
      </c>
      <c r="H145" s="45" t="n"/>
      <c r="I145" s="45" t="n"/>
      <c r="J145" s="45" t="n"/>
      <c r="K145" s="45" t="n"/>
      <c r="L145" s="45" t="n"/>
      <c r="M145" s="45" t="n"/>
      <c r="N145" s="49" t="n"/>
      <c r="P145" s="2091" t="s"/>
      <c r="Q145" s="2092" t="s"/>
      <c r="R145" s="2093" t="s"/>
      <c r="S145" s="2094" t="s"/>
      <c r="T145" s="2095" t="s"/>
      <c r="U145" s="2096" t="s"/>
      <c r="V145" s="2097" t="s"/>
      <c r="W145" s="2098" t="s"/>
      <c r="X145" s="2099" t="s"/>
      <c r="Y145" s="2100" t="s"/>
      <c r="Z145" s="2101" t="s"/>
      <c r="AA145" s="2102" t="s"/>
      <c r="AB145" s="2103" t="s"/>
      <c r="AC145" s="2104" t="s"/>
      <c r="AD145" s="2105" t="s"/>
      <c r="AE145" s="2106" t="s"/>
      <c r="AF145" s="2107" t="s"/>
      <c r="AG145" s="2108" t="s"/>
      <c r="AH145" s="2109" t="s"/>
      <c r="AI145" s="2110" t="s"/>
      <c r="AJ145" s="2111" t="s"/>
      <c r="AK145" s="2112" t="s"/>
    </row>
    <row hidden="false" ht="15.75" outlineLevel="0" r="146">
      <c r="C146" s="93" t="n"/>
      <c r="D146" s="94" t="n"/>
      <c r="E146" s="94" t="n"/>
      <c r="F146" s="94" t="n"/>
      <c r="G146" s="94" t="n"/>
      <c r="H146" s="1946" t="str">
        <f aca="false" ca="false" dt2D="false" dtr="false" t="normal">AS41</f>
        <v/>
      </c>
      <c r="I146" s="1946" t="n"/>
      <c r="J146" s="1946" t="n"/>
      <c r="K146" s="1946" t="str">
        <f aca="false" ca="false" dt2D="false" dtr="false" t="normal">AS42</f>
        <v/>
      </c>
      <c r="L146" s="1946" t="str">
        <f aca="false" ca="false" dt2D="false" dtr="false" t="normal">AS43</f>
        <v/>
      </c>
      <c r="M146" s="94" t="s">
        <v>161</v>
      </c>
      <c r="N146" s="60" t="n"/>
      <c r="P146" s="95" t="str">
        <f aca="false" ca="false" dt2D="false" dtr="false" t="normal">RIGHT(D148, 1)&amp;E148&amp;"-"&amp;F148&amp;"-"&amp;G148</f>
        <v>720-04-04</v>
      </c>
      <c r="Q146" s="2113" t="s"/>
      <c r="R146" s="234" t="s">
        <v>1075</v>
      </c>
      <c r="S146" s="2114" t="s"/>
      <c r="T146" s="2115" t="s"/>
      <c r="U146" s="2116" t="s"/>
      <c r="V146" s="2117" t="s"/>
      <c r="W146" s="2118" t="s"/>
      <c r="X146" s="2119" t="s"/>
      <c r="Y146" s="2120" t="s"/>
      <c r="Z146" s="2121" t="s"/>
      <c r="AA146" s="2122" t="s"/>
      <c r="AB146" s="2123" t="s"/>
      <c r="AC146" s="2124" t="s"/>
      <c r="AD146" s="2125" t="s"/>
      <c r="AE146" s="2126" t="s"/>
      <c r="AF146" s="2127" t="s"/>
      <c r="AG146" s="2128" t="s"/>
      <c r="AH146" s="2129" t="s"/>
      <c r="AI146" s="2130" t="s"/>
      <c r="AJ146" s="2131" t="s"/>
      <c r="AK146" s="2132" t="s"/>
    </row>
    <row hidden="false" ht="15.75" outlineLevel="0" r="147">
      <c r="C147" s="98" t="n"/>
      <c r="D147" s="99" t="s">
        <v>1076</v>
      </c>
      <c r="E147" s="2133" t="s"/>
      <c r="F147" s="2134" t="s"/>
      <c r="G147" s="2135" t="s"/>
      <c r="H147" s="53" t="s">
        <v>165</v>
      </c>
      <c r="I147" s="53" t="s">
        <v>166</v>
      </c>
      <c r="J147" s="53" t="s">
        <v>167</v>
      </c>
      <c r="K147" s="53" t="s">
        <v>168</v>
      </c>
      <c r="L147" s="53" t="s">
        <v>169</v>
      </c>
      <c r="M147" s="53" t="s">
        <v>221</v>
      </c>
      <c r="N147" s="63" t="n"/>
      <c r="P147" s="103" t="s">
        <v>1077</v>
      </c>
      <c r="Q147" s="2136" t="s"/>
      <c r="R147" s="2137" t="s"/>
      <c r="S147" s="2138" t="s"/>
      <c r="T147" s="116" t="s">
        <v>1078</v>
      </c>
      <c r="U147" s="2139" t="s"/>
      <c r="V147" s="2140" t="s"/>
      <c r="W147" s="2141" t="s"/>
      <c r="X147" s="116" t="s">
        <v>1079</v>
      </c>
      <c r="Y147" s="2142" t="s"/>
      <c r="Z147" s="2143" t="s"/>
      <c r="AA147" s="2144" t="s"/>
      <c r="AB147" s="103" t="s">
        <v>1080</v>
      </c>
      <c r="AC147" s="2145" t="s"/>
      <c r="AD147" s="2146" t="s"/>
      <c r="AE147" s="2147" t="s"/>
      <c r="AF147" s="103" t="s">
        <v>1081</v>
      </c>
      <c r="AG147" s="2148" t="s"/>
      <c r="AH147" s="2149" t="s"/>
      <c r="AI147" s="2150" t="s"/>
      <c r="AJ147" s="103" t="s">
        <v>1082</v>
      </c>
      <c r="AK147" s="2151" t="s"/>
    </row>
    <row customHeight="true" hidden="false" ht="15.75" outlineLevel="0" r="148">
      <c r="C148" s="98" t="s">
        <v>176</v>
      </c>
      <c r="D148" s="122" t="s">
        <v>177</v>
      </c>
      <c r="E148" s="123" t="s">
        <v>693</v>
      </c>
      <c r="F148" s="123" t="s">
        <v>342</v>
      </c>
      <c r="G148" s="124" t="s">
        <v>342</v>
      </c>
      <c r="H148" s="164" t="n">
        <f aca="false" ca="false" dt2D="false" dtr="false" ref="H148:H148" t="array">MID(INDEX($A$3:$A$70, IF(ISNA(MATCH("720G4G4*", $A$3:$A$70, 0))=TRUE, MATCH("7200404*", $A$3:$A$70, 0), MATCH("720G4G4*", $A$3:$A$70, 0))), $AU$8, 2)</f>
        <v>0</v>
      </c>
      <c r="I148" s="1820" t="n">
        <f aca="false" ca="false" dt2D="false" dtr="false" ref="I148:I148" t="array">MID(INDEX($A$3:$A$70, IF(ISNA(MATCH("720G4G4*", $A$3:$A$70, 0))=TRUE, MATCH("7200404*", $A$3:$A$70, 0), MATCH("720G4G4*", $A$3:$A$70, 0))), $AV$8, 2)</f>
        <v>0</v>
      </c>
      <c r="J148" s="1820" t="n">
        <f aca="false" ca="false" dt2D="false" dtr="false" ref="J148:J148" t="array">MID(INDEX($A$3:$A$70, IF(ISNA(MATCH("720G4G4*", $A$3:$A$70, 0))=TRUE, MATCH("7200404*", $A$3:$A$70, 0), MATCH("720G4G4*", $A$3:$A$70, 0))), $AW$8, 2)</f>
        <v>0</v>
      </c>
      <c r="K148" s="1821" t="n">
        <f aca="false" ca="false" dt2D="false" dtr="false" ref="K148:K148" t="array">MID(INDEX($A$3:$A$70, IF(ISNA(MATCH("720G4G4*", $A$3:$A$70, 0))=TRUE, MATCH("7200404*", $A$3:$A$70, 0), MATCH("720G4G4*", $A$3:$A$70, 0))), $AX$8, 2)</f>
        <v>0</v>
      </c>
      <c r="L148" s="1821" t="n">
        <f aca="false" ca="false" dt2D="false" dtr="false" ref="L148:L148" t="array">MID(INDEX($A$3:$A$70, IF(ISNA(MATCH("720G4G4*", $A$3:$A$70, 0))=TRUE, MATCH("7200404*", $A$3:$A$70, 0), MATCH("720G4G4*", $A$3:$A$70, 0))), $AY$8, 2)</f>
        <v>0</v>
      </c>
      <c r="M148" s="218" t="str">
        <f aca="false" ca="false" dt2D="false" dtr="false" ref="M148:M148" t="array">MID(INDEX($A$3:$A$70, IF(ISNA(MATCH("720G4G4*", $A$3:$A$70, 0))=TRUE, MATCH("7200404*", $A$3:$A$70, 0), MATCH("720G4G4*", $A$3:$A$70, 0))), $AZ$8, 2)</f>
        <v>2F</v>
      </c>
      <c r="N148" s="63" t="s">
        <v>180</v>
      </c>
      <c r="P148" s="1986" t="str">
        <f aca="false" ca="false" dt2D="false" dtr="false" t="normal">AS41</f>
        <v/>
      </c>
      <c r="Q148" s="2152" t="s"/>
      <c r="R148" s="2153" t="s"/>
      <c r="S148" s="2154" t="s"/>
      <c r="T148" s="116" t="n"/>
      <c r="U148" s="2155" t="s"/>
      <c r="V148" s="2156" t="s"/>
      <c r="W148" s="2157" t="s"/>
      <c r="X148" s="116" t="n"/>
      <c r="Y148" s="2158" t="s"/>
      <c r="Z148" s="2159" t="s"/>
      <c r="AA148" s="2160" t="s"/>
      <c r="AB148" s="1986" t="str">
        <f aca="false" ca="false" dt2D="false" dtr="false" t="normal">AS42</f>
        <v/>
      </c>
      <c r="AC148" s="2161" t="s"/>
      <c r="AD148" s="2162" t="s"/>
      <c r="AE148" s="2163" t="s"/>
      <c r="AF148" s="1986" t="str">
        <f aca="false" ca="false" dt2D="false" dtr="false" t="normal">AS43</f>
        <v/>
      </c>
      <c r="AG148" s="2164" t="s"/>
      <c r="AH148" s="2165" t="s"/>
      <c r="AI148" s="2166" t="s"/>
      <c r="AJ148" s="116" t="s">
        <v>183</v>
      </c>
      <c r="AK148" s="2167" t="s"/>
    </row>
    <row customHeight="true" hidden="false" ht="15" outlineLevel="0" r="149">
      <c r="C149" s="98" t="s">
        <v>185</v>
      </c>
      <c r="D149" s="53" t="n">
        <f aca="false" ca="false" dt2D="false" dtr="false" t="normal">HEX2BIN(D148, 8)</f>
        <v>111</v>
      </c>
      <c r="E149" s="53" t="n">
        <f aca="false" ca="false" dt2D="false" dtr="false" t="normal">HEX2BIN(E148, 8)</f>
        <v>100000</v>
      </c>
      <c r="F149" s="53" t="n">
        <f aca="false" ca="false" dt2D="false" dtr="false" t="normal">HEX2BIN(F148, 8)</f>
        <v>100</v>
      </c>
      <c r="G149" s="53" t="n">
        <f aca="false" ca="false" dt2D="false" dtr="false" t="normal">HEX2BIN(G148, 8)</f>
        <v>100</v>
      </c>
      <c r="H149" s="53" t="n">
        <f aca="false" ca="false" dt2D="false" dtr="false" t="normal">HEX2BIN(H148, 8)</f>
        <v>0</v>
      </c>
      <c r="I149" s="53" t="n">
        <f aca="false" ca="false" dt2D="false" dtr="false" t="normal">HEX2BIN(I148, 8)</f>
        <v>0</v>
      </c>
      <c r="J149" s="53" t="n">
        <f aca="false" ca="false" dt2D="false" dtr="false" t="normal">HEX2BIN(J148, 8)</f>
        <v>0</v>
      </c>
      <c r="K149" s="53" t="n">
        <f aca="false" ca="false" dt2D="false" dtr="false" t="normal">HEX2BIN(K148, 8)</f>
        <v>0</v>
      </c>
      <c r="L149" s="53" t="n">
        <f aca="false" ca="false" dt2D="false" dtr="false" t="normal">HEX2BIN(L148, 8)</f>
        <v>0</v>
      </c>
      <c r="N149" s="63" t="n"/>
      <c r="P149" s="2168" t="s"/>
      <c r="Q149" s="2004" t="s"/>
      <c r="R149" s="2004" t="s"/>
      <c r="S149" s="2169" t="s"/>
      <c r="T149" s="2170" t="s"/>
      <c r="U149" s="142" t="s"/>
      <c r="V149" s="142" t="s"/>
      <c r="W149" s="2171" t="s"/>
      <c r="X149" s="2172" t="s"/>
      <c r="Y149" s="142" t="s"/>
      <c r="Z149" s="142" t="s"/>
      <c r="AA149" s="2173" t="s"/>
      <c r="AB149" s="2174" t="s"/>
      <c r="AC149" s="2004" t="s"/>
      <c r="AD149" s="2004" t="s"/>
      <c r="AE149" s="2175" t="s"/>
      <c r="AF149" s="2176" t="s"/>
      <c r="AG149" s="2004" t="s"/>
      <c r="AH149" s="2004" t="s"/>
      <c r="AI149" s="2177" t="s"/>
      <c r="AJ149" s="2178" t="s"/>
      <c r="AK149" s="2179" t="s"/>
    </row>
    <row customHeight="true" hidden="false" ht="15" outlineLevel="0" r="150">
      <c r="C150" s="98" t="s">
        <v>191</v>
      </c>
      <c r="D150" s="53" t="n">
        <f aca="false" ca="false" dt2D="false" dtr="false" t="normal">HEX2DEC(D148)</f>
        <v>7</v>
      </c>
      <c r="E150" s="53" t="n">
        <f aca="false" ca="false" dt2D="false" dtr="false" t="normal">HEX2DEC(E148)</f>
        <v>32</v>
      </c>
      <c r="F150" s="53" t="n">
        <f aca="false" ca="false" dt2D="false" dtr="false" t="normal">HEX2DEC(F148)</f>
        <v>4</v>
      </c>
      <c r="G150" s="53" t="n">
        <f aca="false" ca="false" dt2D="false" dtr="false" t="normal">HEX2DEC(G148)</f>
        <v>4</v>
      </c>
      <c r="H150" s="53" t="n">
        <f aca="false" ca="false" dt2D="false" dtr="false" t="normal">HEX2DEC(H148)</f>
        <v>0</v>
      </c>
      <c r="I150" s="53" t="n">
        <f aca="false" ca="false" dt2D="false" dtr="false" t="normal">HEX2DEC(I148)</f>
        <v>0</v>
      </c>
      <c r="J150" s="53" t="n">
        <f aca="false" ca="false" dt2D="false" dtr="false" t="normal">HEX2DEC(J148)</f>
        <v>0</v>
      </c>
      <c r="K150" s="53" t="n">
        <f aca="false" ca="false" dt2D="false" dtr="false" t="normal">HEX2DEC(K148)</f>
        <v>0</v>
      </c>
      <c r="L150" s="53" t="n">
        <f aca="false" ca="false" dt2D="false" dtr="false" t="normal">HEX2DEC(L148)</f>
        <v>0</v>
      </c>
      <c r="M150" s="53" t="n">
        <f aca="false" ca="false" dt2D="false" dtr="false" t="normal">SUM(D150:L150)</f>
        <v>47</v>
      </c>
      <c r="N150" s="63" t="n"/>
      <c r="P150" s="2180" t="s"/>
      <c r="Q150" s="2004" t="s"/>
      <c r="R150" s="2004" t="s"/>
      <c r="S150" s="2181" t="s"/>
      <c r="T150" s="2182" t="s"/>
      <c r="U150" s="142" t="s"/>
      <c r="V150" s="142" t="s"/>
      <c r="W150" s="2183" t="s"/>
      <c r="X150" s="2184" t="s"/>
      <c r="Y150" s="142" t="s"/>
      <c r="Z150" s="142" t="s"/>
      <c r="AA150" s="2185" t="s"/>
      <c r="AB150" s="2186" t="s"/>
      <c r="AC150" s="2004" t="s"/>
      <c r="AD150" s="2004" t="s"/>
      <c r="AE150" s="2187" t="s"/>
      <c r="AF150" s="2188" t="s"/>
      <c r="AG150" s="2004" t="s"/>
      <c r="AH150" s="2004" t="s"/>
      <c r="AI150" s="2189" t="s"/>
      <c r="AJ150" s="2190" t="s"/>
      <c r="AK150" s="2191" t="s"/>
    </row>
    <row customHeight="true" hidden="false" ht="15" outlineLevel="0" r="151">
      <c r="C151" s="98" t="s">
        <v>194</v>
      </c>
      <c r="D151" s="149" t="n">
        <f aca="false" ca="false" dt2D="false" dtr="false" t="normal">D148</f>
        <v>7</v>
      </c>
      <c r="E151" s="149" t="n">
        <f aca="false" ca="false" dt2D="false" dtr="false" t="normal">E148</f>
        <v>20</v>
      </c>
      <c r="F151" s="53" t="str">
        <f aca="false" ca="false" dt2D="false" dtr="false" t="normal">MID(INDEX($A$3:$A$70, IF(ISNA(MATCH("720G4G4*", $A$3:$A$70, 0))=TRUE, MATCH("7200404*", $A$3:$A$70, 0), MATCH("720G4G4*", $A$3:$A$70, 0))), $AS$8, 2)</f>
        <v>G4</v>
      </c>
      <c r="G151" s="53" t="str">
        <f aca="false" ca="false" dt2D="false" dtr="false" t="normal">MID(INDEX($A$3:$A$70, IF(ISNA(MATCH("720G4G4*", $A$3:$A$70, 0))=TRUE, MATCH("7200404*", $A$3:$A$70, 0), MATCH("720G4G4*", $A$3:$A$70, 0))), $AT$8, 2)</f>
        <v>G4</v>
      </c>
      <c r="N151" s="63" t="n"/>
      <c r="P151" s="2192" t="s"/>
      <c r="Q151" s="2004" t="s"/>
      <c r="R151" s="2004" t="s"/>
      <c r="S151" s="2193" t="s"/>
      <c r="T151" s="2194" t="s"/>
      <c r="U151" s="142" t="s"/>
      <c r="V151" s="142" t="s"/>
      <c r="W151" s="2195" t="s"/>
      <c r="X151" s="2196" t="s"/>
      <c r="Y151" s="142" t="s"/>
      <c r="Z151" s="142" t="s"/>
      <c r="AA151" s="2197" t="s"/>
      <c r="AB151" s="2198" t="s"/>
      <c r="AC151" s="2004" t="s"/>
      <c r="AD151" s="2004" t="s"/>
      <c r="AE151" s="2199" t="s"/>
      <c r="AF151" s="2200" t="s"/>
      <c r="AG151" s="2004" t="s"/>
      <c r="AH151" s="2004" t="s"/>
      <c r="AI151" s="2201" t="s"/>
      <c r="AJ151" s="2202" t="s"/>
      <c r="AK151" s="2203" t="s"/>
    </row>
    <row customHeight="true" hidden="false" ht="15.75" outlineLevel="0" r="152">
      <c r="C152" s="98" t="n"/>
      <c r="H152" s="1946" t="str">
        <f aca="false" ca="false" dt2D="false" dtr="false" t="normal">P148</f>
        <v/>
      </c>
      <c r="I152" s="1946" t="n"/>
      <c r="J152" s="1946" t="n"/>
      <c r="K152" s="1946" t="str">
        <f aca="false" ca="false" dt2D="false" dtr="false" t="normal">AB148</f>
        <v/>
      </c>
      <c r="L152" s="1946" t="str">
        <f aca="false" ca="false" dt2D="false" dtr="false" t="normal">AF148</f>
        <v/>
      </c>
      <c r="N152" s="63" t="n"/>
      <c r="P152" s="2204" t="s"/>
      <c r="Q152" s="2004" t="s"/>
      <c r="R152" s="2004" t="s"/>
      <c r="S152" s="2205" t="s"/>
      <c r="T152" s="2206" t="s"/>
      <c r="U152" s="142" t="s"/>
      <c r="V152" s="142" t="s"/>
      <c r="W152" s="2207" t="s"/>
      <c r="X152" s="2208" t="s"/>
      <c r="Y152" s="142" t="s"/>
      <c r="Z152" s="142" t="s"/>
      <c r="AA152" s="2209" t="s"/>
      <c r="AB152" s="2210" t="s"/>
      <c r="AC152" s="2004" t="s"/>
      <c r="AD152" s="2004" t="s"/>
      <c r="AE152" s="2211" t="s"/>
      <c r="AF152" s="2212" t="s"/>
      <c r="AG152" s="2004" t="s"/>
      <c r="AH152" s="2004" t="s"/>
      <c r="AI152" s="2213" t="s"/>
      <c r="AJ152" s="2214" t="s"/>
      <c r="AK152" s="2215" t="s"/>
    </row>
    <row customHeight="true" hidden="false" ht="15.75" outlineLevel="0" r="153">
      <c r="C153" s="98" t="s">
        <v>176</v>
      </c>
      <c r="D153" s="159" t="n">
        <f aca="false" ca="false" dt2D="false" dtr="false" t="normal">D148</f>
        <v>7</v>
      </c>
      <c r="E153" s="160" t="n">
        <f aca="false" ca="false" dt2D="false" dtr="false" t="normal">E148</f>
        <v>20</v>
      </c>
      <c r="F153" s="160" t="n">
        <f aca="false" ca="false" dt2D="false" dtr="false" t="normal">F148</f>
        <v>4</v>
      </c>
      <c r="G153" s="161" t="n">
        <f aca="false" ca="false" dt2D="false" dtr="false" t="normal">G148</f>
        <v>4</v>
      </c>
      <c r="H153" s="2216" t="n">
        <f aca="false" ca="false" dt2D="false" dtr="false" t="normal">IFERROR(VLOOKUP($P$148, $AU$36:$AV$71, 2, FALSE), "00")</f>
        <v>0</v>
      </c>
      <c r="I153" s="1916" t="n">
        <f aca="false" ca="false" dt2D="false" dtr="false" t="normal">I148</f>
        <v>0</v>
      </c>
      <c r="J153" s="2217" t="n">
        <f aca="false" ca="false" dt2D="false" dtr="false" t="normal">J148</f>
        <v>0</v>
      </c>
      <c r="K153" s="2053" t="n">
        <f aca="false" ca="false" dt2D="false" dtr="false" t="normal">IFERROR(VLOOKUP($AB$148, $AU$36:$AV$71, 2, FALSE), "00")</f>
        <v>0</v>
      </c>
      <c r="L153" s="2054" t="n">
        <f aca="false" ca="false" dt2D="false" dtr="false" t="normal">IFERROR(VLOOKUP($AF$148, $AU$36:$AV$71, 2, FALSE), "00")</f>
        <v>0</v>
      </c>
      <c r="M153" s="166" t="str">
        <f aca="false" ca="false" dt2D="false" dtr="false" t="normal">IF(LEN(M154)&gt;2, MID(M154, 2, 2), M154)</f>
        <v>2F</v>
      </c>
      <c r="N153" s="63" t="s">
        <v>181</v>
      </c>
      <c r="P153" s="2218" t="s"/>
      <c r="Q153" s="2004" t="s"/>
      <c r="R153" s="2004" t="s"/>
      <c r="S153" s="2219" t="s"/>
      <c r="T153" s="2220" t="s"/>
      <c r="U153" s="142" t="s"/>
      <c r="V153" s="142" t="s"/>
      <c r="W153" s="2221" t="s"/>
      <c r="X153" s="2222" t="s"/>
      <c r="Y153" s="142" t="s"/>
      <c r="Z153" s="142" t="s"/>
      <c r="AA153" s="2223" t="s"/>
      <c r="AB153" s="2224" t="s"/>
      <c r="AC153" s="2004" t="s"/>
      <c r="AD153" s="2004" t="s"/>
      <c r="AE153" s="2225" t="s"/>
      <c r="AF153" s="2226" t="s"/>
      <c r="AG153" s="2004" t="s"/>
      <c r="AH153" s="2004" t="s"/>
      <c r="AI153" s="2227" t="s"/>
      <c r="AJ153" s="2228" t="s"/>
      <c r="AK153" s="2229" t="s"/>
    </row>
    <row customHeight="true" hidden="false" ht="15" outlineLevel="0" r="154">
      <c r="C154" s="98" t="s">
        <v>185</v>
      </c>
      <c r="D154" s="53" t="n">
        <f aca="false" ca="false" dt2D="false" dtr="false" t="normal">HEX2BIN(D153, 8)</f>
        <v>111</v>
      </c>
      <c r="E154" s="53" t="n">
        <f aca="false" ca="false" dt2D="false" dtr="false" t="normal">HEX2BIN(E153, 8)</f>
        <v>100000</v>
      </c>
      <c r="F154" s="53" t="n">
        <f aca="false" ca="false" dt2D="false" dtr="false" t="normal">HEX2BIN(F153, 8)</f>
        <v>100</v>
      </c>
      <c r="G154" s="53" t="n">
        <f aca="false" ca="false" dt2D="false" dtr="false" t="normal">HEX2BIN(G153, 8)</f>
        <v>100</v>
      </c>
      <c r="H154" s="171" t="n"/>
      <c r="I154" s="53" t="n"/>
      <c r="J154" s="171" t="n"/>
      <c r="K154" s="171" t="n"/>
      <c r="L154" s="53" t="n"/>
      <c r="M154" s="53" t="str">
        <f aca="false" ca="false" dt2D="false" dtr="false" t="normal">DEC2HEX(M155)</f>
        <v>2F</v>
      </c>
      <c r="N154" s="63" t="n"/>
      <c r="P154" s="2230" t="s"/>
      <c r="Q154" s="2004" t="s"/>
      <c r="R154" s="2004" t="s"/>
      <c r="S154" s="2231" t="s"/>
      <c r="T154" s="2232" t="s"/>
      <c r="U154" s="142" t="s"/>
      <c r="V154" s="142" t="s"/>
      <c r="W154" s="2233" t="s"/>
      <c r="X154" s="2234" t="s"/>
      <c r="Y154" s="142" t="s"/>
      <c r="Z154" s="142" t="s"/>
      <c r="AA154" s="2235" t="s"/>
      <c r="AB154" s="2236" t="s"/>
      <c r="AC154" s="2004" t="s"/>
      <c r="AD154" s="2004" t="s"/>
      <c r="AE154" s="2237" t="s"/>
      <c r="AF154" s="2238" t="s"/>
      <c r="AG154" s="2004" t="s"/>
      <c r="AH154" s="2004" t="s"/>
      <c r="AI154" s="2239" t="s"/>
      <c r="AJ154" s="2240" t="s"/>
      <c r="AK154" s="2241" t="s"/>
    </row>
    <row customHeight="true" hidden="false" ht="15" outlineLevel="0" r="155">
      <c r="C155" s="98" t="s">
        <v>191</v>
      </c>
      <c r="D155" s="53" t="n">
        <f aca="false" ca="false" dt2D="false" dtr="false" t="normal">HEX2DEC(D153)</f>
        <v>7</v>
      </c>
      <c r="E155" s="53" t="n">
        <f aca="false" ca="false" dt2D="false" dtr="false" t="normal">HEX2DEC(E153)</f>
        <v>32</v>
      </c>
      <c r="F155" s="53" t="n">
        <f aca="false" ca="false" dt2D="false" dtr="false" t="normal">HEX2DEC(F153)</f>
        <v>4</v>
      </c>
      <c r="G155" s="53" t="n">
        <f aca="false" ca="false" dt2D="false" dtr="false" t="normal">HEX2DEC(G153)</f>
        <v>4</v>
      </c>
      <c r="H155" s="53" t="n">
        <f aca="false" ca="false" dt2D="false" dtr="false" t="normal">HEX2DEC(H153)</f>
        <v>0</v>
      </c>
      <c r="I155" s="53" t="n">
        <f aca="false" ca="false" dt2D="false" dtr="false" t="normal">HEX2DEC(I153)</f>
        <v>0</v>
      </c>
      <c r="J155" s="53" t="n">
        <f aca="false" ca="false" dt2D="false" dtr="false" t="normal">HEX2DEC(J153)</f>
        <v>0</v>
      </c>
      <c r="K155" s="53" t="n">
        <f aca="false" ca="false" dt2D="false" dtr="false" t="normal">HEX2DEC(K153)</f>
        <v>0</v>
      </c>
      <c r="L155" s="53" t="n">
        <f aca="false" ca="false" dt2D="false" dtr="false" t="normal">HEX2DEC(L153)</f>
        <v>0</v>
      </c>
      <c r="M155" s="53" t="n">
        <f aca="false" ca="false" dt2D="false" dtr="false" t="normal">SUM(D155:L155)</f>
        <v>47</v>
      </c>
      <c r="N155" s="63" t="n"/>
      <c r="P155" s="2242" t="s"/>
      <c r="Q155" s="2004" t="s"/>
      <c r="R155" s="2004" t="s"/>
      <c r="S155" s="2243" t="s"/>
      <c r="T155" s="2244" t="s"/>
      <c r="U155" s="142" t="s"/>
      <c r="V155" s="142" t="s"/>
      <c r="W155" s="2245" t="s"/>
      <c r="X155" s="2246" t="s"/>
      <c r="Y155" s="142" t="s"/>
      <c r="Z155" s="142" t="s"/>
      <c r="AA155" s="2247" t="s"/>
      <c r="AB155" s="2248" t="s"/>
      <c r="AC155" s="2004" t="s"/>
      <c r="AD155" s="2004" t="s"/>
      <c r="AE155" s="2249" t="s"/>
      <c r="AF155" s="2250" t="s"/>
      <c r="AG155" s="2004" t="s"/>
      <c r="AH155" s="2004" t="s"/>
      <c r="AI155" s="2251" t="s"/>
      <c r="AJ155" s="2252" t="s"/>
      <c r="AK155" s="2253" t="s"/>
    </row>
    <row customHeight="true" hidden="false" ht="15.75" outlineLevel="0" r="156">
      <c r="C156" s="180" t="s">
        <v>194</v>
      </c>
      <c r="D156" s="299" t="n">
        <f aca="false" ca="false" dt2D="false" dtr="false" t="normal">D151</f>
        <v>7</v>
      </c>
      <c r="E156" s="299" t="n">
        <f aca="false" ca="false" dt2D="false" dtr="false" t="normal">E151</f>
        <v>20</v>
      </c>
      <c r="F156" s="299" t="str">
        <f aca="false" ca="false" dt2D="false" dtr="false" t="normal">F151</f>
        <v>G4</v>
      </c>
      <c r="G156" s="299" t="str">
        <f aca="false" ca="false" dt2D="false" dtr="false" t="normal">G151</f>
        <v>G4</v>
      </c>
      <c r="H156" s="45" t="n"/>
      <c r="I156" s="45" t="n"/>
      <c r="J156" s="45" t="n"/>
      <c r="K156" s="45" t="n"/>
      <c r="L156" s="45" t="n"/>
      <c r="M156" s="45" t="n"/>
      <c r="N156" s="49" t="n"/>
      <c r="P156" s="2254" t="s"/>
      <c r="Q156" s="2255" t="s"/>
      <c r="R156" s="2256" t="s"/>
      <c r="S156" s="2257" t="s"/>
      <c r="T156" s="2258" t="s"/>
      <c r="U156" s="2259" t="s"/>
      <c r="V156" s="2260" t="s"/>
      <c r="W156" s="2261" t="s"/>
      <c r="X156" s="2262" t="s"/>
      <c r="Y156" s="2263" t="s"/>
      <c r="Z156" s="2264" t="s"/>
      <c r="AA156" s="2265" t="s"/>
      <c r="AB156" s="2266" t="s"/>
      <c r="AC156" s="2267" t="s"/>
      <c r="AD156" s="2268" t="s"/>
      <c r="AE156" s="2269" t="s"/>
      <c r="AF156" s="2270" t="s"/>
      <c r="AG156" s="2271" t="s"/>
      <c r="AH156" s="2272" t="s"/>
      <c r="AI156" s="2273" t="s"/>
      <c r="AJ156" s="2274" t="s"/>
      <c r="AK156" s="2275" t="s"/>
    </row>
    <row hidden="false" ht="15.75" outlineLevel="0" r="157">
      <c r="C157" s="93" t="n"/>
      <c r="D157" s="94" t="n"/>
      <c r="E157" s="94" t="n"/>
      <c r="F157" s="94" t="n"/>
      <c r="G157" s="94" t="n"/>
      <c r="H157" s="1946" t="str">
        <f aca="false" ca="false" dt2D="false" dtr="false" t="normal">AS44</f>
        <v/>
      </c>
      <c r="I157" s="1946" t="str">
        <f aca="false" ca="false" dt2D="false" dtr="false" t="normal">AS45</f>
        <v/>
      </c>
      <c r="J157" s="1946" t="str">
        <f aca="false" ca="false" dt2D="false" dtr="false" t="normal">AS46</f>
        <v/>
      </c>
      <c r="K157" s="1946" t="str">
        <f aca="false" ca="false" dt2D="false" dtr="false" t="normal">AS47</f>
        <v/>
      </c>
      <c r="L157" s="94" t="n"/>
      <c r="M157" s="94" t="s">
        <v>161</v>
      </c>
      <c r="N157" s="60" t="n"/>
      <c r="P157" s="95" t="str">
        <f aca="false" ca="false" dt2D="false" dtr="false" t="normal">RIGHT(D159, 1)&amp;E159&amp;"-"&amp;F159&amp;"-"&amp;G159</f>
        <v>720-04-05</v>
      </c>
      <c r="Q157" s="2276" t="s"/>
      <c r="R157" s="234" t="s">
        <v>1083</v>
      </c>
      <c r="S157" s="2277" t="s"/>
      <c r="T157" s="2278" t="s"/>
      <c r="U157" s="2279" t="s"/>
      <c r="V157" s="2280" t="s"/>
      <c r="W157" s="2281" t="s"/>
      <c r="X157" s="2282" t="s"/>
      <c r="Y157" s="2283" t="s"/>
      <c r="Z157" s="2284" t="s"/>
      <c r="AA157" s="2285" t="s"/>
      <c r="AB157" s="2286" t="s"/>
      <c r="AC157" s="2287" t="s"/>
      <c r="AD157" s="2288" t="s"/>
      <c r="AE157" s="2289" t="s"/>
      <c r="AF157" s="2290" t="s"/>
      <c r="AG157" s="2291" t="s"/>
      <c r="AH157" s="2292" t="s"/>
      <c r="AI157" s="2293" t="s"/>
      <c r="AJ157" s="2294" t="s"/>
      <c r="AK157" s="2295" t="s"/>
    </row>
    <row hidden="false" ht="15.75" outlineLevel="0" r="158">
      <c r="C158" s="98" t="n"/>
      <c r="D158" s="99" t="s">
        <v>1084</v>
      </c>
      <c r="E158" s="2296" t="s"/>
      <c r="F158" s="2297" t="s"/>
      <c r="G158" s="2298" t="s"/>
      <c r="H158" s="53" t="s">
        <v>165</v>
      </c>
      <c r="I158" s="53" t="s">
        <v>166</v>
      </c>
      <c r="J158" s="53" t="s">
        <v>167</v>
      </c>
      <c r="K158" s="53" t="s">
        <v>168</v>
      </c>
      <c r="L158" s="53" t="s">
        <v>169</v>
      </c>
      <c r="M158" s="53" t="s">
        <v>221</v>
      </c>
      <c r="N158" s="63" t="n"/>
      <c r="P158" s="103" t="s">
        <v>1085</v>
      </c>
      <c r="Q158" s="2299" t="s"/>
      <c r="R158" s="2300" t="s"/>
      <c r="S158" s="2301" t="s"/>
      <c r="T158" s="103" t="s">
        <v>1086</v>
      </c>
      <c r="U158" s="2302" t="s"/>
      <c r="V158" s="2303" t="s"/>
      <c r="W158" s="2304" t="s"/>
      <c r="X158" s="103" t="s">
        <v>1087</v>
      </c>
      <c r="Y158" s="2305" t="s"/>
      <c r="Z158" s="2306" t="s"/>
      <c r="AA158" s="2307" t="s"/>
      <c r="AB158" s="103" t="s">
        <v>1088</v>
      </c>
      <c r="AC158" s="2308" t="s"/>
      <c r="AD158" s="2309" t="s"/>
      <c r="AE158" s="2310" t="s"/>
      <c r="AF158" s="103" t="s">
        <v>1089</v>
      </c>
      <c r="AG158" s="2311" t="s"/>
      <c r="AH158" s="2312" t="s"/>
      <c r="AI158" s="2313" t="s"/>
      <c r="AJ158" s="116" t="s">
        <v>1090</v>
      </c>
      <c r="AK158" s="2314" t="s"/>
    </row>
    <row customHeight="true" hidden="false" ht="15.75" outlineLevel="0" r="159">
      <c r="C159" s="98" t="s">
        <v>176</v>
      </c>
      <c r="D159" s="122" t="s">
        <v>177</v>
      </c>
      <c r="E159" s="123" t="s">
        <v>693</v>
      </c>
      <c r="F159" s="123" t="s">
        <v>342</v>
      </c>
      <c r="G159" s="124" t="s">
        <v>347</v>
      </c>
      <c r="H159" s="1819" t="n">
        <f aca="false" ca="false" dt2D="false" dtr="false" ref="H159:H159" t="array">MID(INDEX($A$3:$A$70, IF(ISNA(MATCH("720G4G5*", $A$3:$A$70, 0))=TRUE, MATCH("7200405*", $A$3:$A$70, 0), MATCH("720G4G5*", $A$3:$A$70, 0))), $AU$8, 2)</f>
        <v>0</v>
      </c>
      <c r="I159" s="1820" t="n">
        <f aca="false" ca="false" dt2D="false" dtr="false" ref="I159:I159" t="array">MID(INDEX($A$3:$A$70, IF(ISNA(MATCH("720G4G5*", $A$3:$A$70, 0))=TRUE, MATCH("7200405*", $A$3:$A$70, 0), MATCH("720G4G5*", $A$3:$A$70, 0))), $AV$8, 2)</f>
        <v>0</v>
      </c>
      <c r="J159" s="164" t="n">
        <f aca="false" ca="false" dt2D="false" dtr="false" ref="J159:J159" t="array">MID(INDEX($A$3:$A$70, IF(ISNA(MATCH("720G4G5*", $A$3:$A$70, 0))=TRUE, MATCH("7200405*", $A$3:$A$70, 0), MATCH("720G4G5*", $A$3:$A$70, 0))), $AW$8, 2)</f>
        <v>0</v>
      </c>
      <c r="K159" s="1820" t="n">
        <f aca="false" ca="false" dt2D="false" dtr="false" ref="K159:K159" t="array">MID(INDEX($A$3:$A$70, IF(ISNA(MATCH("720G4G5*", $A$3:$A$70, 0))=TRUE, MATCH("7200405*", $A$3:$A$70, 0), MATCH("720G4G5*", $A$3:$A$70, 0))), $AX$8, 2)</f>
        <v>0</v>
      </c>
      <c r="L159" s="1821" t="n">
        <f aca="false" ca="false" dt2D="false" dtr="false" ref="L159:L159" t="array">MID(INDEX($A$3:$A$70, IF(ISNA(MATCH("720G4G5*", $A$3:$A$70, 0))=TRUE, MATCH("7200405*", $A$3:$A$70, 0), MATCH("720G4G5*", $A$3:$A$70, 0))), $AY$8, 2)</f>
        <v>0</v>
      </c>
      <c r="M159" s="218" t="n">
        <f aca="false" ca="false" dt2D="false" dtr="false" ref="M159:M159" t="array">MID(INDEX($A$3:$A$70, IF(ISNA(MATCH("720G4G5*", $A$3:$A$70, 0))=TRUE, MATCH("7200405*", $A$3:$A$70, 0), MATCH("720G4G5*", $A$3:$A$70, 0))), $AZ$8, 2)</f>
        <v>30</v>
      </c>
      <c r="N159" s="63" t="s">
        <v>180</v>
      </c>
      <c r="P159" s="1986" t="str">
        <f aca="false" ca="false" dt2D="false" dtr="false" t="normal">AS44</f>
        <v/>
      </c>
      <c r="Q159" s="2315" t="s"/>
      <c r="R159" s="2316" t="s"/>
      <c r="S159" s="2317" t="s"/>
      <c r="T159" s="1986" t="str">
        <f aca="false" ca="false" dt2D="false" dtr="false" t="normal">AS45</f>
        <v/>
      </c>
      <c r="U159" s="2318" t="s"/>
      <c r="V159" s="2319" t="s"/>
      <c r="W159" s="2320" t="s"/>
      <c r="X159" s="1986" t="str">
        <f aca="false" ca="false" dt2D="false" dtr="false" t="normal">AS46</f>
        <v/>
      </c>
      <c r="Y159" s="2321" t="s"/>
      <c r="Z159" s="2322" t="s"/>
      <c r="AA159" s="2323" t="s"/>
      <c r="AB159" s="1986" t="str">
        <f aca="false" ca="false" dt2D="false" dtr="false" t="normal">AS47</f>
        <v/>
      </c>
      <c r="AC159" s="2324" t="s"/>
      <c r="AD159" s="2325" t="s"/>
      <c r="AE159" s="2326" t="s"/>
      <c r="AF159" s="116" t="n"/>
      <c r="AG159" s="2327" t="s"/>
      <c r="AH159" s="2328" t="s"/>
      <c r="AI159" s="2329" t="s"/>
      <c r="AJ159" s="116" t="s">
        <v>183</v>
      </c>
      <c r="AK159" s="2330" t="s"/>
    </row>
    <row customHeight="true" hidden="false" ht="15" outlineLevel="0" r="160">
      <c r="C160" s="98" t="s">
        <v>185</v>
      </c>
      <c r="D160" s="53" t="n">
        <f aca="false" ca="false" dt2D="false" dtr="false" t="normal">HEX2BIN(D159, 8)</f>
        <v>111</v>
      </c>
      <c r="E160" s="53" t="n">
        <f aca="false" ca="false" dt2D="false" dtr="false" t="normal">HEX2BIN(E159, 8)</f>
        <v>100000</v>
      </c>
      <c r="F160" s="53" t="n">
        <f aca="false" ca="false" dt2D="false" dtr="false" t="normal">HEX2BIN(F159, 8)</f>
        <v>100</v>
      </c>
      <c r="G160" s="53" t="n">
        <f aca="false" ca="false" dt2D="false" dtr="false" t="normal">HEX2BIN(G159, 8)</f>
        <v>101</v>
      </c>
      <c r="H160" s="53" t="n">
        <f aca="false" ca="false" dt2D="false" dtr="false" t="normal">HEX2BIN(H159, 8)</f>
        <v>0</v>
      </c>
      <c r="I160" s="53" t="n">
        <f aca="false" ca="false" dt2D="false" dtr="false" t="normal">HEX2BIN(I159, 8)</f>
        <v>0</v>
      </c>
      <c r="J160" s="53" t="n">
        <f aca="false" ca="false" dt2D="false" dtr="false" t="normal">HEX2BIN(J159, 8)</f>
        <v>0</v>
      </c>
      <c r="K160" s="53" t="n">
        <f aca="false" ca="false" dt2D="false" dtr="false" t="normal">HEX2BIN(K159, 8)</f>
        <v>0</v>
      </c>
      <c r="L160" s="53" t="n">
        <f aca="false" ca="false" dt2D="false" dtr="false" t="normal">HEX2BIN(L159, 8)</f>
        <v>0</v>
      </c>
      <c r="N160" s="63" t="n"/>
      <c r="P160" s="2331" t="s"/>
      <c r="Q160" s="2004" t="s"/>
      <c r="R160" s="2004" t="s"/>
      <c r="S160" s="2332" t="s"/>
      <c r="T160" s="2333" t="s"/>
      <c r="U160" s="2004" t="s"/>
      <c r="V160" s="2004" t="s"/>
      <c r="W160" s="2334" t="s"/>
      <c r="X160" s="2335" t="s"/>
      <c r="Y160" s="2004" t="s"/>
      <c r="Z160" s="2004" t="s"/>
      <c r="AA160" s="2336" t="s"/>
      <c r="AB160" s="2337" t="s"/>
      <c r="AC160" s="2004" t="s"/>
      <c r="AD160" s="2004" t="s"/>
      <c r="AE160" s="2338" t="s"/>
      <c r="AF160" s="2339" t="s"/>
      <c r="AG160" s="142" t="s"/>
      <c r="AH160" s="142" t="s"/>
      <c r="AI160" s="2340" t="s"/>
      <c r="AJ160" s="2341" t="s"/>
      <c r="AK160" s="2342" t="s"/>
    </row>
    <row customHeight="true" hidden="false" ht="15" outlineLevel="0" r="161">
      <c r="C161" s="98" t="s">
        <v>191</v>
      </c>
      <c r="D161" s="53" t="n">
        <f aca="false" ca="false" dt2D="false" dtr="false" t="normal">HEX2DEC(D159)</f>
        <v>7</v>
      </c>
      <c r="E161" s="53" t="n">
        <f aca="false" ca="false" dt2D="false" dtr="false" t="normal">HEX2DEC(E159)</f>
        <v>32</v>
      </c>
      <c r="F161" s="53" t="n">
        <f aca="false" ca="false" dt2D="false" dtr="false" t="normal">HEX2DEC(F159)</f>
        <v>4</v>
      </c>
      <c r="G161" s="53" t="n">
        <f aca="false" ca="false" dt2D="false" dtr="false" t="normal">HEX2DEC(G159)</f>
        <v>5</v>
      </c>
      <c r="H161" s="53" t="n">
        <f aca="false" ca="false" dt2D="false" dtr="false" t="normal">HEX2DEC(H159)</f>
        <v>0</v>
      </c>
      <c r="I161" s="53" t="n">
        <f aca="false" ca="false" dt2D="false" dtr="false" t="normal">HEX2DEC(I159)</f>
        <v>0</v>
      </c>
      <c r="J161" s="53" t="n">
        <f aca="false" ca="false" dt2D="false" dtr="false" t="normal">HEX2DEC(J159)</f>
        <v>0</v>
      </c>
      <c r="K161" s="53" t="n">
        <f aca="false" ca="false" dt2D="false" dtr="false" t="normal">HEX2DEC(K159)</f>
        <v>0</v>
      </c>
      <c r="L161" s="53" t="n">
        <f aca="false" ca="false" dt2D="false" dtr="false" t="normal">HEX2DEC(L159)</f>
        <v>0</v>
      </c>
      <c r="M161" s="53" t="n">
        <f aca="false" ca="false" dt2D="false" dtr="false" t="normal">SUM(D161:L161)</f>
        <v>48</v>
      </c>
      <c r="N161" s="63" t="n"/>
      <c r="P161" s="2343" t="s"/>
      <c r="Q161" s="2004" t="s"/>
      <c r="R161" s="2004" t="s"/>
      <c r="S161" s="2344" t="s"/>
      <c r="T161" s="2345" t="s"/>
      <c r="U161" s="2004" t="s"/>
      <c r="V161" s="2004" t="s"/>
      <c r="W161" s="2346" t="s"/>
      <c r="X161" s="2347" t="s"/>
      <c r="Y161" s="2004" t="s"/>
      <c r="Z161" s="2004" t="s"/>
      <c r="AA161" s="2348" t="s"/>
      <c r="AB161" s="2349" t="s"/>
      <c r="AC161" s="2004" t="s"/>
      <c r="AD161" s="2004" t="s"/>
      <c r="AE161" s="2350" t="s"/>
      <c r="AF161" s="2351" t="s"/>
      <c r="AG161" s="142" t="s"/>
      <c r="AH161" s="142" t="s"/>
      <c r="AI161" s="2352" t="s"/>
      <c r="AJ161" s="2353" t="s"/>
      <c r="AK161" s="2354" t="s"/>
    </row>
    <row customHeight="true" hidden="false" ht="15" outlineLevel="0" r="162">
      <c r="C162" s="98" t="s">
        <v>194</v>
      </c>
      <c r="D162" s="149" t="n">
        <f aca="false" ca="false" dt2D="false" dtr="false" t="normal">D159</f>
        <v>7</v>
      </c>
      <c r="E162" s="149" t="n">
        <f aca="false" ca="false" dt2D="false" dtr="false" t="normal">E159</f>
        <v>20</v>
      </c>
      <c r="F162" s="53" t="str">
        <f aca="false" ca="false" dt2D="false" dtr="false" t="normal">MID(INDEX($A$3:$A$70, IF(ISNA(MATCH("720G4G5*", $A$3:$A$70, 0))=TRUE, MATCH("7200405*", $A$3:$A$70, 0), MATCH("720G4G5*", $A$3:$A$70, 0))), $AS$8, 2)</f>
        <v>G4</v>
      </c>
      <c r="G162" s="53" t="str">
        <f aca="false" ca="false" dt2D="false" dtr="false" t="normal">MID(INDEX($A$3:$A$70, IF(ISNA(MATCH("720G4G5*", $A$3:$A$70, 0))=TRUE, MATCH("7200405*", $A$3:$A$70, 0), MATCH("720G4G5*", $A$3:$A$70, 0))), $AT$8, 2)</f>
        <v>G5</v>
      </c>
      <c r="N162" s="63" t="n"/>
      <c r="P162" s="2355" t="s"/>
      <c r="Q162" s="2004" t="s"/>
      <c r="R162" s="2004" t="s"/>
      <c r="S162" s="2356" t="s"/>
      <c r="T162" s="2357" t="s"/>
      <c r="U162" s="2004" t="s"/>
      <c r="V162" s="2004" t="s"/>
      <c r="W162" s="2358" t="s"/>
      <c r="X162" s="2359" t="s"/>
      <c r="Y162" s="2004" t="s"/>
      <c r="Z162" s="2004" t="s"/>
      <c r="AA162" s="2360" t="s"/>
      <c r="AB162" s="2361" t="s"/>
      <c r="AC162" s="2004" t="s"/>
      <c r="AD162" s="2004" t="s"/>
      <c r="AE162" s="2362" t="s"/>
      <c r="AF162" s="2363" t="s"/>
      <c r="AG162" s="142" t="s"/>
      <c r="AH162" s="142" t="s"/>
      <c r="AI162" s="2364" t="s"/>
      <c r="AJ162" s="2365" t="s"/>
      <c r="AK162" s="2366" t="s"/>
    </row>
    <row customHeight="true" hidden="false" ht="15.75" outlineLevel="0" r="163">
      <c r="C163" s="98" t="n"/>
      <c r="H163" s="1946" t="str">
        <f aca="false" ca="false" dt2D="false" dtr="false" t="normal">P159</f>
        <v/>
      </c>
      <c r="I163" s="1946" t="str">
        <f aca="false" ca="false" dt2D="false" dtr="false" t="normal">T159</f>
        <v/>
      </c>
      <c r="J163" s="1946" t="str">
        <f aca="false" ca="false" dt2D="false" dtr="false" t="normal">X159</f>
        <v/>
      </c>
      <c r="K163" s="1946" t="str">
        <f aca="false" ca="false" dt2D="false" dtr="false" t="normal">AB159</f>
        <v/>
      </c>
      <c r="N163" s="63" t="n"/>
      <c r="P163" s="2367" t="s"/>
      <c r="Q163" s="2004" t="s"/>
      <c r="R163" s="2004" t="s"/>
      <c r="S163" s="2368" t="s"/>
      <c r="T163" s="2369" t="s"/>
      <c r="U163" s="2004" t="s"/>
      <c r="V163" s="2004" t="s"/>
      <c r="W163" s="2370" t="s"/>
      <c r="X163" s="2371" t="s"/>
      <c r="Y163" s="2004" t="s"/>
      <c r="Z163" s="2004" t="s"/>
      <c r="AA163" s="2372" t="s"/>
      <c r="AB163" s="2373" t="s"/>
      <c r="AC163" s="2004" t="s"/>
      <c r="AD163" s="2004" t="s"/>
      <c r="AE163" s="2374" t="s"/>
      <c r="AF163" s="2375" t="s"/>
      <c r="AG163" s="142" t="s"/>
      <c r="AH163" s="142" t="s"/>
      <c r="AI163" s="2376" t="s"/>
      <c r="AJ163" s="2377" t="s"/>
      <c r="AK163" s="2378" t="s"/>
    </row>
    <row customHeight="true" hidden="false" ht="15.75" outlineLevel="0" r="164">
      <c r="C164" s="98" t="s">
        <v>176</v>
      </c>
      <c r="D164" s="159" t="n">
        <f aca="false" ca="false" dt2D="false" dtr="false" t="normal">D159</f>
        <v>7</v>
      </c>
      <c r="E164" s="160" t="n">
        <f aca="false" ca="false" dt2D="false" dtr="false" t="normal">E159</f>
        <v>20</v>
      </c>
      <c r="F164" s="160" t="n">
        <f aca="false" ca="false" dt2D="false" dtr="false" t="normal">F159</f>
        <v>4</v>
      </c>
      <c r="G164" s="161" t="n">
        <f aca="false" ca="false" dt2D="false" dtr="false" t="normal">G159</f>
        <v>5</v>
      </c>
      <c r="H164" s="2052" t="n">
        <f aca="false" ca="false" dt2D="false" dtr="false" t="normal">IFERROR(VLOOKUP($P$159, $AU$36:$AV$71, 2, FALSE), "00")</f>
        <v>0</v>
      </c>
      <c r="I164" s="2053" t="n">
        <f aca="false" ca="false" dt2D="false" dtr="false" t="normal">IFERROR(VLOOKUP($T$159, $AU$36:$AV$71, 2, FALSE), "00")</f>
        <v>0</v>
      </c>
      <c r="J164" s="2053" t="n">
        <f aca="false" ca="false" dt2D="false" dtr="false" t="normal">IFERROR(VLOOKUP($X$159, $AU$36:$AV$71, 2, FALSE), "00")</f>
        <v>0</v>
      </c>
      <c r="K164" s="2053" t="n">
        <f aca="false" ca="false" dt2D="false" dtr="false" t="normal">IFERROR(VLOOKUP($AB$159, $AU$36:$AV$71, 2, FALSE), "00")</f>
        <v>0</v>
      </c>
      <c r="L164" s="1917" t="n">
        <f aca="false" ca="false" dt2D="false" dtr="false" t="normal">L159</f>
        <v>0</v>
      </c>
      <c r="M164" s="166" t="n">
        <f aca="false" ca="false" dt2D="false" dtr="false" t="normal">IF(LEN(M165)&gt;2, MID(M165, 2, 2), M165)</f>
        <v>30</v>
      </c>
      <c r="N164" s="63" t="s">
        <v>181</v>
      </c>
      <c r="P164" s="2379" t="s"/>
      <c r="Q164" s="2004" t="s"/>
      <c r="R164" s="2004" t="s"/>
      <c r="S164" s="2380" t="s"/>
      <c r="T164" s="2381" t="s"/>
      <c r="U164" s="2004" t="s"/>
      <c r="V164" s="2004" t="s"/>
      <c r="W164" s="2382" t="s"/>
      <c r="X164" s="2383" t="s"/>
      <c r="Y164" s="2004" t="s"/>
      <c r="Z164" s="2004" t="s"/>
      <c r="AA164" s="2384" t="s"/>
      <c r="AB164" s="2385" t="s"/>
      <c r="AC164" s="2004" t="s"/>
      <c r="AD164" s="2004" t="s"/>
      <c r="AE164" s="2386" t="s"/>
      <c r="AF164" s="2387" t="s"/>
      <c r="AG164" s="142" t="s"/>
      <c r="AH164" s="142" t="s"/>
      <c r="AI164" s="2388" t="s"/>
      <c r="AJ164" s="2389" t="s"/>
      <c r="AK164" s="2390" t="s"/>
    </row>
    <row customHeight="true" hidden="false" ht="15" outlineLevel="0" r="165">
      <c r="C165" s="98" t="s">
        <v>185</v>
      </c>
      <c r="D165" s="53" t="n">
        <f aca="false" ca="false" dt2D="false" dtr="false" t="normal">HEX2BIN(D164, 8)</f>
        <v>111</v>
      </c>
      <c r="E165" s="53" t="n">
        <f aca="false" ca="false" dt2D="false" dtr="false" t="normal">HEX2BIN(E164, 8)</f>
        <v>100000</v>
      </c>
      <c r="F165" s="53" t="n">
        <f aca="false" ca="false" dt2D="false" dtr="false" t="normal">HEX2BIN(F164, 8)</f>
        <v>100</v>
      </c>
      <c r="G165" s="53" t="n">
        <f aca="false" ca="false" dt2D="false" dtr="false" t="normal">HEX2BIN(G164, 8)</f>
        <v>101</v>
      </c>
      <c r="H165" s="171" t="n"/>
      <c r="I165" s="53" t="n"/>
      <c r="J165" s="171" t="n"/>
      <c r="K165" s="171" t="n"/>
      <c r="L165" s="53" t="n"/>
      <c r="M165" s="53" t="n">
        <f aca="false" ca="false" dt2D="false" dtr="false" t="normal">DEC2HEX(M166)</f>
        <v>30</v>
      </c>
      <c r="N165" s="63" t="n"/>
      <c r="P165" s="2391" t="s"/>
      <c r="Q165" s="2004" t="s"/>
      <c r="R165" s="2004" t="s"/>
      <c r="S165" s="2392" t="s"/>
      <c r="T165" s="2393" t="s"/>
      <c r="U165" s="2004" t="s"/>
      <c r="V165" s="2004" t="s"/>
      <c r="W165" s="2394" t="s"/>
      <c r="X165" s="2395" t="s"/>
      <c r="Y165" s="2004" t="s"/>
      <c r="Z165" s="2004" t="s"/>
      <c r="AA165" s="2396" t="s"/>
      <c r="AB165" s="2397" t="s"/>
      <c r="AC165" s="2004" t="s"/>
      <c r="AD165" s="2004" t="s"/>
      <c r="AE165" s="2398" t="s"/>
      <c r="AF165" s="2399" t="s"/>
      <c r="AG165" s="142" t="s"/>
      <c r="AH165" s="142" t="s"/>
      <c r="AI165" s="2400" t="s"/>
      <c r="AJ165" s="2401" t="s"/>
      <c r="AK165" s="2402" t="s"/>
    </row>
    <row customHeight="true" hidden="false" ht="15" outlineLevel="0" r="166">
      <c r="C166" s="98" t="s">
        <v>191</v>
      </c>
      <c r="D166" s="53" t="n">
        <f aca="false" ca="false" dt2D="false" dtr="false" t="normal">HEX2DEC(D164)</f>
        <v>7</v>
      </c>
      <c r="E166" s="53" t="n">
        <f aca="false" ca="false" dt2D="false" dtr="false" t="normal">HEX2DEC(E164)</f>
        <v>32</v>
      </c>
      <c r="F166" s="53" t="n">
        <f aca="false" ca="false" dt2D="false" dtr="false" t="normal">HEX2DEC(F164)</f>
        <v>4</v>
      </c>
      <c r="G166" s="53" t="n">
        <f aca="false" ca="false" dt2D="false" dtr="false" t="normal">HEX2DEC(G164)</f>
        <v>5</v>
      </c>
      <c r="H166" s="53" t="n">
        <f aca="false" ca="false" dt2D="false" dtr="false" t="normal">HEX2DEC(H164)</f>
        <v>0</v>
      </c>
      <c r="I166" s="53" t="n">
        <f aca="false" ca="false" dt2D="false" dtr="false" t="normal">HEX2DEC(I164)</f>
        <v>0</v>
      </c>
      <c r="J166" s="53" t="n">
        <f aca="false" ca="false" dt2D="false" dtr="false" t="normal">HEX2DEC(J164)</f>
        <v>0</v>
      </c>
      <c r="K166" s="53" t="n">
        <f aca="false" ca="false" dt2D="false" dtr="false" t="normal">HEX2DEC(K164)</f>
        <v>0</v>
      </c>
      <c r="L166" s="53" t="n">
        <f aca="false" ca="false" dt2D="false" dtr="false" t="normal">HEX2DEC(L164)</f>
        <v>0</v>
      </c>
      <c r="M166" s="53" t="n">
        <f aca="false" ca="false" dt2D="false" dtr="false" t="normal">SUM(D166:L166)</f>
        <v>48</v>
      </c>
      <c r="N166" s="63" t="n"/>
      <c r="P166" s="2403" t="s"/>
      <c r="Q166" s="2004" t="s"/>
      <c r="R166" s="2004" t="s"/>
      <c r="S166" s="2404" t="s"/>
      <c r="T166" s="2405" t="s"/>
      <c r="U166" s="2004" t="s"/>
      <c r="V166" s="2004" t="s"/>
      <c r="W166" s="2406" t="s"/>
      <c r="X166" s="2407" t="s"/>
      <c r="Y166" s="2004" t="s"/>
      <c r="Z166" s="2004" t="s"/>
      <c r="AA166" s="2408" t="s"/>
      <c r="AB166" s="2409" t="s"/>
      <c r="AC166" s="2004" t="s"/>
      <c r="AD166" s="2004" t="s"/>
      <c r="AE166" s="2410" t="s"/>
      <c r="AF166" s="2411" t="s"/>
      <c r="AG166" s="142" t="s"/>
      <c r="AH166" s="142" t="s"/>
      <c r="AI166" s="2412" t="s"/>
      <c r="AJ166" s="2413" t="s"/>
      <c r="AK166" s="2414" t="s"/>
    </row>
    <row customHeight="true" hidden="false" ht="15.75" outlineLevel="0" r="167">
      <c r="C167" s="180" t="s">
        <v>194</v>
      </c>
      <c r="D167" s="299" t="n">
        <f aca="false" ca="false" dt2D="false" dtr="false" t="normal">D162</f>
        <v>7</v>
      </c>
      <c r="E167" s="299" t="n">
        <f aca="false" ca="false" dt2D="false" dtr="false" t="normal">E162</f>
        <v>20</v>
      </c>
      <c r="F167" s="299" t="str">
        <f aca="false" ca="false" dt2D="false" dtr="false" t="normal">F162</f>
        <v>G4</v>
      </c>
      <c r="G167" s="299" t="str">
        <f aca="false" ca="false" dt2D="false" dtr="false" t="normal">G162</f>
        <v>G5</v>
      </c>
      <c r="H167" s="45" t="n"/>
      <c r="I167" s="45" t="n"/>
      <c r="J167" s="45" t="n"/>
      <c r="K167" s="45" t="n"/>
      <c r="L167" s="45" t="n"/>
      <c r="M167" s="45" t="n"/>
      <c r="N167" s="49" t="n"/>
      <c r="P167" s="2415" t="s"/>
      <c r="Q167" s="2416" t="s"/>
      <c r="R167" s="2417" t="s"/>
      <c r="S167" s="2418" t="s"/>
      <c r="T167" s="2419" t="s"/>
      <c r="U167" s="2420" t="s"/>
      <c r="V167" s="2421" t="s"/>
      <c r="W167" s="2422" t="s"/>
      <c r="X167" s="2423" t="s"/>
      <c r="Y167" s="2424" t="s"/>
      <c r="Z167" s="2425" t="s"/>
      <c r="AA167" s="2426" t="s"/>
      <c r="AB167" s="2427" t="s"/>
      <c r="AC167" s="2428" t="s"/>
      <c r="AD167" s="2429" t="s"/>
      <c r="AE167" s="2430" t="s"/>
      <c r="AF167" s="2431" t="s"/>
      <c r="AG167" s="2432" t="s"/>
      <c r="AH167" s="2433" t="s"/>
      <c r="AI167" s="2434" t="s"/>
      <c r="AJ167" s="2435" t="s"/>
      <c r="AK167" s="2436" t="s"/>
    </row>
    <row hidden="false" ht="15.75" outlineLevel="0" r="168">
      <c r="C168" s="93" t="n"/>
      <c r="D168" s="94" t="n"/>
      <c r="E168" s="94" t="n"/>
      <c r="F168" s="94" t="n"/>
      <c r="G168" s="94" t="n"/>
      <c r="H168" s="94" t="n"/>
      <c r="I168" s="1946" t="str">
        <f aca="false" ca="false" dt2D="false" dtr="false" t="normal">AS48</f>
        <v/>
      </c>
      <c r="J168" s="1946" t="str">
        <f aca="false" ca="false" dt2D="false" dtr="false" t="normal">AS49</f>
        <v/>
      </c>
      <c r="K168" s="1946" t="str">
        <f aca="false" ca="false" dt2D="false" dtr="false" t="normal">AS50</f>
        <v/>
      </c>
      <c r="L168" s="1946" t="str">
        <f aca="false" ca="false" dt2D="false" dtr="false" t="normal">AS51</f>
        <v/>
      </c>
      <c r="M168" s="94" t="s">
        <v>161</v>
      </c>
      <c r="N168" s="60" t="n"/>
      <c r="P168" s="95" t="str">
        <f aca="false" ca="false" dt2D="false" dtr="false" t="normal">RIGHT(D170, 1)&amp;E170&amp;"-"&amp;F170&amp;"-"&amp;G170</f>
        <v>720-04-06</v>
      </c>
      <c r="Q168" s="2437" t="s"/>
      <c r="R168" s="234" t="s">
        <v>1091</v>
      </c>
      <c r="S168" s="2438" t="s"/>
      <c r="T168" s="2439" t="s"/>
      <c r="U168" s="2440" t="s"/>
      <c r="V168" s="2441" t="s"/>
      <c r="W168" s="2442" t="s"/>
      <c r="X168" s="2443" t="s"/>
      <c r="Y168" s="2444" t="s"/>
      <c r="Z168" s="2445" t="s"/>
      <c r="AA168" s="2446" t="s"/>
      <c r="AB168" s="2447" t="s"/>
      <c r="AC168" s="2448" t="s"/>
      <c r="AD168" s="2449" t="s"/>
      <c r="AE168" s="2450" t="s"/>
      <c r="AF168" s="2451" t="s"/>
      <c r="AG168" s="2452" t="s"/>
      <c r="AH168" s="2453" t="s"/>
      <c r="AI168" s="2454" t="s"/>
      <c r="AJ168" s="2455" t="s"/>
      <c r="AK168" s="2456" t="s"/>
    </row>
    <row hidden="false" ht="15.75" outlineLevel="0" r="169">
      <c r="C169" s="98" t="n"/>
      <c r="D169" s="99" t="s">
        <v>1092</v>
      </c>
      <c r="E169" s="2457" t="s"/>
      <c r="F169" s="2458" t="s"/>
      <c r="G169" s="2459" t="s"/>
      <c r="H169" s="53" t="s">
        <v>165</v>
      </c>
      <c r="I169" s="53" t="s">
        <v>166</v>
      </c>
      <c r="J169" s="53" t="s">
        <v>167</v>
      </c>
      <c r="K169" s="53" t="s">
        <v>168</v>
      </c>
      <c r="L169" s="53" t="s">
        <v>169</v>
      </c>
      <c r="M169" s="53" t="s">
        <v>221</v>
      </c>
      <c r="N169" s="63" t="n"/>
      <c r="P169" s="103" t="s">
        <v>1093</v>
      </c>
      <c r="Q169" s="2460" t="s"/>
      <c r="R169" s="2461" t="s"/>
      <c r="S169" s="2462" t="s"/>
      <c r="T169" s="103" t="s">
        <v>1094</v>
      </c>
      <c r="U169" s="2463" t="s"/>
      <c r="V169" s="2464" t="s"/>
      <c r="W169" s="2465" t="s"/>
      <c r="X169" s="103" t="s">
        <v>1095</v>
      </c>
      <c r="Y169" s="2466" t="s"/>
      <c r="Z169" s="2467" t="s"/>
      <c r="AA169" s="2468" t="s"/>
      <c r="AB169" s="103" t="s">
        <v>1096</v>
      </c>
      <c r="AC169" s="2469" t="s"/>
      <c r="AD169" s="2470" t="s"/>
      <c r="AE169" s="2471" t="s"/>
      <c r="AF169" s="103" t="s">
        <v>1097</v>
      </c>
      <c r="AG169" s="2472" t="s"/>
      <c r="AH169" s="2473" t="s"/>
      <c r="AI169" s="2474" t="s"/>
      <c r="AJ169" s="116" t="s">
        <v>1098</v>
      </c>
      <c r="AK169" s="2475" t="s"/>
    </row>
    <row customHeight="true" hidden="false" ht="15.75" outlineLevel="0" r="170">
      <c r="C170" s="98" t="s">
        <v>176</v>
      </c>
      <c r="D170" s="122" t="s">
        <v>177</v>
      </c>
      <c r="E170" s="123" t="s">
        <v>693</v>
      </c>
      <c r="F170" s="123" t="s">
        <v>342</v>
      </c>
      <c r="G170" s="124" t="s">
        <v>358</v>
      </c>
      <c r="H170" s="164" t="n">
        <f aca="false" ca="false" dt2D="false" dtr="false" ref="H170:H170" t="array">MID(INDEX($A$3:$A$70, IF(ISNA(MATCH("720G4G6*", $A$3:$A$70, 0))=TRUE, MATCH("7200406*", $A$3:$A$70, 0), MATCH("720G4G6*", $A$3:$A$70, 0))), $AU$8, 2)</f>
        <v>0</v>
      </c>
      <c r="I170" s="1820" t="n">
        <f aca="false" ca="false" dt2D="false" dtr="false" ref="I170:I170" t="array">MID(INDEX($A$3:$A$70, IF(ISNA(MATCH("720G4G6*", $A$3:$A$70, 0))=TRUE, MATCH("7200406*", $A$3:$A$70, 0), MATCH("720G4G6*", $A$3:$A$70, 0))), $AV$8, 2)</f>
        <v>0</v>
      </c>
      <c r="J170" s="1820" t="n">
        <f aca="false" ca="false" dt2D="false" dtr="false" ref="J170:J170" t="array">MID(INDEX($A$3:$A$70, IF(ISNA(MATCH("720G4G6*", $A$3:$A$70, 0))=TRUE, MATCH("7200406*", $A$3:$A$70, 0), MATCH("720G4G6*", $A$3:$A$70, 0))), $AW$8, 2)</f>
        <v>0</v>
      </c>
      <c r="K170" s="1821" t="n">
        <f aca="false" ca="false" dt2D="false" dtr="false" ref="K170:K170" t="array">MID(INDEX($A$3:$A$70, IF(ISNA(MATCH("720G4G6*", $A$3:$A$70, 0))=TRUE, MATCH("7200406*", $A$3:$A$70, 0), MATCH("720G4G6*", $A$3:$A$70, 0))), $AX$8, 2)</f>
        <v>0</v>
      </c>
      <c r="L170" s="1821" t="n">
        <f aca="false" ca="false" dt2D="false" dtr="false" ref="L170:L170" t="array">MID(INDEX($A$3:$A$70, IF(ISNA(MATCH("720G4G6*", $A$3:$A$70, 0))=TRUE, MATCH("7200406*", $A$3:$A$70, 0), MATCH("720G4G6*", $A$3:$A$70, 0))), $AY$8, 2)</f>
        <v>0</v>
      </c>
      <c r="M170" s="218" t="n">
        <f aca="false" ca="false" dt2D="false" dtr="false" ref="M170:M170" t="array">MID(INDEX($A$3:$A$70, IF(ISNA(MATCH("720G4G6*", $A$3:$A$70, 0))=TRUE, MATCH("7200406*", $A$3:$A$70, 0), MATCH("720G4G6*", $A$3:$A$70, 0))), $AZ$8, 2)</f>
        <v>31</v>
      </c>
      <c r="N170" s="63" t="s">
        <v>180</v>
      </c>
      <c r="P170" s="116" t="n"/>
      <c r="Q170" s="2476" t="s"/>
      <c r="R170" s="2477" t="s"/>
      <c r="S170" s="2478" t="s"/>
      <c r="T170" s="1986" t="str">
        <f aca="false" ca="false" dt2D="false" dtr="false" t="normal">AS48</f>
        <v/>
      </c>
      <c r="U170" s="2479" t="s"/>
      <c r="V170" s="2480" t="s"/>
      <c r="W170" s="2481" t="s"/>
      <c r="X170" s="1986" t="str">
        <f aca="false" ca="false" dt2D="false" dtr="false" t="normal">AS49</f>
        <v/>
      </c>
      <c r="Y170" s="2482" t="s"/>
      <c r="Z170" s="2483" t="s"/>
      <c r="AA170" s="2484" t="s"/>
      <c r="AB170" s="1986" t="str">
        <f aca="false" ca="false" dt2D="false" dtr="false" t="normal">AS50</f>
        <v/>
      </c>
      <c r="AC170" s="2485" t="s"/>
      <c r="AD170" s="2486" t="s"/>
      <c r="AE170" s="2487" t="s"/>
      <c r="AF170" s="1986" t="str">
        <f aca="false" ca="false" dt2D="false" dtr="false" t="normal">AS51</f>
        <v/>
      </c>
      <c r="AG170" s="2488" t="s"/>
      <c r="AH170" s="2489" t="s"/>
      <c r="AI170" s="2490" t="s"/>
      <c r="AJ170" s="116" t="s">
        <v>183</v>
      </c>
      <c r="AK170" s="2491" t="s"/>
    </row>
    <row customHeight="true" hidden="false" ht="15" outlineLevel="0" r="171">
      <c r="C171" s="98" t="s">
        <v>185</v>
      </c>
      <c r="D171" s="53" t="n">
        <f aca="false" ca="false" dt2D="false" dtr="false" t="normal">HEX2BIN(D170, 8)</f>
        <v>111</v>
      </c>
      <c r="E171" s="53" t="n">
        <f aca="false" ca="false" dt2D="false" dtr="false" t="normal">HEX2BIN(E170, 8)</f>
        <v>100000</v>
      </c>
      <c r="F171" s="53" t="n">
        <f aca="false" ca="false" dt2D="false" dtr="false" t="normal">HEX2BIN(F170, 8)</f>
        <v>100</v>
      </c>
      <c r="G171" s="53" t="n">
        <f aca="false" ca="false" dt2D="false" dtr="false" t="normal">HEX2BIN(G170, 8)</f>
        <v>110</v>
      </c>
      <c r="H171" s="53" t="n">
        <f aca="false" ca="false" dt2D="false" dtr="false" t="normal">HEX2BIN(H170, 8)</f>
        <v>0</v>
      </c>
      <c r="I171" s="53" t="n">
        <f aca="false" ca="false" dt2D="false" dtr="false" t="normal">HEX2BIN(I170, 8)</f>
        <v>0</v>
      </c>
      <c r="J171" s="53" t="n">
        <f aca="false" ca="false" dt2D="false" dtr="false" t="normal">HEX2BIN(J170, 8)</f>
        <v>0</v>
      </c>
      <c r="K171" s="53" t="n">
        <f aca="false" ca="false" dt2D="false" dtr="false" t="normal">HEX2BIN(K170, 8)</f>
        <v>0</v>
      </c>
      <c r="L171" s="53" t="n">
        <f aca="false" ca="false" dt2D="false" dtr="false" t="normal">HEX2BIN(L170, 8)</f>
        <v>0</v>
      </c>
      <c r="N171" s="63" t="n"/>
      <c r="P171" s="2492" t="s"/>
      <c r="Q171" s="142" t="s"/>
      <c r="R171" s="142" t="s"/>
      <c r="S171" s="2493" t="s"/>
      <c r="T171" s="2494" t="s"/>
      <c r="U171" s="2004" t="s"/>
      <c r="V171" s="2004" t="s"/>
      <c r="W171" s="2495" t="s"/>
      <c r="X171" s="2496" t="s"/>
      <c r="Y171" s="2004" t="s"/>
      <c r="Z171" s="2004" t="s"/>
      <c r="AA171" s="2497" t="s"/>
      <c r="AB171" s="2498" t="s"/>
      <c r="AC171" s="2004" t="s"/>
      <c r="AD171" s="2004" t="s"/>
      <c r="AE171" s="2499" t="s"/>
      <c r="AF171" s="2500" t="s"/>
      <c r="AG171" s="2004" t="s"/>
      <c r="AH171" s="2004" t="s"/>
      <c r="AI171" s="2501" t="s"/>
      <c r="AJ171" s="2502" t="s"/>
      <c r="AK171" s="2503" t="s"/>
    </row>
    <row customHeight="true" hidden="false" ht="15" outlineLevel="0" r="172">
      <c r="C172" s="98" t="s">
        <v>191</v>
      </c>
      <c r="D172" s="53" t="n">
        <f aca="false" ca="false" dt2D="false" dtr="false" t="normal">HEX2DEC(D170)</f>
        <v>7</v>
      </c>
      <c r="E172" s="53" t="n">
        <f aca="false" ca="false" dt2D="false" dtr="false" t="normal">HEX2DEC(E170)</f>
        <v>32</v>
      </c>
      <c r="F172" s="53" t="n">
        <f aca="false" ca="false" dt2D="false" dtr="false" t="normal">HEX2DEC(F170)</f>
        <v>4</v>
      </c>
      <c r="G172" s="53" t="n">
        <f aca="false" ca="false" dt2D="false" dtr="false" t="normal">HEX2DEC(G170)</f>
        <v>6</v>
      </c>
      <c r="H172" s="53" t="n">
        <f aca="false" ca="false" dt2D="false" dtr="false" t="normal">HEX2DEC(H170)</f>
        <v>0</v>
      </c>
      <c r="I172" s="53" t="n">
        <f aca="false" ca="false" dt2D="false" dtr="false" t="normal">HEX2DEC(I170)</f>
        <v>0</v>
      </c>
      <c r="J172" s="53" t="n">
        <f aca="false" ca="false" dt2D="false" dtr="false" t="normal">HEX2DEC(J170)</f>
        <v>0</v>
      </c>
      <c r="K172" s="53" t="n">
        <f aca="false" ca="false" dt2D="false" dtr="false" t="normal">HEX2DEC(K170)</f>
        <v>0</v>
      </c>
      <c r="L172" s="53" t="n">
        <f aca="false" ca="false" dt2D="false" dtr="false" t="normal">HEX2DEC(L170)</f>
        <v>0</v>
      </c>
      <c r="M172" s="53" t="n">
        <f aca="false" ca="false" dt2D="false" dtr="false" t="normal">SUM(D172:L172)</f>
        <v>49</v>
      </c>
      <c r="N172" s="63" t="n"/>
      <c r="P172" s="2504" t="s"/>
      <c r="Q172" s="142" t="s"/>
      <c r="R172" s="142" t="s"/>
      <c r="S172" s="2505" t="s"/>
      <c r="T172" s="2506" t="s"/>
      <c r="U172" s="2004" t="s"/>
      <c r="V172" s="2004" t="s"/>
      <c r="W172" s="2507" t="s"/>
      <c r="X172" s="2508" t="s"/>
      <c r="Y172" s="2004" t="s"/>
      <c r="Z172" s="2004" t="s"/>
      <c r="AA172" s="2509" t="s"/>
      <c r="AB172" s="2510" t="s"/>
      <c r="AC172" s="2004" t="s"/>
      <c r="AD172" s="2004" t="s"/>
      <c r="AE172" s="2511" t="s"/>
      <c r="AF172" s="2512" t="s"/>
      <c r="AG172" s="2004" t="s"/>
      <c r="AH172" s="2004" t="s"/>
      <c r="AI172" s="2513" t="s"/>
      <c r="AJ172" s="2514" t="s"/>
      <c r="AK172" s="2515" t="s"/>
    </row>
    <row customHeight="true" hidden="false" ht="15" outlineLevel="0" r="173">
      <c r="C173" s="98" t="s">
        <v>194</v>
      </c>
      <c r="D173" s="149" t="n">
        <f aca="false" ca="false" dt2D="false" dtr="false" t="normal">D170</f>
        <v>7</v>
      </c>
      <c r="E173" s="149" t="n">
        <f aca="false" ca="false" dt2D="false" dtr="false" t="normal">E170</f>
        <v>20</v>
      </c>
      <c r="F173" s="53" t="str">
        <f aca="false" ca="false" dt2D="false" dtr="false" t="normal">MID(INDEX($A$3:$A$70, IF(ISNA(MATCH("720G4G6*", $A$3:$A$70, 0))=TRUE, MATCH("7200406*", $A$3:$A$70, 0), MATCH("720G4G6*", $A$3:$A$70, 0))), $AS$8, 2)</f>
        <v>G4</v>
      </c>
      <c r="G173" s="53" t="str">
        <f aca="false" ca="false" dt2D="false" dtr="false" t="normal">MID(INDEX($A$3:$A$70, IF(ISNA(MATCH("720G4G6*", $A$3:$A$70, 0))=TRUE, MATCH("7200406*", $A$3:$A$70, 0), MATCH("720G4G6*", $A$3:$A$70, 0))), $AT$8, 2)</f>
        <v>G6</v>
      </c>
      <c r="N173" s="63" t="n"/>
      <c r="P173" s="2516" t="s"/>
      <c r="Q173" s="142" t="s"/>
      <c r="R173" s="142" t="s"/>
      <c r="S173" s="2517" t="s"/>
      <c r="T173" s="2518" t="s"/>
      <c r="U173" s="2004" t="s"/>
      <c r="V173" s="2004" t="s"/>
      <c r="W173" s="2519" t="s"/>
      <c r="X173" s="2520" t="s"/>
      <c r="Y173" s="2004" t="s"/>
      <c r="Z173" s="2004" t="s"/>
      <c r="AA173" s="2521" t="s"/>
      <c r="AB173" s="2522" t="s"/>
      <c r="AC173" s="2004" t="s"/>
      <c r="AD173" s="2004" t="s"/>
      <c r="AE173" s="2523" t="s"/>
      <c r="AF173" s="2524" t="s"/>
      <c r="AG173" s="2004" t="s"/>
      <c r="AH173" s="2004" t="s"/>
      <c r="AI173" s="2525" t="s"/>
      <c r="AJ173" s="2526" t="s"/>
      <c r="AK173" s="2527" t="s"/>
    </row>
    <row customHeight="true" hidden="false" ht="15.75" outlineLevel="0" r="174">
      <c r="C174" s="98" t="n"/>
      <c r="I174" s="1946" t="str">
        <f aca="false" ca="false" dt2D="false" dtr="false" t="normal">T170</f>
        <v/>
      </c>
      <c r="J174" s="1946" t="str">
        <f aca="false" ca="false" dt2D="false" dtr="false" t="normal">X170</f>
        <v/>
      </c>
      <c r="K174" s="1946" t="str">
        <f aca="false" ca="false" dt2D="false" dtr="false" t="normal">AB170</f>
        <v/>
      </c>
      <c r="L174" s="1946" t="str">
        <f aca="false" ca="false" dt2D="false" dtr="false" t="normal">AF170</f>
        <v/>
      </c>
      <c r="N174" s="63" t="n"/>
      <c r="P174" s="2528" t="s"/>
      <c r="Q174" s="142" t="s"/>
      <c r="R174" s="142" t="s"/>
      <c r="S174" s="2529" t="s"/>
      <c r="T174" s="2530" t="s"/>
      <c r="U174" s="2004" t="s"/>
      <c r="V174" s="2004" t="s"/>
      <c r="W174" s="2531" t="s"/>
      <c r="X174" s="2532" t="s"/>
      <c r="Y174" s="2004" t="s"/>
      <c r="Z174" s="2004" t="s"/>
      <c r="AA174" s="2533" t="s"/>
      <c r="AB174" s="2534" t="s"/>
      <c r="AC174" s="2004" t="s"/>
      <c r="AD174" s="2004" t="s"/>
      <c r="AE174" s="2535" t="s"/>
      <c r="AF174" s="2536" t="s"/>
      <c r="AG174" s="2004" t="s"/>
      <c r="AH174" s="2004" t="s"/>
      <c r="AI174" s="2537" t="s"/>
      <c r="AJ174" s="2538" t="s"/>
      <c r="AK174" s="2539" t="s"/>
    </row>
    <row customHeight="true" hidden="false" ht="15.75" outlineLevel="0" r="175">
      <c r="C175" s="98" t="s">
        <v>176</v>
      </c>
      <c r="D175" s="159" t="n">
        <f aca="false" ca="false" dt2D="false" dtr="false" t="normal">D170</f>
        <v>7</v>
      </c>
      <c r="E175" s="160" t="n">
        <f aca="false" ca="false" dt2D="false" dtr="false" t="normal">E170</f>
        <v>20</v>
      </c>
      <c r="F175" s="160" t="n">
        <f aca="false" ca="false" dt2D="false" dtr="false" t="normal">F170</f>
        <v>4</v>
      </c>
      <c r="G175" s="161" t="n">
        <f aca="false" ca="false" dt2D="false" dtr="false" t="normal">G170</f>
        <v>6</v>
      </c>
      <c r="H175" s="2540" t="n">
        <f aca="false" ca="false" dt2D="false" dtr="false" t="normal">H170</f>
        <v>0</v>
      </c>
      <c r="I175" s="2053" t="n">
        <f aca="false" ca="false" dt2D="false" dtr="false" t="normal">IFERROR(VLOOKUP($T$170, $AU$36:$AV$71, 2, FALSE), "00")</f>
        <v>0</v>
      </c>
      <c r="J175" s="2053" t="n">
        <f aca="false" ca="false" dt2D="false" dtr="false" t="normal">IFERROR(VLOOKUP($X$170, $AU$36:$AV$71, 2, FALSE), "00")</f>
        <v>0</v>
      </c>
      <c r="K175" s="2053" t="n">
        <f aca="false" ca="false" dt2D="false" dtr="false" t="normal">IFERROR(VLOOKUP($AB$170, $AU$36:$AV$71, 2, FALSE), "00")</f>
        <v>0</v>
      </c>
      <c r="L175" s="2054" t="n">
        <f aca="false" ca="false" dt2D="false" dtr="false" t="normal">IFERROR(VLOOKUP($AF$170, $AU$36:$AV$71, 2, FALSE), "00")</f>
        <v>0</v>
      </c>
      <c r="M175" s="166" t="n">
        <f aca="false" ca="false" dt2D="false" dtr="false" t="normal">IF(LEN(M176)&gt;2, MID(M176, 2, 2), M176)</f>
        <v>31</v>
      </c>
      <c r="N175" s="63" t="s">
        <v>181</v>
      </c>
      <c r="P175" s="2541" t="s"/>
      <c r="Q175" s="142" t="s"/>
      <c r="R175" s="142" t="s"/>
      <c r="S175" s="2542" t="s"/>
      <c r="T175" s="2543" t="s"/>
      <c r="U175" s="2004" t="s"/>
      <c r="V175" s="2004" t="s"/>
      <c r="W175" s="2544" t="s"/>
      <c r="X175" s="2545" t="s"/>
      <c r="Y175" s="2004" t="s"/>
      <c r="Z175" s="2004" t="s"/>
      <c r="AA175" s="2546" t="s"/>
      <c r="AB175" s="2547" t="s"/>
      <c r="AC175" s="2004" t="s"/>
      <c r="AD175" s="2004" t="s"/>
      <c r="AE175" s="2548" t="s"/>
      <c r="AF175" s="2549" t="s"/>
      <c r="AG175" s="2004" t="s"/>
      <c r="AH175" s="2004" t="s"/>
      <c r="AI175" s="2550" t="s"/>
      <c r="AJ175" s="2551" t="s"/>
      <c r="AK175" s="2552" t="s"/>
    </row>
    <row customHeight="true" hidden="false" ht="15" outlineLevel="0" r="176">
      <c r="C176" s="98" t="s">
        <v>185</v>
      </c>
      <c r="D176" s="53" t="n">
        <f aca="false" ca="false" dt2D="false" dtr="false" t="normal">HEX2BIN(D175, 8)</f>
        <v>111</v>
      </c>
      <c r="E176" s="53" t="n">
        <f aca="false" ca="false" dt2D="false" dtr="false" t="normal">HEX2BIN(E175, 8)</f>
        <v>100000</v>
      </c>
      <c r="F176" s="53" t="n">
        <f aca="false" ca="false" dt2D="false" dtr="false" t="normal">HEX2BIN(F175, 8)</f>
        <v>100</v>
      </c>
      <c r="G176" s="53" t="n">
        <f aca="false" ca="false" dt2D="false" dtr="false" t="normal">HEX2BIN(G175, 8)</f>
        <v>110</v>
      </c>
      <c r="H176" s="171" t="n"/>
      <c r="I176" s="53" t="n"/>
      <c r="J176" s="171" t="n"/>
      <c r="K176" s="171" t="n"/>
      <c r="L176" s="53" t="n"/>
      <c r="M176" s="53" t="n">
        <f aca="false" ca="false" dt2D="false" dtr="false" t="normal">DEC2HEX(M177)</f>
        <v>31</v>
      </c>
      <c r="N176" s="63" t="n"/>
      <c r="P176" s="2553" t="s"/>
      <c r="Q176" s="142" t="s"/>
      <c r="R176" s="142" t="s"/>
      <c r="S176" s="2554" t="s"/>
      <c r="T176" s="2555" t="s"/>
      <c r="U176" s="2004" t="s"/>
      <c r="V176" s="2004" t="s"/>
      <c r="W176" s="2556" t="s"/>
      <c r="X176" s="2557" t="s"/>
      <c r="Y176" s="2004" t="s"/>
      <c r="Z176" s="2004" t="s"/>
      <c r="AA176" s="2558" t="s"/>
      <c r="AB176" s="2559" t="s"/>
      <c r="AC176" s="2004" t="s"/>
      <c r="AD176" s="2004" t="s"/>
      <c r="AE176" s="2560" t="s"/>
      <c r="AF176" s="2561" t="s"/>
      <c r="AG176" s="2004" t="s"/>
      <c r="AH176" s="2004" t="s"/>
      <c r="AI176" s="2562" t="s"/>
      <c r="AJ176" s="2563" t="s"/>
      <c r="AK176" s="2564" t="s"/>
    </row>
    <row customHeight="true" hidden="false" ht="15" outlineLevel="0" r="177">
      <c r="C177" s="98" t="s">
        <v>191</v>
      </c>
      <c r="D177" s="53" t="n">
        <f aca="false" ca="false" dt2D="false" dtr="false" t="normal">HEX2DEC(D175)</f>
        <v>7</v>
      </c>
      <c r="E177" s="53" t="n">
        <f aca="false" ca="false" dt2D="false" dtr="false" t="normal">HEX2DEC(E175)</f>
        <v>32</v>
      </c>
      <c r="F177" s="53" t="n">
        <f aca="false" ca="false" dt2D="false" dtr="false" t="normal">HEX2DEC(F175)</f>
        <v>4</v>
      </c>
      <c r="G177" s="53" t="n">
        <f aca="false" ca="false" dt2D="false" dtr="false" t="normal">HEX2DEC(G175)</f>
        <v>6</v>
      </c>
      <c r="H177" s="53" t="n">
        <f aca="false" ca="false" dt2D="false" dtr="false" t="normal">HEX2DEC(H175)</f>
        <v>0</v>
      </c>
      <c r="I177" s="53" t="n">
        <f aca="false" ca="false" dt2D="false" dtr="false" t="normal">HEX2DEC(I175)</f>
        <v>0</v>
      </c>
      <c r="J177" s="53" t="n">
        <f aca="false" ca="false" dt2D="false" dtr="false" t="normal">HEX2DEC(J175)</f>
        <v>0</v>
      </c>
      <c r="K177" s="53" t="n">
        <f aca="false" ca="false" dt2D="false" dtr="false" t="normal">HEX2DEC(K175)</f>
        <v>0</v>
      </c>
      <c r="L177" s="53" t="n">
        <f aca="false" ca="false" dt2D="false" dtr="false" t="normal">HEX2DEC(L175)</f>
        <v>0</v>
      </c>
      <c r="M177" s="53" t="n">
        <f aca="false" ca="false" dt2D="false" dtr="false" t="normal">SUM(D177:L177)</f>
        <v>49</v>
      </c>
      <c r="N177" s="63" t="n"/>
      <c r="P177" s="2565" t="s"/>
      <c r="Q177" s="142" t="s"/>
      <c r="R177" s="142" t="s"/>
      <c r="S177" s="2566" t="s"/>
      <c r="T177" s="2567" t="s"/>
      <c r="U177" s="2004" t="s"/>
      <c r="V177" s="2004" t="s"/>
      <c r="W177" s="2568" t="s"/>
      <c r="X177" s="2569" t="s"/>
      <c r="Y177" s="2004" t="s"/>
      <c r="Z177" s="2004" t="s"/>
      <c r="AA177" s="2570" t="s"/>
      <c r="AB177" s="2571" t="s"/>
      <c r="AC177" s="2004" t="s"/>
      <c r="AD177" s="2004" t="s"/>
      <c r="AE177" s="2572" t="s"/>
      <c r="AF177" s="2573" t="s"/>
      <c r="AG177" s="2004" t="s"/>
      <c r="AH177" s="2004" t="s"/>
      <c r="AI177" s="2574" t="s"/>
      <c r="AJ177" s="2575" t="s"/>
      <c r="AK177" s="2576" t="s"/>
    </row>
    <row customHeight="true" hidden="false" ht="15.75" outlineLevel="0" r="178">
      <c r="C178" s="180" t="s">
        <v>194</v>
      </c>
      <c r="D178" s="299" t="n">
        <f aca="false" ca="false" dt2D="false" dtr="false" t="normal">D173</f>
        <v>7</v>
      </c>
      <c r="E178" s="299" t="n">
        <f aca="false" ca="false" dt2D="false" dtr="false" t="normal">E173</f>
        <v>20</v>
      </c>
      <c r="F178" s="299" t="str">
        <f aca="false" ca="false" dt2D="false" dtr="false" t="normal">F173</f>
        <v>G4</v>
      </c>
      <c r="G178" s="299" t="str">
        <f aca="false" ca="false" dt2D="false" dtr="false" t="normal">G173</f>
        <v>G6</v>
      </c>
      <c r="H178" s="45" t="n"/>
      <c r="I178" s="45" t="n"/>
      <c r="J178" s="45" t="n"/>
      <c r="K178" s="45" t="n"/>
      <c r="L178" s="45" t="n"/>
      <c r="M178" s="45" t="n"/>
      <c r="N178" s="49" t="n"/>
      <c r="P178" s="2577" t="s"/>
      <c r="Q178" s="2578" t="s"/>
      <c r="R178" s="2579" t="s"/>
      <c r="S178" s="2580" t="s"/>
      <c r="T178" s="2581" t="s"/>
      <c r="U178" s="2582" t="s"/>
      <c r="V178" s="2583" t="s"/>
      <c r="W178" s="2584" t="s"/>
      <c r="X178" s="2585" t="s"/>
      <c r="Y178" s="2586" t="s"/>
      <c r="Z178" s="2587" t="s"/>
      <c r="AA178" s="2588" t="s"/>
      <c r="AB178" s="2589" t="s"/>
      <c r="AC178" s="2590" t="s"/>
      <c r="AD178" s="2591" t="s"/>
      <c r="AE178" s="2592" t="s"/>
      <c r="AF178" s="2593" t="s"/>
      <c r="AG178" s="2594" t="s"/>
      <c r="AH178" s="2595" t="s"/>
      <c r="AI178" s="2596" t="s"/>
      <c r="AJ178" s="2597" t="s"/>
      <c r="AK178" s="2598" t="s"/>
    </row>
    <row hidden="false" ht="15.75" outlineLevel="0" r="179">
      <c r="C179" s="93" t="n"/>
      <c r="D179" s="94" t="n"/>
      <c r="E179" s="94" t="n"/>
      <c r="F179" s="94" t="n"/>
      <c r="G179" s="94" t="n"/>
      <c r="H179" s="1946" t="str">
        <f aca="false" ca="false" dt2D="false" dtr="false" t="normal">AS52</f>
        <v/>
      </c>
      <c r="I179" s="94" t="n"/>
      <c r="J179" s="94" t="n"/>
      <c r="K179" s="94" t="n"/>
      <c r="L179" s="94" t="n"/>
      <c r="M179" s="94" t="s">
        <v>161</v>
      </c>
      <c r="N179" s="60" t="n"/>
      <c r="P179" s="95" t="str">
        <f aca="false" ca="false" dt2D="false" dtr="false" t="normal">RIGHT(D181, 1)&amp;E181&amp;"-"&amp;F181&amp;"-"&amp;G181</f>
        <v>720-04-07</v>
      </c>
      <c r="Q179" s="2599" t="s"/>
      <c r="R179" s="234" t="s">
        <v>1099</v>
      </c>
      <c r="S179" s="2600" t="s"/>
      <c r="T179" s="2601" t="s"/>
      <c r="U179" s="2602" t="s"/>
      <c r="V179" s="2603" t="s"/>
      <c r="W179" s="2604" t="s"/>
      <c r="X179" s="2605" t="s"/>
      <c r="Y179" s="2606" t="s"/>
      <c r="Z179" s="2607" t="s"/>
      <c r="AA179" s="2608" t="s"/>
      <c r="AB179" s="2609" t="s"/>
      <c r="AC179" s="2610" t="s"/>
      <c r="AD179" s="2611" t="s"/>
      <c r="AE179" s="2612" t="s"/>
      <c r="AF179" s="2613" t="s"/>
      <c r="AG179" s="2614" t="s"/>
      <c r="AH179" s="2615" t="s"/>
      <c r="AI179" s="2616" t="s"/>
      <c r="AJ179" s="2617" t="s"/>
      <c r="AK179" s="2618" t="s"/>
    </row>
    <row hidden="false" ht="15.75" outlineLevel="0" r="180">
      <c r="C180" s="98" t="n"/>
      <c r="D180" s="99" t="s">
        <v>1100</v>
      </c>
      <c r="E180" s="2619" t="s"/>
      <c r="F180" s="2620" t="s"/>
      <c r="G180" s="2621" t="s"/>
      <c r="H180" s="53" t="s">
        <v>165</v>
      </c>
      <c r="I180" s="53" t="s">
        <v>166</v>
      </c>
      <c r="J180" s="53" t="s">
        <v>167</v>
      </c>
      <c r="K180" s="53" t="s">
        <v>168</v>
      </c>
      <c r="L180" s="53" t="s">
        <v>169</v>
      </c>
      <c r="M180" s="53" t="s">
        <v>221</v>
      </c>
      <c r="N180" s="63" t="n"/>
      <c r="P180" s="116" t="s">
        <v>1101</v>
      </c>
      <c r="Q180" s="2622" t="s"/>
      <c r="R180" s="2623" t="s"/>
      <c r="S180" s="2624" t="s"/>
      <c r="T180" s="103" t="s">
        <v>1102</v>
      </c>
      <c r="U180" s="2625" t="s"/>
      <c r="V180" s="2626" t="s"/>
      <c r="W180" s="2627" t="s"/>
      <c r="X180" s="116" t="s">
        <v>1103</v>
      </c>
      <c r="Y180" s="2628" t="s"/>
      <c r="Z180" s="2629" t="s"/>
      <c r="AA180" s="2630" t="s"/>
      <c r="AB180" s="116" t="s">
        <v>1104</v>
      </c>
      <c r="AC180" s="2631" t="s"/>
      <c r="AD180" s="2632" t="s"/>
      <c r="AE180" s="2633" t="s"/>
      <c r="AF180" s="103" t="s">
        <v>1105</v>
      </c>
      <c r="AG180" s="2634" t="s"/>
      <c r="AH180" s="2635" t="s"/>
      <c r="AI180" s="2636" t="s"/>
      <c r="AJ180" s="116" t="s">
        <v>1106</v>
      </c>
      <c r="AK180" s="2637" t="s"/>
    </row>
    <row customHeight="true" hidden="false" ht="15.75" outlineLevel="0" r="181">
      <c r="C181" s="98" t="s">
        <v>176</v>
      </c>
      <c r="D181" s="122" t="s">
        <v>177</v>
      </c>
      <c r="E181" s="123" t="s">
        <v>693</v>
      </c>
      <c r="F181" s="123" t="s">
        <v>342</v>
      </c>
      <c r="G181" s="124" t="s">
        <v>177</v>
      </c>
      <c r="H181" s="164" t="n">
        <f aca="false" ca="false" dt2D="false" dtr="false" ref="H181:H181" t="array">MID(INDEX($A$3:$A$70, IF(ISNA(MATCH("720G4G7*", $A$3:$A$70, 0))=TRUE, MATCH("7200407*", $A$3:$A$70, 0), MATCH("720G4G7*", $A$3:$A$70, 0))), $AU$8, 2)</f>
        <v>0</v>
      </c>
      <c r="I181" s="1820" t="n">
        <f aca="false" ca="false" dt2D="false" dtr="false" ref="I181:I181" t="array">MID(INDEX($A$3:$A$70, IF(ISNA(MATCH("720G4G7*", $A$3:$A$70, 0))=TRUE, MATCH("7200407*", $A$3:$A$70, 0), MATCH("720G4G7*", $A$3:$A$70, 0))), $AV$8, 2)</f>
        <v>0</v>
      </c>
      <c r="J181" s="1820" t="n">
        <f aca="false" ca="false" dt2D="false" dtr="false" ref="J181:J181" t="array">MID(INDEX($A$3:$A$70, IF(ISNA(MATCH("720G4G7*", $A$3:$A$70, 0))=TRUE, MATCH("7200407*", $A$3:$A$70, 0), MATCH("720G4G7*", $A$3:$A$70, 0))), $AW$8, 2)</f>
        <v>0</v>
      </c>
      <c r="K181" s="1821" t="n">
        <f aca="false" ca="false" dt2D="false" dtr="false" ref="K181:K181" t="array">MID(INDEX($A$3:$A$70, IF(ISNA(MATCH("720G4G7*", $A$3:$A$70, 0))=TRUE, MATCH("7200407*", $A$3:$A$70, 0), MATCH("720G4G7*", $A$3:$A$70, 0))), $AX$8, 2)</f>
        <v>0</v>
      </c>
      <c r="L181" s="1821" t="n">
        <f aca="false" ca="false" dt2D="false" dtr="false" ref="L181:L181" t="array">MID(INDEX($A$3:$A$70, IF(ISNA(MATCH("720G4G7*", $A$3:$A$70, 0))=TRUE, MATCH("7200407*", $A$3:$A$70, 0), MATCH("720G4G7*", $A$3:$A$70, 0))), $AY$8, 2)</f>
        <v>0</v>
      </c>
      <c r="M181" s="218" t="n">
        <f aca="false" ca="false" dt2D="false" dtr="false" ref="M181:M181" t="array">MID(INDEX($A$3:$A$70, IF(ISNA(MATCH("720G4G7*", $A$3:$A$70, 0))=TRUE, MATCH("7200407*", $A$3:$A$70, 0), MATCH("720G4G7*", $A$3:$A$70, 0))), $AZ$8, 2)</f>
        <v>32</v>
      </c>
      <c r="N181" s="63" t="s">
        <v>180</v>
      </c>
      <c r="P181" s="1986" t="str">
        <f aca="false" ca="false" dt2D="false" dtr="false" t="normal">AS52</f>
        <v/>
      </c>
      <c r="Q181" s="2638" t="s"/>
      <c r="R181" s="2639" t="s"/>
      <c r="S181" s="2640" t="s"/>
      <c r="T181" s="129" t="s">
        <v>180</v>
      </c>
      <c r="U181" s="130" t="s">
        <v>181</v>
      </c>
      <c r="V181" s="121" t="s">
        <v>182</v>
      </c>
      <c r="W181" s="131" t="n"/>
      <c r="X181" s="116" t="n"/>
      <c r="Y181" s="2641" t="s"/>
      <c r="Z181" s="2642" t="s"/>
      <c r="AA181" s="2643" t="s"/>
      <c r="AB181" s="116" t="n"/>
      <c r="AC181" s="2644" t="s"/>
      <c r="AD181" s="2645" t="s"/>
      <c r="AE181" s="2646" t="s"/>
      <c r="AF181" s="129" t="s">
        <v>180</v>
      </c>
      <c r="AG181" s="130" t="s">
        <v>181</v>
      </c>
      <c r="AH181" s="121" t="s">
        <v>182</v>
      </c>
      <c r="AI181" s="121" t="n"/>
      <c r="AJ181" s="116" t="s">
        <v>183</v>
      </c>
      <c r="AK181" s="2647" t="s"/>
    </row>
    <row customHeight="true" hidden="false" ht="15" outlineLevel="0" r="182">
      <c r="C182" s="98" t="s">
        <v>185</v>
      </c>
      <c r="D182" s="53" t="n">
        <f aca="false" ca="false" dt2D="false" dtr="false" t="normal">HEX2BIN(D181, 8)</f>
        <v>111</v>
      </c>
      <c r="E182" s="53" t="n">
        <f aca="false" ca="false" dt2D="false" dtr="false" t="normal">HEX2BIN(E181, 8)</f>
        <v>100000</v>
      </c>
      <c r="F182" s="53" t="n">
        <f aca="false" ca="false" dt2D="false" dtr="false" t="normal">HEX2BIN(F181, 8)</f>
        <v>100</v>
      </c>
      <c r="G182" s="53" t="n">
        <f aca="false" ca="false" dt2D="false" dtr="false" t="normal">HEX2BIN(G181, 8)</f>
        <v>111</v>
      </c>
      <c r="H182" s="53" t="n">
        <f aca="false" ca="false" dt2D="false" dtr="false" t="normal">HEX2BIN(H181, 8)</f>
        <v>0</v>
      </c>
      <c r="I182" s="53" t="n">
        <f aca="false" ca="false" dt2D="false" dtr="false" t="normal">HEX2BIN(I181, 8)</f>
        <v>0</v>
      </c>
      <c r="J182" s="53" t="n">
        <f aca="false" ca="false" dt2D="false" dtr="false" t="normal">HEX2BIN(J181, 8)</f>
        <v>0</v>
      </c>
      <c r="K182" s="53" t="n">
        <f aca="false" ca="false" dt2D="false" dtr="false" t="normal">HEX2BIN(K181, 8)</f>
        <v>0</v>
      </c>
      <c r="L182" s="53" t="n">
        <f aca="false" ca="false" dt2D="false" dtr="false" t="normal">HEX2BIN(L181, 8)</f>
        <v>0</v>
      </c>
      <c r="N182" s="63" t="n"/>
      <c r="P182" s="2648" t="s"/>
      <c r="Q182" s="2004" t="s"/>
      <c r="R182" s="2004" t="s"/>
      <c r="S182" s="2649" t="s"/>
      <c r="T182" s="136" t="n">
        <f aca="false" ca="false" dt2D="false" dtr="false" t="normal">MID(I182, 1, 1)</f>
        <v>0</v>
      </c>
      <c r="U182" s="137" t="n">
        <f aca="false" ca="false" dt2D="false" dtr="false" t="normal">T182</f>
        <v>0</v>
      </c>
      <c r="V182" s="120" t="s">
        <v>186</v>
      </c>
      <c r="W182" s="131" t="s">
        <v>196</v>
      </c>
      <c r="X182" s="2650" t="s"/>
      <c r="Y182" s="142" t="s"/>
      <c r="Z182" s="142" t="s"/>
      <c r="AA182" s="2651" t="s"/>
      <c r="AB182" s="2652" t="s"/>
      <c r="AC182" s="142" t="s"/>
      <c r="AD182" s="142" t="s"/>
      <c r="AE182" s="2653" t="s"/>
      <c r="AF182" s="136" t="n">
        <f aca="false" ca="false" dt2D="false" dtr="false" t="normal">MID(L182, 1, 1)</f>
        <v>0</v>
      </c>
      <c r="AG182" s="137" t="n">
        <f aca="false" ca="false" dt2D="false" dtr="false" t="normal">AF182</f>
        <v>0</v>
      </c>
      <c r="AH182" s="120" t="s">
        <v>186</v>
      </c>
      <c r="AI182" s="139" t="s">
        <v>1107</v>
      </c>
      <c r="AJ182" s="2654" t="s"/>
      <c r="AK182" s="2655" t="s"/>
    </row>
    <row customHeight="true" hidden="false" ht="15" outlineLevel="0" r="183">
      <c r="C183" s="98" t="s">
        <v>191</v>
      </c>
      <c r="D183" s="53" t="n">
        <f aca="false" ca="false" dt2D="false" dtr="false" t="normal">HEX2DEC(D181)</f>
        <v>7</v>
      </c>
      <c r="E183" s="53" t="n">
        <f aca="false" ca="false" dt2D="false" dtr="false" t="normal">HEX2DEC(E181)</f>
        <v>32</v>
      </c>
      <c r="F183" s="53" t="n">
        <f aca="false" ca="false" dt2D="false" dtr="false" t="normal">HEX2DEC(F181)</f>
        <v>4</v>
      </c>
      <c r="G183" s="53" t="n">
        <f aca="false" ca="false" dt2D="false" dtr="false" t="normal">HEX2DEC(G181)</f>
        <v>7</v>
      </c>
      <c r="H183" s="53" t="n">
        <f aca="false" ca="false" dt2D="false" dtr="false" t="normal">HEX2DEC(H181)</f>
        <v>0</v>
      </c>
      <c r="I183" s="53" t="n">
        <f aca="false" ca="false" dt2D="false" dtr="false" t="normal">HEX2DEC(I181)</f>
        <v>0</v>
      </c>
      <c r="J183" s="53" t="n">
        <f aca="false" ca="false" dt2D="false" dtr="false" t="normal">HEX2DEC(J181)</f>
        <v>0</v>
      </c>
      <c r="K183" s="53" t="n">
        <f aca="false" ca="false" dt2D="false" dtr="false" t="normal">HEX2DEC(K181)</f>
        <v>0</v>
      </c>
      <c r="L183" s="53" t="n">
        <f aca="false" ca="false" dt2D="false" dtr="false" t="normal">HEX2DEC(L181)</f>
        <v>0</v>
      </c>
      <c r="M183" s="53" t="n">
        <f aca="false" ca="false" dt2D="false" dtr="false" t="normal">SUM(D183:L183)</f>
        <v>50</v>
      </c>
      <c r="N183" s="63" t="n"/>
      <c r="P183" s="2656" t="s"/>
      <c r="Q183" s="2004" t="s"/>
      <c r="R183" s="2004" t="s"/>
      <c r="S183" s="2657" t="s"/>
      <c r="T183" s="136" t="n">
        <f aca="false" ca="false" dt2D="false" dtr="false" t="normal">MID(I182, 2, 1)</f>
        <v>0</v>
      </c>
      <c r="U183" s="137" t="n">
        <f aca="false" ca="false" dt2D="false" dtr="false" t="normal">T183</f>
        <v>0</v>
      </c>
      <c r="V183" s="120" t="s">
        <v>192</v>
      </c>
      <c r="W183" s="131" t="s">
        <v>196</v>
      </c>
      <c r="X183" s="2658" t="s"/>
      <c r="Y183" s="142" t="s"/>
      <c r="Z183" s="142" t="s"/>
      <c r="AA183" s="2659" t="s"/>
      <c r="AB183" s="2660" t="s"/>
      <c r="AC183" s="142" t="s"/>
      <c r="AD183" s="142" t="s"/>
      <c r="AE183" s="2661" t="s"/>
      <c r="AF183" s="136" t="n">
        <f aca="false" ca="false" dt2D="false" dtr="false" t="normal">MID(L182, 2, 1)</f>
        <v>0</v>
      </c>
      <c r="AG183" s="137" t="n">
        <f aca="false" ca="false" dt2D="false" dtr="false" t="normal">AF183</f>
        <v>0</v>
      </c>
      <c r="AH183" s="120" t="s">
        <v>192</v>
      </c>
      <c r="AI183" s="139" t="s">
        <v>1108</v>
      </c>
      <c r="AJ183" s="2662" t="s"/>
      <c r="AK183" s="2663" t="s"/>
    </row>
    <row customHeight="true" hidden="false" ht="15" outlineLevel="0" r="184">
      <c r="C184" s="98" t="s">
        <v>194</v>
      </c>
      <c r="D184" s="149" t="n">
        <f aca="false" ca="false" dt2D="false" dtr="false" t="normal">D181</f>
        <v>7</v>
      </c>
      <c r="E184" s="149" t="n">
        <f aca="false" ca="false" dt2D="false" dtr="false" t="normal">E181</f>
        <v>20</v>
      </c>
      <c r="F184" s="53" t="str">
        <f aca="false" ca="false" dt2D="false" dtr="false" t="normal">MID(INDEX($A$3:$A$70, IF(ISNA(MATCH("720G4G7*", $A$3:$A$70, 0))=TRUE, MATCH("7200407*", $A$3:$A$70, 0), MATCH("720G4G7*", $A$3:$A$70, 0))), $AS$8, 2)</f>
        <v>G4</v>
      </c>
      <c r="G184" s="53" t="str">
        <f aca="false" ca="false" dt2D="false" dtr="false" t="normal">MID(INDEX($A$3:$A$70, IF(ISNA(MATCH("720G4G7*", $A$3:$A$70, 0))=TRUE, MATCH("7200407*", $A$3:$A$70, 0), MATCH("720G4G7*", $A$3:$A$70, 0))), $AT$8, 2)</f>
        <v>G7</v>
      </c>
      <c r="N184" s="63" t="n"/>
      <c r="P184" s="2664" t="s"/>
      <c r="Q184" s="2004" t="s"/>
      <c r="R184" s="2004" t="s"/>
      <c r="S184" s="2665" t="s"/>
      <c r="T184" s="136" t="n">
        <f aca="false" ca="false" dt2D="false" dtr="false" t="normal">MID(I182, 3, 1)</f>
        <v>0</v>
      </c>
      <c r="U184" s="137" t="n">
        <f aca="false" ca="false" dt2D="false" dtr="false" t="normal">T184</f>
        <v>0</v>
      </c>
      <c r="V184" s="120" t="s">
        <v>195</v>
      </c>
      <c r="W184" s="131" t="s">
        <v>196</v>
      </c>
      <c r="X184" s="2666" t="s"/>
      <c r="Y184" s="142" t="s"/>
      <c r="Z184" s="142" t="s"/>
      <c r="AA184" s="2667" t="s"/>
      <c r="AB184" s="2668" t="s"/>
      <c r="AC184" s="142" t="s"/>
      <c r="AD184" s="142" t="s"/>
      <c r="AE184" s="2669" t="s"/>
      <c r="AF184" s="136" t="n">
        <f aca="false" ca="false" dt2D="false" dtr="false" t="normal">MID(L182, 3, 1)</f>
        <v>0</v>
      </c>
      <c r="AG184" s="137" t="n">
        <f aca="false" ca="false" dt2D="false" dtr="false" t="normal">AF184</f>
        <v>0</v>
      </c>
      <c r="AH184" s="120" t="s">
        <v>195</v>
      </c>
      <c r="AI184" s="139" t="s">
        <v>1109</v>
      </c>
      <c r="AJ184" s="2670" t="s"/>
      <c r="AK184" s="2671" t="s"/>
    </row>
    <row customHeight="true" hidden="false" ht="15.75" outlineLevel="0" r="185">
      <c r="C185" s="98" t="n"/>
      <c r="H185" s="1946" t="str">
        <f aca="false" ca="false" dt2D="false" dtr="false" t="normal">P181</f>
        <v/>
      </c>
      <c r="N185" s="63" t="n"/>
      <c r="P185" s="2672" t="s"/>
      <c r="Q185" s="2004" t="s"/>
      <c r="R185" s="2004" t="s"/>
      <c r="S185" s="2673" t="s"/>
      <c r="T185" s="136" t="n">
        <f aca="false" ca="false" dt2D="false" dtr="false" t="normal">MID(I182, 4, 1)</f>
        <v>0</v>
      </c>
      <c r="U185" s="137" t="n">
        <f aca="false" ca="false" dt2D="false" dtr="false" t="normal">T185</f>
        <v>0</v>
      </c>
      <c r="V185" s="120" t="s">
        <v>197</v>
      </c>
      <c r="W185" s="131" t="s">
        <v>196</v>
      </c>
      <c r="X185" s="2674" t="s"/>
      <c r="Y185" s="142" t="s"/>
      <c r="Z185" s="142" t="s"/>
      <c r="AA185" s="2675" t="s"/>
      <c r="AB185" s="2676" t="s"/>
      <c r="AC185" s="142" t="s"/>
      <c r="AD185" s="142" t="s"/>
      <c r="AE185" s="2677" t="s"/>
      <c r="AF185" s="136" t="n">
        <f aca="false" ca="false" dt2D="false" dtr="false" t="normal">MID(L182, 4, 1)</f>
        <v>0</v>
      </c>
      <c r="AG185" s="137" t="n">
        <f aca="false" ca="false" dt2D="false" dtr="false" t="normal">AF185</f>
        <v>0</v>
      </c>
      <c r="AH185" s="120" t="s">
        <v>197</v>
      </c>
      <c r="AI185" s="139" t="s">
        <v>1110</v>
      </c>
      <c r="AJ185" s="2678" t="s"/>
      <c r="AK185" s="2679" t="s"/>
    </row>
    <row customHeight="true" hidden="false" ht="15.75" outlineLevel="0" r="186">
      <c r="C186" s="98" t="s">
        <v>176</v>
      </c>
      <c r="D186" s="159" t="n">
        <f aca="false" ca="false" dt2D="false" dtr="false" t="normal">D181</f>
        <v>7</v>
      </c>
      <c r="E186" s="160" t="n">
        <f aca="false" ca="false" dt2D="false" dtr="false" t="normal">E181</f>
        <v>20</v>
      </c>
      <c r="F186" s="160" t="n">
        <f aca="false" ca="false" dt2D="false" dtr="false" t="normal">F181</f>
        <v>4</v>
      </c>
      <c r="G186" s="161" t="n">
        <f aca="false" ca="false" dt2D="false" dtr="false" t="normal">G181</f>
        <v>7</v>
      </c>
      <c r="H186" s="2216" t="n">
        <f aca="false" ca="false" dt2D="false" dtr="false" t="normal">IFERROR(VLOOKUP($P$181, $AU$36:$AV$71, 2, FALSE), "00")</f>
        <v>0</v>
      </c>
      <c r="I186" s="163" t="n">
        <f aca="false" ca="false" dt2D="false" dtr="false" t="normal">BIN2HEX(I187, 2)</f>
        <v>0</v>
      </c>
      <c r="J186" s="2217" t="n">
        <f aca="false" ca="false" dt2D="false" dtr="false" t="normal">J181</f>
        <v>0</v>
      </c>
      <c r="K186" s="1916" t="n">
        <f aca="false" ca="false" dt2D="false" dtr="false" t="normal">K181</f>
        <v>0</v>
      </c>
      <c r="L186" s="288" t="n">
        <f aca="false" ca="false" dt2D="false" dtr="false" t="normal">BIN2HEX(L187, 2)</f>
        <v>0</v>
      </c>
      <c r="M186" s="166" t="n">
        <f aca="false" ca="false" dt2D="false" dtr="false" t="normal">IF(LEN(M187)&gt;2, MID(M187, 2, 2), M187)</f>
        <v>32</v>
      </c>
      <c r="N186" s="63" t="s">
        <v>181</v>
      </c>
      <c r="P186" s="2680" t="s"/>
      <c r="Q186" s="2004" t="s"/>
      <c r="R186" s="2004" t="s"/>
      <c r="S186" s="2681" t="s"/>
      <c r="T186" s="136" t="n">
        <f aca="false" ca="false" dt2D="false" dtr="false" t="normal">MID(I182, 5, 1)</f>
        <v>0</v>
      </c>
      <c r="U186" s="137" t="n">
        <f aca="false" ca="false" dt2D="false" dtr="false" t="normal">T186</f>
        <v>0</v>
      </c>
      <c r="V186" s="120" t="s">
        <v>200</v>
      </c>
      <c r="W186" s="131" t="s">
        <v>196</v>
      </c>
      <c r="X186" s="2682" t="s"/>
      <c r="Y186" s="142" t="s"/>
      <c r="Z186" s="142" t="s"/>
      <c r="AA186" s="2683" t="s"/>
      <c r="AB186" s="2684" t="s"/>
      <c r="AC186" s="142" t="s"/>
      <c r="AD186" s="142" t="s"/>
      <c r="AE186" s="2685" t="s"/>
      <c r="AF186" s="136" t="n">
        <f aca="false" ca="false" dt2D="false" dtr="false" t="normal">MID(L182, 5, 1)</f>
        <v>0</v>
      </c>
      <c r="AG186" s="137" t="n">
        <f aca="false" ca="false" dt2D="false" dtr="false" t="normal">AF186</f>
        <v>0</v>
      </c>
      <c r="AH186" s="120" t="s">
        <v>200</v>
      </c>
      <c r="AI186" s="139" t="s">
        <v>1111</v>
      </c>
      <c r="AJ186" s="2686" t="s"/>
      <c r="AK186" s="2687" t="s"/>
    </row>
    <row customHeight="true" hidden="false" ht="15" outlineLevel="0" r="187">
      <c r="C187" s="98" t="s">
        <v>185</v>
      </c>
      <c r="D187" s="53" t="n">
        <f aca="false" ca="false" dt2D="false" dtr="false" t="normal">HEX2BIN(D186, 8)</f>
        <v>111</v>
      </c>
      <c r="E187" s="53" t="n">
        <f aca="false" ca="false" dt2D="false" dtr="false" t="normal">HEX2BIN(E186, 8)</f>
        <v>100000</v>
      </c>
      <c r="F187" s="53" t="n">
        <f aca="false" ca="false" dt2D="false" dtr="false" t="normal">HEX2BIN(F186, 8)</f>
        <v>100</v>
      </c>
      <c r="G187" s="53" t="n">
        <f aca="false" ca="false" dt2D="false" dtr="false" t="normal">HEX2BIN(G186, 8)</f>
        <v>111</v>
      </c>
      <c r="H187" s="171" t="n"/>
      <c r="I187" s="53" t="n">
        <f aca="false" ca="false" dt2D="false" dtr="false" t="normal">U182&amp;U183&amp;U184&amp;U185&amp;U186&amp;U187&amp;U188&amp;U189</f>
        <v>0</v>
      </c>
      <c r="J187" s="171" t="n"/>
      <c r="K187" s="171" t="n"/>
      <c r="L187" s="53" t="n">
        <f aca="false" ca="false" dt2D="false" dtr="false" t="normal">AG182&amp;AG183&amp;AG184&amp;AG185&amp;AG186&amp;AG187&amp;AG188&amp;AG189</f>
        <v>0</v>
      </c>
      <c r="M187" s="53" t="n">
        <f aca="false" ca="false" dt2D="false" dtr="false" t="normal">DEC2HEX(M188)</f>
        <v>32</v>
      </c>
      <c r="N187" s="63" t="n"/>
      <c r="P187" s="2688" t="s"/>
      <c r="Q187" s="2004" t="s"/>
      <c r="R187" s="2004" t="s"/>
      <c r="S187" s="2689" t="s"/>
      <c r="T187" s="136" t="n">
        <f aca="false" ca="false" dt2D="false" dtr="false" t="normal">MID(I182, 6, 1)</f>
        <v>0</v>
      </c>
      <c r="U187" s="137" t="n">
        <f aca="false" ca="false" dt2D="false" dtr="false" t="normal">T187</f>
        <v>0</v>
      </c>
      <c r="V187" s="120" t="s">
        <v>203</v>
      </c>
      <c r="W187" s="131" t="s">
        <v>196</v>
      </c>
      <c r="X187" s="2690" t="s"/>
      <c r="Y187" s="142" t="s"/>
      <c r="Z187" s="142" t="s"/>
      <c r="AA187" s="2691" t="s"/>
      <c r="AB187" s="2692" t="s"/>
      <c r="AC187" s="142" t="s"/>
      <c r="AD187" s="142" t="s"/>
      <c r="AE187" s="2693" t="s"/>
      <c r="AF187" s="136" t="n">
        <f aca="false" ca="false" dt2D="false" dtr="false" t="normal">MID(L182, 6, 1)</f>
        <v>0</v>
      </c>
      <c r="AG187" s="137" t="n">
        <f aca="false" ca="false" dt2D="false" dtr="false" t="normal">AF187</f>
        <v>0</v>
      </c>
      <c r="AH187" s="120" t="s">
        <v>203</v>
      </c>
      <c r="AI187" s="139" t="s">
        <v>1112</v>
      </c>
      <c r="AJ187" s="2694" t="s"/>
      <c r="AK187" s="2695" t="s"/>
    </row>
    <row customHeight="true" hidden="false" ht="15" outlineLevel="0" r="188">
      <c r="C188" s="98" t="s">
        <v>191</v>
      </c>
      <c r="D188" s="53" t="n">
        <f aca="false" ca="false" dt2D="false" dtr="false" t="normal">HEX2DEC(D186)</f>
        <v>7</v>
      </c>
      <c r="E188" s="53" t="n">
        <f aca="false" ca="false" dt2D="false" dtr="false" t="normal">HEX2DEC(E186)</f>
        <v>32</v>
      </c>
      <c r="F188" s="53" t="n">
        <f aca="false" ca="false" dt2D="false" dtr="false" t="normal">HEX2DEC(F186)</f>
        <v>4</v>
      </c>
      <c r="G188" s="53" t="n">
        <f aca="false" ca="false" dt2D="false" dtr="false" t="normal">HEX2DEC(G186)</f>
        <v>7</v>
      </c>
      <c r="H188" s="53" t="n">
        <f aca="false" ca="false" dt2D="false" dtr="false" t="normal">HEX2DEC(H186)</f>
        <v>0</v>
      </c>
      <c r="I188" s="53" t="n">
        <f aca="false" ca="false" dt2D="false" dtr="false" t="normal">HEX2DEC(I186)</f>
        <v>0</v>
      </c>
      <c r="J188" s="53" t="n">
        <f aca="false" ca="false" dt2D="false" dtr="false" t="normal">HEX2DEC(J186)</f>
        <v>0</v>
      </c>
      <c r="K188" s="53" t="n">
        <f aca="false" ca="false" dt2D="false" dtr="false" t="normal">HEX2DEC(K186)</f>
        <v>0</v>
      </c>
      <c r="L188" s="53" t="n">
        <f aca="false" ca="false" dt2D="false" dtr="false" t="normal">HEX2DEC(L186)</f>
        <v>0</v>
      </c>
      <c r="M188" s="53" t="n">
        <f aca="false" ca="false" dt2D="false" dtr="false" t="normal">SUM(D188:L188)</f>
        <v>50</v>
      </c>
      <c r="N188" s="63" t="n"/>
      <c r="P188" s="2696" t="s"/>
      <c r="Q188" s="2004" t="s"/>
      <c r="R188" s="2004" t="s"/>
      <c r="S188" s="2697" t="s"/>
      <c r="T188" s="136" t="n">
        <f aca="false" ca="false" dt2D="false" dtr="false" t="normal">MID(I182, 7, 1)</f>
        <v>0</v>
      </c>
      <c r="U188" s="137" t="n">
        <f aca="false" ca="false" dt2D="false" dtr="false" t="normal">T188</f>
        <v>0</v>
      </c>
      <c r="V188" s="120" t="s">
        <v>206</v>
      </c>
      <c r="W188" s="131" t="s">
        <v>196</v>
      </c>
      <c r="X188" s="2698" t="s"/>
      <c r="Y188" s="142" t="s"/>
      <c r="Z188" s="142" t="s"/>
      <c r="AA188" s="2699" t="s"/>
      <c r="AB188" s="2700" t="s"/>
      <c r="AC188" s="142" t="s"/>
      <c r="AD188" s="142" t="s"/>
      <c r="AE188" s="2701" t="s"/>
      <c r="AF188" s="136" t="n">
        <f aca="false" ca="false" dt2D="false" dtr="false" t="normal">MID(L182, 7, 1)</f>
        <v>0</v>
      </c>
      <c r="AG188" s="137" t="n">
        <f aca="false" ca="false" dt2D="false" dtr="false" t="normal">AF188</f>
        <v>0</v>
      </c>
      <c r="AH188" s="120" t="s">
        <v>206</v>
      </c>
      <c r="AI188" s="139" t="s">
        <v>1113</v>
      </c>
      <c r="AJ188" s="2702" t="s"/>
      <c r="AK188" s="2703" t="s"/>
    </row>
    <row customHeight="true" hidden="false" ht="15.75" outlineLevel="0" r="189">
      <c r="C189" s="180" t="s">
        <v>194</v>
      </c>
      <c r="D189" s="299" t="n">
        <f aca="false" ca="false" dt2D="false" dtr="false" t="normal">D184</f>
        <v>7</v>
      </c>
      <c r="E189" s="299" t="n">
        <f aca="false" ca="false" dt2D="false" dtr="false" t="normal">E184</f>
        <v>20</v>
      </c>
      <c r="F189" s="299" t="str">
        <f aca="false" ca="false" dt2D="false" dtr="false" t="normal">F184</f>
        <v>G4</v>
      </c>
      <c r="G189" s="299" t="str">
        <f aca="false" ca="false" dt2D="false" dtr="false" t="normal">G184</f>
        <v>G7</v>
      </c>
      <c r="H189" s="45" t="n"/>
      <c r="I189" s="45" t="n"/>
      <c r="J189" s="45" t="n"/>
      <c r="K189" s="45" t="n"/>
      <c r="L189" s="45" t="n"/>
      <c r="M189" s="45" t="n"/>
      <c r="N189" s="49" t="n"/>
      <c r="P189" s="2704" t="s"/>
      <c r="Q189" s="2705" t="s"/>
      <c r="R189" s="2706" t="s"/>
      <c r="S189" s="2707" t="s"/>
      <c r="T189" s="182" t="n">
        <f aca="false" ca="false" dt2D="false" dtr="false" t="normal">MID(I182, 8, 1)</f>
        <v>0</v>
      </c>
      <c r="U189" s="183" t="n">
        <f aca="false" ca="false" dt2D="false" dtr="false" t="normal">T189</f>
        <v>0</v>
      </c>
      <c r="V189" s="184" t="s">
        <v>208</v>
      </c>
      <c r="W189" s="185" t="s">
        <v>196</v>
      </c>
      <c r="X189" s="2708" t="s"/>
      <c r="Y189" s="2709" t="s"/>
      <c r="Z189" s="2710" t="s"/>
      <c r="AA189" s="2711" t="s"/>
      <c r="AB189" s="2712" t="s"/>
      <c r="AC189" s="2713" t="s"/>
      <c r="AD189" s="2714" t="s"/>
      <c r="AE189" s="2715" t="s"/>
      <c r="AF189" s="182" t="n">
        <f aca="false" ca="false" dt2D="false" dtr="false" t="normal">MID(L182, 8, 1)</f>
        <v>0</v>
      </c>
      <c r="AG189" s="183" t="n">
        <f aca="false" ca="false" dt2D="false" dtr="false" t="normal">AF189</f>
        <v>0</v>
      </c>
      <c r="AH189" s="184" t="s">
        <v>208</v>
      </c>
      <c r="AI189" s="187" t="s">
        <v>1114</v>
      </c>
      <c r="AJ189" s="2716" t="s"/>
      <c r="AK189" s="2717" t="s"/>
    </row>
    <row hidden="false" ht="15.75" outlineLevel="0" r="190">
      <c r="C190" s="93" t="n"/>
      <c r="D190" s="94" t="n"/>
      <c r="E190" s="94" t="n"/>
      <c r="F190" s="94" t="n"/>
      <c r="G190" s="94" t="n"/>
      <c r="H190" s="94" t="n"/>
      <c r="I190" s="94" t="n"/>
      <c r="J190" s="94" t="n"/>
      <c r="K190" s="94" t="n"/>
      <c r="L190" s="94" t="n"/>
      <c r="M190" s="94" t="s">
        <v>161</v>
      </c>
      <c r="N190" s="60" t="n"/>
      <c r="P190" s="95" t="str">
        <f aca="false" ca="false" dt2D="false" dtr="false" t="normal">RIGHT(D192, 1)&amp;E192&amp;"-"&amp;F192&amp;"-"&amp;G192</f>
        <v>720-04-08</v>
      </c>
      <c r="Q190" s="2718" t="s"/>
      <c r="R190" s="234" t="s">
        <v>1115</v>
      </c>
      <c r="S190" s="2719" t="s"/>
      <c r="T190" s="2720" t="s"/>
      <c r="U190" s="2721" t="s"/>
      <c r="V190" s="2722" t="s"/>
      <c r="W190" s="2723" t="s"/>
      <c r="X190" s="2724" t="s"/>
      <c r="Y190" s="2725" t="s"/>
      <c r="Z190" s="2726" t="s"/>
      <c r="AA190" s="2727" t="s"/>
      <c r="AB190" s="2728" t="s"/>
      <c r="AC190" s="2729" t="s"/>
      <c r="AD190" s="2730" t="s"/>
      <c r="AE190" s="2731" t="s"/>
      <c r="AF190" s="2732" t="s"/>
      <c r="AG190" s="2733" t="s"/>
      <c r="AH190" s="2734" t="s"/>
      <c r="AI190" s="2735" t="s"/>
      <c r="AJ190" s="2736" t="s"/>
      <c r="AK190" s="2737" t="s"/>
    </row>
    <row hidden="false" ht="15.75" outlineLevel="0" r="191">
      <c r="C191" s="98" t="n"/>
      <c r="D191" s="99" t="s">
        <v>1116</v>
      </c>
      <c r="E191" s="2738" t="s"/>
      <c r="F191" s="2739" t="s"/>
      <c r="G191" s="2740" t="s"/>
      <c r="H191" s="53" t="s">
        <v>165</v>
      </c>
      <c r="I191" s="53" t="s">
        <v>166</v>
      </c>
      <c r="J191" s="53" t="s">
        <v>167</v>
      </c>
      <c r="K191" s="53" t="s">
        <v>168</v>
      </c>
      <c r="L191" s="53" t="s">
        <v>169</v>
      </c>
      <c r="M191" s="53" t="s">
        <v>221</v>
      </c>
      <c r="N191" s="63" t="n"/>
      <c r="P191" s="103" t="s">
        <v>1117</v>
      </c>
      <c r="Q191" s="2741" t="s"/>
      <c r="R191" s="2742" t="s"/>
      <c r="S191" s="2743" t="s"/>
      <c r="T191" s="103" t="s">
        <v>1118</v>
      </c>
      <c r="U191" s="2744" t="s"/>
      <c r="V191" s="2745" t="s"/>
      <c r="W191" s="2746" t="s"/>
      <c r="X191" s="103" t="s">
        <v>1119</v>
      </c>
      <c r="Y191" s="2747" t="s"/>
      <c r="Z191" s="2748" t="s"/>
      <c r="AA191" s="2749" t="s"/>
      <c r="AB191" s="103" t="s">
        <v>1120</v>
      </c>
      <c r="AC191" s="2750" t="s"/>
      <c r="AD191" s="2751" t="s"/>
      <c r="AE191" s="2752" t="s"/>
      <c r="AF191" s="103" t="s">
        <v>1121</v>
      </c>
      <c r="AG191" s="2753" t="s"/>
      <c r="AH191" s="2754" t="s"/>
      <c r="AI191" s="2755" t="s"/>
      <c r="AJ191" s="116" t="s">
        <v>1122</v>
      </c>
      <c r="AK191" s="2756" t="s"/>
    </row>
    <row hidden="false" ht="15.75" outlineLevel="0" r="192">
      <c r="C192" s="98" t="s">
        <v>176</v>
      </c>
      <c r="D192" s="122" t="s">
        <v>177</v>
      </c>
      <c r="E192" s="123" t="s">
        <v>693</v>
      </c>
      <c r="F192" s="123" t="s">
        <v>342</v>
      </c>
      <c r="G192" s="124" t="s">
        <v>983</v>
      </c>
      <c r="H192" s="1819" t="n">
        <f aca="false" ca="false" dt2D="false" dtr="false" ref="H192:H192" t="array">MID(INDEX($A$3:$A$70, IF(ISNA(MATCH("720G4G8*", $A$3:$A$70, 0))=TRUE, MATCH("7200408*", $A$3:$A$70, 0), MATCH("720G4G8*", $A$3:$A$70, 0))), $AU$8, 2)</f>
        <v>0</v>
      </c>
      <c r="I192" s="1820" t="n">
        <f aca="false" ca="false" dt2D="false" dtr="false" ref="I192:I192" t="array">MID(INDEX($A$3:$A$70, IF(ISNA(MATCH("720G4G8*", $A$3:$A$70, 0))=TRUE, MATCH("7200408*", $A$3:$A$70, 0), MATCH("720G4G8*", $A$3:$A$70, 0))), $AV$8, 2)</f>
        <v>0</v>
      </c>
      <c r="J192" s="164" t="n">
        <f aca="false" ca="false" dt2D="false" dtr="false" ref="J192:J192" t="array">MID(INDEX($A$3:$A$70, IF(ISNA(MATCH("720G4G8*", $A$3:$A$70, 0))=TRUE, MATCH("7200408*", $A$3:$A$70, 0), MATCH("720G4G8*", $A$3:$A$70, 0))), $AW$8, 2)</f>
        <v>0</v>
      </c>
      <c r="K192" s="1820" t="n">
        <f aca="false" ca="false" dt2D="false" dtr="false" ref="K192:K192" t="array">MID(INDEX($A$3:$A$70, IF(ISNA(MATCH("720G4G8*", $A$3:$A$70, 0))=TRUE, MATCH("7200408*", $A$3:$A$70, 0), MATCH("720G4G8*", $A$3:$A$70, 0))), $AX$8, 2)</f>
        <v>0</v>
      </c>
      <c r="L192" s="1821" t="n">
        <f aca="false" ca="false" dt2D="false" dtr="false" ref="L192:L192" t="array">MID(INDEX($A$3:$A$70, IF(ISNA(MATCH("720G4G8*", $A$3:$A$70, 0))=TRUE, MATCH("7200408*", $A$3:$A$70, 0), MATCH("720G4G8*", $A$3:$A$70, 0))), $AY$8, 2)</f>
        <v>0</v>
      </c>
      <c r="M192" s="218" t="n">
        <f aca="false" ca="false" dt2D="false" dtr="false" ref="M192:M192" t="array">MID(INDEX($A$3:$A$70, IF(ISNA(MATCH("720G4G8*", $A$3:$A$70, 0))=TRUE, MATCH("7200408*", $A$3:$A$70, 0), MATCH("720G4G8*", $A$3:$A$70, 0))), $AZ$8, 2)</f>
        <v>33</v>
      </c>
      <c r="N192" s="63" t="s">
        <v>180</v>
      </c>
      <c r="P192" s="129" t="s">
        <v>180</v>
      </c>
      <c r="Q192" s="130" t="s">
        <v>181</v>
      </c>
      <c r="R192" s="121" t="s">
        <v>182</v>
      </c>
      <c r="S192" s="131" t="n"/>
      <c r="T192" s="129" t="s">
        <v>180</v>
      </c>
      <c r="U192" s="130" t="s">
        <v>181</v>
      </c>
      <c r="V192" s="121" t="s">
        <v>182</v>
      </c>
      <c r="W192" s="131" t="n"/>
      <c r="X192" s="129" t="s">
        <v>180</v>
      </c>
      <c r="Y192" s="130" t="s">
        <v>181</v>
      </c>
      <c r="Z192" s="121" t="s">
        <v>182</v>
      </c>
      <c r="AA192" s="131" t="n"/>
      <c r="AB192" s="129" t="s">
        <v>180</v>
      </c>
      <c r="AC192" s="130" t="s">
        <v>181</v>
      </c>
      <c r="AD192" s="121" t="s">
        <v>182</v>
      </c>
      <c r="AE192" s="131" t="n"/>
      <c r="AF192" s="129" t="s">
        <v>180</v>
      </c>
      <c r="AG192" s="130" t="s">
        <v>181</v>
      </c>
      <c r="AH192" s="121" t="s">
        <v>182</v>
      </c>
      <c r="AI192" s="121" t="n"/>
      <c r="AJ192" s="116" t="s">
        <v>183</v>
      </c>
      <c r="AK192" s="2757" t="s"/>
    </row>
    <row hidden="false" ht="15" outlineLevel="0" r="193">
      <c r="C193" s="98" t="s">
        <v>185</v>
      </c>
      <c r="D193" s="53" t="n">
        <f aca="false" ca="false" dt2D="false" dtr="false" t="normal">HEX2BIN(D192, 8)</f>
        <v>111</v>
      </c>
      <c r="E193" s="53" t="n">
        <f aca="false" ca="false" dt2D="false" dtr="false" t="normal">HEX2BIN(E192, 8)</f>
        <v>100000</v>
      </c>
      <c r="F193" s="53" t="n">
        <f aca="false" ca="false" dt2D="false" dtr="false" t="normal">HEX2BIN(F192, 8)</f>
        <v>100</v>
      </c>
      <c r="G193" s="53" t="n">
        <f aca="false" ca="false" dt2D="false" dtr="false" t="normal">HEX2BIN(G192, 8)</f>
        <v>1000</v>
      </c>
      <c r="H193" s="53" t="n">
        <f aca="false" ca="false" dt2D="false" dtr="false" t="normal">HEX2BIN(H192, 8)</f>
        <v>0</v>
      </c>
      <c r="I193" s="53" t="n">
        <f aca="false" ca="false" dt2D="false" dtr="false" t="normal">HEX2BIN(I192, 8)</f>
        <v>0</v>
      </c>
      <c r="J193" s="53" t="n">
        <f aca="false" ca="false" dt2D="false" dtr="false" t="normal">HEX2BIN(J192, 8)</f>
        <v>0</v>
      </c>
      <c r="K193" s="53" t="n">
        <f aca="false" ca="false" dt2D="false" dtr="false" t="normal">HEX2BIN(K192, 8)</f>
        <v>0</v>
      </c>
      <c r="L193" s="53" t="n">
        <f aca="false" ca="false" dt2D="false" dtr="false" t="normal">HEX2BIN(L192, 8)</f>
        <v>0</v>
      </c>
      <c r="N193" s="63" t="n"/>
      <c r="P193" s="136" t="n">
        <f aca="false" ca="false" dt2D="false" dtr="false" t="normal">MID(H193, 1, 1)</f>
        <v>0</v>
      </c>
      <c r="Q193" s="137" t="n">
        <f aca="false" ca="false" dt2D="false" dtr="false" t="normal">P193</f>
        <v>0</v>
      </c>
      <c r="R193" s="120" t="s">
        <v>186</v>
      </c>
      <c r="S193" s="139" t="s">
        <v>1123</v>
      </c>
      <c r="T193" s="136" t="n">
        <f aca="false" ca="false" dt2D="false" dtr="false" t="normal">MID(I193, 1, 1)</f>
        <v>0</v>
      </c>
      <c r="U193" s="137" t="n">
        <f aca="false" ca="false" dt2D="false" dtr="false" t="normal">T193</f>
        <v>0</v>
      </c>
      <c r="V193" s="120" t="s">
        <v>186</v>
      </c>
      <c r="W193" s="131" t="s">
        <v>196</v>
      </c>
      <c r="X193" s="136" t="n">
        <f aca="false" ca="false" dt2D="false" dtr="false" t="normal">MID(J193, 1, 1)</f>
        <v>0</v>
      </c>
      <c r="Y193" s="137" t="n">
        <f aca="false" ca="false" dt2D="false" dtr="false" t="normal">X193</f>
        <v>0</v>
      </c>
      <c r="Z193" s="120" t="s">
        <v>186</v>
      </c>
      <c r="AA193" s="131" t="s">
        <v>196</v>
      </c>
      <c r="AB193" s="136" t="n">
        <f aca="false" ca="false" dt2D="false" dtr="false" t="normal">MID(K193, 1, 1)</f>
        <v>0</v>
      </c>
      <c r="AC193" s="137" t="n">
        <f aca="false" ca="false" dt2D="false" dtr="false" t="normal">AB193</f>
        <v>0</v>
      </c>
      <c r="AD193" s="120" t="s">
        <v>186</v>
      </c>
      <c r="AE193" s="131" t="s">
        <v>196</v>
      </c>
      <c r="AF193" s="136" t="n">
        <f aca="false" ca="false" dt2D="false" dtr="false" t="normal">MID(L193, 1, 1)</f>
        <v>0</v>
      </c>
      <c r="AG193" s="137" t="n">
        <f aca="false" ca="false" dt2D="false" dtr="false" t="normal">AF193</f>
        <v>0</v>
      </c>
      <c r="AH193" s="120" t="s">
        <v>186</v>
      </c>
      <c r="AI193" s="131" t="s">
        <v>196</v>
      </c>
      <c r="AJ193" s="2758" t="s"/>
      <c r="AK193" s="2759" t="s"/>
    </row>
    <row hidden="false" ht="15" outlineLevel="0" r="194">
      <c r="C194" s="98" t="s">
        <v>191</v>
      </c>
      <c r="D194" s="53" t="n">
        <f aca="false" ca="false" dt2D="false" dtr="false" t="normal">HEX2DEC(D192)</f>
        <v>7</v>
      </c>
      <c r="E194" s="53" t="n">
        <f aca="false" ca="false" dt2D="false" dtr="false" t="normal">HEX2DEC(E192)</f>
        <v>32</v>
      </c>
      <c r="F194" s="53" t="n">
        <f aca="false" ca="false" dt2D="false" dtr="false" t="normal">HEX2DEC(F192)</f>
        <v>4</v>
      </c>
      <c r="G194" s="53" t="n">
        <f aca="false" ca="false" dt2D="false" dtr="false" t="normal">HEX2DEC(G192)</f>
        <v>8</v>
      </c>
      <c r="H194" s="53" t="n">
        <f aca="false" ca="false" dt2D="false" dtr="false" t="normal">HEX2DEC(H192)</f>
        <v>0</v>
      </c>
      <c r="I194" s="53" t="n">
        <f aca="false" ca="false" dt2D="false" dtr="false" t="normal">HEX2DEC(I192)</f>
        <v>0</v>
      </c>
      <c r="J194" s="53" t="n">
        <f aca="false" ca="false" dt2D="false" dtr="false" t="normal">HEX2DEC(J192)</f>
        <v>0</v>
      </c>
      <c r="K194" s="53" t="n">
        <f aca="false" ca="false" dt2D="false" dtr="false" t="normal">HEX2DEC(K192)</f>
        <v>0</v>
      </c>
      <c r="L194" s="53" t="n">
        <f aca="false" ca="false" dt2D="false" dtr="false" t="normal">HEX2DEC(L192)</f>
        <v>0</v>
      </c>
      <c r="M194" s="53" t="n">
        <f aca="false" ca="false" dt2D="false" dtr="false" t="normal">SUM(D194:L194)</f>
        <v>51</v>
      </c>
      <c r="N194" s="63" t="n"/>
      <c r="P194" s="136" t="n">
        <f aca="false" ca="false" dt2D="false" dtr="false" t="normal">MID(H193, 2, 1)</f>
        <v>0</v>
      </c>
      <c r="Q194" s="137" t="n">
        <f aca="false" ca="false" dt2D="false" dtr="false" t="normal">P194</f>
        <v>0</v>
      </c>
      <c r="R194" s="120" t="s">
        <v>192</v>
      </c>
      <c r="S194" s="139" t="s">
        <v>1124</v>
      </c>
      <c r="T194" s="136" t="n">
        <f aca="false" ca="false" dt2D="false" dtr="false" t="normal">MID(I193, 2, 1)</f>
        <v>0</v>
      </c>
      <c r="U194" s="137" t="n">
        <f aca="false" ca="false" dt2D="false" dtr="false" t="normal">T194</f>
        <v>0</v>
      </c>
      <c r="V194" s="120" t="s">
        <v>192</v>
      </c>
      <c r="W194" s="139" t="s">
        <v>1125</v>
      </c>
      <c r="X194" s="136" t="n">
        <f aca="false" ca="false" dt2D="false" dtr="false" t="normal">MID(J193, 2, 1)</f>
        <v>0</v>
      </c>
      <c r="Y194" s="137" t="n">
        <f aca="false" ca="false" dt2D="false" dtr="false" t="normal">X194</f>
        <v>0</v>
      </c>
      <c r="Z194" s="120" t="s">
        <v>192</v>
      </c>
      <c r="AA194" s="139" t="s">
        <v>1126</v>
      </c>
      <c r="AB194" s="136" t="n">
        <f aca="false" ca="false" dt2D="false" dtr="false" t="normal">MID(K193, 2, 1)</f>
        <v>0</v>
      </c>
      <c r="AC194" s="137" t="n">
        <f aca="false" ca="false" dt2D="false" dtr="false" t="normal">AB194</f>
        <v>0</v>
      </c>
      <c r="AD194" s="120" t="s">
        <v>192</v>
      </c>
      <c r="AE194" s="139" t="s">
        <v>1127</v>
      </c>
      <c r="AF194" s="136" t="n">
        <f aca="false" ca="false" dt2D="false" dtr="false" t="normal">MID(L193, 2, 1)</f>
        <v>0</v>
      </c>
      <c r="AG194" s="137" t="n">
        <f aca="false" ca="false" dt2D="false" dtr="false" t="normal">AF194</f>
        <v>0</v>
      </c>
      <c r="AH194" s="120" t="s">
        <v>192</v>
      </c>
      <c r="AI194" s="139" t="s">
        <v>1128</v>
      </c>
      <c r="AJ194" s="2760" t="s"/>
      <c r="AK194" s="2761" t="s"/>
    </row>
    <row customHeight="true" hidden="false" ht="15" outlineLevel="0" r="195">
      <c r="C195" s="98" t="s">
        <v>194</v>
      </c>
      <c r="D195" s="149" t="n">
        <f aca="false" ca="false" dt2D="false" dtr="false" t="normal">D192</f>
        <v>7</v>
      </c>
      <c r="E195" s="149" t="n">
        <f aca="false" ca="false" dt2D="false" dtr="false" t="normal">E192</f>
        <v>20</v>
      </c>
      <c r="F195" s="53" t="str">
        <f aca="false" ca="false" dt2D="false" dtr="false" t="normal">MID(INDEX($A$3:$A$70, IF(ISNA(MATCH("720G4G8*", $A$3:$A$70, 0))=TRUE, MATCH("7200408*", $A$3:$A$70, 0), MATCH("720G4G8*", $A$3:$A$70, 0))), $AS$8, 2)</f>
        <v>G4</v>
      </c>
      <c r="G195" s="53" t="str">
        <f aca="false" ca="false" dt2D="false" dtr="false" t="normal">MID(INDEX($A$3:$A$70, IF(ISNA(MATCH("720G4G8*", $A$3:$A$70, 0))=TRUE, MATCH("7200408*", $A$3:$A$70, 0), MATCH("720G4G8*", $A$3:$A$70, 0))), $AT$8, 2)</f>
        <v>G8</v>
      </c>
      <c r="N195" s="63" t="n"/>
      <c r="P195" s="136" t="n">
        <f aca="false" ca="false" dt2D="false" dtr="false" t="normal">MID(H193, 3, 1)</f>
        <v>0</v>
      </c>
      <c r="Q195" s="137" t="n">
        <f aca="false" ca="false" dt2D="false" dtr="false" t="normal">P195</f>
        <v>0</v>
      </c>
      <c r="R195" s="120" t="s">
        <v>195</v>
      </c>
      <c r="S195" s="139" t="s">
        <v>1129</v>
      </c>
      <c r="T195" s="136" t="n">
        <f aca="false" ca="false" dt2D="false" dtr="false" t="normal">MID(I193, 3, 1)</f>
        <v>0</v>
      </c>
      <c r="U195" s="137" t="n">
        <f aca="false" ca="false" dt2D="false" dtr="false" t="normal">T195</f>
        <v>0</v>
      </c>
      <c r="V195" s="120" t="s">
        <v>195</v>
      </c>
      <c r="W195" s="131" t="s">
        <v>196</v>
      </c>
      <c r="X195" s="136" t="n">
        <f aca="false" ca="false" dt2D="false" dtr="false" t="normal">MID(J193, 3, 1)</f>
        <v>0</v>
      </c>
      <c r="Y195" s="137" t="n">
        <f aca="false" ca="false" dt2D="false" dtr="false" t="normal">X195</f>
        <v>0</v>
      </c>
      <c r="Z195" s="120" t="s">
        <v>195</v>
      </c>
      <c r="AA195" s="139" t="s">
        <v>1130</v>
      </c>
      <c r="AB195" s="136" t="n">
        <f aca="false" ca="false" dt2D="false" dtr="false" t="normal">MID(K193, 3, 1)</f>
        <v>0</v>
      </c>
      <c r="AC195" s="137" t="n">
        <f aca="false" ca="false" dt2D="false" dtr="false" t="normal">AB195</f>
        <v>0</v>
      </c>
      <c r="AD195" s="120" t="s">
        <v>195</v>
      </c>
      <c r="AE195" s="635" t="s">
        <v>1131</v>
      </c>
      <c r="AF195" s="136" t="n">
        <f aca="false" ca="false" dt2D="false" dtr="false" t="normal">MID(L193, 3, 1)</f>
        <v>0</v>
      </c>
      <c r="AG195" s="137" t="n">
        <f aca="false" ca="false" dt2D="false" dtr="false" t="normal">AF195</f>
        <v>0</v>
      </c>
      <c r="AH195" s="120" t="s">
        <v>195</v>
      </c>
      <c r="AI195" s="139" t="s">
        <v>1132</v>
      </c>
      <c r="AJ195" s="2762" t="s"/>
      <c r="AK195" s="2763" t="s"/>
    </row>
    <row hidden="false" ht="15.75" outlineLevel="0" r="196">
      <c r="C196" s="98" t="n"/>
      <c r="N196" s="63" t="n"/>
      <c r="P196" s="136" t="n">
        <f aca="false" ca="false" dt2D="false" dtr="false" t="normal">MID(H193, 4, 1)</f>
        <v>0</v>
      </c>
      <c r="Q196" s="137" t="n">
        <f aca="false" ca="false" dt2D="false" dtr="false" t="normal">P196</f>
        <v>0</v>
      </c>
      <c r="R196" s="120" t="s">
        <v>197</v>
      </c>
      <c r="S196" s="139" t="s">
        <v>1133</v>
      </c>
      <c r="T196" s="136" t="n">
        <f aca="false" ca="false" dt2D="false" dtr="false" t="normal">MID(I193, 4, 1)</f>
        <v>0</v>
      </c>
      <c r="U196" s="137" t="n">
        <f aca="false" ca="false" dt2D="false" dtr="false" t="normal">T196</f>
        <v>0</v>
      </c>
      <c r="V196" s="120" t="s">
        <v>197</v>
      </c>
      <c r="W196" s="131" t="s">
        <v>196</v>
      </c>
      <c r="X196" s="136" t="n">
        <f aca="false" ca="false" dt2D="false" dtr="false" t="normal">MID(J193, 4, 1)</f>
        <v>0</v>
      </c>
      <c r="Y196" s="137" t="n">
        <f aca="false" ca="false" dt2D="false" dtr="false" t="normal">X196</f>
        <v>0</v>
      </c>
      <c r="Z196" s="120" t="s">
        <v>197</v>
      </c>
      <c r="AA196" s="139" t="s">
        <v>412</v>
      </c>
      <c r="AB196" s="136" t="n">
        <f aca="false" ca="false" dt2D="false" dtr="false" t="normal">MID(K193, 4, 1)</f>
        <v>0</v>
      </c>
      <c r="AC196" s="137" t="n">
        <f aca="false" ca="false" dt2D="false" dtr="false" t="normal">AB196</f>
        <v>0</v>
      </c>
      <c r="AD196" s="120" t="s">
        <v>197</v>
      </c>
      <c r="AE196" s="2764" t="s"/>
      <c r="AF196" s="136" t="n">
        <f aca="false" ca="false" dt2D="false" dtr="false" t="normal">MID(L193, 4, 1)</f>
        <v>0</v>
      </c>
      <c r="AG196" s="137" t="n">
        <f aca="false" ca="false" dt2D="false" dtr="false" t="normal">AF196</f>
        <v>0</v>
      </c>
      <c r="AH196" s="120" t="s">
        <v>197</v>
      </c>
      <c r="AI196" s="139" t="s">
        <v>1134</v>
      </c>
      <c r="AJ196" s="2765" t="s"/>
      <c r="AK196" s="2766" t="s"/>
    </row>
    <row hidden="false" ht="15.75" outlineLevel="0" r="197">
      <c r="C197" s="98" t="s">
        <v>176</v>
      </c>
      <c r="D197" s="159" t="n">
        <f aca="false" ca="false" dt2D="false" dtr="false" t="normal">D192</f>
        <v>7</v>
      </c>
      <c r="E197" s="160" t="n">
        <f aca="false" ca="false" dt2D="false" dtr="false" t="normal">E192</f>
        <v>20</v>
      </c>
      <c r="F197" s="160" t="n">
        <f aca="false" ca="false" dt2D="false" dtr="false" t="normal">F192</f>
        <v>4</v>
      </c>
      <c r="G197" s="161" t="n">
        <f aca="false" ca="false" dt2D="false" dtr="false" t="normal">G192</f>
        <v>8</v>
      </c>
      <c r="H197" s="162" t="n">
        <f aca="false" ca="false" dt2D="false" dtr="false" t="normal">BIN2HEX(H198, 2)</f>
        <v>0</v>
      </c>
      <c r="I197" s="163" t="n">
        <f aca="false" ca="false" dt2D="false" dtr="false" t="normal">BIN2HEX(I198, 2)</f>
        <v>0</v>
      </c>
      <c r="J197" s="164" t="n">
        <f aca="false" ca="false" dt2D="false" dtr="false" t="normal">BIN2HEX(J198, 2)</f>
        <v>0</v>
      </c>
      <c r="K197" s="165" t="n">
        <f aca="false" ca="false" dt2D="false" dtr="false" t="normal">BIN2HEX(K198, 2)</f>
        <v>0</v>
      </c>
      <c r="L197" s="288" t="n">
        <f aca="false" ca="false" dt2D="false" dtr="false" t="normal">BIN2HEX(L198, 2)</f>
        <v>0</v>
      </c>
      <c r="M197" s="166" t="n">
        <f aca="false" ca="false" dt2D="false" dtr="false" t="normal">IF(LEN(M198)&gt;2, MID(M198, 2, 2), M198)</f>
        <v>33</v>
      </c>
      <c r="N197" s="63" t="s">
        <v>181</v>
      </c>
      <c r="P197" s="136" t="n">
        <f aca="false" ca="false" dt2D="false" dtr="false" t="normal">MID(H193, 5, 1)</f>
        <v>0</v>
      </c>
      <c r="Q197" s="137" t="n">
        <f aca="false" ca="false" dt2D="false" dtr="false" t="normal">P197</f>
        <v>0</v>
      </c>
      <c r="R197" s="120" t="s">
        <v>200</v>
      </c>
      <c r="S197" s="139" t="s">
        <v>1135</v>
      </c>
      <c r="T197" s="136" t="n">
        <f aca="false" ca="false" dt2D="false" dtr="false" t="normal">MID(I193, 5, 1)</f>
        <v>0</v>
      </c>
      <c r="U197" s="137" t="n">
        <f aca="false" ca="false" dt2D="false" dtr="false" t="normal">T197</f>
        <v>0</v>
      </c>
      <c r="V197" s="120" t="s">
        <v>200</v>
      </c>
      <c r="W197" s="131" t="s">
        <v>196</v>
      </c>
      <c r="X197" s="136" t="n">
        <f aca="false" ca="false" dt2D="false" dtr="false" t="normal">MID(J193, 5, 1)</f>
        <v>0</v>
      </c>
      <c r="Y197" s="137" t="n">
        <f aca="false" ca="false" dt2D="false" dtr="false" t="normal">X197</f>
        <v>0</v>
      </c>
      <c r="Z197" s="120" t="s">
        <v>200</v>
      </c>
      <c r="AA197" s="139" t="s">
        <v>1136</v>
      </c>
      <c r="AB197" s="136" t="n">
        <f aca="false" ca="false" dt2D="false" dtr="false" t="normal">MID(K193, 5, 1)</f>
        <v>0</v>
      </c>
      <c r="AC197" s="137" t="n">
        <f aca="false" ca="false" dt2D="false" dtr="false" t="normal">AB197</f>
        <v>0</v>
      </c>
      <c r="AD197" s="120" t="s">
        <v>200</v>
      </c>
      <c r="AE197" s="139" t="s">
        <v>1137</v>
      </c>
      <c r="AF197" s="136" t="n">
        <f aca="false" ca="false" dt2D="false" dtr="false" t="normal">MID(L193, 5, 1)</f>
        <v>0</v>
      </c>
      <c r="AG197" s="137" t="n">
        <f aca="false" ca="false" dt2D="false" dtr="false" t="normal">AF197</f>
        <v>0</v>
      </c>
      <c r="AH197" s="120" t="s">
        <v>200</v>
      </c>
      <c r="AI197" s="139" t="s">
        <v>1138</v>
      </c>
      <c r="AJ197" s="2767" t="s"/>
      <c r="AK197" s="2768" t="s"/>
    </row>
    <row customHeight="true" hidden="false" ht="15" outlineLevel="0" r="198">
      <c r="C198" s="98" t="s">
        <v>185</v>
      </c>
      <c r="D198" s="53" t="n">
        <f aca="false" ca="false" dt2D="false" dtr="false" t="normal">HEX2BIN(D197, 8)</f>
        <v>111</v>
      </c>
      <c r="E198" s="53" t="n">
        <f aca="false" ca="false" dt2D="false" dtr="false" t="normal">HEX2BIN(E197, 8)</f>
        <v>100000</v>
      </c>
      <c r="F198" s="53" t="n">
        <f aca="false" ca="false" dt2D="false" dtr="false" t="normal">HEX2BIN(F197, 8)</f>
        <v>100</v>
      </c>
      <c r="G198" s="53" t="n">
        <f aca="false" ca="false" dt2D="false" dtr="false" t="normal">HEX2BIN(G197, 8)</f>
        <v>1000</v>
      </c>
      <c r="H198" s="171" t="n">
        <f aca="false" ca="false" dt2D="false" dtr="false" t="normal">Q193&amp;Q194&amp;Q195&amp;Q196&amp;Q197&amp;Q198&amp;Q199&amp;Q200</f>
        <v>0</v>
      </c>
      <c r="I198" s="53" t="n">
        <f aca="false" ca="false" dt2D="false" dtr="false" t="normal">U193&amp;U194&amp;U195&amp;U196&amp;U197&amp;U198&amp;U199&amp;U200</f>
        <v>0</v>
      </c>
      <c r="J198" s="171" t="n">
        <f aca="false" ca="false" dt2D="false" dtr="false" t="normal">Y193&amp;Y194&amp;Y195&amp;Y196&amp;Y197&amp;Y198&amp;Y199&amp;Y200</f>
        <v>0</v>
      </c>
      <c r="K198" s="171" t="n">
        <f aca="false" ca="false" dt2D="false" dtr="false" t="normal">AC193&amp;AC194&amp;AC195&amp;AC196&amp;AC197&amp;AC198&amp;AC199&amp;AC200</f>
        <v>0</v>
      </c>
      <c r="L198" s="53" t="n">
        <f aca="false" ca="false" dt2D="false" dtr="false" t="normal">AG193&amp;AG194&amp;AG195&amp;AG196&amp;AG197&amp;AG198&amp;AG199&amp;AG200</f>
        <v>0</v>
      </c>
      <c r="M198" s="53" t="n">
        <f aca="false" ca="false" dt2D="false" dtr="false" t="normal">DEC2HEX(M199)</f>
        <v>33</v>
      </c>
      <c r="N198" s="63" t="n"/>
      <c r="P198" s="136" t="n">
        <f aca="false" ca="false" dt2D="false" dtr="false" t="normal">MID(H193, 6, 1)</f>
        <v>0</v>
      </c>
      <c r="Q198" s="137" t="n">
        <f aca="false" ca="false" dt2D="false" dtr="false" t="normal">P198</f>
        <v>0</v>
      </c>
      <c r="R198" s="120" t="s">
        <v>203</v>
      </c>
      <c r="S198" s="139" t="s">
        <v>1139</v>
      </c>
      <c r="T198" s="136" t="n">
        <f aca="false" ca="false" dt2D="false" dtr="false" t="normal">MID(I193, 6, 1)</f>
        <v>0</v>
      </c>
      <c r="U198" s="137" t="n">
        <f aca="false" ca="false" dt2D="false" dtr="false" t="normal">T198</f>
        <v>0</v>
      </c>
      <c r="V198" s="120" t="s">
        <v>203</v>
      </c>
      <c r="W198" s="131" t="s">
        <v>196</v>
      </c>
      <c r="X198" s="136" t="n">
        <f aca="false" ca="false" dt2D="false" dtr="false" t="normal">MID(J193, 6, 1)</f>
        <v>0</v>
      </c>
      <c r="Y198" s="137" t="n">
        <f aca="false" ca="false" dt2D="false" dtr="false" t="normal">X198</f>
        <v>0</v>
      </c>
      <c r="Z198" s="120" t="s">
        <v>203</v>
      </c>
      <c r="AA198" s="139" t="s">
        <v>1140</v>
      </c>
      <c r="AB198" s="136" t="n">
        <f aca="false" ca="false" dt2D="false" dtr="false" t="normal">MID(K193, 6, 1)</f>
        <v>0</v>
      </c>
      <c r="AC198" s="137" t="n">
        <f aca="false" ca="false" dt2D="false" dtr="false" t="normal">AB198</f>
        <v>0</v>
      </c>
      <c r="AD198" s="120" t="s">
        <v>203</v>
      </c>
      <c r="AE198" s="140" t="s">
        <v>1141</v>
      </c>
      <c r="AF198" s="136" t="n">
        <f aca="false" ca="false" dt2D="false" dtr="false" t="normal">MID(L193, 6, 1)</f>
        <v>0</v>
      </c>
      <c r="AG198" s="137" t="n">
        <f aca="false" ca="false" dt2D="false" dtr="false" t="normal">AF198</f>
        <v>0</v>
      </c>
      <c r="AH198" s="120" t="s">
        <v>203</v>
      </c>
      <c r="AI198" s="139" t="s">
        <v>1142</v>
      </c>
      <c r="AJ198" s="2769" t="s"/>
      <c r="AK198" s="2770" t="s"/>
    </row>
    <row hidden="false" ht="15" outlineLevel="0" r="199">
      <c r="C199" s="98" t="s">
        <v>191</v>
      </c>
      <c r="D199" s="53" t="n">
        <f aca="false" ca="false" dt2D="false" dtr="false" t="normal">HEX2DEC(D197)</f>
        <v>7</v>
      </c>
      <c r="E199" s="53" t="n">
        <f aca="false" ca="false" dt2D="false" dtr="false" t="normal">HEX2DEC(E197)</f>
        <v>32</v>
      </c>
      <c r="F199" s="53" t="n">
        <f aca="false" ca="false" dt2D="false" dtr="false" t="normal">HEX2DEC(F197)</f>
        <v>4</v>
      </c>
      <c r="G199" s="53" t="n">
        <f aca="false" ca="false" dt2D="false" dtr="false" t="normal">HEX2DEC(G197)</f>
        <v>8</v>
      </c>
      <c r="H199" s="53" t="n">
        <f aca="false" ca="false" dt2D="false" dtr="false" t="normal">HEX2DEC(H197)</f>
        <v>0</v>
      </c>
      <c r="I199" s="53" t="n">
        <f aca="false" ca="false" dt2D="false" dtr="false" t="normal">HEX2DEC(I197)</f>
        <v>0</v>
      </c>
      <c r="J199" s="53" t="n">
        <f aca="false" ca="false" dt2D="false" dtr="false" t="normal">HEX2DEC(J197)</f>
        <v>0</v>
      </c>
      <c r="K199" s="53" t="n">
        <f aca="false" ca="false" dt2D="false" dtr="false" t="normal">HEX2DEC(K197)</f>
        <v>0</v>
      </c>
      <c r="L199" s="53" t="n">
        <f aca="false" ca="false" dt2D="false" dtr="false" t="normal">HEX2DEC(L197)</f>
        <v>0</v>
      </c>
      <c r="M199" s="53" t="n">
        <f aca="false" ca="false" dt2D="false" dtr="false" t="normal">SUM(D199:L199)</f>
        <v>51</v>
      </c>
      <c r="N199" s="63" t="n"/>
      <c r="P199" s="136" t="n">
        <f aca="false" ca="false" dt2D="false" dtr="false" t="normal">MID(H193, 7, 1)</f>
        <v>0</v>
      </c>
      <c r="Q199" s="137" t="n">
        <f aca="false" ca="false" dt2D="false" dtr="false" t="normal">P199</f>
        <v>0</v>
      </c>
      <c r="R199" s="120" t="s">
        <v>206</v>
      </c>
      <c r="S199" s="131" t="s">
        <v>196</v>
      </c>
      <c r="T199" s="136" t="n">
        <f aca="false" ca="false" dt2D="false" dtr="false" t="normal">MID(I193, 7, 1)</f>
        <v>0</v>
      </c>
      <c r="U199" s="137" t="n">
        <f aca="false" ca="false" dt2D="false" dtr="false" t="normal">T199</f>
        <v>0</v>
      </c>
      <c r="V199" s="120" t="s">
        <v>206</v>
      </c>
      <c r="W199" s="131" t="s">
        <v>196</v>
      </c>
      <c r="X199" s="136" t="n">
        <f aca="false" ca="false" dt2D="false" dtr="false" t="normal">MID(J193, 7, 1)</f>
        <v>0</v>
      </c>
      <c r="Y199" s="137" t="n">
        <f aca="false" ca="false" dt2D="false" dtr="false" t="normal">X199</f>
        <v>0</v>
      </c>
      <c r="Z199" s="120" t="s">
        <v>206</v>
      </c>
      <c r="AA199" s="2771" t="s">
        <v>1143</v>
      </c>
      <c r="AB199" s="136" t="n">
        <f aca="false" ca="false" dt2D="false" dtr="false" t="normal">MID(K193, 7, 1)</f>
        <v>0</v>
      </c>
      <c r="AC199" s="137" t="n">
        <f aca="false" ca="false" dt2D="false" dtr="false" t="normal">AB199</f>
        <v>0</v>
      </c>
      <c r="AD199" s="120" t="s">
        <v>206</v>
      </c>
      <c r="AE199" s="2772" t="s"/>
      <c r="AF199" s="136" t="n">
        <f aca="false" ca="false" dt2D="false" dtr="false" t="normal">MID(L193, 7, 1)</f>
        <v>0</v>
      </c>
      <c r="AG199" s="137" t="n">
        <f aca="false" ca="false" dt2D="false" dtr="false" t="normal">AF199</f>
        <v>0</v>
      </c>
      <c r="AH199" s="120" t="s">
        <v>206</v>
      </c>
      <c r="AI199" s="139" t="s">
        <v>1144</v>
      </c>
      <c r="AJ199" s="2773" t="s"/>
      <c r="AK199" s="2774" t="s"/>
    </row>
    <row hidden="false" ht="15.75" outlineLevel="0" r="200">
      <c r="C200" s="180" t="s">
        <v>194</v>
      </c>
      <c r="D200" s="299" t="n">
        <f aca="false" ca="false" dt2D="false" dtr="false" t="normal">D195</f>
        <v>7</v>
      </c>
      <c r="E200" s="299" t="n">
        <f aca="false" ca="false" dt2D="false" dtr="false" t="normal">E195</f>
        <v>20</v>
      </c>
      <c r="F200" s="299" t="str">
        <f aca="false" ca="false" dt2D="false" dtr="false" t="normal">F195</f>
        <v>G4</v>
      </c>
      <c r="G200" s="299" t="str">
        <f aca="false" ca="false" dt2D="false" dtr="false" t="normal">G195</f>
        <v>G8</v>
      </c>
      <c r="H200" s="45" t="n"/>
      <c r="I200" s="45" t="n"/>
      <c r="J200" s="45" t="n"/>
      <c r="K200" s="45" t="n"/>
      <c r="L200" s="45" t="n"/>
      <c r="M200" s="45" t="n"/>
      <c r="N200" s="49" t="n"/>
      <c r="P200" s="182" t="n">
        <f aca="false" ca="false" dt2D="false" dtr="false" t="normal">MID(H193, 8, 1)</f>
        <v>0</v>
      </c>
      <c r="Q200" s="183" t="n">
        <f aca="false" ca="false" dt2D="false" dtr="false" t="normal">P200</f>
        <v>0</v>
      </c>
      <c r="R200" s="184" t="s">
        <v>208</v>
      </c>
      <c r="S200" s="187" t="s">
        <v>1145</v>
      </c>
      <c r="T200" s="182" t="n">
        <f aca="false" ca="false" dt2D="false" dtr="false" t="normal">MID(I193, 8, 1)</f>
        <v>0</v>
      </c>
      <c r="U200" s="183" t="n">
        <f aca="false" ca="false" dt2D="false" dtr="false" t="normal">T200</f>
        <v>0</v>
      </c>
      <c r="V200" s="184" t="s">
        <v>208</v>
      </c>
      <c r="W200" s="185" t="s">
        <v>196</v>
      </c>
      <c r="X200" s="182" t="n">
        <f aca="false" ca="false" dt2D="false" dtr="false" t="normal">MID(J193, 8, 1)</f>
        <v>0</v>
      </c>
      <c r="Y200" s="183" t="n">
        <f aca="false" ca="false" dt2D="false" dtr="false" t="normal">X200</f>
        <v>0</v>
      </c>
      <c r="Z200" s="184" t="s">
        <v>208</v>
      </c>
      <c r="AA200" s="2775" t="s"/>
      <c r="AB200" s="182" t="n">
        <f aca="false" ca="false" dt2D="false" dtr="false" t="normal">MID(K193, 8, 1)</f>
        <v>0</v>
      </c>
      <c r="AC200" s="183" t="n">
        <f aca="false" ca="false" dt2D="false" dtr="false" t="normal">AB200</f>
        <v>0</v>
      </c>
      <c r="AD200" s="184" t="s">
        <v>208</v>
      </c>
      <c r="AE200" s="187" t="s">
        <v>1146</v>
      </c>
      <c r="AF200" s="182" t="n">
        <f aca="false" ca="false" dt2D="false" dtr="false" t="normal">MID(L193, 8, 1)</f>
        <v>0</v>
      </c>
      <c r="AG200" s="183" t="n">
        <f aca="false" ca="false" dt2D="false" dtr="false" t="normal">AF200</f>
        <v>0</v>
      </c>
      <c r="AH200" s="184" t="s">
        <v>208</v>
      </c>
      <c r="AI200" s="187" t="s">
        <v>1147</v>
      </c>
      <c r="AJ200" s="2776" t="s"/>
      <c r="AK200" s="2777" t="s"/>
    </row>
    <row hidden="false" ht="15.75" outlineLevel="0" r="201">
      <c r="C201" s="93" t="n"/>
      <c r="D201" s="94" t="n"/>
      <c r="E201" s="94" t="n"/>
      <c r="F201" s="94" t="n"/>
      <c r="G201" s="94" t="n"/>
      <c r="H201" s="94" t="n"/>
      <c r="I201" s="94" t="n"/>
      <c r="J201" s="94" t="n"/>
      <c r="K201" s="94" t="n"/>
      <c r="L201" s="94" t="n"/>
      <c r="M201" s="94" t="s">
        <v>161</v>
      </c>
      <c r="N201" s="60" t="n"/>
      <c r="P201" s="95" t="str">
        <f aca="false" ca="false" dt2D="false" dtr="false" t="normal">RIGHT(D203, 1)&amp;E203&amp;"-"&amp;F203&amp;"-"&amp;G203</f>
        <v>720-04-09</v>
      </c>
      <c r="Q201" s="2778" t="s"/>
      <c r="R201" s="234" t="s">
        <v>1148</v>
      </c>
      <c r="S201" s="2779" t="s"/>
      <c r="T201" s="2780" t="s"/>
      <c r="U201" s="2781" t="s"/>
      <c r="V201" s="2782" t="s"/>
      <c r="W201" s="2783" t="s"/>
      <c r="X201" s="2784" t="s"/>
      <c r="Y201" s="2785" t="s"/>
      <c r="Z201" s="2786" t="s"/>
      <c r="AA201" s="2787" t="s"/>
      <c r="AB201" s="2788" t="s"/>
      <c r="AC201" s="2789" t="s"/>
      <c r="AD201" s="2790" t="s"/>
      <c r="AE201" s="2791" t="s"/>
      <c r="AF201" s="2792" t="s"/>
      <c r="AG201" s="2793" t="s"/>
      <c r="AH201" s="2794" t="s"/>
      <c r="AI201" s="2795" t="s"/>
      <c r="AJ201" s="2796" t="s"/>
      <c r="AK201" s="2797" t="s"/>
    </row>
    <row hidden="false" ht="15.75" outlineLevel="0" r="202">
      <c r="C202" s="98" t="n"/>
      <c r="D202" s="99" t="s">
        <v>1149</v>
      </c>
      <c r="E202" s="2798" t="s"/>
      <c r="F202" s="2799" t="s"/>
      <c r="G202" s="2800" t="s"/>
      <c r="H202" s="53" t="s">
        <v>165</v>
      </c>
      <c r="I202" s="53" t="s">
        <v>166</v>
      </c>
      <c r="J202" s="53" t="s">
        <v>167</v>
      </c>
      <c r="K202" s="53" t="s">
        <v>168</v>
      </c>
      <c r="L202" s="53" t="s">
        <v>169</v>
      </c>
      <c r="M202" s="53" t="s">
        <v>221</v>
      </c>
      <c r="N202" s="63" t="n"/>
      <c r="P202" s="116" t="s">
        <v>1150</v>
      </c>
      <c r="Q202" s="2801" t="s"/>
      <c r="R202" s="2802" t="s"/>
      <c r="S202" s="2803" t="s"/>
      <c r="T202" s="116" t="s">
        <v>1151</v>
      </c>
      <c r="U202" s="2804" t="s"/>
      <c r="V202" s="2805" t="s"/>
      <c r="W202" s="2806" t="s"/>
      <c r="X202" s="103" t="s">
        <v>1152</v>
      </c>
      <c r="Y202" s="2807" t="s"/>
      <c r="Z202" s="2808" t="s"/>
      <c r="AA202" s="2809" t="s"/>
      <c r="AB202" s="103" t="s">
        <v>1153</v>
      </c>
      <c r="AC202" s="2810" t="s"/>
      <c r="AD202" s="2811" t="s"/>
      <c r="AE202" s="2812" t="s"/>
      <c r="AF202" s="103" t="s">
        <v>1154</v>
      </c>
      <c r="AG202" s="2813" t="s"/>
      <c r="AH202" s="2814" t="s"/>
      <c r="AI202" s="2815" t="s"/>
      <c r="AJ202" s="116" t="s">
        <v>1155</v>
      </c>
      <c r="AK202" s="2816" t="s"/>
    </row>
    <row hidden="false" ht="15.75" outlineLevel="0" r="203">
      <c r="C203" s="98" t="s">
        <v>176</v>
      </c>
      <c r="D203" s="122" t="s">
        <v>177</v>
      </c>
      <c r="E203" s="123" t="s">
        <v>693</v>
      </c>
      <c r="F203" s="123" t="s">
        <v>342</v>
      </c>
      <c r="G203" s="124" t="s">
        <v>1010</v>
      </c>
      <c r="H203" s="164" t="n">
        <f aca="false" ca="false" dt2D="false" dtr="false" ref="H203:H203" t="array">MID(INDEX($A$3:$A$70, IF(ISNA(MATCH("720G4G9*", $A$3:$A$70, 0))=TRUE, MATCH("7200409*", $A$3:$A$70, 0), MATCH("720G4G9*", $A$3:$A$70, 0))), $AU$8, 2)</f>
        <v>0</v>
      </c>
      <c r="I203" s="1820" t="n">
        <f aca="false" ca="false" dt2D="false" dtr="false" ref="I203:I203" t="array">MID(INDEX($A$3:$A$70, IF(ISNA(MATCH("720G4G9*", $A$3:$A$70, 0))=TRUE, MATCH("7200409*", $A$3:$A$70, 0), MATCH("720G4G9*", $A$3:$A$70, 0))), $AV$8, 2)</f>
        <v>0</v>
      </c>
      <c r="J203" s="1820" t="n">
        <f aca="false" ca="false" dt2D="false" dtr="false" ref="J203:J203" t="array">MID(INDEX($A$3:$A$70, IF(ISNA(MATCH("720G4G9*", $A$3:$A$70, 0))=TRUE, MATCH("7200409*", $A$3:$A$70, 0), MATCH("720G4G9*", $A$3:$A$70, 0))), $AW$8, 2)</f>
        <v>0</v>
      </c>
      <c r="K203" s="1821" t="n">
        <f aca="false" ca="false" dt2D="false" dtr="false" ref="K203:K203" t="array">MID(INDEX($A$3:$A$70, IF(ISNA(MATCH("720G4G9*", $A$3:$A$70, 0))=TRUE, MATCH("7200409*", $A$3:$A$70, 0), MATCH("720G4G9*", $A$3:$A$70, 0))), $AX$8, 2)</f>
        <v>0</v>
      </c>
      <c r="L203" s="1821" t="n">
        <f aca="false" ca="false" dt2D="false" dtr="false" ref="L203:L203" t="array">MID(INDEX($A$3:$A$70, IF(ISNA(MATCH("720G4G9*", $A$3:$A$70, 0))=TRUE, MATCH("7200409*", $A$3:$A$70, 0), MATCH("720G4G9*", $A$3:$A$70, 0))), $AY$8, 2)</f>
        <v>0</v>
      </c>
      <c r="M203" s="218" t="n">
        <f aca="false" ca="false" dt2D="false" dtr="false" ref="M203:M203" t="array">MID(INDEX($A$3:$A$70, IF(ISNA(MATCH("720G4G9*", $A$3:$A$70, 0))=TRUE, MATCH("7200409*", $A$3:$A$70, 0), MATCH("720G4G9*", $A$3:$A$70, 0))), $AZ$8, 2)</f>
        <v>34</v>
      </c>
      <c r="N203" s="63" t="s">
        <v>180</v>
      </c>
      <c r="P203" s="116" t="n"/>
      <c r="Q203" s="2817" t="s"/>
      <c r="R203" s="2818" t="s"/>
      <c r="S203" s="2819" t="s"/>
      <c r="T203" s="116" t="n"/>
      <c r="U203" s="2820" t="s"/>
      <c r="V203" s="2821" t="s"/>
      <c r="W203" s="2822" t="s"/>
      <c r="X203" s="129" t="s">
        <v>180</v>
      </c>
      <c r="Y203" s="130" t="s">
        <v>181</v>
      </c>
      <c r="Z203" s="121" t="s">
        <v>182</v>
      </c>
      <c r="AA203" s="131" t="n"/>
      <c r="AB203" s="129" t="s">
        <v>180</v>
      </c>
      <c r="AC203" s="130" t="s">
        <v>181</v>
      </c>
      <c r="AD203" s="121" t="s">
        <v>182</v>
      </c>
      <c r="AE203" s="131" t="n"/>
      <c r="AF203" s="129" t="s">
        <v>180</v>
      </c>
      <c r="AG203" s="130" t="s">
        <v>181</v>
      </c>
      <c r="AH203" s="121" t="s">
        <v>182</v>
      </c>
      <c r="AI203" s="2823" t="s">
        <v>1156</v>
      </c>
      <c r="AJ203" s="116" t="s">
        <v>183</v>
      </c>
      <c r="AK203" s="2824" t="s"/>
    </row>
    <row hidden="false" ht="15" outlineLevel="0" r="204">
      <c r="C204" s="98" t="s">
        <v>185</v>
      </c>
      <c r="D204" s="53" t="n">
        <f aca="false" ca="false" dt2D="false" dtr="false" t="normal">HEX2BIN(D203, 8)</f>
        <v>111</v>
      </c>
      <c r="E204" s="53" t="n">
        <f aca="false" ca="false" dt2D="false" dtr="false" t="normal">HEX2BIN(E203, 8)</f>
        <v>100000</v>
      </c>
      <c r="F204" s="53" t="n">
        <f aca="false" ca="false" dt2D="false" dtr="false" t="normal">HEX2BIN(F203, 8)</f>
        <v>100</v>
      </c>
      <c r="G204" s="53" t="n">
        <f aca="false" ca="false" dt2D="false" dtr="false" t="normal">HEX2BIN(G203, 8)</f>
        <v>1001</v>
      </c>
      <c r="H204" s="53" t="n">
        <f aca="false" ca="false" dt2D="false" dtr="false" t="normal">HEX2BIN(H203, 8)</f>
        <v>0</v>
      </c>
      <c r="I204" s="53" t="n">
        <f aca="false" ca="false" dt2D="false" dtr="false" t="normal">HEX2BIN(I203, 8)</f>
        <v>0</v>
      </c>
      <c r="J204" s="53" t="n">
        <f aca="false" ca="false" dt2D="false" dtr="false" t="normal">HEX2BIN(J203, 8)</f>
        <v>0</v>
      </c>
      <c r="K204" s="53" t="n">
        <f aca="false" ca="false" dt2D="false" dtr="false" t="normal">HEX2BIN(K203, 8)</f>
        <v>0</v>
      </c>
      <c r="L204" s="53" t="n">
        <f aca="false" ca="false" dt2D="false" dtr="false" t="normal">HEX2BIN(L203, 8)</f>
        <v>0</v>
      </c>
      <c r="N204" s="63" t="n"/>
      <c r="P204" s="2825" t="s"/>
      <c r="Q204" s="142" t="s"/>
      <c r="R204" s="142" t="s"/>
      <c r="S204" s="2826" t="s"/>
      <c r="T204" s="2827" t="s"/>
      <c r="U204" s="142" t="s"/>
      <c r="V204" s="142" t="s"/>
      <c r="W204" s="2828" t="s"/>
      <c r="X204" s="136" t="n">
        <f aca="false" ca="false" dt2D="false" dtr="false" t="normal">MID(J204, 1, 1)</f>
        <v>0</v>
      </c>
      <c r="Y204" s="137" t="n">
        <f aca="false" ca="false" dt2D="false" dtr="false" t="normal">X204</f>
        <v>0</v>
      </c>
      <c r="Z204" s="120" t="s">
        <v>186</v>
      </c>
      <c r="AA204" s="139" t="s">
        <v>1157</v>
      </c>
      <c r="AB204" s="136" t="n">
        <f aca="false" ca="false" dt2D="false" dtr="false" t="normal">MID(K204, 1, 1)</f>
        <v>0</v>
      </c>
      <c r="AC204" s="137" t="n">
        <f aca="false" ca="false" dt2D="false" dtr="false" t="normal">AB204</f>
        <v>0</v>
      </c>
      <c r="AD204" s="120" t="s">
        <v>186</v>
      </c>
      <c r="AE204" s="139" t="s">
        <v>1158</v>
      </c>
      <c r="AF204" s="136" t="n">
        <f aca="false" ca="false" dt2D="false" dtr="false" t="normal">MID(L204, 1, 1)</f>
        <v>0</v>
      </c>
      <c r="AG204" s="137" t="n">
        <f aca="false" ca="false" dt2D="false" dtr="false" t="normal">MID(W220, 1, 1)</f>
        <v>0</v>
      </c>
      <c r="AH204" s="120" t="s">
        <v>186</v>
      </c>
      <c r="AI204" s="131" t="s">
        <v>1159</v>
      </c>
      <c r="AJ204" s="2829" t="s"/>
      <c r="AK204" s="2830" t="s"/>
    </row>
    <row hidden="false" ht="15" outlineLevel="0" r="205">
      <c r="C205" s="98" t="s">
        <v>191</v>
      </c>
      <c r="D205" s="53" t="n">
        <f aca="false" ca="false" dt2D="false" dtr="false" t="normal">HEX2DEC(D203)</f>
        <v>7</v>
      </c>
      <c r="E205" s="53" t="n">
        <f aca="false" ca="false" dt2D="false" dtr="false" t="normal">HEX2DEC(E203)</f>
        <v>32</v>
      </c>
      <c r="F205" s="53" t="n">
        <f aca="false" ca="false" dt2D="false" dtr="false" t="normal">HEX2DEC(F203)</f>
        <v>4</v>
      </c>
      <c r="G205" s="53" t="n">
        <f aca="false" ca="false" dt2D="false" dtr="false" t="normal">HEX2DEC(G203)</f>
        <v>9</v>
      </c>
      <c r="H205" s="53" t="n">
        <f aca="false" ca="false" dt2D="false" dtr="false" t="normal">HEX2DEC(H203)</f>
        <v>0</v>
      </c>
      <c r="I205" s="53" t="n">
        <f aca="false" ca="false" dt2D="false" dtr="false" t="normal">HEX2DEC(I203)</f>
        <v>0</v>
      </c>
      <c r="J205" s="53" t="n">
        <f aca="false" ca="false" dt2D="false" dtr="false" t="normal">HEX2DEC(J203)</f>
        <v>0</v>
      </c>
      <c r="K205" s="53" t="n">
        <f aca="false" ca="false" dt2D="false" dtr="false" t="normal">HEX2DEC(K203)</f>
        <v>0</v>
      </c>
      <c r="L205" s="53" t="n">
        <f aca="false" ca="false" dt2D="false" dtr="false" t="normal">HEX2DEC(L203)</f>
        <v>0</v>
      </c>
      <c r="M205" s="53" t="n">
        <f aca="false" ca="false" dt2D="false" dtr="false" t="normal">SUM(D205:L205)</f>
        <v>52</v>
      </c>
      <c r="N205" s="63" t="n"/>
      <c r="P205" s="2831" t="s"/>
      <c r="Q205" s="142" t="s"/>
      <c r="R205" s="142" t="s"/>
      <c r="S205" s="2832" t="s"/>
      <c r="T205" s="2833" t="s"/>
      <c r="U205" s="142" t="s"/>
      <c r="V205" s="142" t="s"/>
      <c r="W205" s="2834" t="s"/>
      <c r="X205" s="136" t="n">
        <f aca="false" ca="false" dt2D="false" dtr="false" t="normal">MID(J204, 2, 1)</f>
        <v>0</v>
      </c>
      <c r="Y205" s="137" t="n">
        <f aca="false" ca="false" dt2D="false" dtr="false" t="normal">X205</f>
        <v>0</v>
      </c>
      <c r="Z205" s="120" t="s">
        <v>192</v>
      </c>
      <c r="AA205" s="139" t="s">
        <v>1160</v>
      </c>
      <c r="AB205" s="136" t="n">
        <f aca="false" ca="false" dt2D="false" dtr="false" t="normal">MID(K204, 2, 1)</f>
        <v>0</v>
      </c>
      <c r="AC205" s="137" t="n">
        <f aca="false" ca="false" dt2D="false" dtr="false" t="normal">AB205</f>
        <v>0</v>
      </c>
      <c r="AD205" s="120" t="s">
        <v>192</v>
      </c>
      <c r="AE205" s="139" t="s">
        <v>1161</v>
      </c>
      <c r="AF205" s="136" t="n">
        <f aca="false" ca="false" dt2D="false" dtr="false" t="normal">MID(L204, 2, 1)</f>
        <v>0</v>
      </c>
      <c r="AG205" s="137" t="n">
        <f aca="false" ca="false" dt2D="false" dtr="false" t="normal">MID(W220, 2, 1)</f>
        <v>0</v>
      </c>
      <c r="AH205" s="120" t="s">
        <v>192</v>
      </c>
      <c r="AI205" s="2835" t="n">
        <v>100</v>
      </c>
      <c r="AJ205" s="2836" t="s"/>
      <c r="AK205" s="2837" t="s"/>
    </row>
    <row hidden="false" ht="15" outlineLevel="0" r="206">
      <c r="C206" s="98" t="s">
        <v>194</v>
      </c>
      <c r="D206" s="149" t="n">
        <f aca="false" ca="false" dt2D="false" dtr="false" t="normal">D203</f>
        <v>7</v>
      </c>
      <c r="E206" s="149" t="n">
        <f aca="false" ca="false" dt2D="false" dtr="false" t="normal">E203</f>
        <v>20</v>
      </c>
      <c r="F206" s="53" t="str">
        <f aca="false" ca="false" dt2D="false" dtr="false" t="normal">MID(INDEX($A$3:$A$70, IF(ISNA(MATCH("720G4G9*", $A$3:$A$70, 0))=TRUE, MATCH("7200409*", $A$3:$A$70, 0), MATCH("720G4G9*", $A$3:$A$70, 0))), $AS$8, 2)</f>
        <v>G4</v>
      </c>
      <c r="G206" s="53" t="str">
        <f aca="false" ca="false" dt2D="false" dtr="false" t="normal">MID(INDEX($A$3:$A$70, IF(ISNA(MATCH("720G4G9*", $A$3:$A$70, 0))=TRUE, MATCH("7200409*", $A$3:$A$70, 0), MATCH("720G4G9*", $A$3:$A$70, 0))), $AT$8, 2)</f>
        <v>G9</v>
      </c>
      <c r="N206" s="63" t="n"/>
      <c r="P206" s="2838" t="s"/>
      <c r="Q206" s="142" t="s"/>
      <c r="R206" s="142" t="s"/>
      <c r="S206" s="2839" t="s"/>
      <c r="T206" s="2840" t="s"/>
      <c r="U206" s="142" t="s"/>
      <c r="V206" s="142" t="s"/>
      <c r="W206" s="2841" t="s"/>
      <c r="X206" s="136" t="n">
        <f aca="false" ca="false" dt2D="false" dtr="false" t="normal">MID(J204, 3, 1)</f>
        <v>0</v>
      </c>
      <c r="Y206" s="137" t="n">
        <f aca="false" ca="false" dt2D="false" dtr="false" t="normal">X206</f>
        <v>0</v>
      </c>
      <c r="Z206" s="120" t="s">
        <v>195</v>
      </c>
      <c r="AA206" s="139" t="s">
        <v>1162</v>
      </c>
      <c r="AB206" s="136" t="n">
        <f aca="false" ca="false" dt2D="false" dtr="false" t="normal">MID(K204, 3, 1)</f>
        <v>0</v>
      </c>
      <c r="AC206" s="137" t="n">
        <f aca="false" ca="false" dt2D="false" dtr="false" t="normal">AB206</f>
        <v>0</v>
      </c>
      <c r="AD206" s="120" t="s">
        <v>195</v>
      </c>
      <c r="AE206" s="139" t="s">
        <v>1163</v>
      </c>
      <c r="AF206" s="136" t="n">
        <f aca="false" ca="false" dt2D="false" dtr="false" t="normal">MID(L204, 3, 1)</f>
        <v>0</v>
      </c>
      <c r="AG206" s="137" t="n">
        <f aca="false" ca="false" dt2D="false" dtr="false" t="normal">MID(W220, 3, 1)</f>
        <v>0</v>
      </c>
      <c r="AH206" s="120" t="s">
        <v>195</v>
      </c>
      <c r="AI206" s="131" t="s">
        <v>1164</v>
      </c>
      <c r="AJ206" s="2842" t="s"/>
      <c r="AK206" s="2843" t="s"/>
    </row>
    <row hidden="false" ht="15.75" outlineLevel="0" r="207">
      <c r="C207" s="98" t="n"/>
      <c r="N207" s="63" t="n"/>
      <c r="P207" s="2844" t="s"/>
      <c r="Q207" s="142" t="s"/>
      <c r="R207" s="142" t="s"/>
      <c r="S207" s="2845" t="s"/>
      <c r="T207" s="2846" t="s"/>
      <c r="U207" s="142" t="s"/>
      <c r="V207" s="142" t="s"/>
      <c r="W207" s="2847" t="s"/>
      <c r="X207" s="136" t="n">
        <f aca="false" ca="false" dt2D="false" dtr="false" t="normal">MID(J204, 4, 1)</f>
        <v>0</v>
      </c>
      <c r="Y207" s="137" t="n">
        <f aca="false" ca="false" dt2D="false" dtr="false" t="normal">X207</f>
        <v>0</v>
      </c>
      <c r="Z207" s="120" t="s">
        <v>197</v>
      </c>
      <c r="AA207" s="139" t="s">
        <v>1165</v>
      </c>
      <c r="AB207" s="136" t="n">
        <f aca="false" ca="false" dt2D="false" dtr="false" t="normal">MID(K204, 4, 1)</f>
        <v>0</v>
      </c>
      <c r="AC207" s="137" t="n">
        <f aca="false" ca="false" dt2D="false" dtr="false" t="normal">AB207</f>
        <v>0</v>
      </c>
      <c r="AD207" s="120" t="s">
        <v>197</v>
      </c>
      <c r="AE207" s="139" t="s">
        <v>1166</v>
      </c>
      <c r="AF207" s="136" t="n">
        <f aca="false" ca="false" dt2D="false" dtr="false" t="normal">MID(L204, 4, 1)</f>
        <v>0</v>
      </c>
      <c r="AG207" s="137" t="n">
        <f aca="false" ca="false" dt2D="false" dtr="false" t="normal">MID(W220, 4, 1)</f>
        <v>0</v>
      </c>
      <c r="AH207" s="120" t="s">
        <v>197</v>
      </c>
      <c r="AI207" s="2835" t="n">
        <v>100</v>
      </c>
      <c r="AJ207" s="2848" t="s"/>
      <c r="AK207" s="2849" t="s"/>
    </row>
    <row hidden="false" ht="15.75" outlineLevel="0" r="208">
      <c r="C208" s="98" t="s">
        <v>176</v>
      </c>
      <c r="D208" s="159" t="n">
        <f aca="false" ca="false" dt2D="false" dtr="false" t="normal">D203</f>
        <v>7</v>
      </c>
      <c r="E208" s="160" t="n">
        <f aca="false" ca="false" dt2D="false" dtr="false" t="normal">E203</f>
        <v>20</v>
      </c>
      <c r="F208" s="160" t="n">
        <f aca="false" ca="false" dt2D="false" dtr="false" t="normal">F203</f>
        <v>4</v>
      </c>
      <c r="G208" s="161" t="n">
        <f aca="false" ca="false" dt2D="false" dtr="false" t="normal">G203</f>
        <v>9</v>
      </c>
      <c r="H208" s="2540" t="n">
        <f aca="false" ca="false" dt2D="false" dtr="false" t="normal">H203</f>
        <v>0</v>
      </c>
      <c r="I208" s="1916" t="n">
        <f aca="false" ca="false" dt2D="false" dtr="false" t="normal">I203</f>
        <v>0</v>
      </c>
      <c r="J208" s="164" t="n">
        <f aca="false" ca="false" dt2D="false" dtr="false" t="normal">BIN2HEX(J209, 2)</f>
        <v>0</v>
      </c>
      <c r="K208" s="165" t="n">
        <f aca="false" ca="false" dt2D="false" dtr="false" t="normal">BIN2HEX(K209, 2)</f>
        <v>0</v>
      </c>
      <c r="L208" s="288" t="n">
        <f aca="false" ca="false" dt2D="false" dtr="false" t="normal">BIN2HEX(L209, 2)</f>
        <v>0</v>
      </c>
      <c r="M208" s="166" t="n">
        <f aca="false" ca="false" dt2D="false" dtr="false" t="normal">IF(LEN(M209)&gt;2, MID(M209, 2, 2), M209)</f>
        <v>34</v>
      </c>
      <c r="N208" s="63" t="s">
        <v>181</v>
      </c>
      <c r="P208" s="2850" t="s"/>
      <c r="Q208" s="142" t="s"/>
      <c r="R208" s="142" t="s"/>
      <c r="S208" s="2851" t="s"/>
      <c r="T208" s="2852" t="s"/>
      <c r="U208" s="142" t="s"/>
      <c r="V208" s="142" t="s"/>
      <c r="W208" s="2853" t="s"/>
      <c r="X208" s="136" t="n">
        <f aca="false" ca="false" dt2D="false" dtr="false" t="normal">MID(J204, 5, 1)</f>
        <v>0</v>
      </c>
      <c r="Y208" s="137" t="n">
        <f aca="false" ca="false" dt2D="false" dtr="false" t="normal">X208</f>
        <v>0</v>
      </c>
      <c r="Z208" s="120" t="s">
        <v>200</v>
      </c>
      <c r="AA208" s="139" t="s">
        <v>1167</v>
      </c>
      <c r="AB208" s="136" t="n">
        <f aca="false" ca="false" dt2D="false" dtr="false" t="normal">MID(K204, 5, 1)</f>
        <v>0</v>
      </c>
      <c r="AC208" s="137" t="n">
        <f aca="false" ca="false" dt2D="false" dtr="false" t="normal">AB208</f>
        <v>0</v>
      </c>
      <c r="AD208" s="120" t="s">
        <v>200</v>
      </c>
      <c r="AE208" s="139" t="s">
        <v>1168</v>
      </c>
      <c r="AF208" s="136" t="n">
        <f aca="false" ca="false" dt2D="false" dtr="false" t="normal">MID(L204, 5, 1)</f>
        <v>0</v>
      </c>
      <c r="AG208" s="137" t="n">
        <f aca="false" ca="false" dt2D="false" dtr="false" t="normal">MID(W220, 5, 1)</f>
        <v>0</v>
      </c>
      <c r="AH208" s="120" t="s">
        <v>200</v>
      </c>
      <c r="AI208" s="131" t="s">
        <v>1169</v>
      </c>
      <c r="AJ208" s="2854" t="s"/>
      <c r="AK208" s="2855" t="s"/>
    </row>
    <row hidden="false" ht="15" outlineLevel="0" r="209">
      <c r="C209" s="98" t="s">
        <v>185</v>
      </c>
      <c r="D209" s="53" t="n">
        <f aca="false" ca="false" dt2D="false" dtr="false" t="normal">HEX2BIN(D208, 8)</f>
        <v>111</v>
      </c>
      <c r="E209" s="53" t="n">
        <f aca="false" ca="false" dt2D="false" dtr="false" t="normal">HEX2BIN(E208, 8)</f>
        <v>100000</v>
      </c>
      <c r="F209" s="53" t="n">
        <f aca="false" ca="false" dt2D="false" dtr="false" t="normal">HEX2BIN(F208, 8)</f>
        <v>100</v>
      </c>
      <c r="G209" s="53" t="n">
        <f aca="false" ca="false" dt2D="false" dtr="false" t="normal">HEX2BIN(G208, 8)</f>
        <v>1001</v>
      </c>
      <c r="H209" s="171" t="n"/>
      <c r="I209" s="53" t="n"/>
      <c r="J209" s="171" t="n">
        <f aca="false" ca="false" dt2D="false" dtr="false" t="normal">Y204&amp;Y205&amp;Y206&amp;Y207&amp;Y208&amp;Y209&amp;Y210&amp;Y211</f>
        <v>0</v>
      </c>
      <c r="K209" s="171" t="n">
        <f aca="false" ca="false" dt2D="false" dtr="false" t="normal">AC204&amp;AC205&amp;AC206&amp;AC207&amp;AC208&amp;AC209&amp;AC210&amp;AC211</f>
        <v>0</v>
      </c>
      <c r="L209" s="53" t="n">
        <f aca="false" ca="false" dt2D="false" dtr="false" t="normal">AG204&amp;AG205&amp;AG206&amp;AG207&amp;AG208&amp;AG209&amp;AG210&amp;AG211</f>
        <v>0</v>
      </c>
      <c r="M209" s="53" t="n">
        <f aca="false" ca="false" dt2D="false" dtr="false" t="normal">DEC2HEX(M210)</f>
        <v>34</v>
      </c>
      <c r="N209" s="63" t="n"/>
      <c r="P209" s="2856" t="s"/>
      <c r="Q209" s="142" t="s"/>
      <c r="R209" s="142" t="s"/>
      <c r="S209" s="2857" t="s"/>
      <c r="T209" s="2858" t="s"/>
      <c r="U209" s="142" t="s"/>
      <c r="V209" s="142" t="s"/>
      <c r="W209" s="2859" t="s"/>
      <c r="X209" s="136" t="n">
        <f aca="false" ca="false" dt2D="false" dtr="false" t="normal">MID(J204, 6, 1)</f>
        <v>0</v>
      </c>
      <c r="Y209" s="137" t="n">
        <f aca="false" ca="false" dt2D="false" dtr="false" t="normal">X209</f>
        <v>0</v>
      </c>
      <c r="Z209" s="120" t="s">
        <v>203</v>
      </c>
      <c r="AA209" s="139" t="s">
        <v>1170</v>
      </c>
      <c r="AB209" s="136" t="n">
        <f aca="false" ca="false" dt2D="false" dtr="false" t="normal">MID(K204, 6, 1)</f>
        <v>0</v>
      </c>
      <c r="AC209" s="137" t="n">
        <f aca="false" ca="false" dt2D="false" dtr="false" t="normal">AB209</f>
        <v>0</v>
      </c>
      <c r="AD209" s="120" t="s">
        <v>203</v>
      </c>
      <c r="AE209" s="139" t="s">
        <v>1171</v>
      </c>
      <c r="AF209" s="136" t="n">
        <f aca="false" ca="false" dt2D="false" dtr="false" t="normal">MID(L204, 6, 1)</f>
        <v>0</v>
      </c>
      <c r="AG209" s="137" t="n">
        <f aca="false" ca="false" dt2D="false" dtr="false" t="normal">MID(W220, 6, 1)</f>
        <v>0</v>
      </c>
      <c r="AH209" s="120" t="s">
        <v>203</v>
      </c>
      <c r="AI209" s="2860" t="n">
        <f aca="false" ca="false" dt2D="false" dtr="false" t="normal">AI205/AI207-1</f>
        <v>0</v>
      </c>
      <c r="AJ209" s="2861" t="s"/>
      <c r="AK209" s="2862" t="s"/>
    </row>
    <row hidden="false" ht="15" outlineLevel="0" r="210">
      <c r="C210" s="98" t="s">
        <v>191</v>
      </c>
      <c r="D210" s="53" t="n">
        <f aca="false" ca="false" dt2D="false" dtr="false" t="normal">HEX2DEC(D208)</f>
        <v>7</v>
      </c>
      <c r="E210" s="53" t="n">
        <f aca="false" ca="false" dt2D="false" dtr="false" t="normal">HEX2DEC(E208)</f>
        <v>32</v>
      </c>
      <c r="F210" s="53" t="n">
        <f aca="false" ca="false" dt2D="false" dtr="false" t="normal">HEX2DEC(F208)</f>
        <v>4</v>
      </c>
      <c r="G210" s="53" t="n">
        <f aca="false" ca="false" dt2D="false" dtr="false" t="normal">HEX2DEC(G208)</f>
        <v>9</v>
      </c>
      <c r="H210" s="53" t="n">
        <f aca="false" ca="false" dt2D="false" dtr="false" t="normal">HEX2DEC(H208)</f>
        <v>0</v>
      </c>
      <c r="I210" s="53" t="n">
        <f aca="false" ca="false" dt2D="false" dtr="false" t="normal">HEX2DEC(I208)</f>
        <v>0</v>
      </c>
      <c r="J210" s="53" t="n">
        <f aca="false" ca="false" dt2D="false" dtr="false" t="normal">HEX2DEC(J208)</f>
        <v>0</v>
      </c>
      <c r="K210" s="53" t="n">
        <f aca="false" ca="false" dt2D="false" dtr="false" t="normal">HEX2DEC(K208)</f>
        <v>0</v>
      </c>
      <c r="L210" s="53" t="n">
        <f aca="false" ca="false" dt2D="false" dtr="false" t="normal">HEX2DEC(L208)</f>
        <v>0</v>
      </c>
      <c r="M210" s="53" t="n">
        <f aca="false" ca="false" dt2D="false" dtr="false" t="normal">SUM(D210:L210)</f>
        <v>52</v>
      </c>
      <c r="N210" s="63" t="n"/>
      <c r="P210" s="2863" t="s"/>
      <c r="Q210" s="142" t="s"/>
      <c r="R210" s="142" t="s"/>
      <c r="S210" s="2864" t="s"/>
      <c r="T210" s="2865" t="s"/>
      <c r="U210" s="142" t="s"/>
      <c r="V210" s="142" t="s"/>
      <c r="W210" s="2866" t="s"/>
      <c r="X210" s="136" t="n">
        <f aca="false" ca="false" dt2D="false" dtr="false" t="normal">MID(J204, 7, 1)</f>
        <v>0</v>
      </c>
      <c r="Y210" s="137" t="n">
        <f aca="false" ca="false" dt2D="false" dtr="false" t="normal">X210</f>
        <v>0</v>
      </c>
      <c r="Z210" s="120" t="s">
        <v>206</v>
      </c>
      <c r="AA210" s="139" t="s">
        <v>1172</v>
      </c>
      <c r="AB210" s="136" t="n">
        <f aca="false" ca="false" dt2D="false" dtr="false" t="normal">MID(K204, 7, 1)</f>
        <v>0</v>
      </c>
      <c r="AC210" s="137" t="n">
        <f aca="false" ca="false" dt2D="false" dtr="false" t="normal">AB210</f>
        <v>0</v>
      </c>
      <c r="AD210" s="120" t="s">
        <v>206</v>
      </c>
      <c r="AE210" s="139" t="s">
        <v>1173</v>
      </c>
      <c r="AF210" s="136" t="n">
        <f aca="false" ca="false" dt2D="false" dtr="false" t="normal">MID(L204, 7, 1)</f>
        <v>0</v>
      </c>
      <c r="AG210" s="137" t="n">
        <f aca="false" ca="false" dt2D="false" dtr="false" t="normal">MID(W220, 7, 1)</f>
        <v>0</v>
      </c>
      <c r="AH210" s="120" t="s">
        <v>206</v>
      </c>
      <c r="AI210" s="131" t="n"/>
      <c r="AJ210" s="2867" t="s"/>
      <c r="AK210" s="2868" t="s"/>
    </row>
    <row hidden="false" ht="15.75" outlineLevel="0" r="211">
      <c r="C211" s="180" t="s">
        <v>194</v>
      </c>
      <c r="D211" s="299" t="n">
        <f aca="false" ca="false" dt2D="false" dtr="false" t="normal">D206</f>
        <v>7</v>
      </c>
      <c r="E211" s="299" t="n">
        <f aca="false" ca="false" dt2D="false" dtr="false" t="normal">E206</f>
        <v>20</v>
      </c>
      <c r="F211" s="299" t="str">
        <f aca="false" ca="false" dt2D="false" dtr="false" t="normal">F206</f>
        <v>G4</v>
      </c>
      <c r="G211" s="299" t="str">
        <f aca="false" ca="false" dt2D="false" dtr="false" t="normal">G206</f>
        <v>G9</v>
      </c>
      <c r="H211" s="45" t="n"/>
      <c r="I211" s="45" t="n"/>
      <c r="J211" s="45" t="n"/>
      <c r="K211" s="45" t="n"/>
      <c r="L211" s="45" t="n"/>
      <c r="M211" s="45" t="n"/>
      <c r="N211" s="49" t="n"/>
      <c r="P211" s="2869" t="s"/>
      <c r="Q211" s="2870" t="s"/>
      <c r="R211" s="2871" t="s"/>
      <c r="S211" s="2872" t="s"/>
      <c r="T211" s="2873" t="s"/>
      <c r="U211" s="2874" t="s"/>
      <c r="V211" s="2875" t="s"/>
      <c r="W211" s="2876" t="s"/>
      <c r="X211" s="182" t="n">
        <f aca="false" ca="false" dt2D="false" dtr="false" t="normal">MID(J204, 8, 1)</f>
        <v>0</v>
      </c>
      <c r="Y211" s="183" t="n">
        <f aca="false" ca="false" dt2D="false" dtr="false" t="normal">X211</f>
        <v>0</v>
      </c>
      <c r="Z211" s="184" t="s">
        <v>208</v>
      </c>
      <c r="AA211" s="187" t="s">
        <v>1174</v>
      </c>
      <c r="AB211" s="182" t="n">
        <f aca="false" ca="false" dt2D="false" dtr="false" t="normal">MID(K204, 8, 1)</f>
        <v>0</v>
      </c>
      <c r="AC211" s="183" t="n">
        <f aca="false" ca="false" dt2D="false" dtr="false" t="normal">AB211</f>
        <v>0</v>
      </c>
      <c r="AD211" s="184" t="s">
        <v>208</v>
      </c>
      <c r="AE211" s="187" t="s">
        <v>1175</v>
      </c>
      <c r="AF211" s="182" t="n">
        <f aca="false" ca="false" dt2D="false" dtr="false" t="normal">MID(L204, 8, 1)</f>
        <v>0</v>
      </c>
      <c r="AG211" s="183" t="n">
        <f aca="false" ca="false" dt2D="false" dtr="false" t="normal">MID(W220, 8, 1)</f>
        <v>0</v>
      </c>
      <c r="AH211" s="184" t="s">
        <v>208</v>
      </c>
      <c r="AI211" s="185" t="n"/>
      <c r="AJ211" s="2877" t="s"/>
      <c r="AK211" s="2878" t="s"/>
    </row>
    <row hidden="false" ht="15.75" outlineLevel="0" r="212">
      <c r="C212" s="93" t="n"/>
      <c r="D212" s="94" t="n"/>
      <c r="E212" s="94" t="n"/>
      <c r="F212" s="94" t="n"/>
      <c r="G212" s="94" t="n"/>
      <c r="H212" s="94" t="n"/>
      <c r="I212" s="94" t="n"/>
      <c r="J212" s="94" t="n"/>
      <c r="K212" s="94" t="n"/>
      <c r="L212" s="94" t="n"/>
      <c r="M212" s="94" t="s">
        <v>161</v>
      </c>
      <c r="N212" s="60" t="n"/>
      <c r="P212" s="95" t="str">
        <f aca="false" ca="false" dt2D="false" dtr="false" t="normal">RIGHT(D214, 1)&amp;E214&amp;"-"&amp;F214&amp;"-"&amp;G214</f>
        <v>720-04-10</v>
      </c>
      <c r="Q212" s="2879" t="s"/>
      <c r="R212" s="234" t="s">
        <v>1176</v>
      </c>
      <c r="S212" s="2880" t="s"/>
      <c r="T212" s="2881" t="s"/>
      <c r="U212" s="2882" t="s"/>
      <c r="V212" s="2883" t="s"/>
      <c r="W212" s="2884" t="s"/>
      <c r="X212" s="2885" t="s"/>
      <c r="Y212" s="2886" t="s"/>
      <c r="Z212" s="2887" t="s"/>
      <c r="AA212" s="2888" t="s"/>
      <c r="AB212" s="2889" t="s"/>
      <c r="AC212" s="2890" t="s"/>
      <c r="AD212" s="2891" t="s"/>
      <c r="AE212" s="2892" t="s"/>
      <c r="AF212" s="2893" t="s"/>
      <c r="AG212" s="2894" t="s"/>
      <c r="AH212" s="2895" t="s"/>
      <c r="AI212" s="2896" t="s"/>
      <c r="AJ212" s="2897" t="s"/>
      <c r="AK212" s="2898" t="s"/>
    </row>
    <row hidden="false" ht="15.75" outlineLevel="0" r="213">
      <c r="C213" s="98" t="n"/>
      <c r="D213" s="99" t="s">
        <v>1177</v>
      </c>
      <c r="E213" s="2899" t="s"/>
      <c r="F213" s="2900" t="s"/>
      <c r="G213" s="2901" t="s"/>
      <c r="H213" s="53" t="s">
        <v>165</v>
      </c>
      <c r="I213" s="53" t="s">
        <v>166</v>
      </c>
      <c r="J213" s="53" t="s">
        <v>167</v>
      </c>
      <c r="K213" s="53" t="s">
        <v>168</v>
      </c>
      <c r="L213" s="53" t="s">
        <v>169</v>
      </c>
      <c r="M213" s="53" t="s">
        <v>221</v>
      </c>
      <c r="N213" s="63" t="n"/>
      <c r="P213" s="103" t="s">
        <v>1178</v>
      </c>
      <c r="Q213" s="2902" t="s"/>
      <c r="R213" s="2903" t="s"/>
      <c r="S213" s="2904" t="s"/>
      <c r="T213" s="103" t="s">
        <v>1179</v>
      </c>
      <c r="U213" s="2905" t="s"/>
      <c r="V213" s="2906" t="s"/>
      <c r="W213" s="2907" t="s"/>
      <c r="X213" s="103" t="s">
        <v>1180</v>
      </c>
      <c r="Y213" s="2908" t="s"/>
      <c r="Z213" s="2909" t="s"/>
      <c r="AA213" s="2910" t="s"/>
      <c r="AB213" s="116" t="s">
        <v>1181</v>
      </c>
      <c r="AC213" s="2911" t="s"/>
      <c r="AD213" s="2912" t="s"/>
      <c r="AE213" s="2913" t="s"/>
      <c r="AF213" s="116" t="s">
        <v>1182</v>
      </c>
      <c r="AG213" s="2914" t="s"/>
      <c r="AH213" s="2915" t="s"/>
      <c r="AI213" s="2916" t="s"/>
      <c r="AJ213" s="116" t="s">
        <v>1183</v>
      </c>
      <c r="AK213" s="2917" t="s"/>
    </row>
    <row hidden="false" ht="15.75" outlineLevel="0" r="214">
      <c r="C214" s="98" t="s">
        <v>176</v>
      </c>
      <c r="D214" s="122" t="s">
        <v>177</v>
      </c>
      <c r="E214" s="123" t="s">
        <v>693</v>
      </c>
      <c r="F214" s="123" t="s">
        <v>342</v>
      </c>
      <c r="G214" s="124" t="s">
        <v>1184</v>
      </c>
      <c r="H214" s="1819" t="n">
        <f aca="false" ca="false" dt2D="false" dtr="false" ref="H214:H214" t="array">MID(INDEX($A$3:$A$70, IF(ISNA(MATCH("720G4GA*", $A$3:$A$70, 0))=TRUE, MATCH("7200410*", $A$3:$A$70, 0), MATCH("720G4GA*", $A$3:$A$70, 0))), $AU$8, 2)</f>
        <v>0</v>
      </c>
      <c r="I214" s="1820" t="n">
        <f aca="false" ca="false" dt2D="false" dtr="false" ref="I214:I214" t="array">MID(INDEX($A$3:$A$70, IF(ISNA(MATCH("720G4GA*", $A$3:$A$70, 0))=TRUE, MATCH("7200410*", $A$3:$A$70, 0), MATCH("720G4GA*", $A$3:$A$70, 0))), $AV$8, 2)</f>
        <v>0</v>
      </c>
      <c r="J214" s="164" t="n">
        <f aca="false" ca="false" dt2D="false" dtr="false" ref="J214:J214" t="array">MID(INDEX($A$3:$A$70, IF(ISNA(MATCH("720G4GA*", $A$3:$A$70, 0))=TRUE, MATCH("7200410*", $A$3:$A$70, 0), MATCH("720G4GA*", $A$3:$A$70, 0))), $AW$8, 2)</f>
        <v>0</v>
      </c>
      <c r="K214" s="1820" t="n">
        <f aca="false" ca="false" dt2D="false" dtr="false" ref="K214:K214" t="array">MID(INDEX($A$3:$A$70, IF(ISNA(MATCH("720G4GA*", $A$3:$A$70, 0))=TRUE, MATCH("7200410*", $A$3:$A$70, 0), MATCH("720G4GA*", $A$3:$A$70, 0))), $AX$8, 2)</f>
        <v>0</v>
      </c>
      <c r="L214" s="1821" t="n">
        <f aca="false" ca="false" dt2D="false" dtr="false" ref="L214:L214" t="array">MID(INDEX($A$3:$A$70, IF(ISNA(MATCH("720G4GA*", $A$3:$A$70, 0))=TRUE, MATCH("7200410*", $A$3:$A$70, 0), MATCH("720G4GA*", $A$3:$A$70, 0))), $AY$8, 2)</f>
        <v>0</v>
      </c>
      <c r="M214" s="218" t="str">
        <f aca="false" ca="false" dt2D="false" dtr="false" ref="M214:M214" t="array">MID(INDEX($A$3:$A$70, IF(ISNA(MATCH("720G4GA*", $A$3:$A$70, 0))=TRUE, MATCH("7200410*", $A$3:$A$70, 0), MATCH("720G4GA*", $A$3:$A$70, 0))), $AZ$8, 2)</f>
        <v>3B</v>
      </c>
      <c r="N214" s="63" t="s">
        <v>180</v>
      </c>
      <c r="P214" s="129" t="s">
        <v>180</v>
      </c>
      <c r="Q214" s="130" t="s">
        <v>181</v>
      </c>
      <c r="R214" s="121" t="s">
        <v>182</v>
      </c>
      <c r="S214" s="131" t="n"/>
      <c r="T214" s="129" t="s">
        <v>180</v>
      </c>
      <c r="U214" s="130" t="s">
        <v>181</v>
      </c>
      <c r="V214" s="121" t="s">
        <v>182</v>
      </c>
      <c r="W214" s="2823" t="s">
        <v>1156</v>
      </c>
      <c r="X214" s="129" t="s">
        <v>180</v>
      </c>
      <c r="Y214" s="130" t="s">
        <v>181</v>
      </c>
      <c r="Z214" s="121" t="s">
        <v>182</v>
      </c>
      <c r="AA214" s="131" t="n"/>
      <c r="AB214" s="116" t="n"/>
      <c r="AC214" s="2918" t="s"/>
      <c r="AD214" s="2919" t="s"/>
      <c r="AE214" s="2920" t="s"/>
      <c r="AF214" s="116" t="n"/>
      <c r="AG214" s="2921" t="s"/>
      <c r="AH214" s="2922" t="s"/>
      <c r="AI214" s="2923" t="s"/>
      <c r="AJ214" s="116" t="s">
        <v>183</v>
      </c>
      <c r="AK214" s="2924" t="s"/>
    </row>
    <row hidden="false" ht="15" outlineLevel="0" r="215">
      <c r="C215" s="98" t="s">
        <v>185</v>
      </c>
      <c r="D215" s="53" t="n">
        <f aca="false" ca="false" dt2D="false" dtr="false" t="normal">HEX2BIN(D214, 8)</f>
        <v>111</v>
      </c>
      <c r="E215" s="53" t="n">
        <f aca="false" ca="false" dt2D="false" dtr="false" t="normal">HEX2BIN(E214, 8)</f>
        <v>100000</v>
      </c>
      <c r="F215" s="53" t="n">
        <f aca="false" ca="false" dt2D="false" dtr="false" t="normal">HEX2BIN(F214, 8)</f>
        <v>100</v>
      </c>
      <c r="G215" s="53" t="n">
        <f aca="false" ca="false" dt2D="false" dtr="false" t="normal">HEX2BIN(G214, 8)</f>
        <v>10000</v>
      </c>
      <c r="H215" s="53" t="n">
        <f aca="false" ca="false" dt2D="false" dtr="false" t="normal">HEX2BIN(H214, 8)</f>
        <v>0</v>
      </c>
      <c r="I215" s="53" t="n">
        <f aca="false" ca="false" dt2D="false" dtr="false" t="normal">HEX2BIN(I214, 8)</f>
        <v>0</v>
      </c>
      <c r="J215" s="53" t="n">
        <f aca="false" ca="false" dt2D="false" dtr="false" t="normal">HEX2BIN(J214, 8)</f>
        <v>0</v>
      </c>
      <c r="K215" s="53" t="n">
        <f aca="false" ca="false" dt2D="false" dtr="false" t="normal">HEX2BIN(K214, 8)</f>
        <v>0</v>
      </c>
      <c r="L215" s="53" t="n">
        <f aca="false" ca="false" dt2D="false" dtr="false" t="normal">HEX2BIN(L214, 8)</f>
        <v>0</v>
      </c>
      <c r="N215" s="63" t="n"/>
      <c r="P215" s="136" t="n">
        <f aca="false" ca="false" dt2D="false" dtr="false" t="normal">MID(H215, 1, 1)</f>
        <v>0</v>
      </c>
      <c r="Q215" s="137" t="n">
        <f aca="false" ca="false" dt2D="false" dtr="false" t="normal">P215</f>
        <v>0</v>
      </c>
      <c r="R215" s="120" t="s">
        <v>186</v>
      </c>
      <c r="S215" s="131" t="s">
        <v>196</v>
      </c>
      <c r="T215" s="136" t="n">
        <f aca="false" ca="false" dt2D="false" dtr="false" t="normal">MID(I215, 1, 1)</f>
        <v>0</v>
      </c>
      <c r="U215" s="137" t="n">
        <f aca="false" ca="false" dt2D="false" dtr="false" t="normal">MID(W222, 1, 1)</f>
        <v>0</v>
      </c>
      <c r="V215" s="120" t="s">
        <v>186</v>
      </c>
      <c r="W215" s="2925" t="s">
        <v>1185</v>
      </c>
      <c r="X215" s="136" t="n">
        <f aca="false" ca="false" dt2D="false" dtr="false" t="normal">MID(J215, 1, 1)</f>
        <v>0</v>
      </c>
      <c r="Y215" s="137" t="n">
        <f aca="false" ca="false" dt2D="false" dtr="false" t="normal">X215</f>
        <v>0</v>
      </c>
      <c r="Z215" s="120" t="s">
        <v>186</v>
      </c>
      <c r="AA215" s="139" t="s">
        <v>1186</v>
      </c>
      <c r="AB215" s="2926" t="s"/>
      <c r="AC215" s="142" t="s"/>
      <c r="AD215" s="142" t="s"/>
      <c r="AE215" s="2927" t="s"/>
      <c r="AF215" s="2928" t="s"/>
      <c r="AG215" s="142" t="s"/>
      <c r="AH215" s="142" t="s"/>
      <c r="AI215" s="2929" t="s"/>
      <c r="AJ215" s="2930" t="s"/>
      <c r="AK215" s="2931" t="s"/>
    </row>
    <row hidden="false" ht="15" outlineLevel="0" r="216">
      <c r="C216" s="98" t="s">
        <v>191</v>
      </c>
      <c r="D216" s="53" t="n">
        <f aca="false" ca="false" dt2D="false" dtr="false" t="normal">HEX2DEC(D214)</f>
        <v>7</v>
      </c>
      <c r="E216" s="53" t="n">
        <f aca="false" ca="false" dt2D="false" dtr="false" t="normal">HEX2DEC(E214)</f>
        <v>32</v>
      </c>
      <c r="F216" s="53" t="n">
        <f aca="false" ca="false" dt2D="false" dtr="false" t="normal">HEX2DEC(F214)</f>
        <v>4</v>
      </c>
      <c r="G216" s="53" t="n">
        <f aca="false" ca="false" dt2D="false" dtr="false" t="normal">HEX2DEC(G214)</f>
        <v>16</v>
      </c>
      <c r="H216" s="53" t="n">
        <f aca="false" ca="false" dt2D="false" dtr="false" t="normal">HEX2DEC(H214)</f>
        <v>0</v>
      </c>
      <c r="I216" s="53" t="n">
        <f aca="false" ca="false" dt2D="false" dtr="false" t="normal">HEX2DEC(I214)</f>
        <v>0</v>
      </c>
      <c r="J216" s="53" t="n">
        <f aca="false" ca="false" dt2D="false" dtr="false" t="normal">HEX2DEC(J214)</f>
        <v>0</v>
      </c>
      <c r="K216" s="53" t="n">
        <f aca="false" ca="false" dt2D="false" dtr="false" t="normal">HEX2DEC(K214)</f>
        <v>0</v>
      </c>
      <c r="L216" s="53" t="n">
        <f aca="false" ca="false" dt2D="false" dtr="false" t="normal">HEX2DEC(L214)</f>
        <v>0</v>
      </c>
      <c r="M216" s="53" t="n">
        <f aca="false" ca="false" dt2D="false" dtr="false" t="normal">SUM(D216:L216)</f>
        <v>59</v>
      </c>
      <c r="N216" s="63" t="n"/>
      <c r="P216" s="136" t="n">
        <f aca="false" ca="false" dt2D="false" dtr="false" t="normal">MID(H215, 2, 1)</f>
        <v>0</v>
      </c>
      <c r="Q216" s="137" t="n">
        <f aca="false" ca="false" dt2D="false" dtr="false" t="normal">P216</f>
        <v>0</v>
      </c>
      <c r="R216" s="120" t="s">
        <v>192</v>
      </c>
      <c r="S216" s="131" t="s">
        <v>196</v>
      </c>
      <c r="T216" s="136" t="n">
        <f aca="false" ca="false" dt2D="false" dtr="false" t="normal">MID(I215, 2, 1)</f>
        <v>0</v>
      </c>
      <c r="U216" s="137" t="n">
        <f aca="false" ca="false" dt2D="false" dtr="false" t="normal">MID(W222, 2, 1)</f>
        <v>0</v>
      </c>
      <c r="V216" s="120" t="s">
        <v>192</v>
      </c>
      <c r="W216" s="2932" t="n">
        <f aca="false" ca="false" dt2D="false" dtr="false" t="normal">HEX2DEC(L203&amp;I214)</f>
        <v>0</v>
      </c>
      <c r="X216" s="136" t="n">
        <f aca="false" ca="false" dt2D="false" dtr="false" t="normal">MID(J215, 2, 1)</f>
        <v>0</v>
      </c>
      <c r="Y216" s="137" t="n">
        <f aca="false" ca="false" dt2D="false" dtr="false" t="normal">X216</f>
        <v>0</v>
      </c>
      <c r="Z216" s="120" t="s">
        <v>192</v>
      </c>
      <c r="AA216" s="139" t="s">
        <v>1187</v>
      </c>
      <c r="AB216" s="2933" t="s"/>
      <c r="AC216" s="142" t="s"/>
      <c r="AD216" s="142" t="s"/>
      <c r="AE216" s="2934" t="s"/>
      <c r="AF216" s="2935" t="s"/>
      <c r="AG216" s="142" t="s"/>
      <c r="AH216" s="142" t="s"/>
      <c r="AI216" s="2936" t="s"/>
      <c r="AJ216" s="2937" t="s"/>
      <c r="AK216" s="2938" t="s"/>
    </row>
    <row hidden="false" ht="15" outlineLevel="0" r="217">
      <c r="C217" s="98" t="s">
        <v>194</v>
      </c>
      <c r="D217" s="149" t="n">
        <f aca="false" ca="false" dt2D="false" dtr="false" t="normal">D214</f>
        <v>7</v>
      </c>
      <c r="E217" s="149" t="n">
        <f aca="false" ca="false" dt2D="false" dtr="false" t="normal">E214</f>
        <v>20</v>
      </c>
      <c r="F217" s="53" t="str">
        <f aca="false" ca="false" dt2D="false" dtr="false" t="normal">MID(INDEX($A$3:$A$70, IF(ISNA(MATCH("720G4GA*", $A$3:$A$70, 0))=TRUE, MATCH("7200410*", $A$3:$A$70, 0), MATCH("720G4GA*", $A$3:$A$70, 0))), $AS$8, 2)</f>
        <v>G4</v>
      </c>
      <c r="G217" s="53" t="str">
        <f aca="false" ca="false" dt2D="false" dtr="false" t="normal">MID(INDEX($A$3:$A$70, IF(ISNA(MATCH("720G4GA*", $A$3:$A$70, 0))=TRUE, MATCH("7200410*", $A$3:$A$70, 0), MATCH("720G4GA*", $A$3:$A$70, 0))), $AT$8, 2)</f>
        <v>GA</v>
      </c>
      <c r="N217" s="63" t="n"/>
      <c r="P217" s="136" t="n">
        <f aca="false" ca="false" dt2D="false" dtr="false" t="normal">MID(H215, 3, 1)</f>
        <v>0</v>
      </c>
      <c r="Q217" s="137" t="n">
        <f aca="false" ca="false" dt2D="false" dtr="false" t="normal">P217</f>
        <v>0</v>
      </c>
      <c r="R217" s="120" t="s">
        <v>195</v>
      </c>
      <c r="S217" s="131" t="s">
        <v>196</v>
      </c>
      <c r="T217" s="136" t="n">
        <f aca="false" ca="false" dt2D="false" dtr="false" t="normal">MID(I215, 3, 1)</f>
        <v>0</v>
      </c>
      <c r="U217" s="137" t="n">
        <f aca="false" ca="false" dt2D="false" dtr="false" t="normal">MID(W222, 3, 1)</f>
        <v>0</v>
      </c>
      <c r="V217" s="120" t="s">
        <v>195</v>
      </c>
      <c r="W217" s="2939" t="s">
        <v>1188</v>
      </c>
      <c r="X217" s="136" t="n">
        <f aca="false" ca="false" dt2D="false" dtr="false" t="normal">MID(J215, 3, 1)</f>
        <v>0</v>
      </c>
      <c r="Y217" s="137" t="n">
        <f aca="false" ca="false" dt2D="false" dtr="false" t="normal">X217</f>
        <v>0</v>
      </c>
      <c r="Z217" s="120" t="s">
        <v>195</v>
      </c>
      <c r="AA217" s="139" t="s">
        <v>1189</v>
      </c>
      <c r="AB217" s="2940" t="s"/>
      <c r="AC217" s="142" t="s"/>
      <c r="AD217" s="142" t="s"/>
      <c r="AE217" s="2941" t="s"/>
      <c r="AF217" s="2942" t="s"/>
      <c r="AG217" s="142" t="s"/>
      <c r="AH217" s="142" t="s"/>
      <c r="AI217" s="2943" t="s"/>
      <c r="AJ217" s="2944" t="s"/>
      <c r="AK217" s="2945" t="s"/>
    </row>
    <row hidden="false" ht="15.75" outlineLevel="0" r="218">
      <c r="C218" s="98" t="n"/>
      <c r="N218" s="63" t="n"/>
      <c r="P218" s="136" t="n">
        <f aca="false" ca="false" dt2D="false" dtr="false" t="normal">MID(H215, 4, 1)</f>
        <v>0</v>
      </c>
      <c r="Q218" s="137" t="n">
        <f aca="false" ca="false" dt2D="false" dtr="false" t="normal">P218</f>
        <v>0</v>
      </c>
      <c r="R218" s="120" t="s">
        <v>197</v>
      </c>
      <c r="S218" s="131" t="s">
        <v>196</v>
      </c>
      <c r="T218" s="136" t="n">
        <f aca="false" ca="false" dt2D="false" dtr="false" t="normal">MID(I215, 4, 1)</f>
        <v>0</v>
      </c>
      <c r="U218" s="137" t="n">
        <f aca="false" ca="false" dt2D="false" dtr="false" t="normal">MID(W222, 4, 1)</f>
        <v>0</v>
      </c>
      <c r="V218" s="120" t="s">
        <v>197</v>
      </c>
      <c r="W218" s="2932" t="n">
        <f aca="false" ca="false" dt2D="false" dtr="false" t="normal">ROUND(W216+W216*-AI209, 0)</f>
        <v>0</v>
      </c>
      <c r="X218" s="136" t="n">
        <f aca="false" ca="false" dt2D="false" dtr="false" t="normal">MID(J215, 4, 1)</f>
        <v>0</v>
      </c>
      <c r="Y218" s="137" t="n">
        <f aca="false" ca="false" dt2D="false" dtr="false" t="normal">X218</f>
        <v>0</v>
      </c>
      <c r="Z218" s="120" t="s">
        <v>197</v>
      </c>
      <c r="AA218" s="139" t="s">
        <v>1190</v>
      </c>
      <c r="AB218" s="2946" t="s"/>
      <c r="AC218" s="142" t="s"/>
      <c r="AD218" s="142" t="s"/>
      <c r="AE218" s="2947" t="s"/>
      <c r="AF218" s="2948" t="s"/>
      <c r="AG218" s="142" t="s"/>
      <c r="AH218" s="142" t="s"/>
      <c r="AI218" s="2949" t="s"/>
      <c r="AJ218" s="2950" t="s"/>
      <c r="AK218" s="2951" t="s"/>
    </row>
    <row hidden="false" ht="15.75" outlineLevel="0" r="219">
      <c r="C219" s="98" t="s">
        <v>176</v>
      </c>
      <c r="D219" s="159" t="n">
        <f aca="false" ca="false" dt2D="false" dtr="false" t="normal">D214</f>
        <v>7</v>
      </c>
      <c r="E219" s="160" t="n">
        <f aca="false" ca="false" dt2D="false" dtr="false" t="normal">E214</f>
        <v>20</v>
      </c>
      <c r="F219" s="160" t="n">
        <f aca="false" ca="false" dt2D="false" dtr="false" t="normal">F214</f>
        <v>4</v>
      </c>
      <c r="G219" s="161" t="n">
        <f aca="false" ca="false" dt2D="false" dtr="false" t="normal">G214</f>
        <v>10</v>
      </c>
      <c r="H219" s="162" t="n">
        <f aca="false" ca="false" dt2D="false" dtr="false" t="normal">BIN2HEX(H220, 2)</f>
        <v>0</v>
      </c>
      <c r="I219" s="163" t="n">
        <f aca="false" ca="false" dt2D="false" dtr="false" t="normal">BIN2HEX(I220, 2)</f>
        <v>0</v>
      </c>
      <c r="J219" s="164" t="n">
        <f aca="false" ca="false" dt2D="false" dtr="false" t="normal">BIN2HEX(J220, 2)</f>
        <v>0</v>
      </c>
      <c r="K219" s="1916" t="n">
        <f aca="false" ca="false" dt2D="false" dtr="false" t="normal">K214</f>
        <v>0</v>
      </c>
      <c r="L219" s="1917" t="n">
        <f aca="false" ca="false" dt2D="false" dtr="false" t="normal">L214</f>
        <v>0</v>
      </c>
      <c r="M219" s="166" t="str">
        <f aca="false" ca="false" dt2D="false" dtr="false" t="normal">IF(LEN(M220)&gt;2, MID(M220, 2, 2), M220)</f>
        <v>3B</v>
      </c>
      <c r="N219" s="63" t="s">
        <v>181</v>
      </c>
      <c r="P219" s="136" t="n">
        <f aca="false" ca="false" dt2D="false" dtr="false" t="normal">MID(H215, 5, 1)</f>
        <v>0</v>
      </c>
      <c r="Q219" s="137" t="n">
        <f aca="false" ca="false" dt2D="false" dtr="false" t="normal">P219</f>
        <v>0</v>
      </c>
      <c r="R219" s="120" t="s">
        <v>200</v>
      </c>
      <c r="S219" s="131" t="s">
        <v>196</v>
      </c>
      <c r="T219" s="136" t="n">
        <f aca="false" ca="false" dt2D="false" dtr="false" t="normal">MID(I215, 5, 1)</f>
        <v>0</v>
      </c>
      <c r="U219" s="137" t="n">
        <f aca="false" ca="false" dt2D="false" dtr="false" t="normal">MID(W222, 5, 1)</f>
        <v>0</v>
      </c>
      <c r="V219" s="120" t="s">
        <v>200</v>
      </c>
      <c r="W219" s="2939" t="s">
        <v>1191</v>
      </c>
      <c r="X219" s="136" t="n">
        <f aca="false" ca="false" dt2D="false" dtr="false" t="normal">MID(J215, 5, 1)</f>
        <v>0</v>
      </c>
      <c r="Y219" s="137" t="n">
        <f aca="false" ca="false" dt2D="false" dtr="false" t="normal">X219</f>
        <v>0</v>
      </c>
      <c r="Z219" s="120" t="s">
        <v>200</v>
      </c>
      <c r="AA219" s="139" t="s">
        <v>1192</v>
      </c>
      <c r="AB219" s="2952" t="s"/>
      <c r="AC219" s="142" t="s"/>
      <c r="AD219" s="142" t="s"/>
      <c r="AE219" s="2953" t="s"/>
      <c r="AF219" s="2954" t="s"/>
      <c r="AG219" s="142" t="s"/>
      <c r="AH219" s="142" t="s"/>
      <c r="AI219" s="2955" t="s"/>
      <c r="AJ219" s="2956" t="s"/>
      <c r="AK219" s="2957" t="s"/>
    </row>
    <row hidden="false" ht="15" outlineLevel="0" r="220">
      <c r="C220" s="98" t="s">
        <v>185</v>
      </c>
      <c r="D220" s="53" t="n">
        <f aca="false" ca="false" dt2D="false" dtr="false" t="normal">HEX2BIN(D219, 8)</f>
        <v>111</v>
      </c>
      <c r="E220" s="53" t="n">
        <f aca="false" ca="false" dt2D="false" dtr="false" t="normal">HEX2BIN(E219, 8)</f>
        <v>100000</v>
      </c>
      <c r="F220" s="53" t="n">
        <f aca="false" ca="false" dt2D="false" dtr="false" t="normal">HEX2BIN(F219, 8)</f>
        <v>100</v>
      </c>
      <c r="G220" s="53" t="n">
        <f aca="false" ca="false" dt2D="false" dtr="false" t="normal">HEX2BIN(G219, 8)</f>
        <v>10000</v>
      </c>
      <c r="H220" s="171" t="n">
        <f aca="false" ca="false" dt2D="false" dtr="false" t="normal">Q215&amp;Q216&amp;Q217&amp;Q218&amp;Q219&amp;Q220&amp;Q221&amp;Q222</f>
        <v>0</v>
      </c>
      <c r="I220" s="53" t="n">
        <f aca="false" ca="false" dt2D="false" dtr="false" t="normal">U215&amp;U216&amp;U217&amp;U218&amp;U219&amp;U220&amp;U221&amp;U222</f>
        <v>0</v>
      </c>
      <c r="J220" s="171" t="n">
        <f aca="false" ca="false" dt2D="false" dtr="false" t="normal">Y215&amp;Y216&amp;Y217&amp;Y218&amp;Y219&amp;Y220&amp;Y221&amp;Y222</f>
        <v>0</v>
      </c>
      <c r="K220" s="171" t="n"/>
      <c r="L220" s="53" t="n"/>
      <c r="M220" s="53" t="str">
        <f aca="false" ca="false" dt2D="false" dtr="false" t="normal">DEC2HEX(M221)</f>
        <v>3B</v>
      </c>
      <c r="N220" s="63" t="n"/>
      <c r="P220" s="136" t="n">
        <f aca="false" ca="false" dt2D="false" dtr="false" t="normal">MID(H215, 6, 1)</f>
        <v>0</v>
      </c>
      <c r="Q220" s="137" t="n">
        <f aca="false" ca="false" dt2D="false" dtr="false" t="normal">P220</f>
        <v>0</v>
      </c>
      <c r="R220" s="120" t="s">
        <v>203</v>
      </c>
      <c r="S220" s="131" t="s">
        <v>196</v>
      </c>
      <c r="T220" s="136" t="n">
        <f aca="false" ca="false" dt2D="false" dtr="false" t="normal">MID(I215, 6, 1)</f>
        <v>0</v>
      </c>
      <c r="U220" s="137" t="n">
        <f aca="false" ca="false" dt2D="false" dtr="false" t="normal">MID(W222, 6, 1)</f>
        <v>0</v>
      </c>
      <c r="V220" s="120" t="s">
        <v>203</v>
      </c>
      <c r="W220" s="2958" t="n">
        <f aca="false" ca="false" dt2D="false" dtr="false" t="normal">HEX2BIN(LEFT(DEC2HEX(W218, 4), 2), 8)</f>
        <v>0</v>
      </c>
      <c r="X220" s="136" t="n">
        <f aca="false" ca="false" dt2D="false" dtr="false" t="normal">MID(J215, 6, 1)</f>
        <v>0</v>
      </c>
      <c r="Y220" s="137" t="n">
        <f aca="false" ca="false" dt2D="false" dtr="false" t="normal">X220</f>
        <v>0</v>
      </c>
      <c r="Z220" s="120" t="s">
        <v>203</v>
      </c>
      <c r="AA220" s="139" t="s">
        <v>1193</v>
      </c>
      <c r="AB220" s="2959" t="s"/>
      <c r="AC220" s="142" t="s"/>
      <c r="AD220" s="142" t="s"/>
      <c r="AE220" s="2960" t="s"/>
      <c r="AF220" s="2961" t="s"/>
      <c r="AG220" s="142" t="s"/>
      <c r="AH220" s="142" t="s"/>
      <c r="AI220" s="2962" t="s"/>
      <c r="AJ220" s="2963" t="s"/>
      <c r="AK220" s="2964" t="s"/>
    </row>
    <row hidden="false" ht="15" outlineLevel="0" r="221">
      <c r="C221" s="98" t="s">
        <v>191</v>
      </c>
      <c r="D221" s="53" t="n">
        <f aca="false" ca="false" dt2D="false" dtr="false" t="normal">HEX2DEC(D219)</f>
        <v>7</v>
      </c>
      <c r="E221" s="53" t="n">
        <f aca="false" ca="false" dt2D="false" dtr="false" t="normal">HEX2DEC(E219)</f>
        <v>32</v>
      </c>
      <c r="F221" s="53" t="n">
        <f aca="false" ca="false" dt2D="false" dtr="false" t="normal">HEX2DEC(F219)</f>
        <v>4</v>
      </c>
      <c r="G221" s="53" t="n">
        <f aca="false" ca="false" dt2D="false" dtr="false" t="normal">HEX2DEC(G219)</f>
        <v>16</v>
      </c>
      <c r="H221" s="53" t="n">
        <f aca="false" ca="false" dt2D="false" dtr="false" t="normal">HEX2DEC(H219)</f>
        <v>0</v>
      </c>
      <c r="I221" s="53" t="n">
        <f aca="false" ca="false" dt2D="false" dtr="false" t="normal">HEX2DEC(I219)</f>
        <v>0</v>
      </c>
      <c r="J221" s="53" t="n">
        <f aca="false" ca="false" dt2D="false" dtr="false" t="normal">HEX2DEC(J219)</f>
        <v>0</v>
      </c>
      <c r="K221" s="53" t="n">
        <f aca="false" ca="false" dt2D="false" dtr="false" t="normal">HEX2DEC(K219)</f>
        <v>0</v>
      </c>
      <c r="L221" s="53" t="n">
        <f aca="false" ca="false" dt2D="false" dtr="false" t="normal">HEX2DEC(L219)</f>
        <v>0</v>
      </c>
      <c r="M221" s="53" t="n">
        <f aca="false" ca="false" dt2D="false" dtr="false" t="normal">SUM(D221:L221)</f>
        <v>59</v>
      </c>
      <c r="N221" s="63" t="n"/>
      <c r="P221" s="136" t="n">
        <f aca="false" ca="false" dt2D="false" dtr="false" t="normal">MID(H215, 7, 1)</f>
        <v>0</v>
      </c>
      <c r="Q221" s="137" t="n">
        <f aca="false" ca="false" dt2D="false" dtr="false" t="normal">P221</f>
        <v>0</v>
      </c>
      <c r="R221" s="120" t="s">
        <v>206</v>
      </c>
      <c r="S221" s="131" t="s">
        <v>196</v>
      </c>
      <c r="T221" s="136" t="n">
        <f aca="false" ca="false" dt2D="false" dtr="false" t="normal">MID(I215, 7, 1)</f>
        <v>0</v>
      </c>
      <c r="U221" s="137" t="n">
        <f aca="false" ca="false" dt2D="false" dtr="false" t="normal">MID(W222, 7, 1)</f>
        <v>0</v>
      </c>
      <c r="V221" s="120" t="s">
        <v>206</v>
      </c>
      <c r="W221" s="2939" t="s">
        <v>1194</v>
      </c>
      <c r="X221" s="136" t="n">
        <f aca="false" ca="false" dt2D="false" dtr="false" t="normal">MID(J215, 7, 1)</f>
        <v>0</v>
      </c>
      <c r="Y221" s="137" t="n">
        <f aca="false" ca="false" dt2D="false" dtr="false" t="normal">X221</f>
        <v>0</v>
      </c>
      <c r="Z221" s="120" t="s">
        <v>206</v>
      </c>
      <c r="AA221" s="139" t="s">
        <v>1195</v>
      </c>
      <c r="AB221" s="2965" t="s"/>
      <c r="AC221" s="142" t="s"/>
      <c r="AD221" s="142" t="s"/>
      <c r="AE221" s="2966" t="s"/>
      <c r="AF221" s="2967" t="s"/>
      <c r="AG221" s="142" t="s"/>
      <c r="AH221" s="142" t="s"/>
      <c r="AI221" s="2968" t="s"/>
      <c r="AJ221" s="2969" t="s"/>
      <c r="AK221" s="2970" t="s"/>
    </row>
    <row hidden="false" ht="15.75" outlineLevel="0" r="222">
      <c r="C222" s="180" t="s">
        <v>194</v>
      </c>
      <c r="D222" s="299" t="n">
        <f aca="false" ca="false" dt2D="false" dtr="false" t="normal">D217</f>
        <v>7</v>
      </c>
      <c r="E222" s="299" t="n">
        <f aca="false" ca="false" dt2D="false" dtr="false" t="normal">E217</f>
        <v>20</v>
      </c>
      <c r="F222" s="299" t="str">
        <f aca="false" ca="false" dt2D="false" dtr="false" t="normal">F217</f>
        <v>G4</v>
      </c>
      <c r="G222" s="299" t="str">
        <f aca="false" ca="false" dt2D="false" dtr="false" t="normal">G217</f>
        <v>GA</v>
      </c>
      <c r="H222" s="45" t="n"/>
      <c r="I222" s="45" t="n"/>
      <c r="J222" s="45" t="n"/>
      <c r="K222" s="45" t="n"/>
      <c r="L222" s="45" t="n"/>
      <c r="M222" s="45" t="n"/>
      <c r="N222" s="49" t="n"/>
      <c r="P222" s="182" t="n">
        <f aca="false" ca="false" dt2D="false" dtr="false" t="normal">MID(H215, 8, 1)</f>
        <v>0</v>
      </c>
      <c r="Q222" s="183" t="n">
        <f aca="false" ca="false" dt2D="false" dtr="false" t="normal">P222</f>
        <v>0</v>
      </c>
      <c r="R222" s="184" t="s">
        <v>208</v>
      </c>
      <c r="S222" s="185" t="s">
        <v>196</v>
      </c>
      <c r="T222" s="182" t="n">
        <f aca="false" ca="false" dt2D="false" dtr="false" t="normal">MID(I215, 8, 1)</f>
        <v>0</v>
      </c>
      <c r="U222" s="183" t="n">
        <f aca="false" ca="false" dt2D="false" dtr="false" t="normal">MID(W222, 8, 1)</f>
        <v>0</v>
      </c>
      <c r="V222" s="184" t="s">
        <v>208</v>
      </c>
      <c r="W222" s="2971" t="n">
        <f aca="false" ca="false" dt2D="false" dtr="false" t="normal">HEX2BIN(RIGHT(DEC2HEX(W218, 4), 2), 8)</f>
        <v>0</v>
      </c>
      <c r="X222" s="182" t="n">
        <f aca="false" ca="false" dt2D="false" dtr="false" t="normal">MID(J215, 8, 1)</f>
        <v>0</v>
      </c>
      <c r="Y222" s="183" t="n">
        <f aca="false" ca="false" dt2D="false" dtr="false" t="normal">X222</f>
        <v>0</v>
      </c>
      <c r="Z222" s="184" t="s">
        <v>208</v>
      </c>
      <c r="AA222" s="187" t="s">
        <v>1196</v>
      </c>
      <c r="AB222" s="2972" t="s"/>
      <c r="AC222" s="2973" t="s"/>
      <c r="AD222" s="2974" t="s"/>
      <c r="AE222" s="2975" t="s"/>
      <c r="AF222" s="2976" t="s"/>
      <c r="AG222" s="2977" t="s"/>
      <c r="AH222" s="2978" t="s"/>
      <c r="AI222" s="2979" t="s"/>
      <c r="AJ222" s="2980" t="s"/>
      <c r="AK222" s="2981" t="s"/>
    </row>
    <row hidden="false" ht="15.75" outlineLevel="0" r="223">
      <c r="C223" s="93" t="n"/>
      <c r="D223" s="94" t="n"/>
      <c r="E223" s="94" t="n"/>
      <c r="F223" s="94" t="n"/>
      <c r="G223" s="94" t="n"/>
      <c r="H223" s="94" t="n"/>
      <c r="I223" s="94" t="n"/>
      <c r="J223" s="94" t="n"/>
      <c r="K223" s="94" t="n"/>
      <c r="L223" s="94" t="n"/>
      <c r="M223" s="94" t="s">
        <v>161</v>
      </c>
      <c r="N223" s="60" t="n"/>
      <c r="P223" s="95" t="str">
        <f aca="false" ca="false" dt2D="false" dtr="false" t="normal">RIGHT(D225, 1)&amp;E225&amp;"-"&amp;F225&amp;"-"&amp;G225</f>
        <v>720-04-11</v>
      </c>
      <c r="Q223" s="2982" t="s"/>
      <c r="R223" s="234" t="s">
        <v>1197</v>
      </c>
      <c r="S223" s="2983" t="s"/>
      <c r="T223" s="2984" t="s"/>
      <c r="U223" s="2985" t="s"/>
      <c r="V223" s="2986" t="s"/>
      <c r="W223" s="2987" t="s"/>
      <c r="X223" s="2988" t="s"/>
      <c r="Y223" s="2989" t="s"/>
      <c r="Z223" s="2990" t="s"/>
      <c r="AA223" s="2991" t="s"/>
      <c r="AB223" s="2992" t="s"/>
      <c r="AC223" s="2993" t="s"/>
      <c r="AD223" s="2994" t="s"/>
      <c r="AE223" s="2995" t="s"/>
      <c r="AF223" s="2996" t="s"/>
      <c r="AG223" s="2997" t="s"/>
      <c r="AH223" s="2998" t="s"/>
      <c r="AI223" s="2999" t="s"/>
      <c r="AJ223" s="3000" t="s"/>
      <c r="AK223" s="3001" t="s"/>
    </row>
    <row hidden="false" ht="15.75" outlineLevel="0" r="224">
      <c r="C224" s="98" t="n"/>
      <c r="D224" s="99" t="s">
        <v>1198</v>
      </c>
      <c r="E224" s="3002" t="s"/>
      <c r="F224" s="3003" t="s"/>
      <c r="G224" s="3004" t="s"/>
      <c r="H224" s="53" t="s">
        <v>165</v>
      </c>
      <c r="I224" s="53" t="s">
        <v>166</v>
      </c>
      <c r="J224" s="53" t="s">
        <v>167</v>
      </c>
      <c r="K224" s="53" t="s">
        <v>168</v>
      </c>
      <c r="L224" s="53" t="s">
        <v>169</v>
      </c>
      <c r="M224" s="53" t="s">
        <v>221</v>
      </c>
      <c r="N224" s="63" t="n"/>
      <c r="P224" s="103" t="s">
        <v>1199</v>
      </c>
      <c r="Q224" s="3005" t="s"/>
      <c r="R224" s="3006" t="s"/>
      <c r="S224" s="3007" t="s"/>
      <c r="T224" s="103" t="s">
        <v>1200</v>
      </c>
      <c r="U224" s="3008" t="s"/>
      <c r="V224" s="3009" t="s"/>
      <c r="W224" s="3010" t="s"/>
      <c r="X224" s="103" t="s">
        <v>1201</v>
      </c>
      <c r="Y224" s="3011" t="s"/>
      <c r="Z224" s="3012" t="s"/>
      <c r="AA224" s="3013" t="s"/>
      <c r="AB224" s="103" t="s">
        <v>1202</v>
      </c>
      <c r="AC224" s="3014" t="s"/>
      <c r="AD224" s="3015" t="s"/>
      <c r="AE224" s="3016" t="s"/>
      <c r="AF224" s="103" t="s">
        <v>1203</v>
      </c>
      <c r="AG224" s="3017" t="s"/>
      <c r="AH224" s="3018" t="s"/>
      <c r="AI224" s="3019" t="s"/>
      <c r="AJ224" s="116" t="s">
        <v>1204</v>
      </c>
      <c r="AK224" s="3020" t="s"/>
    </row>
    <row hidden="false" ht="15.75" outlineLevel="0" r="225">
      <c r="C225" s="98" t="s">
        <v>176</v>
      </c>
      <c r="D225" s="122" t="s">
        <v>177</v>
      </c>
      <c r="E225" s="123" t="s">
        <v>693</v>
      </c>
      <c r="F225" s="123" t="s">
        <v>342</v>
      </c>
      <c r="G225" s="124" t="s">
        <v>1205</v>
      </c>
      <c r="H225" s="164" t="n">
        <f aca="false" ca="false" dt2D="false" dtr="false" ref="H225:H225" t="array">MID(INDEX($A$3:$A$70, IF(ISNA(MATCH("720G4GB*", $A$3:$A$70, 0))=TRUE, MATCH("7200411*", $A$3:$A$70, 0), MATCH("720G4GB*", $A$3:$A$70, 0))), $AU$8, 2)</f>
        <v>0</v>
      </c>
      <c r="I225" s="1820" t="n">
        <f aca="false" ca="false" dt2D="false" dtr="false" ref="I225:I225" t="array">MID(INDEX($A$3:$A$70, IF(ISNA(MATCH("720G4GB*", $A$3:$A$70, 0))=TRUE, MATCH("7200411*", $A$3:$A$70, 0), MATCH("720G4GB*", $A$3:$A$70, 0))), $AV$8, 2)</f>
        <v>0</v>
      </c>
      <c r="J225" s="1820" t="n">
        <f aca="false" ca="false" dt2D="false" dtr="false" ref="J225:J225" t="array">MID(INDEX($A$3:$A$70, IF(ISNA(MATCH("720G4GB*", $A$3:$A$70, 0))=TRUE, MATCH("7200411*", $A$3:$A$70, 0), MATCH("720G4GB*", $A$3:$A$70, 0))), $AW$8, 2)</f>
        <v>0</v>
      </c>
      <c r="K225" s="1821" t="n">
        <f aca="false" ca="false" dt2D="false" dtr="false" ref="K225:K225" t="array">MID(INDEX($A$3:$A$70, IF(ISNA(MATCH("720G4GB*", $A$3:$A$70, 0))=TRUE, MATCH("7200411*", $A$3:$A$70, 0), MATCH("720G4GB*", $A$3:$A$70, 0))), $AX$8, 2)</f>
        <v>0</v>
      </c>
      <c r="L225" s="1821" t="n">
        <f aca="false" ca="false" dt2D="false" dtr="false" ref="L225:L225" t="array">MID(INDEX($A$3:$A$70, IF(ISNA(MATCH("720G4GB*", $A$3:$A$70, 0))=TRUE, MATCH("7200411*", $A$3:$A$70, 0), MATCH("720G4GB*", $A$3:$A$70, 0))), $AY$8, 2)</f>
        <v>0</v>
      </c>
      <c r="M225" s="218" t="str">
        <f aca="false" ca="false" dt2D="false" dtr="false" ref="M225:M225" t="array">MID(INDEX($A$3:$A$70, IF(ISNA(MATCH("720G4GB*", $A$3:$A$70, 0))=TRUE, MATCH("7200411*", $A$3:$A$70, 0), MATCH("720G4GB*", $A$3:$A$70, 0))), $AZ$8, 2)</f>
        <v>3C</v>
      </c>
      <c r="N225" s="63" t="s">
        <v>180</v>
      </c>
      <c r="P225" s="129" t="s">
        <v>180</v>
      </c>
      <c r="Q225" s="130" t="s">
        <v>181</v>
      </c>
      <c r="R225" s="121" t="s">
        <v>182</v>
      </c>
      <c r="S225" s="131" t="n"/>
      <c r="T225" s="129" t="s">
        <v>180</v>
      </c>
      <c r="U225" s="130" t="s">
        <v>181</v>
      </c>
      <c r="V225" s="121" t="s">
        <v>182</v>
      </c>
      <c r="W225" s="131" t="n"/>
      <c r="X225" s="129" t="s">
        <v>180</v>
      </c>
      <c r="Y225" s="130" t="s">
        <v>181</v>
      </c>
      <c r="Z225" s="121" t="s">
        <v>182</v>
      </c>
      <c r="AA225" s="131" t="n"/>
      <c r="AB225" s="129" t="s">
        <v>180</v>
      </c>
      <c r="AC225" s="130" t="s">
        <v>181</v>
      </c>
      <c r="AD225" s="121" t="s">
        <v>182</v>
      </c>
      <c r="AE225" s="131" t="n"/>
      <c r="AF225" s="129" t="s">
        <v>180</v>
      </c>
      <c r="AG225" s="130" t="s">
        <v>181</v>
      </c>
      <c r="AH225" s="121" t="s">
        <v>182</v>
      </c>
      <c r="AI225" s="121" t="n"/>
      <c r="AJ225" s="116" t="s">
        <v>183</v>
      </c>
      <c r="AK225" s="3021" t="s"/>
    </row>
    <row customHeight="true" hidden="false" ht="15" outlineLevel="0" r="226">
      <c r="C226" s="98" t="s">
        <v>185</v>
      </c>
      <c r="D226" s="53" t="n">
        <f aca="false" ca="false" dt2D="false" dtr="false" t="normal">HEX2BIN(D225, 8)</f>
        <v>111</v>
      </c>
      <c r="E226" s="53" t="n">
        <f aca="false" ca="false" dt2D="false" dtr="false" t="normal">HEX2BIN(E225, 8)</f>
        <v>100000</v>
      </c>
      <c r="F226" s="53" t="n">
        <f aca="false" ca="false" dt2D="false" dtr="false" t="normal">HEX2BIN(F225, 8)</f>
        <v>100</v>
      </c>
      <c r="G226" s="53" t="n">
        <f aca="false" ca="false" dt2D="false" dtr="false" t="normal">HEX2BIN(G225, 8)</f>
        <v>10001</v>
      </c>
      <c r="H226" s="53" t="n">
        <f aca="false" ca="false" dt2D="false" dtr="false" t="normal">HEX2BIN(H225, 8)</f>
        <v>0</v>
      </c>
      <c r="I226" s="53" t="n">
        <f aca="false" ca="false" dt2D="false" dtr="false" t="normal">HEX2BIN(I225, 8)</f>
        <v>0</v>
      </c>
      <c r="J226" s="53" t="n">
        <f aca="false" ca="false" dt2D="false" dtr="false" t="normal">HEX2BIN(J225, 8)</f>
        <v>0</v>
      </c>
      <c r="K226" s="53" t="n">
        <f aca="false" ca="false" dt2D="false" dtr="false" t="normal">HEX2BIN(K225, 8)</f>
        <v>0</v>
      </c>
      <c r="L226" s="53" t="n">
        <f aca="false" ca="false" dt2D="false" dtr="false" t="normal">HEX2BIN(L225, 8)</f>
        <v>0</v>
      </c>
      <c r="N226" s="63" t="n"/>
      <c r="P226" s="136" t="n">
        <f aca="false" ca="false" dt2D="false" dtr="false" t="normal">MID(H226, 1, 1)</f>
        <v>0</v>
      </c>
      <c r="Q226" s="137" t="n">
        <f aca="false" ca="false" dt2D="false" dtr="false" t="normal">P226</f>
        <v>0</v>
      </c>
      <c r="R226" s="120" t="s">
        <v>186</v>
      </c>
      <c r="S226" s="1770" t="s">
        <v>1206</v>
      </c>
      <c r="T226" s="136" t="n">
        <f aca="false" ca="false" dt2D="false" dtr="false" t="normal">MID(I226, 1, 1)</f>
        <v>0</v>
      </c>
      <c r="U226" s="137" t="n">
        <f aca="false" ca="false" dt2D="false" dtr="false" t="normal">T226</f>
        <v>0</v>
      </c>
      <c r="V226" s="120" t="s">
        <v>186</v>
      </c>
      <c r="W226" s="3022" t="s">
        <v>1207</v>
      </c>
      <c r="X226" s="136" t="n">
        <f aca="false" ca="false" dt2D="false" dtr="false" t="normal">MID(J226, 1, 1)</f>
        <v>0</v>
      </c>
      <c r="Y226" s="137" t="n">
        <f aca="false" ca="false" dt2D="false" dtr="false" t="normal">X226</f>
        <v>0</v>
      </c>
      <c r="Z226" s="120" t="s">
        <v>186</v>
      </c>
      <c r="AA226" s="131" t="s">
        <v>196</v>
      </c>
      <c r="AB226" s="136" t="n">
        <f aca="false" ca="false" dt2D="false" dtr="false" t="normal">MID(K226, 1, 1)</f>
        <v>0</v>
      </c>
      <c r="AC226" s="137" t="n">
        <f aca="false" ca="false" dt2D="false" dtr="false" t="normal">AB226</f>
        <v>0</v>
      </c>
      <c r="AD226" s="120" t="s">
        <v>186</v>
      </c>
      <c r="AE226" s="139" t="s">
        <v>1208</v>
      </c>
      <c r="AF226" s="136" t="n">
        <f aca="false" ca="false" dt2D="false" dtr="false" t="normal">MID(L226, 1, 1)</f>
        <v>0</v>
      </c>
      <c r="AG226" s="137" t="n">
        <f aca="false" ca="false" dt2D="false" dtr="false" t="normal">AF226</f>
        <v>0</v>
      </c>
      <c r="AH226" s="120" t="s">
        <v>186</v>
      </c>
      <c r="AI226" s="139" t="s">
        <v>1209</v>
      </c>
      <c r="AJ226" s="3023" t="s"/>
      <c r="AK226" s="3024" t="s"/>
    </row>
    <row hidden="false" ht="15" outlineLevel="0" r="227">
      <c r="C227" s="98" t="s">
        <v>191</v>
      </c>
      <c r="D227" s="53" t="n">
        <f aca="false" ca="false" dt2D="false" dtr="false" t="normal">HEX2DEC(D225)</f>
        <v>7</v>
      </c>
      <c r="E227" s="53" t="n">
        <f aca="false" ca="false" dt2D="false" dtr="false" t="normal">HEX2DEC(E225)</f>
        <v>32</v>
      </c>
      <c r="F227" s="53" t="n">
        <f aca="false" ca="false" dt2D="false" dtr="false" t="normal">HEX2DEC(F225)</f>
        <v>4</v>
      </c>
      <c r="G227" s="53" t="n">
        <f aca="false" ca="false" dt2D="false" dtr="false" t="normal">HEX2DEC(G225)</f>
        <v>17</v>
      </c>
      <c r="H227" s="53" t="n">
        <f aca="false" ca="false" dt2D="false" dtr="false" t="normal">HEX2DEC(H225)</f>
        <v>0</v>
      </c>
      <c r="I227" s="53" t="n">
        <f aca="false" ca="false" dt2D="false" dtr="false" t="normal">HEX2DEC(I225)</f>
        <v>0</v>
      </c>
      <c r="J227" s="53" t="n">
        <f aca="false" ca="false" dt2D="false" dtr="false" t="normal">HEX2DEC(J225)</f>
        <v>0</v>
      </c>
      <c r="K227" s="53" t="n">
        <f aca="false" ca="false" dt2D="false" dtr="false" t="normal">HEX2DEC(K225)</f>
        <v>0</v>
      </c>
      <c r="L227" s="53" t="n">
        <f aca="false" ca="false" dt2D="false" dtr="false" t="normal">HEX2DEC(L225)</f>
        <v>0</v>
      </c>
      <c r="M227" s="53" t="n">
        <f aca="false" ca="false" dt2D="false" dtr="false" t="normal">SUM(D227:L227)</f>
        <v>60</v>
      </c>
      <c r="N227" s="63" t="n"/>
      <c r="P227" s="136" t="n">
        <f aca="false" ca="false" dt2D="false" dtr="false" t="normal">MID(H226, 2, 1)</f>
        <v>0</v>
      </c>
      <c r="Q227" s="137" t="n">
        <f aca="false" ca="false" dt2D="false" dtr="false" t="normal">P227</f>
        <v>0</v>
      </c>
      <c r="R227" s="120" t="s">
        <v>192</v>
      </c>
      <c r="S227" s="3025" t="s"/>
      <c r="T227" s="136" t="n">
        <f aca="false" ca="false" dt2D="false" dtr="false" t="normal">MID(I226, 2, 1)</f>
        <v>0</v>
      </c>
      <c r="U227" s="137" t="n">
        <f aca="false" ca="false" dt2D="false" dtr="false" t="normal">T227</f>
        <v>0</v>
      </c>
      <c r="V227" s="120" t="s">
        <v>192</v>
      </c>
      <c r="W227" s="3026" t="s"/>
      <c r="X227" s="136" t="n">
        <f aca="false" ca="false" dt2D="false" dtr="false" t="normal">MID(J226, 2, 1)</f>
        <v>0</v>
      </c>
      <c r="Y227" s="137" t="n">
        <f aca="false" ca="false" dt2D="false" dtr="false" t="normal">X227</f>
        <v>0</v>
      </c>
      <c r="Z227" s="120" t="s">
        <v>192</v>
      </c>
      <c r="AA227" s="131" t="s">
        <v>196</v>
      </c>
      <c r="AB227" s="136" t="n">
        <f aca="false" ca="false" dt2D="false" dtr="false" t="normal">MID(K226, 2, 1)</f>
        <v>0</v>
      </c>
      <c r="AC227" s="137" t="n">
        <f aca="false" ca="false" dt2D="false" dtr="false" t="normal">AB227</f>
        <v>0</v>
      </c>
      <c r="AD227" s="120" t="s">
        <v>192</v>
      </c>
      <c r="AE227" s="139" t="s">
        <v>1210</v>
      </c>
      <c r="AF227" s="136" t="n">
        <f aca="false" ca="false" dt2D="false" dtr="false" t="normal">MID(L226, 2, 1)</f>
        <v>0</v>
      </c>
      <c r="AG227" s="137" t="n">
        <f aca="false" ca="false" dt2D="false" dtr="false" t="normal">AF227</f>
        <v>0</v>
      </c>
      <c r="AH227" s="120" t="s">
        <v>192</v>
      </c>
      <c r="AI227" s="139" t="s">
        <v>1211</v>
      </c>
      <c r="AJ227" s="3027" t="s"/>
      <c r="AK227" s="3028" t="s"/>
    </row>
    <row hidden="false" ht="15" outlineLevel="0" r="228">
      <c r="C228" s="98" t="s">
        <v>194</v>
      </c>
      <c r="D228" s="149" t="n">
        <f aca="false" ca="false" dt2D="false" dtr="false" t="normal">D225</f>
        <v>7</v>
      </c>
      <c r="E228" s="149" t="n">
        <f aca="false" ca="false" dt2D="false" dtr="false" t="normal">E225</f>
        <v>20</v>
      </c>
      <c r="F228" s="53" t="str">
        <f aca="false" ca="false" dt2D="false" dtr="false" t="normal">MID(INDEX($A$3:$A$70, IF(ISNA(MATCH("720G4GB*", $A$3:$A$70, 0))=TRUE, MATCH("7200411*", $A$3:$A$70, 0), MATCH("720G4GB*", $A$3:$A$70, 0))), $AS$8, 2)</f>
        <v>G4</v>
      </c>
      <c r="G228" s="53" t="str">
        <f aca="false" ca="false" dt2D="false" dtr="false" t="normal">MID(INDEX($A$3:$A$70, IF(ISNA(MATCH("720G4GB*", $A$3:$A$70, 0))=TRUE, MATCH("7200411*", $A$3:$A$70, 0), MATCH("720G4GB*", $A$3:$A$70, 0))), $AT$8, 2)</f>
        <v>GB</v>
      </c>
      <c r="N228" s="63" t="n"/>
      <c r="P228" s="136" t="n">
        <f aca="false" ca="false" dt2D="false" dtr="false" t="normal">MID(H226, 3, 1)</f>
        <v>0</v>
      </c>
      <c r="Q228" s="137" t="n">
        <f aca="false" ca="false" dt2D="false" dtr="false" t="normal">P228</f>
        <v>0</v>
      </c>
      <c r="R228" s="120" t="s">
        <v>195</v>
      </c>
      <c r="S228" s="3029" t="s"/>
      <c r="T228" s="136" t="n">
        <f aca="false" ca="false" dt2D="false" dtr="false" t="normal">MID(I226, 3, 1)</f>
        <v>0</v>
      </c>
      <c r="U228" s="137" t="n">
        <f aca="false" ca="false" dt2D="false" dtr="false" t="normal">T228</f>
        <v>0</v>
      </c>
      <c r="V228" s="120" t="s">
        <v>195</v>
      </c>
      <c r="W228" s="3030" t="s"/>
      <c r="X228" s="136" t="n">
        <f aca="false" ca="false" dt2D="false" dtr="false" t="normal">MID(J226, 3, 1)</f>
        <v>0</v>
      </c>
      <c r="Y228" s="137" t="n">
        <f aca="false" ca="false" dt2D="false" dtr="false" t="normal">X228</f>
        <v>0</v>
      </c>
      <c r="Z228" s="120" t="s">
        <v>195</v>
      </c>
      <c r="AA228" s="139" t="s">
        <v>1212</v>
      </c>
      <c r="AB228" s="136" t="n">
        <f aca="false" ca="false" dt2D="false" dtr="false" t="normal">MID(K226, 3, 1)</f>
        <v>0</v>
      </c>
      <c r="AC228" s="137" t="n">
        <f aca="false" ca="false" dt2D="false" dtr="false" t="normal">AB228</f>
        <v>0</v>
      </c>
      <c r="AD228" s="120" t="s">
        <v>195</v>
      </c>
      <c r="AE228" s="139" t="s">
        <v>1213</v>
      </c>
      <c r="AF228" s="136" t="n">
        <f aca="false" ca="false" dt2D="false" dtr="false" t="normal">MID(L226, 3, 1)</f>
        <v>0</v>
      </c>
      <c r="AG228" s="137" t="n">
        <f aca="false" ca="false" dt2D="false" dtr="false" t="normal">AF228</f>
        <v>0</v>
      </c>
      <c r="AH228" s="120" t="s">
        <v>195</v>
      </c>
      <c r="AI228" s="139" t="s">
        <v>1214</v>
      </c>
      <c r="AJ228" s="3031" t="s"/>
      <c r="AK228" s="3032" t="s"/>
    </row>
    <row hidden="false" ht="15.75" outlineLevel="0" r="229">
      <c r="C229" s="98" t="n"/>
      <c r="N229" s="63" t="n"/>
      <c r="P229" s="136" t="n">
        <f aca="false" ca="false" dt2D="false" dtr="false" t="normal">MID(H226, 4, 1)</f>
        <v>0</v>
      </c>
      <c r="Q229" s="137" t="n">
        <f aca="false" ca="false" dt2D="false" dtr="false" t="normal">P229</f>
        <v>0</v>
      </c>
      <c r="R229" s="120" t="s">
        <v>197</v>
      </c>
      <c r="S229" s="3033" t="s"/>
      <c r="T229" s="136" t="n">
        <f aca="false" ca="false" dt2D="false" dtr="false" t="normal">MID(I226, 4, 1)</f>
        <v>0</v>
      </c>
      <c r="U229" s="137" t="n">
        <f aca="false" ca="false" dt2D="false" dtr="false" t="normal">T229</f>
        <v>0</v>
      </c>
      <c r="V229" s="120" t="s">
        <v>197</v>
      </c>
      <c r="W229" s="3034" t="s"/>
      <c r="X229" s="136" t="n">
        <f aca="false" ca="false" dt2D="false" dtr="false" t="normal">MID(J226, 4, 1)</f>
        <v>0</v>
      </c>
      <c r="Y229" s="137" t="n">
        <f aca="false" ca="false" dt2D="false" dtr="false" t="normal">X229</f>
        <v>0</v>
      </c>
      <c r="Z229" s="120" t="s">
        <v>197</v>
      </c>
      <c r="AA229" s="139" t="s">
        <v>1215</v>
      </c>
      <c r="AB229" s="136" t="n">
        <f aca="false" ca="false" dt2D="false" dtr="false" t="normal">MID(K226, 4, 1)</f>
        <v>0</v>
      </c>
      <c r="AC229" s="137" t="n">
        <f aca="false" ca="false" dt2D="false" dtr="false" t="normal">AB229</f>
        <v>0</v>
      </c>
      <c r="AD229" s="120" t="s">
        <v>197</v>
      </c>
      <c r="AE229" s="139" t="s">
        <v>1216</v>
      </c>
      <c r="AF229" s="136" t="n">
        <f aca="false" ca="false" dt2D="false" dtr="false" t="normal">MID(L226, 4, 1)</f>
        <v>0</v>
      </c>
      <c r="AG229" s="137" t="n">
        <f aca="false" ca="false" dt2D="false" dtr="false" t="normal">AF229</f>
        <v>0</v>
      </c>
      <c r="AH229" s="120" t="s">
        <v>197</v>
      </c>
      <c r="AI229" s="139" t="s">
        <v>1217</v>
      </c>
      <c r="AJ229" s="3035" t="s"/>
      <c r="AK229" s="3036" t="s"/>
    </row>
    <row hidden="false" ht="15.75" outlineLevel="0" r="230">
      <c r="C230" s="98" t="s">
        <v>176</v>
      </c>
      <c r="D230" s="159" t="n">
        <f aca="false" ca="false" dt2D="false" dtr="false" t="normal">D225</f>
        <v>7</v>
      </c>
      <c r="E230" s="160" t="n">
        <f aca="false" ca="false" dt2D="false" dtr="false" t="normal">E225</f>
        <v>20</v>
      </c>
      <c r="F230" s="160" t="n">
        <f aca="false" ca="false" dt2D="false" dtr="false" t="normal">F225</f>
        <v>4</v>
      </c>
      <c r="G230" s="161" t="n">
        <f aca="false" ca="false" dt2D="false" dtr="false" t="normal">G225</f>
        <v>11</v>
      </c>
      <c r="H230" s="162" t="n">
        <f aca="false" ca="false" dt2D="false" dtr="false" t="normal">BIN2HEX(H231, 2)</f>
        <v>0</v>
      </c>
      <c r="I230" s="163" t="n">
        <f aca="false" ca="false" dt2D="false" dtr="false" t="normal">BIN2HEX(I231, 2)</f>
        <v>0</v>
      </c>
      <c r="J230" s="164" t="n">
        <f aca="false" ca="false" dt2D="false" dtr="false" t="normal">BIN2HEX(J231, 2)</f>
        <v>0</v>
      </c>
      <c r="K230" s="165" t="n">
        <f aca="false" ca="false" dt2D="false" dtr="false" t="normal">BIN2HEX(K231, 2)</f>
        <v>0</v>
      </c>
      <c r="L230" s="288" t="n">
        <f aca="false" ca="false" dt2D="false" dtr="false" t="normal">BIN2HEX(L231, 2)</f>
        <v>0</v>
      </c>
      <c r="M230" s="166" t="str">
        <f aca="false" ca="false" dt2D="false" dtr="false" t="normal">IF(LEN(M231)&gt;2, MID(M231, 2, 2), M231)</f>
        <v>3C</v>
      </c>
      <c r="N230" s="63" t="s">
        <v>181</v>
      </c>
      <c r="P230" s="136" t="n">
        <f aca="false" ca="false" dt2D="false" dtr="false" t="normal">MID(H226, 5, 1)</f>
        <v>0</v>
      </c>
      <c r="Q230" s="137" t="n">
        <f aca="false" ca="false" dt2D="false" dtr="false" t="normal">P230</f>
        <v>0</v>
      </c>
      <c r="R230" s="120" t="s">
        <v>200</v>
      </c>
      <c r="S230" s="3037" t="s"/>
      <c r="T230" s="136" t="n">
        <f aca="false" ca="false" dt2D="false" dtr="false" t="normal">MID(I226, 5, 1)</f>
        <v>0</v>
      </c>
      <c r="U230" s="137" t="n">
        <f aca="false" ca="false" dt2D="false" dtr="false" t="normal">T230</f>
        <v>0</v>
      </c>
      <c r="V230" s="120" t="s">
        <v>200</v>
      </c>
      <c r="W230" s="3038" t="s"/>
      <c r="X230" s="136" t="n">
        <f aca="false" ca="false" dt2D="false" dtr="false" t="normal">MID(J226, 5, 1)</f>
        <v>0</v>
      </c>
      <c r="Y230" s="137" t="n">
        <f aca="false" ca="false" dt2D="false" dtr="false" t="normal">X230</f>
        <v>0</v>
      </c>
      <c r="Z230" s="120" t="s">
        <v>200</v>
      </c>
      <c r="AA230" s="139" t="s">
        <v>1218</v>
      </c>
      <c r="AB230" s="136" t="n">
        <f aca="false" ca="false" dt2D="false" dtr="false" t="normal">MID(K226, 5, 1)</f>
        <v>0</v>
      </c>
      <c r="AC230" s="137" t="n">
        <f aca="false" ca="false" dt2D="false" dtr="false" t="normal">AB230</f>
        <v>0</v>
      </c>
      <c r="AD230" s="120" t="s">
        <v>200</v>
      </c>
      <c r="AE230" s="139" t="s">
        <v>1219</v>
      </c>
      <c r="AF230" s="136" t="n">
        <f aca="false" ca="false" dt2D="false" dtr="false" t="normal">MID(L226, 5, 1)</f>
        <v>0</v>
      </c>
      <c r="AG230" s="137" t="n">
        <f aca="false" ca="false" dt2D="false" dtr="false" t="normal">AF230</f>
        <v>0</v>
      </c>
      <c r="AH230" s="120" t="s">
        <v>200</v>
      </c>
      <c r="AI230" s="139" t="s">
        <v>1220</v>
      </c>
      <c r="AJ230" s="3039" t="s"/>
      <c r="AK230" s="3040" t="s"/>
    </row>
    <row hidden="false" ht="15" outlineLevel="0" r="231">
      <c r="C231" s="98" t="s">
        <v>185</v>
      </c>
      <c r="D231" s="53" t="n">
        <f aca="false" ca="false" dt2D="false" dtr="false" t="normal">HEX2BIN(D230, 8)</f>
        <v>111</v>
      </c>
      <c r="E231" s="53" t="n">
        <f aca="false" ca="false" dt2D="false" dtr="false" t="normal">HEX2BIN(E230, 8)</f>
        <v>100000</v>
      </c>
      <c r="F231" s="53" t="n">
        <f aca="false" ca="false" dt2D="false" dtr="false" t="normal">HEX2BIN(F230, 8)</f>
        <v>100</v>
      </c>
      <c r="G231" s="53" t="n">
        <f aca="false" ca="false" dt2D="false" dtr="false" t="normal">HEX2BIN(G230, 8)</f>
        <v>10001</v>
      </c>
      <c r="H231" s="171" t="n">
        <f aca="false" ca="false" dt2D="false" dtr="false" t="normal">Q226&amp;Q227&amp;Q228&amp;Q229&amp;Q230&amp;Q231&amp;Q232&amp;Q233</f>
        <v>0</v>
      </c>
      <c r="I231" s="53" t="n">
        <f aca="false" ca="false" dt2D="false" dtr="false" t="normal">U226&amp;U227&amp;U228&amp;U229&amp;U230&amp;U231&amp;U232&amp;U233</f>
        <v>0</v>
      </c>
      <c r="J231" s="171" t="n">
        <f aca="false" ca="false" dt2D="false" dtr="false" t="normal">Y226&amp;Y227&amp;Y228&amp;Y229&amp;Y230&amp;Y231&amp;Y232&amp;Y233</f>
        <v>0</v>
      </c>
      <c r="K231" s="171" t="n">
        <f aca="false" ca="false" dt2D="false" dtr="false" t="normal">AC226&amp;AC227&amp;AC228&amp;AC229&amp;AC230&amp;AC231&amp;AC232&amp;AC233</f>
        <v>0</v>
      </c>
      <c r="L231" s="53" t="n">
        <f aca="false" ca="false" dt2D="false" dtr="false" t="normal">AG226&amp;AG227&amp;AG228&amp;AG229&amp;AG230&amp;AG231&amp;AG232&amp;AG233</f>
        <v>0</v>
      </c>
      <c r="M231" s="53" t="str">
        <f aca="false" ca="false" dt2D="false" dtr="false" t="normal">DEC2HEX(M232)</f>
        <v>3C</v>
      </c>
      <c r="N231" s="63" t="n"/>
      <c r="P231" s="136" t="n">
        <f aca="false" ca="false" dt2D="false" dtr="false" t="normal">MID(H226, 6, 1)</f>
        <v>0</v>
      </c>
      <c r="Q231" s="137" t="n">
        <f aca="false" ca="false" dt2D="false" dtr="false" t="normal">P231</f>
        <v>0</v>
      </c>
      <c r="R231" s="120" t="s">
        <v>203</v>
      </c>
      <c r="S231" s="3041" t="s"/>
      <c r="T231" s="136" t="n">
        <f aca="false" ca="false" dt2D="false" dtr="false" t="normal">MID(I226, 6, 1)</f>
        <v>0</v>
      </c>
      <c r="U231" s="137" t="n">
        <f aca="false" ca="false" dt2D="false" dtr="false" t="normal">T231</f>
        <v>0</v>
      </c>
      <c r="V231" s="120" t="s">
        <v>203</v>
      </c>
      <c r="W231" s="3042" t="s"/>
      <c r="X231" s="136" t="n">
        <f aca="false" ca="false" dt2D="false" dtr="false" t="normal">MID(J226, 6, 1)</f>
        <v>0</v>
      </c>
      <c r="Y231" s="137" t="n">
        <f aca="false" ca="false" dt2D="false" dtr="false" t="normal">X231</f>
        <v>0</v>
      </c>
      <c r="Z231" s="120" t="s">
        <v>203</v>
      </c>
      <c r="AA231" s="139" t="s">
        <v>1221</v>
      </c>
      <c r="AB231" s="136" t="n">
        <f aca="false" ca="false" dt2D="false" dtr="false" t="normal">MID(K226, 6, 1)</f>
        <v>0</v>
      </c>
      <c r="AC231" s="137" t="n">
        <f aca="false" ca="false" dt2D="false" dtr="false" t="normal">AB231</f>
        <v>0</v>
      </c>
      <c r="AD231" s="120" t="s">
        <v>203</v>
      </c>
      <c r="AE231" s="139" t="s">
        <v>1222</v>
      </c>
      <c r="AF231" s="136" t="n">
        <f aca="false" ca="false" dt2D="false" dtr="false" t="normal">MID(L226, 6, 1)</f>
        <v>0</v>
      </c>
      <c r="AG231" s="137" t="n">
        <f aca="false" ca="false" dt2D="false" dtr="false" t="normal">AF231</f>
        <v>0</v>
      </c>
      <c r="AH231" s="120" t="s">
        <v>203</v>
      </c>
      <c r="AI231" s="139" t="s">
        <v>1223</v>
      </c>
      <c r="AJ231" s="3043" t="s"/>
      <c r="AK231" s="3044" t="s"/>
    </row>
    <row hidden="false" ht="15" outlineLevel="0" r="232">
      <c r="C232" s="98" t="s">
        <v>191</v>
      </c>
      <c r="D232" s="53" t="n">
        <f aca="false" ca="false" dt2D="false" dtr="false" t="normal">HEX2DEC(D230)</f>
        <v>7</v>
      </c>
      <c r="E232" s="53" t="n">
        <f aca="false" ca="false" dt2D="false" dtr="false" t="normal">HEX2DEC(E230)</f>
        <v>32</v>
      </c>
      <c r="F232" s="53" t="n">
        <f aca="false" ca="false" dt2D="false" dtr="false" t="normal">HEX2DEC(F230)</f>
        <v>4</v>
      </c>
      <c r="G232" s="53" t="n">
        <f aca="false" ca="false" dt2D="false" dtr="false" t="normal">HEX2DEC(G230)</f>
        <v>17</v>
      </c>
      <c r="H232" s="53" t="n">
        <f aca="false" ca="false" dt2D="false" dtr="false" t="normal">HEX2DEC(H230)</f>
        <v>0</v>
      </c>
      <c r="I232" s="53" t="n">
        <f aca="false" ca="false" dt2D="false" dtr="false" t="normal">HEX2DEC(I230)</f>
        <v>0</v>
      </c>
      <c r="J232" s="53" t="n">
        <f aca="false" ca="false" dt2D="false" dtr="false" t="normal">HEX2DEC(J230)</f>
        <v>0</v>
      </c>
      <c r="K232" s="53" t="n">
        <f aca="false" ca="false" dt2D="false" dtr="false" t="normal">HEX2DEC(K230)</f>
        <v>0</v>
      </c>
      <c r="L232" s="53" t="n">
        <f aca="false" ca="false" dt2D="false" dtr="false" t="normal">HEX2DEC(L230)</f>
        <v>0</v>
      </c>
      <c r="M232" s="53" t="n">
        <f aca="false" ca="false" dt2D="false" dtr="false" t="normal">SUM(D232:L232)</f>
        <v>60</v>
      </c>
      <c r="N232" s="63" t="n"/>
      <c r="P232" s="136" t="n">
        <f aca="false" ca="false" dt2D="false" dtr="false" t="normal">MID(H226, 7, 1)</f>
        <v>0</v>
      </c>
      <c r="Q232" s="137" t="n">
        <f aca="false" ca="false" dt2D="false" dtr="false" t="normal">P232</f>
        <v>0</v>
      </c>
      <c r="R232" s="120" t="s">
        <v>206</v>
      </c>
      <c r="S232" s="3045" t="s"/>
      <c r="T232" s="136" t="n">
        <f aca="false" ca="false" dt2D="false" dtr="false" t="normal">MID(I226, 7, 1)</f>
        <v>0</v>
      </c>
      <c r="U232" s="137" t="n">
        <f aca="false" ca="false" dt2D="false" dtr="false" t="normal">T232</f>
        <v>0</v>
      </c>
      <c r="V232" s="120" t="s">
        <v>206</v>
      </c>
      <c r="W232" s="3046" t="s"/>
      <c r="X232" s="136" t="n">
        <f aca="false" ca="false" dt2D="false" dtr="false" t="normal">MID(J226, 7, 1)</f>
        <v>0</v>
      </c>
      <c r="Y232" s="137" t="n">
        <f aca="false" ca="false" dt2D="false" dtr="false" t="normal">X232</f>
        <v>0</v>
      </c>
      <c r="Z232" s="120" t="s">
        <v>206</v>
      </c>
      <c r="AA232" s="139" t="s">
        <v>1224</v>
      </c>
      <c r="AB232" s="136" t="n">
        <f aca="false" ca="false" dt2D="false" dtr="false" t="normal">MID(K226, 7, 1)</f>
        <v>0</v>
      </c>
      <c r="AC232" s="137" t="n">
        <f aca="false" ca="false" dt2D="false" dtr="false" t="normal">AB232</f>
        <v>0</v>
      </c>
      <c r="AD232" s="120" t="s">
        <v>206</v>
      </c>
      <c r="AE232" s="139" t="s">
        <v>1225</v>
      </c>
      <c r="AF232" s="136" t="n">
        <f aca="false" ca="false" dt2D="false" dtr="false" t="normal">MID(L226, 7, 1)</f>
        <v>0</v>
      </c>
      <c r="AG232" s="137" t="n">
        <f aca="false" ca="false" dt2D="false" dtr="false" t="normal">AF232</f>
        <v>0</v>
      </c>
      <c r="AH232" s="120" t="s">
        <v>206</v>
      </c>
      <c r="AI232" s="139" t="s">
        <v>1226</v>
      </c>
      <c r="AJ232" s="3047" t="s"/>
      <c r="AK232" s="3048" t="s"/>
    </row>
    <row hidden="false" ht="15.75" outlineLevel="0" r="233">
      <c r="C233" s="180" t="s">
        <v>194</v>
      </c>
      <c r="D233" s="299" t="n">
        <f aca="false" ca="false" dt2D="false" dtr="false" t="normal">D228</f>
        <v>7</v>
      </c>
      <c r="E233" s="299" t="n">
        <f aca="false" ca="false" dt2D="false" dtr="false" t="normal">E228</f>
        <v>20</v>
      </c>
      <c r="F233" s="299" t="str">
        <f aca="false" ca="false" dt2D="false" dtr="false" t="normal">F228</f>
        <v>G4</v>
      </c>
      <c r="G233" s="299" t="str">
        <f aca="false" ca="false" dt2D="false" dtr="false" t="normal">G228</f>
        <v>GB</v>
      </c>
      <c r="H233" s="45" t="n"/>
      <c r="I233" s="45" t="n"/>
      <c r="J233" s="45" t="n"/>
      <c r="K233" s="45" t="n"/>
      <c r="L233" s="45" t="n"/>
      <c r="M233" s="45" t="n"/>
      <c r="N233" s="49" t="n"/>
      <c r="P233" s="182" t="n">
        <f aca="false" ca="false" dt2D="false" dtr="false" t="normal">MID(H226, 8, 1)</f>
        <v>0</v>
      </c>
      <c r="Q233" s="183" t="n">
        <f aca="false" ca="false" dt2D="false" dtr="false" t="normal">P233</f>
        <v>0</v>
      </c>
      <c r="R233" s="184" t="s">
        <v>208</v>
      </c>
      <c r="S233" s="3049" t="s"/>
      <c r="T233" s="182" t="n">
        <f aca="false" ca="false" dt2D="false" dtr="false" t="normal">MID(I226, 8, 1)</f>
        <v>0</v>
      </c>
      <c r="U233" s="183" t="n">
        <f aca="false" ca="false" dt2D="false" dtr="false" t="normal">T233</f>
        <v>0</v>
      </c>
      <c r="V233" s="184" t="s">
        <v>208</v>
      </c>
      <c r="W233" s="3050" t="s"/>
      <c r="X233" s="182" t="n">
        <f aca="false" ca="false" dt2D="false" dtr="false" t="normal">MID(J226, 8, 1)</f>
        <v>0</v>
      </c>
      <c r="Y233" s="183" t="n">
        <f aca="false" ca="false" dt2D="false" dtr="false" t="normal">X233</f>
        <v>0</v>
      </c>
      <c r="Z233" s="184" t="s">
        <v>208</v>
      </c>
      <c r="AA233" s="187" t="s">
        <v>1227</v>
      </c>
      <c r="AB233" s="182" t="n">
        <f aca="false" ca="false" dt2D="false" dtr="false" t="normal">MID(K226, 8, 1)</f>
        <v>0</v>
      </c>
      <c r="AC233" s="183" t="n">
        <f aca="false" ca="false" dt2D="false" dtr="false" t="normal">AB233</f>
        <v>0</v>
      </c>
      <c r="AD233" s="184" t="s">
        <v>208</v>
      </c>
      <c r="AE233" s="187" t="s">
        <v>1228</v>
      </c>
      <c r="AF233" s="182" t="n">
        <f aca="false" ca="false" dt2D="false" dtr="false" t="normal">MID(L226, 8, 1)</f>
        <v>0</v>
      </c>
      <c r="AG233" s="183" t="n">
        <f aca="false" ca="false" dt2D="false" dtr="false" t="normal">AF233</f>
        <v>0</v>
      </c>
      <c r="AH233" s="184" t="s">
        <v>208</v>
      </c>
      <c r="AI233" s="187" t="s">
        <v>1229</v>
      </c>
      <c r="AJ233" s="3051" t="s"/>
      <c r="AK233" s="3052" t="s"/>
    </row>
    <row hidden="false" ht="15.75" outlineLevel="0" r="234">
      <c r="C234" s="93" t="n"/>
      <c r="D234" s="94" t="n"/>
      <c r="E234" s="94" t="n"/>
      <c r="F234" s="94" t="n"/>
      <c r="G234" s="94" t="n"/>
      <c r="H234" s="94" t="n"/>
      <c r="I234" s="94" t="n"/>
      <c r="J234" s="94" t="n"/>
      <c r="K234" s="94" t="n"/>
      <c r="L234" s="94" t="n"/>
      <c r="M234" s="94" t="s">
        <v>161</v>
      </c>
      <c r="N234" s="60" t="n"/>
      <c r="P234" s="95" t="str">
        <f aca="false" ca="false" dt2D="false" dtr="false" t="normal">RIGHT(D236, 1)&amp;E236&amp;"-"&amp;F236&amp;"-"&amp;G236</f>
        <v>720-04-12</v>
      </c>
      <c r="Q234" s="3053" t="s"/>
      <c r="R234" s="234" t="s">
        <v>1230</v>
      </c>
      <c r="S234" s="3054" t="s"/>
      <c r="T234" s="3055" t="s"/>
      <c r="U234" s="3056" t="s"/>
      <c r="V234" s="3057" t="s"/>
      <c r="W234" s="3058" t="s"/>
      <c r="X234" s="3059" t="s"/>
      <c r="Y234" s="3060" t="s"/>
      <c r="Z234" s="3061" t="s"/>
      <c r="AA234" s="3062" t="s"/>
      <c r="AB234" s="3063" t="s"/>
      <c r="AC234" s="3064" t="s"/>
      <c r="AD234" s="3065" t="s"/>
      <c r="AE234" s="3066" t="s"/>
      <c r="AF234" s="3067" t="s"/>
      <c r="AG234" s="3068" t="s"/>
      <c r="AH234" s="3069" t="s"/>
      <c r="AI234" s="3070" t="s"/>
      <c r="AJ234" s="3071" t="s"/>
      <c r="AK234" s="3072" t="s"/>
    </row>
    <row hidden="false" ht="15.75" outlineLevel="0" r="235">
      <c r="C235" s="98" t="n"/>
      <c r="D235" s="99" t="s">
        <v>1231</v>
      </c>
      <c r="E235" s="3073" t="s"/>
      <c r="F235" s="3074" t="s"/>
      <c r="G235" s="3075" t="s"/>
      <c r="H235" s="53" t="s">
        <v>165</v>
      </c>
      <c r="I235" s="53" t="s">
        <v>166</v>
      </c>
      <c r="J235" s="53" t="s">
        <v>167</v>
      </c>
      <c r="K235" s="53" t="s">
        <v>168</v>
      </c>
      <c r="L235" s="53" t="s">
        <v>169</v>
      </c>
      <c r="M235" s="53" t="s">
        <v>221</v>
      </c>
      <c r="N235" s="63" t="n"/>
      <c r="P235" s="103" t="s">
        <v>1232</v>
      </c>
      <c r="Q235" s="3076" t="s"/>
      <c r="R235" s="3077" t="s"/>
      <c r="S235" s="3078" t="s"/>
      <c r="T235" s="116" t="s">
        <v>1233</v>
      </c>
      <c r="U235" s="3079" t="s"/>
      <c r="V235" s="3080" t="s"/>
      <c r="W235" s="3081" t="s"/>
      <c r="X235" s="116" t="s">
        <v>1234</v>
      </c>
      <c r="Y235" s="3082" t="s"/>
      <c r="Z235" s="3083" t="s"/>
      <c r="AA235" s="3084" t="s"/>
      <c r="AB235" s="103" t="s">
        <v>1235</v>
      </c>
      <c r="AC235" s="3085" t="s"/>
      <c r="AD235" s="3086" t="s"/>
      <c r="AE235" s="3087" t="s"/>
      <c r="AF235" s="103" t="s">
        <v>1236</v>
      </c>
      <c r="AG235" s="3088" t="s"/>
      <c r="AH235" s="3089" t="s"/>
      <c r="AI235" s="3090" t="s"/>
      <c r="AJ235" s="116" t="s">
        <v>1237</v>
      </c>
      <c r="AK235" s="3091" t="s"/>
    </row>
    <row hidden="false" ht="15.75" outlineLevel="0" r="236">
      <c r="C236" s="98" t="s">
        <v>176</v>
      </c>
      <c r="D236" s="122" t="s">
        <v>177</v>
      </c>
      <c r="E236" s="123" t="s">
        <v>693</v>
      </c>
      <c r="F236" s="123" t="s">
        <v>342</v>
      </c>
      <c r="G236" s="124" t="s">
        <v>1238</v>
      </c>
      <c r="H236" s="164" t="n">
        <f aca="false" ca="false" dt2D="false" dtr="false" ref="H236:H236" t="array">MID(INDEX($A$3:$A$70, IF(ISNA(MATCH("720G4GC*", $A$3:$A$70, 0))=TRUE, MATCH("7200412*", $A$3:$A$70, 0), MATCH("720G4GC*", $A$3:$A$70, 0))), $AU$8, 2)</f>
        <v>0</v>
      </c>
      <c r="I236" s="1820" t="n">
        <f aca="false" ca="false" dt2D="false" dtr="false" ref="I236:I236" t="array">MID(INDEX($A$3:$A$70, IF(ISNA(MATCH("720G4GC*", $A$3:$A$70, 0))=TRUE, MATCH("7200412*", $A$3:$A$70, 0), MATCH("720G4GC*", $A$3:$A$70, 0))), $AV$8, 2)</f>
        <v>0</v>
      </c>
      <c r="J236" s="1820" t="n">
        <f aca="false" ca="false" dt2D="false" dtr="false" ref="J236:J236" t="array">MID(INDEX($A$3:$A$70, IF(ISNA(MATCH("720G4GC*", $A$3:$A$70, 0))=TRUE, MATCH("7200412*", $A$3:$A$70, 0), MATCH("720G4GC*", $A$3:$A$70, 0))), $AW$8, 2)</f>
        <v>0</v>
      </c>
      <c r="K236" s="1821" t="n">
        <f aca="false" ca="false" dt2D="false" dtr="false" ref="K236:K236" t="array">MID(INDEX($A$3:$A$70, IF(ISNA(MATCH("720G4GC*", $A$3:$A$70, 0))=TRUE, MATCH("7200412*", $A$3:$A$70, 0), MATCH("720G4GC*", $A$3:$A$70, 0))), $AX$8, 2)</f>
        <v>0</v>
      </c>
      <c r="L236" s="1821" t="n">
        <f aca="false" ca="false" dt2D="false" dtr="false" ref="L236:L236" t="array">MID(INDEX($A$3:$A$70, IF(ISNA(MATCH("720G4GC*", $A$3:$A$70, 0))=TRUE, MATCH("7200412*", $A$3:$A$70, 0), MATCH("720G4GC*", $A$3:$A$70, 0))), $AY$8, 2)</f>
        <v>0</v>
      </c>
      <c r="M236" s="218" t="str">
        <f aca="false" ca="false" dt2D="false" dtr="false" ref="M236:M236" t="array">MID(INDEX($A$3:$A$70, IF(ISNA(MATCH("720G4GC*", $A$3:$A$70, 0))=TRUE, MATCH("7200412*", $A$3:$A$70, 0), MATCH("720G4GC*", $A$3:$A$70, 0))), $AZ$8, 2)</f>
        <v>3D</v>
      </c>
      <c r="N236" s="63" t="s">
        <v>180</v>
      </c>
      <c r="P236" s="129" t="s">
        <v>180</v>
      </c>
      <c r="Q236" s="130" t="s">
        <v>181</v>
      </c>
      <c r="R236" s="121" t="s">
        <v>182</v>
      </c>
      <c r="S236" s="131" t="n"/>
      <c r="T236" s="116" t="n"/>
      <c r="U236" s="3092" t="s"/>
      <c r="V236" s="3093" t="s"/>
      <c r="W236" s="3094" t="s"/>
      <c r="X236" s="116" t="n"/>
      <c r="Y236" s="3095" t="s"/>
      <c r="Z236" s="3096" t="s"/>
      <c r="AA236" s="3097" t="s"/>
      <c r="AB236" s="129" t="s">
        <v>180</v>
      </c>
      <c r="AC236" s="130" t="s">
        <v>181</v>
      </c>
      <c r="AD236" s="121" t="s">
        <v>182</v>
      </c>
      <c r="AE236" s="131" t="n"/>
      <c r="AF236" s="129" t="s">
        <v>180</v>
      </c>
      <c r="AG236" s="130" t="s">
        <v>181</v>
      </c>
      <c r="AH236" s="121" t="s">
        <v>182</v>
      </c>
      <c r="AI236" s="121" t="n"/>
      <c r="AJ236" s="116" t="s">
        <v>183</v>
      </c>
      <c r="AK236" s="3098" t="s"/>
    </row>
    <row hidden="false" ht="15" outlineLevel="0" r="237">
      <c r="C237" s="98" t="s">
        <v>185</v>
      </c>
      <c r="D237" s="53" t="n">
        <f aca="false" ca="false" dt2D="false" dtr="false" t="normal">HEX2BIN(D236, 8)</f>
        <v>111</v>
      </c>
      <c r="E237" s="53" t="n">
        <f aca="false" ca="false" dt2D="false" dtr="false" t="normal">HEX2BIN(E236, 8)</f>
        <v>100000</v>
      </c>
      <c r="F237" s="53" t="n">
        <f aca="false" ca="false" dt2D="false" dtr="false" t="normal">HEX2BIN(F236, 8)</f>
        <v>100</v>
      </c>
      <c r="G237" s="53" t="n">
        <f aca="false" ca="false" dt2D="false" dtr="false" t="normal">HEX2BIN(G236, 8)</f>
        <v>10010</v>
      </c>
      <c r="H237" s="53" t="n">
        <f aca="false" ca="false" dt2D="false" dtr="false" t="normal">HEX2BIN(H236, 8)</f>
        <v>0</v>
      </c>
      <c r="I237" s="53" t="n">
        <f aca="false" ca="false" dt2D="false" dtr="false" t="normal">HEX2BIN(I236, 8)</f>
        <v>0</v>
      </c>
      <c r="J237" s="53" t="n">
        <f aca="false" ca="false" dt2D="false" dtr="false" t="normal">HEX2BIN(J236, 8)</f>
        <v>0</v>
      </c>
      <c r="K237" s="53" t="n">
        <f aca="false" ca="false" dt2D="false" dtr="false" t="normal">HEX2BIN(K236, 8)</f>
        <v>0</v>
      </c>
      <c r="L237" s="53" t="n">
        <f aca="false" ca="false" dt2D="false" dtr="false" t="normal">HEX2BIN(L236, 8)</f>
        <v>0</v>
      </c>
      <c r="N237" s="63" t="n"/>
      <c r="P237" s="136" t="n">
        <f aca="false" ca="false" dt2D="false" dtr="false" t="normal">MID(H237, 1, 1)</f>
        <v>0</v>
      </c>
      <c r="Q237" s="137" t="n">
        <f aca="false" ca="false" dt2D="false" dtr="false" t="normal">P237</f>
        <v>0</v>
      </c>
      <c r="R237" s="120" t="s">
        <v>186</v>
      </c>
      <c r="S237" s="139" t="s">
        <v>1239</v>
      </c>
      <c r="T237" s="3099" t="s"/>
      <c r="U237" s="142" t="s"/>
      <c r="V237" s="142" t="s"/>
      <c r="W237" s="3100" t="s"/>
      <c r="X237" s="3101" t="s"/>
      <c r="Y237" s="142" t="s"/>
      <c r="Z237" s="142" t="s"/>
      <c r="AA237" s="3102" t="s"/>
      <c r="AB237" s="136" t="n">
        <f aca="false" ca="false" dt2D="false" dtr="false" t="normal">MID(K237, 1, 1)</f>
        <v>0</v>
      </c>
      <c r="AC237" s="137" t="n">
        <f aca="false" ca="false" dt2D="false" dtr="false" t="normal">AB237</f>
        <v>0</v>
      </c>
      <c r="AD237" s="120" t="s">
        <v>186</v>
      </c>
      <c r="AE237" s="139" t="s">
        <v>1240</v>
      </c>
      <c r="AF237" s="136" t="n">
        <f aca="false" ca="false" dt2D="false" dtr="false" t="normal">MID(L237, 1, 1)</f>
        <v>0</v>
      </c>
      <c r="AG237" s="137" t="n">
        <f aca="false" ca="false" dt2D="false" dtr="false" t="normal">AF237</f>
        <v>0</v>
      </c>
      <c r="AH237" s="120" t="s">
        <v>186</v>
      </c>
      <c r="AI237" s="1194" t="s">
        <v>1241</v>
      </c>
      <c r="AJ237" s="3103" t="s"/>
      <c r="AK237" s="3104" t="s"/>
    </row>
    <row hidden="false" ht="15" outlineLevel="0" r="238">
      <c r="C238" s="98" t="s">
        <v>191</v>
      </c>
      <c r="D238" s="53" t="n">
        <f aca="false" ca="false" dt2D="false" dtr="false" t="normal">HEX2DEC(D236)</f>
        <v>7</v>
      </c>
      <c r="E238" s="53" t="n">
        <f aca="false" ca="false" dt2D="false" dtr="false" t="normal">HEX2DEC(E236)</f>
        <v>32</v>
      </c>
      <c r="F238" s="53" t="n">
        <f aca="false" ca="false" dt2D="false" dtr="false" t="normal">HEX2DEC(F236)</f>
        <v>4</v>
      </c>
      <c r="G238" s="53" t="n">
        <f aca="false" ca="false" dt2D="false" dtr="false" t="normal">HEX2DEC(G236)</f>
        <v>18</v>
      </c>
      <c r="H238" s="53" t="n">
        <f aca="false" ca="false" dt2D="false" dtr="false" t="normal">HEX2DEC(H236)</f>
        <v>0</v>
      </c>
      <c r="I238" s="53" t="n">
        <f aca="false" ca="false" dt2D="false" dtr="false" t="normal">HEX2DEC(I236)</f>
        <v>0</v>
      </c>
      <c r="J238" s="53" t="n">
        <f aca="false" ca="false" dt2D="false" dtr="false" t="normal">HEX2DEC(J236)</f>
        <v>0</v>
      </c>
      <c r="K238" s="53" t="n">
        <f aca="false" ca="false" dt2D="false" dtr="false" t="normal">HEX2DEC(K236)</f>
        <v>0</v>
      </c>
      <c r="L238" s="53" t="n">
        <f aca="false" ca="false" dt2D="false" dtr="false" t="normal">HEX2DEC(L236)</f>
        <v>0</v>
      </c>
      <c r="M238" s="53" t="n">
        <f aca="false" ca="false" dt2D="false" dtr="false" t="normal">SUM(D238:L238)</f>
        <v>61</v>
      </c>
      <c r="N238" s="63" t="n"/>
      <c r="P238" s="136" t="n">
        <f aca="false" ca="false" dt2D="false" dtr="false" t="normal">MID(H237, 2, 1)</f>
        <v>0</v>
      </c>
      <c r="Q238" s="137" t="n">
        <f aca="false" ca="false" dt2D="false" dtr="false" t="normal">P238</f>
        <v>0</v>
      </c>
      <c r="R238" s="120" t="s">
        <v>192</v>
      </c>
      <c r="S238" s="139" t="s">
        <v>1242</v>
      </c>
      <c r="T238" s="3105" t="s"/>
      <c r="U238" s="142" t="s"/>
      <c r="V238" s="142" t="s"/>
      <c r="W238" s="3106" t="s"/>
      <c r="X238" s="3107" t="s"/>
      <c r="Y238" s="142" t="s"/>
      <c r="Z238" s="142" t="s"/>
      <c r="AA238" s="3108" t="s"/>
      <c r="AB238" s="136" t="n">
        <f aca="false" ca="false" dt2D="false" dtr="false" t="normal">MID(K237, 2, 1)</f>
        <v>0</v>
      </c>
      <c r="AC238" s="137" t="n">
        <f aca="false" ca="false" dt2D="false" dtr="false" t="normal">AB238</f>
        <v>0</v>
      </c>
      <c r="AD238" s="120" t="s">
        <v>192</v>
      </c>
      <c r="AE238" s="139" t="s">
        <v>1243</v>
      </c>
      <c r="AF238" s="136" t="n">
        <f aca="false" ca="false" dt2D="false" dtr="false" t="normal">MID(L237, 2, 1)</f>
        <v>0</v>
      </c>
      <c r="AG238" s="137" t="n">
        <f aca="false" ca="false" dt2D="false" dtr="false" t="normal">AF238</f>
        <v>0</v>
      </c>
      <c r="AH238" s="120" t="s">
        <v>192</v>
      </c>
      <c r="AI238" s="131" t="s">
        <v>196</v>
      </c>
      <c r="AJ238" s="3109" t="s"/>
      <c r="AK238" s="3110" t="s"/>
    </row>
    <row hidden="false" ht="15" outlineLevel="0" r="239">
      <c r="C239" s="98" t="s">
        <v>194</v>
      </c>
      <c r="D239" s="149" t="n">
        <f aca="false" ca="false" dt2D="false" dtr="false" t="normal">D236</f>
        <v>7</v>
      </c>
      <c r="E239" s="149" t="n">
        <f aca="false" ca="false" dt2D="false" dtr="false" t="normal">E236</f>
        <v>20</v>
      </c>
      <c r="F239" s="53" t="str">
        <f aca="false" ca="false" dt2D="false" dtr="false" t="normal">MID(INDEX($A$3:$A$70, IF(ISNA(MATCH("720G4GC*", $A$3:$A$70, 0))=TRUE, MATCH("7200412*", $A$3:$A$70, 0), MATCH("720G4GC*", $A$3:$A$70, 0))), $AS$8, 2)</f>
        <v>G4</v>
      </c>
      <c r="G239" s="53" t="str">
        <f aca="false" ca="false" dt2D="false" dtr="false" t="normal">MID(INDEX($A$3:$A$70, IF(ISNA(MATCH("720G4GC*", $A$3:$A$70, 0))=TRUE, MATCH("7200412*", $A$3:$A$70, 0), MATCH("720G4GC*", $A$3:$A$70, 0))), $AT$8, 2)</f>
        <v>GC</v>
      </c>
      <c r="N239" s="63" t="n"/>
      <c r="P239" s="136" t="n">
        <f aca="false" ca="false" dt2D="false" dtr="false" t="normal">MID(H237, 3, 1)</f>
        <v>0</v>
      </c>
      <c r="Q239" s="137" t="n">
        <f aca="false" ca="false" dt2D="false" dtr="false" t="normal">P239</f>
        <v>0</v>
      </c>
      <c r="R239" s="120" t="s">
        <v>195</v>
      </c>
      <c r="S239" s="139" t="s">
        <v>1244</v>
      </c>
      <c r="T239" s="3111" t="s"/>
      <c r="U239" s="142" t="s"/>
      <c r="V239" s="142" t="s"/>
      <c r="W239" s="3112" t="s"/>
      <c r="X239" s="3113" t="s"/>
      <c r="Y239" s="142" t="s"/>
      <c r="Z239" s="142" t="s"/>
      <c r="AA239" s="3114" t="s"/>
      <c r="AB239" s="136" t="n">
        <f aca="false" ca="false" dt2D="false" dtr="false" t="normal">MID(K237, 3, 1)</f>
        <v>0</v>
      </c>
      <c r="AC239" s="137" t="n">
        <f aca="false" ca="false" dt2D="false" dtr="false" t="normal">AB239</f>
        <v>0</v>
      </c>
      <c r="AD239" s="120" t="s">
        <v>195</v>
      </c>
      <c r="AE239" s="139" t="s">
        <v>1245</v>
      </c>
      <c r="AF239" s="136" t="n">
        <f aca="false" ca="false" dt2D="false" dtr="false" t="normal">MID(L237, 3, 1)</f>
        <v>0</v>
      </c>
      <c r="AG239" s="137" t="n">
        <f aca="false" ca="false" dt2D="false" dtr="false" t="normal">AF239</f>
        <v>0</v>
      </c>
      <c r="AH239" s="120" t="s">
        <v>195</v>
      </c>
      <c r="AI239" s="131" t="s">
        <v>196</v>
      </c>
      <c r="AJ239" s="3115" t="s"/>
      <c r="AK239" s="3116" t="s"/>
    </row>
    <row hidden="false" ht="15.75" outlineLevel="0" r="240">
      <c r="C240" s="98" t="n"/>
      <c r="N240" s="63" t="n"/>
      <c r="P240" s="136" t="n">
        <f aca="false" ca="false" dt2D="false" dtr="false" t="normal">MID(H237, 4, 1)</f>
        <v>0</v>
      </c>
      <c r="Q240" s="137" t="n">
        <f aca="false" ca="false" dt2D="false" dtr="false" t="normal">P240</f>
        <v>0</v>
      </c>
      <c r="R240" s="120" t="s">
        <v>197</v>
      </c>
      <c r="S240" s="139" t="s">
        <v>1246</v>
      </c>
      <c r="T240" s="3117" t="s"/>
      <c r="U240" s="142" t="s"/>
      <c r="V240" s="142" t="s"/>
      <c r="W240" s="3118" t="s"/>
      <c r="X240" s="3119" t="s"/>
      <c r="Y240" s="142" t="s"/>
      <c r="Z240" s="142" t="s"/>
      <c r="AA240" s="3120" t="s"/>
      <c r="AB240" s="136" t="n">
        <f aca="false" ca="false" dt2D="false" dtr="false" t="normal">MID(K237, 4, 1)</f>
        <v>0</v>
      </c>
      <c r="AC240" s="137" t="n">
        <f aca="false" ca="false" dt2D="false" dtr="false" t="normal">AB240</f>
        <v>0</v>
      </c>
      <c r="AD240" s="120" t="s">
        <v>197</v>
      </c>
      <c r="AE240" s="131" t="s">
        <v>196</v>
      </c>
      <c r="AF240" s="136" t="n">
        <f aca="false" ca="false" dt2D="false" dtr="false" t="normal">MID(L237, 4, 1)</f>
        <v>0</v>
      </c>
      <c r="AG240" s="137" t="n">
        <f aca="false" ca="false" dt2D="false" dtr="false" t="normal">AF240</f>
        <v>0</v>
      </c>
      <c r="AH240" s="120" t="s">
        <v>197</v>
      </c>
      <c r="AI240" s="131" t="s">
        <v>196</v>
      </c>
      <c r="AJ240" s="3121" t="s"/>
      <c r="AK240" s="3122" t="s"/>
    </row>
    <row hidden="false" ht="15.75" outlineLevel="0" r="241">
      <c r="C241" s="98" t="s">
        <v>176</v>
      </c>
      <c r="D241" s="159" t="n">
        <f aca="false" ca="false" dt2D="false" dtr="false" t="normal">D236</f>
        <v>7</v>
      </c>
      <c r="E241" s="160" t="n">
        <f aca="false" ca="false" dt2D="false" dtr="false" t="normal">E236</f>
        <v>20</v>
      </c>
      <c r="F241" s="160" t="n">
        <f aca="false" ca="false" dt2D="false" dtr="false" t="normal">F236</f>
        <v>4</v>
      </c>
      <c r="G241" s="161" t="n">
        <f aca="false" ca="false" dt2D="false" dtr="false" t="normal">G236</f>
        <v>12</v>
      </c>
      <c r="H241" s="162" t="n">
        <f aca="false" ca="false" dt2D="false" dtr="false" t="normal">BIN2HEX(H242, 2)</f>
        <v>0</v>
      </c>
      <c r="I241" s="1916" t="n">
        <f aca="false" ca="false" dt2D="false" dtr="false" t="normal">I236</f>
        <v>0</v>
      </c>
      <c r="J241" s="2217" t="n">
        <f aca="false" ca="false" dt2D="false" dtr="false" t="normal">J236</f>
        <v>0</v>
      </c>
      <c r="K241" s="165" t="n">
        <f aca="false" ca="false" dt2D="false" dtr="false" t="normal">BIN2HEX(K242, 2)</f>
        <v>0</v>
      </c>
      <c r="L241" s="288" t="n">
        <f aca="false" ca="false" dt2D="false" dtr="false" t="normal">BIN2HEX(L242, 2)</f>
        <v>0</v>
      </c>
      <c r="M241" s="166" t="str">
        <f aca="false" ca="false" dt2D="false" dtr="false" t="normal">IF(LEN(M242)&gt;2, MID(M242, 2, 2), M242)</f>
        <v>3D</v>
      </c>
      <c r="N241" s="63" t="s">
        <v>181</v>
      </c>
      <c r="P241" s="136" t="n">
        <f aca="false" ca="false" dt2D="false" dtr="false" t="normal">MID(H237, 5, 1)</f>
        <v>0</v>
      </c>
      <c r="Q241" s="137" t="n">
        <f aca="false" ca="false" dt2D="false" dtr="false" t="normal">P241</f>
        <v>0</v>
      </c>
      <c r="R241" s="120" t="s">
        <v>200</v>
      </c>
      <c r="S241" s="139" t="s">
        <v>1247</v>
      </c>
      <c r="T241" s="3123" t="s"/>
      <c r="U241" s="142" t="s"/>
      <c r="V241" s="142" t="s"/>
      <c r="W241" s="3124" t="s"/>
      <c r="X241" s="3125" t="s"/>
      <c r="Y241" s="142" t="s"/>
      <c r="Z241" s="142" t="s"/>
      <c r="AA241" s="3126" t="s"/>
      <c r="AB241" s="136" t="n">
        <f aca="false" ca="false" dt2D="false" dtr="false" t="normal">MID(K237, 5, 1)</f>
        <v>0</v>
      </c>
      <c r="AC241" s="137" t="n">
        <f aca="false" ca="false" dt2D="false" dtr="false" t="normal">AB241</f>
        <v>0</v>
      </c>
      <c r="AD241" s="120" t="s">
        <v>200</v>
      </c>
      <c r="AE241" s="139" t="s">
        <v>1248</v>
      </c>
      <c r="AF241" s="136" t="n">
        <f aca="false" ca="false" dt2D="false" dtr="false" t="normal">MID(L237, 5, 1)</f>
        <v>0</v>
      </c>
      <c r="AG241" s="137" t="n">
        <f aca="false" ca="false" dt2D="false" dtr="false" t="normal">AF241</f>
        <v>0</v>
      </c>
      <c r="AH241" s="120" t="s">
        <v>200</v>
      </c>
      <c r="AI241" s="139" t="s">
        <v>1249</v>
      </c>
      <c r="AJ241" s="3127" t="s"/>
      <c r="AK241" s="3128" t="s"/>
    </row>
    <row hidden="false" ht="15" outlineLevel="0" r="242">
      <c r="C242" s="98" t="s">
        <v>185</v>
      </c>
      <c r="D242" s="53" t="n">
        <f aca="false" ca="false" dt2D="false" dtr="false" t="normal">HEX2BIN(D241, 8)</f>
        <v>111</v>
      </c>
      <c r="E242" s="53" t="n">
        <f aca="false" ca="false" dt2D="false" dtr="false" t="normal">HEX2BIN(E241, 8)</f>
        <v>100000</v>
      </c>
      <c r="F242" s="53" t="n">
        <f aca="false" ca="false" dt2D="false" dtr="false" t="normal">HEX2BIN(F241, 8)</f>
        <v>100</v>
      </c>
      <c r="G242" s="53" t="n">
        <f aca="false" ca="false" dt2D="false" dtr="false" t="normal">HEX2BIN(G241, 8)</f>
        <v>10010</v>
      </c>
      <c r="H242" s="171" t="n">
        <f aca="false" ca="false" dt2D="false" dtr="false" t="normal">Q237&amp;Q238&amp;Q239&amp;Q240&amp;Q241&amp;Q242&amp;Q243&amp;Q244</f>
        <v>0</v>
      </c>
      <c r="I242" s="53" t="n"/>
      <c r="J242" s="171" t="n"/>
      <c r="K242" s="171" t="n">
        <f aca="false" ca="false" dt2D="false" dtr="false" t="normal">AC237&amp;AC238&amp;AC239&amp;AC240&amp;AC241&amp;AC242&amp;AC243&amp;AC244</f>
        <v>0</v>
      </c>
      <c r="L242" s="53" t="n">
        <f aca="false" ca="false" dt2D="false" dtr="false" t="normal">AG237&amp;AG238&amp;AG239&amp;AG240&amp;AG241&amp;AG242&amp;AG243&amp;AG244</f>
        <v>0</v>
      </c>
      <c r="M242" s="53" t="str">
        <f aca="false" ca="false" dt2D="false" dtr="false" t="normal">DEC2HEX(M243)</f>
        <v>3D</v>
      </c>
      <c r="N242" s="63" t="n"/>
      <c r="P242" s="136" t="n">
        <f aca="false" ca="false" dt2D="false" dtr="false" t="normal">MID(H237, 6, 1)</f>
        <v>0</v>
      </c>
      <c r="Q242" s="137" t="n">
        <f aca="false" ca="false" dt2D="false" dtr="false" t="normal">P242</f>
        <v>0</v>
      </c>
      <c r="R242" s="120" t="s">
        <v>203</v>
      </c>
      <c r="S242" s="139" t="s">
        <v>1250</v>
      </c>
      <c r="T242" s="3129" t="s"/>
      <c r="U242" s="142" t="s"/>
      <c r="V242" s="142" t="s"/>
      <c r="W242" s="3130" t="s"/>
      <c r="X242" s="3131" t="s"/>
      <c r="Y242" s="142" t="s"/>
      <c r="Z242" s="142" t="s"/>
      <c r="AA242" s="3132" t="s"/>
      <c r="AB242" s="136" t="n">
        <f aca="false" ca="false" dt2D="false" dtr="false" t="normal">MID(K237, 6, 1)</f>
        <v>0</v>
      </c>
      <c r="AC242" s="137" t="n">
        <f aca="false" ca="false" dt2D="false" dtr="false" t="normal">AB242</f>
        <v>0</v>
      </c>
      <c r="AD242" s="120" t="s">
        <v>203</v>
      </c>
      <c r="AE242" s="139" t="s">
        <v>1251</v>
      </c>
      <c r="AF242" s="136" t="n">
        <f aca="false" ca="false" dt2D="false" dtr="false" t="normal">MID(L237, 6, 1)</f>
        <v>0</v>
      </c>
      <c r="AG242" s="137" t="n">
        <f aca="false" ca="false" dt2D="false" dtr="false" t="normal">AF242</f>
        <v>0</v>
      </c>
      <c r="AH242" s="120" t="s">
        <v>203</v>
      </c>
      <c r="AI242" s="139" t="s">
        <v>1252</v>
      </c>
      <c r="AJ242" s="3133" t="s"/>
      <c r="AK242" s="3134" t="s"/>
    </row>
    <row hidden="false" ht="15" outlineLevel="0" r="243">
      <c r="C243" s="98" t="s">
        <v>191</v>
      </c>
      <c r="D243" s="53" t="n">
        <f aca="false" ca="false" dt2D="false" dtr="false" t="normal">HEX2DEC(D241)</f>
        <v>7</v>
      </c>
      <c r="E243" s="53" t="n">
        <f aca="false" ca="false" dt2D="false" dtr="false" t="normal">HEX2DEC(E241)</f>
        <v>32</v>
      </c>
      <c r="F243" s="53" t="n">
        <f aca="false" ca="false" dt2D="false" dtr="false" t="normal">HEX2DEC(F241)</f>
        <v>4</v>
      </c>
      <c r="G243" s="53" t="n">
        <f aca="false" ca="false" dt2D="false" dtr="false" t="normal">HEX2DEC(G241)</f>
        <v>18</v>
      </c>
      <c r="H243" s="53" t="n">
        <f aca="false" ca="false" dt2D="false" dtr="false" t="normal">HEX2DEC(H241)</f>
        <v>0</v>
      </c>
      <c r="I243" s="53" t="n">
        <f aca="false" ca="false" dt2D="false" dtr="false" t="normal">HEX2DEC(I241)</f>
        <v>0</v>
      </c>
      <c r="J243" s="53" t="n">
        <f aca="false" ca="false" dt2D="false" dtr="false" t="normal">HEX2DEC(J241)</f>
        <v>0</v>
      </c>
      <c r="K243" s="53" t="n">
        <f aca="false" ca="false" dt2D="false" dtr="false" t="normal">HEX2DEC(K241)</f>
        <v>0</v>
      </c>
      <c r="L243" s="53" t="n">
        <f aca="false" ca="false" dt2D="false" dtr="false" t="normal">HEX2DEC(L241)</f>
        <v>0</v>
      </c>
      <c r="M243" s="53" t="n">
        <f aca="false" ca="false" dt2D="false" dtr="false" t="normal">SUM(D243:L243)</f>
        <v>61</v>
      </c>
      <c r="N243" s="63" t="n"/>
      <c r="P243" s="136" t="n">
        <f aca="false" ca="false" dt2D="false" dtr="false" t="normal">MID(H237, 7, 1)</f>
        <v>0</v>
      </c>
      <c r="Q243" s="137" t="n">
        <f aca="false" ca="false" dt2D="false" dtr="false" t="normal">P243</f>
        <v>0</v>
      </c>
      <c r="R243" s="120" t="s">
        <v>206</v>
      </c>
      <c r="S243" s="139" t="s">
        <v>1253</v>
      </c>
      <c r="T243" s="3135" t="s"/>
      <c r="U243" s="142" t="s"/>
      <c r="V243" s="142" t="s"/>
      <c r="W243" s="3136" t="s"/>
      <c r="X243" s="3137" t="s"/>
      <c r="Y243" s="142" t="s"/>
      <c r="Z243" s="142" t="s"/>
      <c r="AA243" s="3138" t="s"/>
      <c r="AB243" s="136" t="n">
        <f aca="false" ca="false" dt2D="false" dtr="false" t="normal">MID(K237, 7, 1)</f>
        <v>0</v>
      </c>
      <c r="AC243" s="137" t="n">
        <f aca="false" ca="false" dt2D="false" dtr="false" t="normal">AB243</f>
        <v>0</v>
      </c>
      <c r="AD243" s="120" t="s">
        <v>206</v>
      </c>
      <c r="AE243" s="3139" t="s">
        <v>1254</v>
      </c>
      <c r="AF243" s="136" t="n">
        <f aca="false" ca="false" dt2D="false" dtr="false" t="normal">MID(L237, 7, 1)</f>
        <v>0</v>
      </c>
      <c r="AG243" s="137" t="n">
        <f aca="false" ca="false" dt2D="false" dtr="false" t="normal">AF243</f>
        <v>0</v>
      </c>
      <c r="AH243" s="120" t="s">
        <v>206</v>
      </c>
      <c r="AI243" s="139" t="s">
        <v>1255</v>
      </c>
      <c r="AJ243" s="3140" t="s"/>
      <c r="AK243" s="3141" t="s"/>
    </row>
    <row hidden="false" ht="15.75" outlineLevel="0" r="244">
      <c r="C244" s="180" t="s">
        <v>194</v>
      </c>
      <c r="D244" s="299" t="n">
        <f aca="false" ca="false" dt2D="false" dtr="false" t="normal">D239</f>
        <v>7</v>
      </c>
      <c r="E244" s="299" t="n">
        <f aca="false" ca="false" dt2D="false" dtr="false" t="normal">E239</f>
        <v>20</v>
      </c>
      <c r="F244" s="299" t="str">
        <f aca="false" ca="false" dt2D="false" dtr="false" t="normal">F239</f>
        <v>G4</v>
      </c>
      <c r="G244" s="299" t="str">
        <f aca="false" ca="false" dt2D="false" dtr="false" t="normal">G239</f>
        <v>GC</v>
      </c>
      <c r="H244" s="45" t="n"/>
      <c r="I244" s="45" t="n"/>
      <c r="J244" s="45" t="n"/>
      <c r="K244" s="45" t="n"/>
      <c r="L244" s="45" t="n"/>
      <c r="M244" s="45" t="n"/>
      <c r="N244" s="49" t="n"/>
      <c r="P244" s="182" t="n">
        <f aca="false" ca="false" dt2D="false" dtr="false" t="normal">MID(H237, 8, 1)</f>
        <v>0</v>
      </c>
      <c r="Q244" s="183" t="n">
        <f aca="false" ca="false" dt2D="false" dtr="false" t="normal">P244</f>
        <v>0</v>
      </c>
      <c r="R244" s="184" t="s">
        <v>208</v>
      </c>
      <c r="S244" s="187" t="s">
        <v>1256</v>
      </c>
      <c r="T244" s="3142" t="s"/>
      <c r="U244" s="3143" t="s"/>
      <c r="V244" s="3144" t="s"/>
      <c r="W244" s="3145" t="s"/>
      <c r="X244" s="3146" t="s"/>
      <c r="Y244" s="3147" t="s"/>
      <c r="Z244" s="3148" t="s"/>
      <c r="AA244" s="3149" t="s"/>
      <c r="AB244" s="182" t="n">
        <f aca="false" ca="false" dt2D="false" dtr="false" t="normal">MID(K237, 8, 1)</f>
        <v>0</v>
      </c>
      <c r="AC244" s="183" t="n">
        <f aca="false" ca="false" dt2D="false" dtr="false" t="normal">AB244</f>
        <v>0</v>
      </c>
      <c r="AD244" s="184" t="s">
        <v>208</v>
      </c>
      <c r="AE244" s="1219" t="s">
        <v>1257</v>
      </c>
      <c r="AF244" s="182" t="n">
        <f aca="false" ca="false" dt2D="false" dtr="false" t="normal">MID(L237, 8, 1)</f>
        <v>0</v>
      </c>
      <c r="AG244" s="183" t="n">
        <f aca="false" ca="false" dt2D="false" dtr="false" t="normal">AF244</f>
        <v>0</v>
      </c>
      <c r="AH244" s="184" t="s">
        <v>208</v>
      </c>
      <c r="AI244" s="187" t="s">
        <v>1258</v>
      </c>
      <c r="AJ244" s="3150" t="s"/>
      <c r="AK244" s="3151" t="s"/>
    </row>
    <row hidden="false" ht="15.75" outlineLevel="0" r="245">
      <c r="C245" s="93" t="n"/>
      <c r="D245" s="94" t="n"/>
      <c r="E245" s="94" t="n"/>
      <c r="F245" s="94" t="n"/>
      <c r="G245" s="94" t="n"/>
      <c r="H245" s="94" t="n"/>
      <c r="I245" s="94" t="n"/>
      <c r="J245" s="94" t="n"/>
      <c r="K245" s="94" t="n"/>
      <c r="L245" s="94" t="n"/>
      <c r="M245" s="94" t="s">
        <v>161</v>
      </c>
      <c r="N245" s="60" t="n"/>
      <c r="P245" s="95" t="str">
        <f aca="false" ca="false" dt2D="false" dtr="false" t="normal">RIGHT(D247, 1)&amp;E247&amp;"-"&amp;F247&amp;"-"&amp;G247</f>
        <v>720-04-13</v>
      </c>
      <c r="Q245" s="3152" t="s"/>
      <c r="R245" s="234" t="s">
        <v>1259</v>
      </c>
      <c r="S245" s="3153" t="s"/>
      <c r="T245" s="3154" t="s"/>
      <c r="U245" s="3155" t="s"/>
      <c r="V245" s="3156" t="s"/>
      <c r="W245" s="3157" t="s"/>
      <c r="X245" s="3158" t="s"/>
      <c r="Y245" s="3159" t="s"/>
      <c r="Z245" s="3160" t="s"/>
      <c r="AA245" s="3161" t="s"/>
      <c r="AB245" s="3162" t="s"/>
      <c r="AC245" s="3163" t="s"/>
      <c r="AD245" s="3164" t="s"/>
      <c r="AE245" s="3165" t="s"/>
      <c r="AF245" s="3166" t="s"/>
      <c r="AG245" s="3167" t="s"/>
      <c r="AH245" s="3168" t="s"/>
      <c r="AI245" s="3169" t="s"/>
      <c r="AJ245" s="3170" t="s"/>
      <c r="AK245" s="3171" t="s"/>
    </row>
    <row hidden="false" ht="15.75" outlineLevel="0" r="246">
      <c r="C246" s="98" t="n"/>
      <c r="D246" s="99" t="s">
        <v>1260</v>
      </c>
      <c r="E246" s="3172" t="s"/>
      <c r="F246" s="3173" t="s"/>
      <c r="G246" s="3174" t="s"/>
      <c r="H246" s="53" t="s">
        <v>165</v>
      </c>
      <c r="I246" s="53" t="s">
        <v>166</v>
      </c>
      <c r="J246" s="53" t="s">
        <v>167</v>
      </c>
      <c r="K246" s="53" t="s">
        <v>168</v>
      </c>
      <c r="L246" s="53" t="s">
        <v>169</v>
      </c>
      <c r="M246" s="53" t="s">
        <v>221</v>
      </c>
      <c r="N246" s="63" t="n"/>
      <c r="P246" s="103" t="s">
        <v>1261</v>
      </c>
      <c r="Q246" s="3175" t="s"/>
      <c r="R246" s="3176" t="s"/>
      <c r="S246" s="3177" t="s"/>
      <c r="T246" s="103" t="s">
        <v>1262</v>
      </c>
      <c r="U246" s="3178" t="s"/>
      <c r="V246" s="3179" t="s"/>
      <c r="W246" s="3180" t="s"/>
      <c r="X246" s="103" t="s">
        <v>1263</v>
      </c>
      <c r="Y246" s="3181" t="s"/>
      <c r="Z246" s="3182" t="s"/>
      <c r="AA246" s="3183" t="s"/>
      <c r="AB246" s="103" t="s">
        <v>1264</v>
      </c>
      <c r="AC246" s="3184" t="s"/>
      <c r="AD246" s="3185" t="s"/>
      <c r="AE246" s="3186" t="s"/>
      <c r="AF246" s="116" t="s">
        <v>1265</v>
      </c>
      <c r="AG246" s="3187" t="s"/>
      <c r="AH246" s="3188" t="s"/>
      <c r="AI246" s="3189" t="s"/>
      <c r="AJ246" s="116" t="s">
        <v>1266</v>
      </c>
      <c r="AK246" s="3190" t="s"/>
    </row>
    <row hidden="false" ht="15.75" outlineLevel="0" r="247">
      <c r="C247" s="98" t="s">
        <v>176</v>
      </c>
      <c r="D247" s="122" t="s">
        <v>177</v>
      </c>
      <c r="E247" s="123" t="s">
        <v>693</v>
      </c>
      <c r="F247" s="123" t="s">
        <v>342</v>
      </c>
      <c r="G247" s="124" t="s">
        <v>1267</v>
      </c>
      <c r="H247" s="1819" t="n">
        <f aca="false" ca="false" dt2D="false" dtr="false" ref="H247:H247" t="array">MID(INDEX($A$3:$A$70, IF(ISNA(MATCH("720G4GD*", $A$3:$A$70, 0))=TRUE, MATCH("7200413*", $A$3:$A$70, 0), MATCH("720G4GD*", $A$3:$A$70, 0))), $AU$8, 2)</f>
        <v>0</v>
      </c>
      <c r="I247" s="1820" t="n">
        <f aca="false" ca="false" dt2D="false" dtr="false" ref="I247:I247" t="array">MID(INDEX($A$3:$A$70, IF(ISNA(MATCH("720G4GD*", $A$3:$A$70, 0))=TRUE, MATCH("7200413*", $A$3:$A$70, 0), MATCH("720G4GD*", $A$3:$A$70, 0))), $AV$8, 2)</f>
        <v>0</v>
      </c>
      <c r="J247" s="164" t="n">
        <f aca="false" ca="false" dt2D="false" dtr="false" ref="J247:J247" t="array">MID(INDEX($A$3:$A$70, IF(ISNA(MATCH("720G4GD*", $A$3:$A$70, 0))=TRUE, MATCH("7200413*", $A$3:$A$70, 0), MATCH("720G4GD*", $A$3:$A$70, 0))), $AW$8, 2)</f>
        <v>0</v>
      </c>
      <c r="K247" s="1820" t="n">
        <f aca="false" ca="false" dt2D="false" dtr="false" ref="K247:K247" t="array">MID(INDEX($A$3:$A$70, IF(ISNA(MATCH("720G4GD*", $A$3:$A$70, 0))=TRUE, MATCH("7200413*", $A$3:$A$70, 0), MATCH("720G4GD*", $A$3:$A$70, 0))), $AX$8, 2)</f>
        <v>0</v>
      </c>
      <c r="L247" s="1821" t="n">
        <f aca="false" ca="false" dt2D="false" dtr="false" ref="L247:L247" t="array">MID(INDEX($A$3:$A$70, IF(ISNA(MATCH("720G4GD*", $A$3:$A$70, 0))=TRUE, MATCH("7200413*", $A$3:$A$70, 0), MATCH("720G4GD*", $A$3:$A$70, 0))), $AY$8, 2)</f>
        <v>0</v>
      </c>
      <c r="M247" s="218" t="str">
        <f aca="false" ca="false" dt2D="false" dtr="false" ref="M247:M247" t="array">MID(INDEX($A$3:$A$70, IF(ISNA(MATCH("720G4GD*", $A$3:$A$70, 0))=TRUE, MATCH("7200413*", $A$3:$A$70, 0), MATCH("720G4GD*", $A$3:$A$70, 0))), $AZ$8, 2)</f>
        <v>3E</v>
      </c>
      <c r="N247" s="63" t="s">
        <v>180</v>
      </c>
      <c r="P247" s="129" t="s">
        <v>180</v>
      </c>
      <c r="Q247" s="130" t="s">
        <v>181</v>
      </c>
      <c r="R247" s="121" t="s">
        <v>182</v>
      </c>
      <c r="S247" s="131" t="n"/>
      <c r="T247" s="129" t="s">
        <v>180</v>
      </c>
      <c r="U247" s="130" t="s">
        <v>181</v>
      </c>
      <c r="V247" s="121" t="s">
        <v>182</v>
      </c>
      <c r="W247" s="131" t="n"/>
      <c r="X247" s="129" t="s">
        <v>180</v>
      </c>
      <c r="Y247" s="130" t="s">
        <v>181</v>
      </c>
      <c r="Z247" s="121" t="s">
        <v>182</v>
      </c>
      <c r="AA247" s="131" t="n"/>
      <c r="AB247" s="129" t="s">
        <v>180</v>
      </c>
      <c r="AC247" s="130" t="s">
        <v>181</v>
      </c>
      <c r="AD247" s="121" t="s">
        <v>182</v>
      </c>
      <c r="AE247" s="131" t="n"/>
      <c r="AF247" s="116" t="n"/>
      <c r="AG247" s="3191" t="s"/>
      <c r="AH247" s="3192" t="s"/>
      <c r="AI247" s="3193" t="s"/>
      <c r="AJ247" s="116" t="s">
        <v>183</v>
      </c>
      <c r="AK247" s="3194" t="s"/>
    </row>
    <row hidden="false" ht="15" outlineLevel="0" r="248">
      <c r="C248" s="98" t="s">
        <v>185</v>
      </c>
      <c r="D248" s="53" t="n">
        <f aca="false" ca="false" dt2D="false" dtr="false" t="normal">HEX2BIN(D247, 8)</f>
        <v>111</v>
      </c>
      <c r="E248" s="53" t="n">
        <f aca="false" ca="false" dt2D="false" dtr="false" t="normal">HEX2BIN(E247, 8)</f>
        <v>100000</v>
      </c>
      <c r="F248" s="53" t="n">
        <f aca="false" ca="false" dt2D="false" dtr="false" t="normal">HEX2BIN(F247, 8)</f>
        <v>100</v>
      </c>
      <c r="G248" s="53" t="n">
        <f aca="false" ca="false" dt2D="false" dtr="false" t="normal">HEX2BIN(G247, 8)</f>
        <v>10011</v>
      </c>
      <c r="H248" s="53" t="n">
        <f aca="false" ca="false" dt2D="false" dtr="false" t="normal">HEX2BIN(H247, 8)</f>
        <v>0</v>
      </c>
      <c r="I248" s="53" t="n">
        <f aca="false" ca="false" dt2D="false" dtr="false" t="normal">HEX2BIN(I247, 8)</f>
        <v>0</v>
      </c>
      <c r="J248" s="53" t="n">
        <f aca="false" ca="false" dt2D="false" dtr="false" t="normal">HEX2BIN(J247, 8)</f>
        <v>0</v>
      </c>
      <c r="K248" s="53" t="n">
        <f aca="false" ca="false" dt2D="false" dtr="false" t="normal">HEX2BIN(K247, 8)</f>
        <v>0</v>
      </c>
      <c r="L248" s="53" t="n">
        <f aca="false" ca="false" dt2D="false" dtr="false" t="normal">HEX2BIN(L247, 8)</f>
        <v>0</v>
      </c>
      <c r="N248" s="63" t="n"/>
      <c r="P248" s="136" t="n">
        <f aca="false" ca="false" dt2D="false" dtr="false" t="normal">MID(H248, 1, 1)</f>
        <v>0</v>
      </c>
      <c r="Q248" s="137" t="n">
        <f aca="false" ca="false" dt2D="false" dtr="false" t="normal">P248</f>
        <v>0</v>
      </c>
      <c r="R248" s="120" t="s">
        <v>186</v>
      </c>
      <c r="S248" s="139" t="s">
        <v>1268</v>
      </c>
      <c r="T248" s="136" t="n">
        <f aca="false" ca="false" dt2D="false" dtr="false" t="normal">MID(I248, 1, 1)</f>
        <v>0</v>
      </c>
      <c r="U248" s="137" t="n">
        <f aca="false" ca="false" dt2D="false" dtr="false" t="normal">T248</f>
        <v>0</v>
      </c>
      <c r="V248" s="120" t="s">
        <v>186</v>
      </c>
      <c r="W248" s="139" t="s">
        <v>1269</v>
      </c>
      <c r="X248" s="136" t="n">
        <f aca="false" ca="false" dt2D="false" dtr="false" t="normal">MID(J248, 1, 1)</f>
        <v>0</v>
      </c>
      <c r="Y248" s="137" t="n">
        <f aca="false" ca="false" dt2D="false" dtr="false" t="normal">X248</f>
        <v>0</v>
      </c>
      <c r="Z248" s="120" t="s">
        <v>186</v>
      </c>
      <c r="AA248" s="139" t="s">
        <v>1270</v>
      </c>
      <c r="AB248" s="136" t="n">
        <f aca="false" ca="false" dt2D="false" dtr="false" t="normal">MID(K248, 1, 1)</f>
        <v>0</v>
      </c>
      <c r="AC248" s="137" t="n">
        <f aca="false" ca="false" dt2D="false" dtr="false" t="normal">AB248</f>
        <v>0</v>
      </c>
      <c r="AD248" s="120" t="s">
        <v>186</v>
      </c>
      <c r="AE248" s="139" t="s">
        <v>1271</v>
      </c>
      <c r="AF248" s="3195" t="s"/>
      <c r="AG248" s="142" t="s"/>
      <c r="AH248" s="142" t="s"/>
      <c r="AI248" s="3196" t="s"/>
      <c r="AJ248" s="3197" t="s"/>
      <c r="AK248" s="3198" t="s"/>
    </row>
    <row hidden="false" ht="15" outlineLevel="0" r="249">
      <c r="C249" s="98" t="s">
        <v>191</v>
      </c>
      <c r="D249" s="53" t="n">
        <f aca="false" ca="false" dt2D="false" dtr="false" t="normal">HEX2DEC(D247)</f>
        <v>7</v>
      </c>
      <c r="E249" s="53" t="n">
        <f aca="false" ca="false" dt2D="false" dtr="false" t="normal">HEX2DEC(E247)</f>
        <v>32</v>
      </c>
      <c r="F249" s="53" t="n">
        <f aca="false" ca="false" dt2D="false" dtr="false" t="normal">HEX2DEC(F247)</f>
        <v>4</v>
      </c>
      <c r="G249" s="53" t="n">
        <f aca="false" ca="false" dt2D="false" dtr="false" t="normal">HEX2DEC(G247)</f>
        <v>19</v>
      </c>
      <c r="H249" s="53" t="n">
        <f aca="false" ca="false" dt2D="false" dtr="false" t="normal">HEX2DEC(H247)</f>
        <v>0</v>
      </c>
      <c r="I249" s="53" t="n">
        <f aca="false" ca="false" dt2D="false" dtr="false" t="normal">HEX2DEC(I247)</f>
        <v>0</v>
      </c>
      <c r="J249" s="53" t="n">
        <f aca="false" ca="false" dt2D="false" dtr="false" t="normal">HEX2DEC(J247)</f>
        <v>0</v>
      </c>
      <c r="K249" s="53" t="n">
        <f aca="false" ca="false" dt2D="false" dtr="false" t="normal">HEX2DEC(K247)</f>
        <v>0</v>
      </c>
      <c r="L249" s="53" t="n">
        <f aca="false" ca="false" dt2D="false" dtr="false" t="normal">HEX2DEC(L247)</f>
        <v>0</v>
      </c>
      <c r="M249" s="53" t="n">
        <f aca="false" ca="false" dt2D="false" dtr="false" t="normal">SUM(D249:L249)</f>
        <v>62</v>
      </c>
      <c r="N249" s="63" t="n"/>
      <c r="P249" s="136" t="n">
        <f aca="false" ca="false" dt2D="false" dtr="false" t="normal">MID(H248, 2, 1)</f>
        <v>0</v>
      </c>
      <c r="Q249" s="137" t="n">
        <f aca="false" ca="false" dt2D="false" dtr="false" t="normal">P249</f>
        <v>0</v>
      </c>
      <c r="R249" s="120" t="s">
        <v>192</v>
      </c>
      <c r="S249" s="139" t="s">
        <v>1272</v>
      </c>
      <c r="T249" s="136" t="n">
        <f aca="false" ca="false" dt2D="false" dtr="false" t="normal">MID(I248, 2, 1)</f>
        <v>0</v>
      </c>
      <c r="U249" s="137" t="n">
        <f aca="false" ca="false" dt2D="false" dtr="false" t="normal">T249</f>
        <v>0</v>
      </c>
      <c r="V249" s="120" t="s">
        <v>192</v>
      </c>
      <c r="W249" s="139" t="s">
        <v>1273</v>
      </c>
      <c r="X249" s="136" t="n">
        <f aca="false" ca="false" dt2D="false" dtr="false" t="normal">MID(J248, 2, 1)</f>
        <v>0</v>
      </c>
      <c r="Y249" s="137" t="n">
        <f aca="false" ca="false" dt2D="false" dtr="false" t="normal">X249</f>
        <v>0</v>
      </c>
      <c r="Z249" s="120" t="s">
        <v>192</v>
      </c>
      <c r="AA249" s="139" t="s">
        <v>1274</v>
      </c>
      <c r="AB249" s="136" t="n">
        <f aca="false" ca="false" dt2D="false" dtr="false" t="normal">MID(K248, 2, 1)</f>
        <v>0</v>
      </c>
      <c r="AC249" s="137" t="n">
        <f aca="false" ca="false" dt2D="false" dtr="false" t="normal">AB249</f>
        <v>0</v>
      </c>
      <c r="AD249" s="120" t="s">
        <v>192</v>
      </c>
      <c r="AE249" s="131" t="s">
        <v>196</v>
      </c>
      <c r="AF249" s="3199" t="s"/>
      <c r="AG249" s="142" t="s"/>
      <c r="AH249" s="142" t="s"/>
      <c r="AI249" s="3200" t="s"/>
      <c r="AJ249" s="3201" t="s"/>
      <c r="AK249" s="3202" t="s"/>
    </row>
    <row hidden="false" ht="15" outlineLevel="0" r="250">
      <c r="C250" s="98" t="s">
        <v>194</v>
      </c>
      <c r="D250" s="149" t="n">
        <f aca="false" ca="false" dt2D="false" dtr="false" t="normal">D247</f>
        <v>7</v>
      </c>
      <c r="E250" s="149" t="n">
        <f aca="false" ca="false" dt2D="false" dtr="false" t="normal">E247</f>
        <v>20</v>
      </c>
      <c r="F250" s="53" t="str">
        <f aca="false" ca="false" dt2D="false" dtr="false" t="normal">MID(INDEX($A$3:$A$70, IF(ISNA(MATCH("720G4GD*", $A$3:$A$70, 0))=TRUE, MATCH("7200413*", $A$3:$A$70, 0), MATCH("720G4GD*", $A$3:$A$70, 0))), $AS$8, 2)</f>
        <v>G4</v>
      </c>
      <c r="G250" s="53" t="str">
        <f aca="false" ca="false" dt2D="false" dtr="false" t="normal">MID(INDEX($A$3:$A$70, IF(ISNA(MATCH("720G4GD*", $A$3:$A$70, 0))=TRUE, MATCH("7200413*", $A$3:$A$70, 0), MATCH("720G4GD*", $A$3:$A$70, 0))), $AT$8, 2)</f>
        <v>GD</v>
      </c>
      <c r="N250" s="63" t="n"/>
      <c r="P250" s="136" t="n">
        <f aca="false" ca="false" dt2D="false" dtr="false" t="normal">MID(H248, 3, 1)</f>
        <v>0</v>
      </c>
      <c r="Q250" s="137" t="n">
        <f aca="false" ca="false" dt2D="false" dtr="false" t="normal">P250</f>
        <v>0</v>
      </c>
      <c r="R250" s="120" t="s">
        <v>195</v>
      </c>
      <c r="S250" s="139" t="s">
        <v>1275</v>
      </c>
      <c r="T250" s="136" t="n">
        <f aca="false" ca="false" dt2D="false" dtr="false" t="normal">MID(I248, 3, 1)</f>
        <v>0</v>
      </c>
      <c r="U250" s="137" t="n">
        <f aca="false" ca="false" dt2D="false" dtr="false" t="normal">T250</f>
        <v>0</v>
      </c>
      <c r="V250" s="120" t="s">
        <v>195</v>
      </c>
      <c r="W250" s="139" t="s">
        <v>1276</v>
      </c>
      <c r="X250" s="136" t="n">
        <f aca="false" ca="false" dt2D="false" dtr="false" t="normal">MID(J248, 3, 1)</f>
        <v>0</v>
      </c>
      <c r="Y250" s="137" t="n">
        <f aca="false" ca="false" dt2D="false" dtr="false" t="normal">X250</f>
        <v>0</v>
      </c>
      <c r="Z250" s="120" t="s">
        <v>195</v>
      </c>
      <c r="AA250" s="139" t="s">
        <v>1277</v>
      </c>
      <c r="AB250" s="136" t="n">
        <f aca="false" ca="false" dt2D="false" dtr="false" t="normal">MID(K248, 3, 1)</f>
        <v>0</v>
      </c>
      <c r="AC250" s="137" t="n">
        <f aca="false" ca="false" dt2D="false" dtr="false" t="normal">AB250</f>
        <v>0</v>
      </c>
      <c r="AD250" s="120" t="s">
        <v>195</v>
      </c>
      <c r="AE250" s="131" t="s">
        <v>196</v>
      </c>
      <c r="AF250" s="3203" t="s"/>
      <c r="AG250" s="142" t="s"/>
      <c r="AH250" s="142" t="s"/>
      <c r="AI250" s="3204" t="s"/>
      <c r="AJ250" s="3205" t="s"/>
      <c r="AK250" s="3206" t="s"/>
    </row>
    <row hidden="false" ht="15.75" outlineLevel="0" r="251">
      <c r="C251" s="98" t="n"/>
      <c r="N251" s="63" t="n"/>
      <c r="P251" s="136" t="n">
        <f aca="false" ca="false" dt2D="false" dtr="false" t="normal">MID(H248, 4, 1)</f>
        <v>0</v>
      </c>
      <c r="Q251" s="137" t="n">
        <f aca="false" ca="false" dt2D="false" dtr="false" t="normal">P251</f>
        <v>0</v>
      </c>
      <c r="R251" s="120" t="s">
        <v>197</v>
      </c>
      <c r="S251" s="139" t="s">
        <v>1278</v>
      </c>
      <c r="T251" s="136" t="n">
        <f aca="false" ca="false" dt2D="false" dtr="false" t="normal">MID(I248, 4, 1)</f>
        <v>0</v>
      </c>
      <c r="U251" s="137" t="n">
        <f aca="false" ca="false" dt2D="false" dtr="false" t="normal">T251</f>
        <v>0</v>
      </c>
      <c r="V251" s="120" t="s">
        <v>197</v>
      </c>
      <c r="W251" s="139" t="s">
        <v>1279</v>
      </c>
      <c r="X251" s="136" t="n">
        <f aca="false" ca="false" dt2D="false" dtr="false" t="normal">MID(J248, 4, 1)</f>
        <v>0</v>
      </c>
      <c r="Y251" s="137" t="n">
        <f aca="false" ca="false" dt2D="false" dtr="false" t="normal">X251</f>
        <v>0</v>
      </c>
      <c r="Z251" s="120" t="s">
        <v>197</v>
      </c>
      <c r="AA251" s="139" t="s">
        <v>1280</v>
      </c>
      <c r="AB251" s="136" t="n">
        <f aca="false" ca="false" dt2D="false" dtr="false" t="normal">MID(K248, 4, 1)</f>
        <v>0</v>
      </c>
      <c r="AC251" s="137" t="n">
        <f aca="false" ca="false" dt2D="false" dtr="false" t="normal">AB251</f>
        <v>0</v>
      </c>
      <c r="AD251" s="120" t="s">
        <v>197</v>
      </c>
      <c r="AE251" s="131" t="s">
        <v>196</v>
      </c>
      <c r="AF251" s="3207" t="s"/>
      <c r="AG251" s="142" t="s"/>
      <c r="AH251" s="142" t="s"/>
      <c r="AI251" s="3208" t="s"/>
      <c r="AJ251" s="3209" t="s"/>
      <c r="AK251" s="3210" t="s"/>
    </row>
    <row hidden="false" ht="15.75" outlineLevel="0" r="252">
      <c r="C252" s="98" t="s">
        <v>176</v>
      </c>
      <c r="D252" s="159" t="n">
        <f aca="false" ca="false" dt2D="false" dtr="false" t="normal">D247</f>
        <v>7</v>
      </c>
      <c r="E252" s="160" t="n">
        <f aca="false" ca="false" dt2D="false" dtr="false" t="normal">E247</f>
        <v>20</v>
      </c>
      <c r="F252" s="160" t="n">
        <f aca="false" ca="false" dt2D="false" dtr="false" t="normal">F247</f>
        <v>4</v>
      </c>
      <c r="G252" s="161" t="n">
        <f aca="false" ca="false" dt2D="false" dtr="false" t="normal">G247</f>
        <v>13</v>
      </c>
      <c r="H252" s="162" t="n">
        <f aca="false" ca="false" dt2D="false" dtr="false" t="normal">BIN2HEX(H253, 2)</f>
        <v>0</v>
      </c>
      <c r="I252" s="163" t="n">
        <f aca="false" ca="false" dt2D="false" dtr="false" t="normal">BIN2HEX(I253, 2)</f>
        <v>0</v>
      </c>
      <c r="J252" s="164" t="n">
        <f aca="false" ca="false" dt2D="false" dtr="false" t="normal">BIN2HEX(J253, 2)</f>
        <v>0</v>
      </c>
      <c r="K252" s="165" t="n">
        <f aca="false" ca="false" dt2D="false" dtr="false" t="normal">BIN2HEX(K253, 2)</f>
        <v>0</v>
      </c>
      <c r="L252" s="1917" t="n">
        <f aca="false" ca="false" dt2D="false" dtr="false" t="normal">L247</f>
        <v>0</v>
      </c>
      <c r="M252" s="166" t="str">
        <f aca="false" ca="false" dt2D="false" dtr="false" t="normal">IF(LEN(M253)&gt;2, MID(M253, 2, 2), M253)</f>
        <v>3E</v>
      </c>
      <c r="N252" s="63" t="s">
        <v>181</v>
      </c>
      <c r="P252" s="136" t="n">
        <f aca="false" ca="false" dt2D="false" dtr="false" t="normal">MID(H248, 5, 1)</f>
        <v>0</v>
      </c>
      <c r="Q252" s="137" t="n">
        <f aca="false" ca="false" dt2D="false" dtr="false" t="normal">P252</f>
        <v>0</v>
      </c>
      <c r="R252" s="120" t="s">
        <v>200</v>
      </c>
      <c r="S252" s="139" t="s">
        <v>1281</v>
      </c>
      <c r="T252" s="136" t="n">
        <f aca="false" ca="false" dt2D="false" dtr="false" t="normal">MID(I248, 5, 1)</f>
        <v>0</v>
      </c>
      <c r="U252" s="137" t="n">
        <f aca="false" ca="false" dt2D="false" dtr="false" t="normal">T252</f>
        <v>0</v>
      </c>
      <c r="V252" s="120" t="s">
        <v>200</v>
      </c>
      <c r="W252" s="139" t="s">
        <v>1282</v>
      </c>
      <c r="X252" s="136" t="n">
        <f aca="false" ca="false" dt2D="false" dtr="false" t="normal">MID(J248, 5, 1)</f>
        <v>0</v>
      </c>
      <c r="Y252" s="137" t="n">
        <f aca="false" ca="false" dt2D="false" dtr="false" t="normal">X252</f>
        <v>0</v>
      </c>
      <c r="Z252" s="120" t="s">
        <v>200</v>
      </c>
      <c r="AA252" s="131" t="s">
        <v>196</v>
      </c>
      <c r="AB252" s="136" t="n">
        <f aca="false" ca="false" dt2D="false" dtr="false" t="normal">MID(K248, 5, 1)</f>
        <v>0</v>
      </c>
      <c r="AC252" s="137" t="n">
        <f aca="false" ca="false" dt2D="false" dtr="false" t="normal">AB252</f>
        <v>0</v>
      </c>
      <c r="AD252" s="120" t="s">
        <v>200</v>
      </c>
      <c r="AE252" s="131" t="s">
        <v>196</v>
      </c>
      <c r="AF252" s="3211" t="s"/>
      <c r="AG252" s="142" t="s"/>
      <c r="AH252" s="142" t="s"/>
      <c r="AI252" s="3212" t="s"/>
      <c r="AJ252" s="3213" t="s"/>
      <c r="AK252" s="3214" t="s"/>
    </row>
    <row hidden="false" ht="15" outlineLevel="0" r="253">
      <c r="C253" s="98" t="s">
        <v>185</v>
      </c>
      <c r="D253" s="53" t="n">
        <f aca="false" ca="false" dt2D="false" dtr="false" t="normal">HEX2BIN(D252, 8)</f>
        <v>111</v>
      </c>
      <c r="E253" s="53" t="n">
        <f aca="false" ca="false" dt2D="false" dtr="false" t="normal">HEX2BIN(E252, 8)</f>
        <v>100000</v>
      </c>
      <c r="F253" s="53" t="n">
        <f aca="false" ca="false" dt2D="false" dtr="false" t="normal">HEX2BIN(F252, 8)</f>
        <v>100</v>
      </c>
      <c r="G253" s="53" t="n">
        <f aca="false" ca="false" dt2D="false" dtr="false" t="normal">HEX2BIN(G252, 8)</f>
        <v>10011</v>
      </c>
      <c r="H253" s="171" t="n">
        <f aca="false" ca="false" dt2D="false" dtr="false" t="normal">Q248&amp;Q249&amp;Q250&amp;Q251&amp;Q252&amp;Q253&amp;Q254&amp;Q255</f>
        <v>0</v>
      </c>
      <c r="I253" s="53" t="n">
        <f aca="false" ca="false" dt2D="false" dtr="false" t="normal">U248&amp;U249&amp;U250&amp;U251&amp;U252&amp;U253&amp;U254&amp;U255</f>
        <v>0</v>
      </c>
      <c r="J253" s="171" t="n">
        <f aca="false" ca="false" dt2D="false" dtr="false" t="normal">Y248&amp;Y249&amp;Y250&amp;Y251&amp;Y252&amp;Y253&amp;Y254&amp;Y255</f>
        <v>0</v>
      </c>
      <c r="K253" s="171" t="n">
        <f aca="false" ca="false" dt2D="false" dtr="false" t="normal">AC248&amp;AC249&amp;AC250&amp;AC251&amp;AC252&amp;AC253&amp;AC254&amp;AC255</f>
        <v>0</v>
      </c>
      <c r="L253" s="53" t="n"/>
      <c r="M253" s="53" t="str">
        <f aca="false" ca="false" dt2D="false" dtr="false" t="normal">DEC2HEX(M254)</f>
        <v>3E</v>
      </c>
      <c r="N253" s="63" t="n"/>
      <c r="P253" s="136" t="n">
        <f aca="false" ca="false" dt2D="false" dtr="false" t="normal">MID(H248, 6, 1)</f>
        <v>0</v>
      </c>
      <c r="Q253" s="137" t="n">
        <f aca="false" ca="false" dt2D="false" dtr="false" t="normal">P253</f>
        <v>0</v>
      </c>
      <c r="R253" s="120" t="s">
        <v>203</v>
      </c>
      <c r="S253" s="139" t="s">
        <v>1283</v>
      </c>
      <c r="T253" s="136" t="n">
        <f aca="false" ca="false" dt2D="false" dtr="false" t="normal">MID(I248, 6, 1)</f>
        <v>0</v>
      </c>
      <c r="U253" s="137" t="n">
        <f aca="false" ca="false" dt2D="false" dtr="false" t="normal">T253</f>
        <v>0</v>
      </c>
      <c r="V253" s="120" t="s">
        <v>203</v>
      </c>
      <c r="W253" s="139" t="s">
        <v>1284</v>
      </c>
      <c r="X253" s="136" t="n">
        <f aca="false" ca="false" dt2D="false" dtr="false" t="normal">MID(J248, 6, 1)</f>
        <v>0</v>
      </c>
      <c r="Y253" s="137" t="n">
        <f aca="false" ca="false" dt2D="false" dtr="false" t="normal">X253</f>
        <v>0</v>
      </c>
      <c r="Z253" s="120" t="s">
        <v>203</v>
      </c>
      <c r="AA253" s="131" t="s">
        <v>196</v>
      </c>
      <c r="AB253" s="136" t="n">
        <f aca="false" ca="false" dt2D="false" dtr="false" t="normal">MID(K248, 6, 1)</f>
        <v>0</v>
      </c>
      <c r="AC253" s="137" t="n">
        <f aca="false" ca="false" dt2D="false" dtr="false" t="normal">AB253</f>
        <v>0</v>
      </c>
      <c r="AD253" s="120" t="s">
        <v>203</v>
      </c>
      <c r="AE253" s="131" t="s">
        <v>196</v>
      </c>
      <c r="AF253" s="3215" t="s"/>
      <c r="AG253" s="142" t="s"/>
      <c r="AH253" s="142" t="s"/>
      <c r="AI253" s="3216" t="s"/>
      <c r="AJ253" s="3217" t="s"/>
      <c r="AK253" s="3218" t="s"/>
    </row>
    <row hidden="false" ht="15" outlineLevel="0" r="254">
      <c r="C254" s="98" t="s">
        <v>191</v>
      </c>
      <c r="D254" s="53" t="n">
        <f aca="false" ca="false" dt2D="false" dtr="false" t="normal">HEX2DEC(D252)</f>
        <v>7</v>
      </c>
      <c r="E254" s="53" t="n">
        <f aca="false" ca="false" dt2D="false" dtr="false" t="normal">HEX2DEC(E252)</f>
        <v>32</v>
      </c>
      <c r="F254" s="53" t="n">
        <f aca="false" ca="false" dt2D="false" dtr="false" t="normal">HEX2DEC(F252)</f>
        <v>4</v>
      </c>
      <c r="G254" s="53" t="n">
        <f aca="false" ca="false" dt2D="false" dtr="false" t="normal">HEX2DEC(G252)</f>
        <v>19</v>
      </c>
      <c r="H254" s="53" t="n">
        <f aca="false" ca="false" dt2D="false" dtr="false" t="normal">HEX2DEC(H252)</f>
        <v>0</v>
      </c>
      <c r="I254" s="53" t="n">
        <f aca="false" ca="false" dt2D="false" dtr="false" t="normal">HEX2DEC(I252)</f>
        <v>0</v>
      </c>
      <c r="J254" s="53" t="n">
        <f aca="false" ca="false" dt2D="false" dtr="false" t="normal">HEX2DEC(J252)</f>
        <v>0</v>
      </c>
      <c r="K254" s="53" t="n">
        <f aca="false" ca="false" dt2D="false" dtr="false" t="normal">HEX2DEC(K252)</f>
        <v>0</v>
      </c>
      <c r="L254" s="53" t="n">
        <f aca="false" ca="false" dt2D="false" dtr="false" t="normal">HEX2DEC(L252)</f>
        <v>0</v>
      </c>
      <c r="M254" s="53" t="n">
        <f aca="false" ca="false" dt2D="false" dtr="false" t="normal">SUM(D254:L254)</f>
        <v>62</v>
      </c>
      <c r="N254" s="63" t="n"/>
      <c r="P254" s="136" t="n">
        <f aca="false" ca="false" dt2D="false" dtr="false" t="normal">MID(H248, 7, 1)</f>
        <v>0</v>
      </c>
      <c r="Q254" s="137" t="n">
        <f aca="false" ca="false" dt2D="false" dtr="false" t="normal">P254</f>
        <v>0</v>
      </c>
      <c r="R254" s="120" t="s">
        <v>206</v>
      </c>
      <c r="S254" s="139" t="s">
        <v>1285</v>
      </c>
      <c r="T254" s="136" t="n">
        <f aca="false" ca="false" dt2D="false" dtr="false" t="normal">MID(I248, 7, 1)</f>
        <v>0</v>
      </c>
      <c r="U254" s="137" t="n">
        <f aca="false" ca="false" dt2D="false" dtr="false" t="normal">T254</f>
        <v>0</v>
      </c>
      <c r="V254" s="120" t="s">
        <v>206</v>
      </c>
      <c r="W254" s="139" t="s">
        <v>1286</v>
      </c>
      <c r="X254" s="136" t="n">
        <f aca="false" ca="false" dt2D="false" dtr="false" t="normal">MID(J248, 7, 1)</f>
        <v>0</v>
      </c>
      <c r="Y254" s="137" t="n">
        <f aca="false" ca="false" dt2D="false" dtr="false" t="normal">X254</f>
        <v>0</v>
      </c>
      <c r="Z254" s="120" t="s">
        <v>206</v>
      </c>
      <c r="AA254" s="131" t="s">
        <v>196</v>
      </c>
      <c r="AB254" s="136" t="n">
        <f aca="false" ca="false" dt2D="false" dtr="false" t="normal">MID(K248, 7, 1)</f>
        <v>0</v>
      </c>
      <c r="AC254" s="137" t="n">
        <f aca="false" ca="false" dt2D="false" dtr="false" t="normal">AB254</f>
        <v>0</v>
      </c>
      <c r="AD254" s="120" t="s">
        <v>206</v>
      </c>
      <c r="AE254" s="208" t="s">
        <v>1287</v>
      </c>
      <c r="AF254" s="3219" t="s"/>
      <c r="AG254" s="142" t="s"/>
      <c r="AH254" s="142" t="s"/>
      <c r="AI254" s="3220" t="s"/>
      <c r="AJ254" s="3221" t="s"/>
      <c r="AK254" s="3222" t="s"/>
    </row>
    <row hidden="false" ht="15.75" outlineLevel="0" r="255">
      <c r="C255" s="180" t="s">
        <v>194</v>
      </c>
      <c r="D255" s="299" t="n">
        <f aca="false" ca="false" dt2D="false" dtr="false" t="normal">D250</f>
        <v>7</v>
      </c>
      <c r="E255" s="299" t="n">
        <f aca="false" ca="false" dt2D="false" dtr="false" t="normal">E250</f>
        <v>20</v>
      </c>
      <c r="F255" s="299" t="str">
        <f aca="false" ca="false" dt2D="false" dtr="false" t="normal">F250</f>
        <v>G4</v>
      </c>
      <c r="G255" s="299" t="str">
        <f aca="false" ca="false" dt2D="false" dtr="false" t="normal">G250</f>
        <v>GD</v>
      </c>
      <c r="H255" s="45" t="n"/>
      <c r="I255" s="45" t="n"/>
      <c r="J255" s="45" t="n"/>
      <c r="K255" s="45" t="n"/>
      <c r="L255" s="45" t="n"/>
      <c r="M255" s="45" t="n"/>
      <c r="N255" s="49" t="n"/>
      <c r="P255" s="182" t="n">
        <f aca="false" ca="false" dt2D="false" dtr="false" t="normal">MID(H248, 8, 1)</f>
        <v>0</v>
      </c>
      <c r="Q255" s="183" t="n">
        <f aca="false" ca="false" dt2D="false" dtr="false" t="normal">P255</f>
        <v>0</v>
      </c>
      <c r="R255" s="184" t="s">
        <v>208</v>
      </c>
      <c r="S255" s="187" t="s">
        <v>1288</v>
      </c>
      <c r="T255" s="182" t="n">
        <f aca="false" ca="false" dt2D="false" dtr="false" t="normal">MID(I248, 8, 1)</f>
        <v>0</v>
      </c>
      <c r="U255" s="183" t="n">
        <f aca="false" ca="false" dt2D="false" dtr="false" t="normal">T255</f>
        <v>0</v>
      </c>
      <c r="V255" s="184" t="s">
        <v>208</v>
      </c>
      <c r="W255" s="187" t="s">
        <v>1289</v>
      </c>
      <c r="X255" s="182" t="n">
        <f aca="false" ca="false" dt2D="false" dtr="false" t="normal">MID(J248, 8, 1)</f>
        <v>0</v>
      </c>
      <c r="Y255" s="183" t="n">
        <f aca="false" ca="false" dt2D="false" dtr="false" t="normal">X255</f>
        <v>0</v>
      </c>
      <c r="Z255" s="184" t="s">
        <v>208</v>
      </c>
      <c r="AA255" s="185" t="s">
        <v>196</v>
      </c>
      <c r="AB255" s="182" t="n">
        <f aca="false" ca="false" dt2D="false" dtr="false" t="normal">MID(K248, 8, 1)</f>
        <v>0</v>
      </c>
      <c r="AC255" s="183" t="n">
        <f aca="false" ca="false" dt2D="false" dtr="false" t="normal">AB255</f>
        <v>0</v>
      </c>
      <c r="AD255" s="184" t="s">
        <v>208</v>
      </c>
      <c r="AE255" s="185" t="s">
        <v>196</v>
      </c>
      <c r="AF255" s="3223" t="s"/>
      <c r="AG255" s="3224" t="s"/>
      <c r="AH255" s="3225" t="s"/>
      <c r="AI255" s="3226" t="s"/>
      <c r="AJ255" s="3227" t="s"/>
      <c r="AK255" s="3228" t="s"/>
    </row>
    <row hidden="false" ht="15.75" outlineLevel="0" r="256">
      <c r="C256" s="93" t="n"/>
      <c r="D256" s="94" t="n"/>
      <c r="E256" s="94" t="n"/>
      <c r="F256" s="94" t="n"/>
      <c r="G256" s="94" t="n"/>
      <c r="H256" s="94" t="n"/>
      <c r="I256" s="94" t="n"/>
      <c r="J256" s="94" t="n"/>
      <c r="K256" s="94" t="n"/>
      <c r="L256" s="94" t="n"/>
      <c r="M256" s="94" t="s">
        <v>161</v>
      </c>
      <c r="N256" s="60" t="n"/>
      <c r="P256" s="95" t="str">
        <f aca="false" ca="false" dt2D="false" dtr="false" t="normal">RIGHT(D258, 1)&amp;E258&amp;"-"&amp;F258&amp;"-"&amp;G258</f>
        <v>720-04-14</v>
      </c>
      <c r="Q256" s="3229" t="s"/>
      <c r="R256" s="234" t="s">
        <v>1290</v>
      </c>
      <c r="S256" s="3230" t="s"/>
      <c r="T256" s="3231" t="s"/>
      <c r="U256" s="3232" t="s"/>
      <c r="V256" s="3233" t="s"/>
      <c r="W256" s="3234" t="s"/>
      <c r="X256" s="3235" t="s"/>
      <c r="Y256" s="3236" t="s"/>
      <c r="Z256" s="3237" t="s"/>
      <c r="AA256" s="3238" t="s"/>
      <c r="AB256" s="3239" t="s"/>
      <c r="AC256" s="3240" t="s"/>
      <c r="AD256" s="3241" t="s"/>
      <c r="AE256" s="3242" t="s"/>
      <c r="AF256" s="3243" t="s"/>
      <c r="AG256" s="3244" t="s"/>
      <c r="AH256" s="3245" t="s"/>
      <c r="AI256" s="3246" t="s"/>
      <c r="AJ256" s="3247" t="s"/>
      <c r="AK256" s="3248" t="s"/>
    </row>
    <row hidden="false" ht="15.75" outlineLevel="0" r="257">
      <c r="C257" s="98" t="n"/>
      <c r="D257" s="99" t="s">
        <v>1291</v>
      </c>
      <c r="E257" s="3249" t="s"/>
      <c r="F257" s="3250" t="s"/>
      <c r="G257" s="3251" t="s"/>
      <c r="H257" s="53" t="s">
        <v>165</v>
      </c>
      <c r="I257" s="53" t="s">
        <v>166</v>
      </c>
      <c r="J257" s="53" t="s">
        <v>167</v>
      </c>
      <c r="K257" s="53" t="s">
        <v>168</v>
      </c>
      <c r="L257" s="53" t="s">
        <v>169</v>
      </c>
      <c r="M257" s="53" t="s">
        <v>221</v>
      </c>
      <c r="N257" s="63" t="n"/>
      <c r="P257" s="116" t="s">
        <v>1292</v>
      </c>
      <c r="Q257" s="3252" t="s"/>
      <c r="R257" s="3253" t="s"/>
      <c r="S257" s="3254" t="s"/>
      <c r="T257" s="103" t="s">
        <v>1293</v>
      </c>
      <c r="U257" s="3255" t="s"/>
      <c r="V257" s="3256" t="s"/>
      <c r="W257" s="3257" t="s"/>
      <c r="X257" s="103" t="s">
        <v>1294</v>
      </c>
      <c r="Y257" s="3258" t="s"/>
      <c r="Z257" s="3259" t="s"/>
      <c r="AA257" s="3260" t="s"/>
      <c r="AB257" s="103" t="s">
        <v>1295</v>
      </c>
      <c r="AC257" s="3261" t="s"/>
      <c r="AD257" s="3262" t="s"/>
      <c r="AE257" s="3263" t="s"/>
      <c r="AF257" s="103" t="s">
        <v>1296</v>
      </c>
      <c r="AG257" s="3264" t="s"/>
      <c r="AH257" s="3265" t="s"/>
      <c r="AI257" s="3266" t="s"/>
      <c r="AJ257" s="116" t="s">
        <v>1297</v>
      </c>
      <c r="AK257" s="3267" t="s"/>
    </row>
    <row hidden="false" ht="15.75" outlineLevel="0" r="258">
      <c r="C258" s="98" t="s">
        <v>176</v>
      </c>
      <c r="D258" s="122" t="s">
        <v>177</v>
      </c>
      <c r="E258" s="123" t="s">
        <v>693</v>
      </c>
      <c r="F258" s="123" t="s">
        <v>342</v>
      </c>
      <c r="G258" s="124" t="s">
        <v>1298</v>
      </c>
      <c r="H258" s="1819" t="n">
        <f aca="false" ca="false" dt2D="false" dtr="false" ref="H258:H258" t="array">MID(INDEX($A$3:$A$70, IF(ISNA(MATCH("720G4GE*", $A$3:$A$70, 0))=TRUE, MATCH("7200414*", $A$3:$A$70, 0), MATCH("720G4GE*", $A$3:$A$70, 0))), $AU$8, 2)</f>
        <v>0</v>
      </c>
      <c r="I258" s="1820" t="n">
        <f aca="false" ca="false" dt2D="false" dtr="false" ref="I258:I258" t="array">MID(INDEX($A$3:$A$70, IF(ISNA(MATCH("720G4GE*", $A$3:$A$70, 0))=TRUE, MATCH("7200414*", $A$3:$A$70, 0), MATCH("720G4GE*", $A$3:$A$70, 0))), $AV$8, 2)</f>
        <v>0</v>
      </c>
      <c r="J258" s="164" t="n">
        <f aca="false" ca="false" dt2D="false" dtr="false" ref="J258:J258" t="array">MID(INDEX($A$3:$A$70, IF(ISNA(MATCH("720G4GE*", $A$3:$A$70, 0))=TRUE, MATCH("7200414*", $A$3:$A$70, 0), MATCH("720G4GE*", $A$3:$A$70, 0))), $AW$8, 2)</f>
        <v>0</v>
      </c>
      <c r="K258" s="1820" t="n">
        <f aca="false" ca="false" dt2D="false" dtr="false" ref="K258:K258" t="array">MID(INDEX($A$3:$A$70, IF(ISNA(MATCH("720G4GE*", $A$3:$A$70, 0))=TRUE, MATCH("7200414*", $A$3:$A$70, 0), MATCH("720G4GE*", $A$3:$A$70, 0))), $AX$8, 2)</f>
        <v>0</v>
      </c>
      <c r="L258" s="1821" t="n">
        <f aca="false" ca="false" dt2D="false" dtr="false" ref="L258:L258" t="array">MID(INDEX($A$3:$A$70, IF(ISNA(MATCH("720G4GE*", $A$3:$A$70, 0))=TRUE, MATCH("7200414*", $A$3:$A$70, 0), MATCH("720G4GE*", $A$3:$A$70, 0))), $AY$8, 2)</f>
        <v>0</v>
      </c>
      <c r="M258" s="218" t="str">
        <f aca="false" ca="false" dt2D="false" dtr="false" ref="M258:M258" t="array">MID(INDEX($A$3:$A$70, IF(ISNA(MATCH("720G4GE*", $A$3:$A$70, 0))=TRUE, MATCH("7200414*", $A$3:$A$70, 0), MATCH("720G4GE*", $A$3:$A$70, 0))), $AZ$8, 2)</f>
        <v>3F</v>
      </c>
      <c r="N258" s="63" t="s">
        <v>180</v>
      </c>
      <c r="P258" s="116" t="n"/>
      <c r="Q258" s="3268" t="s"/>
      <c r="R258" s="3269" t="s"/>
      <c r="S258" s="3270" t="s"/>
      <c r="T258" s="129" t="s">
        <v>180</v>
      </c>
      <c r="U258" s="130" t="s">
        <v>181</v>
      </c>
      <c r="V258" s="121" t="s">
        <v>182</v>
      </c>
      <c r="W258" s="131" t="n"/>
      <c r="X258" s="129" t="s">
        <v>180</v>
      </c>
      <c r="Y258" s="130" t="s">
        <v>181</v>
      </c>
      <c r="Z258" s="121" t="s">
        <v>182</v>
      </c>
      <c r="AA258" s="131" t="n"/>
      <c r="AB258" s="129" t="s">
        <v>180</v>
      </c>
      <c r="AC258" s="130" t="s">
        <v>181</v>
      </c>
      <c r="AD258" s="121" t="s">
        <v>182</v>
      </c>
      <c r="AE258" s="131" t="n"/>
      <c r="AF258" s="129" t="s">
        <v>180</v>
      </c>
      <c r="AG258" s="130" t="s">
        <v>181</v>
      </c>
      <c r="AH258" s="121" t="s">
        <v>182</v>
      </c>
      <c r="AI258" s="121" t="n"/>
      <c r="AJ258" s="116" t="s">
        <v>183</v>
      </c>
      <c r="AK258" s="3271" t="s"/>
    </row>
    <row hidden="false" ht="15" outlineLevel="0" r="259">
      <c r="C259" s="98" t="s">
        <v>185</v>
      </c>
      <c r="D259" s="53" t="n">
        <f aca="false" ca="false" dt2D="false" dtr="false" t="normal">HEX2BIN(D258, 8)</f>
        <v>111</v>
      </c>
      <c r="E259" s="53" t="n">
        <f aca="false" ca="false" dt2D="false" dtr="false" t="normal">HEX2BIN(E258, 8)</f>
        <v>100000</v>
      </c>
      <c r="F259" s="53" t="n">
        <f aca="false" ca="false" dt2D="false" dtr="false" t="normal">HEX2BIN(F258, 8)</f>
        <v>100</v>
      </c>
      <c r="G259" s="53" t="n">
        <f aca="false" ca="false" dt2D="false" dtr="false" t="normal">HEX2BIN(G258, 8)</f>
        <v>10100</v>
      </c>
      <c r="H259" s="53" t="n">
        <f aca="false" ca="false" dt2D="false" dtr="false" t="normal">HEX2BIN(H258, 8)</f>
        <v>0</v>
      </c>
      <c r="I259" s="53" t="n">
        <f aca="false" ca="false" dt2D="false" dtr="false" t="normal">HEX2BIN(I258, 8)</f>
        <v>0</v>
      </c>
      <c r="J259" s="53" t="n">
        <f aca="false" ca="false" dt2D="false" dtr="false" t="normal">HEX2BIN(J258, 8)</f>
        <v>0</v>
      </c>
      <c r="K259" s="53" t="n">
        <f aca="false" ca="false" dt2D="false" dtr="false" t="normal">HEX2BIN(K258, 8)</f>
        <v>0</v>
      </c>
      <c r="L259" s="53" t="n">
        <f aca="false" ca="false" dt2D="false" dtr="false" t="normal">HEX2BIN(L258, 8)</f>
        <v>0</v>
      </c>
      <c r="M259" s="53" t="n"/>
      <c r="N259" s="63" t="n"/>
      <c r="P259" s="3272" t="s"/>
      <c r="Q259" s="142" t="s"/>
      <c r="R259" s="142" t="s"/>
      <c r="S259" s="3273" t="s"/>
      <c r="T259" s="136" t="n">
        <f aca="false" ca="false" dt2D="false" dtr="false" t="normal">MID(I259, 1, 1)</f>
        <v>0</v>
      </c>
      <c r="U259" s="137" t="n">
        <f aca="false" ca="false" dt2D="false" dtr="false" t="normal">T259</f>
        <v>0</v>
      </c>
      <c r="V259" s="120" t="s">
        <v>186</v>
      </c>
      <c r="W259" s="139" t="s">
        <v>1299</v>
      </c>
      <c r="X259" s="136" t="n">
        <f aca="false" ca="false" dt2D="false" dtr="false" t="normal">MID(J259, 1, 1)</f>
        <v>0</v>
      </c>
      <c r="Y259" s="137" t="n">
        <f aca="false" ca="false" dt2D="false" dtr="false" t="normal">X259</f>
        <v>0</v>
      </c>
      <c r="Z259" s="120" t="s">
        <v>186</v>
      </c>
      <c r="AA259" s="139" t="s">
        <v>1300</v>
      </c>
      <c r="AB259" s="136" t="n">
        <f aca="false" ca="false" dt2D="false" dtr="false" t="normal">MID(K259, 1, 1)</f>
        <v>0</v>
      </c>
      <c r="AC259" s="137" t="n">
        <f aca="false" ca="false" dt2D="false" dtr="false" t="normal">AB259</f>
        <v>0</v>
      </c>
      <c r="AD259" s="120" t="s">
        <v>186</v>
      </c>
      <c r="AE259" s="139" t="s">
        <v>1301</v>
      </c>
      <c r="AF259" s="136" t="n">
        <f aca="false" ca="false" dt2D="false" dtr="false" t="normal">MID(L259, 1, 1)</f>
        <v>0</v>
      </c>
      <c r="AG259" s="137" t="n">
        <f aca="false" ca="false" dt2D="false" dtr="false" t="normal">AF259</f>
        <v>0</v>
      </c>
      <c r="AH259" s="120" t="s">
        <v>186</v>
      </c>
      <c r="AI259" s="139" t="s">
        <v>1302</v>
      </c>
      <c r="AJ259" s="3274" t="s"/>
      <c r="AK259" s="3275" t="s"/>
    </row>
    <row customHeight="true" hidden="false" ht="15" outlineLevel="0" r="260">
      <c r="C260" s="98" t="s">
        <v>191</v>
      </c>
      <c r="D260" s="53" t="n">
        <f aca="false" ca="false" dt2D="false" dtr="false" t="normal">HEX2DEC(D258)</f>
        <v>7</v>
      </c>
      <c r="E260" s="53" t="n">
        <f aca="false" ca="false" dt2D="false" dtr="false" t="normal">HEX2DEC(E258)</f>
        <v>32</v>
      </c>
      <c r="F260" s="53" t="n">
        <f aca="false" ca="false" dt2D="false" dtr="false" t="normal">HEX2DEC(F258)</f>
        <v>4</v>
      </c>
      <c r="G260" s="53" t="n">
        <f aca="false" ca="false" dt2D="false" dtr="false" t="normal">HEX2DEC(G258)</f>
        <v>20</v>
      </c>
      <c r="H260" s="53" t="n">
        <f aca="false" ca="false" dt2D="false" dtr="false" t="normal">HEX2DEC(H258)</f>
        <v>0</v>
      </c>
      <c r="I260" s="53" t="n">
        <f aca="false" ca="false" dt2D="false" dtr="false" t="normal">HEX2DEC(I258)</f>
        <v>0</v>
      </c>
      <c r="J260" s="53" t="n">
        <f aca="false" ca="false" dt2D="false" dtr="false" t="normal">HEX2DEC(J258)</f>
        <v>0</v>
      </c>
      <c r="K260" s="53" t="n">
        <f aca="false" ca="false" dt2D="false" dtr="false" t="normal">HEX2DEC(K258)</f>
        <v>0</v>
      </c>
      <c r="L260" s="53" t="n">
        <f aca="false" ca="false" dt2D="false" dtr="false" t="normal">HEX2DEC(L258)</f>
        <v>0</v>
      </c>
      <c r="M260" s="53" t="n">
        <f aca="false" ca="false" dt2D="false" dtr="false" t="normal">SUM(D260:L260)</f>
        <v>63</v>
      </c>
      <c r="N260" s="63" t="n"/>
      <c r="P260" s="3276" t="s"/>
      <c r="Q260" s="142" t="s"/>
      <c r="R260" s="142" t="s"/>
      <c r="S260" s="3277" t="s"/>
      <c r="T260" s="136" t="n">
        <f aca="false" ca="false" dt2D="false" dtr="false" t="normal">MID(I259, 2, 1)</f>
        <v>0</v>
      </c>
      <c r="U260" s="137" t="n">
        <f aca="false" ca="false" dt2D="false" dtr="false" t="normal">T260</f>
        <v>0</v>
      </c>
      <c r="V260" s="120" t="s">
        <v>192</v>
      </c>
      <c r="W260" s="140" t="s">
        <v>1303</v>
      </c>
      <c r="X260" s="136" t="n">
        <f aca="false" ca="false" dt2D="false" dtr="false" t="normal">MID(J259, 2, 1)</f>
        <v>0</v>
      </c>
      <c r="Y260" s="137" t="n">
        <f aca="false" ca="false" dt2D="false" dtr="false" t="normal">X260</f>
        <v>0</v>
      </c>
      <c r="Z260" s="120" t="s">
        <v>192</v>
      </c>
      <c r="AA260" s="139" t="s">
        <v>1304</v>
      </c>
      <c r="AB260" s="136" t="n">
        <f aca="false" ca="false" dt2D="false" dtr="false" t="normal">MID(K259, 2, 1)</f>
        <v>0</v>
      </c>
      <c r="AC260" s="137" t="n">
        <f aca="false" ca="false" dt2D="false" dtr="false" t="normal">AB260</f>
        <v>0</v>
      </c>
      <c r="AD260" s="120" t="s">
        <v>192</v>
      </c>
      <c r="AE260" s="139" t="s">
        <v>1305</v>
      </c>
      <c r="AF260" s="136" t="n">
        <f aca="false" ca="false" dt2D="false" dtr="false" t="normal">MID(L259, 2, 1)</f>
        <v>0</v>
      </c>
      <c r="AG260" s="137" t="n">
        <f aca="false" ca="false" dt2D="false" dtr="false" t="normal">AF260</f>
        <v>0</v>
      </c>
      <c r="AH260" s="120" t="s">
        <v>192</v>
      </c>
      <c r="AI260" s="139" t="s">
        <v>1306</v>
      </c>
      <c r="AJ260" s="3278" t="s"/>
      <c r="AK260" s="3279" t="s"/>
    </row>
    <row customHeight="true" hidden="false" ht="15" outlineLevel="0" r="261">
      <c r="C261" s="98" t="s">
        <v>194</v>
      </c>
      <c r="D261" s="149" t="n">
        <f aca="false" ca="false" dt2D="false" dtr="false" t="normal">D258</f>
        <v>7</v>
      </c>
      <c r="E261" s="149" t="n">
        <f aca="false" ca="false" dt2D="false" dtr="false" t="normal">E258</f>
        <v>20</v>
      </c>
      <c r="F261" s="53" t="str">
        <f aca="false" ca="false" dt2D="false" dtr="false" t="normal">MID(INDEX($A$3:$A$70, IF(ISNA(MATCH("720G4GE*", $A$3:$A$70, 0))=TRUE, MATCH("7200414*", $A$3:$A$70, 0), MATCH("720G4GE*", $A$3:$A$70, 0))), $AS$8, 2)</f>
        <v>G4</v>
      </c>
      <c r="G261" s="53" t="str">
        <f aca="false" ca="false" dt2D="false" dtr="false" t="normal">MID(INDEX($A$3:$A$70, IF(ISNA(MATCH("720G4GE*", $A$3:$A$70, 0))=TRUE, MATCH("7200414*", $A$3:$A$70, 0), MATCH("720G4GE*", $A$3:$A$70, 0))), $AT$8, 2)</f>
        <v>GE</v>
      </c>
      <c r="N261" s="63" t="n"/>
      <c r="P261" s="3280" t="s"/>
      <c r="Q261" s="142" t="s"/>
      <c r="R261" s="142" t="s"/>
      <c r="S261" s="3281" t="s"/>
      <c r="T261" s="136" t="n">
        <f aca="false" ca="false" dt2D="false" dtr="false" t="normal">MID(I259, 3, 1)</f>
        <v>0</v>
      </c>
      <c r="U261" s="137" t="n">
        <f aca="false" ca="false" dt2D="false" dtr="false" t="normal">T261</f>
        <v>0</v>
      </c>
      <c r="V261" s="120" t="s">
        <v>195</v>
      </c>
      <c r="W261" s="3282" t="s"/>
      <c r="X261" s="136" t="n">
        <f aca="false" ca="false" dt2D="false" dtr="false" t="normal">MID(J259, 3, 1)</f>
        <v>0</v>
      </c>
      <c r="Y261" s="137" t="n">
        <f aca="false" ca="false" dt2D="false" dtr="false" t="normal">X261</f>
        <v>0</v>
      </c>
      <c r="Z261" s="120" t="s">
        <v>195</v>
      </c>
      <c r="AA261" s="139" t="s">
        <v>1307</v>
      </c>
      <c r="AB261" s="136" t="n">
        <f aca="false" ca="false" dt2D="false" dtr="false" t="normal">MID(K259, 3, 1)</f>
        <v>0</v>
      </c>
      <c r="AC261" s="137" t="n">
        <f aca="false" ca="false" dt2D="false" dtr="false" t="normal">AB261</f>
        <v>0</v>
      </c>
      <c r="AD261" s="120" t="s">
        <v>195</v>
      </c>
      <c r="AE261" s="139" t="s">
        <v>1308</v>
      </c>
      <c r="AF261" s="136" t="n">
        <f aca="false" ca="false" dt2D="false" dtr="false" t="normal">MID(L259, 3, 1)</f>
        <v>0</v>
      </c>
      <c r="AG261" s="137" t="n">
        <f aca="false" ca="false" dt2D="false" dtr="false" t="normal">AF261</f>
        <v>0</v>
      </c>
      <c r="AH261" s="120" t="s">
        <v>195</v>
      </c>
      <c r="AI261" s="280" t="s">
        <v>1309</v>
      </c>
      <c r="AJ261" s="3283" t="s"/>
      <c r="AK261" s="3284" t="s"/>
    </row>
    <row hidden="false" ht="15.75" outlineLevel="0" r="262">
      <c r="C262" s="98" t="n"/>
      <c r="N262" s="63" t="n"/>
      <c r="P262" s="3285" t="s"/>
      <c r="Q262" s="142" t="s"/>
      <c r="R262" s="142" t="s"/>
      <c r="S262" s="3286" t="s"/>
      <c r="T262" s="136" t="n">
        <f aca="false" ca="false" dt2D="false" dtr="false" t="normal">MID(I259, 4, 1)</f>
        <v>0</v>
      </c>
      <c r="U262" s="137" t="n">
        <f aca="false" ca="false" dt2D="false" dtr="false" t="normal">T262</f>
        <v>0</v>
      </c>
      <c r="V262" s="120" t="s">
        <v>197</v>
      </c>
      <c r="W262" s="3287" t="s"/>
      <c r="X262" s="136" t="n">
        <f aca="false" ca="false" dt2D="false" dtr="false" t="normal">MID(J259, 4, 1)</f>
        <v>0</v>
      </c>
      <c r="Y262" s="137" t="n">
        <f aca="false" ca="false" dt2D="false" dtr="false" t="normal">X262</f>
        <v>0</v>
      </c>
      <c r="Z262" s="120" t="s">
        <v>197</v>
      </c>
      <c r="AA262" s="139" t="s">
        <v>1310</v>
      </c>
      <c r="AB262" s="136" t="n">
        <f aca="false" ca="false" dt2D="false" dtr="false" t="normal">MID(K259, 4, 1)</f>
        <v>0</v>
      </c>
      <c r="AC262" s="137" t="n">
        <f aca="false" ca="false" dt2D="false" dtr="false" t="normal">AB262</f>
        <v>0</v>
      </c>
      <c r="AD262" s="120" t="s">
        <v>197</v>
      </c>
      <c r="AE262" s="139" t="s">
        <v>1311</v>
      </c>
      <c r="AF262" s="136" t="n">
        <f aca="false" ca="false" dt2D="false" dtr="false" t="normal">MID(L259, 4, 1)</f>
        <v>0</v>
      </c>
      <c r="AG262" s="137" t="n">
        <f aca="false" ca="false" dt2D="false" dtr="false" t="normal">AF262</f>
        <v>0</v>
      </c>
      <c r="AH262" s="120" t="s">
        <v>197</v>
      </c>
      <c r="AI262" s="280" t="s">
        <v>1312</v>
      </c>
      <c r="AJ262" s="3288" t="s"/>
      <c r="AK262" s="3289" t="s"/>
    </row>
    <row customHeight="true" hidden="false" ht="15.75" outlineLevel="0" r="263">
      <c r="C263" s="98" t="s">
        <v>176</v>
      </c>
      <c r="D263" s="159" t="n">
        <f aca="false" ca="false" dt2D="false" dtr="false" t="normal">D258</f>
        <v>7</v>
      </c>
      <c r="E263" s="160" t="n">
        <f aca="false" ca="false" dt2D="false" dtr="false" t="normal">E258</f>
        <v>20</v>
      </c>
      <c r="F263" s="160" t="n">
        <f aca="false" ca="false" dt2D="false" dtr="false" t="normal">F258</f>
        <v>4</v>
      </c>
      <c r="G263" s="161" t="n">
        <f aca="false" ca="false" dt2D="false" dtr="false" t="normal">G258</f>
        <v>14</v>
      </c>
      <c r="H263" s="2540" t="n">
        <f aca="false" ca="false" dt2D="false" dtr="false" t="normal">H258</f>
        <v>0</v>
      </c>
      <c r="I263" s="163" t="n">
        <f aca="false" ca="false" dt2D="false" dtr="false" t="normal">BIN2HEX(I264, 2)</f>
        <v>0</v>
      </c>
      <c r="J263" s="164" t="n">
        <f aca="false" ca="false" dt2D="false" dtr="false" t="normal">BIN2HEX(J264, 2)</f>
        <v>0</v>
      </c>
      <c r="K263" s="165" t="n">
        <f aca="false" ca="false" dt2D="false" dtr="false" t="normal">BIN2HEX(K264, 2)</f>
        <v>0</v>
      </c>
      <c r="L263" s="288" t="n">
        <f aca="false" ca="false" dt2D="false" dtr="false" t="normal">BIN2HEX(L264, 2)</f>
        <v>0</v>
      </c>
      <c r="M263" s="166" t="str">
        <f aca="false" ca="false" dt2D="false" dtr="false" t="normal">IF(LEN(M264)&gt;2, MID(M264, 2, 2), M264)</f>
        <v>3F</v>
      </c>
      <c r="N263" s="63" t="s">
        <v>181</v>
      </c>
      <c r="P263" s="3290" t="s"/>
      <c r="Q263" s="142" t="s"/>
      <c r="R263" s="142" t="s"/>
      <c r="S263" s="3291" t="s"/>
      <c r="T263" s="136" t="n">
        <f aca="false" ca="false" dt2D="false" dtr="false" t="normal">MID(I259, 5, 1)</f>
        <v>0</v>
      </c>
      <c r="U263" s="137" t="n">
        <f aca="false" ca="false" dt2D="false" dtr="false" t="normal">T263</f>
        <v>0</v>
      </c>
      <c r="V263" s="120" t="s">
        <v>200</v>
      </c>
      <c r="W263" s="139" t="s">
        <v>1313</v>
      </c>
      <c r="X263" s="136" t="n">
        <f aca="false" ca="false" dt2D="false" dtr="false" t="normal">MID(J259, 5, 1)</f>
        <v>0</v>
      </c>
      <c r="Y263" s="137" t="n">
        <f aca="false" ca="false" dt2D="false" dtr="false" t="normal">X263</f>
        <v>0</v>
      </c>
      <c r="Z263" s="120" t="s">
        <v>200</v>
      </c>
      <c r="AA263" s="139" t="s">
        <v>1314</v>
      </c>
      <c r="AB263" s="136" t="n">
        <f aca="false" ca="false" dt2D="false" dtr="false" t="normal">MID(K259, 5, 1)</f>
        <v>0</v>
      </c>
      <c r="AC263" s="137" t="n">
        <f aca="false" ca="false" dt2D="false" dtr="false" t="normal">AB263</f>
        <v>0</v>
      </c>
      <c r="AD263" s="120" t="s">
        <v>200</v>
      </c>
      <c r="AE263" s="139" t="s">
        <v>1315</v>
      </c>
      <c r="AF263" s="136" t="n">
        <f aca="false" ca="false" dt2D="false" dtr="false" t="normal">MID(L259, 5, 1)</f>
        <v>0</v>
      </c>
      <c r="AG263" s="137" t="n">
        <f aca="false" ca="false" dt2D="false" dtr="false" t="normal">AF263</f>
        <v>0</v>
      </c>
      <c r="AH263" s="120" t="s">
        <v>200</v>
      </c>
      <c r="AI263" s="1194" t="s">
        <v>1316</v>
      </c>
      <c r="AJ263" s="3292" t="s"/>
      <c r="AK263" s="3293" t="s"/>
    </row>
    <row hidden="false" ht="15" outlineLevel="0" r="264">
      <c r="C264" s="98" t="s">
        <v>185</v>
      </c>
      <c r="D264" s="53" t="n">
        <f aca="false" ca="false" dt2D="false" dtr="false" t="normal">HEX2BIN(D263, 8)</f>
        <v>111</v>
      </c>
      <c r="E264" s="53" t="n">
        <f aca="false" ca="false" dt2D="false" dtr="false" t="normal">HEX2BIN(E263, 8)</f>
        <v>100000</v>
      </c>
      <c r="F264" s="53" t="n">
        <f aca="false" ca="false" dt2D="false" dtr="false" t="normal">HEX2BIN(F263, 8)</f>
        <v>100</v>
      </c>
      <c r="G264" s="53" t="n">
        <f aca="false" ca="false" dt2D="false" dtr="false" t="normal">HEX2BIN(G263, 8)</f>
        <v>10100</v>
      </c>
      <c r="H264" s="171" t="n"/>
      <c r="I264" s="53" t="n">
        <f aca="false" ca="false" dt2D="false" dtr="false" t="normal">U259&amp;U260&amp;U261&amp;U262&amp;U263&amp;U264&amp;U265&amp;U266</f>
        <v>0</v>
      </c>
      <c r="J264" s="171" t="n">
        <f aca="false" ca="false" dt2D="false" dtr="false" t="normal">Y259&amp;Y260&amp;Y261&amp;Y262&amp;Y263&amp;Y264&amp;Y265&amp;Y266</f>
        <v>0</v>
      </c>
      <c r="K264" s="171" t="n">
        <f aca="false" ca="false" dt2D="false" dtr="false" t="normal">AC259&amp;AC260&amp;AC261&amp;AC262&amp;AC263&amp;AC264&amp;AC265&amp;AC266</f>
        <v>0</v>
      </c>
      <c r="L264" s="53" t="n">
        <f aca="false" ca="false" dt2D="false" dtr="false" t="normal">AG259&amp;AG260&amp;AG261&amp;AG262&amp;AG263&amp;AG264&amp;AG265&amp;AG266</f>
        <v>0</v>
      </c>
      <c r="M264" s="53" t="str">
        <f aca="false" ca="false" dt2D="false" dtr="false" t="normal">DEC2HEX(M265)</f>
        <v>3F</v>
      </c>
      <c r="N264" s="63" t="n"/>
      <c r="P264" s="3294" t="s"/>
      <c r="Q264" s="142" t="s"/>
      <c r="R264" s="142" t="s"/>
      <c r="S264" s="3295" t="s"/>
      <c r="T264" s="136" t="n">
        <f aca="false" ca="false" dt2D="false" dtr="false" t="normal">MID(I259, 6, 1)</f>
        <v>0</v>
      </c>
      <c r="U264" s="137" t="n">
        <f aca="false" ca="false" dt2D="false" dtr="false" t="normal">T264</f>
        <v>0</v>
      </c>
      <c r="V264" s="120" t="s">
        <v>203</v>
      </c>
      <c r="W264" s="139" t="s">
        <v>1317</v>
      </c>
      <c r="X264" s="136" t="n">
        <f aca="false" ca="false" dt2D="false" dtr="false" t="normal">MID(J259, 6, 1)</f>
        <v>0</v>
      </c>
      <c r="Y264" s="137" t="n">
        <f aca="false" ca="false" dt2D="false" dtr="false" t="normal">X264</f>
        <v>0</v>
      </c>
      <c r="Z264" s="120" t="s">
        <v>203</v>
      </c>
      <c r="AA264" s="139" t="s">
        <v>1318</v>
      </c>
      <c r="AB264" s="136" t="n">
        <f aca="false" ca="false" dt2D="false" dtr="false" t="normal">MID(K259, 6, 1)</f>
        <v>0</v>
      </c>
      <c r="AC264" s="137" t="n">
        <f aca="false" ca="false" dt2D="false" dtr="false" t="normal">AB264</f>
        <v>0</v>
      </c>
      <c r="AD264" s="120" t="s">
        <v>203</v>
      </c>
      <c r="AE264" s="139" t="s">
        <v>1319</v>
      </c>
      <c r="AF264" s="136" t="n">
        <f aca="false" ca="false" dt2D="false" dtr="false" t="normal">MID(L259, 6, 1)</f>
        <v>0</v>
      </c>
      <c r="AG264" s="137" t="n">
        <f aca="false" ca="false" dt2D="false" dtr="false" t="normal">AF264</f>
        <v>0</v>
      </c>
      <c r="AH264" s="120" t="s">
        <v>203</v>
      </c>
      <c r="AI264" s="139" t="s">
        <v>1320</v>
      </c>
      <c r="AJ264" s="3296" t="s"/>
      <c r="AK264" s="3297" t="s"/>
    </row>
    <row customHeight="true" hidden="false" ht="15" outlineLevel="0" r="265">
      <c r="C265" s="98" t="s">
        <v>191</v>
      </c>
      <c r="D265" s="53" t="n">
        <f aca="false" ca="false" dt2D="false" dtr="false" t="normal">HEX2DEC(D263)</f>
        <v>7</v>
      </c>
      <c r="E265" s="53" t="n">
        <f aca="false" ca="false" dt2D="false" dtr="false" t="normal">HEX2DEC(E263)</f>
        <v>32</v>
      </c>
      <c r="F265" s="53" t="n">
        <f aca="false" ca="false" dt2D="false" dtr="false" t="normal">HEX2DEC(F263)</f>
        <v>4</v>
      </c>
      <c r="G265" s="53" t="n">
        <f aca="false" ca="false" dt2D="false" dtr="false" t="normal">HEX2DEC(G263)</f>
        <v>20</v>
      </c>
      <c r="H265" s="53" t="n">
        <f aca="false" ca="false" dt2D="false" dtr="false" t="normal">HEX2DEC(H263)</f>
        <v>0</v>
      </c>
      <c r="I265" s="53" t="n">
        <f aca="false" ca="false" dt2D="false" dtr="false" t="normal">HEX2DEC(I263)</f>
        <v>0</v>
      </c>
      <c r="J265" s="53" t="n">
        <f aca="false" ca="false" dt2D="false" dtr="false" t="normal">HEX2DEC(J263)</f>
        <v>0</v>
      </c>
      <c r="K265" s="53" t="n">
        <f aca="false" ca="false" dt2D="false" dtr="false" t="normal">HEX2DEC(K263)</f>
        <v>0</v>
      </c>
      <c r="L265" s="53" t="n">
        <f aca="false" ca="false" dt2D="false" dtr="false" t="normal">HEX2DEC(L263)</f>
        <v>0</v>
      </c>
      <c r="M265" s="53" t="n">
        <f aca="false" ca="false" dt2D="false" dtr="false" t="normal">SUM(D265:L265)</f>
        <v>63</v>
      </c>
      <c r="N265" s="63" t="n"/>
      <c r="P265" s="3298" t="s"/>
      <c r="Q265" s="142" t="s"/>
      <c r="R265" s="142" t="s"/>
      <c r="S265" s="3299" t="s"/>
      <c r="T265" s="136" t="n">
        <f aca="false" ca="false" dt2D="false" dtr="false" t="normal">MID(I259, 7, 1)</f>
        <v>0</v>
      </c>
      <c r="U265" s="137" t="n">
        <f aca="false" ca="false" dt2D="false" dtr="false" t="normal">T265</f>
        <v>0</v>
      </c>
      <c r="V265" s="120" t="s">
        <v>206</v>
      </c>
      <c r="W265" s="139" t="s">
        <v>1321</v>
      </c>
      <c r="X265" s="136" t="n">
        <f aca="false" ca="false" dt2D="false" dtr="false" t="normal">MID(J259, 7, 1)</f>
        <v>0</v>
      </c>
      <c r="Y265" s="137" t="n">
        <f aca="false" ca="false" dt2D="false" dtr="false" t="normal">X265</f>
        <v>0</v>
      </c>
      <c r="Z265" s="120" t="s">
        <v>206</v>
      </c>
      <c r="AA265" s="139" t="s">
        <v>1322</v>
      </c>
      <c r="AB265" s="136" t="n">
        <f aca="false" ca="false" dt2D="false" dtr="false" t="normal">MID(K259, 7, 1)</f>
        <v>0</v>
      </c>
      <c r="AC265" s="137" t="n">
        <f aca="false" ca="false" dt2D="false" dtr="false" t="normal">AB265</f>
        <v>0</v>
      </c>
      <c r="AD265" s="120" t="s">
        <v>206</v>
      </c>
      <c r="AE265" s="654" t="s">
        <v>1323</v>
      </c>
      <c r="AF265" s="136" t="n">
        <f aca="false" ca="false" dt2D="false" dtr="false" t="normal">MID(L259, 7, 1)</f>
        <v>0</v>
      </c>
      <c r="AG265" s="137" t="n">
        <f aca="false" ca="false" dt2D="false" dtr="false" t="normal">AF265</f>
        <v>0</v>
      </c>
      <c r="AH265" s="120" t="s">
        <v>206</v>
      </c>
      <c r="AI265" s="139" t="s">
        <v>1324</v>
      </c>
      <c r="AJ265" s="3300" t="s"/>
      <c r="AK265" s="3301" t="s"/>
    </row>
    <row hidden="false" ht="15.75" outlineLevel="0" r="266">
      <c r="C266" s="180" t="s">
        <v>194</v>
      </c>
      <c r="D266" s="299" t="n">
        <f aca="false" ca="false" dt2D="false" dtr="false" t="normal">D261</f>
        <v>7</v>
      </c>
      <c r="E266" s="299" t="n">
        <f aca="false" ca="false" dt2D="false" dtr="false" t="normal">E261</f>
        <v>20</v>
      </c>
      <c r="F266" s="299" t="str">
        <f aca="false" ca="false" dt2D="false" dtr="false" t="normal">F261</f>
        <v>G4</v>
      </c>
      <c r="G266" s="299" t="str">
        <f aca="false" ca="false" dt2D="false" dtr="false" t="normal">G261</f>
        <v>GE</v>
      </c>
      <c r="H266" s="45" t="n"/>
      <c r="I266" s="45" t="n"/>
      <c r="J266" s="45" t="n"/>
      <c r="K266" s="45" t="n"/>
      <c r="L266" s="45" t="n"/>
      <c r="M266" s="45" t="n"/>
      <c r="N266" s="49" t="n"/>
      <c r="P266" s="3302" t="s"/>
      <c r="Q266" s="3303" t="s"/>
      <c r="R266" s="3304" t="s"/>
      <c r="S266" s="3305" t="s"/>
      <c r="T266" s="182" t="n">
        <f aca="false" ca="false" dt2D="false" dtr="false" t="normal">MID(I259, 8, 1)</f>
        <v>0</v>
      </c>
      <c r="U266" s="183" t="n">
        <f aca="false" ca="false" dt2D="false" dtr="false" t="normal">T266</f>
        <v>0</v>
      </c>
      <c r="V266" s="184" t="s">
        <v>208</v>
      </c>
      <c r="W266" s="187" t="s">
        <v>1325</v>
      </c>
      <c r="X266" s="182" t="n">
        <f aca="false" ca="false" dt2D="false" dtr="false" t="normal">MID(J259, 8, 1)</f>
        <v>0</v>
      </c>
      <c r="Y266" s="183" t="n">
        <f aca="false" ca="false" dt2D="false" dtr="false" t="normal">X266</f>
        <v>0</v>
      </c>
      <c r="Z266" s="184" t="s">
        <v>208</v>
      </c>
      <c r="AA266" s="187" t="s">
        <v>1326</v>
      </c>
      <c r="AB266" s="182" t="n">
        <f aca="false" ca="false" dt2D="false" dtr="false" t="normal">MID(K259, 8, 1)</f>
        <v>0</v>
      </c>
      <c r="AC266" s="183" t="n">
        <f aca="false" ca="false" dt2D="false" dtr="false" t="normal">AB266</f>
        <v>0</v>
      </c>
      <c r="AD266" s="184" t="s">
        <v>208</v>
      </c>
      <c r="AE266" s="3306" t="s"/>
      <c r="AF266" s="182" t="n">
        <f aca="false" ca="false" dt2D="false" dtr="false" t="normal">MID(L259, 8, 1)</f>
        <v>0</v>
      </c>
      <c r="AG266" s="183" t="n">
        <f aca="false" ca="false" dt2D="false" dtr="false" t="normal">AF266</f>
        <v>0</v>
      </c>
      <c r="AH266" s="184" t="s">
        <v>208</v>
      </c>
      <c r="AI266" s="187" t="s">
        <v>1327</v>
      </c>
      <c r="AJ266" s="3307" t="s"/>
      <c r="AK266" s="3308" t="s"/>
    </row>
    <row hidden="false" ht="15.75" outlineLevel="0" r="267">
      <c r="C267" s="93" t="n"/>
      <c r="D267" s="94" t="n"/>
      <c r="E267" s="94" t="n"/>
      <c r="F267" s="94" t="n"/>
      <c r="G267" s="94" t="n"/>
      <c r="H267" s="94" t="n"/>
      <c r="I267" s="94" t="n"/>
      <c r="J267" s="94" t="n"/>
      <c r="K267" s="94" t="n"/>
      <c r="L267" s="94" t="n"/>
      <c r="M267" s="94" t="s">
        <v>161</v>
      </c>
      <c r="N267" s="60" t="n"/>
      <c r="P267" s="95" t="str">
        <f aca="false" ca="false" dt2D="false" dtr="false" t="normal">RIGHT(D269, 1)&amp;E269&amp;"-"&amp;F269&amp;"-"&amp;G269</f>
        <v>720-04-15</v>
      </c>
      <c r="Q267" s="3309" t="s"/>
      <c r="R267" s="234" t="s">
        <v>1328</v>
      </c>
      <c r="S267" s="3310" t="s"/>
      <c r="T267" s="3311" t="s"/>
      <c r="U267" s="3312" t="s"/>
      <c r="V267" s="3313" t="s"/>
      <c r="W267" s="3314" t="s"/>
      <c r="X267" s="3315" t="s"/>
      <c r="Y267" s="3316" t="s"/>
      <c r="Z267" s="3317" t="s"/>
      <c r="AA267" s="3318" t="s"/>
      <c r="AB267" s="3319" t="s"/>
      <c r="AC267" s="3320" t="s"/>
      <c r="AD267" s="3321" t="s"/>
      <c r="AE267" s="3322" t="s"/>
      <c r="AF267" s="3323" t="s"/>
      <c r="AG267" s="3324" t="s"/>
      <c r="AH267" s="3325" t="s"/>
      <c r="AI267" s="3326" t="s"/>
      <c r="AJ267" s="3327" t="s"/>
      <c r="AK267" s="3328" t="s"/>
    </row>
    <row hidden="false" ht="15.75" outlineLevel="0" r="268">
      <c r="C268" s="98" t="n"/>
      <c r="D268" s="99" t="s">
        <v>1329</v>
      </c>
      <c r="E268" s="3329" t="s"/>
      <c r="F268" s="3330" t="s"/>
      <c r="G268" s="3331" t="s"/>
      <c r="H268" s="53" t="s">
        <v>165</v>
      </c>
      <c r="I268" s="53" t="s">
        <v>166</v>
      </c>
      <c r="J268" s="53" t="s">
        <v>167</v>
      </c>
      <c r="K268" s="53" t="s">
        <v>168</v>
      </c>
      <c r="L268" s="53" t="s">
        <v>169</v>
      </c>
      <c r="M268" s="53" t="s">
        <v>221</v>
      </c>
      <c r="N268" s="63" t="n"/>
      <c r="P268" s="103" t="s">
        <v>1330</v>
      </c>
      <c r="Q268" s="3332" t="s"/>
      <c r="R268" s="3333" t="s"/>
      <c r="S268" s="3334" t="s"/>
      <c r="T268" s="103" t="s">
        <v>1331</v>
      </c>
      <c r="U268" s="3335" t="s"/>
      <c r="V268" s="3336" t="s"/>
      <c r="W268" s="3337" t="s"/>
      <c r="X268" s="116" t="s">
        <v>1332</v>
      </c>
      <c r="Y268" s="3338" t="s"/>
      <c r="Z268" s="3339" t="s"/>
      <c r="AA268" s="3340" t="s"/>
      <c r="AB268" s="116" t="s">
        <v>1333</v>
      </c>
      <c r="AC268" s="3341" t="s"/>
      <c r="AD268" s="3342" t="s"/>
      <c r="AE268" s="3343" t="s"/>
      <c r="AF268" s="103" t="s">
        <v>1334</v>
      </c>
      <c r="AG268" s="3344" t="s"/>
      <c r="AH268" s="3345" t="s"/>
      <c r="AI268" s="3346" t="s"/>
      <c r="AJ268" s="116" t="s">
        <v>1335</v>
      </c>
      <c r="AK268" s="3347" t="s"/>
    </row>
    <row hidden="false" ht="15.75" outlineLevel="0" r="269">
      <c r="C269" s="98" t="s">
        <v>176</v>
      </c>
      <c r="D269" s="122" t="s">
        <v>177</v>
      </c>
      <c r="E269" s="123" t="s">
        <v>693</v>
      </c>
      <c r="F269" s="123" t="s">
        <v>342</v>
      </c>
      <c r="G269" s="124" t="s">
        <v>1336</v>
      </c>
      <c r="H269" s="164" t="n">
        <f aca="false" ca="false" dt2D="false" dtr="false" ref="H269:H269" t="array">MID(INDEX($A$3:$A$70, IF(ISNA(MATCH("720G4GF*", $A$3:$A$70, 0))=TRUE, MATCH("7200415*", $A$3:$A$70, 0), MATCH("720G4GF*", $A$3:$A$70, 0))), $AU$8, 2)</f>
        <v>0</v>
      </c>
      <c r="I269" s="1820" t="n">
        <f aca="false" ca="false" dt2D="false" dtr="false" ref="I269:I269" t="array">MID(INDEX($A$3:$A$70, IF(ISNA(MATCH("720G4GF*", $A$3:$A$70, 0))=TRUE, MATCH("7200415*", $A$3:$A$70, 0), MATCH("720G4GF*", $A$3:$A$70, 0))), $AV$8, 2)</f>
        <v>0</v>
      </c>
      <c r="J269" s="1820" t="n">
        <f aca="false" ca="false" dt2D="false" dtr="false" ref="J269:J269" t="array">MID(INDEX($A$3:$A$70, IF(ISNA(MATCH("720G4GF*", $A$3:$A$70, 0))=TRUE, MATCH("7200415*", $A$3:$A$70, 0), MATCH("720G4GF*", $A$3:$A$70, 0))), $AW$8, 2)</f>
        <v>0</v>
      </c>
      <c r="K269" s="1821" t="n">
        <f aca="false" ca="false" dt2D="false" dtr="false" ref="K269:K269" t="array">MID(INDEX($A$3:$A$70, IF(ISNA(MATCH("720G4GF*", $A$3:$A$70, 0))=TRUE, MATCH("7200415*", $A$3:$A$70, 0), MATCH("720G4GF*", $A$3:$A$70, 0))), $AX$8, 2)</f>
        <v>0</v>
      </c>
      <c r="L269" s="1821" t="n">
        <f aca="false" ca="false" dt2D="false" dtr="false" ref="L269:L269" t="array">MID(INDEX($A$3:$A$70, IF(ISNA(MATCH("720G4GF*", $A$3:$A$70, 0))=TRUE, MATCH("7200415*", $A$3:$A$70, 0), MATCH("720G4GF*", $A$3:$A$70, 0))), $AY$8, 2)</f>
        <v>0</v>
      </c>
      <c r="M269" s="218" t="n">
        <f aca="false" ca="false" dt2D="false" dtr="false" ref="M269:M269" t="array">MID(INDEX($A$3:$A$70, IF(ISNA(MATCH("720G4GF*", $A$3:$A$70, 0))=TRUE, MATCH("7200415*", $A$3:$A$70, 0), MATCH("720G4GF*", $A$3:$A$70, 0))), $AZ$8, 2)</f>
        <v>40</v>
      </c>
      <c r="N269" s="63" t="s">
        <v>180</v>
      </c>
      <c r="P269" s="129" t="s">
        <v>180</v>
      </c>
      <c r="Q269" s="130" t="s">
        <v>181</v>
      </c>
      <c r="R269" s="121" t="s">
        <v>182</v>
      </c>
      <c r="S269" s="131" t="n"/>
      <c r="T269" s="129" t="s">
        <v>180</v>
      </c>
      <c r="U269" s="130" t="s">
        <v>181</v>
      </c>
      <c r="V269" s="121" t="s">
        <v>182</v>
      </c>
      <c r="W269" s="131" t="n"/>
      <c r="X269" s="116" t="n"/>
      <c r="Y269" s="3348" t="s"/>
      <c r="Z269" s="3349" t="s"/>
      <c r="AA269" s="3350" t="s"/>
      <c r="AB269" s="116" t="n"/>
      <c r="AC269" s="3351" t="s"/>
      <c r="AD269" s="3352" t="s"/>
      <c r="AE269" s="3353" t="s"/>
      <c r="AF269" s="129" t="s">
        <v>180</v>
      </c>
      <c r="AG269" s="130" t="s">
        <v>181</v>
      </c>
      <c r="AH269" s="121" t="s">
        <v>182</v>
      </c>
      <c r="AI269" s="121" t="n"/>
      <c r="AJ269" s="116" t="s">
        <v>183</v>
      </c>
      <c r="AK269" s="3354" t="s"/>
    </row>
    <row hidden="false" ht="15" outlineLevel="0" r="270">
      <c r="C270" s="98" t="s">
        <v>185</v>
      </c>
      <c r="D270" s="53" t="n">
        <f aca="false" ca="false" dt2D="false" dtr="false" t="normal">HEX2BIN(D269, 8)</f>
        <v>111</v>
      </c>
      <c r="E270" s="53" t="n">
        <f aca="false" ca="false" dt2D="false" dtr="false" t="normal">HEX2BIN(E269, 8)</f>
        <v>100000</v>
      </c>
      <c r="F270" s="53" t="n">
        <f aca="false" ca="false" dt2D="false" dtr="false" t="normal">HEX2BIN(F269, 8)</f>
        <v>100</v>
      </c>
      <c r="G270" s="53" t="n">
        <f aca="false" ca="false" dt2D="false" dtr="false" t="normal">HEX2BIN(G269, 8)</f>
        <v>10101</v>
      </c>
      <c r="H270" s="53" t="n">
        <f aca="false" ca="false" dt2D="false" dtr="false" t="normal">HEX2BIN(H269, 8)</f>
        <v>0</v>
      </c>
      <c r="I270" s="53" t="n">
        <f aca="false" ca="false" dt2D="false" dtr="false" t="normal">HEX2BIN(I269, 8)</f>
        <v>0</v>
      </c>
      <c r="J270" s="53" t="n">
        <f aca="false" ca="false" dt2D="false" dtr="false" t="normal">HEX2BIN(J269, 8)</f>
        <v>0</v>
      </c>
      <c r="K270" s="53" t="n">
        <f aca="false" ca="false" dt2D="false" dtr="false" t="normal">HEX2BIN(K269, 8)</f>
        <v>0</v>
      </c>
      <c r="L270" s="53" t="n">
        <f aca="false" ca="false" dt2D="false" dtr="false" t="normal">HEX2BIN(L269, 8)</f>
        <v>0</v>
      </c>
      <c r="N270" s="63" t="n"/>
      <c r="P270" s="136" t="n">
        <f aca="false" ca="false" dt2D="false" dtr="false" t="normal">MID(H270, 1, 1)</f>
        <v>0</v>
      </c>
      <c r="Q270" s="137" t="n">
        <f aca="false" ca="false" dt2D="false" dtr="false" t="normal">P270</f>
        <v>0</v>
      </c>
      <c r="R270" s="120" t="s">
        <v>186</v>
      </c>
      <c r="S270" s="139" t="s">
        <v>1337</v>
      </c>
      <c r="T270" s="136" t="n">
        <f aca="false" ca="false" dt2D="false" dtr="false" t="normal">MID(I270, 1, 1)</f>
        <v>0</v>
      </c>
      <c r="U270" s="137" t="n">
        <f aca="false" ca="false" dt2D="false" dtr="false" t="normal">T270</f>
        <v>0</v>
      </c>
      <c r="V270" s="120" t="s">
        <v>186</v>
      </c>
      <c r="W270" s="139" t="s">
        <v>1338</v>
      </c>
      <c r="X270" s="3355" t="s"/>
      <c r="Y270" s="142" t="s"/>
      <c r="Z270" s="142" t="s"/>
      <c r="AA270" s="3356" t="s"/>
      <c r="AB270" s="3357" t="s"/>
      <c r="AC270" s="142" t="s"/>
      <c r="AD270" s="142" t="s"/>
      <c r="AE270" s="3358" t="s"/>
      <c r="AF270" s="136" t="n">
        <f aca="false" ca="false" dt2D="false" dtr="false" t="normal">MID(L270, 1, 1)</f>
        <v>0</v>
      </c>
      <c r="AG270" s="137" t="n">
        <f aca="false" ca="false" dt2D="false" dtr="false" t="normal">AF270</f>
        <v>0</v>
      </c>
      <c r="AH270" s="120" t="s">
        <v>186</v>
      </c>
      <c r="AI270" s="139" t="s">
        <v>1339</v>
      </c>
      <c r="AJ270" s="3359" t="s"/>
      <c r="AK270" s="3360" t="s"/>
    </row>
    <row hidden="false" ht="15" outlineLevel="0" r="271">
      <c r="C271" s="98" t="s">
        <v>191</v>
      </c>
      <c r="D271" s="53" t="n">
        <f aca="false" ca="false" dt2D="false" dtr="false" t="normal">HEX2DEC(D269)</f>
        <v>7</v>
      </c>
      <c r="E271" s="53" t="n">
        <f aca="false" ca="false" dt2D="false" dtr="false" t="normal">HEX2DEC(E269)</f>
        <v>32</v>
      </c>
      <c r="F271" s="53" t="n">
        <f aca="false" ca="false" dt2D="false" dtr="false" t="normal">HEX2DEC(F269)</f>
        <v>4</v>
      </c>
      <c r="G271" s="53" t="n">
        <f aca="false" ca="false" dt2D="false" dtr="false" t="normal">HEX2DEC(G269)</f>
        <v>21</v>
      </c>
      <c r="H271" s="53" t="n">
        <f aca="false" ca="false" dt2D="false" dtr="false" t="normal">HEX2DEC(H269)</f>
        <v>0</v>
      </c>
      <c r="I271" s="53" t="n">
        <f aca="false" ca="false" dt2D="false" dtr="false" t="normal">HEX2DEC(I269)</f>
        <v>0</v>
      </c>
      <c r="J271" s="53" t="n">
        <f aca="false" ca="false" dt2D="false" dtr="false" t="normal">HEX2DEC(J269)</f>
        <v>0</v>
      </c>
      <c r="K271" s="53" t="n">
        <f aca="false" ca="false" dt2D="false" dtr="false" t="normal">HEX2DEC(K269)</f>
        <v>0</v>
      </c>
      <c r="L271" s="53" t="n">
        <f aca="false" ca="false" dt2D="false" dtr="false" t="normal">HEX2DEC(L269)</f>
        <v>0</v>
      </c>
      <c r="M271" s="53" t="n">
        <f aca="false" ca="false" dt2D="false" dtr="false" t="normal">SUM(D271:L271)</f>
        <v>64</v>
      </c>
      <c r="N271" s="63" t="n"/>
      <c r="P271" s="136" t="n">
        <f aca="false" ca="false" dt2D="false" dtr="false" t="normal">MID(H270, 2, 1)</f>
        <v>0</v>
      </c>
      <c r="Q271" s="137" t="n">
        <f aca="false" ca="false" dt2D="false" dtr="false" t="normal">P271</f>
        <v>0</v>
      </c>
      <c r="R271" s="120" t="s">
        <v>192</v>
      </c>
      <c r="S271" s="139" t="s">
        <v>1340</v>
      </c>
      <c r="T271" s="136" t="n">
        <f aca="false" ca="false" dt2D="false" dtr="false" t="normal">MID(I270, 2, 1)</f>
        <v>0</v>
      </c>
      <c r="U271" s="137" t="n">
        <f aca="false" ca="false" dt2D="false" dtr="false" t="normal">T271</f>
        <v>0</v>
      </c>
      <c r="V271" s="120" t="s">
        <v>192</v>
      </c>
      <c r="W271" s="139" t="s">
        <v>1341</v>
      </c>
      <c r="X271" s="3361" t="s"/>
      <c r="Y271" s="142" t="s"/>
      <c r="Z271" s="142" t="s"/>
      <c r="AA271" s="3362" t="s"/>
      <c r="AB271" s="3363" t="s"/>
      <c r="AC271" s="142" t="s"/>
      <c r="AD271" s="142" t="s"/>
      <c r="AE271" s="3364" t="s"/>
      <c r="AF271" s="136" t="n">
        <f aca="false" ca="false" dt2D="false" dtr="false" t="normal">MID(L270, 2, 1)</f>
        <v>0</v>
      </c>
      <c r="AG271" s="137" t="n">
        <f aca="false" ca="false" dt2D="false" dtr="false" t="normal">AF271</f>
        <v>0</v>
      </c>
      <c r="AH271" s="120" t="s">
        <v>192</v>
      </c>
      <c r="AI271" s="139" t="s">
        <v>1342</v>
      </c>
      <c r="AJ271" s="3365" t="s"/>
      <c r="AK271" s="3366" t="s"/>
    </row>
    <row hidden="false" ht="15" outlineLevel="0" r="272">
      <c r="C272" s="98" t="s">
        <v>194</v>
      </c>
      <c r="D272" s="149" t="n">
        <f aca="false" ca="false" dt2D="false" dtr="false" t="normal">D269</f>
        <v>7</v>
      </c>
      <c r="E272" s="149" t="n">
        <f aca="false" ca="false" dt2D="false" dtr="false" t="normal">E269</f>
        <v>20</v>
      </c>
      <c r="F272" s="53" t="str">
        <f aca="false" ca="false" dt2D="false" dtr="false" t="normal">MID(INDEX($A$3:$A$70, IF(ISNA(MATCH("720G4GF*", $A$3:$A$70, 0))=TRUE, MATCH("7200415*", $A$3:$A$70, 0), MATCH("720G4GF*", $A$3:$A$70, 0))), $AS$8, 2)</f>
        <v>G4</v>
      </c>
      <c r="G272" s="53" t="str">
        <f aca="false" ca="false" dt2D="false" dtr="false" t="normal">MID(INDEX($A$3:$A$70, IF(ISNA(MATCH("720G4GF*", $A$3:$A$70, 0))=TRUE, MATCH("7200415*", $A$3:$A$70, 0), MATCH("720G4GF*", $A$3:$A$70, 0))), $AT$8, 2)</f>
        <v>GF</v>
      </c>
      <c r="N272" s="63" t="n"/>
      <c r="P272" s="136" t="n">
        <f aca="false" ca="false" dt2D="false" dtr="false" t="normal">MID(H270, 3, 1)</f>
        <v>0</v>
      </c>
      <c r="Q272" s="137" t="n">
        <f aca="false" ca="false" dt2D="false" dtr="false" t="normal">P272</f>
        <v>0</v>
      </c>
      <c r="R272" s="120" t="s">
        <v>195</v>
      </c>
      <c r="S272" s="139" t="s">
        <v>1343</v>
      </c>
      <c r="T272" s="136" t="n">
        <f aca="false" ca="false" dt2D="false" dtr="false" t="normal">MID(I270, 3, 1)</f>
        <v>0</v>
      </c>
      <c r="U272" s="137" t="n">
        <f aca="false" ca="false" dt2D="false" dtr="false" t="normal">T272</f>
        <v>0</v>
      </c>
      <c r="V272" s="120" t="s">
        <v>195</v>
      </c>
      <c r="W272" s="139" t="s">
        <v>1344</v>
      </c>
      <c r="X272" s="3367" t="s"/>
      <c r="Y272" s="142" t="s"/>
      <c r="Z272" s="142" t="s"/>
      <c r="AA272" s="3368" t="s"/>
      <c r="AB272" s="3369" t="s"/>
      <c r="AC272" s="142" t="s"/>
      <c r="AD272" s="142" t="s"/>
      <c r="AE272" s="3370" t="s"/>
      <c r="AF272" s="136" t="n">
        <f aca="false" ca="false" dt2D="false" dtr="false" t="normal">MID(L270, 3, 1)</f>
        <v>0</v>
      </c>
      <c r="AG272" s="137" t="n">
        <f aca="false" ca="false" dt2D="false" dtr="false" t="normal">AF272</f>
        <v>0</v>
      </c>
      <c r="AH272" s="120" t="s">
        <v>195</v>
      </c>
      <c r="AI272" s="139" t="s">
        <v>1345</v>
      </c>
      <c r="AJ272" s="3371" t="s"/>
      <c r="AK272" s="3372" t="s"/>
    </row>
    <row hidden="false" ht="15.75" outlineLevel="0" r="273">
      <c r="C273" s="98" t="n"/>
      <c r="N273" s="63" t="n"/>
      <c r="P273" s="136" t="n">
        <f aca="false" ca="false" dt2D="false" dtr="false" t="normal">MID(H270, 4, 1)</f>
        <v>0</v>
      </c>
      <c r="Q273" s="137" t="n">
        <f aca="false" ca="false" dt2D="false" dtr="false" t="normal">P273</f>
        <v>0</v>
      </c>
      <c r="R273" s="120" t="s">
        <v>197</v>
      </c>
      <c r="S273" s="139" t="s">
        <v>1346</v>
      </c>
      <c r="T273" s="136" t="n">
        <f aca="false" ca="false" dt2D="false" dtr="false" t="normal">MID(I270, 4, 1)</f>
        <v>0</v>
      </c>
      <c r="U273" s="137" t="n">
        <f aca="false" ca="false" dt2D="false" dtr="false" t="normal">T273</f>
        <v>0</v>
      </c>
      <c r="V273" s="120" t="s">
        <v>197</v>
      </c>
      <c r="W273" s="139" t="s">
        <v>1347</v>
      </c>
      <c r="X273" s="3373" t="s"/>
      <c r="Y273" s="142" t="s"/>
      <c r="Z273" s="142" t="s"/>
      <c r="AA273" s="3374" t="s"/>
      <c r="AB273" s="3375" t="s"/>
      <c r="AC273" s="142" t="s"/>
      <c r="AD273" s="142" t="s"/>
      <c r="AE273" s="3376" t="s"/>
      <c r="AF273" s="136" t="n">
        <f aca="false" ca="false" dt2D="false" dtr="false" t="normal">MID(L270, 4, 1)</f>
        <v>0</v>
      </c>
      <c r="AG273" s="137" t="n">
        <f aca="false" ca="false" dt2D="false" dtr="false" t="normal">AF273</f>
        <v>0</v>
      </c>
      <c r="AH273" s="120" t="s">
        <v>197</v>
      </c>
      <c r="AI273" s="139" t="s">
        <v>1348</v>
      </c>
      <c r="AJ273" s="3377" t="s"/>
      <c r="AK273" s="3378" t="s"/>
    </row>
    <row hidden="false" ht="15.75" outlineLevel="0" r="274">
      <c r="C274" s="98" t="s">
        <v>176</v>
      </c>
      <c r="D274" s="159" t="n">
        <f aca="false" ca="false" dt2D="false" dtr="false" t="normal">D269</f>
        <v>7</v>
      </c>
      <c r="E274" s="160" t="n">
        <f aca="false" ca="false" dt2D="false" dtr="false" t="normal">E269</f>
        <v>20</v>
      </c>
      <c r="F274" s="160" t="n">
        <f aca="false" ca="false" dt2D="false" dtr="false" t="normal">F269</f>
        <v>4</v>
      </c>
      <c r="G274" s="161" t="n">
        <f aca="false" ca="false" dt2D="false" dtr="false" t="normal">G269</f>
        <v>15</v>
      </c>
      <c r="H274" s="162" t="n">
        <f aca="false" ca="false" dt2D="false" dtr="false" t="normal">BIN2HEX(H275, 2)</f>
        <v>0</v>
      </c>
      <c r="I274" s="163" t="n">
        <f aca="false" ca="false" dt2D="false" dtr="false" t="normal">BIN2HEX(I275, 2)</f>
        <v>0</v>
      </c>
      <c r="J274" s="2217" t="n">
        <f aca="false" ca="false" dt2D="false" dtr="false" t="normal">J269</f>
        <v>0</v>
      </c>
      <c r="K274" s="1916" t="n">
        <f aca="false" ca="false" dt2D="false" dtr="false" t="normal">K269</f>
        <v>0</v>
      </c>
      <c r="L274" s="288" t="n">
        <f aca="false" ca="false" dt2D="false" dtr="false" t="normal">BIN2HEX(L275, 2)</f>
        <v>0</v>
      </c>
      <c r="M274" s="166" t="n">
        <f aca="false" ca="false" dt2D="false" dtr="false" t="normal">IF(LEN(M275)&gt;2, MID(M275, 2, 2), M275)</f>
        <v>40</v>
      </c>
      <c r="N274" s="63" t="s">
        <v>181</v>
      </c>
      <c r="P274" s="136" t="n">
        <f aca="false" ca="false" dt2D="false" dtr="false" t="normal">MID(H270, 5, 1)</f>
        <v>0</v>
      </c>
      <c r="Q274" s="137" t="n">
        <f aca="false" ca="false" dt2D="false" dtr="false" t="normal">P274</f>
        <v>0</v>
      </c>
      <c r="R274" s="120" t="s">
        <v>200</v>
      </c>
      <c r="S274" s="139" t="s">
        <v>1349</v>
      </c>
      <c r="T274" s="136" t="n">
        <f aca="false" ca="false" dt2D="false" dtr="false" t="normal">MID(I270, 5, 1)</f>
        <v>0</v>
      </c>
      <c r="U274" s="137" t="n">
        <f aca="false" ca="false" dt2D="false" dtr="false" t="normal">T274</f>
        <v>0</v>
      </c>
      <c r="V274" s="120" t="s">
        <v>200</v>
      </c>
      <c r="W274" s="139" t="s">
        <v>1350</v>
      </c>
      <c r="X274" s="3379" t="s"/>
      <c r="Y274" s="142" t="s"/>
      <c r="Z274" s="142" t="s"/>
      <c r="AA274" s="3380" t="s"/>
      <c r="AB274" s="3381" t="s"/>
      <c r="AC274" s="142" t="s"/>
      <c r="AD274" s="142" t="s"/>
      <c r="AE274" s="3382" t="s"/>
      <c r="AF274" s="136" t="n">
        <f aca="false" ca="false" dt2D="false" dtr="false" t="normal">MID(L270, 5, 1)</f>
        <v>0</v>
      </c>
      <c r="AG274" s="137" t="n">
        <f aca="false" ca="false" dt2D="false" dtr="false" t="normal">AF274</f>
        <v>0</v>
      </c>
      <c r="AH274" s="120" t="s">
        <v>200</v>
      </c>
      <c r="AI274" s="139" t="s">
        <v>1351</v>
      </c>
      <c r="AJ274" s="3383" t="s"/>
      <c r="AK274" s="3384" t="s"/>
    </row>
    <row hidden="false" ht="15" outlineLevel="0" r="275">
      <c r="C275" s="98" t="s">
        <v>185</v>
      </c>
      <c r="D275" s="53" t="n">
        <f aca="false" ca="false" dt2D="false" dtr="false" t="normal">HEX2BIN(D274, 8)</f>
        <v>111</v>
      </c>
      <c r="E275" s="53" t="n">
        <f aca="false" ca="false" dt2D="false" dtr="false" t="normal">HEX2BIN(E274, 8)</f>
        <v>100000</v>
      </c>
      <c r="F275" s="53" t="n">
        <f aca="false" ca="false" dt2D="false" dtr="false" t="normal">HEX2BIN(F274, 8)</f>
        <v>100</v>
      </c>
      <c r="G275" s="53" t="n">
        <f aca="false" ca="false" dt2D="false" dtr="false" t="normal">HEX2BIN(G274, 8)</f>
        <v>10101</v>
      </c>
      <c r="H275" s="171" t="n">
        <f aca="false" ca="false" dt2D="false" dtr="false" t="normal">Q270&amp;Q271&amp;Q272&amp;Q273&amp;Q274&amp;Q275&amp;Q276&amp;Q277</f>
        <v>0</v>
      </c>
      <c r="I275" s="53" t="n">
        <f aca="false" ca="false" dt2D="false" dtr="false" t="normal">U270&amp;U271&amp;U272&amp;U273&amp;U274&amp;U275&amp;U276&amp;U277</f>
        <v>0</v>
      </c>
      <c r="J275" s="171" t="n"/>
      <c r="K275" s="171" t="n"/>
      <c r="L275" s="53" t="n">
        <f aca="false" ca="false" dt2D="false" dtr="false" t="normal">AG270&amp;AG271&amp;AG272&amp;AG273&amp;AG274&amp;AG275&amp;AG276&amp;AG277</f>
        <v>0</v>
      </c>
      <c r="M275" s="53" t="n">
        <f aca="false" ca="false" dt2D="false" dtr="false" t="normal">DEC2HEX(M276)</f>
        <v>40</v>
      </c>
      <c r="N275" s="63" t="n"/>
      <c r="P275" s="136" t="n">
        <f aca="false" ca="false" dt2D="false" dtr="false" t="normal">MID(H270, 6, 1)</f>
        <v>0</v>
      </c>
      <c r="Q275" s="137" t="n">
        <f aca="false" ca="false" dt2D="false" dtr="false" t="normal">P275</f>
        <v>0</v>
      </c>
      <c r="R275" s="120" t="s">
        <v>203</v>
      </c>
      <c r="S275" s="139" t="s">
        <v>1352</v>
      </c>
      <c r="T275" s="136" t="n">
        <f aca="false" ca="false" dt2D="false" dtr="false" t="normal">MID(I270, 6, 1)</f>
        <v>0</v>
      </c>
      <c r="U275" s="137" t="n">
        <f aca="false" ca="false" dt2D="false" dtr="false" t="normal">T275</f>
        <v>0</v>
      </c>
      <c r="V275" s="120" t="s">
        <v>203</v>
      </c>
      <c r="W275" s="139" t="s">
        <v>1353</v>
      </c>
      <c r="X275" s="3385" t="s"/>
      <c r="Y275" s="142" t="s"/>
      <c r="Z275" s="142" t="s"/>
      <c r="AA275" s="3386" t="s"/>
      <c r="AB275" s="3387" t="s"/>
      <c r="AC275" s="142" t="s"/>
      <c r="AD275" s="142" t="s"/>
      <c r="AE275" s="3388" t="s"/>
      <c r="AF275" s="136" t="n">
        <f aca="false" ca="false" dt2D="false" dtr="false" t="normal">MID(L270, 6, 1)</f>
        <v>0</v>
      </c>
      <c r="AG275" s="137" t="n">
        <f aca="false" ca="false" dt2D="false" dtr="false" t="normal">AF275</f>
        <v>0</v>
      </c>
      <c r="AH275" s="120" t="s">
        <v>203</v>
      </c>
      <c r="AI275" s="131" t="s">
        <v>196</v>
      </c>
      <c r="AJ275" s="3389" t="s"/>
      <c r="AK275" s="3390" t="s"/>
    </row>
    <row hidden="false" ht="15" outlineLevel="0" r="276">
      <c r="C276" s="98" t="s">
        <v>191</v>
      </c>
      <c r="D276" s="53" t="n">
        <f aca="false" ca="false" dt2D="false" dtr="false" t="normal">HEX2DEC(D274)</f>
        <v>7</v>
      </c>
      <c r="E276" s="53" t="n">
        <f aca="false" ca="false" dt2D="false" dtr="false" t="normal">HEX2DEC(E274)</f>
        <v>32</v>
      </c>
      <c r="F276" s="53" t="n">
        <f aca="false" ca="false" dt2D="false" dtr="false" t="normal">HEX2DEC(F274)</f>
        <v>4</v>
      </c>
      <c r="G276" s="53" t="n">
        <f aca="false" ca="false" dt2D="false" dtr="false" t="normal">HEX2DEC(G274)</f>
        <v>21</v>
      </c>
      <c r="H276" s="53" t="n">
        <f aca="false" ca="false" dt2D="false" dtr="false" t="normal">HEX2DEC(H274)</f>
        <v>0</v>
      </c>
      <c r="I276" s="53" t="n">
        <f aca="false" ca="false" dt2D="false" dtr="false" t="normal">HEX2DEC(I274)</f>
        <v>0</v>
      </c>
      <c r="J276" s="53" t="n">
        <f aca="false" ca="false" dt2D="false" dtr="false" t="normal">HEX2DEC(J274)</f>
        <v>0</v>
      </c>
      <c r="K276" s="53" t="n">
        <f aca="false" ca="false" dt2D="false" dtr="false" t="normal">HEX2DEC(K274)</f>
        <v>0</v>
      </c>
      <c r="L276" s="53" t="n">
        <f aca="false" ca="false" dt2D="false" dtr="false" t="normal">HEX2DEC(L274)</f>
        <v>0</v>
      </c>
      <c r="M276" s="53" t="n">
        <f aca="false" ca="false" dt2D="false" dtr="false" t="normal">SUM(D276:L276)</f>
        <v>64</v>
      </c>
      <c r="N276" s="63" t="n"/>
      <c r="P276" s="136" t="n">
        <f aca="false" ca="false" dt2D="false" dtr="false" t="normal">MID(H270, 7, 1)</f>
        <v>0</v>
      </c>
      <c r="Q276" s="137" t="n">
        <f aca="false" ca="false" dt2D="false" dtr="false" t="normal">P276</f>
        <v>0</v>
      </c>
      <c r="R276" s="120" t="s">
        <v>206</v>
      </c>
      <c r="S276" s="139" t="s">
        <v>1354</v>
      </c>
      <c r="T276" s="136" t="n">
        <f aca="false" ca="false" dt2D="false" dtr="false" t="normal">MID(I270, 7, 1)</f>
        <v>0</v>
      </c>
      <c r="U276" s="137" t="n">
        <f aca="false" ca="false" dt2D="false" dtr="false" t="normal">T276</f>
        <v>0</v>
      </c>
      <c r="V276" s="120" t="s">
        <v>206</v>
      </c>
      <c r="W276" s="139" t="s">
        <v>1355</v>
      </c>
      <c r="X276" s="3391" t="s"/>
      <c r="Y276" s="142" t="s"/>
      <c r="Z276" s="142" t="s"/>
      <c r="AA276" s="3392" t="s"/>
      <c r="AB276" s="3393" t="s"/>
      <c r="AC276" s="142" t="s"/>
      <c r="AD276" s="142" t="s"/>
      <c r="AE276" s="3394" t="s"/>
      <c r="AF276" s="136" t="n">
        <f aca="false" ca="false" dt2D="false" dtr="false" t="normal">MID(L270, 7, 1)</f>
        <v>0</v>
      </c>
      <c r="AG276" s="137" t="n">
        <f aca="false" ca="false" dt2D="false" dtr="false" t="normal">AF276</f>
        <v>0</v>
      </c>
      <c r="AH276" s="120" t="s">
        <v>206</v>
      </c>
      <c r="AI276" s="131" t="s">
        <v>196</v>
      </c>
      <c r="AJ276" s="3395" t="s"/>
      <c r="AK276" s="3396" t="s"/>
    </row>
    <row hidden="false" ht="15.75" outlineLevel="0" r="277">
      <c r="C277" s="180" t="s">
        <v>194</v>
      </c>
      <c r="D277" s="299" t="n">
        <f aca="false" ca="false" dt2D="false" dtr="false" t="normal">D272</f>
        <v>7</v>
      </c>
      <c r="E277" s="299" t="n">
        <f aca="false" ca="false" dt2D="false" dtr="false" t="normal">E272</f>
        <v>20</v>
      </c>
      <c r="F277" s="299" t="str">
        <f aca="false" ca="false" dt2D="false" dtr="false" t="normal">F272</f>
        <v>G4</v>
      </c>
      <c r="G277" s="299" t="str">
        <f aca="false" ca="false" dt2D="false" dtr="false" t="normal">G272</f>
        <v>GF</v>
      </c>
      <c r="H277" s="45" t="n"/>
      <c r="I277" s="45" t="n"/>
      <c r="J277" s="45" t="n"/>
      <c r="K277" s="45" t="n"/>
      <c r="L277" s="45" t="n"/>
      <c r="M277" s="45" t="n"/>
      <c r="N277" s="49" t="n"/>
      <c r="P277" s="182" t="n">
        <f aca="false" ca="false" dt2D="false" dtr="false" t="normal">MID(H270, 8, 1)</f>
        <v>0</v>
      </c>
      <c r="Q277" s="183" t="n">
        <f aca="false" ca="false" dt2D="false" dtr="false" t="normal">P277</f>
        <v>0</v>
      </c>
      <c r="R277" s="184" t="s">
        <v>208</v>
      </c>
      <c r="S277" s="187" t="s">
        <v>1356</v>
      </c>
      <c r="T277" s="182" t="n">
        <f aca="false" ca="false" dt2D="false" dtr="false" t="normal">MID(I270, 8, 1)</f>
        <v>0</v>
      </c>
      <c r="U277" s="183" t="n">
        <f aca="false" ca="false" dt2D="false" dtr="false" t="normal">T277</f>
        <v>0</v>
      </c>
      <c r="V277" s="184" t="s">
        <v>208</v>
      </c>
      <c r="W277" s="187" t="s">
        <v>1357</v>
      </c>
      <c r="X277" s="3397" t="s"/>
      <c r="Y277" s="3398" t="s"/>
      <c r="Z277" s="3399" t="s"/>
      <c r="AA277" s="3400" t="s"/>
      <c r="AB277" s="3401" t="s"/>
      <c r="AC277" s="3402" t="s"/>
      <c r="AD277" s="3403" t="s"/>
      <c r="AE277" s="3404" t="s"/>
      <c r="AF277" s="182" t="n">
        <f aca="false" ca="false" dt2D="false" dtr="false" t="normal">MID(L270, 8, 1)</f>
        <v>0</v>
      </c>
      <c r="AG277" s="183" t="n">
        <f aca="false" ca="false" dt2D="false" dtr="false" t="normal">AF277</f>
        <v>0</v>
      </c>
      <c r="AH277" s="184" t="s">
        <v>208</v>
      </c>
      <c r="AI277" s="185" t="s">
        <v>196</v>
      </c>
      <c r="AJ277" s="3405" t="s"/>
      <c r="AK277" s="3406" t="s"/>
    </row>
    <row hidden="false" ht="15.75" outlineLevel="0" r="278">
      <c r="C278" s="93" t="n"/>
      <c r="D278" s="94" t="n"/>
      <c r="E278" s="94" t="n"/>
      <c r="F278" s="94" t="n"/>
      <c r="G278" s="94" t="n"/>
      <c r="H278" s="94" t="n"/>
      <c r="I278" s="94" t="n"/>
      <c r="J278" s="94" t="n"/>
      <c r="K278" s="94" t="n"/>
      <c r="L278" s="94" t="n"/>
      <c r="M278" s="94" t="s">
        <v>161</v>
      </c>
      <c r="N278" s="60" t="n"/>
      <c r="P278" s="95" t="str">
        <f aca="false" ca="false" dt2D="false" dtr="false" t="normal">RIGHT(D280, 1)&amp;E280&amp;"-"&amp;F280&amp;"-"&amp;G280</f>
        <v>720-04-16</v>
      </c>
      <c r="Q278" s="3407" t="s"/>
      <c r="R278" s="234" t="s">
        <v>1358</v>
      </c>
      <c r="S278" s="3408" t="s"/>
      <c r="T278" s="3409" t="s"/>
      <c r="U278" s="3410" t="s"/>
      <c r="V278" s="3411" t="s"/>
      <c r="W278" s="3412" t="s"/>
      <c r="X278" s="3413" t="s"/>
      <c r="Y278" s="3414" t="s"/>
      <c r="Z278" s="3415" t="s"/>
      <c r="AA278" s="3416" t="s"/>
      <c r="AB278" s="3417" t="s"/>
      <c r="AC278" s="3418" t="s"/>
      <c r="AD278" s="3419" t="s"/>
      <c r="AE278" s="3420" t="s"/>
      <c r="AF278" s="3421" t="s"/>
      <c r="AG278" s="3422" t="s"/>
      <c r="AH278" s="3423" t="s"/>
      <c r="AI278" s="3424" t="s"/>
      <c r="AJ278" s="3425" t="s"/>
      <c r="AK278" s="3426" t="s"/>
    </row>
    <row hidden="false" ht="15.75" outlineLevel="0" r="279">
      <c r="C279" s="98" t="n"/>
      <c r="D279" s="99" t="s">
        <v>1359</v>
      </c>
      <c r="E279" s="3427" t="s"/>
      <c r="F279" s="3428" t="s"/>
      <c r="G279" s="3429" t="s"/>
      <c r="H279" s="53" t="s">
        <v>165</v>
      </c>
      <c r="I279" s="53" t="s">
        <v>166</v>
      </c>
      <c r="J279" s="53" t="s">
        <v>167</v>
      </c>
      <c r="K279" s="53" t="s">
        <v>168</v>
      </c>
      <c r="L279" s="53" t="s">
        <v>169</v>
      </c>
      <c r="M279" s="53" t="s">
        <v>221</v>
      </c>
      <c r="N279" s="63" t="n"/>
      <c r="P279" s="103" t="s">
        <v>1360</v>
      </c>
      <c r="Q279" s="3430" t="s"/>
      <c r="R279" s="3431" t="s"/>
      <c r="S279" s="3432" t="s"/>
      <c r="T279" s="103" t="s">
        <v>1361</v>
      </c>
      <c r="U279" s="3433" t="s"/>
      <c r="V279" s="3434" t="s"/>
      <c r="W279" s="3435" t="s"/>
      <c r="X279" s="103" t="s">
        <v>1362</v>
      </c>
      <c r="Y279" s="3436" t="s"/>
      <c r="Z279" s="3437" t="s"/>
      <c r="AA279" s="3438" t="s"/>
      <c r="AB279" s="103" t="s">
        <v>1363</v>
      </c>
      <c r="AC279" s="3439" t="s"/>
      <c r="AD279" s="3440" t="s"/>
      <c r="AE279" s="3441" t="s"/>
      <c r="AF279" s="103" t="s">
        <v>1364</v>
      </c>
      <c r="AG279" s="3442" t="s"/>
      <c r="AH279" s="3443" t="s"/>
      <c r="AI279" s="3444" t="s"/>
      <c r="AJ279" s="116" t="s">
        <v>1365</v>
      </c>
      <c r="AK279" s="3445" t="s"/>
    </row>
    <row hidden="false" ht="15.75" outlineLevel="0" r="280">
      <c r="C280" s="98" t="s">
        <v>176</v>
      </c>
      <c r="D280" s="122" t="s">
        <v>177</v>
      </c>
      <c r="E280" s="123" t="s">
        <v>693</v>
      </c>
      <c r="F280" s="123" t="s">
        <v>342</v>
      </c>
      <c r="G280" s="124" t="s">
        <v>1366</v>
      </c>
      <c r="H280" s="164" t="n">
        <f aca="false" ca="false" dt2D="false" dtr="false" ref="H280:H280" t="array">MID(INDEX($A$3:$A$70, IF(ISNA(MATCH("720G4H0*", $A$3:$A$70, 0))=TRUE, MATCH("7200416*", $A$3:$A$70, 0), MATCH("720G4H0*", $A$3:$A$70, 0))), $AU$8, 2)</f>
        <v>0</v>
      </c>
      <c r="I280" s="1820" t="n">
        <f aca="false" ca="false" dt2D="false" dtr="false" ref="I280:I280" t="array">MID(INDEX($A$3:$A$70, IF(ISNA(MATCH("720G4H0*", $A$3:$A$70, 0))=TRUE, MATCH("7200416*", $A$3:$A$70, 0), MATCH("720G4H0*", $A$3:$A$70, 0))), $AV$8, 2)</f>
        <v>0</v>
      </c>
      <c r="J280" s="1820" t="n">
        <f aca="false" ca="false" dt2D="false" dtr="false" ref="J280:J280" t="array">MID(INDEX($A$3:$A$70, IF(ISNA(MATCH("720G4H0*", $A$3:$A$70, 0))=TRUE, MATCH("7200416*", $A$3:$A$70, 0), MATCH("720G4H0*", $A$3:$A$70, 0))), $AW$8, 2)</f>
        <v>0</v>
      </c>
      <c r="K280" s="1821" t="n">
        <f aca="false" ca="false" dt2D="false" dtr="false" ref="K280:K280" t="array">MID(INDEX($A$3:$A$70, IF(ISNA(MATCH("720G4H0*", $A$3:$A$70, 0))=TRUE, MATCH("7200416*", $A$3:$A$70, 0), MATCH("720G4H0*", $A$3:$A$70, 0))), $AX$8, 2)</f>
        <v>0</v>
      </c>
      <c r="L280" s="1821" t="n">
        <f aca="false" ca="false" dt2D="false" dtr="false" ref="L280:L280" t="array">MID(INDEX($A$3:$A$70, IF(ISNA(MATCH("720G4H0*", $A$3:$A$70, 0))=TRUE, MATCH("7200416*", $A$3:$A$70, 0), MATCH("720G4H0*", $A$3:$A$70, 0))), $AY$8, 2)</f>
        <v>0</v>
      </c>
      <c r="M280" s="218" t="n">
        <f aca="false" ca="false" dt2D="false" dtr="false" ref="M280:M280" t="array">MID(INDEX($A$3:$A$70, IF(ISNA(MATCH("720G4H0*", $A$3:$A$70, 0))=TRUE, MATCH("7200416*", $A$3:$A$70, 0), MATCH("720G4H0*", $A$3:$A$70, 0))), $AZ$8, 2)</f>
        <v>41</v>
      </c>
      <c r="N280" s="63" t="s">
        <v>180</v>
      </c>
      <c r="P280" s="129" t="s">
        <v>180</v>
      </c>
      <c r="Q280" s="130" t="s">
        <v>181</v>
      </c>
      <c r="R280" s="121" t="s">
        <v>182</v>
      </c>
      <c r="S280" s="131" t="n"/>
      <c r="T280" s="129" t="s">
        <v>180</v>
      </c>
      <c r="U280" s="130" t="s">
        <v>181</v>
      </c>
      <c r="V280" s="121" t="s">
        <v>182</v>
      </c>
      <c r="W280" s="131" t="n"/>
      <c r="X280" s="129" t="s">
        <v>180</v>
      </c>
      <c r="Y280" s="130" t="s">
        <v>181</v>
      </c>
      <c r="Z280" s="121" t="s">
        <v>182</v>
      </c>
      <c r="AA280" s="131" t="n"/>
      <c r="AB280" s="129" t="s">
        <v>180</v>
      </c>
      <c r="AC280" s="130" t="s">
        <v>181</v>
      </c>
      <c r="AD280" s="121" t="s">
        <v>182</v>
      </c>
      <c r="AE280" s="131" t="n"/>
      <c r="AF280" s="129" t="s">
        <v>180</v>
      </c>
      <c r="AG280" s="130" t="s">
        <v>181</v>
      </c>
      <c r="AH280" s="121" t="s">
        <v>182</v>
      </c>
      <c r="AI280" s="121" t="n"/>
      <c r="AJ280" s="116" t="s">
        <v>183</v>
      </c>
      <c r="AK280" s="3446" t="s"/>
    </row>
    <row hidden="false" ht="15" outlineLevel="0" r="281">
      <c r="C281" s="98" t="s">
        <v>185</v>
      </c>
      <c r="D281" s="53" t="n">
        <f aca="false" ca="false" dt2D="false" dtr="false" t="normal">HEX2BIN(D280, 8)</f>
        <v>111</v>
      </c>
      <c r="E281" s="53" t="n">
        <f aca="false" ca="false" dt2D="false" dtr="false" t="normal">HEX2BIN(E280, 8)</f>
        <v>100000</v>
      </c>
      <c r="F281" s="53" t="n">
        <f aca="false" ca="false" dt2D="false" dtr="false" t="normal">HEX2BIN(F280, 8)</f>
        <v>100</v>
      </c>
      <c r="G281" s="53" t="n">
        <f aca="false" ca="false" dt2D="false" dtr="false" t="normal">HEX2BIN(G280, 8)</f>
        <v>10110</v>
      </c>
      <c r="H281" s="53" t="n">
        <f aca="false" ca="false" dt2D="false" dtr="false" t="normal">HEX2BIN(H280, 8)</f>
        <v>0</v>
      </c>
      <c r="I281" s="53" t="n">
        <f aca="false" ca="false" dt2D="false" dtr="false" t="normal">HEX2BIN(I280, 8)</f>
        <v>0</v>
      </c>
      <c r="J281" s="53" t="n">
        <f aca="false" ca="false" dt2D="false" dtr="false" t="normal">HEX2BIN(J280, 8)</f>
        <v>0</v>
      </c>
      <c r="K281" s="53" t="n">
        <f aca="false" ca="false" dt2D="false" dtr="false" t="normal">HEX2BIN(K280, 8)</f>
        <v>0</v>
      </c>
      <c r="L281" s="53" t="n">
        <f aca="false" ca="false" dt2D="false" dtr="false" t="normal">HEX2BIN(L280, 8)</f>
        <v>0</v>
      </c>
      <c r="N281" s="63" t="n"/>
      <c r="P281" s="136" t="n">
        <f aca="false" ca="false" dt2D="false" dtr="false" t="normal">MID(H281, 1, 1)</f>
        <v>0</v>
      </c>
      <c r="Q281" s="137" t="n">
        <f aca="false" ca="false" dt2D="false" dtr="false" t="normal">P281</f>
        <v>0</v>
      </c>
      <c r="R281" s="120" t="s">
        <v>186</v>
      </c>
      <c r="S281" s="1194" t="s">
        <v>1367</v>
      </c>
      <c r="T281" s="136" t="n">
        <f aca="false" ca="false" dt2D="false" dtr="false" t="normal">MID(I281, 1, 1)</f>
        <v>0</v>
      </c>
      <c r="U281" s="137" t="n">
        <f aca="false" ca="false" dt2D="false" dtr="false" t="normal">T281</f>
        <v>0</v>
      </c>
      <c r="V281" s="120" t="s">
        <v>186</v>
      </c>
      <c r="W281" s="131" t="s">
        <v>196</v>
      </c>
      <c r="X281" s="136" t="n">
        <f aca="false" ca="false" dt2D="false" dtr="false" t="normal">MID(J281, 1, 1)</f>
        <v>0</v>
      </c>
      <c r="Y281" s="137" t="n">
        <f aca="false" ca="false" dt2D="false" dtr="false" t="normal">X281</f>
        <v>0</v>
      </c>
      <c r="Z281" s="120" t="s">
        <v>186</v>
      </c>
      <c r="AA281" s="139" t="s">
        <v>1368</v>
      </c>
      <c r="AB281" s="136" t="n">
        <f aca="false" ca="false" dt2D="false" dtr="false" t="normal">MID(K281, 1, 1)</f>
        <v>0</v>
      </c>
      <c r="AC281" s="137" t="n">
        <f aca="false" ca="false" dt2D="false" dtr="false" t="normal">AB281</f>
        <v>0</v>
      </c>
      <c r="AD281" s="120" t="s">
        <v>186</v>
      </c>
      <c r="AE281" s="131" t="s">
        <v>196</v>
      </c>
      <c r="AF281" s="136" t="n">
        <f aca="false" ca="false" dt2D="false" dtr="false" t="normal">MID(L281, 1, 1)</f>
        <v>0</v>
      </c>
      <c r="AG281" s="137" t="n">
        <f aca="false" ca="false" dt2D="false" dtr="false" t="normal">AF281</f>
        <v>0</v>
      </c>
      <c r="AH281" s="120" t="s">
        <v>186</v>
      </c>
      <c r="AI281" s="139" t="s">
        <v>1369</v>
      </c>
      <c r="AJ281" s="3447" t="s"/>
      <c r="AK281" s="3448" t="s"/>
    </row>
    <row customHeight="true" hidden="false" ht="15" outlineLevel="0" r="282">
      <c r="C282" s="98" t="s">
        <v>191</v>
      </c>
      <c r="D282" s="53" t="n">
        <f aca="false" ca="false" dt2D="false" dtr="false" t="normal">HEX2DEC(D280)</f>
        <v>7</v>
      </c>
      <c r="E282" s="53" t="n">
        <f aca="false" ca="false" dt2D="false" dtr="false" t="normal">HEX2DEC(E280)</f>
        <v>32</v>
      </c>
      <c r="F282" s="53" t="n">
        <f aca="false" ca="false" dt2D="false" dtr="false" t="normal">HEX2DEC(F280)</f>
        <v>4</v>
      </c>
      <c r="G282" s="53" t="n">
        <f aca="false" ca="false" dt2D="false" dtr="false" t="normal">HEX2DEC(G280)</f>
        <v>22</v>
      </c>
      <c r="H282" s="53" t="n">
        <f aca="false" ca="false" dt2D="false" dtr="false" t="normal">HEX2DEC(H280)</f>
        <v>0</v>
      </c>
      <c r="I282" s="53" t="n">
        <f aca="false" ca="false" dt2D="false" dtr="false" t="normal">HEX2DEC(I280)</f>
        <v>0</v>
      </c>
      <c r="J282" s="53" t="n">
        <f aca="false" ca="false" dt2D="false" dtr="false" t="normal">HEX2DEC(J280)</f>
        <v>0</v>
      </c>
      <c r="K282" s="53" t="n">
        <f aca="false" ca="false" dt2D="false" dtr="false" t="normal">HEX2DEC(K280)</f>
        <v>0</v>
      </c>
      <c r="L282" s="53" t="n">
        <f aca="false" ca="false" dt2D="false" dtr="false" t="normal">HEX2DEC(L280)</f>
        <v>0</v>
      </c>
      <c r="M282" s="53" t="n">
        <f aca="false" ca="false" dt2D="false" dtr="false" t="normal">SUM(D282:L282)</f>
        <v>65</v>
      </c>
      <c r="N282" s="63" t="n"/>
      <c r="P282" s="136" t="n">
        <f aca="false" ca="false" dt2D="false" dtr="false" t="normal">MID(H281, 2, 1)</f>
        <v>0</v>
      </c>
      <c r="Q282" s="137" t="n">
        <f aca="false" ca="false" dt2D="false" dtr="false" t="normal">P282</f>
        <v>0</v>
      </c>
      <c r="R282" s="120" t="s">
        <v>192</v>
      </c>
      <c r="S282" s="131" t="s">
        <v>196</v>
      </c>
      <c r="T282" s="136" t="n">
        <f aca="false" ca="false" dt2D="false" dtr="false" t="normal">MID(I281, 2, 1)</f>
        <v>0</v>
      </c>
      <c r="U282" s="137" t="n">
        <f aca="false" ca="false" dt2D="false" dtr="false" t="normal">T282</f>
        <v>0</v>
      </c>
      <c r="V282" s="120" t="s">
        <v>192</v>
      </c>
      <c r="W282" s="131" t="s">
        <v>196</v>
      </c>
      <c r="X282" s="136" t="n">
        <f aca="false" ca="false" dt2D="false" dtr="false" t="normal">MID(J281, 2, 1)</f>
        <v>0</v>
      </c>
      <c r="Y282" s="137" t="n">
        <f aca="false" ca="false" dt2D="false" dtr="false" t="normal">X282</f>
        <v>0</v>
      </c>
      <c r="Z282" s="120" t="s">
        <v>192</v>
      </c>
      <c r="AA282" s="140" t="s">
        <v>1370</v>
      </c>
      <c r="AB282" s="136" t="n">
        <f aca="false" ca="false" dt2D="false" dtr="false" t="normal">MID(K281, 2, 1)</f>
        <v>0</v>
      </c>
      <c r="AC282" s="137" t="n">
        <f aca="false" ca="false" dt2D="false" dtr="false" t="normal">AB282</f>
        <v>0</v>
      </c>
      <c r="AD282" s="120" t="s">
        <v>192</v>
      </c>
      <c r="AE282" s="139" t="s">
        <v>1371</v>
      </c>
      <c r="AF282" s="136" t="n">
        <f aca="false" ca="false" dt2D="false" dtr="false" t="normal">MID(L281, 2, 1)</f>
        <v>0</v>
      </c>
      <c r="AG282" s="137" t="n">
        <f aca="false" ca="false" dt2D="false" dtr="false" t="normal">AF282</f>
        <v>0</v>
      </c>
      <c r="AH282" s="120" t="s">
        <v>192</v>
      </c>
      <c r="AI282" s="139" t="s">
        <v>1372</v>
      </c>
      <c r="AJ282" s="3449" t="s"/>
      <c r="AK282" s="3450" t="s"/>
    </row>
    <row hidden="false" ht="15" outlineLevel="0" r="283">
      <c r="C283" s="98" t="s">
        <v>194</v>
      </c>
      <c r="D283" s="149" t="n">
        <f aca="false" ca="false" dt2D="false" dtr="false" t="normal">D280</f>
        <v>7</v>
      </c>
      <c r="E283" s="149" t="n">
        <f aca="false" ca="false" dt2D="false" dtr="false" t="normal">E280</f>
        <v>20</v>
      </c>
      <c r="F283" s="53" t="str">
        <f aca="false" ca="false" dt2D="false" dtr="false" t="normal">MID(INDEX($A$3:$A$70, IF(ISNA(MATCH("720G4H0*", $A$3:$A$70, 0))=TRUE, MATCH("7200416*", $A$3:$A$70, 0), MATCH("720G4H0*", $A$3:$A$70, 0))), $AS$8, 2)</f>
        <v>G4</v>
      </c>
      <c r="G283" s="53" t="str">
        <f aca="false" ca="false" dt2D="false" dtr="false" t="normal">MID(INDEX($A$3:$A$70, IF(ISNA(MATCH("720G4H0*", $A$3:$A$70, 0))=TRUE, MATCH("7200416*", $A$3:$A$70, 0), MATCH("720G4H0*", $A$3:$A$70, 0))), $AT$8, 2)</f>
        <v>H0</v>
      </c>
      <c r="N283" s="63" t="n"/>
      <c r="P283" s="136" t="n">
        <f aca="false" ca="false" dt2D="false" dtr="false" t="normal">MID(H281, 3, 1)</f>
        <v>0</v>
      </c>
      <c r="Q283" s="137" t="n">
        <f aca="false" ca="false" dt2D="false" dtr="false" t="normal">P283</f>
        <v>0</v>
      </c>
      <c r="R283" s="120" t="s">
        <v>195</v>
      </c>
      <c r="S283" s="139" t="s">
        <v>1373</v>
      </c>
      <c r="T283" s="136" t="n">
        <f aca="false" ca="false" dt2D="false" dtr="false" t="normal">MID(I281, 3, 1)</f>
        <v>0</v>
      </c>
      <c r="U283" s="137" t="n">
        <f aca="false" ca="false" dt2D="false" dtr="false" t="normal">T283</f>
        <v>0</v>
      </c>
      <c r="V283" s="120" t="s">
        <v>195</v>
      </c>
      <c r="W283" s="131" t="s">
        <v>196</v>
      </c>
      <c r="X283" s="136" t="n">
        <f aca="false" ca="false" dt2D="false" dtr="false" t="normal">MID(J281, 3, 1)</f>
        <v>0</v>
      </c>
      <c r="Y283" s="137" t="n">
        <f aca="false" ca="false" dt2D="false" dtr="false" t="normal">X283</f>
        <v>0</v>
      </c>
      <c r="Z283" s="120" t="s">
        <v>195</v>
      </c>
      <c r="AA283" s="3451" t="s"/>
      <c r="AB283" s="136" t="n">
        <f aca="false" ca="false" dt2D="false" dtr="false" t="normal">MID(K281, 3, 1)</f>
        <v>0</v>
      </c>
      <c r="AC283" s="137" t="n">
        <f aca="false" ca="false" dt2D="false" dtr="false" t="normal">AB283</f>
        <v>0</v>
      </c>
      <c r="AD283" s="120" t="s">
        <v>195</v>
      </c>
      <c r="AE283" s="139" t="s">
        <v>1374</v>
      </c>
      <c r="AF283" s="136" t="n">
        <f aca="false" ca="false" dt2D="false" dtr="false" t="normal">MID(L281, 3, 1)</f>
        <v>0</v>
      </c>
      <c r="AG283" s="137" t="n">
        <f aca="false" ca="false" dt2D="false" dtr="false" t="normal">AF283</f>
        <v>0</v>
      </c>
      <c r="AH283" s="120" t="s">
        <v>195</v>
      </c>
      <c r="AI283" s="131" t="s">
        <v>196</v>
      </c>
      <c r="AJ283" s="3452" t="s"/>
      <c r="AK283" s="3453" t="s"/>
    </row>
    <row hidden="false" ht="15.75" outlineLevel="0" r="284">
      <c r="C284" s="98" t="n"/>
      <c r="N284" s="63" t="n"/>
      <c r="P284" s="136" t="n">
        <f aca="false" ca="false" dt2D="false" dtr="false" t="normal">MID(H281, 4, 1)</f>
        <v>0</v>
      </c>
      <c r="Q284" s="137" t="n">
        <f aca="false" ca="false" dt2D="false" dtr="false" t="normal">P284</f>
        <v>0</v>
      </c>
      <c r="R284" s="120" t="s">
        <v>197</v>
      </c>
      <c r="S284" s="131" t="s">
        <v>196</v>
      </c>
      <c r="T284" s="136" t="n">
        <f aca="false" ca="false" dt2D="false" dtr="false" t="normal">MID(I281, 4, 1)</f>
        <v>0</v>
      </c>
      <c r="U284" s="137" t="n">
        <f aca="false" ca="false" dt2D="false" dtr="false" t="normal">T284</f>
        <v>0</v>
      </c>
      <c r="V284" s="120" t="s">
        <v>197</v>
      </c>
      <c r="W284" s="131" t="s">
        <v>196</v>
      </c>
      <c r="X284" s="136" t="n">
        <f aca="false" ca="false" dt2D="false" dtr="false" t="normal">MID(J281, 4, 1)</f>
        <v>0</v>
      </c>
      <c r="Y284" s="137" t="n">
        <f aca="false" ca="false" dt2D="false" dtr="false" t="normal">X284</f>
        <v>0</v>
      </c>
      <c r="Z284" s="120" t="s">
        <v>197</v>
      </c>
      <c r="AA284" s="3454" t="s">
        <v>1375</v>
      </c>
      <c r="AB284" s="136" t="n">
        <f aca="false" ca="false" dt2D="false" dtr="false" t="normal">MID(K281, 4, 1)</f>
        <v>0</v>
      </c>
      <c r="AC284" s="137" t="n">
        <f aca="false" ca="false" dt2D="false" dtr="false" t="normal">AB284</f>
        <v>0</v>
      </c>
      <c r="AD284" s="120" t="s">
        <v>197</v>
      </c>
      <c r="AE284" s="139" t="s">
        <v>1376</v>
      </c>
      <c r="AF284" s="136" t="n">
        <f aca="false" ca="false" dt2D="false" dtr="false" t="normal">MID(L281, 4, 1)</f>
        <v>0</v>
      </c>
      <c r="AG284" s="137" t="n">
        <f aca="false" ca="false" dt2D="false" dtr="false" t="normal">AF284</f>
        <v>0</v>
      </c>
      <c r="AH284" s="120" t="s">
        <v>197</v>
      </c>
      <c r="AI284" s="139" t="s">
        <v>1377</v>
      </c>
      <c r="AJ284" s="3455" t="s"/>
      <c r="AK284" s="3456" t="s"/>
    </row>
    <row customHeight="true" hidden="false" ht="15.75" outlineLevel="0" r="285">
      <c r="C285" s="98" t="s">
        <v>176</v>
      </c>
      <c r="D285" s="159" t="n">
        <f aca="false" ca="false" dt2D="false" dtr="false" t="normal">D280</f>
        <v>7</v>
      </c>
      <c r="E285" s="160" t="n">
        <f aca="false" ca="false" dt2D="false" dtr="false" t="normal">E280</f>
        <v>20</v>
      </c>
      <c r="F285" s="160" t="n">
        <f aca="false" ca="false" dt2D="false" dtr="false" t="normal">F280</f>
        <v>4</v>
      </c>
      <c r="G285" s="161" t="n">
        <f aca="false" ca="false" dt2D="false" dtr="false" t="normal">G280</f>
        <v>16</v>
      </c>
      <c r="H285" s="162" t="n">
        <f aca="false" ca="false" dt2D="false" dtr="false" t="normal">BIN2HEX(H286, 2)</f>
        <v>0</v>
      </c>
      <c r="I285" s="163" t="n">
        <f aca="false" ca="false" dt2D="false" dtr="false" t="normal">BIN2HEX(I286, 2)</f>
        <v>0</v>
      </c>
      <c r="J285" s="164" t="n">
        <f aca="false" ca="false" dt2D="false" dtr="false" t="normal">BIN2HEX(J286, 2)</f>
        <v>0</v>
      </c>
      <c r="K285" s="165" t="n">
        <f aca="false" ca="false" dt2D="false" dtr="false" t="normal">BIN2HEX(K286, 2)</f>
        <v>0</v>
      </c>
      <c r="L285" s="288" t="n">
        <f aca="false" ca="false" dt2D="false" dtr="false" t="normal">BIN2HEX(L286, 2)</f>
        <v>0</v>
      </c>
      <c r="M285" s="166" t="n">
        <f aca="false" ca="false" dt2D="false" dtr="false" t="normal">IF(LEN(M286)&gt;2, MID(M286, 2, 2), M286)</f>
        <v>41</v>
      </c>
      <c r="N285" s="63" t="s">
        <v>181</v>
      </c>
      <c r="P285" s="136" t="n">
        <f aca="false" ca="false" dt2D="false" dtr="false" t="normal">MID(H281, 5, 1)</f>
        <v>0</v>
      </c>
      <c r="Q285" s="137" t="n">
        <f aca="false" ca="false" dt2D="false" dtr="false" t="normal">P285</f>
        <v>0</v>
      </c>
      <c r="R285" s="120" t="s">
        <v>200</v>
      </c>
      <c r="S285" s="140" t="s">
        <v>1378</v>
      </c>
      <c r="T285" s="136" t="n">
        <f aca="false" ca="false" dt2D="false" dtr="false" t="normal">MID(I281, 5, 1)</f>
        <v>0</v>
      </c>
      <c r="U285" s="137" t="n">
        <f aca="false" ca="false" dt2D="false" dtr="false" t="normal">T285</f>
        <v>0</v>
      </c>
      <c r="V285" s="120" t="s">
        <v>200</v>
      </c>
      <c r="W285" s="131" t="s">
        <v>196</v>
      </c>
      <c r="X285" s="136" t="n">
        <f aca="false" ca="false" dt2D="false" dtr="false" t="normal">MID(J281, 5, 1)</f>
        <v>0</v>
      </c>
      <c r="Y285" s="137" t="n">
        <f aca="false" ca="false" dt2D="false" dtr="false" t="normal">X285</f>
        <v>0</v>
      </c>
      <c r="Z285" s="120" t="s">
        <v>200</v>
      </c>
      <c r="AA285" s="140" t="s">
        <v>1379</v>
      </c>
      <c r="AB285" s="136" t="n">
        <f aca="false" ca="false" dt2D="false" dtr="false" t="normal">MID(K281, 5, 1)</f>
        <v>0</v>
      </c>
      <c r="AC285" s="137" t="n">
        <f aca="false" ca="false" dt2D="false" dtr="false" t="normal">AB285</f>
        <v>0</v>
      </c>
      <c r="AD285" s="120" t="s">
        <v>200</v>
      </c>
      <c r="AE285" s="139" t="s">
        <v>1380</v>
      </c>
      <c r="AF285" s="136" t="n">
        <f aca="false" ca="false" dt2D="false" dtr="false" t="normal">MID(L281, 5, 1)</f>
        <v>0</v>
      </c>
      <c r="AG285" s="137" t="n">
        <f aca="false" ca="false" dt2D="false" dtr="false" t="normal">AF285</f>
        <v>0</v>
      </c>
      <c r="AH285" s="120" t="s">
        <v>200</v>
      </c>
      <c r="AI285" s="139" t="s">
        <v>1381</v>
      </c>
      <c r="AJ285" s="3457" t="s"/>
      <c r="AK285" s="3458" t="s"/>
    </row>
    <row hidden="false" ht="15" outlineLevel="0" r="286">
      <c r="C286" s="98" t="s">
        <v>185</v>
      </c>
      <c r="D286" s="53" t="n">
        <f aca="false" ca="false" dt2D="false" dtr="false" t="normal">HEX2BIN(D285, 8)</f>
        <v>111</v>
      </c>
      <c r="E286" s="53" t="n">
        <f aca="false" ca="false" dt2D="false" dtr="false" t="normal">HEX2BIN(E285, 8)</f>
        <v>100000</v>
      </c>
      <c r="F286" s="53" t="n">
        <f aca="false" ca="false" dt2D="false" dtr="false" t="normal">HEX2BIN(F285, 8)</f>
        <v>100</v>
      </c>
      <c r="G286" s="53" t="n">
        <f aca="false" ca="false" dt2D="false" dtr="false" t="normal">HEX2BIN(G285, 8)</f>
        <v>10110</v>
      </c>
      <c r="H286" s="171" t="n">
        <f aca="false" ca="false" dt2D="false" dtr="false" t="normal">Q281&amp;Q282&amp;Q283&amp;Q284&amp;Q285&amp;Q286&amp;Q287&amp;Q288</f>
        <v>0</v>
      </c>
      <c r="I286" s="53" t="n">
        <f aca="false" ca="false" dt2D="false" dtr="false" t="normal">U281&amp;U282&amp;U283&amp;U284&amp;U285&amp;U286&amp;U287&amp;U288</f>
        <v>0</v>
      </c>
      <c r="J286" s="171" t="n">
        <f aca="false" ca="false" dt2D="false" dtr="false" t="normal">Y281&amp;Y282&amp;Y283&amp;Y284&amp;Y285&amp;Y286&amp;Y287&amp;Y288</f>
        <v>0</v>
      </c>
      <c r="K286" s="171" t="n">
        <f aca="false" ca="false" dt2D="false" dtr="false" t="normal">AC281&amp;AC282&amp;AC283&amp;AC284&amp;AC285&amp;AC286&amp;AC287&amp;AC288</f>
        <v>0</v>
      </c>
      <c r="L286" s="53" t="n">
        <f aca="false" ca="false" dt2D="false" dtr="false" t="normal">AG281&amp;AG282&amp;AG283&amp;AG284&amp;AG285&amp;AG286&amp;AG287&amp;AG288</f>
        <v>0</v>
      </c>
      <c r="M286" s="53" t="n">
        <f aca="false" ca="false" dt2D="false" dtr="false" t="normal">DEC2HEX(M287)</f>
        <v>41</v>
      </c>
      <c r="N286" s="63" t="n"/>
      <c r="P286" s="136" t="n">
        <f aca="false" ca="false" dt2D="false" dtr="false" t="normal">MID(H281, 6, 1)</f>
        <v>0</v>
      </c>
      <c r="Q286" s="137" t="n">
        <f aca="false" ca="false" dt2D="false" dtr="false" t="normal">P286</f>
        <v>0</v>
      </c>
      <c r="R286" s="120" t="s">
        <v>203</v>
      </c>
      <c r="S286" s="3459" t="s"/>
      <c r="T286" s="136" t="n">
        <f aca="false" ca="false" dt2D="false" dtr="false" t="normal">MID(I281, 6, 1)</f>
        <v>0</v>
      </c>
      <c r="U286" s="137" t="n">
        <f aca="false" ca="false" dt2D="false" dtr="false" t="normal">T286</f>
        <v>0</v>
      </c>
      <c r="V286" s="120" t="s">
        <v>203</v>
      </c>
      <c r="W286" s="131" t="s">
        <v>196</v>
      </c>
      <c r="X286" s="136" t="n">
        <f aca="false" ca="false" dt2D="false" dtr="false" t="normal">MID(J281, 6, 1)</f>
        <v>0</v>
      </c>
      <c r="Y286" s="137" t="n">
        <f aca="false" ca="false" dt2D="false" dtr="false" t="normal">X286</f>
        <v>0</v>
      </c>
      <c r="Z286" s="120" t="s">
        <v>203</v>
      </c>
      <c r="AA286" s="3460" t="s"/>
      <c r="AB286" s="136" t="n">
        <f aca="false" ca="false" dt2D="false" dtr="false" t="normal">MID(K281, 6, 1)</f>
        <v>0</v>
      </c>
      <c r="AC286" s="137" t="n">
        <f aca="false" ca="false" dt2D="false" dtr="false" t="normal">AB286</f>
        <v>0</v>
      </c>
      <c r="AD286" s="120" t="s">
        <v>203</v>
      </c>
      <c r="AE286" s="139" t="s">
        <v>1382</v>
      </c>
      <c r="AF286" s="136" t="n">
        <f aca="false" ca="false" dt2D="false" dtr="false" t="normal">MID(L281, 6, 1)</f>
        <v>0</v>
      </c>
      <c r="AG286" s="137" t="n">
        <f aca="false" ca="false" dt2D="false" dtr="false" t="normal">AF286</f>
        <v>0</v>
      </c>
      <c r="AH286" s="120" t="s">
        <v>203</v>
      </c>
      <c r="AI286" s="131" t="s">
        <v>196</v>
      </c>
      <c r="AJ286" s="3461" t="s"/>
      <c r="AK286" s="3462" t="s"/>
    </row>
    <row hidden="false" ht="15" outlineLevel="0" r="287">
      <c r="C287" s="98" t="s">
        <v>191</v>
      </c>
      <c r="D287" s="53" t="n">
        <f aca="false" ca="false" dt2D="false" dtr="false" t="normal">HEX2DEC(D285)</f>
        <v>7</v>
      </c>
      <c r="E287" s="53" t="n">
        <f aca="false" ca="false" dt2D="false" dtr="false" t="normal">HEX2DEC(E285)</f>
        <v>32</v>
      </c>
      <c r="F287" s="53" t="n">
        <f aca="false" ca="false" dt2D="false" dtr="false" t="normal">HEX2DEC(F285)</f>
        <v>4</v>
      </c>
      <c r="G287" s="53" t="n">
        <f aca="false" ca="false" dt2D="false" dtr="false" t="normal">HEX2DEC(G285)</f>
        <v>22</v>
      </c>
      <c r="H287" s="53" t="n">
        <f aca="false" ca="false" dt2D="false" dtr="false" t="normal">HEX2DEC(H285)</f>
        <v>0</v>
      </c>
      <c r="I287" s="53" t="n">
        <f aca="false" ca="false" dt2D="false" dtr="false" t="normal">HEX2DEC(I285)</f>
        <v>0</v>
      </c>
      <c r="J287" s="53" t="n">
        <f aca="false" ca="false" dt2D="false" dtr="false" t="normal">HEX2DEC(J285)</f>
        <v>0</v>
      </c>
      <c r="K287" s="53" t="n">
        <f aca="false" ca="false" dt2D="false" dtr="false" t="normal">HEX2DEC(K285)</f>
        <v>0</v>
      </c>
      <c r="L287" s="53" t="n">
        <f aca="false" ca="false" dt2D="false" dtr="false" t="normal">HEX2DEC(L285)</f>
        <v>0</v>
      </c>
      <c r="M287" s="53" t="n">
        <f aca="false" ca="false" dt2D="false" dtr="false" t="normal">SUM(D287:L287)</f>
        <v>65</v>
      </c>
      <c r="N287" s="63" t="n"/>
      <c r="P287" s="136" t="n">
        <f aca="false" ca="false" dt2D="false" dtr="false" t="normal">MID(H281, 7, 1)</f>
        <v>0</v>
      </c>
      <c r="Q287" s="137" t="n">
        <f aca="false" ca="false" dt2D="false" dtr="false" t="normal">P287</f>
        <v>0</v>
      </c>
      <c r="R287" s="120" t="s">
        <v>206</v>
      </c>
      <c r="S287" s="3463" t="s"/>
      <c r="T287" s="136" t="n">
        <f aca="false" ca="false" dt2D="false" dtr="false" t="normal">MID(I281, 7, 1)</f>
        <v>0</v>
      </c>
      <c r="U287" s="137" t="n">
        <f aca="false" ca="false" dt2D="false" dtr="false" t="normal">T287</f>
        <v>0</v>
      </c>
      <c r="V287" s="120" t="s">
        <v>206</v>
      </c>
      <c r="W287" s="139" t="s">
        <v>1383</v>
      </c>
      <c r="X287" s="136" t="n">
        <f aca="false" ca="false" dt2D="false" dtr="false" t="normal">MID(J281, 7, 1)</f>
        <v>0</v>
      </c>
      <c r="Y287" s="137" t="n">
        <f aca="false" ca="false" dt2D="false" dtr="false" t="normal">X287</f>
        <v>0</v>
      </c>
      <c r="Z287" s="120" t="s">
        <v>206</v>
      </c>
      <c r="AA287" s="131" t="s">
        <v>196</v>
      </c>
      <c r="AB287" s="136" t="n">
        <f aca="false" ca="false" dt2D="false" dtr="false" t="normal">MID(K281, 7, 1)</f>
        <v>0</v>
      </c>
      <c r="AC287" s="137" t="n">
        <f aca="false" ca="false" dt2D="false" dtr="false" t="normal">AB287</f>
        <v>0</v>
      </c>
      <c r="AD287" s="120" t="s">
        <v>206</v>
      </c>
      <c r="AE287" s="139" t="s">
        <v>1384</v>
      </c>
      <c r="AF287" s="136" t="n">
        <f aca="false" ca="false" dt2D="false" dtr="false" t="normal">MID(L281, 7, 1)</f>
        <v>0</v>
      </c>
      <c r="AG287" s="137" t="n">
        <f aca="false" ca="false" dt2D="false" dtr="false" t="normal">AF287</f>
        <v>0</v>
      </c>
      <c r="AH287" s="120" t="s">
        <v>206</v>
      </c>
      <c r="AI287" s="131" t="s">
        <v>196</v>
      </c>
      <c r="AJ287" s="3464" t="s"/>
      <c r="AK287" s="3465" t="s"/>
    </row>
    <row hidden="false" ht="15.75" outlineLevel="0" r="288">
      <c r="C288" s="180" t="s">
        <v>194</v>
      </c>
      <c r="D288" s="299" t="n">
        <f aca="false" ca="false" dt2D="false" dtr="false" t="normal">D283</f>
        <v>7</v>
      </c>
      <c r="E288" s="299" t="n">
        <f aca="false" ca="false" dt2D="false" dtr="false" t="normal">E283</f>
        <v>20</v>
      </c>
      <c r="F288" s="299" t="str">
        <f aca="false" ca="false" dt2D="false" dtr="false" t="normal">F283</f>
        <v>G4</v>
      </c>
      <c r="G288" s="299" t="str">
        <f aca="false" ca="false" dt2D="false" dtr="false" t="normal">G283</f>
        <v>H0</v>
      </c>
      <c r="H288" s="45" t="n"/>
      <c r="I288" s="45" t="n"/>
      <c r="J288" s="45" t="n"/>
      <c r="K288" s="45" t="n"/>
      <c r="L288" s="45" t="n"/>
      <c r="M288" s="45" t="n"/>
      <c r="N288" s="49" t="n"/>
      <c r="P288" s="182" t="n">
        <f aca="false" ca="false" dt2D="false" dtr="false" t="normal">MID(H281, 8, 1)</f>
        <v>0</v>
      </c>
      <c r="Q288" s="183" t="n">
        <f aca="false" ca="false" dt2D="false" dtr="false" t="normal">P288</f>
        <v>0</v>
      </c>
      <c r="R288" s="184" t="s">
        <v>208</v>
      </c>
      <c r="S288" s="185" t="s">
        <v>196</v>
      </c>
      <c r="T288" s="182" t="n">
        <f aca="false" ca="false" dt2D="false" dtr="false" t="normal">MID(I281, 8, 1)</f>
        <v>0</v>
      </c>
      <c r="U288" s="183" t="n">
        <f aca="false" ca="false" dt2D="false" dtr="false" t="normal">T288</f>
        <v>0</v>
      </c>
      <c r="V288" s="184" t="s">
        <v>208</v>
      </c>
      <c r="W288" s="187" t="s">
        <v>1385</v>
      </c>
      <c r="X288" s="182" t="n">
        <f aca="false" ca="false" dt2D="false" dtr="false" t="normal">MID(J281, 8, 1)</f>
        <v>0</v>
      </c>
      <c r="Y288" s="183" t="n">
        <f aca="false" ca="false" dt2D="false" dtr="false" t="normal">X288</f>
        <v>0</v>
      </c>
      <c r="Z288" s="184" t="s">
        <v>208</v>
      </c>
      <c r="AA288" s="185" t="s">
        <v>196</v>
      </c>
      <c r="AB288" s="182" t="n">
        <f aca="false" ca="false" dt2D="false" dtr="false" t="normal">MID(K281, 8, 1)</f>
        <v>0</v>
      </c>
      <c r="AC288" s="183" t="n">
        <f aca="false" ca="false" dt2D="false" dtr="false" t="normal">AB288</f>
        <v>0</v>
      </c>
      <c r="AD288" s="184" t="s">
        <v>208</v>
      </c>
      <c r="AE288" s="187" t="s">
        <v>1386</v>
      </c>
      <c r="AF288" s="182" t="n">
        <f aca="false" ca="false" dt2D="false" dtr="false" t="normal">MID(L281, 8, 1)</f>
        <v>0</v>
      </c>
      <c r="AG288" s="183" t="n">
        <f aca="false" ca="false" dt2D="false" dtr="false" t="normal">AF288</f>
        <v>0</v>
      </c>
      <c r="AH288" s="184" t="s">
        <v>208</v>
      </c>
      <c r="AI288" s="1003" t="s">
        <v>1387</v>
      </c>
      <c r="AJ288" s="3466" t="s"/>
      <c r="AK288" s="3467" t="s"/>
    </row>
    <row hidden="false" ht="15.75" outlineLevel="0" r="289">
      <c r="C289" s="93" t="n"/>
      <c r="D289" s="94" t="n"/>
      <c r="E289" s="94" t="n"/>
      <c r="F289" s="94" t="n"/>
      <c r="G289" s="94" t="n"/>
      <c r="H289" s="94" t="n"/>
      <c r="I289" s="94" t="n"/>
      <c r="J289" s="94" t="n"/>
      <c r="K289" s="94" t="n"/>
      <c r="L289" s="94" t="n"/>
      <c r="M289" s="94" t="s">
        <v>161</v>
      </c>
      <c r="N289" s="60" t="n"/>
      <c r="P289" s="95" t="str">
        <f aca="false" ca="false" dt2D="false" dtr="false" t="normal">RIGHT(D291, 1)&amp;E291&amp;"-"&amp;F291&amp;"-"&amp;G291</f>
        <v>720-04-17</v>
      </c>
      <c r="Q289" s="3468" t="s"/>
      <c r="R289" s="234" t="s">
        <v>1388</v>
      </c>
      <c r="S289" s="3469" t="s"/>
      <c r="T289" s="3470" t="s"/>
      <c r="U289" s="3471" t="s"/>
      <c r="V289" s="3472" t="s"/>
      <c r="W289" s="3473" t="s"/>
      <c r="X289" s="3474" t="s"/>
      <c r="Y289" s="3475" t="s"/>
      <c r="Z289" s="3476" t="s"/>
      <c r="AA289" s="3477" t="s"/>
      <c r="AB289" s="3478" t="s"/>
      <c r="AC289" s="3479" t="s"/>
      <c r="AD289" s="3480" t="s"/>
      <c r="AE289" s="3481" t="s"/>
      <c r="AF289" s="3482" t="s"/>
      <c r="AG289" s="3483" t="s"/>
      <c r="AH289" s="3484" t="s"/>
      <c r="AI289" s="3485" t="s"/>
      <c r="AJ289" s="3486" t="s"/>
      <c r="AK289" s="3487" t="s"/>
    </row>
    <row hidden="false" ht="15.75" outlineLevel="0" r="290">
      <c r="C290" s="98" t="n"/>
      <c r="D290" s="99" t="s">
        <v>1389</v>
      </c>
      <c r="E290" s="3488" t="s"/>
      <c r="F290" s="3489" t="s"/>
      <c r="G290" s="3490" t="s"/>
      <c r="H290" s="53" t="s">
        <v>165</v>
      </c>
      <c r="I290" s="53" t="s">
        <v>166</v>
      </c>
      <c r="J290" s="53" t="s">
        <v>167</v>
      </c>
      <c r="K290" s="53" t="s">
        <v>168</v>
      </c>
      <c r="L290" s="53" t="s">
        <v>169</v>
      </c>
      <c r="M290" s="53" t="s">
        <v>221</v>
      </c>
      <c r="N290" s="63" t="n"/>
      <c r="P290" s="116" t="s">
        <v>1390</v>
      </c>
      <c r="Q290" s="3491" t="s"/>
      <c r="R290" s="3492" t="s"/>
      <c r="S290" s="3493" t="s"/>
      <c r="T290" s="116" t="s">
        <v>1391</v>
      </c>
      <c r="U290" s="3494" t="s"/>
      <c r="V290" s="3495" t="s"/>
      <c r="W290" s="3496" t="s"/>
      <c r="X290" s="103" t="s">
        <v>1392</v>
      </c>
      <c r="Y290" s="3497" t="s"/>
      <c r="Z290" s="3498" t="s"/>
      <c r="AA290" s="3499" t="s"/>
      <c r="AB290" s="103" t="s">
        <v>1393</v>
      </c>
      <c r="AC290" s="3500" t="s"/>
      <c r="AD290" s="3501" t="s"/>
      <c r="AE290" s="3502" t="s"/>
      <c r="AF290" s="103" t="s">
        <v>1394</v>
      </c>
      <c r="AG290" s="3503" t="s"/>
      <c r="AH290" s="3504" t="s"/>
      <c r="AI290" s="3505" t="s"/>
      <c r="AJ290" s="116" t="s">
        <v>1395</v>
      </c>
      <c r="AK290" s="3506" t="s"/>
    </row>
    <row hidden="false" ht="15.75" outlineLevel="0" r="291">
      <c r="C291" s="98" t="s">
        <v>176</v>
      </c>
      <c r="D291" s="122" t="s">
        <v>177</v>
      </c>
      <c r="E291" s="123" t="s">
        <v>693</v>
      </c>
      <c r="F291" s="123" t="s">
        <v>342</v>
      </c>
      <c r="G291" s="124" t="s">
        <v>1396</v>
      </c>
      <c r="H291" s="1819" t="n">
        <f aca="false" ca="false" dt2D="false" dtr="false" ref="H291:H291" t="array">MID(INDEX($A$3:$A$70, IF(ISNA(MATCH("720G4H1*", $A$3:$A$70, 0))=TRUE, MATCH("7200417*", $A$3:$A$70, 0), MATCH("720G4H1*", $A$3:$A$70, 0))), $AU$8, 2)</f>
        <v>0</v>
      </c>
      <c r="I291" s="1820" t="n">
        <f aca="false" ca="false" dt2D="false" dtr="false" ref="I291:I291" t="array">MID(INDEX($A$3:$A$70, IF(ISNA(MATCH("720G4H1*", $A$3:$A$70, 0))=TRUE, MATCH("7200417*", $A$3:$A$70, 0), MATCH("720G4H1*", $A$3:$A$70, 0))), $AV$8, 2)</f>
        <v>0</v>
      </c>
      <c r="J291" s="164" t="n">
        <f aca="false" ca="false" dt2D="false" dtr="false" ref="J291:J291" t="array">MID(INDEX($A$3:$A$70, IF(ISNA(MATCH("720G4H1*", $A$3:$A$70, 0))=TRUE, MATCH("7200417*", $A$3:$A$70, 0), MATCH("720G4H1*", $A$3:$A$70, 0))), $AW$8, 2)</f>
        <v>0</v>
      </c>
      <c r="K291" s="1820" t="n">
        <f aca="false" ca="false" dt2D="false" dtr="false" ref="K291:K291" t="array">MID(INDEX($A$3:$A$70, IF(ISNA(MATCH("720G4H1*", $A$3:$A$70, 0))=TRUE, MATCH("7200417*", $A$3:$A$70, 0), MATCH("720G4H1*", $A$3:$A$70, 0))), $AX$8, 2)</f>
        <v>0</v>
      </c>
      <c r="L291" s="1821" t="n">
        <f aca="false" ca="false" dt2D="false" dtr="false" ref="L291:L291" t="array">MID(INDEX($A$3:$A$70, IF(ISNA(MATCH("720G4H1*", $A$3:$A$70, 0))=TRUE, MATCH("7200417*", $A$3:$A$70, 0), MATCH("720G4H1*", $A$3:$A$70, 0))), $AY$8, 2)</f>
        <v>0</v>
      </c>
      <c r="M291" s="218" t="n">
        <f aca="false" ca="false" dt2D="false" dtr="false" ref="M291:M291" t="array">MID(INDEX($A$3:$A$70, IF(ISNA(MATCH("720G4H1*", $A$3:$A$70, 0))=TRUE, MATCH("7200417*", $A$3:$A$70, 0), MATCH("720G4H1*", $A$3:$A$70, 0))), $AZ$8, 2)</f>
        <v>42</v>
      </c>
      <c r="N291" s="63" t="s">
        <v>180</v>
      </c>
      <c r="P291" s="116" t="n"/>
      <c r="Q291" s="3507" t="s"/>
      <c r="R291" s="3508" t="s"/>
      <c r="S291" s="3509" t="s"/>
      <c r="T291" s="116" t="n"/>
      <c r="U291" s="3510" t="s"/>
      <c r="V291" s="3511" t="s"/>
      <c r="W291" s="3512" t="s"/>
      <c r="X291" s="129" t="s">
        <v>180</v>
      </c>
      <c r="Y291" s="130" t="s">
        <v>181</v>
      </c>
      <c r="Z291" s="121" t="s">
        <v>182</v>
      </c>
      <c r="AA291" s="131" t="n"/>
      <c r="AB291" s="129" t="s">
        <v>180</v>
      </c>
      <c r="AC291" s="130" t="s">
        <v>181</v>
      </c>
      <c r="AD291" s="121" t="s">
        <v>182</v>
      </c>
      <c r="AE291" s="131" t="n"/>
      <c r="AF291" s="129" t="s">
        <v>180</v>
      </c>
      <c r="AG291" s="130" t="s">
        <v>181</v>
      </c>
      <c r="AH291" s="121" t="s">
        <v>182</v>
      </c>
      <c r="AI291" s="121" t="n"/>
      <c r="AJ291" s="116" t="s">
        <v>183</v>
      </c>
      <c r="AK291" s="3513" t="s"/>
    </row>
    <row customHeight="true" hidden="false" ht="15" outlineLevel="0" r="292">
      <c r="C292" s="98" t="s">
        <v>185</v>
      </c>
      <c r="D292" s="53" t="n">
        <f aca="false" ca="false" dt2D="false" dtr="false" t="normal">HEX2BIN(D291, 8)</f>
        <v>111</v>
      </c>
      <c r="E292" s="53" t="n">
        <f aca="false" ca="false" dt2D="false" dtr="false" t="normal">HEX2BIN(E291, 8)</f>
        <v>100000</v>
      </c>
      <c r="F292" s="53" t="n">
        <f aca="false" ca="false" dt2D="false" dtr="false" t="normal">HEX2BIN(F291, 8)</f>
        <v>100</v>
      </c>
      <c r="G292" s="53" t="n">
        <f aca="false" ca="false" dt2D="false" dtr="false" t="normal">HEX2BIN(G291, 8)</f>
        <v>10111</v>
      </c>
      <c r="H292" s="53" t="n">
        <f aca="false" ca="false" dt2D="false" dtr="false" t="normal">HEX2BIN(H291, 8)</f>
        <v>0</v>
      </c>
      <c r="I292" s="53" t="n">
        <f aca="false" ca="false" dt2D="false" dtr="false" t="normal">HEX2BIN(I291, 8)</f>
        <v>0</v>
      </c>
      <c r="J292" s="53" t="n">
        <f aca="false" ca="false" dt2D="false" dtr="false" t="normal">HEX2BIN(J291, 8)</f>
        <v>0</v>
      </c>
      <c r="K292" s="53" t="n">
        <f aca="false" ca="false" dt2D="false" dtr="false" t="normal">HEX2BIN(K291, 8)</f>
        <v>0</v>
      </c>
      <c r="L292" s="53" t="n">
        <f aca="false" ca="false" dt2D="false" dtr="false" t="normal">HEX2BIN(L291, 8)</f>
        <v>0</v>
      </c>
      <c r="N292" s="63" t="n"/>
      <c r="P292" s="3514" t="s"/>
      <c r="Q292" s="142" t="s"/>
      <c r="R292" s="142" t="s"/>
      <c r="S292" s="3515" t="s"/>
      <c r="T292" s="3516" t="s"/>
      <c r="U292" s="142" t="s"/>
      <c r="V292" s="142" t="s"/>
      <c r="W292" s="3517" t="s"/>
      <c r="X292" s="136" t="n">
        <f aca="false" ca="false" dt2D="false" dtr="false" t="normal">MID(J292, 1, 1)</f>
        <v>0</v>
      </c>
      <c r="Y292" s="137" t="n">
        <f aca="false" ca="false" dt2D="false" dtr="false" t="normal">X292</f>
        <v>0</v>
      </c>
      <c r="Z292" s="120" t="s">
        <v>186</v>
      </c>
      <c r="AA292" s="140" t="s">
        <v>1397</v>
      </c>
      <c r="AB292" s="136" t="n">
        <f aca="false" ca="false" dt2D="false" dtr="false" t="normal">MID(K292, 1, 1)</f>
        <v>0</v>
      </c>
      <c r="AC292" s="137" t="n">
        <f aca="false" ca="false" dt2D="false" dtr="false" t="normal">AB292</f>
        <v>0</v>
      </c>
      <c r="AD292" s="120" t="s">
        <v>186</v>
      </c>
      <c r="AE292" s="131" t="s">
        <v>196</v>
      </c>
      <c r="AF292" s="136" t="n">
        <f aca="false" ca="false" dt2D="false" dtr="false" t="normal">MID(L292, 1, 1)</f>
        <v>0</v>
      </c>
      <c r="AG292" s="137" t="n">
        <f aca="false" ca="false" dt2D="false" dtr="false" t="normal">AF292</f>
        <v>0</v>
      </c>
      <c r="AH292" s="120" t="s">
        <v>186</v>
      </c>
      <c r="AI292" s="139" t="s">
        <v>1398</v>
      </c>
      <c r="AJ292" s="3518" t="s"/>
      <c r="AK292" s="3519" t="s"/>
    </row>
    <row hidden="false" ht="15" outlineLevel="0" r="293">
      <c r="C293" s="98" t="s">
        <v>191</v>
      </c>
      <c r="D293" s="53" t="n">
        <f aca="false" ca="false" dt2D="false" dtr="false" t="normal">HEX2DEC(D291)</f>
        <v>7</v>
      </c>
      <c r="E293" s="53" t="n">
        <f aca="false" ca="false" dt2D="false" dtr="false" t="normal">HEX2DEC(E291)</f>
        <v>32</v>
      </c>
      <c r="F293" s="53" t="n">
        <f aca="false" ca="false" dt2D="false" dtr="false" t="normal">HEX2DEC(F291)</f>
        <v>4</v>
      </c>
      <c r="G293" s="53" t="n">
        <f aca="false" ca="false" dt2D="false" dtr="false" t="normal">HEX2DEC(G291)</f>
        <v>23</v>
      </c>
      <c r="H293" s="53" t="n">
        <f aca="false" ca="false" dt2D="false" dtr="false" t="normal">HEX2DEC(H291)</f>
        <v>0</v>
      </c>
      <c r="I293" s="53" t="n">
        <f aca="false" ca="false" dt2D="false" dtr="false" t="normal">HEX2DEC(I291)</f>
        <v>0</v>
      </c>
      <c r="J293" s="53" t="n">
        <f aca="false" ca="false" dt2D="false" dtr="false" t="normal">HEX2DEC(J291)</f>
        <v>0</v>
      </c>
      <c r="K293" s="53" t="n">
        <f aca="false" ca="false" dt2D="false" dtr="false" t="normal">HEX2DEC(K291)</f>
        <v>0</v>
      </c>
      <c r="L293" s="53" t="n">
        <f aca="false" ca="false" dt2D="false" dtr="false" t="normal">HEX2DEC(L291)</f>
        <v>0</v>
      </c>
      <c r="M293" s="53" t="n">
        <f aca="false" ca="false" dt2D="false" dtr="false" t="normal">SUM(D293:L293)</f>
        <v>66</v>
      </c>
      <c r="N293" s="63" t="n"/>
      <c r="P293" s="3520" t="s"/>
      <c r="Q293" s="142" t="s"/>
      <c r="R293" s="142" t="s"/>
      <c r="S293" s="3521" t="s"/>
      <c r="T293" s="3522" t="s"/>
      <c r="U293" s="142" t="s"/>
      <c r="V293" s="142" t="s"/>
      <c r="W293" s="3523" t="s"/>
      <c r="X293" s="136" t="n">
        <f aca="false" ca="false" dt2D="false" dtr="false" t="normal">MID(J292, 2, 1)</f>
        <v>0</v>
      </c>
      <c r="Y293" s="137" t="n">
        <f aca="false" ca="false" dt2D="false" dtr="false" t="normal">X293</f>
        <v>0</v>
      </c>
      <c r="Z293" s="120" t="s">
        <v>192</v>
      </c>
      <c r="AA293" s="3524" t="s"/>
      <c r="AB293" s="136" t="n">
        <f aca="false" ca="false" dt2D="false" dtr="false" t="normal">MID(K292, 2, 1)</f>
        <v>0</v>
      </c>
      <c r="AC293" s="137" t="n">
        <f aca="false" ca="false" dt2D="false" dtr="false" t="normal">AB293</f>
        <v>0</v>
      </c>
      <c r="AD293" s="120" t="s">
        <v>192</v>
      </c>
      <c r="AE293" s="139" t="s">
        <v>1399</v>
      </c>
      <c r="AF293" s="136" t="n">
        <f aca="false" ca="false" dt2D="false" dtr="false" t="normal">MID(L292, 2, 1)</f>
        <v>0</v>
      </c>
      <c r="AG293" s="137" t="n">
        <f aca="false" ca="false" dt2D="false" dtr="false" t="normal">AF293</f>
        <v>0</v>
      </c>
      <c r="AH293" s="120" t="s">
        <v>192</v>
      </c>
      <c r="AI293" s="139" t="s">
        <v>1400</v>
      </c>
      <c r="AJ293" s="3525" t="s"/>
      <c r="AK293" s="3526" t="s"/>
    </row>
    <row hidden="false" ht="15" outlineLevel="0" r="294">
      <c r="C294" s="98" t="s">
        <v>194</v>
      </c>
      <c r="D294" s="149" t="n">
        <f aca="false" ca="false" dt2D="false" dtr="false" t="normal">D291</f>
        <v>7</v>
      </c>
      <c r="E294" s="149" t="n">
        <f aca="false" ca="false" dt2D="false" dtr="false" t="normal">E291</f>
        <v>20</v>
      </c>
      <c r="F294" s="53" t="str">
        <f aca="false" ca="false" dt2D="false" dtr="false" t="normal">MID(INDEX($A$3:$A$70, IF(ISNA(MATCH("720G4H1*", $A$3:$A$70, 0))=TRUE, MATCH("7200417*", $A$3:$A$70, 0), MATCH("720G4H1*", $A$3:$A$70, 0))), $AS$8, 2)</f>
        <v>G4</v>
      </c>
      <c r="G294" s="53" t="str">
        <f aca="false" ca="false" dt2D="false" dtr="false" t="normal">MID(INDEX($A$3:$A$70, IF(ISNA(MATCH("720G4H1*", $A$3:$A$70, 0))=TRUE, MATCH("7200417*", $A$3:$A$70, 0), MATCH("720G4H1*", $A$3:$A$70, 0))), $AT$8, 2)</f>
        <v>H1</v>
      </c>
      <c r="N294" s="63" t="n"/>
      <c r="P294" s="3527" t="s"/>
      <c r="Q294" s="142" t="s"/>
      <c r="R294" s="142" t="s"/>
      <c r="S294" s="3528" t="s"/>
      <c r="T294" s="3529" t="s"/>
      <c r="U294" s="142" t="s"/>
      <c r="V294" s="142" t="s"/>
      <c r="W294" s="3530" t="s"/>
      <c r="X294" s="136" t="n">
        <f aca="false" ca="false" dt2D="false" dtr="false" t="normal">MID(J292, 3, 1)</f>
        <v>0</v>
      </c>
      <c r="Y294" s="137" t="n">
        <f aca="false" ca="false" dt2D="false" dtr="false" t="normal">X294</f>
        <v>0</v>
      </c>
      <c r="Z294" s="120" t="s">
        <v>195</v>
      </c>
      <c r="AA294" s="3531" t="s"/>
      <c r="AB294" s="136" t="n">
        <f aca="false" ca="false" dt2D="false" dtr="false" t="normal">MID(K292, 3, 1)</f>
        <v>0</v>
      </c>
      <c r="AC294" s="137" t="n">
        <f aca="false" ca="false" dt2D="false" dtr="false" t="normal">AB294</f>
        <v>0</v>
      </c>
      <c r="AD294" s="120" t="s">
        <v>195</v>
      </c>
      <c r="AE294" s="131" t="s">
        <v>196</v>
      </c>
      <c r="AF294" s="136" t="n">
        <f aca="false" ca="false" dt2D="false" dtr="false" t="normal">MID(L292, 3, 1)</f>
        <v>0</v>
      </c>
      <c r="AG294" s="137" t="n">
        <f aca="false" ca="false" dt2D="false" dtr="false" t="normal">AF294</f>
        <v>0</v>
      </c>
      <c r="AH294" s="120" t="s">
        <v>195</v>
      </c>
      <c r="AI294" s="131" t="s">
        <v>196</v>
      </c>
      <c r="AJ294" s="3532" t="s"/>
      <c r="AK294" s="3533" t="s"/>
    </row>
    <row hidden="false" ht="15.75" outlineLevel="0" r="295">
      <c r="C295" s="98" t="n"/>
      <c r="N295" s="63" t="n"/>
      <c r="P295" s="3534" t="s"/>
      <c r="Q295" s="142" t="s"/>
      <c r="R295" s="142" t="s"/>
      <c r="S295" s="3535" t="s"/>
      <c r="T295" s="3536" t="s"/>
      <c r="U295" s="142" t="s"/>
      <c r="V295" s="142" t="s"/>
      <c r="W295" s="3537" t="s"/>
      <c r="X295" s="136" t="n">
        <f aca="false" ca="false" dt2D="false" dtr="false" t="normal">MID(J292, 4, 1)</f>
        <v>0</v>
      </c>
      <c r="Y295" s="137" t="n">
        <f aca="false" ca="false" dt2D="false" dtr="false" t="normal">X295</f>
        <v>0</v>
      </c>
      <c r="Z295" s="120" t="s">
        <v>197</v>
      </c>
      <c r="AA295" s="3538" t="s"/>
      <c r="AB295" s="136" t="n">
        <f aca="false" ca="false" dt2D="false" dtr="false" t="normal">MID(K292, 4, 1)</f>
        <v>0</v>
      </c>
      <c r="AC295" s="137" t="n">
        <f aca="false" ca="false" dt2D="false" dtr="false" t="normal">AB295</f>
        <v>0</v>
      </c>
      <c r="AD295" s="120" t="s">
        <v>197</v>
      </c>
      <c r="AE295" s="131" t="s">
        <v>196</v>
      </c>
      <c r="AF295" s="136" t="n">
        <f aca="false" ca="false" dt2D="false" dtr="false" t="normal">MID(L292, 4, 1)</f>
        <v>0</v>
      </c>
      <c r="AG295" s="137" t="n">
        <f aca="false" ca="false" dt2D="false" dtr="false" t="normal">AF295</f>
        <v>0</v>
      </c>
      <c r="AH295" s="120" t="s">
        <v>197</v>
      </c>
      <c r="AI295" s="139" t="s">
        <v>1401</v>
      </c>
      <c r="AJ295" s="3539" t="s"/>
      <c r="AK295" s="3540" t="s"/>
    </row>
    <row hidden="false" ht="15.75" outlineLevel="0" r="296">
      <c r="C296" s="98" t="s">
        <v>176</v>
      </c>
      <c r="D296" s="159" t="n">
        <f aca="false" ca="false" dt2D="false" dtr="false" t="normal">D291</f>
        <v>7</v>
      </c>
      <c r="E296" s="160" t="n">
        <f aca="false" ca="false" dt2D="false" dtr="false" t="normal">E291</f>
        <v>20</v>
      </c>
      <c r="F296" s="160" t="n">
        <f aca="false" ca="false" dt2D="false" dtr="false" t="normal">F291</f>
        <v>4</v>
      </c>
      <c r="G296" s="161" t="n">
        <f aca="false" ca="false" dt2D="false" dtr="false" t="normal">G291</f>
        <v>17</v>
      </c>
      <c r="H296" s="2540" t="n">
        <f aca="false" ca="false" dt2D="false" dtr="false" t="normal">H291</f>
        <v>0</v>
      </c>
      <c r="I296" s="1916" t="n">
        <f aca="false" ca="false" dt2D="false" dtr="false" t="normal">I291</f>
        <v>0</v>
      </c>
      <c r="J296" s="164" t="n">
        <f aca="false" ca="false" dt2D="false" dtr="false" t="normal">BIN2HEX(J297, 2)</f>
        <v>0</v>
      </c>
      <c r="K296" s="165" t="n">
        <f aca="false" ca="false" dt2D="false" dtr="false" t="normal">BIN2HEX(K297, 2)</f>
        <v>0</v>
      </c>
      <c r="L296" s="288" t="n">
        <f aca="false" ca="false" dt2D="false" dtr="false" t="normal">BIN2HEX(L297, 2)</f>
        <v>0</v>
      </c>
      <c r="M296" s="166" t="n">
        <f aca="false" ca="false" dt2D="false" dtr="false" t="normal">IF(LEN(M297)&gt;2, MID(M297, 2, 2), M297)</f>
        <v>42</v>
      </c>
      <c r="N296" s="63" t="s">
        <v>181</v>
      </c>
      <c r="P296" s="3541" t="s"/>
      <c r="Q296" s="142" t="s"/>
      <c r="R296" s="142" t="s"/>
      <c r="S296" s="3542" t="s"/>
      <c r="T296" s="3543" t="s"/>
      <c r="U296" s="142" t="s"/>
      <c r="V296" s="142" t="s"/>
      <c r="W296" s="3544" t="s"/>
      <c r="X296" s="136" t="n">
        <f aca="false" ca="false" dt2D="false" dtr="false" t="normal">MID(J292, 5, 1)</f>
        <v>0</v>
      </c>
      <c r="Y296" s="137" t="n">
        <f aca="false" ca="false" dt2D="false" dtr="false" t="normal">X296</f>
        <v>0</v>
      </c>
      <c r="Z296" s="120" t="s">
        <v>200</v>
      </c>
      <c r="AA296" s="139" t="s">
        <v>1402</v>
      </c>
      <c r="AB296" s="136" t="n">
        <f aca="false" ca="false" dt2D="false" dtr="false" t="normal">MID(K292, 5, 1)</f>
        <v>0</v>
      </c>
      <c r="AC296" s="137" t="n">
        <f aca="false" ca="false" dt2D="false" dtr="false" t="normal">AB296</f>
        <v>0</v>
      </c>
      <c r="AD296" s="120" t="s">
        <v>200</v>
      </c>
      <c r="AE296" s="139" t="s">
        <v>1403</v>
      </c>
      <c r="AF296" s="136" t="n">
        <f aca="false" ca="false" dt2D="false" dtr="false" t="normal">MID(L292, 5, 1)</f>
        <v>0</v>
      </c>
      <c r="AG296" s="137" t="n">
        <f aca="false" ca="false" dt2D="false" dtr="false" t="normal">AF296</f>
        <v>0</v>
      </c>
      <c r="AH296" s="120" t="s">
        <v>200</v>
      </c>
      <c r="AI296" s="131" t="s">
        <v>196</v>
      </c>
      <c r="AJ296" s="3545" t="s"/>
      <c r="AK296" s="3546" t="s"/>
    </row>
    <row hidden="false" ht="15" outlineLevel="0" r="297">
      <c r="C297" s="98" t="s">
        <v>185</v>
      </c>
      <c r="D297" s="53" t="n">
        <f aca="false" ca="false" dt2D="false" dtr="false" t="normal">HEX2BIN(D296, 8)</f>
        <v>111</v>
      </c>
      <c r="E297" s="53" t="n">
        <f aca="false" ca="false" dt2D="false" dtr="false" t="normal">HEX2BIN(E296, 8)</f>
        <v>100000</v>
      </c>
      <c r="F297" s="53" t="n">
        <f aca="false" ca="false" dt2D="false" dtr="false" t="normal">HEX2BIN(F296, 8)</f>
        <v>100</v>
      </c>
      <c r="G297" s="53" t="n">
        <f aca="false" ca="false" dt2D="false" dtr="false" t="normal">HEX2BIN(G296, 8)</f>
        <v>10111</v>
      </c>
      <c r="H297" s="171" t="n"/>
      <c r="I297" s="53" t="n"/>
      <c r="J297" s="171" t="n">
        <f aca="false" ca="false" dt2D="false" dtr="false" t="normal">Y292&amp;Y293&amp;Y294&amp;Y295&amp;Y296&amp;Y297&amp;Y298&amp;Y299</f>
        <v>0</v>
      </c>
      <c r="K297" s="171" t="n">
        <f aca="false" ca="false" dt2D="false" dtr="false" t="normal">AC292&amp;AC293&amp;AC294&amp;AC295&amp;AC296&amp;AC297&amp;AC298&amp;AC299</f>
        <v>0</v>
      </c>
      <c r="L297" s="53" t="n">
        <f aca="false" ca="false" dt2D="false" dtr="false" t="normal">AG292&amp;AG293&amp;AG294&amp;AG295&amp;AG296&amp;AG297&amp;AG298&amp;AG299</f>
        <v>0</v>
      </c>
      <c r="M297" s="53" t="n">
        <f aca="false" ca="false" dt2D="false" dtr="false" t="normal">DEC2HEX(M298)</f>
        <v>42</v>
      </c>
      <c r="N297" s="63" t="n"/>
      <c r="P297" s="3547" t="s"/>
      <c r="Q297" s="142" t="s"/>
      <c r="R297" s="142" t="s"/>
      <c r="S297" s="3548" t="s"/>
      <c r="T297" s="3549" t="s"/>
      <c r="U297" s="142" t="s"/>
      <c r="V297" s="142" t="s"/>
      <c r="W297" s="3550" t="s"/>
      <c r="X297" s="136" t="n">
        <f aca="false" ca="false" dt2D="false" dtr="false" t="normal">MID(J292, 6, 1)</f>
        <v>0</v>
      </c>
      <c r="Y297" s="137" t="n">
        <f aca="false" ca="false" dt2D="false" dtr="false" t="normal">X297</f>
        <v>0</v>
      </c>
      <c r="Z297" s="120" t="s">
        <v>203</v>
      </c>
      <c r="AA297" s="139" t="s">
        <v>1404</v>
      </c>
      <c r="AB297" s="136" t="n">
        <f aca="false" ca="false" dt2D="false" dtr="false" t="normal">MID(K292, 6, 1)</f>
        <v>0</v>
      </c>
      <c r="AC297" s="137" t="n">
        <f aca="false" ca="false" dt2D="false" dtr="false" t="normal">AB297</f>
        <v>0</v>
      </c>
      <c r="AD297" s="120" t="s">
        <v>203</v>
      </c>
      <c r="AE297" s="131" t="s">
        <v>196</v>
      </c>
      <c r="AF297" s="136" t="n">
        <f aca="false" ca="false" dt2D="false" dtr="false" t="normal">MID(L292, 6, 1)</f>
        <v>0</v>
      </c>
      <c r="AG297" s="137" t="n">
        <f aca="false" ca="false" dt2D="false" dtr="false" t="normal">AF297</f>
        <v>0</v>
      </c>
      <c r="AH297" s="120" t="s">
        <v>203</v>
      </c>
      <c r="AI297" s="208" t="s">
        <v>1405</v>
      </c>
      <c r="AJ297" s="3551" t="s"/>
      <c r="AK297" s="3552" t="s"/>
    </row>
    <row hidden="false" ht="15" outlineLevel="0" r="298">
      <c r="C298" s="98" t="s">
        <v>191</v>
      </c>
      <c r="D298" s="53" t="n">
        <f aca="false" ca="false" dt2D="false" dtr="false" t="normal">HEX2DEC(D296)</f>
        <v>7</v>
      </c>
      <c r="E298" s="53" t="n">
        <f aca="false" ca="false" dt2D="false" dtr="false" t="normal">HEX2DEC(E296)</f>
        <v>32</v>
      </c>
      <c r="F298" s="53" t="n">
        <f aca="false" ca="false" dt2D="false" dtr="false" t="normal">HEX2DEC(F296)</f>
        <v>4</v>
      </c>
      <c r="G298" s="53" t="n">
        <f aca="false" ca="false" dt2D="false" dtr="false" t="normal">HEX2DEC(G296)</f>
        <v>23</v>
      </c>
      <c r="H298" s="53" t="n">
        <f aca="false" ca="false" dt2D="false" dtr="false" t="normal">HEX2DEC(H296)</f>
        <v>0</v>
      </c>
      <c r="I298" s="53" t="n">
        <f aca="false" ca="false" dt2D="false" dtr="false" t="normal">HEX2DEC(I296)</f>
        <v>0</v>
      </c>
      <c r="J298" s="53" t="n">
        <f aca="false" ca="false" dt2D="false" dtr="false" t="normal">HEX2DEC(J296)</f>
        <v>0</v>
      </c>
      <c r="K298" s="53" t="n">
        <f aca="false" ca="false" dt2D="false" dtr="false" t="normal">HEX2DEC(K296)</f>
        <v>0</v>
      </c>
      <c r="L298" s="53" t="n">
        <f aca="false" ca="false" dt2D="false" dtr="false" t="normal">HEX2DEC(L296)</f>
        <v>0</v>
      </c>
      <c r="M298" s="53" t="n">
        <f aca="false" ca="false" dt2D="false" dtr="false" t="normal">SUM(D298:L298)</f>
        <v>66</v>
      </c>
      <c r="N298" s="63" t="n"/>
      <c r="P298" s="3553" t="s"/>
      <c r="Q298" s="142" t="s"/>
      <c r="R298" s="142" t="s"/>
      <c r="S298" s="3554" t="s"/>
      <c r="T298" s="3555" t="s"/>
      <c r="U298" s="142" t="s"/>
      <c r="V298" s="142" t="s"/>
      <c r="W298" s="3556" t="s"/>
      <c r="X298" s="136" t="n">
        <f aca="false" ca="false" dt2D="false" dtr="false" t="normal">MID(J292, 7, 1)</f>
        <v>0</v>
      </c>
      <c r="Y298" s="137" t="n">
        <f aca="false" ca="false" dt2D="false" dtr="false" t="normal">X298</f>
        <v>0</v>
      </c>
      <c r="Z298" s="120" t="s">
        <v>206</v>
      </c>
      <c r="AA298" s="208" t="s">
        <v>1406</v>
      </c>
      <c r="AB298" s="136" t="n">
        <f aca="false" ca="false" dt2D="false" dtr="false" t="normal">MID(K292, 7, 1)</f>
        <v>0</v>
      </c>
      <c r="AC298" s="137" t="n">
        <f aca="false" ca="false" dt2D="false" dtr="false" t="normal">AB298</f>
        <v>0</v>
      </c>
      <c r="AD298" s="120" t="s">
        <v>206</v>
      </c>
      <c r="AE298" s="139" t="s">
        <v>1407</v>
      </c>
      <c r="AF298" s="136" t="n">
        <f aca="false" ca="false" dt2D="false" dtr="false" t="normal">MID(L292, 7, 1)</f>
        <v>0</v>
      </c>
      <c r="AG298" s="137" t="n">
        <f aca="false" ca="false" dt2D="false" dtr="false" t="normal">AF298</f>
        <v>0</v>
      </c>
      <c r="AH298" s="120" t="s">
        <v>206</v>
      </c>
      <c r="AI298" s="139" t="s">
        <v>1408</v>
      </c>
      <c r="AJ298" s="3557" t="s"/>
      <c r="AK298" s="3558" t="s"/>
    </row>
    <row hidden="false" ht="15.75" outlineLevel="0" r="299">
      <c r="C299" s="180" t="s">
        <v>194</v>
      </c>
      <c r="D299" s="299" t="n">
        <f aca="false" ca="false" dt2D="false" dtr="false" t="normal">D294</f>
        <v>7</v>
      </c>
      <c r="E299" s="299" t="n">
        <f aca="false" ca="false" dt2D="false" dtr="false" t="normal">E294</f>
        <v>20</v>
      </c>
      <c r="F299" s="299" t="str">
        <f aca="false" ca="false" dt2D="false" dtr="false" t="normal">F294</f>
        <v>G4</v>
      </c>
      <c r="G299" s="299" t="str">
        <f aca="false" ca="false" dt2D="false" dtr="false" t="normal">G294</f>
        <v>H1</v>
      </c>
      <c r="H299" s="45" t="n"/>
      <c r="I299" s="45" t="n"/>
      <c r="J299" s="45" t="n"/>
      <c r="K299" s="45" t="n"/>
      <c r="L299" s="45" t="n"/>
      <c r="M299" s="45" t="n"/>
      <c r="N299" s="49" t="n"/>
      <c r="P299" s="3559" t="s"/>
      <c r="Q299" s="3560" t="s"/>
      <c r="R299" s="3561" t="s"/>
      <c r="S299" s="3562" t="s"/>
      <c r="T299" s="3563" t="s"/>
      <c r="U299" s="3564" t="s"/>
      <c r="V299" s="3565" t="s"/>
      <c r="W299" s="3566" t="s"/>
      <c r="X299" s="182" t="n">
        <f aca="false" ca="false" dt2D="false" dtr="false" t="normal">MID(J292, 8, 1)</f>
        <v>0</v>
      </c>
      <c r="Y299" s="183" t="n">
        <f aca="false" ca="false" dt2D="false" dtr="false" t="normal">X299</f>
        <v>0</v>
      </c>
      <c r="Z299" s="184" t="s">
        <v>208</v>
      </c>
      <c r="AA299" s="187" t="s">
        <v>1409</v>
      </c>
      <c r="AB299" s="182" t="n">
        <f aca="false" ca="false" dt2D="false" dtr="false" t="normal">MID(K292, 8, 1)</f>
        <v>0</v>
      </c>
      <c r="AC299" s="183" t="n">
        <f aca="false" ca="false" dt2D="false" dtr="false" t="normal">AB299</f>
        <v>0</v>
      </c>
      <c r="AD299" s="184" t="s">
        <v>208</v>
      </c>
      <c r="AE299" s="187" t="s">
        <v>1410</v>
      </c>
      <c r="AF299" s="182" t="n">
        <f aca="false" ca="false" dt2D="false" dtr="false" t="normal">MID(L292, 8, 1)</f>
        <v>0</v>
      </c>
      <c r="AG299" s="183" t="n">
        <f aca="false" ca="false" dt2D="false" dtr="false" t="normal">AF299</f>
        <v>0</v>
      </c>
      <c r="AH299" s="184" t="s">
        <v>208</v>
      </c>
      <c r="AI299" s="187" t="s">
        <v>1411</v>
      </c>
      <c r="AJ299" s="3567" t="s"/>
      <c r="AK299" s="3568" t="s"/>
    </row>
    <row hidden="false" ht="15.75" outlineLevel="0" r="300">
      <c r="C300" s="93" t="n"/>
      <c r="D300" s="94" t="n"/>
      <c r="E300" s="94" t="n"/>
      <c r="F300" s="94" t="n"/>
      <c r="G300" s="94" t="n"/>
      <c r="H300" s="94" t="n"/>
      <c r="I300" s="94" t="n"/>
      <c r="J300" s="94" t="n"/>
      <c r="K300" s="94" t="n"/>
      <c r="L300" s="94" t="n"/>
      <c r="M300" s="94" t="s">
        <v>161</v>
      </c>
      <c r="N300" s="60" t="n"/>
      <c r="P300" s="95" t="str">
        <f aca="false" ca="false" dt2D="false" dtr="false" t="normal">RIGHT(D302, 1)&amp;E302&amp;"-"&amp;F302&amp;"-"&amp;G302</f>
        <v>720-04-18</v>
      </c>
      <c r="Q300" s="3569" t="s"/>
      <c r="R300" s="234" t="s">
        <v>1412</v>
      </c>
      <c r="S300" s="3570" t="s"/>
      <c r="T300" s="3571" t="s"/>
      <c r="U300" s="3572" t="s"/>
      <c r="V300" s="3573" t="s"/>
      <c r="W300" s="3574" t="s"/>
      <c r="X300" s="3575" t="s"/>
      <c r="Y300" s="3576" t="s"/>
      <c r="Z300" s="3577" t="s"/>
      <c r="AA300" s="3578" t="s"/>
      <c r="AB300" s="3579" t="s"/>
      <c r="AC300" s="3580" t="s"/>
      <c r="AD300" s="3581" t="s"/>
      <c r="AE300" s="3582" t="s"/>
      <c r="AF300" s="3583" t="s"/>
      <c r="AG300" s="3584" t="s"/>
      <c r="AH300" s="3585" t="s"/>
      <c r="AI300" s="3586" t="s"/>
      <c r="AJ300" s="3587" t="s"/>
      <c r="AK300" s="3588" t="s"/>
    </row>
    <row hidden="false" ht="15.75" outlineLevel="0" r="301">
      <c r="C301" s="98" t="n"/>
      <c r="D301" s="99" t="s">
        <v>1413</v>
      </c>
      <c r="E301" s="3589" t="s"/>
      <c r="F301" s="3590" t="s"/>
      <c r="G301" s="3591" t="s"/>
      <c r="H301" s="53" t="s">
        <v>165</v>
      </c>
      <c r="I301" s="53" t="s">
        <v>166</v>
      </c>
      <c r="J301" s="53" t="s">
        <v>167</v>
      </c>
      <c r="K301" s="53" t="s">
        <v>168</v>
      </c>
      <c r="L301" s="53" t="s">
        <v>169</v>
      </c>
      <c r="M301" s="53" t="s">
        <v>221</v>
      </c>
      <c r="N301" s="63" t="n"/>
      <c r="P301" s="103" t="s">
        <v>1414</v>
      </c>
      <c r="Q301" s="3592" t="s"/>
      <c r="R301" s="3593" t="s"/>
      <c r="S301" s="3594" t="s"/>
      <c r="T301" s="103" t="s">
        <v>1415</v>
      </c>
      <c r="U301" s="3595" t="s"/>
      <c r="V301" s="3596" t="s"/>
      <c r="W301" s="3597" t="s"/>
      <c r="X301" s="103" t="s">
        <v>1416</v>
      </c>
      <c r="Y301" s="3598" t="s"/>
      <c r="Z301" s="3599" t="s"/>
      <c r="AA301" s="3600" t="s"/>
      <c r="AB301" s="116" t="s">
        <v>1417</v>
      </c>
      <c r="AC301" s="3601" t="s"/>
      <c r="AD301" s="3602" t="s"/>
      <c r="AE301" s="3603" t="s"/>
      <c r="AF301" s="116" t="s">
        <v>1418</v>
      </c>
      <c r="AG301" s="3604" t="s"/>
      <c r="AH301" s="3605" t="s"/>
      <c r="AI301" s="3606" t="s"/>
      <c r="AJ301" s="116" t="s">
        <v>1419</v>
      </c>
      <c r="AK301" s="3607" t="s"/>
    </row>
    <row hidden="false" ht="15.75" outlineLevel="0" r="302">
      <c r="C302" s="98" t="s">
        <v>176</v>
      </c>
      <c r="D302" s="122" t="s">
        <v>177</v>
      </c>
      <c r="E302" s="123" t="s">
        <v>693</v>
      </c>
      <c r="F302" s="123" t="s">
        <v>342</v>
      </c>
      <c r="G302" s="124" t="s">
        <v>1420</v>
      </c>
      <c r="H302" s="164" t="n">
        <f aca="false" ca="false" dt2D="false" dtr="false" ref="H302:H302" t="array">MID(INDEX($A$3:$A$70, IF(ISNA(MATCH("720G4H2*", $A$3:$A$70, 0))=TRUE, MATCH("7200418*", $A$3:$A$70, 0), MATCH("720G4H2*", $A$3:$A$70, 0))), $AU$8, 2)</f>
        <v>0</v>
      </c>
      <c r="I302" s="1820" t="n">
        <f aca="false" ca="false" dt2D="false" dtr="false" ref="I302:I302" t="array">MID(INDEX($A$3:$A$70, IF(ISNA(MATCH("720G4H2*", $A$3:$A$70, 0))=TRUE, MATCH("7200418*", $A$3:$A$70, 0), MATCH("720G4H2*", $A$3:$A$70, 0))), $AV$8, 2)</f>
        <v>0</v>
      </c>
      <c r="J302" s="1820" t="n">
        <f aca="false" ca="false" dt2D="false" dtr="false" ref="J302:J302" t="array">MID(INDEX($A$3:$A$70, IF(ISNA(MATCH("720G4H2*", $A$3:$A$70, 0))=TRUE, MATCH("7200418*", $A$3:$A$70, 0), MATCH("720G4H2*", $A$3:$A$70, 0))), $AW$8, 2)</f>
        <v>0</v>
      </c>
      <c r="K302" s="1821" t="n">
        <f aca="false" ca="false" dt2D="false" dtr="false" ref="K302:K302" t="array">MID(INDEX($A$3:$A$70, IF(ISNA(MATCH("720G4H2*", $A$3:$A$70, 0))=TRUE, MATCH("7200418*", $A$3:$A$70, 0), MATCH("720G4H2*", $A$3:$A$70, 0))), $AX$8, 2)</f>
        <v>0</v>
      </c>
      <c r="L302" s="1821" t="n">
        <f aca="false" ca="false" dt2D="false" dtr="false" ref="L302:L302" t="array">MID(INDEX($A$3:$A$70, IF(ISNA(MATCH("720G4H2*", $A$3:$A$70, 0))=TRUE, MATCH("7200418*", $A$3:$A$70, 0), MATCH("720G4H2*", $A$3:$A$70, 0))), $AY$8, 2)</f>
        <v>0</v>
      </c>
      <c r="M302" s="218" t="n">
        <f aca="false" ca="false" dt2D="false" dtr="false" ref="M302:M302" t="array">MID(INDEX($A$3:$A$70, IF(ISNA(MATCH("720G4H2*", $A$3:$A$70, 0))=TRUE, MATCH("7200418*", $A$3:$A$70, 0), MATCH("720G4H2*", $A$3:$A$70, 0))), $AZ$8, 2)</f>
        <v>43</v>
      </c>
      <c r="N302" s="63" t="s">
        <v>180</v>
      </c>
      <c r="P302" s="129" t="s">
        <v>180</v>
      </c>
      <c r="Q302" s="130" t="s">
        <v>181</v>
      </c>
      <c r="R302" s="121" t="s">
        <v>182</v>
      </c>
      <c r="S302" s="131" t="n"/>
      <c r="T302" s="129" t="s">
        <v>180</v>
      </c>
      <c r="U302" s="130" t="s">
        <v>181</v>
      </c>
      <c r="V302" s="121" t="s">
        <v>182</v>
      </c>
      <c r="W302" s="131" t="n"/>
      <c r="X302" s="129" t="s">
        <v>180</v>
      </c>
      <c r="Y302" s="130" t="s">
        <v>181</v>
      </c>
      <c r="Z302" s="121" t="s">
        <v>182</v>
      </c>
      <c r="AA302" s="131" t="n"/>
      <c r="AB302" s="116" t="n"/>
      <c r="AC302" s="3608" t="s"/>
      <c r="AD302" s="3609" t="s"/>
      <c r="AE302" s="3610" t="s"/>
      <c r="AF302" s="116" t="n"/>
      <c r="AG302" s="3611" t="s"/>
      <c r="AH302" s="3612" t="s"/>
      <c r="AI302" s="3613" t="s"/>
      <c r="AJ302" s="116" t="s">
        <v>183</v>
      </c>
      <c r="AK302" s="3614" t="s"/>
    </row>
    <row customHeight="true" hidden="false" ht="15" outlineLevel="0" r="303">
      <c r="C303" s="98" t="s">
        <v>185</v>
      </c>
      <c r="D303" s="53" t="n">
        <f aca="false" ca="false" dt2D="false" dtr="false" t="normal">HEX2BIN(D302, 8)</f>
        <v>111</v>
      </c>
      <c r="E303" s="53" t="n">
        <f aca="false" ca="false" dt2D="false" dtr="false" t="normal">HEX2BIN(E302, 8)</f>
        <v>100000</v>
      </c>
      <c r="F303" s="53" t="n">
        <f aca="false" ca="false" dt2D="false" dtr="false" t="normal">HEX2BIN(F302, 8)</f>
        <v>100</v>
      </c>
      <c r="G303" s="53" t="n">
        <f aca="false" ca="false" dt2D="false" dtr="false" t="normal">HEX2BIN(G302, 8)</f>
        <v>11000</v>
      </c>
      <c r="H303" s="53" t="n">
        <f aca="false" ca="false" dt2D="false" dtr="false" t="normal">HEX2BIN(H302, 8)</f>
        <v>0</v>
      </c>
      <c r="I303" s="53" t="n">
        <f aca="false" ca="false" dt2D="false" dtr="false" t="normal">HEX2BIN(I302, 8)</f>
        <v>0</v>
      </c>
      <c r="J303" s="53" t="n">
        <f aca="false" ca="false" dt2D="false" dtr="false" t="normal">HEX2BIN(J302, 8)</f>
        <v>0</v>
      </c>
      <c r="K303" s="53" t="n">
        <f aca="false" ca="false" dt2D="false" dtr="false" t="normal">HEX2BIN(K302, 8)</f>
        <v>0</v>
      </c>
      <c r="L303" s="53" t="n">
        <f aca="false" ca="false" dt2D="false" dtr="false" t="normal">HEX2BIN(L302, 8)</f>
        <v>0</v>
      </c>
      <c r="N303" s="63" t="n"/>
      <c r="P303" s="136" t="n">
        <f aca="false" ca="false" dt2D="false" dtr="false" t="normal">MID(H303, 1, 1)</f>
        <v>0</v>
      </c>
      <c r="Q303" s="137" t="n">
        <f aca="false" ca="false" dt2D="false" dtr="false" t="normal">P303</f>
        <v>0</v>
      </c>
      <c r="R303" s="120" t="s">
        <v>186</v>
      </c>
      <c r="S303" s="139" t="s">
        <v>1421</v>
      </c>
      <c r="T303" s="136" t="n">
        <f aca="false" ca="false" dt2D="false" dtr="false" t="normal">MID(I303, 1, 1)</f>
        <v>0</v>
      </c>
      <c r="U303" s="137" t="n">
        <f aca="false" ca="false" dt2D="false" dtr="false" t="normal">T303</f>
        <v>0</v>
      </c>
      <c r="V303" s="120" t="s">
        <v>186</v>
      </c>
      <c r="W303" s="139" t="s">
        <v>1422</v>
      </c>
      <c r="X303" s="136" t="n">
        <f aca="false" ca="false" dt2D="false" dtr="false" t="normal">MID(J303, 1, 1)</f>
        <v>0</v>
      </c>
      <c r="Y303" s="137" t="n">
        <f aca="false" ca="false" dt2D="false" dtr="false" t="normal">X303</f>
        <v>0</v>
      </c>
      <c r="Z303" s="120" t="s">
        <v>186</v>
      </c>
      <c r="AA303" s="131" t="s">
        <v>196</v>
      </c>
      <c r="AB303" s="3615" t="s"/>
      <c r="AC303" s="142" t="s"/>
      <c r="AD303" s="142" t="s"/>
      <c r="AE303" s="3616" t="s"/>
      <c r="AF303" s="3617" t="s"/>
      <c r="AG303" s="142" t="s"/>
      <c r="AH303" s="142" t="s"/>
      <c r="AI303" s="3618" t="s"/>
      <c r="AJ303" s="3619" t="s"/>
      <c r="AK303" s="3620" t="s"/>
    </row>
    <row hidden="false" ht="15" outlineLevel="0" r="304">
      <c r="C304" s="98" t="s">
        <v>191</v>
      </c>
      <c r="D304" s="53" t="n">
        <f aca="false" ca="false" dt2D="false" dtr="false" t="normal">HEX2DEC(D302)</f>
        <v>7</v>
      </c>
      <c r="E304" s="53" t="n">
        <f aca="false" ca="false" dt2D="false" dtr="false" t="normal">HEX2DEC(E302)</f>
        <v>32</v>
      </c>
      <c r="F304" s="53" t="n">
        <f aca="false" ca="false" dt2D="false" dtr="false" t="normal">HEX2DEC(F302)</f>
        <v>4</v>
      </c>
      <c r="G304" s="53" t="n">
        <f aca="false" ca="false" dt2D="false" dtr="false" t="normal">HEX2DEC(G302)</f>
        <v>24</v>
      </c>
      <c r="H304" s="53" t="n">
        <f aca="false" ca="false" dt2D="false" dtr="false" t="normal">HEX2DEC(H302)</f>
        <v>0</v>
      </c>
      <c r="I304" s="53" t="n">
        <f aca="false" ca="false" dt2D="false" dtr="false" t="normal">HEX2DEC(I302)</f>
        <v>0</v>
      </c>
      <c r="J304" s="53" t="n">
        <f aca="false" ca="false" dt2D="false" dtr="false" t="normal">HEX2DEC(J302)</f>
        <v>0</v>
      </c>
      <c r="K304" s="53" t="n">
        <f aca="false" ca="false" dt2D="false" dtr="false" t="normal">HEX2DEC(K302)</f>
        <v>0</v>
      </c>
      <c r="L304" s="53" t="n">
        <f aca="false" ca="false" dt2D="false" dtr="false" t="normal">HEX2DEC(L302)</f>
        <v>0</v>
      </c>
      <c r="M304" s="53" t="n">
        <f aca="false" ca="false" dt2D="false" dtr="false" t="normal">SUM(D304:L304)</f>
        <v>67</v>
      </c>
      <c r="N304" s="63" t="n"/>
      <c r="P304" s="136" t="n">
        <f aca="false" ca="false" dt2D="false" dtr="false" t="normal">MID(H303, 2, 1)</f>
        <v>0</v>
      </c>
      <c r="Q304" s="137" t="n">
        <f aca="false" ca="false" dt2D="false" dtr="false" t="normal">P304</f>
        <v>0</v>
      </c>
      <c r="R304" s="120" t="s">
        <v>192</v>
      </c>
      <c r="S304" s="276" t="s">
        <v>1423</v>
      </c>
      <c r="T304" s="136" t="n">
        <f aca="false" ca="false" dt2D="false" dtr="false" t="normal">MID(I303, 2, 1)</f>
        <v>0</v>
      </c>
      <c r="U304" s="137" t="n">
        <f aca="false" ca="false" dt2D="false" dtr="false" t="normal">T304</f>
        <v>0</v>
      </c>
      <c r="V304" s="120" t="s">
        <v>192</v>
      </c>
      <c r="W304" s="131" t="s">
        <v>196</v>
      </c>
      <c r="X304" s="136" t="n">
        <f aca="false" ca="false" dt2D="false" dtr="false" t="normal">MID(J303, 2, 1)</f>
        <v>0</v>
      </c>
      <c r="Y304" s="137" t="n">
        <f aca="false" ca="false" dt2D="false" dtr="false" t="normal">X304</f>
        <v>0</v>
      </c>
      <c r="Z304" s="120" t="s">
        <v>192</v>
      </c>
      <c r="AA304" s="131" t="s">
        <v>196</v>
      </c>
      <c r="AB304" s="3621" t="s"/>
      <c r="AC304" s="142" t="s"/>
      <c r="AD304" s="142" t="s"/>
      <c r="AE304" s="3622" t="s"/>
      <c r="AF304" s="3623" t="s"/>
      <c r="AG304" s="142" t="s"/>
      <c r="AH304" s="142" t="s"/>
      <c r="AI304" s="3624" t="s"/>
      <c r="AJ304" s="3625" t="s"/>
      <c r="AK304" s="3626" t="s"/>
    </row>
    <row hidden="false" ht="15" outlineLevel="0" r="305">
      <c r="C305" s="98" t="s">
        <v>194</v>
      </c>
      <c r="D305" s="149" t="n">
        <f aca="false" ca="false" dt2D="false" dtr="false" t="normal">D302</f>
        <v>7</v>
      </c>
      <c r="E305" s="149" t="n">
        <f aca="false" ca="false" dt2D="false" dtr="false" t="normal">E302</f>
        <v>20</v>
      </c>
      <c r="F305" s="53" t="str">
        <f aca="false" ca="false" dt2D="false" dtr="false" t="normal">MID(INDEX($A$3:$A$70, IF(ISNA(MATCH("720G4H2*", $A$3:$A$70, 0))=TRUE, MATCH("7200418*", $A$3:$A$70, 0), MATCH("720G4H2*", $A$3:$A$70, 0))), $AS$8, 2)</f>
        <v>G4</v>
      </c>
      <c r="G305" s="53" t="str">
        <f aca="false" ca="false" dt2D="false" dtr="false" t="normal">MID(INDEX($A$3:$A$70, IF(ISNA(MATCH("720G4H2*", $A$3:$A$70, 0))=TRUE, MATCH("7200418*", $A$3:$A$70, 0), MATCH("720G4H2*", $A$3:$A$70, 0))), $AT$8, 2)</f>
        <v>H2</v>
      </c>
      <c r="N305" s="63" t="n"/>
      <c r="P305" s="136" t="n">
        <f aca="false" ca="false" dt2D="false" dtr="false" t="normal">MID(H303, 3, 1)</f>
        <v>0</v>
      </c>
      <c r="Q305" s="137" t="n">
        <f aca="false" ca="false" dt2D="false" dtr="false" t="normal">P305</f>
        <v>0</v>
      </c>
      <c r="R305" s="120" t="s">
        <v>195</v>
      </c>
      <c r="S305" s="3627" t="s"/>
      <c r="T305" s="136" t="n">
        <f aca="false" ca="false" dt2D="false" dtr="false" t="normal">MID(I303, 3, 1)</f>
        <v>0</v>
      </c>
      <c r="U305" s="137" t="n">
        <f aca="false" ca="false" dt2D="false" dtr="false" t="normal">T305</f>
        <v>0</v>
      </c>
      <c r="V305" s="120" t="s">
        <v>195</v>
      </c>
      <c r="W305" s="139" t="s">
        <v>1300</v>
      </c>
      <c r="X305" s="136" t="n">
        <f aca="false" ca="false" dt2D="false" dtr="false" t="normal">MID(J303, 3, 1)</f>
        <v>0</v>
      </c>
      <c r="Y305" s="137" t="n">
        <f aca="false" ca="false" dt2D="false" dtr="false" t="normal">X305</f>
        <v>0</v>
      </c>
      <c r="Z305" s="120" t="s">
        <v>195</v>
      </c>
      <c r="AA305" s="131" t="s">
        <v>196</v>
      </c>
      <c r="AB305" s="3628" t="s"/>
      <c r="AC305" s="142" t="s"/>
      <c r="AD305" s="142" t="s"/>
      <c r="AE305" s="3629" t="s"/>
      <c r="AF305" s="3630" t="s"/>
      <c r="AG305" s="142" t="s"/>
      <c r="AH305" s="142" t="s"/>
      <c r="AI305" s="3631" t="s"/>
      <c r="AJ305" s="3632" t="s"/>
      <c r="AK305" s="3633" t="s"/>
    </row>
    <row hidden="false" ht="15.75" outlineLevel="0" r="306">
      <c r="C306" s="98" t="n"/>
      <c r="N306" s="63" t="n"/>
      <c r="P306" s="136" t="n">
        <f aca="false" ca="false" dt2D="false" dtr="false" t="normal">MID(H303, 4, 1)</f>
        <v>0</v>
      </c>
      <c r="Q306" s="137" t="n">
        <f aca="false" ca="false" dt2D="false" dtr="false" t="normal">P306</f>
        <v>0</v>
      </c>
      <c r="R306" s="120" t="s">
        <v>197</v>
      </c>
      <c r="S306" s="3634" t="s"/>
      <c r="T306" s="136" t="n">
        <f aca="false" ca="false" dt2D="false" dtr="false" t="normal">MID(I303, 4, 1)</f>
        <v>0</v>
      </c>
      <c r="U306" s="137" t="n">
        <f aca="false" ca="false" dt2D="false" dtr="false" t="normal">T306</f>
        <v>0</v>
      </c>
      <c r="V306" s="120" t="s">
        <v>197</v>
      </c>
      <c r="W306" s="139" t="s">
        <v>1424</v>
      </c>
      <c r="X306" s="136" t="n">
        <f aca="false" ca="false" dt2D="false" dtr="false" t="normal">MID(J303, 4, 1)</f>
        <v>0</v>
      </c>
      <c r="Y306" s="137" t="n">
        <f aca="false" ca="false" dt2D="false" dtr="false" t="normal">X306</f>
        <v>0</v>
      </c>
      <c r="Z306" s="120" t="s">
        <v>197</v>
      </c>
      <c r="AA306" s="131" t="s">
        <v>196</v>
      </c>
      <c r="AB306" s="3635" t="s"/>
      <c r="AC306" s="142" t="s"/>
      <c r="AD306" s="142" t="s"/>
      <c r="AE306" s="3636" t="s"/>
      <c r="AF306" s="3637" t="s"/>
      <c r="AG306" s="142" t="s"/>
      <c r="AH306" s="142" t="s"/>
      <c r="AI306" s="3638" t="s"/>
      <c r="AJ306" s="3639" t="s"/>
      <c r="AK306" s="3640" t="s"/>
    </row>
    <row hidden="false" ht="15.75" outlineLevel="0" r="307">
      <c r="C307" s="98" t="s">
        <v>176</v>
      </c>
      <c r="D307" s="159" t="n">
        <f aca="false" ca="false" dt2D="false" dtr="false" t="normal">D302</f>
        <v>7</v>
      </c>
      <c r="E307" s="160" t="n">
        <f aca="false" ca="false" dt2D="false" dtr="false" t="normal">E302</f>
        <v>20</v>
      </c>
      <c r="F307" s="160" t="n">
        <f aca="false" ca="false" dt2D="false" dtr="false" t="normal">F302</f>
        <v>4</v>
      </c>
      <c r="G307" s="161" t="n">
        <f aca="false" ca="false" dt2D="false" dtr="false" t="normal">G302</f>
        <v>18</v>
      </c>
      <c r="H307" s="162" t="n">
        <f aca="false" ca="false" dt2D="false" dtr="false" t="normal">BIN2HEX(H308, 2)</f>
        <v>0</v>
      </c>
      <c r="I307" s="163" t="n">
        <f aca="false" ca="false" dt2D="false" dtr="false" t="normal">BIN2HEX(I308, 2)</f>
        <v>0</v>
      </c>
      <c r="J307" s="164" t="n">
        <f aca="false" ca="false" dt2D="false" dtr="false" t="normal">BIN2HEX(J308, 2)</f>
        <v>0</v>
      </c>
      <c r="K307" s="1916" t="n">
        <f aca="false" ca="false" dt2D="false" dtr="false" t="normal">K302</f>
        <v>0</v>
      </c>
      <c r="L307" s="1917" t="n">
        <f aca="false" ca="false" dt2D="false" dtr="false" t="normal">L302</f>
        <v>0</v>
      </c>
      <c r="M307" s="166" t="n">
        <f aca="false" ca="false" dt2D="false" dtr="false" t="normal">IF(LEN(M308)&gt;2, MID(M308, 2, 2), M308)</f>
        <v>43</v>
      </c>
      <c r="N307" s="63" t="s">
        <v>181</v>
      </c>
      <c r="P307" s="136" t="n">
        <f aca="false" ca="false" dt2D="false" dtr="false" t="normal">MID(H303, 5, 1)</f>
        <v>0</v>
      </c>
      <c r="Q307" s="137" t="n">
        <f aca="false" ca="false" dt2D="false" dtr="false" t="normal">P307</f>
        <v>0</v>
      </c>
      <c r="R307" s="120" t="s">
        <v>200</v>
      </c>
      <c r="S307" s="131" t="s">
        <v>196</v>
      </c>
      <c r="T307" s="136" t="n">
        <f aca="false" ca="false" dt2D="false" dtr="false" t="normal">MID(I303, 5, 1)</f>
        <v>0</v>
      </c>
      <c r="U307" s="137" t="n">
        <f aca="false" ca="false" dt2D="false" dtr="false" t="normal">T307</f>
        <v>0</v>
      </c>
      <c r="V307" s="120" t="s">
        <v>200</v>
      </c>
      <c r="W307" s="131" t="s">
        <v>196</v>
      </c>
      <c r="X307" s="136" t="n">
        <f aca="false" ca="false" dt2D="false" dtr="false" t="normal">MID(J303, 5, 1)</f>
        <v>0</v>
      </c>
      <c r="Y307" s="137" t="n">
        <f aca="false" ca="false" dt2D="false" dtr="false" t="normal">X307</f>
        <v>0</v>
      </c>
      <c r="Z307" s="120" t="s">
        <v>200</v>
      </c>
      <c r="AA307" s="139" t="s">
        <v>1425</v>
      </c>
      <c r="AB307" s="3641" t="s"/>
      <c r="AC307" s="142" t="s"/>
      <c r="AD307" s="142" t="s"/>
      <c r="AE307" s="3642" t="s"/>
      <c r="AF307" s="3643" t="s"/>
      <c r="AG307" s="142" t="s"/>
      <c r="AH307" s="142" t="s"/>
      <c r="AI307" s="3644" t="s"/>
      <c r="AJ307" s="3645" t="s"/>
      <c r="AK307" s="3646" t="s"/>
    </row>
    <row hidden="false" ht="15" outlineLevel="0" r="308">
      <c r="C308" s="98" t="s">
        <v>185</v>
      </c>
      <c r="D308" s="53" t="n">
        <f aca="false" ca="false" dt2D="false" dtr="false" t="normal">HEX2BIN(D307, 8)</f>
        <v>111</v>
      </c>
      <c r="E308" s="53" t="n">
        <f aca="false" ca="false" dt2D="false" dtr="false" t="normal">HEX2BIN(E307, 8)</f>
        <v>100000</v>
      </c>
      <c r="F308" s="53" t="n">
        <f aca="false" ca="false" dt2D="false" dtr="false" t="normal">HEX2BIN(F307, 8)</f>
        <v>100</v>
      </c>
      <c r="G308" s="53" t="n">
        <f aca="false" ca="false" dt2D="false" dtr="false" t="normal">HEX2BIN(G307, 8)</f>
        <v>11000</v>
      </c>
      <c r="H308" s="171" t="n">
        <f aca="false" ca="false" dt2D="false" dtr="false" t="normal">Q303&amp;Q304&amp;Q305&amp;Q306&amp;Q307&amp;Q308&amp;Q309&amp;Q310</f>
        <v>0</v>
      </c>
      <c r="I308" s="53" t="n">
        <f aca="false" ca="false" dt2D="false" dtr="false" t="normal">U303&amp;U304&amp;U305&amp;U306&amp;U307&amp;U308&amp;U309&amp;U310</f>
        <v>0</v>
      </c>
      <c r="J308" s="171" t="n">
        <f aca="false" ca="false" dt2D="false" dtr="false" t="normal">Y303&amp;Y304&amp;Y305&amp;Y306&amp;Y307&amp;Y308&amp;Y309&amp;Y310</f>
        <v>0</v>
      </c>
      <c r="K308" s="171" t="n"/>
      <c r="L308" s="53" t="n"/>
      <c r="M308" s="53" t="n">
        <f aca="false" ca="false" dt2D="false" dtr="false" t="normal">DEC2HEX(M309)</f>
        <v>43</v>
      </c>
      <c r="N308" s="63" t="n"/>
      <c r="P308" s="136" t="n">
        <f aca="false" ca="false" dt2D="false" dtr="false" t="normal">MID(H303, 6, 1)</f>
        <v>0</v>
      </c>
      <c r="Q308" s="137" t="n">
        <f aca="false" ca="false" dt2D="false" dtr="false" t="normal">P308</f>
        <v>0</v>
      </c>
      <c r="R308" s="120" t="s">
        <v>203</v>
      </c>
      <c r="S308" s="139" t="s">
        <v>1426</v>
      </c>
      <c r="T308" s="136" t="n">
        <f aca="false" ca="false" dt2D="false" dtr="false" t="normal">MID(I303, 6, 1)</f>
        <v>0</v>
      </c>
      <c r="U308" s="137" t="n">
        <f aca="false" ca="false" dt2D="false" dtr="false" t="normal">T308</f>
        <v>0</v>
      </c>
      <c r="V308" s="120" t="s">
        <v>203</v>
      </c>
      <c r="W308" s="131" t="s">
        <v>196</v>
      </c>
      <c r="X308" s="136" t="n">
        <f aca="false" ca="false" dt2D="false" dtr="false" t="normal">MID(J303, 6, 1)</f>
        <v>0</v>
      </c>
      <c r="Y308" s="137" t="n">
        <f aca="false" ca="false" dt2D="false" dtr="false" t="normal">X308</f>
        <v>0</v>
      </c>
      <c r="Z308" s="120" t="s">
        <v>203</v>
      </c>
      <c r="AA308" s="139" t="s">
        <v>1427</v>
      </c>
      <c r="AB308" s="3647" t="s"/>
      <c r="AC308" s="142" t="s"/>
      <c r="AD308" s="142" t="s"/>
      <c r="AE308" s="3648" t="s"/>
      <c r="AF308" s="3649" t="s"/>
      <c r="AG308" s="142" t="s"/>
      <c r="AH308" s="142" t="s"/>
      <c r="AI308" s="3650" t="s"/>
      <c r="AJ308" s="3651" t="s"/>
      <c r="AK308" s="3652" t="s"/>
    </row>
    <row hidden="false" ht="15" outlineLevel="0" r="309">
      <c r="C309" s="98" t="s">
        <v>191</v>
      </c>
      <c r="D309" s="53" t="n">
        <f aca="false" ca="false" dt2D="false" dtr="false" t="normal">HEX2DEC(D307)</f>
        <v>7</v>
      </c>
      <c r="E309" s="53" t="n">
        <f aca="false" ca="false" dt2D="false" dtr="false" t="normal">HEX2DEC(E307)</f>
        <v>32</v>
      </c>
      <c r="F309" s="53" t="n">
        <f aca="false" ca="false" dt2D="false" dtr="false" t="normal">HEX2DEC(F307)</f>
        <v>4</v>
      </c>
      <c r="G309" s="53" t="n">
        <f aca="false" ca="false" dt2D="false" dtr="false" t="normal">HEX2DEC(G307)</f>
        <v>24</v>
      </c>
      <c r="H309" s="53" t="n">
        <f aca="false" ca="false" dt2D="false" dtr="false" t="normal">HEX2DEC(H307)</f>
        <v>0</v>
      </c>
      <c r="I309" s="53" t="n">
        <f aca="false" ca="false" dt2D="false" dtr="false" t="normal">HEX2DEC(I307)</f>
        <v>0</v>
      </c>
      <c r="J309" s="53" t="n">
        <f aca="false" ca="false" dt2D="false" dtr="false" t="normal">HEX2DEC(J307)</f>
        <v>0</v>
      </c>
      <c r="K309" s="53" t="n">
        <f aca="false" ca="false" dt2D="false" dtr="false" t="normal">HEX2DEC(K307)</f>
        <v>0</v>
      </c>
      <c r="L309" s="53" t="n">
        <f aca="false" ca="false" dt2D="false" dtr="false" t="normal">HEX2DEC(L307)</f>
        <v>0</v>
      </c>
      <c r="M309" s="53" t="n">
        <f aca="false" ca="false" dt2D="false" dtr="false" t="normal">SUM(D309:L309)</f>
        <v>67</v>
      </c>
      <c r="N309" s="63" t="n"/>
      <c r="P309" s="136" t="n">
        <f aca="false" ca="false" dt2D="false" dtr="false" t="normal">MID(H303, 7, 1)</f>
        <v>0</v>
      </c>
      <c r="Q309" s="137" t="n">
        <f aca="false" ca="false" dt2D="false" dtr="false" t="normal">P309</f>
        <v>0</v>
      </c>
      <c r="R309" s="120" t="s">
        <v>206</v>
      </c>
      <c r="S309" s="139" t="s">
        <v>1428</v>
      </c>
      <c r="T309" s="136" t="n">
        <f aca="false" ca="false" dt2D="false" dtr="false" t="normal">MID(I303, 7, 1)</f>
        <v>0</v>
      </c>
      <c r="U309" s="137" t="n">
        <f aca="false" ca="false" dt2D="false" dtr="false" t="normal">T309</f>
        <v>0</v>
      </c>
      <c r="V309" s="120" t="s">
        <v>206</v>
      </c>
      <c r="W309" s="131" t="s">
        <v>196</v>
      </c>
      <c r="X309" s="136" t="n">
        <f aca="false" ca="false" dt2D="false" dtr="false" t="normal">MID(J303, 7, 1)</f>
        <v>0</v>
      </c>
      <c r="Y309" s="137" t="n">
        <f aca="false" ca="false" dt2D="false" dtr="false" t="normal">X309</f>
        <v>0</v>
      </c>
      <c r="Z309" s="120" t="s">
        <v>206</v>
      </c>
      <c r="AA309" s="139" t="s">
        <v>1429</v>
      </c>
      <c r="AB309" s="3653" t="s"/>
      <c r="AC309" s="142" t="s"/>
      <c r="AD309" s="142" t="s"/>
      <c r="AE309" s="3654" t="s"/>
      <c r="AF309" s="3655" t="s"/>
      <c r="AG309" s="142" t="s"/>
      <c r="AH309" s="142" t="s"/>
      <c r="AI309" s="3656" t="s"/>
      <c r="AJ309" s="3657" t="s"/>
      <c r="AK309" s="3658" t="s"/>
    </row>
    <row hidden="false" ht="15.75" outlineLevel="0" r="310">
      <c r="C310" s="180" t="s">
        <v>194</v>
      </c>
      <c r="D310" s="299" t="n">
        <f aca="false" ca="false" dt2D="false" dtr="false" t="normal">D305</f>
        <v>7</v>
      </c>
      <c r="E310" s="299" t="n">
        <f aca="false" ca="false" dt2D="false" dtr="false" t="normal">E305</f>
        <v>20</v>
      </c>
      <c r="F310" s="299" t="str">
        <f aca="false" ca="false" dt2D="false" dtr="false" t="normal">F305</f>
        <v>G4</v>
      </c>
      <c r="G310" s="299" t="str">
        <f aca="false" ca="false" dt2D="false" dtr="false" t="normal">G305</f>
        <v>H2</v>
      </c>
      <c r="H310" s="45" t="n"/>
      <c r="I310" s="45" t="n"/>
      <c r="J310" s="45" t="n"/>
      <c r="K310" s="45" t="n"/>
      <c r="L310" s="45" t="n"/>
      <c r="M310" s="45" t="n"/>
      <c r="N310" s="49" t="n"/>
      <c r="P310" s="182" t="n">
        <f aca="false" ca="false" dt2D="false" dtr="false" t="normal">MID(H303, 8, 1)</f>
        <v>0</v>
      </c>
      <c r="Q310" s="183" t="n">
        <f aca="false" ca="false" dt2D="false" dtr="false" t="normal">P310</f>
        <v>0</v>
      </c>
      <c r="R310" s="184" t="s">
        <v>208</v>
      </c>
      <c r="S310" s="187" t="s">
        <v>1430</v>
      </c>
      <c r="T310" s="182" t="n">
        <f aca="false" ca="false" dt2D="false" dtr="false" t="normal">MID(I303, 8, 1)</f>
        <v>0</v>
      </c>
      <c r="U310" s="183" t="n">
        <f aca="false" ca="false" dt2D="false" dtr="false" t="normal">T310</f>
        <v>0</v>
      </c>
      <c r="V310" s="184" t="s">
        <v>208</v>
      </c>
      <c r="W310" s="185" t="s">
        <v>196</v>
      </c>
      <c r="X310" s="182" t="n">
        <f aca="false" ca="false" dt2D="false" dtr="false" t="normal">MID(J303, 8, 1)</f>
        <v>0</v>
      </c>
      <c r="Y310" s="183" t="n">
        <f aca="false" ca="false" dt2D="false" dtr="false" t="normal">X310</f>
        <v>0</v>
      </c>
      <c r="Z310" s="184" t="s">
        <v>208</v>
      </c>
      <c r="AA310" s="185" t="s">
        <v>196</v>
      </c>
      <c r="AB310" s="3659" t="s"/>
      <c r="AC310" s="3660" t="s"/>
      <c r="AD310" s="3661" t="s"/>
      <c r="AE310" s="3662" t="s"/>
      <c r="AF310" s="3663" t="s"/>
      <c r="AG310" s="3664" t="s"/>
      <c r="AH310" s="3665" t="s"/>
      <c r="AI310" s="3666" t="s"/>
      <c r="AJ310" s="3667" t="s"/>
      <c r="AK310" s="3668" t="s"/>
    </row>
    <row hidden="false" ht="15.75" outlineLevel="0" r="311">
      <c r="C311" s="93" t="n"/>
      <c r="D311" s="94" t="n"/>
      <c r="E311" s="94" t="n"/>
      <c r="F311" s="94" t="n"/>
      <c r="G311" s="94" t="n"/>
      <c r="H311" s="94" t="n"/>
      <c r="I311" s="94" t="n"/>
      <c r="J311" s="94" t="n"/>
      <c r="K311" s="94" t="n"/>
      <c r="L311" s="94" t="n"/>
      <c r="M311" s="94" t="s">
        <v>161</v>
      </c>
      <c r="N311" s="60" t="n"/>
      <c r="P311" s="95" t="str">
        <f aca="false" ca="false" dt2D="false" dtr="false" t="normal">RIGHT(D313, 1)&amp;E313&amp;"-"&amp;F313&amp;"-"&amp;G313</f>
        <v>720-04-19</v>
      </c>
      <c r="Q311" s="3669" t="s"/>
      <c r="R311" s="234" t="s">
        <v>1431</v>
      </c>
      <c r="S311" s="3670" t="s"/>
      <c r="T311" s="3671" t="s"/>
      <c r="U311" s="3672" t="s"/>
      <c r="V311" s="3673" t="s"/>
      <c r="W311" s="3674" t="s"/>
      <c r="X311" s="3675" t="s"/>
      <c r="Y311" s="3676" t="s"/>
      <c r="Z311" s="3677" t="s"/>
      <c r="AA311" s="3678" t="s"/>
      <c r="AB311" s="3679" t="s"/>
      <c r="AC311" s="3680" t="s"/>
      <c r="AD311" s="3681" t="s"/>
      <c r="AE311" s="3682" t="s"/>
      <c r="AF311" s="3683" t="s"/>
      <c r="AG311" s="3684" t="s"/>
      <c r="AH311" s="3685" t="s"/>
      <c r="AI311" s="3686" t="s"/>
      <c r="AJ311" s="3687" t="s"/>
      <c r="AK311" s="3688" t="s"/>
    </row>
    <row hidden="false" ht="15.75" outlineLevel="0" r="312">
      <c r="C312" s="98" t="n"/>
      <c r="D312" s="99" t="s">
        <v>1432</v>
      </c>
      <c r="E312" s="3689" t="s"/>
      <c r="F312" s="3690" t="s"/>
      <c r="G312" s="3691" t="s"/>
      <c r="H312" s="53" t="s">
        <v>165</v>
      </c>
      <c r="I312" s="53" t="s">
        <v>166</v>
      </c>
      <c r="J312" s="53" t="s">
        <v>167</v>
      </c>
      <c r="K312" s="53" t="s">
        <v>168</v>
      </c>
      <c r="L312" s="53" t="s">
        <v>169</v>
      </c>
      <c r="M312" s="53" t="s">
        <v>221</v>
      </c>
      <c r="N312" s="63" t="n"/>
      <c r="P312" s="103" t="s">
        <v>1433</v>
      </c>
      <c r="Q312" s="3692" t="s"/>
      <c r="R312" s="3693" t="s"/>
      <c r="S312" s="3694" t="s"/>
      <c r="T312" s="103" t="s">
        <v>1434</v>
      </c>
      <c r="U312" s="3695" t="s"/>
      <c r="V312" s="3696" t="s"/>
      <c r="W312" s="3697" t="s"/>
      <c r="X312" s="103" t="s">
        <v>1435</v>
      </c>
      <c r="Y312" s="3698" t="s"/>
      <c r="Z312" s="3699" t="s"/>
      <c r="AA312" s="3700" t="s"/>
      <c r="AB312" s="103" t="s">
        <v>1436</v>
      </c>
      <c r="AC312" s="3701" t="s"/>
      <c r="AD312" s="3702" t="s"/>
      <c r="AE312" s="3703" t="s"/>
      <c r="AF312" s="103" t="s">
        <v>1437</v>
      </c>
      <c r="AG312" s="3704" t="s"/>
      <c r="AH312" s="3705" t="s"/>
      <c r="AI312" s="3706" t="s"/>
      <c r="AJ312" s="116" t="s">
        <v>1438</v>
      </c>
      <c r="AK312" s="3707" t="s"/>
    </row>
    <row hidden="false" ht="15.75" outlineLevel="0" r="313">
      <c r="C313" s="98" t="s">
        <v>176</v>
      </c>
      <c r="D313" s="122" t="s">
        <v>177</v>
      </c>
      <c r="E313" s="123" t="s">
        <v>693</v>
      </c>
      <c r="F313" s="123" t="s">
        <v>342</v>
      </c>
      <c r="G313" s="124" t="s">
        <v>1439</v>
      </c>
      <c r="H313" s="164" t="n">
        <f aca="false" ca="false" dt2D="false" dtr="false" ref="H313:H313" t="array">MID(INDEX($A$3:$A$70, IF(ISNA(MATCH("720G4H3*", $A$3:$A$70, 0))=TRUE, MATCH("7200419*", $A$3:$A$70, 0), MATCH("720G4H3*", $A$3:$A$70, 0))), $AU$8, 2)</f>
        <v>0</v>
      </c>
      <c r="I313" s="1820" t="n">
        <f aca="false" ca="false" dt2D="false" dtr="false" ref="I313:I313" t="array">MID(INDEX($A$3:$A$70, IF(ISNA(MATCH("720G4H3*", $A$3:$A$70, 0))=TRUE, MATCH("7200419*", $A$3:$A$70, 0), MATCH("720G4H3*", $A$3:$A$70, 0))), $AV$8, 2)</f>
        <v>0</v>
      </c>
      <c r="J313" s="1820" t="n">
        <f aca="false" ca="false" dt2D="false" dtr="false" ref="J313:J313" t="array">MID(INDEX($A$3:$A$70, IF(ISNA(MATCH("720G4H3*", $A$3:$A$70, 0))=TRUE, MATCH("7200419*", $A$3:$A$70, 0), MATCH("720G4H3*", $A$3:$A$70, 0))), $AW$8, 2)</f>
        <v>0</v>
      </c>
      <c r="K313" s="1821" t="n">
        <f aca="false" ca="false" dt2D="false" dtr="false" ref="K313:K313" t="array">MID(INDEX($A$3:$A$70, IF(ISNA(MATCH("720G4H3*", $A$3:$A$70, 0))=TRUE, MATCH("7200419*", $A$3:$A$70, 0), MATCH("720G4H3*", $A$3:$A$70, 0))), $AX$8, 2)</f>
        <v>0</v>
      </c>
      <c r="L313" s="1821" t="n">
        <f aca="false" ca="false" dt2D="false" dtr="false" ref="L313:L313" t="array">MID(INDEX($A$3:$A$70, IF(ISNA(MATCH("720G4H3*", $A$3:$A$70, 0))=TRUE, MATCH("7200419*", $A$3:$A$70, 0), MATCH("720G4H3*", $A$3:$A$70, 0))), $AY$8, 2)</f>
        <v>0</v>
      </c>
      <c r="M313" s="218" t="n">
        <f aca="false" ca="false" dt2D="false" dtr="false" ref="M313:M313" t="array">MID(INDEX($A$3:$A$70, IF(ISNA(MATCH("720G4H3*", $A$3:$A$70, 0))=TRUE, MATCH("7200419*", $A$3:$A$70, 0), MATCH("720G4H3*", $A$3:$A$70, 0))), $AZ$8, 2)</f>
        <v>44</v>
      </c>
      <c r="N313" s="63" t="s">
        <v>180</v>
      </c>
      <c r="P313" s="129" t="s">
        <v>180</v>
      </c>
      <c r="Q313" s="130" t="s">
        <v>181</v>
      </c>
      <c r="R313" s="121" t="s">
        <v>182</v>
      </c>
      <c r="S313" s="131" t="n"/>
      <c r="T313" s="129" t="s">
        <v>180</v>
      </c>
      <c r="U313" s="130" t="s">
        <v>181</v>
      </c>
      <c r="V313" s="121" t="s">
        <v>182</v>
      </c>
      <c r="W313" s="131" t="n"/>
      <c r="X313" s="129" t="s">
        <v>180</v>
      </c>
      <c r="Y313" s="130" t="s">
        <v>181</v>
      </c>
      <c r="Z313" s="121" t="s">
        <v>182</v>
      </c>
      <c r="AA313" s="131" t="n"/>
      <c r="AB313" s="129" t="s">
        <v>180</v>
      </c>
      <c r="AC313" s="130" t="s">
        <v>181</v>
      </c>
      <c r="AD313" s="121" t="s">
        <v>182</v>
      </c>
      <c r="AE313" s="131" t="n"/>
      <c r="AF313" s="129" t="s">
        <v>180</v>
      </c>
      <c r="AG313" s="130" t="s">
        <v>181</v>
      </c>
      <c r="AH313" s="121" t="s">
        <v>182</v>
      </c>
      <c r="AI313" s="121" t="n"/>
      <c r="AJ313" s="116" t="s">
        <v>183</v>
      </c>
      <c r="AK313" s="3708" t="s"/>
    </row>
    <row customHeight="true" hidden="false" ht="15" outlineLevel="0" r="314">
      <c r="C314" s="98" t="s">
        <v>185</v>
      </c>
      <c r="D314" s="53" t="n">
        <f aca="false" ca="false" dt2D="false" dtr="false" t="normal">HEX2BIN(D313, 8)</f>
        <v>111</v>
      </c>
      <c r="E314" s="53" t="n">
        <f aca="false" ca="false" dt2D="false" dtr="false" t="normal">HEX2BIN(E313, 8)</f>
        <v>100000</v>
      </c>
      <c r="F314" s="53" t="n">
        <f aca="false" ca="false" dt2D="false" dtr="false" t="normal">HEX2BIN(F313, 8)</f>
        <v>100</v>
      </c>
      <c r="G314" s="53" t="n">
        <f aca="false" ca="false" dt2D="false" dtr="false" t="normal">HEX2BIN(G313, 8)</f>
        <v>11001</v>
      </c>
      <c r="H314" s="53" t="n">
        <f aca="false" ca="false" dt2D="false" dtr="false" t="normal">HEX2BIN(H313, 8)</f>
        <v>0</v>
      </c>
      <c r="I314" s="53" t="n">
        <f aca="false" ca="false" dt2D="false" dtr="false" t="normal">HEX2BIN(I313, 8)</f>
        <v>0</v>
      </c>
      <c r="J314" s="53" t="n">
        <f aca="false" ca="false" dt2D="false" dtr="false" t="normal">HEX2BIN(J313, 8)</f>
        <v>0</v>
      </c>
      <c r="K314" s="53" t="n">
        <f aca="false" ca="false" dt2D="false" dtr="false" t="normal">HEX2BIN(K313, 8)</f>
        <v>0</v>
      </c>
      <c r="L314" s="53" t="n">
        <f aca="false" ca="false" dt2D="false" dtr="false" t="normal">HEX2BIN(L313, 8)</f>
        <v>0</v>
      </c>
      <c r="N314" s="63" t="n"/>
      <c r="P314" s="136" t="n">
        <f aca="false" ca="false" dt2D="false" dtr="false" t="normal">MID(H314, 1, 1)</f>
        <v>0</v>
      </c>
      <c r="Q314" s="137" t="n">
        <f aca="false" ca="false" dt2D="false" dtr="false" t="normal">P314</f>
        <v>0</v>
      </c>
      <c r="R314" s="120" t="s">
        <v>186</v>
      </c>
      <c r="S314" s="140" t="s">
        <v>1440</v>
      </c>
      <c r="T314" s="136" t="n">
        <f aca="false" ca="false" dt2D="false" dtr="false" t="normal">MID(I314, 1, 1)</f>
        <v>0</v>
      </c>
      <c r="U314" s="137" t="n">
        <f aca="false" ca="false" dt2D="false" dtr="false" t="normal">T314</f>
        <v>0</v>
      </c>
      <c r="V314" s="120" t="s">
        <v>186</v>
      </c>
      <c r="W314" s="139" t="s">
        <v>1441</v>
      </c>
      <c r="X314" s="136" t="n">
        <f aca="false" ca="false" dt2D="false" dtr="false" t="normal">MID(J314, 1, 1)</f>
        <v>0</v>
      </c>
      <c r="Y314" s="137" t="n">
        <f aca="false" ca="false" dt2D="false" dtr="false" t="normal">X314</f>
        <v>0</v>
      </c>
      <c r="Z314" s="120" t="s">
        <v>186</v>
      </c>
      <c r="AA314" s="139" t="s">
        <v>1442</v>
      </c>
      <c r="AB314" s="136" t="n">
        <f aca="false" ca="false" dt2D="false" dtr="false" t="normal">MID(K314, 1, 1)</f>
        <v>0</v>
      </c>
      <c r="AC314" s="137" t="n">
        <f aca="false" ca="false" dt2D="false" dtr="false" t="normal">AB314</f>
        <v>0</v>
      </c>
      <c r="AD314" s="120" t="s">
        <v>186</v>
      </c>
      <c r="AE314" s="139" t="s">
        <v>1443</v>
      </c>
      <c r="AF314" s="136" t="n">
        <f aca="false" ca="false" dt2D="false" dtr="false" t="normal">MID(L314, 1, 1)</f>
        <v>0</v>
      </c>
      <c r="AG314" s="137" t="n">
        <f aca="false" ca="false" dt2D="false" dtr="false" t="normal">AF314</f>
        <v>0</v>
      </c>
      <c r="AH314" s="120" t="s">
        <v>186</v>
      </c>
      <c r="AI314" s="139" t="s">
        <v>1444</v>
      </c>
      <c r="AJ314" s="3709" t="s"/>
      <c r="AK314" s="3710" t="s"/>
    </row>
    <row hidden="false" ht="15" outlineLevel="0" r="315">
      <c r="C315" s="98" t="s">
        <v>191</v>
      </c>
      <c r="D315" s="53" t="n">
        <f aca="false" ca="false" dt2D="false" dtr="false" t="normal">HEX2DEC(D313)</f>
        <v>7</v>
      </c>
      <c r="E315" s="53" t="n">
        <f aca="false" ca="false" dt2D="false" dtr="false" t="normal">HEX2DEC(E313)</f>
        <v>32</v>
      </c>
      <c r="F315" s="53" t="n">
        <f aca="false" ca="false" dt2D="false" dtr="false" t="normal">HEX2DEC(F313)</f>
        <v>4</v>
      </c>
      <c r="G315" s="53" t="n">
        <f aca="false" ca="false" dt2D="false" dtr="false" t="normal">HEX2DEC(G313)</f>
        <v>25</v>
      </c>
      <c r="H315" s="53" t="n">
        <f aca="false" ca="false" dt2D="false" dtr="false" t="normal">HEX2DEC(H313)</f>
        <v>0</v>
      </c>
      <c r="I315" s="53" t="n">
        <f aca="false" ca="false" dt2D="false" dtr="false" t="normal">HEX2DEC(I313)</f>
        <v>0</v>
      </c>
      <c r="J315" s="53" t="n">
        <f aca="false" ca="false" dt2D="false" dtr="false" t="normal">HEX2DEC(J313)</f>
        <v>0</v>
      </c>
      <c r="K315" s="53" t="n">
        <f aca="false" ca="false" dt2D="false" dtr="false" t="normal">HEX2DEC(K313)</f>
        <v>0</v>
      </c>
      <c r="L315" s="53" t="n">
        <f aca="false" ca="false" dt2D="false" dtr="false" t="normal">HEX2DEC(L313)</f>
        <v>0</v>
      </c>
      <c r="M315" s="53" t="n">
        <f aca="false" ca="false" dt2D="false" dtr="false" t="normal">SUM(D315:L315)</f>
        <v>68</v>
      </c>
      <c r="N315" s="63" t="n"/>
      <c r="P315" s="136" t="n">
        <f aca="false" ca="false" dt2D="false" dtr="false" t="normal">MID(H314, 2, 1)</f>
        <v>0</v>
      </c>
      <c r="Q315" s="137" t="n">
        <f aca="false" ca="false" dt2D="false" dtr="false" t="normal">P315</f>
        <v>0</v>
      </c>
      <c r="R315" s="120" t="s">
        <v>192</v>
      </c>
      <c r="S315" s="3711" t="s"/>
      <c r="T315" s="136" t="n">
        <f aca="false" ca="false" dt2D="false" dtr="false" t="normal">MID(I314, 2, 1)</f>
        <v>0</v>
      </c>
      <c r="U315" s="137" t="n">
        <f aca="false" ca="false" dt2D="false" dtr="false" t="normal">T315</f>
        <v>0</v>
      </c>
      <c r="V315" s="120" t="s">
        <v>192</v>
      </c>
      <c r="W315" s="139" t="s">
        <v>1445</v>
      </c>
      <c r="X315" s="136" t="n">
        <f aca="false" ca="false" dt2D="false" dtr="false" t="normal">MID(J314, 2, 1)</f>
        <v>0</v>
      </c>
      <c r="Y315" s="137" t="n">
        <f aca="false" ca="false" dt2D="false" dtr="false" t="normal">X315</f>
        <v>0</v>
      </c>
      <c r="Z315" s="120" t="s">
        <v>192</v>
      </c>
      <c r="AA315" s="139" t="s">
        <v>1446</v>
      </c>
      <c r="AB315" s="136" t="n">
        <f aca="false" ca="false" dt2D="false" dtr="false" t="normal">MID(K314, 2, 1)</f>
        <v>0</v>
      </c>
      <c r="AC315" s="137" t="n">
        <f aca="false" ca="false" dt2D="false" dtr="false" t="normal">AB315</f>
        <v>0</v>
      </c>
      <c r="AD315" s="120" t="s">
        <v>192</v>
      </c>
      <c r="AE315" s="139" t="s">
        <v>1447</v>
      </c>
      <c r="AF315" s="136" t="n">
        <f aca="false" ca="false" dt2D="false" dtr="false" t="normal">MID(L314, 2, 1)</f>
        <v>0</v>
      </c>
      <c r="AG315" s="137" t="n">
        <f aca="false" ca="false" dt2D="false" dtr="false" t="normal">AF315</f>
        <v>0</v>
      </c>
      <c r="AH315" s="120" t="s">
        <v>192</v>
      </c>
      <c r="AI315" s="139" t="s">
        <v>1448</v>
      </c>
      <c r="AJ315" s="3712" t="s"/>
      <c r="AK315" s="3713" t="s"/>
    </row>
    <row customHeight="true" hidden="false" ht="15" outlineLevel="0" r="316">
      <c r="C316" s="98" t="s">
        <v>194</v>
      </c>
      <c r="D316" s="149" t="n">
        <f aca="false" ca="false" dt2D="false" dtr="false" t="normal">D313</f>
        <v>7</v>
      </c>
      <c r="E316" s="149" t="n">
        <f aca="false" ca="false" dt2D="false" dtr="false" t="normal">E313</f>
        <v>20</v>
      </c>
      <c r="F316" s="53" t="str">
        <f aca="false" ca="false" dt2D="false" dtr="false" t="normal">MID(INDEX($A$3:$A$70, IF(ISNA(MATCH("720G4H3*", $A$3:$A$70, 0))=TRUE, MATCH("7200419*", $A$3:$A$70, 0), MATCH("720G4H3*", $A$3:$A$70, 0))), $AS$8, 2)</f>
        <v>G4</v>
      </c>
      <c r="G316" s="53" t="str">
        <f aca="false" ca="false" dt2D="false" dtr="false" t="normal">MID(INDEX($A$3:$A$70, IF(ISNA(MATCH("720G4H3*", $A$3:$A$70, 0))=TRUE, MATCH("7200419*", $A$3:$A$70, 0), MATCH("720G4H3*", $A$3:$A$70, 0))), $AT$8, 2)</f>
        <v>H3</v>
      </c>
      <c r="N316" s="63" t="n"/>
      <c r="P316" s="136" t="n">
        <f aca="false" ca="false" dt2D="false" dtr="false" t="normal">MID(H314, 3, 1)</f>
        <v>0</v>
      </c>
      <c r="Q316" s="137" t="n">
        <f aca="false" ca="false" dt2D="false" dtr="false" t="normal">P316</f>
        <v>0</v>
      </c>
      <c r="R316" s="120" t="s">
        <v>195</v>
      </c>
      <c r="S316" s="3714" t="s"/>
      <c r="T316" s="136" t="n">
        <f aca="false" ca="false" dt2D="false" dtr="false" t="normal">MID(I314, 3, 1)</f>
        <v>0</v>
      </c>
      <c r="U316" s="137" t="n">
        <f aca="false" ca="false" dt2D="false" dtr="false" t="normal">T316</f>
        <v>0</v>
      </c>
      <c r="V316" s="120" t="s">
        <v>195</v>
      </c>
      <c r="W316" s="131" t="s">
        <v>196</v>
      </c>
      <c r="X316" s="136" t="n">
        <f aca="false" ca="false" dt2D="false" dtr="false" t="normal">MID(J314, 3, 1)</f>
        <v>0</v>
      </c>
      <c r="Y316" s="137" t="n">
        <f aca="false" ca="false" dt2D="false" dtr="false" t="normal">X316</f>
        <v>0</v>
      </c>
      <c r="Z316" s="120" t="s">
        <v>195</v>
      </c>
      <c r="AA316" s="139" t="s">
        <v>1449</v>
      </c>
      <c r="AB316" s="136" t="n">
        <f aca="false" ca="false" dt2D="false" dtr="false" t="normal">MID(K314, 3, 1)</f>
        <v>0</v>
      </c>
      <c r="AC316" s="137" t="n">
        <f aca="false" ca="false" dt2D="false" dtr="false" t="normal">AB316</f>
        <v>0</v>
      </c>
      <c r="AD316" s="120" t="s">
        <v>195</v>
      </c>
      <c r="AE316" s="140" t="s">
        <v>1450</v>
      </c>
      <c r="AF316" s="136" t="n">
        <f aca="false" ca="false" dt2D="false" dtr="false" t="normal">MID(L314, 3, 1)</f>
        <v>0</v>
      </c>
      <c r="AG316" s="137" t="n">
        <f aca="false" ca="false" dt2D="false" dtr="false" t="normal">AF316</f>
        <v>0</v>
      </c>
      <c r="AH316" s="120" t="s">
        <v>195</v>
      </c>
      <c r="AI316" s="139" t="s">
        <v>1451</v>
      </c>
      <c r="AJ316" s="3715" t="s"/>
      <c r="AK316" s="3716" t="s"/>
    </row>
    <row hidden="false" ht="15.75" outlineLevel="0" r="317">
      <c r="C317" s="98" t="n"/>
      <c r="N317" s="63" t="n"/>
      <c r="P317" s="136" t="n">
        <f aca="false" ca="false" dt2D="false" dtr="false" t="normal">MID(H314, 4, 1)</f>
        <v>0</v>
      </c>
      <c r="Q317" s="137" t="n">
        <f aca="false" ca="false" dt2D="false" dtr="false" t="normal">P317</f>
        <v>0</v>
      </c>
      <c r="R317" s="120" t="s">
        <v>197</v>
      </c>
      <c r="S317" s="3717" t="s"/>
      <c r="T317" s="136" t="n">
        <f aca="false" ca="false" dt2D="false" dtr="false" t="normal">MID(I314, 4, 1)</f>
        <v>0</v>
      </c>
      <c r="U317" s="137" t="n">
        <f aca="false" ca="false" dt2D="false" dtr="false" t="normal">T317</f>
        <v>0</v>
      </c>
      <c r="V317" s="120" t="s">
        <v>197</v>
      </c>
      <c r="W317" s="131" t="s">
        <v>196</v>
      </c>
      <c r="X317" s="136" t="n">
        <f aca="false" ca="false" dt2D="false" dtr="false" t="normal">MID(J314, 4, 1)</f>
        <v>0</v>
      </c>
      <c r="Y317" s="137" t="n">
        <f aca="false" ca="false" dt2D="false" dtr="false" t="normal">X317</f>
        <v>0</v>
      </c>
      <c r="Z317" s="120" t="s">
        <v>197</v>
      </c>
      <c r="AA317" s="139" t="s">
        <v>1452</v>
      </c>
      <c r="AB317" s="136" t="n">
        <f aca="false" ca="false" dt2D="false" dtr="false" t="normal">MID(K314, 4, 1)</f>
        <v>0</v>
      </c>
      <c r="AC317" s="137" t="n">
        <f aca="false" ca="false" dt2D="false" dtr="false" t="normal">AB317</f>
        <v>0</v>
      </c>
      <c r="AD317" s="120" t="s">
        <v>197</v>
      </c>
      <c r="AE317" s="3718" t="s"/>
      <c r="AF317" s="136" t="n">
        <f aca="false" ca="false" dt2D="false" dtr="false" t="normal">MID(L314, 4, 1)</f>
        <v>0</v>
      </c>
      <c r="AG317" s="137" t="n">
        <f aca="false" ca="false" dt2D="false" dtr="false" t="normal">AF317</f>
        <v>0</v>
      </c>
      <c r="AH317" s="120" t="s">
        <v>197</v>
      </c>
      <c r="AI317" s="139" t="s">
        <v>1453</v>
      </c>
      <c r="AJ317" s="3719" t="s"/>
      <c r="AK317" s="3720" t="s"/>
    </row>
    <row hidden="false" ht="15.75" outlineLevel="0" r="318">
      <c r="C318" s="98" t="s">
        <v>176</v>
      </c>
      <c r="D318" s="159" t="n">
        <f aca="false" ca="false" dt2D="false" dtr="false" t="normal">D313</f>
        <v>7</v>
      </c>
      <c r="E318" s="160" t="n">
        <f aca="false" ca="false" dt2D="false" dtr="false" t="normal">E313</f>
        <v>20</v>
      </c>
      <c r="F318" s="160" t="n">
        <f aca="false" ca="false" dt2D="false" dtr="false" t="normal">F313</f>
        <v>4</v>
      </c>
      <c r="G318" s="161" t="n">
        <f aca="false" ca="false" dt2D="false" dtr="false" t="normal">G313</f>
        <v>19</v>
      </c>
      <c r="H318" s="162" t="n">
        <f aca="false" ca="false" dt2D="false" dtr="false" t="normal">BIN2HEX(H319, 2)</f>
        <v>0</v>
      </c>
      <c r="I318" s="163" t="n">
        <f aca="false" ca="false" dt2D="false" dtr="false" t="normal">BIN2HEX(I319, 2)</f>
        <v>0</v>
      </c>
      <c r="J318" s="164" t="n">
        <f aca="false" ca="false" dt2D="false" dtr="false" t="normal">BIN2HEX(J319, 2)</f>
        <v>0</v>
      </c>
      <c r="K318" s="165" t="n">
        <f aca="false" ca="false" dt2D="false" dtr="false" t="normal">BIN2HEX(K319, 2)</f>
        <v>0</v>
      </c>
      <c r="L318" s="288" t="n">
        <f aca="false" ca="false" dt2D="false" dtr="false" t="normal">BIN2HEX(L319, 2)</f>
        <v>0</v>
      </c>
      <c r="M318" s="166" t="n">
        <f aca="false" ca="false" dt2D="false" dtr="false" t="normal">IF(LEN(M319)&gt;2, MID(M319, 2, 2), M319)</f>
        <v>44</v>
      </c>
      <c r="N318" s="63" t="s">
        <v>181</v>
      </c>
      <c r="P318" s="136" t="n">
        <f aca="false" ca="false" dt2D="false" dtr="false" t="normal">MID(H314, 5, 1)</f>
        <v>0</v>
      </c>
      <c r="Q318" s="137" t="n">
        <f aca="false" ca="false" dt2D="false" dtr="false" t="normal">P318</f>
        <v>0</v>
      </c>
      <c r="R318" s="120" t="s">
        <v>200</v>
      </c>
      <c r="S318" s="139" t="s">
        <v>1454</v>
      </c>
      <c r="T318" s="136" t="n">
        <f aca="false" ca="false" dt2D="false" dtr="false" t="normal">MID(I314, 5, 1)</f>
        <v>0</v>
      </c>
      <c r="U318" s="137" t="n">
        <f aca="false" ca="false" dt2D="false" dtr="false" t="normal">T318</f>
        <v>0</v>
      </c>
      <c r="V318" s="120" t="s">
        <v>200</v>
      </c>
      <c r="W318" s="139" t="s">
        <v>1455</v>
      </c>
      <c r="X318" s="136" t="n">
        <f aca="false" ca="false" dt2D="false" dtr="false" t="normal">MID(J314, 5, 1)</f>
        <v>0</v>
      </c>
      <c r="Y318" s="137" t="n">
        <f aca="false" ca="false" dt2D="false" dtr="false" t="normal">X318</f>
        <v>0</v>
      </c>
      <c r="Z318" s="120" t="s">
        <v>200</v>
      </c>
      <c r="AA318" s="139" t="s">
        <v>1456</v>
      </c>
      <c r="AB318" s="136" t="n">
        <f aca="false" ca="false" dt2D="false" dtr="false" t="normal">MID(K314, 5, 1)</f>
        <v>0</v>
      </c>
      <c r="AC318" s="137" t="n">
        <f aca="false" ca="false" dt2D="false" dtr="false" t="normal">AB318</f>
        <v>0</v>
      </c>
      <c r="AD318" s="120" t="s">
        <v>200</v>
      </c>
      <c r="AE318" s="139" t="s">
        <v>1457</v>
      </c>
      <c r="AF318" s="136" t="n">
        <f aca="false" ca="false" dt2D="false" dtr="false" t="normal">MID(L314, 5, 1)</f>
        <v>0</v>
      </c>
      <c r="AG318" s="137" t="n">
        <f aca="false" ca="false" dt2D="false" dtr="false" t="normal">AF318</f>
        <v>0</v>
      </c>
      <c r="AH318" s="120" t="s">
        <v>200</v>
      </c>
      <c r="AI318" s="139" t="s">
        <v>1458</v>
      </c>
      <c r="AJ318" s="3721" t="s"/>
      <c r="AK318" s="3722" t="s"/>
    </row>
    <row hidden="false" ht="15" outlineLevel="0" r="319">
      <c r="C319" s="98" t="s">
        <v>185</v>
      </c>
      <c r="D319" s="53" t="n">
        <f aca="false" ca="false" dt2D="false" dtr="false" t="normal">HEX2BIN(D318, 8)</f>
        <v>111</v>
      </c>
      <c r="E319" s="53" t="n">
        <f aca="false" ca="false" dt2D="false" dtr="false" t="normal">HEX2BIN(E318, 8)</f>
        <v>100000</v>
      </c>
      <c r="F319" s="53" t="n">
        <f aca="false" ca="false" dt2D="false" dtr="false" t="normal">HEX2BIN(F318, 8)</f>
        <v>100</v>
      </c>
      <c r="G319" s="53" t="n">
        <f aca="false" ca="false" dt2D="false" dtr="false" t="normal">HEX2BIN(G318, 8)</f>
        <v>11001</v>
      </c>
      <c r="H319" s="171" t="n">
        <f aca="false" ca="false" dt2D="false" dtr="false" t="normal">Q314&amp;Q315&amp;Q316&amp;Q317&amp;Q318&amp;Q319&amp;Q320&amp;Q321</f>
        <v>0</v>
      </c>
      <c r="I319" s="53" t="n">
        <f aca="false" ca="false" dt2D="false" dtr="false" t="normal">U314&amp;U315&amp;U316&amp;U317&amp;U318&amp;U319&amp;U320&amp;U321</f>
        <v>0</v>
      </c>
      <c r="J319" s="171" t="n">
        <f aca="false" ca="false" dt2D="false" dtr="false" t="normal">Y314&amp;Y315&amp;Y316&amp;Y317&amp;Y318&amp;Y319&amp;Y320&amp;Y321</f>
        <v>0</v>
      </c>
      <c r="K319" s="171" t="n">
        <f aca="false" ca="false" dt2D="false" dtr="false" t="normal">AC314&amp;AC315&amp;AC316&amp;AC317&amp;AC318&amp;AC319&amp;AC320&amp;AC321</f>
        <v>0</v>
      </c>
      <c r="L319" s="53" t="n">
        <f aca="false" ca="false" dt2D="false" dtr="false" t="normal">AG314&amp;AG315&amp;AG316&amp;AG317&amp;AG318&amp;AG319&amp;AG320&amp;AG321</f>
        <v>0</v>
      </c>
      <c r="M319" s="53" t="n">
        <f aca="false" ca="false" dt2D="false" dtr="false" t="normal">DEC2HEX(M320)</f>
        <v>44</v>
      </c>
      <c r="N319" s="63" t="n"/>
      <c r="P319" s="136" t="n">
        <f aca="false" ca="false" dt2D="false" dtr="false" t="normal">MID(H314, 6, 1)</f>
        <v>0</v>
      </c>
      <c r="Q319" s="137" t="n">
        <f aca="false" ca="false" dt2D="false" dtr="false" t="normal">P319</f>
        <v>0</v>
      </c>
      <c r="R319" s="120" t="s">
        <v>203</v>
      </c>
      <c r="S319" s="139" t="s">
        <v>1459</v>
      </c>
      <c r="T319" s="136" t="n">
        <f aca="false" ca="false" dt2D="false" dtr="false" t="normal">MID(I314, 6, 1)</f>
        <v>0</v>
      </c>
      <c r="U319" s="137" t="n">
        <f aca="false" ca="false" dt2D="false" dtr="false" t="normal">T319</f>
        <v>0</v>
      </c>
      <c r="V319" s="120" t="s">
        <v>203</v>
      </c>
      <c r="W319" s="131" t="s">
        <v>196</v>
      </c>
      <c r="X319" s="136" t="n">
        <f aca="false" ca="false" dt2D="false" dtr="false" t="normal">MID(J314, 6, 1)</f>
        <v>0</v>
      </c>
      <c r="Y319" s="137" t="n">
        <f aca="false" ca="false" dt2D="false" dtr="false" t="normal">X319</f>
        <v>0</v>
      </c>
      <c r="Z319" s="120" t="s">
        <v>203</v>
      </c>
      <c r="AA319" s="139" t="s">
        <v>1460</v>
      </c>
      <c r="AB319" s="136" t="n">
        <f aca="false" ca="false" dt2D="false" dtr="false" t="normal">MID(K314, 6, 1)</f>
        <v>0</v>
      </c>
      <c r="AC319" s="137" t="n">
        <f aca="false" ca="false" dt2D="false" dtr="false" t="normal">AB319</f>
        <v>0</v>
      </c>
      <c r="AD319" s="120" t="s">
        <v>203</v>
      </c>
      <c r="AE319" s="139" t="s">
        <v>1461</v>
      </c>
      <c r="AF319" s="136" t="n">
        <f aca="false" ca="false" dt2D="false" dtr="false" t="normal">MID(L314, 6, 1)</f>
        <v>0</v>
      </c>
      <c r="AG319" s="137" t="n">
        <f aca="false" ca="false" dt2D="false" dtr="false" t="normal">AF319</f>
        <v>0</v>
      </c>
      <c r="AH319" s="120" t="s">
        <v>203</v>
      </c>
      <c r="AI319" s="139" t="s">
        <v>1462</v>
      </c>
      <c r="AJ319" s="3723" t="s"/>
      <c r="AK319" s="3724" t="s"/>
    </row>
    <row customHeight="true" hidden="false" ht="15" outlineLevel="0" r="320">
      <c r="C320" s="98" t="s">
        <v>191</v>
      </c>
      <c r="D320" s="53" t="n">
        <f aca="false" ca="false" dt2D="false" dtr="false" t="normal">HEX2DEC(D318)</f>
        <v>7</v>
      </c>
      <c r="E320" s="53" t="n">
        <f aca="false" ca="false" dt2D="false" dtr="false" t="normal">HEX2DEC(E318)</f>
        <v>32</v>
      </c>
      <c r="F320" s="53" t="n">
        <f aca="false" ca="false" dt2D="false" dtr="false" t="normal">HEX2DEC(F318)</f>
        <v>4</v>
      </c>
      <c r="G320" s="53" t="n">
        <f aca="false" ca="false" dt2D="false" dtr="false" t="normal">HEX2DEC(G318)</f>
        <v>25</v>
      </c>
      <c r="H320" s="53" t="n">
        <f aca="false" ca="false" dt2D="false" dtr="false" t="normal">HEX2DEC(H318)</f>
        <v>0</v>
      </c>
      <c r="I320" s="53" t="n">
        <f aca="false" ca="false" dt2D="false" dtr="false" t="normal">HEX2DEC(I318)</f>
        <v>0</v>
      </c>
      <c r="J320" s="53" t="n">
        <f aca="false" ca="false" dt2D="false" dtr="false" t="normal">HEX2DEC(J318)</f>
        <v>0</v>
      </c>
      <c r="K320" s="53" t="n">
        <f aca="false" ca="false" dt2D="false" dtr="false" t="normal">HEX2DEC(K318)</f>
        <v>0</v>
      </c>
      <c r="L320" s="53" t="n">
        <f aca="false" ca="false" dt2D="false" dtr="false" t="normal">HEX2DEC(L318)</f>
        <v>0</v>
      </c>
      <c r="M320" s="53" t="n">
        <f aca="false" ca="false" dt2D="false" dtr="false" t="normal">SUM(D320:L320)</f>
        <v>68</v>
      </c>
      <c r="N320" s="63" t="n"/>
      <c r="P320" s="136" t="n">
        <f aca="false" ca="false" dt2D="false" dtr="false" t="normal">MID(H314, 7, 1)</f>
        <v>0</v>
      </c>
      <c r="Q320" s="137" t="n">
        <f aca="false" ca="false" dt2D="false" dtr="false" t="normal">P320</f>
        <v>0</v>
      </c>
      <c r="R320" s="120" t="s">
        <v>206</v>
      </c>
      <c r="S320" s="173" t="s">
        <v>1463</v>
      </c>
      <c r="T320" s="136" t="n">
        <f aca="false" ca="false" dt2D="false" dtr="false" t="normal">MID(I314, 7, 1)</f>
        <v>0</v>
      </c>
      <c r="U320" s="137" t="n">
        <f aca="false" ca="false" dt2D="false" dtr="false" t="normal">T320</f>
        <v>0</v>
      </c>
      <c r="V320" s="120" t="s">
        <v>206</v>
      </c>
      <c r="W320" s="139" t="s">
        <v>1464</v>
      </c>
      <c r="X320" s="136" t="n">
        <f aca="false" ca="false" dt2D="false" dtr="false" t="normal">MID(J314, 7, 1)</f>
        <v>0</v>
      </c>
      <c r="Y320" s="137" t="n">
        <f aca="false" ca="false" dt2D="false" dtr="false" t="normal">X320</f>
        <v>0</v>
      </c>
      <c r="Z320" s="120" t="s">
        <v>206</v>
      </c>
      <c r="AA320" s="139" t="s">
        <v>1465</v>
      </c>
      <c r="AB320" s="136" t="n">
        <f aca="false" ca="false" dt2D="false" dtr="false" t="normal">MID(K314, 7, 1)</f>
        <v>0</v>
      </c>
      <c r="AC320" s="137" t="n">
        <f aca="false" ca="false" dt2D="false" dtr="false" t="normal">AB320</f>
        <v>0</v>
      </c>
      <c r="AD320" s="120" t="s">
        <v>206</v>
      </c>
      <c r="AE320" s="139" t="s">
        <v>1466</v>
      </c>
      <c r="AF320" s="136" t="n">
        <f aca="false" ca="false" dt2D="false" dtr="false" t="normal">MID(L314, 7, 1)</f>
        <v>0</v>
      </c>
      <c r="AG320" s="137" t="n">
        <f aca="false" ca="false" dt2D="false" dtr="false" t="normal">AF320</f>
        <v>0</v>
      </c>
      <c r="AH320" s="120" t="s">
        <v>206</v>
      </c>
      <c r="AI320" s="139" t="s">
        <v>1467</v>
      </c>
      <c r="AJ320" s="3725" t="s"/>
      <c r="AK320" s="3726" t="s"/>
    </row>
    <row hidden="false" ht="15.75" outlineLevel="0" r="321">
      <c r="C321" s="180" t="s">
        <v>194</v>
      </c>
      <c r="D321" s="299" t="n">
        <f aca="false" ca="false" dt2D="false" dtr="false" t="normal">D316</f>
        <v>7</v>
      </c>
      <c r="E321" s="299" t="n">
        <f aca="false" ca="false" dt2D="false" dtr="false" t="normal">E316</f>
        <v>20</v>
      </c>
      <c r="F321" s="299" t="str">
        <f aca="false" ca="false" dt2D="false" dtr="false" t="normal">F316</f>
        <v>G4</v>
      </c>
      <c r="G321" s="299" t="str">
        <f aca="false" ca="false" dt2D="false" dtr="false" t="normal">G316</f>
        <v>H3</v>
      </c>
      <c r="H321" s="45" t="n"/>
      <c r="I321" s="45" t="n"/>
      <c r="J321" s="45" t="n"/>
      <c r="K321" s="45" t="n"/>
      <c r="L321" s="45" t="n"/>
      <c r="M321" s="45" t="n"/>
      <c r="N321" s="49" t="n"/>
      <c r="P321" s="182" t="n">
        <f aca="false" ca="false" dt2D="false" dtr="false" t="normal">MID(H314, 8, 1)</f>
        <v>0</v>
      </c>
      <c r="Q321" s="183" t="n">
        <f aca="false" ca="false" dt2D="false" dtr="false" t="normal">P321</f>
        <v>0</v>
      </c>
      <c r="R321" s="184" t="s">
        <v>208</v>
      </c>
      <c r="S321" s="3727" t="s"/>
      <c r="T321" s="182" t="n">
        <f aca="false" ca="false" dt2D="false" dtr="false" t="normal">MID(I314, 8, 1)</f>
        <v>0</v>
      </c>
      <c r="U321" s="183" t="n">
        <f aca="false" ca="false" dt2D="false" dtr="false" t="normal">T321</f>
        <v>0</v>
      </c>
      <c r="V321" s="184" t="s">
        <v>208</v>
      </c>
      <c r="W321" s="187" t="s">
        <v>1468</v>
      </c>
      <c r="X321" s="182" t="n">
        <f aca="false" ca="false" dt2D="false" dtr="false" t="normal">MID(J314, 8, 1)</f>
        <v>0</v>
      </c>
      <c r="Y321" s="183" t="n">
        <f aca="false" ca="false" dt2D="false" dtr="false" t="normal">X321</f>
        <v>0</v>
      </c>
      <c r="Z321" s="184" t="s">
        <v>208</v>
      </c>
      <c r="AA321" s="187" t="s">
        <v>1469</v>
      </c>
      <c r="AB321" s="182" t="n">
        <f aca="false" ca="false" dt2D="false" dtr="false" t="normal">MID(K314, 8, 1)</f>
        <v>0</v>
      </c>
      <c r="AC321" s="183" t="n">
        <f aca="false" ca="false" dt2D="false" dtr="false" t="normal">AB321</f>
        <v>0</v>
      </c>
      <c r="AD321" s="184" t="s">
        <v>208</v>
      </c>
      <c r="AE321" s="187" t="s">
        <v>1470</v>
      </c>
      <c r="AF321" s="182" t="n">
        <f aca="false" ca="false" dt2D="false" dtr="false" t="normal">MID(L314, 8, 1)</f>
        <v>0</v>
      </c>
      <c r="AG321" s="183" t="n">
        <f aca="false" ca="false" dt2D="false" dtr="false" t="normal">AF321</f>
        <v>0</v>
      </c>
      <c r="AH321" s="184" t="s">
        <v>208</v>
      </c>
      <c r="AI321" s="187" t="s">
        <v>1471</v>
      </c>
      <c r="AJ321" s="3728" t="s"/>
      <c r="AK321" s="3729" t="s"/>
    </row>
    <row hidden="false" ht="15.75" outlineLevel="0" r="322">
      <c r="C322" s="93" t="n"/>
      <c r="D322" s="94" t="n"/>
      <c r="E322" s="94" t="n"/>
      <c r="F322" s="94" t="n"/>
      <c r="G322" s="94" t="n"/>
      <c r="H322" s="94" t="n"/>
      <c r="I322" s="94" t="n"/>
      <c r="J322" s="94" t="n"/>
      <c r="K322" s="94" t="n"/>
      <c r="L322" s="94" t="n"/>
      <c r="M322" s="94" t="s">
        <v>161</v>
      </c>
      <c r="N322" s="60" t="n"/>
      <c r="P322" s="95" t="str">
        <f aca="false" ca="false" dt2D="false" dtr="false" t="normal">RIGHT(D324, 1)&amp;E324&amp;"-"&amp;F324&amp;"-"&amp;G324</f>
        <v>720-04-20</v>
      </c>
      <c r="Q322" s="3730" t="s"/>
      <c r="R322" s="234" t="s">
        <v>1472</v>
      </c>
      <c r="S322" s="3731" t="s"/>
      <c r="T322" s="3732" t="s"/>
      <c r="U322" s="3733" t="s"/>
      <c r="V322" s="3734" t="s"/>
      <c r="W322" s="3735" t="s"/>
      <c r="X322" s="3736" t="s"/>
      <c r="Y322" s="3737" t="s"/>
      <c r="Z322" s="3738" t="s"/>
      <c r="AA322" s="3739" t="s"/>
      <c r="AB322" s="3740" t="s"/>
      <c r="AC322" s="3741" t="s"/>
      <c r="AD322" s="3742" t="s"/>
      <c r="AE322" s="3743" t="s"/>
      <c r="AF322" s="3744" t="s"/>
      <c r="AG322" s="3745" t="s"/>
      <c r="AH322" s="3746" t="s"/>
      <c r="AI322" s="3747" t="s"/>
      <c r="AJ322" s="3748" t="s"/>
      <c r="AK322" s="3749" t="s"/>
    </row>
    <row hidden="false" ht="15.75" outlineLevel="0" r="323">
      <c r="C323" s="98" t="n"/>
      <c r="D323" s="99" t="s">
        <v>1473</v>
      </c>
      <c r="E323" s="3750" t="s"/>
      <c r="F323" s="3751" t="s"/>
      <c r="G323" s="3752" t="s"/>
      <c r="H323" s="53" t="s">
        <v>165</v>
      </c>
      <c r="I323" s="53" t="s">
        <v>166</v>
      </c>
      <c r="J323" s="53" t="s">
        <v>167</v>
      </c>
      <c r="K323" s="53" t="s">
        <v>168</v>
      </c>
      <c r="L323" s="53" t="s">
        <v>169</v>
      </c>
      <c r="M323" s="53" t="s">
        <v>221</v>
      </c>
      <c r="N323" s="63" t="n"/>
      <c r="P323" s="103" t="s">
        <v>1474</v>
      </c>
      <c r="Q323" s="3753" t="s"/>
      <c r="R323" s="3754" t="s"/>
      <c r="S323" s="3755" t="s"/>
      <c r="T323" s="116" t="s">
        <v>1475</v>
      </c>
      <c r="U323" s="3756" t="s"/>
      <c r="V323" s="3757" t="s"/>
      <c r="W323" s="3758" t="s"/>
      <c r="X323" s="116" t="s">
        <v>1476</v>
      </c>
      <c r="Y323" s="3759" t="s"/>
      <c r="Z323" s="3760" t="s"/>
      <c r="AA323" s="3761" t="s"/>
      <c r="AB323" s="103" t="s">
        <v>1477</v>
      </c>
      <c r="AC323" s="3762" t="s"/>
      <c r="AD323" s="3763" t="s"/>
      <c r="AE323" s="3764" t="s"/>
      <c r="AF323" s="103" t="s">
        <v>1478</v>
      </c>
      <c r="AG323" s="3765" t="s"/>
      <c r="AH323" s="3766" t="s"/>
      <c r="AI323" s="3767" t="s"/>
      <c r="AJ323" s="116" t="s">
        <v>1479</v>
      </c>
      <c r="AK323" s="3768" t="s"/>
    </row>
    <row hidden="false" ht="15.75" outlineLevel="0" r="324">
      <c r="C324" s="98" t="s">
        <v>176</v>
      </c>
      <c r="D324" s="122" t="s">
        <v>177</v>
      </c>
      <c r="E324" s="123" t="s">
        <v>693</v>
      </c>
      <c r="F324" s="123" t="s">
        <v>342</v>
      </c>
      <c r="G324" s="124" t="s">
        <v>693</v>
      </c>
      <c r="H324" s="1819" t="n">
        <f aca="false" ca="false" dt2D="false" dtr="false" ref="H324:H324" t="array">MID(INDEX($A$3:$A$70, IF(ISNA(MATCH("720G4H4*", $A$3:$A$70, 0))=TRUE, MATCH("7200420*", $A$3:$A$70, 0), MATCH("720G4H4*", $A$3:$A$70, 0))), $AU$8, 2)</f>
        <v>0</v>
      </c>
      <c r="I324" s="1820" t="n">
        <f aca="false" ca="false" dt2D="false" dtr="false" ref="I324:I324" t="array">MID(INDEX($A$3:$A$70, IF(ISNA(MATCH("720G4H4*", $A$3:$A$70, 0))=TRUE, MATCH("7200420*", $A$3:$A$70, 0), MATCH("720G4H4*", $A$3:$A$70, 0))), $AV$8, 2)</f>
        <v>0</v>
      </c>
      <c r="J324" s="164" t="n">
        <f aca="false" ca="false" dt2D="false" dtr="false" ref="J324:J324" t="array">MID(INDEX($A$3:$A$70, IF(ISNA(MATCH("720G4H4*", $A$3:$A$70, 0))=TRUE, MATCH("7200420*", $A$3:$A$70, 0), MATCH("720G4H4*", $A$3:$A$70, 0))), $AW$8, 2)</f>
        <v>0</v>
      </c>
      <c r="K324" s="1820" t="n">
        <f aca="false" ca="false" dt2D="false" dtr="false" ref="K324:K324" t="array">MID(INDEX($A$3:$A$70, IF(ISNA(MATCH("720G4H4*", $A$3:$A$70, 0))=TRUE, MATCH("7200420*", $A$3:$A$70, 0), MATCH("720G4H4*", $A$3:$A$70, 0))), $AX$8, 2)</f>
        <v>0</v>
      </c>
      <c r="L324" s="1821" t="n">
        <f aca="false" ca="false" dt2D="false" dtr="false" ref="L324:L324" t="array">MID(INDEX($A$3:$A$70, IF(ISNA(MATCH("720G4H4*", $A$3:$A$70, 0))=TRUE, MATCH("7200420*", $A$3:$A$70, 0), MATCH("720G4H4*", $A$3:$A$70, 0))), $AY$8, 2)</f>
        <v>0</v>
      </c>
      <c r="M324" s="218" t="str">
        <f aca="false" ca="false" dt2D="false" dtr="false" ref="M324:M324" t="array">MID(INDEX($A$3:$A$70, IF(ISNA(MATCH("720G4H4*", $A$3:$A$70, 0))=TRUE, MATCH("7200420*", $A$3:$A$70, 0), MATCH("720G4H4*", $A$3:$A$70, 0))), $AZ$8, 2)</f>
        <v>4B</v>
      </c>
      <c r="N324" s="63" t="s">
        <v>180</v>
      </c>
      <c r="P324" s="129" t="s">
        <v>180</v>
      </c>
      <c r="Q324" s="130" t="s">
        <v>181</v>
      </c>
      <c r="R324" s="121" t="s">
        <v>182</v>
      </c>
      <c r="S324" s="131" t="n"/>
      <c r="T324" s="116" t="n"/>
      <c r="U324" s="3769" t="s"/>
      <c r="V324" s="3770" t="s"/>
      <c r="W324" s="3771" t="s"/>
      <c r="X324" s="116" t="n"/>
      <c r="Y324" s="3772" t="s"/>
      <c r="Z324" s="3773" t="s"/>
      <c r="AA324" s="3774" t="s"/>
      <c r="AB324" s="129" t="s">
        <v>180</v>
      </c>
      <c r="AC324" s="130" t="s">
        <v>181</v>
      </c>
      <c r="AD324" s="121" t="s">
        <v>182</v>
      </c>
      <c r="AE324" s="131" t="n"/>
      <c r="AF324" s="129" t="s">
        <v>180</v>
      </c>
      <c r="AG324" s="130" t="s">
        <v>181</v>
      </c>
      <c r="AH324" s="121" t="s">
        <v>182</v>
      </c>
      <c r="AI324" s="121" t="n"/>
      <c r="AJ324" s="116" t="s">
        <v>183</v>
      </c>
      <c r="AK324" s="3775" t="s"/>
    </row>
    <row hidden="false" ht="15" outlineLevel="0" r="325">
      <c r="C325" s="98" t="s">
        <v>185</v>
      </c>
      <c r="D325" s="53" t="n">
        <f aca="false" ca="false" dt2D="false" dtr="false" t="normal">HEX2BIN(D324, 8)</f>
        <v>111</v>
      </c>
      <c r="E325" s="53" t="n">
        <f aca="false" ca="false" dt2D="false" dtr="false" t="normal">HEX2BIN(E324, 8)</f>
        <v>100000</v>
      </c>
      <c r="F325" s="53" t="n">
        <f aca="false" ca="false" dt2D="false" dtr="false" t="normal">HEX2BIN(F324, 8)</f>
        <v>100</v>
      </c>
      <c r="G325" s="53" t="n">
        <f aca="false" ca="false" dt2D="false" dtr="false" t="normal">HEX2BIN(G324, 8)</f>
        <v>100000</v>
      </c>
      <c r="H325" s="53" t="n">
        <f aca="false" ca="false" dt2D="false" dtr="false" t="normal">HEX2BIN(H324, 8)</f>
        <v>0</v>
      </c>
      <c r="I325" s="53" t="n">
        <f aca="false" ca="false" dt2D="false" dtr="false" t="normal">HEX2BIN(I324, 8)</f>
        <v>0</v>
      </c>
      <c r="J325" s="53" t="n">
        <f aca="false" ca="false" dt2D="false" dtr="false" t="normal">HEX2BIN(J324, 8)</f>
        <v>0</v>
      </c>
      <c r="K325" s="53" t="n">
        <f aca="false" ca="false" dt2D="false" dtr="false" t="normal">HEX2BIN(K324, 8)</f>
        <v>0</v>
      </c>
      <c r="L325" s="53" t="n">
        <f aca="false" ca="false" dt2D="false" dtr="false" t="normal">HEX2BIN(L324, 8)</f>
        <v>0</v>
      </c>
      <c r="N325" s="63" t="n"/>
      <c r="P325" s="136" t="n">
        <f aca="false" ca="false" dt2D="false" dtr="false" t="normal">MID(H325, 1, 1)</f>
        <v>0</v>
      </c>
      <c r="Q325" s="137" t="n">
        <f aca="false" ca="false" dt2D="false" dtr="false" t="normal">P325</f>
        <v>0</v>
      </c>
      <c r="R325" s="120" t="s">
        <v>186</v>
      </c>
      <c r="S325" s="139" t="s">
        <v>1480</v>
      </c>
      <c r="T325" s="3776" t="s"/>
      <c r="U325" s="142" t="s"/>
      <c r="V325" s="142" t="s"/>
      <c r="W325" s="3777" t="s"/>
      <c r="X325" s="3778" t="s"/>
      <c r="Y325" s="142" t="s"/>
      <c r="Z325" s="142" t="s"/>
      <c r="AA325" s="3779" t="s"/>
      <c r="AB325" s="136" t="n">
        <f aca="false" ca="false" dt2D="false" dtr="false" t="normal">MID(K325, 1, 1)</f>
        <v>0</v>
      </c>
      <c r="AC325" s="137" t="n">
        <f aca="false" ca="false" dt2D="false" dtr="false" t="normal">AB325</f>
        <v>0</v>
      </c>
      <c r="AD325" s="120" t="s">
        <v>186</v>
      </c>
      <c r="AE325" s="139" t="s">
        <v>1481</v>
      </c>
      <c r="AF325" s="136" t="n">
        <f aca="false" ca="false" dt2D="false" dtr="false" t="normal">MID(L325, 1, 1)</f>
        <v>0</v>
      </c>
      <c r="AG325" s="137" t="n">
        <f aca="false" ca="false" dt2D="false" dtr="false" t="normal">AF325</f>
        <v>0</v>
      </c>
      <c r="AH325" s="120" t="s">
        <v>186</v>
      </c>
      <c r="AI325" s="139" t="s">
        <v>1482</v>
      </c>
      <c r="AJ325" s="3780" t="s"/>
      <c r="AK325" s="3781" t="s"/>
    </row>
    <row hidden="false" ht="15" outlineLevel="0" r="326">
      <c r="C326" s="98" t="s">
        <v>191</v>
      </c>
      <c r="D326" s="53" t="n">
        <f aca="false" ca="false" dt2D="false" dtr="false" t="normal">HEX2DEC(D324)</f>
        <v>7</v>
      </c>
      <c r="E326" s="53" t="n">
        <f aca="false" ca="false" dt2D="false" dtr="false" t="normal">HEX2DEC(E324)</f>
        <v>32</v>
      </c>
      <c r="F326" s="53" t="n">
        <f aca="false" ca="false" dt2D="false" dtr="false" t="normal">HEX2DEC(F324)</f>
        <v>4</v>
      </c>
      <c r="G326" s="53" t="n">
        <f aca="false" ca="false" dt2D="false" dtr="false" t="normal">HEX2DEC(G324)</f>
        <v>32</v>
      </c>
      <c r="H326" s="53" t="n">
        <f aca="false" ca="false" dt2D="false" dtr="false" t="normal">HEX2DEC(H324)</f>
        <v>0</v>
      </c>
      <c r="I326" s="53" t="n">
        <f aca="false" ca="false" dt2D="false" dtr="false" t="normal">HEX2DEC(I324)</f>
        <v>0</v>
      </c>
      <c r="J326" s="53" t="n">
        <f aca="false" ca="false" dt2D="false" dtr="false" t="normal">HEX2DEC(J324)</f>
        <v>0</v>
      </c>
      <c r="K326" s="53" t="n">
        <f aca="false" ca="false" dt2D="false" dtr="false" t="normal">HEX2DEC(K324)</f>
        <v>0</v>
      </c>
      <c r="L326" s="53" t="n">
        <f aca="false" ca="false" dt2D="false" dtr="false" t="normal">HEX2DEC(L324)</f>
        <v>0</v>
      </c>
      <c r="M326" s="53" t="n">
        <f aca="false" ca="false" dt2D="false" dtr="false" t="normal">SUM(D326:L326)</f>
        <v>75</v>
      </c>
      <c r="N326" s="63" t="n"/>
      <c r="P326" s="136" t="n">
        <f aca="false" ca="false" dt2D="false" dtr="false" t="normal">MID(H325, 2, 1)</f>
        <v>0</v>
      </c>
      <c r="Q326" s="137" t="n">
        <f aca="false" ca="false" dt2D="false" dtr="false" t="normal">P326</f>
        <v>0</v>
      </c>
      <c r="R326" s="120" t="s">
        <v>192</v>
      </c>
      <c r="S326" s="139" t="s">
        <v>1483</v>
      </c>
      <c r="T326" s="3782" t="s"/>
      <c r="U326" s="142" t="s"/>
      <c r="V326" s="142" t="s"/>
      <c r="W326" s="3783" t="s"/>
      <c r="X326" s="3784" t="s"/>
      <c r="Y326" s="142" t="s"/>
      <c r="Z326" s="142" t="s"/>
      <c r="AA326" s="3785" t="s"/>
      <c r="AB326" s="136" t="n">
        <f aca="false" ca="false" dt2D="false" dtr="false" t="normal">MID(K325, 2, 1)</f>
        <v>0</v>
      </c>
      <c r="AC326" s="137" t="n">
        <f aca="false" ca="false" dt2D="false" dtr="false" t="normal">AB326</f>
        <v>0</v>
      </c>
      <c r="AD326" s="120" t="s">
        <v>192</v>
      </c>
      <c r="AE326" s="139" t="s">
        <v>1484</v>
      </c>
      <c r="AF326" s="136" t="n">
        <f aca="false" ca="false" dt2D="false" dtr="false" t="normal">MID(L325, 2, 1)</f>
        <v>0</v>
      </c>
      <c r="AG326" s="137" t="n">
        <f aca="false" ca="false" dt2D="false" dtr="false" t="normal">AF326</f>
        <v>0</v>
      </c>
      <c r="AH326" s="120" t="s">
        <v>192</v>
      </c>
      <c r="AI326" s="139" t="s">
        <v>1485</v>
      </c>
      <c r="AJ326" s="3786" t="s"/>
      <c r="AK326" s="3787" t="s"/>
    </row>
    <row hidden="false" ht="15" outlineLevel="0" r="327">
      <c r="C327" s="98" t="s">
        <v>194</v>
      </c>
      <c r="D327" s="149" t="n">
        <f aca="false" ca="false" dt2D="false" dtr="false" t="normal">D324</f>
        <v>7</v>
      </c>
      <c r="E327" s="149" t="n">
        <f aca="false" ca="false" dt2D="false" dtr="false" t="normal">E324</f>
        <v>20</v>
      </c>
      <c r="F327" s="53" t="str">
        <f aca="false" ca="false" dt2D="false" dtr="false" t="normal">MID(INDEX($A$3:$A$70, IF(ISNA(MATCH("720G4H4*", $A$3:$A$70, 0))=TRUE, MATCH("7200420*", $A$3:$A$70, 0), MATCH("720G4H4*", $A$3:$A$70, 0))), $AS$8, 2)</f>
        <v>G4</v>
      </c>
      <c r="G327" s="53" t="str">
        <f aca="false" ca="false" dt2D="false" dtr="false" t="normal">MID(INDEX($A$3:$A$70, IF(ISNA(MATCH("720G4H4*", $A$3:$A$70, 0))=TRUE, MATCH("7200420*", $A$3:$A$70, 0), MATCH("720G4H4*", $A$3:$A$70, 0))), $AT$8, 2)</f>
        <v>H4</v>
      </c>
      <c r="N327" s="63" t="n"/>
      <c r="P327" s="136" t="n">
        <f aca="false" ca="false" dt2D="false" dtr="false" t="normal">MID(H325, 3, 1)</f>
        <v>0</v>
      </c>
      <c r="Q327" s="137" t="n">
        <f aca="false" ca="false" dt2D="false" dtr="false" t="normal">P327</f>
        <v>0</v>
      </c>
      <c r="R327" s="120" t="s">
        <v>195</v>
      </c>
      <c r="S327" s="139" t="s">
        <v>1486</v>
      </c>
      <c r="T327" s="3788" t="s"/>
      <c r="U327" s="142" t="s"/>
      <c r="V327" s="142" t="s"/>
      <c r="W327" s="3789" t="s"/>
      <c r="X327" s="3790" t="s"/>
      <c r="Y327" s="142" t="s"/>
      <c r="Z327" s="142" t="s"/>
      <c r="AA327" s="3791" t="s"/>
      <c r="AB327" s="136" t="n">
        <f aca="false" ca="false" dt2D="false" dtr="false" t="normal">MID(K325, 3, 1)</f>
        <v>0</v>
      </c>
      <c r="AC327" s="137" t="n">
        <f aca="false" ca="false" dt2D="false" dtr="false" t="normal">AB327</f>
        <v>0</v>
      </c>
      <c r="AD327" s="120" t="s">
        <v>195</v>
      </c>
      <c r="AE327" s="139" t="s">
        <v>1247</v>
      </c>
      <c r="AF327" s="136" t="n">
        <f aca="false" ca="false" dt2D="false" dtr="false" t="normal">MID(L325, 3, 1)</f>
        <v>0</v>
      </c>
      <c r="AG327" s="137" t="n">
        <f aca="false" ca="false" dt2D="false" dtr="false" t="normal">AF327</f>
        <v>0</v>
      </c>
      <c r="AH327" s="120" t="s">
        <v>195</v>
      </c>
      <c r="AI327" s="139" t="s">
        <v>1487</v>
      </c>
      <c r="AJ327" s="3792" t="s"/>
      <c r="AK327" s="3793" t="s"/>
    </row>
    <row hidden="false" ht="15.75" outlineLevel="0" r="328">
      <c r="C328" s="98" t="n"/>
      <c r="N328" s="63" t="n"/>
      <c r="P328" s="136" t="n">
        <f aca="false" ca="false" dt2D="false" dtr="false" t="normal">MID(H325, 4, 1)</f>
        <v>0</v>
      </c>
      <c r="Q328" s="137" t="n">
        <f aca="false" ca="false" dt2D="false" dtr="false" t="normal">P328</f>
        <v>0</v>
      </c>
      <c r="R328" s="120" t="s">
        <v>197</v>
      </c>
      <c r="S328" s="139" t="s">
        <v>1488</v>
      </c>
      <c r="T328" s="3794" t="s"/>
      <c r="U328" s="142" t="s"/>
      <c r="V328" s="142" t="s"/>
      <c r="W328" s="3795" t="s"/>
      <c r="X328" s="3796" t="s"/>
      <c r="Y328" s="142" t="s"/>
      <c r="Z328" s="142" t="s"/>
      <c r="AA328" s="3797" t="s"/>
      <c r="AB328" s="136" t="n">
        <f aca="false" ca="false" dt2D="false" dtr="false" t="normal">MID(K325, 4, 1)</f>
        <v>0</v>
      </c>
      <c r="AC328" s="137" t="n">
        <f aca="false" ca="false" dt2D="false" dtr="false" t="normal">AB328</f>
        <v>0</v>
      </c>
      <c r="AD328" s="120" t="s">
        <v>197</v>
      </c>
      <c r="AE328" s="1194" t="s">
        <v>1489</v>
      </c>
      <c r="AF328" s="136" t="n">
        <f aca="false" ca="false" dt2D="false" dtr="false" t="normal">MID(L325, 4, 1)</f>
        <v>0</v>
      </c>
      <c r="AG328" s="137" t="n">
        <f aca="false" ca="false" dt2D="false" dtr="false" t="normal">AF328</f>
        <v>0</v>
      </c>
      <c r="AH328" s="120" t="s">
        <v>197</v>
      </c>
      <c r="AI328" s="139" t="s">
        <v>1490</v>
      </c>
      <c r="AJ328" s="3798" t="s"/>
      <c r="AK328" s="3799" t="s"/>
    </row>
    <row hidden="false" ht="15.75" outlineLevel="0" r="329">
      <c r="C329" s="98" t="s">
        <v>176</v>
      </c>
      <c r="D329" s="159" t="n">
        <f aca="false" ca="false" dt2D="false" dtr="false" t="normal">D324</f>
        <v>7</v>
      </c>
      <c r="E329" s="160" t="n">
        <f aca="false" ca="false" dt2D="false" dtr="false" t="normal">E324</f>
        <v>20</v>
      </c>
      <c r="F329" s="160" t="n">
        <f aca="false" ca="false" dt2D="false" dtr="false" t="normal">F324</f>
        <v>4</v>
      </c>
      <c r="G329" s="161" t="n">
        <f aca="false" ca="false" dt2D="false" dtr="false" t="normal">G324</f>
        <v>20</v>
      </c>
      <c r="H329" s="162" t="n">
        <f aca="false" ca="false" dt2D="false" dtr="false" t="normal">BIN2HEX(H330, 2)</f>
        <v>0</v>
      </c>
      <c r="I329" s="1916" t="n">
        <f aca="false" ca="false" dt2D="false" dtr="false" t="normal">I324</f>
        <v>0</v>
      </c>
      <c r="J329" s="2217" t="n">
        <f aca="false" ca="false" dt2D="false" dtr="false" t="normal">J324</f>
        <v>0</v>
      </c>
      <c r="K329" s="165" t="n">
        <f aca="false" ca="false" dt2D="false" dtr="false" t="normal">BIN2HEX(K330, 2)</f>
        <v>0</v>
      </c>
      <c r="L329" s="288" t="n">
        <f aca="false" ca="false" dt2D="false" dtr="false" t="normal">BIN2HEX(L330, 2)</f>
        <v>0</v>
      </c>
      <c r="M329" s="166" t="str">
        <f aca="false" ca="false" dt2D="false" dtr="false" t="normal">IF(LEN(M330)&gt;2, MID(M330, 2, 2), M330)</f>
        <v>4B</v>
      </c>
      <c r="N329" s="63" t="s">
        <v>181</v>
      </c>
      <c r="P329" s="136" t="n">
        <f aca="false" ca="false" dt2D="false" dtr="false" t="normal">MID(H325, 5, 1)</f>
        <v>0</v>
      </c>
      <c r="Q329" s="137" t="n">
        <f aca="false" ca="false" dt2D="false" dtr="false" t="normal">P329</f>
        <v>0</v>
      </c>
      <c r="R329" s="120" t="s">
        <v>200</v>
      </c>
      <c r="S329" s="139" t="s">
        <v>1491</v>
      </c>
      <c r="T329" s="3800" t="s"/>
      <c r="U329" s="142" t="s"/>
      <c r="V329" s="142" t="s"/>
      <c r="W329" s="3801" t="s"/>
      <c r="X329" s="3802" t="s"/>
      <c r="Y329" s="142" t="s"/>
      <c r="Z329" s="142" t="s"/>
      <c r="AA329" s="3803" t="s"/>
      <c r="AB329" s="136" t="n">
        <f aca="false" ca="false" dt2D="false" dtr="false" t="normal">MID(K325, 5, 1)</f>
        <v>0</v>
      </c>
      <c r="AC329" s="137" t="n">
        <f aca="false" ca="false" dt2D="false" dtr="false" t="normal">AB329</f>
        <v>0</v>
      </c>
      <c r="AD329" s="120" t="s">
        <v>200</v>
      </c>
      <c r="AE329" s="139" t="s">
        <v>1492</v>
      </c>
      <c r="AF329" s="136" t="n">
        <f aca="false" ca="false" dt2D="false" dtr="false" t="normal">MID(L325, 5, 1)</f>
        <v>0</v>
      </c>
      <c r="AG329" s="137" t="n">
        <f aca="false" ca="false" dt2D="false" dtr="false" t="normal">AF329</f>
        <v>0</v>
      </c>
      <c r="AH329" s="120" t="s">
        <v>200</v>
      </c>
      <c r="AI329" s="139" t="s">
        <v>1493</v>
      </c>
      <c r="AJ329" s="3804" t="s"/>
      <c r="AK329" s="3805" t="s"/>
    </row>
    <row hidden="false" ht="15" outlineLevel="0" r="330">
      <c r="C330" s="98" t="s">
        <v>185</v>
      </c>
      <c r="D330" s="53" t="n">
        <f aca="false" ca="false" dt2D="false" dtr="false" t="normal">HEX2BIN(D329, 8)</f>
        <v>111</v>
      </c>
      <c r="E330" s="53" t="n">
        <f aca="false" ca="false" dt2D="false" dtr="false" t="normal">HEX2BIN(E329, 8)</f>
        <v>100000</v>
      </c>
      <c r="F330" s="53" t="n">
        <f aca="false" ca="false" dt2D="false" dtr="false" t="normal">HEX2BIN(F329, 8)</f>
        <v>100</v>
      </c>
      <c r="G330" s="53" t="n">
        <f aca="false" ca="false" dt2D="false" dtr="false" t="normal">HEX2BIN(G329, 8)</f>
        <v>100000</v>
      </c>
      <c r="H330" s="171" t="n">
        <f aca="false" ca="false" dt2D="false" dtr="false" t="normal">Q325&amp;Q326&amp;Q327&amp;Q328&amp;Q329&amp;Q330&amp;Q331&amp;Q332</f>
        <v>0</v>
      </c>
      <c r="I330" s="53" t="n"/>
      <c r="J330" s="171" t="n"/>
      <c r="K330" s="171" t="n">
        <f aca="false" ca="false" dt2D="false" dtr="false" t="normal">AC325&amp;AC326&amp;AC327&amp;AC328&amp;AC329&amp;AC330&amp;AC331&amp;AC332</f>
        <v>0</v>
      </c>
      <c r="L330" s="53" t="n">
        <f aca="false" ca="false" dt2D="false" dtr="false" t="normal">AG325&amp;AG326&amp;AG327&amp;AG328&amp;AG329&amp;AG330&amp;AG331&amp;AG332</f>
        <v>0</v>
      </c>
      <c r="M330" s="53" t="str">
        <f aca="false" ca="false" dt2D="false" dtr="false" t="normal">DEC2HEX(M331)</f>
        <v>4B</v>
      </c>
      <c r="N330" s="63" t="n"/>
      <c r="P330" s="136" t="n">
        <f aca="false" ca="false" dt2D="false" dtr="false" t="normal">MID(H325, 6, 1)</f>
        <v>0</v>
      </c>
      <c r="Q330" s="137" t="n">
        <f aca="false" ca="false" dt2D="false" dtr="false" t="normal">P330</f>
        <v>0</v>
      </c>
      <c r="R330" s="120" t="s">
        <v>203</v>
      </c>
      <c r="S330" s="139" t="s">
        <v>1494</v>
      </c>
      <c r="T330" s="3806" t="s"/>
      <c r="U330" s="142" t="s"/>
      <c r="V330" s="142" t="s"/>
      <c r="W330" s="3807" t="s"/>
      <c r="X330" s="3808" t="s"/>
      <c r="Y330" s="142" t="s"/>
      <c r="Z330" s="142" t="s"/>
      <c r="AA330" s="3809" t="s"/>
      <c r="AB330" s="136" t="n">
        <f aca="false" ca="false" dt2D="false" dtr="false" t="normal">MID(K325, 6, 1)</f>
        <v>0</v>
      </c>
      <c r="AC330" s="137" t="n">
        <f aca="false" ca="false" dt2D="false" dtr="false" t="normal">AB330</f>
        <v>0</v>
      </c>
      <c r="AD330" s="120" t="s">
        <v>203</v>
      </c>
      <c r="AE330" s="139" t="s">
        <v>1495</v>
      </c>
      <c r="AF330" s="136" t="n">
        <f aca="false" ca="false" dt2D="false" dtr="false" t="normal">MID(L325, 6, 1)</f>
        <v>0</v>
      </c>
      <c r="AG330" s="137" t="n">
        <f aca="false" ca="false" dt2D="false" dtr="false" t="normal">AF330</f>
        <v>0</v>
      </c>
      <c r="AH330" s="120" t="s">
        <v>203</v>
      </c>
      <c r="AI330" s="139" t="s">
        <v>1496</v>
      </c>
      <c r="AJ330" s="3810" t="s"/>
      <c r="AK330" s="3811" t="s"/>
    </row>
    <row hidden="false" ht="15" outlineLevel="0" r="331">
      <c r="C331" s="98" t="s">
        <v>191</v>
      </c>
      <c r="D331" s="53" t="n">
        <f aca="false" ca="false" dt2D="false" dtr="false" t="normal">HEX2DEC(D329)</f>
        <v>7</v>
      </c>
      <c r="E331" s="53" t="n">
        <f aca="false" ca="false" dt2D="false" dtr="false" t="normal">HEX2DEC(E329)</f>
        <v>32</v>
      </c>
      <c r="F331" s="53" t="n">
        <f aca="false" ca="false" dt2D="false" dtr="false" t="normal">HEX2DEC(F329)</f>
        <v>4</v>
      </c>
      <c r="G331" s="53" t="n">
        <f aca="false" ca="false" dt2D="false" dtr="false" t="normal">HEX2DEC(G329)</f>
        <v>32</v>
      </c>
      <c r="H331" s="53" t="n">
        <f aca="false" ca="false" dt2D="false" dtr="false" t="normal">HEX2DEC(H329)</f>
        <v>0</v>
      </c>
      <c r="I331" s="53" t="n">
        <f aca="false" ca="false" dt2D="false" dtr="false" t="normal">HEX2DEC(I329)</f>
        <v>0</v>
      </c>
      <c r="J331" s="53" t="n">
        <f aca="false" ca="false" dt2D="false" dtr="false" t="normal">HEX2DEC(J329)</f>
        <v>0</v>
      </c>
      <c r="K331" s="53" t="n">
        <f aca="false" ca="false" dt2D="false" dtr="false" t="normal">HEX2DEC(K329)</f>
        <v>0</v>
      </c>
      <c r="L331" s="53" t="n">
        <f aca="false" ca="false" dt2D="false" dtr="false" t="normal">HEX2DEC(L329)</f>
        <v>0</v>
      </c>
      <c r="M331" s="53" t="n">
        <f aca="false" ca="false" dt2D="false" dtr="false" t="normal">SUM(D331:L331)</f>
        <v>75</v>
      </c>
      <c r="N331" s="63" t="n"/>
      <c r="P331" s="136" t="n">
        <f aca="false" ca="false" dt2D="false" dtr="false" t="normal">MID(H325, 7, 1)</f>
        <v>0</v>
      </c>
      <c r="Q331" s="137" t="n">
        <f aca="false" ca="false" dt2D="false" dtr="false" t="normal">P331</f>
        <v>0</v>
      </c>
      <c r="R331" s="120" t="s">
        <v>206</v>
      </c>
      <c r="S331" s="139" t="s">
        <v>1497</v>
      </c>
      <c r="T331" s="3812" t="s"/>
      <c r="U331" s="142" t="s"/>
      <c r="V331" s="142" t="s"/>
      <c r="W331" s="3813" t="s"/>
      <c r="X331" s="3814" t="s"/>
      <c r="Y331" s="142" t="s"/>
      <c r="Z331" s="142" t="s"/>
      <c r="AA331" s="3815" t="s"/>
      <c r="AB331" s="136" t="n">
        <f aca="false" ca="false" dt2D="false" dtr="false" t="normal">MID(K325, 7, 1)</f>
        <v>0</v>
      </c>
      <c r="AC331" s="137" t="n">
        <f aca="false" ca="false" dt2D="false" dtr="false" t="normal">AB331</f>
        <v>0</v>
      </c>
      <c r="AD331" s="120" t="s">
        <v>206</v>
      </c>
      <c r="AE331" s="139" t="s">
        <v>1498</v>
      </c>
      <c r="AF331" s="136" t="n">
        <f aca="false" ca="false" dt2D="false" dtr="false" t="normal">MID(L325, 7, 1)</f>
        <v>0</v>
      </c>
      <c r="AG331" s="137" t="n">
        <f aca="false" ca="false" dt2D="false" dtr="false" t="normal">AF331</f>
        <v>0</v>
      </c>
      <c r="AH331" s="120" t="s">
        <v>206</v>
      </c>
      <c r="AI331" s="139" t="s">
        <v>1499</v>
      </c>
      <c r="AJ331" s="3816" t="s"/>
      <c r="AK331" s="3817" t="s"/>
    </row>
    <row hidden="false" ht="15.75" outlineLevel="0" r="332">
      <c r="C332" s="180" t="s">
        <v>194</v>
      </c>
      <c r="D332" s="299" t="n">
        <f aca="false" ca="false" dt2D="false" dtr="false" t="normal">D327</f>
        <v>7</v>
      </c>
      <c r="E332" s="299" t="n">
        <f aca="false" ca="false" dt2D="false" dtr="false" t="normal">E327</f>
        <v>20</v>
      </c>
      <c r="F332" s="299" t="str">
        <f aca="false" ca="false" dt2D="false" dtr="false" t="normal">F327</f>
        <v>G4</v>
      </c>
      <c r="G332" s="299" t="str">
        <f aca="false" ca="false" dt2D="false" dtr="false" t="normal">G327</f>
        <v>H4</v>
      </c>
      <c r="H332" s="45" t="n"/>
      <c r="I332" s="45" t="n"/>
      <c r="J332" s="45" t="n"/>
      <c r="K332" s="45" t="n"/>
      <c r="L332" s="45" t="n"/>
      <c r="M332" s="45" t="n"/>
      <c r="N332" s="49" t="n"/>
      <c r="P332" s="182" t="n">
        <f aca="false" ca="false" dt2D="false" dtr="false" t="normal">MID(H325, 8, 1)</f>
        <v>0</v>
      </c>
      <c r="Q332" s="183" t="n">
        <f aca="false" ca="false" dt2D="false" dtr="false" t="normal">P332</f>
        <v>0</v>
      </c>
      <c r="R332" s="184" t="s">
        <v>208</v>
      </c>
      <c r="S332" s="187" t="s">
        <v>1500</v>
      </c>
      <c r="T332" s="3818" t="s"/>
      <c r="U332" s="3819" t="s"/>
      <c r="V332" s="3820" t="s"/>
      <c r="W332" s="3821" t="s"/>
      <c r="X332" s="3822" t="s"/>
      <c r="Y332" s="3823" t="s"/>
      <c r="Z332" s="3824" t="s"/>
      <c r="AA332" s="3825" t="s"/>
      <c r="AB332" s="182" t="n">
        <f aca="false" ca="false" dt2D="false" dtr="false" t="normal">MID(K325, 8, 1)</f>
        <v>0</v>
      </c>
      <c r="AC332" s="183" t="n">
        <f aca="false" ca="false" dt2D="false" dtr="false" t="normal">AB332</f>
        <v>0</v>
      </c>
      <c r="AD332" s="184" t="s">
        <v>208</v>
      </c>
      <c r="AE332" s="187" t="s">
        <v>1501</v>
      </c>
      <c r="AF332" s="182" t="n">
        <f aca="false" ca="false" dt2D="false" dtr="false" t="normal">MID(L325, 8, 1)</f>
        <v>0</v>
      </c>
      <c r="AG332" s="183" t="n">
        <f aca="false" ca="false" dt2D="false" dtr="false" t="normal">AF332</f>
        <v>0</v>
      </c>
      <c r="AH332" s="184" t="s">
        <v>208</v>
      </c>
      <c r="AI332" s="187" t="s">
        <v>1502</v>
      </c>
      <c r="AJ332" s="3826" t="s"/>
      <c r="AK332" s="3827" t="s"/>
    </row>
    <row hidden="false" ht="15.75" outlineLevel="0" r="333">
      <c r="C333" s="93" t="n"/>
      <c r="D333" s="94" t="n"/>
      <c r="E333" s="94" t="n"/>
      <c r="F333" s="94" t="n"/>
      <c r="G333" s="94" t="n"/>
      <c r="H333" s="94" t="n"/>
      <c r="I333" s="94" t="n"/>
      <c r="J333" s="94" t="n"/>
      <c r="K333" s="94" t="n"/>
      <c r="L333" s="94" t="n"/>
      <c r="M333" s="94" t="s">
        <v>161</v>
      </c>
      <c r="N333" s="60" t="n"/>
      <c r="P333" s="95" t="str">
        <f aca="false" ca="false" dt2D="false" dtr="false" t="normal">RIGHT(D335, 1)&amp;E335&amp;"-"&amp;F335&amp;"-"&amp;G335</f>
        <v>720-04-21</v>
      </c>
      <c r="Q333" s="3828" t="s"/>
      <c r="R333" s="234" t="s">
        <v>1503</v>
      </c>
      <c r="S333" s="3829" t="s"/>
      <c r="T333" s="3830" t="s"/>
      <c r="U333" s="3831" t="s"/>
      <c r="V333" s="3832" t="s"/>
      <c r="W333" s="3833" t="s"/>
      <c r="X333" s="3834" t="s"/>
      <c r="Y333" s="3835" t="s"/>
      <c r="Z333" s="3836" t="s"/>
      <c r="AA333" s="3837" t="s"/>
      <c r="AB333" s="3838" t="s"/>
      <c r="AC333" s="3839" t="s"/>
      <c r="AD333" s="3840" t="s"/>
      <c r="AE333" s="3841" t="s"/>
      <c r="AF333" s="3842" t="s"/>
      <c r="AG333" s="3843" t="s"/>
      <c r="AH333" s="3844" t="s"/>
      <c r="AI333" s="3845" t="s"/>
      <c r="AJ333" s="3846" t="s"/>
      <c r="AK333" s="3847" t="s"/>
    </row>
    <row hidden="false" ht="15.75" outlineLevel="0" r="334">
      <c r="C334" s="98" t="n"/>
      <c r="D334" s="99" t="s">
        <v>1504</v>
      </c>
      <c r="E334" s="3848" t="s"/>
      <c r="F334" s="3849" t="s"/>
      <c r="G334" s="3850" t="s"/>
      <c r="H334" s="53" t="s">
        <v>165</v>
      </c>
      <c r="I334" s="53" t="s">
        <v>166</v>
      </c>
      <c r="J334" s="53" t="s">
        <v>167</v>
      </c>
      <c r="K334" s="53" t="s">
        <v>168</v>
      </c>
      <c r="L334" s="53" t="s">
        <v>169</v>
      </c>
      <c r="M334" s="53" t="s">
        <v>221</v>
      </c>
      <c r="N334" s="63" t="n"/>
      <c r="P334" s="103" t="s">
        <v>1505</v>
      </c>
      <c r="Q334" s="3851" t="s"/>
      <c r="R334" s="3852" t="s"/>
      <c r="S334" s="3853" t="s"/>
      <c r="T334" s="103" t="s">
        <v>1506</v>
      </c>
      <c r="U334" s="3854" t="s"/>
      <c r="V334" s="3855" t="s"/>
      <c r="W334" s="3856" t="s"/>
      <c r="X334" s="103" t="s">
        <v>1507</v>
      </c>
      <c r="Y334" s="3857" t="s"/>
      <c r="Z334" s="3858" t="s"/>
      <c r="AA334" s="3859" t="s"/>
      <c r="AB334" s="103" t="s">
        <v>1508</v>
      </c>
      <c r="AC334" s="3860" t="s"/>
      <c r="AD334" s="3861" t="s"/>
      <c r="AE334" s="3862" t="s"/>
      <c r="AF334" s="116" t="s">
        <v>1509</v>
      </c>
      <c r="AG334" s="3863" t="s"/>
      <c r="AH334" s="3864" t="s"/>
      <c r="AI334" s="3865" t="s"/>
      <c r="AJ334" s="116" t="s">
        <v>1510</v>
      </c>
      <c r="AK334" s="3866" t="s"/>
    </row>
    <row hidden="false" ht="15.75" outlineLevel="0" r="335">
      <c r="C335" s="98" t="s">
        <v>176</v>
      </c>
      <c r="D335" s="122" t="s">
        <v>177</v>
      </c>
      <c r="E335" s="123" t="s">
        <v>693</v>
      </c>
      <c r="F335" s="123" t="s">
        <v>342</v>
      </c>
      <c r="G335" s="124" t="s">
        <v>1511</v>
      </c>
      <c r="H335" s="164" t="n">
        <f aca="false" ca="false" dt2D="false" dtr="false" ref="H335:H335" t="array">MID(INDEX($A$3:$A$70, IF(ISNA(MATCH("720G4H5*", $A$3:$A$70, 0))=TRUE, MATCH("7200421*", $A$3:$A$70, 0), MATCH("720G4H5*", $A$3:$A$70, 0))), $AU$8, 2)</f>
        <v>0</v>
      </c>
      <c r="I335" s="1820" t="n">
        <f aca="false" ca="false" dt2D="false" dtr="false" ref="I335:I335" t="array">MID(INDEX($A$3:$A$70, IF(ISNA(MATCH("720G4H5*", $A$3:$A$70, 0))=TRUE, MATCH("7200421*", $A$3:$A$70, 0), MATCH("720G4H5*", $A$3:$A$70, 0))), $AV$8, 2)</f>
        <v>0</v>
      </c>
      <c r="J335" s="1820" t="n">
        <f aca="false" ca="false" dt2D="false" dtr="false" ref="J335:J335" t="array">MID(INDEX($A$3:$A$70, IF(ISNA(MATCH("720G4H5*", $A$3:$A$70, 0))=TRUE, MATCH("7200421*", $A$3:$A$70, 0), MATCH("720G4H5*", $A$3:$A$70, 0))), $AW$8, 2)</f>
        <v>0</v>
      </c>
      <c r="K335" s="1821" t="n">
        <f aca="false" ca="false" dt2D="false" dtr="false" ref="K335:K335" t="array">MID(INDEX($A$3:$A$70, IF(ISNA(MATCH("720G4H5*", $A$3:$A$70, 0))=TRUE, MATCH("7200421*", $A$3:$A$70, 0), MATCH("720G4H5*", $A$3:$A$70, 0))), $AX$8, 2)</f>
        <v>0</v>
      </c>
      <c r="L335" s="1821" t="n">
        <f aca="false" ca="false" dt2D="false" dtr="false" ref="L335:L335" t="array">MID(INDEX($A$3:$A$70, IF(ISNA(MATCH("720G4H5*", $A$3:$A$70, 0))=TRUE, MATCH("7200421*", $A$3:$A$70, 0), MATCH("720G4H5*", $A$3:$A$70, 0))), $AY$8, 2)</f>
        <v>0</v>
      </c>
      <c r="M335" s="218" t="str">
        <f aca="false" ca="false" dt2D="false" dtr="false" ref="M335:M335" t="array">MID(INDEX($A$3:$A$70, IF(ISNA(MATCH("720G4H5*", $A$3:$A$70, 0))=TRUE, MATCH("7200421*", $A$3:$A$70, 0), MATCH("720G4H5*", $A$3:$A$70, 0))), $AZ$8, 2)</f>
        <v>4C</v>
      </c>
      <c r="N335" s="63" t="s">
        <v>180</v>
      </c>
      <c r="P335" s="129" t="s">
        <v>180</v>
      </c>
      <c r="Q335" s="130" t="s">
        <v>181</v>
      </c>
      <c r="R335" s="121" t="s">
        <v>182</v>
      </c>
      <c r="S335" s="131" t="n"/>
      <c r="T335" s="129" t="s">
        <v>180</v>
      </c>
      <c r="U335" s="130" t="s">
        <v>181</v>
      </c>
      <c r="V335" s="121" t="s">
        <v>182</v>
      </c>
      <c r="W335" s="131" t="n"/>
      <c r="X335" s="129" t="s">
        <v>180</v>
      </c>
      <c r="Y335" s="130" t="s">
        <v>181</v>
      </c>
      <c r="Z335" s="121" t="s">
        <v>182</v>
      </c>
      <c r="AA335" s="131" t="n"/>
      <c r="AB335" s="129" t="s">
        <v>180</v>
      </c>
      <c r="AC335" s="130" t="s">
        <v>181</v>
      </c>
      <c r="AD335" s="121" t="s">
        <v>182</v>
      </c>
      <c r="AE335" s="131" t="n"/>
      <c r="AF335" s="116" t="n"/>
      <c r="AG335" s="3867" t="s"/>
      <c r="AH335" s="3868" t="s"/>
      <c r="AI335" s="3869" t="s"/>
      <c r="AJ335" s="116" t="s">
        <v>183</v>
      </c>
      <c r="AK335" s="3870" t="s"/>
    </row>
    <row hidden="false" ht="15" outlineLevel="0" r="336">
      <c r="C336" s="98" t="s">
        <v>185</v>
      </c>
      <c r="D336" s="53" t="n">
        <f aca="false" ca="false" dt2D="false" dtr="false" t="normal">HEX2BIN(D335, 8)</f>
        <v>111</v>
      </c>
      <c r="E336" s="53" t="n">
        <f aca="false" ca="false" dt2D="false" dtr="false" t="normal">HEX2BIN(E335, 8)</f>
        <v>100000</v>
      </c>
      <c r="F336" s="53" t="n">
        <f aca="false" ca="false" dt2D="false" dtr="false" t="normal">HEX2BIN(F335, 8)</f>
        <v>100</v>
      </c>
      <c r="G336" s="53" t="n">
        <f aca="false" ca="false" dt2D="false" dtr="false" t="normal">HEX2BIN(G335, 8)</f>
        <v>100001</v>
      </c>
      <c r="H336" s="53" t="n">
        <f aca="false" ca="false" dt2D="false" dtr="false" t="normal">HEX2BIN(H335, 8)</f>
        <v>0</v>
      </c>
      <c r="I336" s="53" t="n">
        <f aca="false" ca="false" dt2D="false" dtr="false" t="normal">HEX2BIN(I335, 8)</f>
        <v>0</v>
      </c>
      <c r="J336" s="53" t="n">
        <f aca="false" ca="false" dt2D="false" dtr="false" t="normal">HEX2BIN(J335, 8)</f>
        <v>0</v>
      </c>
      <c r="K336" s="53" t="n">
        <f aca="false" ca="false" dt2D="false" dtr="false" t="normal">HEX2BIN(K335, 8)</f>
        <v>0</v>
      </c>
      <c r="L336" s="53" t="n">
        <f aca="false" ca="false" dt2D="false" dtr="false" t="normal">HEX2BIN(L335, 8)</f>
        <v>0</v>
      </c>
      <c r="N336" s="63" t="n"/>
      <c r="P336" s="136" t="n">
        <f aca="false" ca="false" dt2D="false" dtr="false" t="normal">MID(H336, 1, 1)</f>
        <v>0</v>
      </c>
      <c r="Q336" s="137" t="n">
        <f aca="false" ca="false" dt2D="false" dtr="false" t="normal">P336</f>
        <v>0</v>
      </c>
      <c r="R336" s="120" t="s">
        <v>186</v>
      </c>
      <c r="S336" s="139" t="s">
        <v>1512</v>
      </c>
      <c r="T336" s="136" t="n">
        <f aca="false" ca="false" dt2D="false" dtr="false" t="normal">MID(I336, 1, 1)</f>
        <v>0</v>
      </c>
      <c r="U336" s="137" t="n">
        <f aca="false" ca="false" dt2D="false" dtr="false" t="normal">T336</f>
        <v>0</v>
      </c>
      <c r="V336" s="120" t="s">
        <v>186</v>
      </c>
      <c r="W336" s="139" t="s">
        <v>1513</v>
      </c>
      <c r="X336" s="136" t="n">
        <f aca="false" ca="false" dt2D="false" dtr="false" t="normal">MID(J336, 1, 1)</f>
        <v>0</v>
      </c>
      <c r="Y336" s="137" t="n">
        <f aca="false" ca="false" dt2D="false" dtr="false" t="normal">X336</f>
        <v>0</v>
      </c>
      <c r="Z336" s="120" t="s">
        <v>186</v>
      </c>
      <c r="AA336" s="139" t="s">
        <v>1514</v>
      </c>
      <c r="AB336" s="136" t="n">
        <f aca="false" ca="false" dt2D="false" dtr="false" t="normal">MID(K336, 1, 1)</f>
        <v>0</v>
      </c>
      <c r="AC336" s="137" t="n">
        <f aca="false" ca="false" dt2D="false" dtr="false" t="normal">AB336</f>
        <v>0</v>
      </c>
      <c r="AD336" s="120" t="s">
        <v>186</v>
      </c>
      <c r="AE336" s="139" t="s">
        <v>1515</v>
      </c>
      <c r="AF336" s="3871" t="s"/>
      <c r="AG336" s="142" t="s"/>
      <c r="AH336" s="142" t="s"/>
      <c r="AI336" s="3872" t="s"/>
      <c r="AJ336" s="3873" t="s"/>
      <c r="AK336" s="3874" t="s"/>
    </row>
    <row customHeight="true" hidden="false" ht="15" outlineLevel="0" r="337">
      <c r="C337" s="98" t="s">
        <v>191</v>
      </c>
      <c r="D337" s="53" t="n">
        <f aca="false" ca="false" dt2D="false" dtr="false" t="normal">HEX2DEC(D335)</f>
        <v>7</v>
      </c>
      <c r="E337" s="53" t="n">
        <f aca="false" ca="false" dt2D="false" dtr="false" t="normal">HEX2DEC(E335)</f>
        <v>32</v>
      </c>
      <c r="F337" s="53" t="n">
        <f aca="false" ca="false" dt2D="false" dtr="false" t="normal">HEX2DEC(F335)</f>
        <v>4</v>
      </c>
      <c r="G337" s="53" t="n">
        <f aca="false" ca="false" dt2D="false" dtr="false" t="normal">HEX2DEC(G335)</f>
        <v>33</v>
      </c>
      <c r="H337" s="53" t="n">
        <f aca="false" ca="false" dt2D="false" dtr="false" t="normal">HEX2DEC(H335)</f>
        <v>0</v>
      </c>
      <c r="I337" s="53" t="n">
        <f aca="false" ca="false" dt2D="false" dtr="false" t="normal">HEX2DEC(I335)</f>
        <v>0</v>
      </c>
      <c r="J337" s="53" t="n">
        <f aca="false" ca="false" dt2D="false" dtr="false" t="normal">HEX2DEC(J335)</f>
        <v>0</v>
      </c>
      <c r="K337" s="53" t="n">
        <f aca="false" ca="false" dt2D="false" dtr="false" t="normal">HEX2DEC(K335)</f>
        <v>0</v>
      </c>
      <c r="L337" s="53" t="n">
        <f aca="false" ca="false" dt2D="false" dtr="false" t="normal">HEX2DEC(L335)</f>
        <v>0</v>
      </c>
      <c r="M337" s="53" t="n">
        <f aca="false" ca="false" dt2D="false" dtr="false" t="normal">SUM(D337:L337)</f>
        <v>76</v>
      </c>
      <c r="N337" s="63" t="n"/>
      <c r="P337" s="136" t="n">
        <f aca="false" ca="false" dt2D="false" dtr="false" t="normal">MID(H336, 2, 1)</f>
        <v>0</v>
      </c>
      <c r="Q337" s="137" t="n">
        <f aca="false" ca="false" dt2D="false" dtr="false" t="normal">P337</f>
        <v>0</v>
      </c>
      <c r="R337" s="120" t="s">
        <v>192</v>
      </c>
      <c r="S337" s="139" t="s">
        <v>1516</v>
      </c>
      <c r="T337" s="136" t="n">
        <f aca="false" ca="false" dt2D="false" dtr="false" t="normal">MID(I336, 2, 1)</f>
        <v>0</v>
      </c>
      <c r="U337" s="137" t="n">
        <f aca="false" ca="false" dt2D="false" dtr="false" t="normal">T337</f>
        <v>0</v>
      </c>
      <c r="V337" s="120" t="s">
        <v>192</v>
      </c>
      <c r="W337" s="173" t="s">
        <v>1517</v>
      </c>
      <c r="X337" s="136" t="n">
        <f aca="false" ca="false" dt2D="false" dtr="false" t="normal">MID(J336, 2, 1)</f>
        <v>0</v>
      </c>
      <c r="Y337" s="137" t="n">
        <f aca="false" ca="false" dt2D="false" dtr="false" t="normal">X337</f>
        <v>0</v>
      </c>
      <c r="Z337" s="120" t="s">
        <v>192</v>
      </c>
      <c r="AA337" s="1194" t="s">
        <v>1518</v>
      </c>
      <c r="AB337" s="209" t="n">
        <f aca="false" ca="false" dt2D="false" dtr="false" t="normal">MID(K336, 2, 1)</f>
        <v>0</v>
      </c>
      <c r="AC337" s="137" t="n">
        <f aca="false" ca="false" dt2D="false" dtr="false" t="normal">AB337</f>
        <v>0</v>
      </c>
      <c r="AD337" s="120" t="s">
        <v>192</v>
      </c>
      <c r="AE337" s="139" t="s">
        <v>1519</v>
      </c>
      <c r="AF337" s="3875" t="s"/>
      <c r="AG337" s="142" t="s"/>
      <c r="AH337" s="142" t="s"/>
      <c r="AI337" s="3876" t="s"/>
      <c r="AJ337" s="3877" t="s"/>
      <c r="AK337" s="3878" t="s"/>
    </row>
    <row hidden="false" ht="15" outlineLevel="0" r="338">
      <c r="C338" s="98" t="s">
        <v>194</v>
      </c>
      <c r="D338" s="149" t="n">
        <f aca="false" ca="false" dt2D="false" dtr="false" t="normal">D335</f>
        <v>7</v>
      </c>
      <c r="E338" s="149" t="n">
        <f aca="false" ca="false" dt2D="false" dtr="false" t="normal">E335</f>
        <v>20</v>
      </c>
      <c r="F338" s="53" t="str">
        <f aca="false" ca="false" dt2D="false" dtr="false" t="normal">MID(INDEX($A$3:$A$70, IF(ISNA(MATCH("720G4H5*", $A$3:$A$70, 0))=TRUE, MATCH("7200421*", $A$3:$A$70, 0), MATCH("720G4H5*", $A$3:$A$70, 0))), $AS$8, 2)</f>
        <v>G4</v>
      </c>
      <c r="G338" s="53" t="str">
        <f aca="false" ca="false" dt2D="false" dtr="false" t="normal">MID(INDEX($A$3:$A$70, IF(ISNA(MATCH("720G4H5*", $A$3:$A$70, 0))=TRUE, MATCH("7200421*", $A$3:$A$70, 0), MATCH("720G4H5*", $A$3:$A$70, 0))), $AT$8, 2)</f>
        <v>H5</v>
      </c>
      <c r="N338" s="63" t="n"/>
      <c r="P338" s="136" t="n">
        <f aca="false" ca="false" dt2D="false" dtr="false" t="normal">MID(H336, 3, 1)</f>
        <v>0</v>
      </c>
      <c r="Q338" s="137" t="n">
        <f aca="false" ca="false" dt2D="false" dtr="false" t="normal">P338</f>
        <v>0</v>
      </c>
      <c r="R338" s="120" t="s">
        <v>195</v>
      </c>
      <c r="S338" s="139" t="s">
        <v>1520</v>
      </c>
      <c r="T338" s="136" t="n">
        <f aca="false" ca="false" dt2D="false" dtr="false" t="normal">MID(I336, 3, 1)</f>
        <v>0</v>
      </c>
      <c r="U338" s="137" t="n">
        <f aca="false" ca="false" dt2D="false" dtr="false" t="normal">T338</f>
        <v>0</v>
      </c>
      <c r="V338" s="120" t="s">
        <v>195</v>
      </c>
      <c r="W338" s="3879" t="s"/>
      <c r="X338" s="136" t="n">
        <f aca="false" ca="false" dt2D="false" dtr="false" t="normal">MID(J336, 3, 1)</f>
        <v>0</v>
      </c>
      <c r="Y338" s="137" t="n">
        <f aca="false" ca="false" dt2D="false" dtr="false" t="normal">X338</f>
        <v>0</v>
      </c>
      <c r="Z338" s="120" t="s">
        <v>195</v>
      </c>
      <c r="AA338" s="131" t="s">
        <v>196</v>
      </c>
      <c r="AB338" s="136" t="n">
        <f aca="false" ca="false" dt2D="false" dtr="false" t="normal">MID(K336, 3, 1)</f>
        <v>0</v>
      </c>
      <c r="AC338" s="137" t="n">
        <f aca="false" ca="false" dt2D="false" dtr="false" t="normal">AB338</f>
        <v>0</v>
      </c>
      <c r="AD338" s="120" t="s">
        <v>195</v>
      </c>
      <c r="AE338" s="139" t="s">
        <v>1521</v>
      </c>
      <c r="AF338" s="3880" t="s"/>
      <c r="AG338" s="142" t="s"/>
      <c r="AH338" s="142" t="s"/>
      <c r="AI338" s="3881" t="s"/>
      <c r="AJ338" s="3882" t="s"/>
      <c r="AK338" s="3883" t="s"/>
    </row>
    <row hidden="false" ht="15.75" outlineLevel="0" r="339">
      <c r="C339" s="98" t="n"/>
      <c r="N339" s="63" t="n"/>
      <c r="P339" s="136" t="n">
        <f aca="false" ca="false" dt2D="false" dtr="false" t="normal">MID(H336, 4, 1)</f>
        <v>0</v>
      </c>
      <c r="Q339" s="137" t="n">
        <f aca="false" ca="false" dt2D="false" dtr="false" t="normal">P339</f>
        <v>0</v>
      </c>
      <c r="R339" s="120" t="s">
        <v>197</v>
      </c>
      <c r="S339" s="139" t="s">
        <v>1522</v>
      </c>
      <c r="T339" s="136" t="n">
        <f aca="false" ca="false" dt2D="false" dtr="false" t="normal">MID(I336, 4, 1)</f>
        <v>0</v>
      </c>
      <c r="U339" s="137" t="n">
        <f aca="false" ca="false" dt2D="false" dtr="false" t="normal">T339</f>
        <v>0</v>
      </c>
      <c r="V339" s="120" t="s">
        <v>197</v>
      </c>
      <c r="W339" s="3884" t="s"/>
      <c r="X339" s="136" t="n">
        <f aca="false" ca="false" dt2D="false" dtr="false" t="normal">MID(J336, 4, 1)</f>
        <v>0</v>
      </c>
      <c r="Y339" s="137" t="n">
        <f aca="false" ca="false" dt2D="false" dtr="false" t="normal">X339</f>
        <v>0</v>
      </c>
      <c r="Z339" s="120" t="s">
        <v>197</v>
      </c>
      <c r="AA339" s="1194" t="s">
        <v>1518</v>
      </c>
      <c r="AB339" s="136" t="n">
        <f aca="false" ca="false" dt2D="false" dtr="false" t="normal">MID(K336, 4, 1)</f>
        <v>0</v>
      </c>
      <c r="AC339" s="137" t="n">
        <f aca="false" ca="false" dt2D="false" dtr="false" t="normal">AB339</f>
        <v>0</v>
      </c>
      <c r="AD339" s="120" t="s">
        <v>197</v>
      </c>
      <c r="AE339" s="139" t="s">
        <v>1523</v>
      </c>
      <c r="AF339" s="3885" t="s"/>
      <c r="AG339" s="142" t="s"/>
      <c r="AH339" s="142" t="s"/>
      <c r="AI339" s="3886" t="s"/>
      <c r="AJ339" s="3887" t="s"/>
      <c r="AK339" s="3888" t="s"/>
    </row>
    <row hidden="false" ht="15.75" outlineLevel="0" r="340">
      <c r="C340" s="98" t="s">
        <v>176</v>
      </c>
      <c r="D340" s="159" t="n">
        <f aca="false" ca="false" dt2D="false" dtr="false" t="normal">D335</f>
        <v>7</v>
      </c>
      <c r="E340" s="160" t="n">
        <f aca="false" ca="false" dt2D="false" dtr="false" t="normal">E335</f>
        <v>20</v>
      </c>
      <c r="F340" s="160" t="n">
        <f aca="false" ca="false" dt2D="false" dtr="false" t="normal">F335</f>
        <v>4</v>
      </c>
      <c r="G340" s="161" t="n">
        <f aca="false" ca="false" dt2D="false" dtr="false" t="normal">G335</f>
        <v>21</v>
      </c>
      <c r="H340" s="162" t="n">
        <f aca="false" ca="false" dt2D="false" dtr="false" t="normal">BIN2HEX(H341, 2)</f>
        <v>0</v>
      </c>
      <c r="I340" s="163" t="n">
        <f aca="false" ca="false" dt2D="false" dtr="false" t="normal">BIN2HEX(I341, 2)</f>
        <v>0</v>
      </c>
      <c r="J340" s="164" t="n">
        <f aca="false" ca="false" dt2D="false" dtr="false" t="normal">BIN2HEX(J341, 2)</f>
        <v>0</v>
      </c>
      <c r="K340" s="165" t="n">
        <f aca="false" ca="false" dt2D="false" dtr="false" t="normal">BIN2HEX(K341, 2)</f>
        <v>0</v>
      </c>
      <c r="L340" s="1917" t="n">
        <f aca="false" ca="false" dt2D="false" dtr="false" t="normal">L335</f>
        <v>0</v>
      </c>
      <c r="M340" s="166" t="str">
        <f aca="false" ca="false" dt2D="false" dtr="false" t="normal">IF(LEN(M341)&gt;2, MID(M341, 2, 2), M341)</f>
        <v>4C</v>
      </c>
      <c r="N340" s="63" t="s">
        <v>181</v>
      </c>
      <c r="P340" s="136" t="n">
        <f aca="false" ca="false" dt2D="false" dtr="false" t="normal">MID(H336, 5, 1)</f>
        <v>0</v>
      </c>
      <c r="Q340" s="137" t="n">
        <f aca="false" ca="false" dt2D="false" dtr="false" t="normal">P340</f>
        <v>0</v>
      </c>
      <c r="R340" s="120" t="s">
        <v>200</v>
      </c>
      <c r="S340" s="139" t="s">
        <v>1524</v>
      </c>
      <c r="T340" s="136" t="n">
        <f aca="false" ca="false" dt2D="false" dtr="false" t="normal">MID(I336, 5, 1)</f>
        <v>0</v>
      </c>
      <c r="U340" s="137" t="n">
        <f aca="false" ca="false" dt2D="false" dtr="false" t="normal">T340</f>
        <v>0</v>
      </c>
      <c r="V340" s="120" t="s">
        <v>200</v>
      </c>
      <c r="W340" s="3889" t="s"/>
      <c r="X340" s="136" t="n">
        <f aca="false" ca="false" dt2D="false" dtr="false" t="normal">MID(J336, 5, 1)</f>
        <v>0</v>
      </c>
      <c r="Y340" s="137" t="n">
        <f aca="false" ca="false" dt2D="false" dtr="false" t="normal">X340</f>
        <v>0</v>
      </c>
      <c r="Z340" s="120" t="s">
        <v>200</v>
      </c>
      <c r="AA340" s="1194" t="s">
        <v>1525</v>
      </c>
      <c r="AB340" s="136" t="n">
        <f aca="false" ca="false" dt2D="false" dtr="false" t="normal">MID(K336, 5, 1)</f>
        <v>0</v>
      </c>
      <c r="AC340" s="137" t="n">
        <f aca="false" ca="false" dt2D="false" dtr="false" t="normal">AB340</f>
        <v>0</v>
      </c>
      <c r="AD340" s="120" t="s">
        <v>200</v>
      </c>
      <c r="AE340" s="139" t="s">
        <v>1526</v>
      </c>
      <c r="AF340" s="3890" t="s"/>
      <c r="AG340" s="142" t="s"/>
      <c r="AH340" s="142" t="s"/>
      <c r="AI340" s="3891" t="s"/>
      <c r="AJ340" s="3892" t="s"/>
      <c r="AK340" s="3893" t="s"/>
    </row>
    <row hidden="false" ht="15" outlineLevel="0" r="341">
      <c r="C341" s="98" t="s">
        <v>185</v>
      </c>
      <c r="D341" s="53" t="n">
        <f aca="false" ca="false" dt2D="false" dtr="false" t="normal">HEX2BIN(D340, 8)</f>
        <v>111</v>
      </c>
      <c r="E341" s="53" t="n">
        <f aca="false" ca="false" dt2D="false" dtr="false" t="normal">HEX2BIN(E340, 8)</f>
        <v>100000</v>
      </c>
      <c r="F341" s="53" t="n">
        <f aca="false" ca="false" dt2D="false" dtr="false" t="normal">HEX2BIN(F340, 8)</f>
        <v>100</v>
      </c>
      <c r="G341" s="53" t="n">
        <f aca="false" ca="false" dt2D="false" dtr="false" t="normal">HEX2BIN(G340, 8)</f>
        <v>100001</v>
      </c>
      <c r="H341" s="171" t="n">
        <f aca="false" ca="false" dt2D="false" dtr="false" t="normal">Q336&amp;Q337&amp;Q338&amp;Q339&amp;Q340&amp;Q341&amp;Q342&amp;Q343</f>
        <v>0</v>
      </c>
      <c r="I341" s="53" t="n">
        <f aca="false" ca="false" dt2D="false" dtr="false" t="normal">U336&amp;U337&amp;U338&amp;U339&amp;U340&amp;U341&amp;U342&amp;U343</f>
        <v>0</v>
      </c>
      <c r="J341" s="171" t="n">
        <f aca="false" ca="false" dt2D="false" dtr="false" t="normal">Y336&amp;Y337&amp;Y338&amp;Y339&amp;Y340&amp;Y341&amp;Y342&amp;Y343</f>
        <v>0</v>
      </c>
      <c r="K341" s="171" t="n">
        <f aca="false" ca="false" dt2D="false" dtr="false" t="normal">AC336&amp;AC337&amp;AC338&amp;AC339&amp;AC340&amp;AC341&amp;AC342&amp;AC343</f>
        <v>0</v>
      </c>
      <c r="L341" s="53" t="n"/>
      <c r="M341" s="53" t="str">
        <f aca="false" ca="false" dt2D="false" dtr="false" t="normal">DEC2HEX(M342)</f>
        <v>4C</v>
      </c>
      <c r="N341" s="63" t="n"/>
      <c r="P341" s="136" t="n">
        <f aca="false" ca="false" dt2D="false" dtr="false" t="normal">MID(H336, 6, 1)</f>
        <v>0</v>
      </c>
      <c r="Q341" s="137" t="n">
        <f aca="false" ca="false" dt2D="false" dtr="false" t="normal">P341</f>
        <v>0</v>
      </c>
      <c r="R341" s="120" t="s">
        <v>203</v>
      </c>
      <c r="S341" s="139" t="s">
        <v>1527</v>
      </c>
      <c r="T341" s="136" t="n">
        <f aca="false" ca="false" dt2D="false" dtr="false" t="normal">MID(I336, 6, 1)</f>
        <v>0</v>
      </c>
      <c r="U341" s="137" t="n">
        <f aca="false" ca="false" dt2D="false" dtr="false" t="normal">T341</f>
        <v>0</v>
      </c>
      <c r="V341" s="120" t="s">
        <v>203</v>
      </c>
      <c r="W341" s="3894" t="s"/>
      <c r="X341" s="136" t="n">
        <f aca="false" ca="false" dt2D="false" dtr="false" t="normal">MID(J336, 6, 1)</f>
        <v>0</v>
      </c>
      <c r="Y341" s="137" t="n">
        <f aca="false" ca="false" dt2D="false" dtr="false" t="normal">X341</f>
        <v>0</v>
      </c>
      <c r="Z341" s="120" t="s">
        <v>203</v>
      </c>
      <c r="AA341" s="139" t="s">
        <v>1528</v>
      </c>
      <c r="AB341" s="136" t="n">
        <f aca="false" ca="false" dt2D="false" dtr="false" t="normal">MID(K336, 6, 1)</f>
        <v>0</v>
      </c>
      <c r="AC341" s="137" t="n">
        <f aca="false" ca="false" dt2D="false" dtr="false" t="normal">AB341</f>
        <v>0</v>
      </c>
      <c r="AD341" s="120" t="s">
        <v>203</v>
      </c>
      <c r="AE341" s="139" t="s">
        <v>1529</v>
      </c>
      <c r="AF341" s="3895" t="s"/>
      <c r="AG341" s="142" t="s"/>
      <c r="AH341" s="142" t="s"/>
      <c r="AI341" s="3896" t="s"/>
      <c r="AJ341" s="3897" t="s"/>
      <c r="AK341" s="3898" t="s"/>
    </row>
    <row customHeight="true" hidden="false" ht="15" outlineLevel="0" r="342">
      <c r="C342" s="98" t="s">
        <v>191</v>
      </c>
      <c r="D342" s="53" t="n">
        <f aca="false" ca="false" dt2D="false" dtr="false" t="normal">HEX2DEC(D340)</f>
        <v>7</v>
      </c>
      <c r="E342" s="53" t="n">
        <f aca="false" ca="false" dt2D="false" dtr="false" t="normal">HEX2DEC(E340)</f>
        <v>32</v>
      </c>
      <c r="F342" s="53" t="n">
        <f aca="false" ca="false" dt2D="false" dtr="false" t="normal">HEX2DEC(F340)</f>
        <v>4</v>
      </c>
      <c r="G342" s="53" t="n">
        <f aca="false" ca="false" dt2D="false" dtr="false" t="normal">HEX2DEC(G340)</f>
        <v>33</v>
      </c>
      <c r="H342" s="53" t="n">
        <f aca="false" ca="false" dt2D="false" dtr="false" t="normal">HEX2DEC(H340)</f>
        <v>0</v>
      </c>
      <c r="I342" s="53" t="n">
        <f aca="false" ca="false" dt2D="false" dtr="false" t="normal">HEX2DEC(I340)</f>
        <v>0</v>
      </c>
      <c r="J342" s="53" t="n">
        <f aca="false" ca="false" dt2D="false" dtr="false" t="normal">HEX2DEC(J340)</f>
        <v>0</v>
      </c>
      <c r="K342" s="53" t="n">
        <f aca="false" ca="false" dt2D="false" dtr="false" t="normal">HEX2DEC(K340)</f>
        <v>0</v>
      </c>
      <c r="L342" s="53" t="n">
        <f aca="false" ca="false" dt2D="false" dtr="false" t="normal">HEX2DEC(L340)</f>
        <v>0</v>
      </c>
      <c r="M342" s="53" t="n">
        <f aca="false" ca="false" dt2D="false" dtr="false" t="normal">SUM(D342:L342)</f>
        <v>76</v>
      </c>
      <c r="N342" s="63" t="n"/>
      <c r="P342" s="136" t="n">
        <f aca="false" ca="false" dt2D="false" dtr="false" t="normal">MID(H336, 7, 1)</f>
        <v>0</v>
      </c>
      <c r="Q342" s="137" t="n">
        <f aca="false" ca="false" dt2D="false" dtr="false" t="normal">P342</f>
        <v>0</v>
      </c>
      <c r="R342" s="120" t="s">
        <v>206</v>
      </c>
      <c r="S342" s="139" t="s">
        <v>1530</v>
      </c>
      <c r="T342" s="136" t="n">
        <f aca="false" ca="false" dt2D="false" dtr="false" t="normal">MID(I336, 7, 1)</f>
        <v>0</v>
      </c>
      <c r="U342" s="137" t="n">
        <f aca="false" ca="false" dt2D="false" dtr="false" t="normal">T342</f>
        <v>0</v>
      </c>
      <c r="V342" s="120" t="s">
        <v>206</v>
      </c>
      <c r="W342" s="3899" t="s"/>
      <c r="X342" s="136" t="n">
        <f aca="false" ca="false" dt2D="false" dtr="false" t="normal">MID(J336, 7, 1)</f>
        <v>0</v>
      </c>
      <c r="Y342" s="137" t="n">
        <f aca="false" ca="false" dt2D="false" dtr="false" t="normal">X342</f>
        <v>0</v>
      </c>
      <c r="Z342" s="120" t="s">
        <v>206</v>
      </c>
      <c r="AA342" s="139" t="s">
        <v>1531</v>
      </c>
      <c r="AB342" s="136" t="n">
        <f aca="false" ca="false" dt2D="false" dtr="false" t="normal">MID(K336, 7, 1)</f>
        <v>0</v>
      </c>
      <c r="AC342" s="137" t="n">
        <f aca="false" ca="false" dt2D="false" dtr="false" t="normal">AB342</f>
        <v>0</v>
      </c>
      <c r="AD342" s="120" t="s">
        <v>206</v>
      </c>
      <c r="AE342" s="139" t="s">
        <v>1532</v>
      </c>
      <c r="AF342" s="3900" t="s"/>
      <c r="AG342" s="142" t="s"/>
      <c r="AH342" s="142" t="s"/>
      <c r="AI342" s="3901" t="s"/>
      <c r="AJ342" s="3902" t="s"/>
      <c r="AK342" s="3903" t="s"/>
    </row>
    <row hidden="false" ht="15.75" outlineLevel="0" r="343">
      <c r="C343" s="180" t="s">
        <v>194</v>
      </c>
      <c r="D343" s="299" t="n">
        <f aca="false" ca="false" dt2D="false" dtr="false" t="normal">D338</f>
        <v>7</v>
      </c>
      <c r="E343" s="299" t="n">
        <f aca="false" ca="false" dt2D="false" dtr="false" t="normal">E338</f>
        <v>20</v>
      </c>
      <c r="F343" s="299" t="str">
        <f aca="false" ca="false" dt2D="false" dtr="false" t="normal">F338</f>
        <v>G4</v>
      </c>
      <c r="G343" s="299" t="str">
        <f aca="false" ca="false" dt2D="false" dtr="false" t="normal">G338</f>
        <v>H5</v>
      </c>
      <c r="H343" s="45" t="n"/>
      <c r="I343" s="45" t="n"/>
      <c r="J343" s="45" t="n"/>
      <c r="K343" s="45" t="n"/>
      <c r="L343" s="45" t="n"/>
      <c r="M343" s="45" t="n"/>
      <c r="N343" s="49" t="n"/>
      <c r="P343" s="182" t="n">
        <f aca="false" ca="false" dt2D="false" dtr="false" t="normal">MID(H336, 8, 1)</f>
        <v>0</v>
      </c>
      <c r="Q343" s="183" t="n">
        <f aca="false" ca="false" dt2D="false" dtr="false" t="normal">P343</f>
        <v>0</v>
      </c>
      <c r="R343" s="184" t="s">
        <v>208</v>
      </c>
      <c r="S343" s="185" t="s">
        <v>196</v>
      </c>
      <c r="T343" s="182" t="n">
        <f aca="false" ca="false" dt2D="false" dtr="false" t="normal">MID(I336, 8, 1)</f>
        <v>0</v>
      </c>
      <c r="U343" s="183" t="n">
        <f aca="false" ca="false" dt2D="false" dtr="false" t="normal">T343</f>
        <v>0</v>
      </c>
      <c r="V343" s="184" t="s">
        <v>208</v>
      </c>
      <c r="W343" s="3904" t="s"/>
      <c r="X343" s="182" t="n">
        <f aca="false" ca="false" dt2D="false" dtr="false" t="normal">MID(J336, 8, 1)</f>
        <v>0</v>
      </c>
      <c r="Y343" s="183" t="n">
        <f aca="false" ca="false" dt2D="false" dtr="false" t="normal">X343</f>
        <v>0</v>
      </c>
      <c r="Z343" s="184" t="s">
        <v>208</v>
      </c>
      <c r="AA343" s="187" t="s">
        <v>1533</v>
      </c>
      <c r="AB343" s="182" t="n">
        <f aca="false" ca="false" dt2D="false" dtr="false" t="normal">MID(K336, 8, 1)</f>
        <v>0</v>
      </c>
      <c r="AC343" s="183" t="n">
        <f aca="false" ca="false" dt2D="false" dtr="false" t="normal">AB343</f>
        <v>0</v>
      </c>
      <c r="AD343" s="184" t="s">
        <v>208</v>
      </c>
      <c r="AE343" s="187" t="s">
        <v>1534</v>
      </c>
      <c r="AF343" s="3905" t="s"/>
      <c r="AG343" s="3906" t="s"/>
      <c r="AH343" s="3907" t="s"/>
      <c r="AI343" s="3908" t="s"/>
      <c r="AJ343" s="3909" t="s"/>
      <c r="AK343" s="3910" t="s"/>
    </row>
    <row hidden="false" ht="15.75" outlineLevel="0" r="344">
      <c r="C344" s="93" t="n"/>
      <c r="D344" s="94" t="n"/>
      <c r="E344" s="94" t="n"/>
      <c r="F344" s="94" t="n"/>
      <c r="G344" s="94" t="n"/>
      <c r="H344" s="94" t="n"/>
      <c r="I344" s="94" t="n"/>
      <c r="J344" s="94" t="n"/>
      <c r="K344" s="94" t="n"/>
      <c r="L344" s="94" t="n"/>
      <c r="M344" s="94" t="s">
        <v>161</v>
      </c>
      <c r="N344" s="60" t="n"/>
      <c r="P344" s="95" t="str">
        <f aca="false" ca="false" dt2D="false" dtr="false" t="normal">RIGHT(D346, 1)&amp;E346&amp;"-"&amp;F346&amp;"-"&amp;G346</f>
        <v>720-04-22</v>
      </c>
      <c r="Q344" s="3911" t="s"/>
      <c r="R344" s="234" t="s">
        <v>1535</v>
      </c>
      <c r="S344" s="3912" t="s"/>
      <c r="T344" s="3913" t="s"/>
      <c r="U344" s="3914" t="s"/>
      <c r="V344" s="3915" t="s"/>
      <c r="W344" s="3916" t="s"/>
      <c r="X344" s="3917" t="s"/>
      <c r="Y344" s="3918" t="s"/>
      <c r="Z344" s="3919" t="s"/>
      <c r="AA344" s="3920" t="s"/>
      <c r="AB344" s="3921" t="s"/>
      <c r="AC344" s="3922" t="s"/>
      <c r="AD344" s="3923" t="s"/>
      <c r="AE344" s="3924" t="s"/>
      <c r="AF344" s="3925" t="s"/>
      <c r="AG344" s="3926" t="s"/>
      <c r="AH344" s="3927" t="s"/>
      <c r="AI344" s="3928" t="s"/>
      <c r="AJ344" s="3929" t="s"/>
      <c r="AK344" s="3930" t="s"/>
    </row>
    <row hidden="false" ht="15.75" outlineLevel="0" r="345">
      <c r="C345" s="98" t="n"/>
      <c r="D345" s="99" t="s">
        <v>1536</v>
      </c>
      <c r="E345" s="3931" t="s"/>
      <c r="F345" s="3932" t="s"/>
      <c r="G345" s="3933" t="s"/>
      <c r="H345" s="53" t="s">
        <v>165</v>
      </c>
      <c r="I345" s="53" t="s">
        <v>166</v>
      </c>
      <c r="J345" s="53" t="s">
        <v>167</v>
      </c>
      <c r="K345" s="53" t="s">
        <v>168</v>
      </c>
      <c r="L345" s="53" t="s">
        <v>169</v>
      </c>
      <c r="M345" s="53" t="s">
        <v>221</v>
      </c>
      <c r="N345" s="63" t="n"/>
      <c r="P345" s="116" t="s">
        <v>1537</v>
      </c>
      <c r="Q345" s="3934" t="s"/>
      <c r="R345" s="3935" t="s"/>
      <c r="S345" s="3936" t="s"/>
      <c r="T345" s="103" t="s">
        <v>1538</v>
      </c>
      <c r="U345" s="3937" t="s"/>
      <c r="V345" s="3938" t="s"/>
      <c r="W345" s="3939" t="s"/>
      <c r="X345" s="103" t="s">
        <v>1539</v>
      </c>
      <c r="Y345" s="3940" t="s"/>
      <c r="Z345" s="3941" t="s"/>
      <c r="AA345" s="3942" t="s"/>
      <c r="AB345" s="103" t="s">
        <v>1540</v>
      </c>
      <c r="AC345" s="3943" t="s"/>
      <c r="AD345" s="3944" t="s"/>
      <c r="AE345" s="3945" t="s"/>
      <c r="AF345" s="103" t="s">
        <v>1541</v>
      </c>
      <c r="AG345" s="3946" t="s"/>
      <c r="AH345" s="3947" t="s"/>
      <c r="AI345" s="3948" t="s"/>
      <c r="AJ345" s="116" t="s">
        <v>1542</v>
      </c>
      <c r="AK345" s="3949" t="s"/>
    </row>
    <row hidden="false" ht="15.75" outlineLevel="0" r="346">
      <c r="C346" s="98" t="s">
        <v>176</v>
      </c>
      <c r="D346" s="122" t="s">
        <v>177</v>
      </c>
      <c r="E346" s="123" t="s">
        <v>693</v>
      </c>
      <c r="F346" s="123" t="s">
        <v>342</v>
      </c>
      <c r="G346" s="124" t="s">
        <v>1543</v>
      </c>
      <c r="H346" s="1819" t="n">
        <f aca="false" ca="false" dt2D="false" dtr="false" ref="H346:H346" t="array">MID(INDEX($A$3:$A$70, IF(ISNA(MATCH("720G4H6*", $A$3:$A$70, 0))=TRUE, MATCH("7200422*", $A$3:$A$70, 0), MATCH("720G4H6*", $A$3:$A$70, 0))), $AU$8, 2)</f>
        <v>0</v>
      </c>
      <c r="I346" s="1820" t="n">
        <f aca="false" ca="false" dt2D="false" dtr="false" ref="I346:I346" t="array">MID(INDEX($A$3:$A$70, IF(ISNA(MATCH("720G4H6*", $A$3:$A$70, 0))=TRUE, MATCH("7200422*", $A$3:$A$70, 0), MATCH("720G4H6*", $A$3:$A$70, 0))), $AV$8, 2)</f>
        <v>0</v>
      </c>
      <c r="J346" s="164" t="n">
        <f aca="false" ca="false" dt2D="false" dtr="false" ref="J346:J346" t="array">MID(INDEX($A$3:$A$70, IF(ISNA(MATCH("720G4H6*", $A$3:$A$70, 0))=TRUE, MATCH("7200422*", $A$3:$A$70, 0), MATCH("720G4H6*", $A$3:$A$70, 0))), $AW$8, 2)</f>
        <v>0</v>
      </c>
      <c r="K346" s="1820" t="n">
        <f aca="false" ca="false" dt2D="false" dtr="false" ref="K346:K346" t="array">MID(INDEX($A$3:$A$70, IF(ISNA(MATCH("720G4H6*", $A$3:$A$70, 0))=TRUE, MATCH("7200422*", $A$3:$A$70, 0), MATCH("720G4H6*", $A$3:$A$70, 0))), $AX$8, 2)</f>
        <v>0</v>
      </c>
      <c r="L346" s="1821" t="n">
        <f aca="false" ca="false" dt2D="false" dtr="false" ref="L346:L346" t="array">MID(INDEX($A$3:$A$70, IF(ISNA(MATCH("720G4H6*", $A$3:$A$70, 0))=TRUE, MATCH("7200422*", $A$3:$A$70, 0), MATCH("720G4H6*", $A$3:$A$70, 0))), $AY$8, 2)</f>
        <v>0</v>
      </c>
      <c r="M346" s="218" t="str">
        <f aca="false" ca="false" dt2D="false" dtr="false" ref="M346:M346" t="array">MID(INDEX($A$3:$A$70, IF(ISNA(MATCH("720G4H6*", $A$3:$A$70, 0))=TRUE, MATCH("7200422*", $A$3:$A$70, 0), MATCH("720G4H6*", $A$3:$A$70, 0))), $AZ$8, 2)</f>
        <v>4D</v>
      </c>
      <c r="N346" s="63" t="s">
        <v>180</v>
      </c>
      <c r="P346" s="116" t="n"/>
      <c r="Q346" s="3950" t="s"/>
      <c r="R346" s="3951" t="s"/>
      <c r="S346" s="3952" t="s"/>
      <c r="T346" s="129" t="s">
        <v>180</v>
      </c>
      <c r="U346" s="130" t="s">
        <v>181</v>
      </c>
      <c r="V346" s="121" t="s">
        <v>182</v>
      </c>
      <c r="W346" s="131" t="n"/>
      <c r="X346" s="129" t="s">
        <v>180</v>
      </c>
      <c r="Y346" s="130" t="s">
        <v>181</v>
      </c>
      <c r="Z346" s="121" t="s">
        <v>182</v>
      </c>
      <c r="AA346" s="131" t="n"/>
      <c r="AB346" s="129" t="s">
        <v>180</v>
      </c>
      <c r="AC346" s="130" t="s">
        <v>181</v>
      </c>
      <c r="AD346" s="121" t="s">
        <v>182</v>
      </c>
      <c r="AE346" s="131" t="n"/>
      <c r="AF346" s="129" t="s">
        <v>180</v>
      </c>
      <c r="AG346" s="130" t="s">
        <v>181</v>
      </c>
      <c r="AH346" s="121" t="s">
        <v>182</v>
      </c>
      <c r="AI346" s="121" t="n"/>
      <c r="AJ346" s="116" t="s">
        <v>183</v>
      </c>
      <c r="AK346" s="3953" t="s"/>
    </row>
    <row hidden="false" ht="15" outlineLevel="0" r="347">
      <c r="C347" s="98" t="s">
        <v>185</v>
      </c>
      <c r="D347" s="53" t="n">
        <f aca="false" ca="false" dt2D="false" dtr="false" t="normal">HEX2BIN(D346, 8)</f>
        <v>111</v>
      </c>
      <c r="E347" s="53" t="n">
        <f aca="false" ca="false" dt2D="false" dtr="false" t="normal">HEX2BIN(E346, 8)</f>
        <v>100000</v>
      </c>
      <c r="F347" s="53" t="n">
        <f aca="false" ca="false" dt2D="false" dtr="false" t="normal">HEX2BIN(F346, 8)</f>
        <v>100</v>
      </c>
      <c r="G347" s="53" t="n">
        <f aca="false" ca="false" dt2D="false" dtr="false" t="normal">HEX2BIN(G346, 8)</f>
        <v>100010</v>
      </c>
      <c r="H347" s="53" t="n">
        <f aca="false" ca="false" dt2D="false" dtr="false" t="normal">HEX2BIN(H346, 8)</f>
        <v>0</v>
      </c>
      <c r="I347" s="53" t="n">
        <f aca="false" ca="false" dt2D="false" dtr="false" t="normal">HEX2BIN(I346, 8)</f>
        <v>0</v>
      </c>
      <c r="J347" s="53" t="n">
        <f aca="false" ca="false" dt2D="false" dtr="false" t="normal">HEX2BIN(J346, 8)</f>
        <v>0</v>
      </c>
      <c r="K347" s="53" t="n">
        <f aca="false" ca="false" dt2D="false" dtr="false" t="normal">HEX2BIN(K346, 8)</f>
        <v>0</v>
      </c>
      <c r="L347" s="53" t="n">
        <f aca="false" ca="false" dt2D="false" dtr="false" t="normal">HEX2BIN(L346, 8)</f>
        <v>0</v>
      </c>
      <c r="N347" s="63" t="n"/>
      <c r="P347" s="3954" t="s"/>
      <c r="Q347" s="142" t="s"/>
      <c r="R347" s="142" t="s"/>
      <c r="S347" s="3955" t="s"/>
      <c r="T347" s="136" t="n">
        <f aca="false" ca="false" dt2D="false" dtr="false" t="normal">MID(I347, 1, 1)</f>
        <v>0</v>
      </c>
      <c r="U347" s="137" t="n">
        <f aca="false" ca="false" dt2D="false" dtr="false" t="normal">T347</f>
        <v>0</v>
      </c>
      <c r="V347" s="120" t="s">
        <v>186</v>
      </c>
      <c r="W347" s="139" t="s">
        <v>1544</v>
      </c>
      <c r="X347" s="136" t="n">
        <f aca="false" ca="false" dt2D="false" dtr="false" t="normal">MID(J347, 1, 1)</f>
        <v>0</v>
      </c>
      <c r="Y347" s="137" t="n">
        <f aca="false" ca="false" dt2D="false" dtr="false" t="normal">X347</f>
        <v>0</v>
      </c>
      <c r="Z347" s="120" t="s">
        <v>186</v>
      </c>
      <c r="AA347" s="139" t="s">
        <v>1545</v>
      </c>
      <c r="AB347" s="136" t="n">
        <f aca="false" ca="false" dt2D="false" dtr="false" t="normal">MID(K347, 1, 1)</f>
        <v>0</v>
      </c>
      <c r="AC347" s="137" t="n">
        <f aca="false" ca="false" dt2D="false" dtr="false" t="normal">AB347</f>
        <v>0</v>
      </c>
      <c r="AD347" s="120" t="s">
        <v>186</v>
      </c>
      <c r="AE347" s="139" t="s">
        <v>1546</v>
      </c>
      <c r="AF347" s="136" t="n">
        <f aca="false" ca="false" dt2D="false" dtr="false" t="normal">MID(L347, 1, 1)</f>
        <v>0</v>
      </c>
      <c r="AG347" s="137" t="n">
        <f aca="false" ca="false" dt2D="false" dtr="false" t="normal">AF347</f>
        <v>0</v>
      </c>
      <c r="AH347" s="120" t="s">
        <v>186</v>
      </c>
      <c r="AI347" s="139" t="s">
        <v>1547</v>
      </c>
      <c r="AJ347" s="3956" t="s"/>
      <c r="AK347" s="3957" t="s"/>
    </row>
    <row customHeight="true" hidden="false" ht="15" outlineLevel="0" r="348">
      <c r="C348" s="98" t="s">
        <v>191</v>
      </c>
      <c r="D348" s="53" t="n">
        <f aca="false" ca="false" dt2D="false" dtr="false" t="normal">HEX2DEC(D346)</f>
        <v>7</v>
      </c>
      <c r="E348" s="53" t="n">
        <f aca="false" ca="false" dt2D="false" dtr="false" t="normal">HEX2DEC(E346)</f>
        <v>32</v>
      </c>
      <c r="F348" s="53" t="n">
        <f aca="false" ca="false" dt2D="false" dtr="false" t="normal">HEX2DEC(F346)</f>
        <v>4</v>
      </c>
      <c r="G348" s="53" t="n">
        <f aca="false" ca="false" dt2D="false" dtr="false" t="normal">HEX2DEC(G346)</f>
        <v>34</v>
      </c>
      <c r="H348" s="53" t="n">
        <f aca="false" ca="false" dt2D="false" dtr="false" t="normal">HEX2DEC(H346)</f>
        <v>0</v>
      </c>
      <c r="I348" s="53" t="n">
        <f aca="false" ca="false" dt2D="false" dtr="false" t="normal">HEX2DEC(I346)</f>
        <v>0</v>
      </c>
      <c r="J348" s="53" t="n">
        <f aca="false" ca="false" dt2D="false" dtr="false" t="normal">HEX2DEC(J346)</f>
        <v>0</v>
      </c>
      <c r="K348" s="53" t="n">
        <f aca="false" ca="false" dt2D="false" dtr="false" t="normal">HEX2DEC(K346)</f>
        <v>0</v>
      </c>
      <c r="L348" s="53" t="n">
        <f aca="false" ca="false" dt2D="false" dtr="false" t="normal">HEX2DEC(L346)</f>
        <v>0</v>
      </c>
      <c r="M348" s="53" t="n">
        <f aca="false" ca="false" dt2D="false" dtr="false" t="normal">SUM(D348:L348)</f>
        <v>77</v>
      </c>
      <c r="N348" s="63" t="n"/>
      <c r="P348" s="3958" t="s"/>
      <c r="Q348" s="142" t="s"/>
      <c r="R348" s="142" t="s"/>
      <c r="S348" s="3959" t="s"/>
      <c r="T348" s="136" t="n">
        <f aca="false" ca="false" dt2D="false" dtr="false" t="normal">MID(I347, 2, 1)</f>
        <v>0</v>
      </c>
      <c r="U348" s="137" t="n">
        <f aca="false" ca="false" dt2D="false" dtr="false" t="normal">T348</f>
        <v>0</v>
      </c>
      <c r="V348" s="120" t="s">
        <v>192</v>
      </c>
      <c r="W348" s="140" t="s">
        <v>1548</v>
      </c>
      <c r="X348" s="136" t="n">
        <f aca="false" ca="false" dt2D="false" dtr="false" t="normal">MID(J347, 2, 1)</f>
        <v>0</v>
      </c>
      <c r="Y348" s="137" t="n">
        <f aca="false" ca="false" dt2D="false" dtr="false" t="normal">X348</f>
        <v>0</v>
      </c>
      <c r="Z348" s="120" t="s">
        <v>192</v>
      </c>
      <c r="AA348" s="139" t="s">
        <v>1549</v>
      </c>
      <c r="AB348" s="136" t="n">
        <f aca="false" ca="false" dt2D="false" dtr="false" t="normal">MID(K347, 2, 1)</f>
        <v>0</v>
      </c>
      <c r="AC348" s="137" t="n">
        <f aca="false" ca="false" dt2D="false" dtr="false" t="normal">AB348</f>
        <v>0</v>
      </c>
      <c r="AD348" s="120" t="s">
        <v>192</v>
      </c>
      <c r="AE348" s="139" t="s">
        <v>1550</v>
      </c>
      <c r="AF348" s="136" t="n">
        <f aca="false" ca="false" dt2D="false" dtr="false" t="normal">MID(L347, 2, 1)</f>
        <v>0</v>
      </c>
      <c r="AG348" s="137" t="n">
        <f aca="false" ca="false" dt2D="false" dtr="false" t="normal">AF348</f>
        <v>0</v>
      </c>
      <c r="AH348" s="120" t="s">
        <v>192</v>
      </c>
      <c r="AI348" s="131" t="s">
        <v>196</v>
      </c>
      <c r="AJ348" s="3960" t="s"/>
      <c r="AK348" s="3961" t="s"/>
    </row>
    <row hidden="false" ht="15" outlineLevel="0" r="349">
      <c r="C349" s="98" t="s">
        <v>194</v>
      </c>
      <c r="D349" s="149" t="n">
        <f aca="false" ca="false" dt2D="false" dtr="false" t="normal">D346</f>
        <v>7</v>
      </c>
      <c r="E349" s="149" t="n">
        <f aca="false" ca="false" dt2D="false" dtr="false" t="normal">E346</f>
        <v>20</v>
      </c>
      <c r="F349" s="53" t="str">
        <f aca="false" ca="false" dt2D="false" dtr="false" t="normal">MID(INDEX($A$3:$A$70, IF(ISNA(MATCH("720G4H6*", $A$3:$A$70, 0))=TRUE, MATCH("7200422*", $A$3:$A$70, 0), MATCH("720G4H6*", $A$3:$A$70, 0))), $AS$8, 2)</f>
        <v>G4</v>
      </c>
      <c r="G349" s="53" t="str">
        <f aca="false" ca="false" dt2D="false" dtr="false" t="normal">MID(INDEX($A$3:$A$70, IF(ISNA(MATCH("720G4H6*", $A$3:$A$70, 0))=TRUE, MATCH("7200422*", $A$3:$A$70, 0), MATCH("720G4H6*", $A$3:$A$70, 0))), $AT$8, 2)</f>
        <v>H6</v>
      </c>
      <c r="N349" s="63" t="n"/>
      <c r="P349" s="3962" t="s"/>
      <c r="Q349" s="142" t="s"/>
      <c r="R349" s="142" t="s"/>
      <c r="S349" s="3963" t="s"/>
      <c r="T349" s="136" t="n">
        <f aca="false" ca="false" dt2D="false" dtr="false" t="normal">MID(I347, 3, 1)</f>
        <v>0</v>
      </c>
      <c r="U349" s="137" t="n">
        <f aca="false" ca="false" dt2D="false" dtr="false" t="normal">T349</f>
        <v>0</v>
      </c>
      <c r="V349" s="120" t="s">
        <v>195</v>
      </c>
      <c r="W349" s="3964" t="s"/>
      <c r="X349" s="136" t="n">
        <f aca="false" ca="false" dt2D="false" dtr="false" t="normal">MID(J347, 3, 1)</f>
        <v>0</v>
      </c>
      <c r="Y349" s="137" t="n">
        <f aca="false" ca="false" dt2D="false" dtr="false" t="normal">X349</f>
        <v>0</v>
      </c>
      <c r="Z349" s="120" t="s">
        <v>195</v>
      </c>
      <c r="AA349" s="131" t="s">
        <v>196</v>
      </c>
      <c r="AB349" s="136" t="n">
        <f aca="false" ca="false" dt2D="false" dtr="false" t="normal">MID(K347, 3, 1)</f>
        <v>0</v>
      </c>
      <c r="AC349" s="137" t="n">
        <f aca="false" ca="false" dt2D="false" dtr="false" t="normal">AB349</f>
        <v>0</v>
      </c>
      <c r="AD349" s="120" t="s">
        <v>195</v>
      </c>
      <c r="AE349" s="139" t="s">
        <v>1551</v>
      </c>
      <c r="AF349" s="136" t="n">
        <f aca="false" ca="false" dt2D="false" dtr="false" t="normal">MID(L347, 3, 1)</f>
        <v>0</v>
      </c>
      <c r="AG349" s="137" t="n">
        <f aca="false" ca="false" dt2D="false" dtr="false" t="normal">AF349</f>
        <v>0</v>
      </c>
      <c r="AH349" s="120" t="s">
        <v>195</v>
      </c>
      <c r="AI349" s="131" t="s">
        <v>196</v>
      </c>
      <c r="AJ349" s="3965" t="s"/>
      <c r="AK349" s="3966" t="s"/>
    </row>
    <row hidden="false" ht="15.75" outlineLevel="0" r="350">
      <c r="C350" s="98" t="n"/>
      <c r="N350" s="63" t="n"/>
      <c r="P350" s="3967" t="s"/>
      <c r="Q350" s="142" t="s"/>
      <c r="R350" s="142" t="s"/>
      <c r="S350" s="3968" t="s"/>
      <c r="T350" s="136" t="n">
        <f aca="false" ca="false" dt2D="false" dtr="false" t="normal">MID(I347, 4, 1)</f>
        <v>0</v>
      </c>
      <c r="U350" s="137" t="n">
        <f aca="false" ca="false" dt2D="false" dtr="false" t="normal">T350</f>
        <v>0</v>
      </c>
      <c r="V350" s="120" t="s">
        <v>197</v>
      </c>
      <c r="W350" s="131" t="s">
        <v>196</v>
      </c>
      <c r="X350" s="136" t="n">
        <f aca="false" ca="false" dt2D="false" dtr="false" t="normal">MID(J347, 4, 1)</f>
        <v>0</v>
      </c>
      <c r="Y350" s="137" t="n">
        <f aca="false" ca="false" dt2D="false" dtr="false" t="normal">X350</f>
        <v>0</v>
      </c>
      <c r="Z350" s="120" t="s">
        <v>197</v>
      </c>
      <c r="AA350" s="131" t="s">
        <v>196</v>
      </c>
      <c r="AB350" s="136" t="n">
        <f aca="false" ca="false" dt2D="false" dtr="false" t="normal">MID(K347, 4, 1)</f>
        <v>0</v>
      </c>
      <c r="AC350" s="137" t="n">
        <f aca="false" ca="false" dt2D="false" dtr="false" t="normal">AB350</f>
        <v>0</v>
      </c>
      <c r="AD350" s="120" t="s">
        <v>197</v>
      </c>
      <c r="AE350" s="139" t="s">
        <v>1552</v>
      </c>
      <c r="AF350" s="136" t="n">
        <f aca="false" ca="false" dt2D="false" dtr="false" t="normal">MID(L347, 4, 1)</f>
        <v>0</v>
      </c>
      <c r="AG350" s="137" t="n">
        <f aca="false" ca="false" dt2D="false" dtr="false" t="normal">AF350</f>
        <v>0</v>
      </c>
      <c r="AH350" s="120" t="s">
        <v>197</v>
      </c>
      <c r="AI350" s="131" t="s">
        <v>196</v>
      </c>
      <c r="AJ350" s="3969" t="s"/>
      <c r="AK350" s="3970" t="s"/>
    </row>
    <row hidden="false" ht="15.75" outlineLevel="0" r="351">
      <c r="C351" s="98" t="s">
        <v>176</v>
      </c>
      <c r="D351" s="159" t="n">
        <f aca="false" ca="false" dt2D="false" dtr="false" t="normal">D346</f>
        <v>7</v>
      </c>
      <c r="E351" s="160" t="n">
        <f aca="false" ca="false" dt2D="false" dtr="false" t="normal">E346</f>
        <v>20</v>
      </c>
      <c r="F351" s="160" t="n">
        <f aca="false" ca="false" dt2D="false" dtr="false" t="normal">F346</f>
        <v>4</v>
      </c>
      <c r="G351" s="161" t="n">
        <f aca="false" ca="false" dt2D="false" dtr="false" t="normal">G346</f>
        <v>22</v>
      </c>
      <c r="H351" s="2540" t="n">
        <f aca="false" ca="false" dt2D="false" dtr="false" t="normal">H346</f>
        <v>0</v>
      </c>
      <c r="I351" s="163" t="n">
        <f aca="false" ca="false" dt2D="false" dtr="false" t="normal">BIN2HEX(I352, 2)</f>
        <v>0</v>
      </c>
      <c r="J351" s="164" t="n">
        <f aca="false" ca="false" dt2D="false" dtr="false" t="normal">BIN2HEX(J352, 2)</f>
        <v>0</v>
      </c>
      <c r="K351" s="165" t="n">
        <f aca="false" ca="false" dt2D="false" dtr="false" t="normal">BIN2HEX(K352, 2)</f>
        <v>0</v>
      </c>
      <c r="L351" s="288" t="n">
        <f aca="false" ca="false" dt2D="false" dtr="false" t="normal">BIN2HEX(L352, 2)</f>
        <v>0</v>
      </c>
      <c r="M351" s="166" t="str">
        <f aca="false" ca="false" dt2D="false" dtr="false" t="normal">IF(LEN(M352)&gt;2, MID(M352, 2, 2), M352)</f>
        <v>4D</v>
      </c>
      <c r="N351" s="63" t="s">
        <v>181</v>
      </c>
      <c r="P351" s="3971" t="s"/>
      <c r="Q351" s="142" t="s"/>
      <c r="R351" s="142" t="s"/>
      <c r="S351" s="3972" t="s"/>
      <c r="T351" s="136" t="n">
        <f aca="false" ca="false" dt2D="false" dtr="false" t="normal">MID(I347, 5, 1)</f>
        <v>0</v>
      </c>
      <c r="U351" s="137" t="n">
        <f aca="false" ca="false" dt2D="false" dtr="false" t="normal">T351</f>
        <v>0</v>
      </c>
      <c r="V351" s="120" t="s">
        <v>200</v>
      </c>
      <c r="W351" s="139" t="s">
        <v>1306</v>
      </c>
      <c r="X351" s="136" t="n">
        <f aca="false" ca="false" dt2D="false" dtr="false" t="normal">MID(J347, 5, 1)</f>
        <v>0</v>
      </c>
      <c r="Y351" s="137" t="n">
        <f aca="false" ca="false" dt2D="false" dtr="false" t="normal">X351</f>
        <v>0</v>
      </c>
      <c r="Z351" s="120" t="s">
        <v>200</v>
      </c>
      <c r="AA351" s="139" t="s">
        <v>1553</v>
      </c>
      <c r="AB351" s="136" t="n">
        <f aca="false" ca="false" dt2D="false" dtr="false" t="normal">MID(K347, 5, 1)</f>
        <v>0</v>
      </c>
      <c r="AC351" s="137" t="n">
        <f aca="false" ca="false" dt2D="false" dtr="false" t="normal">AB351</f>
        <v>0</v>
      </c>
      <c r="AD351" s="120" t="s">
        <v>200</v>
      </c>
      <c r="AE351" s="131" t="s">
        <v>196</v>
      </c>
      <c r="AF351" s="136" t="n">
        <f aca="false" ca="false" dt2D="false" dtr="false" t="normal">MID(L347, 5, 1)</f>
        <v>0</v>
      </c>
      <c r="AG351" s="137" t="n">
        <f aca="false" ca="false" dt2D="false" dtr="false" t="normal">AF351</f>
        <v>0</v>
      </c>
      <c r="AH351" s="120" t="s">
        <v>200</v>
      </c>
      <c r="AI351" s="139" t="s">
        <v>992</v>
      </c>
      <c r="AJ351" s="3973" t="s"/>
      <c r="AK351" s="3974" t="s"/>
    </row>
    <row hidden="false" ht="15" outlineLevel="0" r="352">
      <c r="C352" s="98" t="s">
        <v>185</v>
      </c>
      <c r="D352" s="53" t="n">
        <f aca="false" ca="false" dt2D="false" dtr="false" t="normal">HEX2BIN(D351, 8)</f>
        <v>111</v>
      </c>
      <c r="E352" s="53" t="n">
        <f aca="false" ca="false" dt2D="false" dtr="false" t="normal">HEX2BIN(E351, 8)</f>
        <v>100000</v>
      </c>
      <c r="F352" s="53" t="n">
        <f aca="false" ca="false" dt2D="false" dtr="false" t="normal">HEX2BIN(F351, 8)</f>
        <v>100</v>
      </c>
      <c r="G352" s="53" t="n">
        <f aca="false" ca="false" dt2D="false" dtr="false" t="normal">HEX2BIN(G351, 8)</f>
        <v>100010</v>
      </c>
      <c r="H352" s="171" t="n"/>
      <c r="I352" s="53" t="n">
        <f aca="false" ca="false" dt2D="false" dtr="false" t="normal">U347&amp;U348&amp;U349&amp;U350&amp;U351&amp;U352&amp;U353&amp;U354</f>
        <v>0</v>
      </c>
      <c r="J352" s="171" t="n">
        <f aca="false" ca="false" dt2D="false" dtr="false" t="normal">Y347&amp;Y348&amp;Y349&amp;Y350&amp;Y351&amp;Y352&amp;Y353&amp;Y354</f>
        <v>0</v>
      </c>
      <c r="K352" s="171" t="n">
        <f aca="false" ca="false" dt2D="false" dtr="false" t="normal">AC347&amp;AC348&amp;AC349&amp;AC350&amp;AC351&amp;AC352&amp;AC353&amp;AC354</f>
        <v>0</v>
      </c>
      <c r="L352" s="53" t="n">
        <f aca="false" ca="false" dt2D="false" dtr="false" t="normal">AG347&amp;AG348&amp;AG349&amp;AG350&amp;AG351&amp;AG352&amp;AG353&amp;AG354</f>
        <v>0</v>
      </c>
      <c r="M352" s="53" t="str">
        <f aca="false" ca="false" dt2D="false" dtr="false" t="normal">DEC2HEX(M353)</f>
        <v>4D</v>
      </c>
      <c r="N352" s="63" t="n"/>
      <c r="P352" s="3975" t="s"/>
      <c r="Q352" s="142" t="s"/>
      <c r="R352" s="142" t="s"/>
      <c r="S352" s="3976" t="s"/>
      <c r="T352" s="136" t="n">
        <f aca="false" ca="false" dt2D="false" dtr="false" t="normal">MID(I347, 6, 1)</f>
        <v>0</v>
      </c>
      <c r="U352" s="137" t="n">
        <f aca="false" ca="false" dt2D="false" dtr="false" t="normal">T352</f>
        <v>0</v>
      </c>
      <c r="V352" s="120" t="s">
        <v>203</v>
      </c>
      <c r="W352" s="139" t="s">
        <v>1306</v>
      </c>
      <c r="X352" s="136" t="n">
        <f aca="false" ca="false" dt2D="false" dtr="false" t="normal">MID(J347, 6, 1)</f>
        <v>0</v>
      </c>
      <c r="Y352" s="137" t="n">
        <f aca="false" ca="false" dt2D="false" dtr="false" t="normal">X352</f>
        <v>0</v>
      </c>
      <c r="Z352" s="120" t="s">
        <v>203</v>
      </c>
      <c r="AA352" s="139" t="s">
        <v>992</v>
      </c>
      <c r="AB352" s="136" t="n">
        <f aca="false" ca="false" dt2D="false" dtr="false" t="normal">MID(K347, 6, 1)</f>
        <v>0</v>
      </c>
      <c r="AC352" s="137" t="n">
        <f aca="false" ca="false" dt2D="false" dtr="false" t="normal">AB352</f>
        <v>0</v>
      </c>
      <c r="AD352" s="120" t="s">
        <v>203</v>
      </c>
      <c r="AE352" s="131" t="s">
        <v>196</v>
      </c>
      <c r="AF352" s="136" t="n">
        <f aca="false" ca="false" dt2D="false" dtr="false" t="normal">MID(L347, 6, 1)</f>
        <v>0</v>
      </c>
      <c r="AG352" s="137" t="n">
        <f aca="false" ca="false" dt2D="false" dtr="false" t="normal">AF352</f>
        <v>0</v>
      </c>
      <c r="AH352" s="120" t="s">
        <v>203</v>
      </c>
      <c r="AI352" s="131" t="s">
        <v>196</v>
      </c>
      <c r="AJ352" s="3977" t="s"/>
      <c r="AK352" s="3978" t="s"/>
    </row>
    <row customHeight="true" hidden="false" ht="15" outlineLevel="0" r="353">
      <c r="C353" s="98" t="s">
        <v>191</v>
      </c>
      <c r="D353" s="53" t="n">
        <f aca="false" ca="false" dt2D="false" dtr="false" t="normal">HEX2DEC(D351)</f>
        <v>7</v>
      </c>
      <c r="E353" s="53" t="n">
        <f aca="false" ca="false" dt2D="false" dtr="false" t="normal">HEX2DEC(E351)</f>
        <v>32</v>
      </c>
      <c r="F353" s="53" t="n">
        <f aca="false" ca="false" dt2D="false" dtr="false" t="normal">HEX2DEC(F351)</f>
        <v>4</v>
      </c>
      <c r="G353" s="53" t="n">
        <f aca="false" ca="false" dt2D="false" dtr="false" t="normal">HEX2DEC(G351)</f>
        <v>34</v>
      </c>
      <c r="H353" s="53" t="n">
        <f aca="false" ca="false" dt2D="false" dtr="false" t="normal">HEX2DEC(H351)</f>
        <v>0</v>
      </c>
      <c r="I353" s="53" t="n">
        <f aca="false" ca="false" dt2D="false" dtr="false" t="normal">HEX2DEC(I351)</f>
        <v>0</v>
      </c>
      <c r="J353" s="53" t="n">
        <f aca="false" ca="false" dt2D="false" dtr="false" t="normal">HEX2DEC(J351)</f>
        <v>0</v>
      </c>
      <c r="K353" s="53" t="n">
        <f aca="false" ca="false" dt2D="false" dtr="false" t="normal">HEX2DEC(K351)</f>
        <v>0</v>
      </c>
      <c r="L353" s="53" t="n">
        <f aca="false" ca="false" dt2D="false" dtr="false" t="normal">HEX2DEC(L351)</f>
        <v>0</v>
      </c>
      <c r="M353" s="53" t="n">
        <f aca="false" ca="false" dt2D="false" dtr="false" t="normal">SUM(D353:L353)</f>
        <v>77</v>
      </c>
      <c r="N353" s="63" t="n"/>
      <c r="P353" s="3979" t="s"/>
      <c r="Q353" s="142" t="s"/>
      <c r="R353" s="142" t="s"/>
      <c r="S353" s="3980" t="s"/>
      <c r="T353" s="136" t="n">
        <f aca="false" ca="false" dt2D="false" dtr="false" t="normal">MID(I347, 7, 1)</f>
        <v>0</v>
      </c>
      <c r="U353" s="137" t="n">
        <f aca="false" ca="false" dt2D="false" dtr="false" t="normal">T353</f>
        <v>0</v>
      </c>
      <c r="V353" s="120" t="s">
        <v>206</v>
      </c>
      <c r="W353" s="1770" t="s">
        <v>1554</v>
      </c>
      <c r="X353" s="136" t="n">
        <f aca="false" ca="false" dt2D="false" dtr="false" t="normal">MID(J347, 7, 1)</f>
        <v>0</v>
      </c>
      <c r="Y353" s="137" t="n">
        <f aca="false" ca="false" dt2D="false" dtr="false" t="normal">X353</f>
        <v>0</v>
      </c>
      <c r="Z353" s="120" t="s">
        <v>206</v>
      </c>
      <c r="AA353" s="131" t="s">
        <v>196</v>
      </c>
      <c r="AB353" s="136" t="n">
        <f aca="false" ca="false" dt2D="false" dtr="false" t="normal">MID(K347, 7, 1)</f>
        <v>0</v>
      </c>
      <c r="AC353" s="137" t="n">
        <f aca="false" ca="false" dt2D="false" dtr="false" t="normal">AB353</f>
        <v>0</v>
      </c>
      <c r="AD353" s="120" t="s">
        <v>206</v>
      </c>
      <c r="AE353" s="131" t="s">
        <v>196</v>
      </c>
      <c r="AF353" s="136" t="n">
        <f aca="false" ca="false" dt2D="false" dtr="false" t="normal">MID(L347, 7, 1)</f>
        <v>0</v>
      </c>
      <c r="AG353" s="137" t="n">
        <f aca="false" ca="false" dt2D="false" dtr="false" t="normal">AF353</f>
        <v>0</v>
      </c>
      <c r="AH353" s="120" t="s">
        <v>206</v>
      </c>
      <c r="AI353" s="131" t="s">
        <v>196</v>
      </c>
      <c r="AJ353" s="3981" t="s"/>
      <c r="AK353" s="3982" t="s"/>
    </row>
    <row hidden="false" ht="15.75" outlineLevel="0" r="354">
      <c r="C354" s="180" t="s">
        <v>194</v>
      </c>
      <c r="D354" s="299" t="n">
        <f aca="false" ca="false" dt2D="false" dtr="false" t="normal">D349</f>
        <v>7</v>
      </c>
      <c r="E354" s="299" t="n">
        <f aca="false" ca="false" dt2D="false" dtr="false" t="normal">E349</f>
        <v>20</v>
      </c>
      <c r="F354" s="299" t="str">
        <f aca="false" ca="false" dt2D="false" dtr="false" t="normal">F349</f>
        <v>G4</v>
      </c>
      <c r="G354" s="299" t="str">
        <f aca="false" ca="false" dt2D="false" dtr="false" t="normal">G349</f>
        <v>H6</v>
      </c>
      <c r="H354" s="45" t="n"/>
      <c r="I354" s="45" t="n"/>
      <c r="J354" s="45" t="n"/>
      <c r="K354" s="45" t="n"/>
      <c r="L354" s="45" t="n"/>
      <c r="M354" s="45" t="n"/>
      <c r="N354" s="49" t="n"/>
      <c r="P354" s="3983" t="s"/>
      <c r="Q354" s="3984" t="s"/>
      <c r="R354" s="3985" t="s"/>
      <c r="S354" s="3986" t="s"/>
      <c r="T354" s="182" t="n">
        <f aca="false" ca="false" dt2D="false" dtr="false" t="normal">MID(I347, 8, 1)</f>
        <v>0</v>
      </c>
      <c r="U354" s="183" t="n">
        <f aca="false" ca="false" dt2D="false" dtr="false" t="normal">T354</f>
        <v>0</v>
      </c>
      <c r="V354" s="184" t="s">
        <v>208</v>
      </c>
      <c r="W354" s="3987" t="s"/>
      <c r="X354" s="182" t="n">
        <f aca="false" ca="false" dt2D="false" dtr="false" t="normal">MID(J347, 8, 1)</f>
        <v>0</v>
      </c>
      <c r="Y354" s="183" t="n">
        <f aca="false" ca="false" dt2D="false" dtr="false" t="normal">X354</f>
        <v>0</v>
      </c>
      <c r="Z354" s="184" t="s">
        <v>208</v>
      </c>
      <c r="AA354" s="187" t="s">
        <v>1555</v>
      </c>
      <c r="AB354" s="182" t="n">
        <f aca="false" ca="false" dt2D="false" dtr="false" t="normal">MID(K347, 8, 1)</f>
        <v>0</v>
      </c>
      <c r="AC354" s="183" t="n">
        <f aca="false" ca="false" dt2D="false" dtr="false" t="normal">AB354</f>
        <v>0</v>
      </c>
      <c r="AD354" s="184" t="s">
        <v>208</v>
      </c>
      <c r="AE354" s="185" t="s">
        <v>196</v>
      </c>
      <c r="AF354" s="182" t="n">
        <f aca="false" ca="false" dt2D="false" dtr="false" t="normal">MID(L347, 8, 1)</f>
        <v>0</v>
      </c>
      <c r="AG354" s="183" t="n">
        <f aca="false" ca="false" dt2D="false" dtr="false" t="normal">AF354</f>
        <v>0</v>
      </c>
      <c r="AH354" s="184" t="s">
        <v>208</v>
      </c>
      <c r="AI354" s="185" t="s">
        <v>196</v>
      </c>
      <c r="AJ354" s="3988" t="s"/>
      <c r="AK354" s="3989" t="s"/>
    </row>
    <row hidden="false" ht="15.75" outlineLevel="0" r="355">
      <c r="C355" s="93" t="n"/>
      <c r="D355" s="94" t="n"/>
      <c r="E355" s="94" t="n"/>
      <c r="F355" s="94" t="n"/>
      <c r="G355" s="94" t="n"/>
      <c r="H355" s="94" t="n"/>
      <c r="I355" s="94" t="n"/>
      <c r="J355" s="94" t="n"/>
      <c r="K355" s="94" t="n"/>
      <c r="L355" s="94" t="n"/>
      <c r="M355" s="94" t="s">
        <v>161</v>
      </c>
      <c r="N355" s="60" t="n"/>
      <c r="P355" s="95" t="str">
        <f aca="false" ca="false" dt2D="false" dtr="false" t="normal">RIGHT(D357, 1)&amp;E357&amp;"-"&amp;F357&amp;"-"&amp;G357</f>
        <v>720-04-23</v>
      </c>
      <c r="Q355" s="3990" t="s"/>
      <c r="R355" s="234" t="s">
        <v>1556</v>
      </c>
      <c r="S355" s="3991" t="s"/>
      <c r="T355" s="3992" t="s"/>
      <c r="U355" s="3993" t="s"/>
      <c r="V355" s="3994" t="s"/>
      <c r="W355" s="3995" t="s"/>
      <c r="X355" s="3996" t="s"/>
      <c r="Y355" s="3997" t="s"/>
      <c r="Z355" s="3998" t="s"/>
      <c r="AA355" s="3999" t="s"/>
      <c r="AB355" s="4000" t="s"/>
      <c r="AC355" s="4001" t="s"/>
      <c r="AD355" s="4002" t="s"/>
      <c r="AE355" s="4003" t="s"/>
      <c r="AF355" s="4004" t="s"/>
      <c r="AG355" s="4005" t="s"/>
      <c r="AH355" s="4006" t="s"/>
      <c r="AI355" s="4007" t="s"/>
      <c r="AJ355" s="4008" t="s"/>
      <c r="AK355" s="4009" t="s"/>
    </row>
    <row hidden="false" ht="15.75" outlineLevel="0" r="356">
      <c r="C356" s="98" t="n"/>
      <c r="D356" s="99" t="s">
        <v>1557</v>
      </c>
      <c r="E356" s="4010" t="s"/>
      <c r="F356" s="4011" t="s"/>
      <c r="G356" s="4012" t="s"/>
      <c r="H356" s="53" t="s">
        <v>165</v>
      </c>
      <c r="I356" s="53" t="s">
        <v>166</v>
      </c>
      <c r="J356" s="53" t="s">
        <v>167</v>
      </c>
      <c r="K356" s="53" t="s">
        <v>168</v>
      </c>
      <c r="L356" s="53" t="s">
        <v>169</v>
      </c>
      <c r="M356" s="53" t="s">
        <v>221</v>
      </c>
      <c r="N356" s="63" t="n"/>
      <c r="P356" s="103" t="s">
        <v>1558</v>
      </c>
      <c r="Q356" s="4013" t="s"/>
      <c r="R356" s="4014" t="s"/>
      <c r="S356" s="4015" t="s"/>
      <c r="T356" s="103" t="s">
        <v>1559</v>
      </c>
      <c r="U356" s="4016" t="s"/>
      <c r="V356" s="4017" t="s"/>
      <c r="W356" s="4018" t="s"/>
      <c r="X356" s="116" t="s">
        <v>1560</v>
      </c>
      <c r="Y356" s="4019" t="s"/>
      <c r="Z356" s="4020" t="s"/>
      <c r="AA356" s="4021" t="s"/>
      <c r="AB356" s="116" t="s">
        <v>1561</v>
      </c>
      <c r="AC356" s="4022" t="s"/>
      <c r="AD356" s="4023" t="s"/>
      <c r="AE356" s="4024" t="s"/>
      <c r="AF356" s="103" t="s">
        <v>1562</v>
      </c>
      <c r="AG356" s="4025" t="s"/>
      <c r="AH356" s="4026" t="s"/>
      <c r="AI356" s="4027" t="s"/>
      <c r="AJ356" s="116" t="s">
        <v>1563</v>
      </c>
      <c r="AK356" s="4028" t="s"/>
    </row>
    <row hidden="false" ht="15.75" outlineLevel="0" r="357">
      <c r="C357" s="98" t="s">
        <v>176</v>
      </c>
      <c r="D357" s="122" t="s">
        <v>177</v>
      </c>
      <c r="E357" s="123" t="s">
        <v>693</v>
      </c>
      <c r="F357" s="123" t="s">
        <v>342</v>
      </c>
      <c r="G357" s="124" t="s">
        <v>1564</v>
      </c>
      <c r="H357" s="164" t="n">
        <f aca="false" ca="false" dt2D="false" dtr="false" ref="H357:H357" t="array">MID(INDEX($A$3:$A$70, IF(ISNA(MATCH("720G4H7*", $A$3:$A$70, 0))=TRUE, MATCH("7200423*", $A$3:$A$70, 0), MATCH("720G4H7*", $A$3:$A$70, 0))), $AU$8, 2)</f>
        <v>0</v>
      </c>
      <c r="I357" s="1820" t="n">
        <f aca="false" ca="false" dt2D="false" dtr="false" ref="I357:I357" t="array">MID(INDEX($A$3:$A$70, IF(ISNA(MATCH("720G4H7*", $A$3:$A$70, 0))=TRUE, MATCH("7200423*", $A$3:$A$70, 0), MATCH("720G4H7*", $A$3:$A$70, 0))), $AV$8, 2)</f>
        <v>0</v>
      </c>
      <c r="J357" s="1820" t="n">
        <f aca="false" ca="false" dt2D="false" dtr="false" ref="J357:J357" t="array">MID(INDEX($A$3:$A$70, IF(ISNA(MATCH("720G4H7*", $A$3:$A$70, 0))=TRUE, MATCH("7200423*", $A$3:$A$70, 0), MATCH("720G4H7*", $A$3:$A$70, 0))), $AW$8, 2)</f>
        <v>0</v>
      </c>
      <c r="K357" s="1821" t="n">
        <f aca="false" ca="false" dt2D="false" dtr="false" ref="K357:K357" t="array">MID(INDEX($A$3:$A$70, IF(ISNA(MATCH("720G4H7*", $A$3:$A$70, 0))=TRUE, MATCH("7200423*", $A$3:$A$70, 0), MATCH("720G4H7*", $A$3:$A$70, 0))), $AX$8, 2)</f>
        <v>0</v>
      </c>
      <c r="L357" s="1821" t="n">
        <f aca="false" ca="false" dt2D="false" dtr="false" ref="L357:L357" t="array">MID(INDEX($A$3:$A$70, IF(ISNA(MATCH("720G4H7*", $A$3:$A$70, 0))=TRUE, MATCH("7200423*", $A$3:$A$70, 0), MATCH("720G4H7*", $A$3:$A$70, 0))), $AY$8, 2)</f>
        <v>0</v>
      </c>
      <c r="M357" s="218" t="str">
        <f aca="false" ca="false" dt2D="false" dtr="false" ref="M357:M357" t="array">MID(INDEX($A$3:$A$70, IF(ISNA(MATCH("720G4H7*", $A$3:$A$70, 0))=TRUE, MATCH("7200423*", $A$3:$A$70, 0), MATCH("720G4H7*", $A$3:$A$70, 0))), $AZ$8, 2)</f>
        <v>4E</v>
      </c>
      <c r="N357" s="63" t="s">
        <v>180</v>
      </c>
      <c r="P357" s="129" t="s">
        <v>180</v>
      </c>
      <c r="Q357" s="130" t="s">
        <v>181</v>
      </c>
      <c r="R357" s="121" t="s">
        <v>182</v>
      </c>
      <c r="S357" s="131" t="n"/>
      <c r="T357" s="129" t="s">
        <v>180</v>
      </c>
      <c r="U357" s="130" t="s">
        <v>181</v>
      </c>
      <c r="V357" s="121" t="s">
        <v>182</v>
      </c>
      <c r="W357" s="131" t="n"/>
      <c r="X357" s="116" t="n"/>
      <c r="Y357" s="4029" t="s"/>
      <c r="Z357" s="4030" t="s"/>
      <c r="AA357" s="4031" t="s"/>
      <c r="AB357" s="116" t="n"/>
      <c r="AC357" s="4032" t="s"/>
      <c r="AD357" s="4033" t="s"/>
      <c r="AE357" s="4034" t="s"/>
      <c r="AF357" s="129" t="s">
        <v>180</v>
      </c>
      <c r="AG357" s="130" t="s">
        <v>181</v>
      </c>
      <c r="AH357" s="121" t="s">
        <v>182</v>
      </c>
      <c r="AI357" s="121" t="n"/>
      <c r="AJ357" s="116" t="s">
        <v>183</v>
      </c>
      <c r="AK357" s="4035" t="s"/>
    </row>
    <row hidden="false" ht="15" outlineLevel="0" r="358">
      <c r="C358" s="98" t="s">
        <v>185</v>
      </c>
      <c r="D358" s="53" t="n">
        <f aca="false" ca="false" dt2D="false" dtr="false" t="normal">HEX2BIN(D357, 8)</f>
        <v>111</v>
      </c>
      <c r="E358" s="53" t="n">
        <f aca="false" ca="false" dt2D="false" dtr="false" t="normal">HEX2BIN(E357, 8)</f>
        <v>100000</v>
      </c>
      <c r="F358" s="53" t="n">
        <f aca="false" ca="false" dt2D="false" dtr="false" t="normal">HEX2BIN(F357, 8)</f>
        <v>100</v>
      </c>
      <c r="G358" s="53" t="n">
        <f aca="false" ca="false" dt2D="false" dtr="false" t="normal">HEX2BIN(G357, 8)</f>
        <v>100011</v>
      </c>
      <c r="H358" s="53" t="n">
        <f aca="false" ca="false" dt2D="false" dtr="false" t="normal">HEX2BIN(H357, 8)</f>
        <v>0</v>
      </c>
      <c r="I358" s="53" t="n">
        <f aca="false" ca="false" dt2D="false" dtr="false" t="normal">HEX2BIN(I357, 8)</f>
        <v>0</v>
      </c>
      <c r="J358" s="53" t="n">
        <f aca="false" ca="false" dt2D="false" dtr="false" t="normal">HEX2BIN(J357, 8)</f>
        <v>0</v>
      </c>
      <c r="K358" s="53" t="n">
        <f aca="false" ca="false" dt2D="false" dtr="false" t="normal">HEX2BIN(K357, 8)</f>
        <v>0</v>
      </c>
      <c r="L358" s="53" t="n">
        <f aca="false" ca="false" dt2D="false" dtr="false" t="normal">HEX2BIN(L357, 8)</f>
        <v>0</v>
      </c>
      <c r="N358" s="63" t="n"/>
      <c r="P358" s="136" t="n">
        <f aca="false" ca="false" dt2D="false" dtr="false" t="normal">MID(H358, 1, 1)</f>
        <v>0</v>
      </c>
      <c r="Q358" s="137" t="n">
        <f aca="false" ca="false" dt2D="false" dtr="false" t="normal">P358</f>
        <v>0</v>
      </c>
      <c r="R358" s="120" t="s">
        <v>186</v>
      </c>
      <c r="S358" s="139" t="s">
        <v>1565</v>
      </c>
      <c r="T358" s="136" t="n">
        <f aca="false" ca="false" dt2D="false" dtr="false" t="normal">MID(I358, 1, 1)</f>
        <v>0</v>
      </c>
      <c r="U358" s="137" t="n">
        <f aca="false" ca="false" dt2D="false" dtr="false" t="normal">T358</f>
        <v>0</v>
      </c>
      <c r="V358" s="120" t="s">
        <v>186</v>
      </c>
      <c r="W358" s="139" t="s">
        <v>1566</v>
      </c>
      <c r="X358" s="4036" t="s"/>
      <c r="Y358" s="142" t="s"/>
      <c r="Z358" s="142" t="s"/>
      <c r="AA358" s="4037" t="s"/>
      <c r="AB358" s="4038" t="s"/>
      <c r="AC358" s="142" t="s"/>
      <c r="AD358" s="142" t="s"/>
      <c r="AE358" s="4039" t="s"/>
      <c r="AF358" s="136" t="n">
        <f aca="false" ca="false" dt2D="false" dtr="false" t="normal">MID(L358, 1, 1)</f>
        <v>0</v>
      </c>
      <c r="AG358" s="137" t="n">
        <f aca="false" ca="false" dt2D="false" dtr="false" t="normal">AF358</f>
        <v>0</v>
      </c>
      <c r="AH358" s="120" t="s">
        <v>186</v>
      </c>
      <c r="AI358" s="139" t="s">
        <v>1567</v>
      </c>
      <c r="AJ358" s="4040" t="s"/>
      <c r="AK358" s="4041" t="s"/>
    </row>
    <row customHeight="true" hidden="false" ht="15" outlineLevel="0" r="359">
      <c r="C359" s="98" t="s">
        <v>191</v>
      </c>
      <c r="D359" s="53" t="n">
        <f aca="false" ca="false" dt2D="false" dtr="false" t="normal">HEX2DEC(D357)</f>
        <v>7</v>
      </c>
      <c r="E359" s="53" t="n">
        <f aca="false" ca="false" dt2D="false" dtr="false" t="normal">HEX2DEC(E357)</f>
        <v>32</v>
      </c>
      <c r="F359" s="53" t="n">
        <f aca="false" ca="false" dt2D="false" dtr="false" t="normal">HEX2DEC(F357)</f>
        <v>4</v>
      </c>
      <c r="G359" s="53" t="n">
        <f aca="false" ca="false" dt2D="false" dtr="false" t="normal">HEX2DEC(G357)</f>
        <v>35</v>
      </c>
      <c r="H359" s="53" t="n">
        <f aca="false" ca="false" dt2D="false" dtr="false" t="normal">HEX2DEC(H357)</f>
        <v>0</v>
      </c>
      <c r="I359" s="53" t="n">
        <f aca="false" ca="false" dt2D="false" dtr="false" t="normal">HEX2DEC(I357)</f>
        <v>0</v>
      </c>
      <c r="J359" s="53" t="n">
        <f aca="false" ca="false" dt2D="false" dtr="false" t="normal">HEX2DEC(J357)</f>
        <v>0</v>
      </c>
      <c r="K359" s="53" t="n">
        <f aca="false" ca="false" dt2D="false" dtr="false" t="normal">HEX2DEC(K357)</f>
        <v>0</v>
      </c>
      <c r="L359" s="53" t="n">
        <f aca="false" ca="false" dt2D="false" dtr="false" t="normal">HEX2DEC(L357)</f>
        <v>0</v>
      </c>
      <c r="M359" s="53" t="n">
        <f aca="false" ca="false" dt2D="false" dtr="false" t="normal">SUM(D359:L359)</f>
        <v>78</v>
      </c>
      <c r="N359" s="63" t="n"/>
      <c r="P359" s="136" t="n">
        <f aca="false" ca="false" dt2D="false" dtr="false" t="normal">MID(H358, 2, 1)</f>
        <v>0</v>
      </c>
      <c r="Q359" s="137" t="n">
        <f aca="false" ca="false" dt2D="false" dtr="false" t="normal">P359</f>
        <v>0</v>
      </c>
      <c r="R359" s="120" t="s">
        <v>192</v>
      </c>
      <c r="S359" s="131" t="s">
        <v>196</v>
      </c>
      <c r="T359" s="136" t="n">
        <f aca="false" ca="false" dt2D="false" dtr="false" t="normal">MID(I358, 2, 1)</f>
        <v>0</v>
      </c>
      <c r="U359" s="137" t="n">
        <f aca="false" ca="false" dt2D="false" dtr="false" t="normal">T359</f>
        <v>0</v>
      </c>
      <c r="V359" s="120" t="s">
        <v>192</v>
      </c>
      <c r="W359" s="139" t="s">
        <v>1568</v>
      </c>
      <c r="X359" s="4042" t="s"/>
      <c r="Y359" s="142" t="s"/>
      <c r="Z359" s="142" t="s"/>
      <c r="AA359" s="4043" t="s"/>
      <c r="AB359" s="4044" t="s"/>
      <c r="AC359" s="142" t="s"/>
      <c r="AD359" s="142" t="s"/>
      <c r="AE359" s="4045" t="s"/>
      <c r="AF359" s="136" t="n">
        <f aca="false" ca="false" dt2D="false" dtr="false" t="normal">MID(L358, 2, 1)</f>
        <v>0</v>
      </c>
      <c r="AG359" s="137" t="n">
        <f aca="false" ca="false" dt2D="false" dtr="false" t="normal">AF359</f>
        <v>0</v>
      </c>
      <c r="AH359" s="120" t="s">
        <v>192</v>
      </c>
      <c r="AI359" s="635" t="s">
        <v>1569</v>
      </c>
      <c r="AJ359" s="4046" t="s"/>
      <c r="AK359" s="4047" t="s"/>
    </row>
    <row hidden="false" ht="15" outlineLevel="0" r="360">
      <c r="C360" s="98" t="s">
        <v>194</v>
      </c>
      <c r="D360" s="149" t="n">
        <f aca="false" ca="false" dt2D="false" dtr="false" t="normal">D357</f>
        <v>7</v>
      </c>
      <c r="E360" s="149" t="n">
        <f aca="false" ca="false" dt2D="false" dtr="false" t="normal">E357</f>
        <v>20</v>
      </c>
      <c r="F360" s="53" t="str">
        <f aca="false" ca="false" dt2D="false" dtr="false" t="normal">MID(INDEX($A$3:$A$70, IF(ISNA(MATCH("720G4H7*", $A$3:$A$70, 0))=TRUE, MATCH("7200423*", $A$3:$A$70, 0), MATCH("720G4H7*", $A$3:$A$70, 0))), $AS$8, 2)</f>
        <v>G4</v>
      </c>
      <c r="G360" s="53" t="str">
        <f aca="false" ca="false" dt2D="false" dtr="false" t="normal">MID(INDEX($A$3:$A$70, IF(ISNA(MATCH("720G4H7*", $A$3:$A$70, 0))=TRUE, MATCH("7200423*", $A$3:$A$70, 0), MATCH("720G4H7*", $A$3:$A$70, 0))), $AT$8, 2)</f>
        <v>H7</v>
      </c>
      <c r="N360" s="63" t="n"/>
      <c r="P360" s="136" t="n">
        <f aca="false" ca="false" dt2D="false" dtr="false" t="normal">MID(H358, 3, 1)</f>
        <v>0</v>
      </c>
      <c r="Q360" s="137" t="n">
        <f aca="false" ca="false" dt2D="false" dtr="false" t="normal">P360</f>
        <v>0</v>
      </c>
      <c r="R360" s="120" t="s">
        <v>195</v>
      </c>
      <c r="S360" s="131" t="s">
        <v>196</v>
      </c>
      <c r="T360" s="136" t="n">
        <f aca="false" ca="false" dt2D="false" dtr="false" t="normal">MID(I358, 3, 1)</f>
        <v>0</v>
      </c>
      <c r="U360" s="137" t="n">
        <f aca="false" ca="false" dt2D="false" dtr="false" t="normal">T360</f>
        <v>0</v>
      </c>
      <c r="V360" s="120" t="s">
        <v>195</v>
      </c>
      <c r="W360" s="139" t="s">
        <v>1570</v>
      </c>
      <c r="X360" s="4048" t="s"/>
      <c r="Y360" s="142" t="s"/>
      <c r="Z360" s="142" t="s"/>
      <c r="AA360" s="4049" t="s"/>
      <c r="AB360" s="4050" t="s"/>
      <c r="AC360" s="142" t="s"/>
      <c r="AD360" s="142" t="s"/>
      <c r="AE360" s="4051" t="s"/>
      <c r="AF360" s="136" t="n">
        <f aca="false" ca="false" dt2D="false" dtr="false" t="normal">MID(L358, 3, 1)</f>
        <v>0</v>
      </c>
      <c r="AG360" s="137" t="n">
        <f aca="false" ca="false" dt2D="false" dtr="false" t="normal">AF360</f>
        <v>0</v>
      </c>
      <c r="AH360" s="120" t="s">
        <v>195</v>
      </c>
      <c r="AI360" s="4052" t="s"/>
      <c r="AJ360" s="4053" t="s"/>
      <c r="AK360" s="4054" t="s"/>
    </row>
    <row hidden="false" ht="15.75" outlineLevel="0" r="361">
      <c r="C361" s="98" t="n"/>
      <c r="N361" s="63" t="n"/>
      <c r="P361" s="136" t="n">
        <f aca="false" ca="false" dt2D="false" dtr="false" t="normal">MID(H358, 4, 1)</f>
        <v>0</v>
      </c>
      <c r="Q361" s="137" t="n">
        <f aca="false" ca="false" dt2D="false" dtr="false" t="normal">P361</f>
        <v>0</v>
      </c>
      <c r="R361" s="120" t="s">
        <v>197</v>
      </c>
      <c r="S361" s="131" t="s">
        <v>196</v>
      </c>
      <c r="T361" s="136" t="n">
        <f aca="false" ca="false" dt2D="false" dtr="false" t="normal">MID(I358, 4, 1)</f>
        <v>0</v>
      </c>
      <c r="U361" s="137" t="n">
        <f aca="false" ca="false" dt2D="false" dtr="false" t="normal">T361</f>
        <v>0</v>
      </c>
      <c r="V361" s="120" t="s">
        <v>197</v>
      </c>
      <c r="W361" s="139" t="s">
        <v>1571</v>
      </c>
      <c r="X361" s="4055" t="s"/>
      <c r="Y361" s="142" t="s"/>
      <c r="Z361" s="142" t="s"/>
      <c r="AA361" s="4056" t="s"/>
      <c r="AB361" s="4057" t="s"/>
      <c r="AC361" s="142" t="s"/>
      <c r="AD361" s="142" t="s"/>
      <c r="AE361" s="4058" t="s"/>
      <c r="AF361" s="136" t="n">
        <f aca="false" ca="false" dt2D="false" dtr="false" t="normal">MID(L358, 4, 1)</f>
        <v>0</v>
      </c>
      <c r="AG361" s="137" t="n">
        <f aca="false" ca="false" dt2D="false" dtr="false" t="normal">AF361</f>
        <v>0</v>
      </c>
      <c r="AH361" s="120" t="s">
        <v>197</v>
      </c>
      <c r="AI361" s="4059" t="s"/>
      <c r="AJ361" s="4060" t="s"/>
      <c r="AK361" s="4061" t="s"/>
    </row>
    <row customHeight="true" hidden="false" ht="15.75" outlineLevel="0" r="362">
      <c r="C362" s="98" t="s">
        <v>176</v>
      </c>
      <c r="D362" s="159" t="n">
        <f aca="false" ca="false" dt2D="false" dtr="false" t="normal">D357</f>
        <v>7</v>
      </c>
      <c r="E362" s="160" t="n">
        <f aca="false" ca="false" dt2D="false" dtr="false" t="normal">E357</f>
        <v>20</v>
      </c>
      <c r="F362" s="160" t="n">
        <f aca="false" ca="false" dt2D="false" dtr="false" t="normal">F357</f>
        <v>4</v>
      </c>
      <c r="G362" s="161" t="n">
        <f aca="false" ca="false" dt2D="false" dtr="false" t="normal">G357</f>
        <v>23</v>
      </c>
      <c r="H362" s="162" t="n">
        <f aca="false" ca="false" dt2D="false" dtr="false" t="normal">BIN2HEX(H363, 2)</f>
        <v>0</v>
      </c>
      <c r="I362" s="163" t="n">
        <f aca="false" ca="false" dt2D="false" dtr="false" t="normal">BIN2HEX(I363, 2)</f>
        <v>0</v>
      </c>
      <c r="J362" s="2217" t="n">
        <f aca="false" ca="false" dt2D="false" dtr="false" t="normal">J357</f>
        <v>0</v>
      </c>
      <c r="K362" s="1916" t="n">
        <f aca="false" ca="false" dt2D="false" dtr="false" t="normal">K357</f>
        <v>0</v>
      </c>
      <c r="L362" s="288" t="n">
        <f aca="false" ca="false" dt2D="false" dtr="false" t="normal">BIN2HEX(L363, 2)</f>
        <v>0</v>
      </c>
      <c r="M362" s="166" t="str">
        <f aca="false" ca="false" dt2D="false" dtr="false" t="normal">IF(LEN(M363)&gt;2, MID(M363, 2, 2), M363)</f>
        <v>4E</v>
      </c>
      <c r="N362" s="63" t="s">
        <v>181</v>
      </c>
      <c r="P362" s="136" t="n">
        <f aca="false" ca="false" dt2D="false" dtr="false" t="normal">MID(H358, 5, 1)</f>
        <v>0</v>
      </c>
      <c r="Q362" s="137" t="n">
        <f aca="false" ca="false" dt2D="false" dtr="false" t="normal">P362</f>
        <v>0</v>
      </c>
      <c r="R362" s="120" t="s">
        <v>200</v>
      </c>
      <c r="S362" s="139" t="s">
        <v>1572</v>
      </c>
      <c r="T362" s="136" t="n">
        <f aca="false" ca="false" dt2D="false" dtr="false" t="normal">MID(I358, 5, 1)</f>
        <v>0</v>
      </c>
      <c r="U362" s="137" t="n">
        <f aca="false" ca="false" dt2D="false" dtr="false" t="normal">T362</f>
        <v>0</v>
      </c>
      <c r="V362" s="120" t="s">
        <v>200</v>
      </c>
      <c r="W362" s="139" t="s">
        <v>1573</v>
      </c>
      <c r="X362" s="4062" t="s"/>
      <c r="Y362" s="142" t="s"/>
      <c r="Z362" s="142" t="s"/>
      <c r="AA362" s="4063" t="s"/>
      <c r="AB362" s="4064" t="s"/>
      <c r="AC362" s="142" t="s"/>
      <c r="AD362" s="142" t="s"/>
      <c r="AE362" s="4065" t="s"/>
      <c r="AF362" s="136" t="n">
        <f aca="false" ca="false" dt2D="false" dtr="false" t="normal">MID(L358, 5, 1)</f>
        <v>0</v>
      </c>
      <c r="AG362" s="137" t="n">
        <f aca="false" ca="false" dt2D="false" dtr="false" t="normal">AF362</f>
        <v>0</v>
      </c>
      <c r="AH362" s="120" t="s">
        <v>200</v>
      </c>
      <c r="AI362" s="173" t="s">
        <v>1574</v>
      </c>
      <c r="AJ362" s="4066" t="s"/>
      <c r="AK362" s="4067" t="s"/>
    </row>
    <row hidden="false" ht="15" outlineLevel="0" r="363">
      <c r="C363" s="98" t="s">
        <v>185</v>
      </c>
      <c r="D363" s="53" t="n">
        <f aca="false" ca="false" dt2D="false" dtr="false" t="normal">HEX2BIN(D362, 8)</f>
        <v>111</v>
      </c>
      <c r="E363" s="53" t="n">
        <f aca="false" ca="false" dt2D="false" dtr="false" t="normal">HEX2BIN(E362, 8)</f>
        <v>100000</v>
      </c>
      <c r="F363" s="53" t="n">
        <f aca="false" ca="false" dt2D="false" dtr="false" t="normal">HEX2BIN(F362, 8)</f>
        <v>100</v>
      </c>
      <c r="G363" s="53" t="n">
        <f aca="false" ca="false" dt2D="false" dtr="false" t="normal">HEX2BIN(G362, 8)</f>
        <v>100011</v>
      </c>
      <c r="H363" s="171" t="n">
        <f aca="false" ca="false" dt2D="false" dtr="false" t="normal">Q358&amp;Q359&amp;Q360&amp;Q361&amp;Q362&amp;Q363&amp;Q364&amp;Q365</f>
        <v>0</v>
      </c>
      <c r="I363" s="53" t="n">
        <f aca="false" ca="false" dt2D="false" dtr="false" t="normal">U358&amp;U359&amp;U360&amp;U361&amp;U362&amp;U363&amp;U364&amp;U365</f>
        <v>0</v>
      </c>
      <c r="J363" s="171" t="n"/>
      <c r="K363" s="171" t="n"/>
      <c r="L363" s="53" t="n">
        <f aca="false" ca="false" dt2D="false" dtr="false" t="normal">AG358&amp;AG359&amp;AG360&amp;AG361&amp;AG362&amp;AG363&amp;AG364&amp;AG365</f>
        <v>0</v>
      </c>
      <c r="M363" s="53" t="str">
        <f aca="false" ca="false" dt2D="false" dtr="false" t="normal">DEC2HEX(M364)</f>
        <v>4E</v>
      </c>
      <c r="N363" s="63" t="n"/>
      <c r="P363" s="136" t="n">
        <f aca="false" ca="false" dt2D="false" dtr="false" t="normal">MID(H358, 6, 1)</f>
        <v>0</v>
      </c>
      <c r="Q363" s="137" t="n">
        <f aca="false" ca="false" dt2D="false" dtr="false" t="normal">P363</f>
        <v>0</v>
      </c>
      <c r="R363" s="120" t="s">
        <v>203</v>
      </c>
      <c r="S363" s="131" t="s">
        <v>196</v>
      </c>
      <c r="T363" s="136" t="n">
        <f aca="false" ca="false" dt2D="false" dtr="false" t="normal">MID(I358, 6, 1)</f>
        <v>0</v>
      </c>
      <c r="U363" s="137" t="n">
        <f aca="false" ca="false" dt2D="false" dtr="false" t="normal">T363</f>
        <v>0</v>
      </c>
      <c r="V363" s="120" t="s">
        <v>203</v>
      </c>
      <c r="W363" s="139" t="s">
        <v>1575</v>
      </c>
      <c r="X363" s="4068" t="s"/>
      <c r="Y363" s="142" t="s"/>
      <c r="Z363" s="142" t="s"/>
      <c r="AA363" s="4069" t="s"/>
      <c r="AB363" s="4070" t="s"/>
      <c r="AC363" s="142" t="s"/>
      <c r="AD363" s="142" t="s"/>
      <c r="AE363" s="4071" t="s"/>
      <c r="AF363" s="136" t="n">
        <f aca="false" ca="false" dt2D="false" dtr="false" t="normal">MID(L358, 6, 1)</f>
        <v>0</v>
      </c>
      <c r="AG363" s="137" t="n">
        <f aca="false" ca="false" dt2D="false" dtr="false" t="normal">AF363</f>
        <v>0</v>
      </c>
      <c r="AH363" s="120" t="s">
        <v>203</v>
      </c>
      <c r="AI363" s="4072" t="s"/>
      <c r="AJ363" s="4073" t="s"/>
      <c r="AK363" s="4074" t="s"/>
    </row>
    <row hidden="false" ht="15" outlineLevel="0" r="364">
      <c r="C364" s="98" t="s">
        <v>191</v>
      </c>
      <c r="D364" s="53" t="n">
        <f aca="false" ca="false" dt2D="false" dtr="false" t="normal">HEX2DEC(D362)</f>
        <v>7</v>
      </c>
      <c r="E364" s="53" t="n">
        <f aca="false" ca="false" dt2D="false" dtr="false" t="normal">HEX2DEC(E362)</f>
        <v>32</v>
      </c>
      <c r="F364" s="53" t="n">
        <f aca="false" ca="false" dt2D="false" dtr="false" t="normal">HEX2DEC(F362)</f>
        <v>4</v>
      </c>
      <c r="G364" s="53" t="n">
        <f aca="false" ca="false" dt2D="false" dtr="false" t="normal">HEX2DEC(G362)</f>
        <v>35</v>
      </c>
      <c r="H364" s="53" t="n">
        <f aca="false" ca="false" dt2D="false" dtr="false" t="normal">HEX2DEC(H362)</f>
        <v>0</v>
      </c>
      <c r="I364" s="53" t="n">
        <f aca="false" ca="false" dt2D="false" dtr="false" t="normal">HEX2DEC(I362)</f>
        <v>0</v>
      </c>
      <c r="J364" s="53" t="n">
        <f aca="false" ca="false" dt2D="false" dtr="false" t="normal">HEX2DEC(J362)</f>
        <v>0</v>
      </c>
      <c r="K364" s="53" t="n">
        <f aca="false" ca="false" dt2D="false" dtr="false" t="normal">HEX2DEC(K362)</f>
        <v>0</v>
      </c>
      <c r="L364" s="53" t="n">
        <f aca="false" ca="false" dt2D="false" dtr="false" t="normal">HEX2DEC(L362)</f>
        <v>0</v>
      </c>
      <c r="M364" s="53" t="n">
        <f aca="false" ca="false" dt2D="false" dtr="false" t="normal">SUM(D364:L364)</f>
        <v>78</v>
      </c>
      <c r="N364" s="63" t="n"/>
      <c r="P364" s="136" t="n">
        <f aca="false" ca="false" dt2D="false" dtr="false" t="normal">MID(H358, 7, 1)</f>
        <v>0</v>
      </c>
      <c r="Q364" s="137" t="n">
        <f aca="false" ca="false" dt2D="false" dtr="false" t="normal">P364</f>
        <v>0</v>
      </c>
      <c r="R364" s="120" t="s">
        <v>206</v>
      </c>
      <c r="S364" s="131" t="s">
        <v>196</v>
      </c>
      <c r="T364" s="136" t="n">
        <f aca="false" ca="false" dt2D="false" dtr="false" t="normal">MID(I358, 7, 1)</f>
        <v>0</v>
      </c>
      <c r="U364" s="137" t="n">
        <f aca="false" ca="false" dt2D="false" dtr="false" t="normal">T364</f>
        <v>0</v>
      </c>
      <c r="V364" s="120" t="s">
        <v>206</v>
      </c>
      <c r="W364" s="139" t="s">
        <v>1576</v>
      </c>
      <c r="X364" s="4075" t="s"/>
      <c r="Y364" s="142" t="s"/>
      <c r="Z364" s="142" t="s"/>
      <c r="AA364" s="4076" t="s"/>
      <c r="AB364" s="4077" t="s"/>
      <c r="AC364" s="142" t="s"/>
      <c r="AD364" s="142" t="s"/>
      <c r="AE364" s="4078" t="s"/>
      <c r="AF364" s="136" t="n">
        <f aca="false" ca="false" dt2D="false" dtr="false" t="normal">MID(L358, 7, 1)</f>
        <v>0</v>
      </c>
      <c r="AG364" s="137" t="n">
        <f aca="false" ca="false" dt2D="false" dtr="false" t="normal">AF364</f>
        <v>0</v>
      </c>
      <c r="AH364" s="120" t="s">
        <v>206</v>
      </c>
      <c r="AI364" s="4079" t="s"/>
      <c r="AJ364" s="4080" t="s"/>
      <c r="AK364" s="4081" t="s"/>
    </row>
    <row hidden="false" ht="15.75" outlineLevel="0" r="365">
      <c r="C365" s="180" t="s">
        <v>194</v>
      </c>
      <c r="D365" s="299" t="n">
        <f aca="false" ca="false" dt2D="false" dtr="false" t="normal">D360</f>
        <v>7</v>
      </c>
      <c r="E365" s="299" t="n">
        <f aca="false" ca="false" dt2D="false" dtr="false" t="normal">E360</f>
        <v>20</v>
      </c>
      <c r="F365" s="299" t="str">
        <f aca="false" ca="false" dt2D="false" dtr="false" t="normal">F360</f>
        <v>G4</v>
      </c>
      <c r="G365" s="299" t="str">
        <f aca="false" ca="false" dt2D="false" dtr="false" t="normal">G360</f>
        <v>H7</v>
      </c>
      <c r="H365" s="45" t="n"/>
      <c r="I365" s="45" t="n"/>
      <c r="J365" s="45" t="n"/>
      <c r="K365" s="45" t="n"/>
      <c r="L365" s="45" t="n"/>
      <c r="M365" s="45" t="n"/>
      <c r="N365" s="49" t="n"/>
      <c r="P365" s="182" t="n">
        <f aca="false" ca="false" dt2D="false" dtr="false" t="normal">MID(H358, 8, 1)</f>
        <v>0</v>
      </c>
      <c r="Q365" s="183" t="n">
        <f aca="false" ca="false" dt2D="false" dtr="false" t="normal">P365</f>
        <v>0</v>
      </c>
      <c r="R365" s="184" t="s">
        <v>208</v>
      </c>
      <c r="S365" s="185" t="s">
        <v>196</v>
      </c>
      <c r="T365" s="182" t="n">
        <f aca="false" ca="false" dt2D="false" dtr="false" t="normal">MID(I358, 8, 1)</f>
        <v>0</v>
      </c>
      <c r="U365" s="183" t="n">
        <f aca="false" ca="false" dt2D="false" dtr="false" t="normal">T365</f>
        <v>0</v>
      </c>
      <c r="V365" s="184" t="s">
        <v>208</v>
      </c>
      <c r="W365" s="187" t="s">
        <v>1577</v>
      </c>
      <c r="X365" s="4082" t="s"/>
      <c r="Y365" s="4083" t="s"/>
      <c r="Z365" s="4084" t="s"/>
      <c r="AA365" s="4085" t="s"/>
      <c r="AB365" s="4086" t="s"/>
      <c r="AC365" s="4087" t="s"/>
      <c r="AD365" s="4088" t="s"/>
      <c r="AE365" s="4089" t="s"/>
      <c r="AF365" s="182" t="n">
        <f aca="false" ca="false" dt2D="false" dtr="false" t="normal">MID(L358, 8, 1)</f>
        <v>0</v>
      </c>
      <c r="AG365" s="183" t="n">
        <f aca="false" ca="false" dt2D="false" dtr="false" t="normal">AF365</f>
        <v>0</v>
      </c>
      <c r="AH365" s="184" t="s">
        <v>208</v>
      </c>
      <c r="AI365" s="4090" t="s"/>
      <c r="AJ365" s="4091" t="s"/>
      <c r="AK365" s="4092" t="s"/>
    </row>
    <row hidden="false" ht="15.75" outlineLevel="0" r="366">
      <c r="C366" s="93" t="n"/>
      <c r="D366" s="94" t="n"/>
      <c r="E366" s="94" t="n"/>
      <c r="F366" s="94" t="n"/>
      <c r="G366" s="94" t="n"/>
      <c r="H366" s="94" t="n"/>
      <c r="I366" s="94" t="n"/>
      <c r="J366" s="94" t="n"/>
      <c r="K366" s="94" t="n"/>
      <c r="L366" s="94" t="n"/>
      <c r="M366" s="94" t="s">
        <v>161</v>
      </c>
      <c r="N366" s="60" t="n"/>
      <c r="P366" s="95" t="str">
        <f aca="false" ca="false" dt2D="false" dtr="false" t="normal">RIGHT(D368, 1)&amp;E368&amp;"-"&amp;F368&amp;"-"&amp;G368</f>
        <v>720-04-24</v>
      </c>
      <c r="Q366" s="4093" t="s"/>
      <c r="R366" s="234" t="s">
        <v>1578</v>
      </c>
      <c r="S366" s="4094" t="s"/>
      <c r="T366" s="4095" t="s"/>
      <c r="U366" s="4096" t="s"/>
      <c r="V366" s="4097" t="s"/>
      <c r="W366" s="4098" t="s"/>
      <c r="X366" s="4099" t="s"/>
      <c r="Y366" s="4100" t="s"/>
      <c r="Z366" s="4101" t="s"/>
      <c r="AA366" s="4102" t="s"/>
      <c r="AB366" s="4103" t="s"/>
      <c r="AC366" s="4104" t="s"/>
      <c r="AD366" s="4105" t="s"/>
      <c r="AE366" s="4106" t="s"/>
      <c r="AF366" s="4107" t="s"/>
      <c r="AG366" s="4108" t="s"/>
      <c r="AH366" s="4109" t="s"/>
      <c r="AI366" s="4110" t="s"/>
      <c r="AJ366" s="4111" t="s"/>
      <c r="AK366" s="4112" t="s"/>
    </row>
    <row hidden="false" ht="15.75" outlineLevel="0" r="367">
      <c r="C367" s="98" t="n"/>
      <c r="D367" s="99" t="s">
        <v>1579</v>
      </c>
      <c r="E367" s="4113" t="s"/>
      <c r="F367" s="4114" t="s"/>
      <c r="G367" s="4115" t="s"/>
      <c r="H367" s="53" t="s">
        <v>165</v>
      </c>
      <c r="I367" s="53" t="s">
        <v>166</v>
      </c>
      <c r="J367" s="53" t="s">
        <v>167</v>
      </c>
      <c r="K367" s="53" t="s">
        <v>168</v>
      </c>
      <c r="L367" s="53" t="s">
        <v>169</v>
      </c>
      <c r="M367" s="53" t="s">
        <v>221</v>
      </c>
      <c r="N367" s="63" t="n"/>
      <c r="P367" s="103" t="s">
        <v>1580</v>
      </c>
      <c r="Q367" s="4116" t="s"/>
      <c r="R367" s="4117" t="s"/>
      <c r="S367" s="4118" t="s"/>
      <c r="T367" s="103" t="s">
        <v>1581</v>
      </c>
      <c r="U367" s="4119" t="s"/>
      <c r="V367" s="4120" t="s"/>
      <c r="W367" s="4121" t="s"/>
      <c r="X367" s="103" t="s">
        <v>1582</v>
      </c>
      <c r="Y367" s="4122" t="s"/>
      <c r="Z367" s="4123" t="s"/>
      <c r="AA367" s="4124" t="s"/>
      <c r="AB367" s="103" t="s">
        <v>1583</v>
      </c>
      <c r="AC367" s="4125" t="s"/>
      <c r="AD367" s="4126" t="s"/>
      <c r="AE367" s="4127" t="s"/>
      <c r="AF367" s="103" t="s">
        <v>1584</v>
      </c>
      <c r="AG367" s="4128" t="s"/>
      <c r="AH367" s="4129" t="s"/>
      <c r="AI367" s="4130" t="s"/>
      <c r="AJ367" s="116" t="s">
        <v>1585</v>
      </c>
      <c r="AK367" s="4131" t="s"/>
    </row>
    <row hidden="false" ht="15.75" outlineLevel="0" r="368">
      <c r="C368" s="98" t="s">
        <v>176</v>
      </c>
      <c r="D368" s="122" t="s">
        <v>177</v>
      </c>
      <c r="E368" s="123" t="s">
        <v>693</v>
      </c>
      <c r="F368" s="123" t="s">
        <v>342</v>
      </c>
      <c r="G368" s="124" t="s">
        <v>1586</v>
      </c>
      <c r="H368" s="164" t="n">
        <f aca="false" ca="false" dt2D="false" dtr="false" ref="H368:H368" t="array">MID(INDEX($A$3:$A$70, IF(ISNA(MATCH("720G4H8*", $A$3:$A$70, 0))=TRUE, MATCH("7200424*", $A$3:$A$70, 0), MATCH("720G4H8*", $A$3:$A$70, 0))), $AU$8, 2)</f>
        <v>0</v>
      </c>
      <c r="I368" s="1820" t="n">
        <f aca="false" ca="false" dt2D="false" dtr="false" ref="I368:I368" t="array">MID(INDEX($A$3:$A$70, IF(ISNA(MATCH("720G4H8*", $A$3:$A$70, 0))=TRUE, MATCH("7200424*", $A$3:$A$70, 0), MATCH("720G4H8*", $A$3:$A$70, 0))), $AV$8, 2)</f>
        <v>0</v>
      </c>
      <c r="J368" s="1820" t="n">
        <f aca="false" ca="false" dt2D="false" dtr="false" ref="J368:J368" t="array">MID(INDEX($A$3:$A$70, IF(ISNA(MATCH("720G4H8*", $A$3:$A$70, 0))=TRUE, MATCH("7200424*", $A$3:$A$70, 0), MATCH("720G4H8*", $A$3:$A$70, 0))), $AW$8, 2)</f>
        <v>0</v>
      </c>
      <c r="K368" s="1821" t="n">
        <f aca="false" ca="false" dt2D="false" dtr="false" ref="K368:K368" t="array">MID(INDEX($A$3:$A$70, IF(ISNA(MATCH("720G4H8*", $A$3:$A$70, 0))=TRUE, MATCH("7200424*", $A$3:$A$70, 0), MATCH("720G4H8*", $A$3:$A$70, 0))), $AX$8, 2)</f>
        <v>0</v>
      </c>
      <c r="L368" s="1821" t="n">
        <f aca="false" ca="false" dt2D="false" dtr="false" ref="L368:L368" t="array">MID(INDEX($A$3:$A$70, IF(ISNA(MATCH("720G4H8*", $A$3:$A$70, 0))=TRUE, MATCH("7200424*", $A$3:$A$70, 0), MATCH("720G4H8*", $A$3:$A$70, 0))), $AY$8, 2)</f>
        <v>0</v>
      </c>
      <c r="M368" s="218" t="str">
        <f aca="false" ca="false" dt2D="false" dtr="false" ref="M368:M368" t="array">MID(INDEX($A$3:$A$70, IF(ISNA(MATCH("720G4H8*", $A$3:$A$70, 0))=TRUE, MATCH("7200424*", $A$3:$A$70, 0), MATCH("720G4H8*", $A$3:$A$70, 0))), $AZ$8, 2)</f>
        <v>4F</v>
      </c>
      <c r="N368" s="63" t="s">
        <v>180</v>
      </c>
      <c r="P368" s="129" t="s">
        <v>180</v>
      </c>
      <c r="Q368" s="130" t="s">
        <v>181</v>
      </c>
      <c r="R368" s="121" t="s">
        <v>182</v>
      </c>
      <c r="S368" s="131" t="n"/>
      <c r="T368" s="129" t="s">
        <v>180</v>
      </c>
      <c r="U368" s="130" t="s">
        <v>181</v>
      </c>
      <c r="V368" s="121" t="s">
        <v>182</v>
      </c>
      <c r="W368" s="131" t="n"/>
      <c r="X368" s="129" t="s">
        <v>180</v>
      </c>
      <c r="Y368" s="130" t="s">
        <v>181</v>
      </c>
      <c r="Z368" s="121" t="s">
        <v>182</v>
      </c>
      <c r="AA368" s="131" t="n"/>
      <c r="AB368" s="129" t="s">
        <v>180</v>
      </c>
      <c r="AC368" s="130" t="s">
        <v>181</v>
      </c>
      <c r="AD368" s="121" t="s">
        <v>182</v>
      </c>
      <c r="AE368" s="131" t="n"/>
      <c r="AF368" s="129" t="s">
        <v>180</v>
      </c>
      <c r="AG368" s="130" t="s">
        <v>181</v>
      </c>
      <c r="AH368" s="121" t="s">
        <v>182</v>
      </c>
      <c r="AI368" s="121" t="n"/>
      <c r="AJ368" s="116" t="s">
        <v>183</v>
      </c>
      <c r="AK368" s="4132" t="s"/>
    </row>
    <row hidden="false" ht="15" outlineLevel="0" r="369">
      <c r="C369" s="98" t="s">
        <v>185</v>
      </c>
      <c r="D369" s="53" t="n">
        <f aca="false" ca="false" dt2D="false" dtr="false" t="normal">HEX2BIN(D368, 8)</f>
        <v>111</v>
      </c>
      <c r="E369" s="53" t="n">
        <f aca="false" ca="false" dt2D="false" dtr="false" t="normal">HEX2BIN(E368, 8)</f>
        <v>100000</v>
      </c>
      <c r="F369" s="53" t="n">
        <f aca="false" ca="false" dt2D="false" dtr="false" t="normal">HEX2BIN(F368, 8)</f>
        <v>100</v>
      </c>
      <c r="G369" s="53" t="n">
        <f aca="false" ca="false" dt2D="false" dtr="false" t="normal">HEX2BIN(G368, 8)</f>
        <v>100100</v>
      </c>
      <c r="H369" s="53" t="n">
        <f aca="false" ca="false" dt2D="false" dtr="false" t="normal">HEX2BIN(H368, 8)</f>
        <v>0</v>
      </c>
      <c r="I369" s="53" t="n">
        <f aca="false" ca="false" dt2D="false" dtr="false" t="normal">HEX2BIN(I368, 8)</f>
        <v>0</v>
      </c>
      <c r="J369" s="53" t="n">
        <f aca="false" ca="false" dt2D="false" dtr="false" t="normal">HEX2BIN(J368, 8)</f>
        <v>0</v>
      </c>
      <c r="K369" s="53" t="n">
        <f aca="false" ca="false" dt2D="false" dtr="false" t="normal">HEX2BIN(K368, 8)</f>
        <v>0</v>
      </c>
      <c r="L369" s="53" t="n">
        <f aca="false" ca="false" dt2D="false" dtr="false" t="normal">HEX2BIN(L368, 8)</f>
        <v>0</v>
      </c>
      <c r="N369" s="63" t="n"/>
      <c r="P369" s="136" t="n">
        <f aca="false" ca="false" dt2D="false" dtr="false" t="normal">MID(H369, 1, 1)</f>
        <v>0</v>
      </c>
      <c r="Q369" s="137" t="n">
        <f aca="false" ca="false" dt2D="false" dtr="false" t="normal">P369</f>
        <v>0</v>
      </c>
      <c r="R369" s="120" t="s">
        <v>186</v>
      </c>
      <c r="S369" s="139" t="s">
        <v>1587</v>
      </c>
      <c r="T369" s="136" t="n">
        <f aca="false" ca="false" dt2D="false" dtr="false" t="normal">MID(I369, 1, 1)</f>
        <v>0</v>
      </c>
      <c r="U369" s="137" t="n">
        <f aca="false" ca="false" dt2D="false" dtr="false" t="normal">T369</f>
        <v>0</v>
      </c>
      <c r="V369" s="120" t="s">
        <v>186</v>
      </c>
      <c r="W369" s="139" t="s">
        <v>1588</v>
      </c>
      <c r="X369" s="136" t="n">
        <f aca="false" ca="false" dt2D="false" dtr="false" t="normal">MID(J369, 1, 1)</f>
        <v>0</v>
      </c>
      <c r="Y369" s="137" t="n">
        <f aca="false" ca="false" dt2D="false" dtr="false" t="normal">X369</f>
        <v>0</v>
      </c>
      <c r="Z369" s="120" t="s">
        <v>186</v>
      </c>
      <c r="AA369" s="139" t="s">
        <v>1589</v>
      </c>
      <c r="AB369" s="136" t="n">
        <f aca="false" ca="false" dt2D="false" dtr="false" t="normal">MID(K369, 1, 1)</f>
        <v>0</v>
      </c>
      <c r="AC369" s="137" t="n">
        <f aca="false" ca="false" dt2D="false" dtr="false" t="normal">AB369</f>
        <v>0</v>
      </c>
      <c r="AD369" s="120" t="s">
        <v>186</v>
      </c>
      <c r="AE369" s="139" t="s">
        <v>1590</v>
      </c>
      <c r="AF369" s="136" t="n">
        <f aca="false" ca="false" dt2D="false" dtr="false" t="normal">MID(L369, 1, 1)</f>
        <v>0</v>
      </c>
      <c r="AG369" s="137" t="n">
        <f aca="false" ca="false" dt2D="false" dtr="false" t="normal">AF369</f>
        <v>0</v>
      </c>
      <c r="AH369" s="120" t="s">
        <v>186</v>
      </c>
      <c r="AI369" s="139" t="s">
        <v>1591</v>
      </c>
      <c r="AJ369" s="4133" t="s"/>
      <c r="AK369" s="4134" t="s"/>
    </row>
    <row customHeight="true" hidden="false" ht="15" outlineLevel="0" r="370">
      <c r="C370" s="98" t="s">
        <v>191</v>
      </c>
      <c r="D370" s="53" t="n">
        <f aca="false" ca="false" dt2D="false" dtr="false" t="normal">HEX2DEC(D368)</f>
        <v>7</v>
      </c>
      <c r="E370" s="53" t="n">
        <f aca="false" ca="false" dt2D="false" dtr="false" t="normal">HEX2DEC(E368)</f>
        <v>32</v>
      </c>
      <c r="F370" s="53" t="n">
        <f aca="false" ca="false" dt2D="false" dtr="false" t="normal">HEX2DEC(F368)</f>
        <v>4</v>
      </c>
      <c r="G370" s="53" t="n">
        <f aca="false" ca="false" dt2D="false" dtr="false" t="normal">HEX2DEC(G368)</f>
        <v>36</v>
      </c>
      <c r="H370" s="53" t="n">
        <f aca="false" ca="false" dt2D="false" dtr="false" t="normal">HEX2DEC(H368)</f>
        <v>0</v>
      </c>
      <c r="I370" s="53" t="n">
        <f aca="false" ca="false" dt2D="false" dtr="false" t="normal">HEX2DEC(I368)</f>
        <v>0</v>
      </c>
      <c r="J370" s="53" t="n">
        <f aca="false" ca="false" dt2D="false" dtr="false" t="normal">HEX2DEC(J368)</f>
        <v>0</v>
      </c>
      <c r="K370" s="53" t="n">
        <f aca="false" ca="false" dt2D="false" dtr="false" t="normal">HEX2DEC(K368)</f>
        <v>0</v>
      </c>
      <c r="L370" s="53" t="n">
        <f aca="false" ca="false" dt2D="false" dtr="false" t="normal">HEX2DEC(L368)</f>
        <v>0</v>
      </c>
      <c r="M370" s="53" t="n">
        <f aca="false" ca="false" dt2D="false" dtr="false" t="normal">SUM(D370:L370)</f>
        <v>79</v>
      </c>
      <c r="N370" s="63" t="n"/>
      <c r="P370" s="136" t="n">
        <f aca="false" ca="false" dt2D="false" dtr="false" t="normal">MID(H369, 2, 1)</f>
        <v>0</v>
      </c>
      <c r="Q370" s="137" t="n">
        <f aca="false" ca="false" dt2D="false" dtr="false" t="normal">P370</f>
        <v>0</v>
      </c>
      <c r="R370" s="120" t="s">
        <v>192</v>
      </c>
      <c r="S370" s="139" t="s">
        <v>1592</v>
      </c>
      <c r="T370" s="136" t="n">
        <f aca="false" ca="false" dt2D="false" dtr="false" t="normal">MID(I369, 2, 1)</f>
        <v>0</v>
      </c>
      <c r="U370" s="137" t="n">
        <f aca="false" ca="false" dt2D="false" dtr="false" t="normal">T370</f>
        <v>0</v>
      </c>
      <c r="V370" s="120" t="s">
        <v>192</v>
      </c>
      <c r="W370" s="139" t="s">
        <v>1593</v>
      </c>
      <c r="X370" s="136" t="n">
        <f aca="false" ca="false" dt2D="false" dtr="false" t="normal">MID(J369, 2, 1)</f>
        <v>0</v>
      </c>
      <c r="Y370" s="137" t="n">
        <f aca="false" ca="false" dt2D="false" dtr="false" t="normal">X370</f>
        <v>0</v>
      </c>
      <c r="Z370" s="120" t="s">
        <v>192</v>
      </c>
      <c r="AA370" s="635" t="s">
        <v>1594</v>
      </c>
      <c r="AB370" s="136" t="n">
        <f aca="false" ca="false" dt2D="false" dtr="false" t="normal">MID(K369, 2, 1)</f>
        <v>0</v>
      </c>
      <c r="AC370" s="137" t="n">
        <f aca="false" ca="false" dt2D="false" dtr="false" t="normal">AB370</f>
        <v>0</v>
      </c>
      <c r="AD370" s="120" t="s">
        <v>192</v>
      </c>
      <c r="AE370" s="139" t="s">
        <v>1595</v>
      </c>
      <c r="AF370" s="136" t="n">
        <f aca="false" ca="false" dt2D="false" dtr="false" t="normal">MID(L369, 2, 1)</f>
        <v>0</v>
      </c>
      <c r="AG370" s="137" t="n">
        <f aca="false" ca="false" dt2D="false" dtr="false" t="normal">AF370</f>
        <v>0</v>
      </c>
      <c r="AH370" s="120" t="s">
        <v>192</v>
      </c>
      <c r="AI370" s="139" t="s">
        <v>1596</v>
      </c>
      <c r="AJ370" s="4135" t="s"/>
      <c r="AK370" s="4136" t="s"/>
    </row>
    <row hidden="false" ht="15" outlineLevel="0" r="371">
      <c r="C371" s="98" t="s">
        <v>194</v>
      </c>
      <c r="D371" s="149" t="n">
        <f aca="false" ca="false" dt2D="false" dtr="false" t="normal">D368</f>
        <v>7</v>
      </c>
      <c r="E371" s="149" t="n">
        <f aca="false" ca="false" dt2D="false" dtr="false" t="normal">E368</f>
        <v>20</v>
      </c>
      <c r="F371" s="53" t="str">
        <f aca="false" ca="false" dt2D="false" dtr="false" t="normal">MID(INDEX($A$3:$A$70, IF(ISNA(MATCH("720G4H8*", $A$3:$A$70, 0))=TRUE, MATCH("7200424*", $A$3:$A$70, 0), MATCH("720G4H8*", $A$3:$A$70, 0))), $AS$8, 2)</f>
        <v>G4</v>
      </c>
      <c r="G371" s="53" t="str">
        <f aca="false" ca="false" dt2D="false" dtr="false" t="normal">MID(INDEX($A$3:$A$70, IF(ISNA(MATCH("720G4H8*", $A$3:$A$70, 0))=TRUE, MATCH("7200424*", $A$3:$A$70, 0), MATCH("720G4H8*", $A$3:$A$70, 0))), $AT$8, 2)</f>
        <v>H8</v>
      </c>
      <c r="N371" s="63" t="n"/>
      <c r="P371" s="136" t="n">
        <f aca="false" ca="false" dt2D="false" dtr="false" t="normal">MID(H369, 3, 1)</f>
        <v>0</v>
      </c>
      <c r="Q371" s="137" t="n">
        <f aca="false" ca="false" dt2D="false" dtr="false" t="normal">P371</f>
        <v>0</v>
      </c>
      <c r="R371" s="120" t="s">
        <v>195</v>
      </c>
      <c r="S371" s="139" t="s">
        <v>468</v>
      </c>
      <c r="T371" s="136" t="n">
        <f aca="false" ca="false" dt2D="false" dtr="false" t="normal">MID(I369, 3, 1)</f>
        <v>0</v>
      </c>
      <c r="U371" s="137" t="n">
        <f aca="false" ca="false" dt2D="false" dtr="false" t="normal">T371</f>
        <v>0</v>
      </c>
      <c r="V371" s="120" t="s">
        <v>195</v>
      </c>
      <c r="W371" s="139" t="s">
        <v>1597</v>
      </c>
      <c r="X371" s="136" t="n">
        <f aca="false" ca="false" dt2D="false" dtr="false" t="normal">MID(J369, 3, 1)</f>
        <v>0</v>
      </c>
      <c r="Y371" s="137" t="n">
        <f aca="false" ca="false" dt2D="false" dtr="false" t="normal">X371</f>
        <v>0</v>
      </c>
      <c r="Z371" s="120" t="s">
        <v>195</v>
      </c>
      <c r="AA371" s="4137" t="s"/>
      <c r="AB371" s="136" t="n">
        <f aca="false" ca="false" dt2D="false" dtr="false" t="normal">MID(K369, 3, 1)</f>
        <v>0</v>
      </c>
      <c r="AC371" s="137" t="n">
        <f aca="false" ca="false" dt2D="false" dtr="false" t="normal">AB371</f>
        <v>0</v>
      </c>
      <c r="AD371" s="120" t="s">
        <v>195</v>
      </c>
      <c r="AE371" s="139" t="s">
        <v>1598</v>
      </c>
      <c r="AF371" s="136" t="n">
        <f aca="false" ca="false" dt2D="false" dtr="false" t="normal">MID(L369, 3, 1)</f>
        <v>0</v>
      </c>
      <c r="AG371" s="137" t="n">
        <f aca="false" ca="false" dt2D="false" dtr="false" t="normal">AF371</f>
        <v>0</v>
      </c>
      <c r="AH371" s="120" t="s">
        <v>195</v>
      </c>
      <c r="AI371" s="139" t="s">
        <v>1599</v>
      </c>
      <c r="AJ371" s="4138" t="s"/>
      <c r="AK371" s="4139" t="s"/>
    </row>
    <row hidden="false" ht="15.75" outlineLevel="0" r="372">
      <c r="C372" s="98" t="n"/>
      <c r="N372" s="63" t="n"/>
      <c r="P372" s="136" t="n">
        <f aca="false" ca="false" dt2D="false" dtr="false" t="normal">MID(H369, 4, 1)</f>
        <v>0</v>
      </c>
      <c r="Q372" s="137" t="n">
        <f aca="false" ca="false" dt2D="false" dtr="false" t="normal">P372</f>
        <v>0</v>
      </c>
      <c r="R372" s="120" t="s">
        <v>197</v>
      </c>
      <c r="S372" s="139" t="s">
        <v>1600</v>
      </c>
      <c r="T372" s="136" t="n">
        <f aca="false" ca="false" dt2D="false" dtr="false" t="normal">MID(I369, 4, 1)</f>
        <v>0</v>
      </c>
      <c r="U372" s="137" t="n">
        <f aca="false" ca="false" dt2D="false" dtr="false" t="normal">T372</f>
        <v>0</v>
      </c>
      <c r="V372" s="120" t="s">
        <v>197</v>
      </c>
      <c r="W372" s="139" t="s">
        <v>1601</v>
      </c>
      <c r="X372" s="136" t="n">
        <f aca="false" ca="false" dt2D="false" dtr="false" t="normal">MID(J369, 4, 1)</f>
        <v>0</v>
      </c>
      <c r="Y372" s="137" t="n">
        <f aca="false" ca="false" dt2D="false" dtr="false" t="normal">X372</f>
        <v>0</v>
      </c>
      <c r="Z372" s="120" t="s">
        <v>197</v>
      </c>
      <c r="AA372" s="4140" t="s"/>
      <c r="AB372" s="136" t="n">
        <f aca="false" ca="false" dt2D="false" dtr="false" t="normal">MID(K369, 4, 1)</f>
        <v>0</v>
      </c>
      <c r="AC372" s="137" t="n">
        <f aca="false" ca="false" dt2D="false" dtr="false" t="normal">AB372</f>
        <v>0</v>
      </c>
      <c r="AD372" s="120" t="s">
        <v>197</v>
      </c>
      <c r="AE372" s="289" t="s">
        <v>1602</v>
      </c>
      <c r="AF372" s="136" t="n">
        <f aca="false" ca="false" dt2D="false" dtr="false" t="normal">MID(L369, 4, 1)</f>
        <v>0</v>
      </c>
      <c r="AG372" s="137" t="n">
        <f aca="false" ca="false" dt2D="false" dtr="false" t="normal">AF372</f>
        <v>0</v>
      </c>
      <c r="AH372" s="120" t="s">
        <v>197</v>
      </c>
      <c r="AI372" s="139" t="s">
        <v>1603</v>
      </c>
      <c r="AJ372" s="4141" t="s"/>
      <c r="AK372" s="4142" t="s"/>
    </row>
    <row hidden="false" ht="15.75" outlineLevel="0" r="373">
      <c r="C373" s="98" t="s">
        <v>176</v>
      </c>
      <c r="D373" s="159" t="n">
        <f aca="false" ca="false" dt2D="false" dtr="false" t="normal">D368</f>
        <v>7</v>
      </c>
      <c r="E373" s="160" t="n">
        <f aca="false" ca="false" dt2D="false" dtr="false" t="normal">E368</f>
        <v>20</v>
      </c>
      <c r="F373" s="160" t="n">
        <f aca="false" ca="false" dt2D="false" dtr="false" t="normal">F368</f>
        <v>4</v>
      </c>
      <c r="G373" s="161" t="n">
        <f aca="false" ca="false" dt2D="false" dtr="false" t="normal">G368</f>
        <v>24</v>
      </c>
      <c r="H373" s="162" t="n">
        <f aca="false" ca="false" dt2D="false" dtr="false" t="normal">BIN2HEX(H374, 2)</f>
        <v>0</v>
      </c>
      <c r="I373" s="163" t="n">
        <f aca="false" ca="false" dt2D="false" dtr="false" t="normal">BIN2HEX(I374, 2)</f>
        <v>0</v>
      </c>
      <c r="J373" s="164" t="n">
        <f aca="false" ca="false" dt2D="false" dtr="false" t="normal">BIN2HEX(J374, 2)</f>
        <v>0</v>
      </c>
      <c r="K373" s="165" t="n">
        <f aca="false" ca="false" dt2D="false" dtr="false" t="normal">BIN2HEX(K374, 2)</f>
        <v>0</v>
      </c>
      <c r="L373" s="288" t="n">
        <f aca="false" ca="false" dt2D="false" dtr="false" t="normal">BIN2HEX(L374, 2)</f>
        <v>0</v>
      </c>
      <c r="M373" s="166" t="str">
        <f aca="false" ca="false" dt2D="false" dtr="false" t="normal">IF(LEN(M374)&gt;2, MID(M374, 2, 2), M374)</f>
        <v>4F</v>
      </c>
      <c r="N373" s="63" t="s">
        <v>181</v>
      </c>
      <c r="P373" s="136" t="n">
        <f aca="false" ca="false" dt2D="false" dtr="false" t="normal">MID(H369, 5, 1)</f>
        <v>0</v>
      </c>
      <c r="Q373" s="137" t="n">
        <f aca="false" ca="false" dt2D="false" dtr="false" t="normal">P373</f>
        <v>0</v>
      </c>
      <c r="R373" s="120" t="s">
        <v>200</v>
      </c>
      <c r="S373" s="139" t="s">
        <v>1604</v>
      </c>
      <c r="T373" s="136" t="n">
        <f aca="false" ca="false" dt2D="false" dtr="false" t="normal">MID(I369, 5, 1)</f>
        <v>0</v>
      </c>
      <c r="U373" s="137" t="n">
        <f aca="false" ca="false" dt2D="false" dtr="false" t="normal">T373</f>
        <v>0</v>
      </c>
      <c r="V373" s="120" t="s">
        <v>200</v>
      </c>
      <c r="W373" s="139" t="s">
        <v>1605</v>
      </c>
      <c r="X373" s="136" t="n">
        <f aca="false" ca="false" dt2D="false" dtr="false" t="normal">MID(J369, 5, 1)</f>
        <v>0</v>
      </c>
      <c r="Y373" s="137" t="n">
        <f aca="false" ca="false" dt2D="false" dtr="false" t="normal">X373</f>
        <v>0</v>
      </c>
      <c r="Z373" s="120" t="s">
        <v>200</v>
      </c>
      <c r="AA373" s="139" t="s">
        <v>984</v>
      </c>
      <c r="AB373" s="136" t="n">
        <f aca="false" ca="false" dt2D="false" dtr="false" t="normal">MID(K369, 5, 1)</f>
        <v>0</v>
      </c>
      <c r="AC373" s="137" t="n">
        <f aca="false" ca="false" dt2D="false" dtr="false" t="normal">AB373</f>
        <v>0</v>
      </c>
      <c r="AD373" s="120" t="s">
        <v>200</v>
      </c>
      <c r="AE373" s="139" t="s">
        <v>468</v>
      </c>
      <c r="AF373" s="136" t="n">
        <f aca="false" ca="false" dt2D="false" dtr="false" t="normal">MID(L369, 5, 1)</f>
        <v>0</v>
      </c>
      <c r="AG373" s="137" t="n">
        <f aca="false" ca="false" dt2D="false" dtr="false" t="normal">AF373</f>
        <v>0</v>
      </c>
      <c r="AH373" s="120" t="s">
        <v>200</v>
      </c>
      <c r="AI373" s="139" t="s">
        <v>984</v>
      </c>
      <c r="AJ373" s="4143" t="s"/>
      <c r="AK373" s="4144" t="s"/>
    </row>
    <row hidden="false" ht="15" outlineLevel="0" r="374">
      <c r="C374" s="98" t="s">
        <v>185</v>
      </c>
      <c r="D374" s="53" t="n">
        <f aca="false" ca="false" dt2D="false" dtr="false" t="normal">HEX2BIN(D373, 8)</f>
        <v>111</v>
      </c>
      <c r="E374" s="53" t="n">
        <f aca="false" ca="false" dt2D="false" dtr="false" t="normal">HEX2BIN(E373, 8)</f>
        <v>100000</v>
      </c>
      <c r="F374" s="53" t="n">
        <f aca="false" ca="false" dt2D="false" dtr="false" t="normal">HEX2BIN(F373, 8)</f>
        <v>100</v>
      </c>
      <c r="G374" s="53" t="n">
        <f aca="false" ca="false" dt2D="false" dtr="false" t="normal">HEX2BIN(G373, 8)</f>
        <v>100100</v>
      </c>
      <c r="H374" s="171" t="n">
        <f aca="false" ca="false" dt2D="false" dtr="false" t="normal">Q369&amp;Q370&amp;Q371&amp;Q372&amp;Q373&amp;Q374&amp;Q375&amp;Q376</f>
        <v>0</v>
      </c>
      <c r="I374" s="53" t="n">
        <f aca="false" ca="false" dt2D="false" dtr="false" t="normal">U369&amp;U370&amp;U371&amp;U372&amp;U373&amp;U374&amp;U375&amp;U376</f>
        <v>0</v>
      </c>
      <c r="J374" s="171" t="n">
        <f aca="false" ca="false" dt2D="false" dtr="false" t="normal">Y369&amp;Y370&amp;Y371&amp;Y372&amp;Y373&amp;Y374&amp;Y375&amp;Y376</f>
        <v>0</v>
      </c>
      <c r="K374" s="171" t="n">
        <f aca="false" ca="false" dt2D="false" dtr="false" t="normal">AC369&amp;AC370&amp;AC371&amp;AC372&amp;AC373&amp;AC374&amp;AC375&amp;AC376</f>
        <v>0</v>
      </c>
      <c r="L374" s="53" t="n">
        <f aca="false" ca="false" dt2D="false" dtr="false" t="normal">AG369&amp;AG370&amp;AG371&amp;AG372&amp;AG373&amp;AG374&amp;AG375&amp;AG376</f>
        <v>0</v>
      </c>
      <c r="M374" s="53" t="str">
        <f aca="false" ca="false" dt2D="false" dtr="false" t="normal">DEC2HEX(M375)</f>
        <v>4F</v>
      </c>
      <c r="N374" s="63" t="n"/>
      <c r="P374" s="136" t="n">
        <f aca="false" ca="false" dt2D="false" dtr="false" t="normal">MID(H369, 6, 1)</f>
        <v>0</v>
      </c>
      <c r="Q374" s="137" t="n">
        <f aca="false" ca="false" dt2D="false" dtr="false" t="normal">P374</f>
        <v>0</v>
      </c>
      <c r="R374" s="120" t="s">
        <v>203</v>
      </c>
      <c r="S374" s="139" t="s">
        <v>468</v>
      </c>
      <c r="T374" s="136" t="n">
        <f aca="false" ca="false" dt2D="false" dtr="false" t="normal">MID(I369, 6, 1)</f>
        <v>0</v>
      </c>
      <c r="U374" s="137" t="n">
        <f aca="false" ca="false" dt2D="false" dtr="false" t="normal">T374</f>
        <v>0</v>
      </c>
      <c r="V374" s="120" t="s">
        <v>203</v>
      </c>
      <c r="W374" s="139" t="s">
        <v>984</v>
      </c>
      <c r="X374" s="136" t="n">
        <f aca="false" ca="false" dt2D="false" dtr="false" t="normal">MID(J369, 6, 1)</f>
        <v>0</v>
      </c>
      <c r="Y374" s="137" t="n">
        <f aca="false" ca="false" dt2D="false" dtr="false" t="normal">X374</f>
        <v>0</v>
      </c>
      <c r="Z374" s="120" t="s">
        <v>203</v>
      </c>
      <c r="AA374" s="139" t="s">
        <v>468</v>
      </c>
      <c r="AB374" s="136" t="n">
        <f aca="false" ca="false" dt2D="false" dtr="false" t="normal">MID(K369, 6, 1)</f>
        <v>0</v>
      </c>
      <c r="AC374" s="137" t="n">
        <f aca="false" ca="false" dt2D="false" dtr="false" t="normal">AB374</f>
        <v>0</v>
      </c>
      <c r="AD374" s="120" t="s">
        <v>203</v>
      </c>
      <c r="AE374" s="139" t="s">
        <v>984</v>
      </c>
      <c r="AF374" s="136" t="n">
        <f aca="false" ca="false" dt2D="false" dtr="false" t="normal">MID(L369, 6, 1)</f>
        <v>0</v>
      </c>
      <c r="AG374" s="137" t="n">
        <f aca="false" ca="false" dt2D="false" dtr="false" t="normal">AF374</f>
        <v>0</v>
      </c>
      <c r="AH374" s="120" t="s">
        <v>203</v>
      </c>
      <c r="AI374" s="139" t="s">
        <v>468</v>
      </c>
      <c r="AJ374" s="4145" t="s"/>
      <c r="AK374" s="4146" t="s"/>
    </row>
    <row hidden="false" ht="15" outlineLevel="0" r="375">
      <c r="C375" s="98" t="s">
        <v>191</v>
      </c>
      <c r="D375" s="53" t="n">
        <f aca="false" ca="false" dt2D="false" dtr="false" t="normal">HEX2DEC(D373)</f>
        <v>7</v>
      </c>
      <c r="E375" s="53" t="n">
        <f aca="false" ca="false" dt2D="false" dtr="false" t="normal">HEX2DEC(E373)</f>
        <v>32</v>
      </c>
      <c r="F375" s="53" t="n">
        <f aca="false" ca="false" dt2D="false" dtr="false" t="normal">HEX2DEC(F373)</f>
        <v>4</v>
      </c>
      <c r="G375" s="53" t="n">
        <f aca="false" ca="false" dt2D="false" dtr="false" t="normal">HEX2DEC(G373)</f>
        <v>36</v>
      </c>
      <c r="H375" s="53" t="n">
        <f aca="false" ca="false" dt2D="false" dtr="false" t="normal">HEX2DEC(H373)</f>
        <v>0</v>
      </c>
      <c r="I375" s="53" t="n">
        <f aca="false" ca="false" dt2D="false" dtr="false" t="normal">HEX2DEC(I373)</f>
        <v>0</v>
      </c>
      <c r="J375" s="53" t="n">
        <f aca="false" ca="false" dt2D="false" dtr="false" t="normal">HEX2DEC(J373)</f>
        <v>0</v>
      </c>
      <c r="K375" s="53" t="n">
        <f aca="false" ca="false" dt2D="false" dtr="false" t="normal">HEX2DEC(K373)</f>
        <v>0</v>
      </c>
      <c r="L375" s="53" t="n">
        <f aca="false" ca="false" dt2D="false" dtr="false" t="normal">HEX2DEC(L373)</f>
        <v>0</v>
      </c>
      <c r="M375" s="53" t="n">
        <f aca="false" ca="false" dt2D="false" dtr="false" t="normal">SUM(D375:L375)</f>
        <v>79</v>
      </c>
      <c r="N375" s="63" t="n"/>
      <c r="P375" s="136" t="n">
        <f aca="false" ca="false" dt2D="false" dtr="false" t="normal">MID(H369, 7, 1)</f>
        <v>0</v>
      </c>
      <c r="Q375" s="137" t="n">
        <f aca="false" ca="false" dt2D="false" dtr="false" t="normal">P375</f>
        <v>0</v>
      </c>
      <c r="R375" s="120" t="s">
        <v>206</v>
      </c>
      <c r="S375" s="139" t="s">
        <v>984</v>
      </c>
      <c r="T375" s="136" t="n">
        <f aca="false" ca="false" dt2D="false" dtr="false" t="normal">MID(I369, 7, 1)</f>
        <v>0</v>
      </c>
      <c r="U375" s="137" t="n">
        <f aca="false" ca="false" dt2D="false" dtr="false" t="normal">T375</f>
        <v>0</v>
      </c>
      <c r="V375" s="120" t="s">
        <v>206</v>
      </c>
      <c r="W375" s="139" t="s">
        <v>468</v>
      </c>
      <c r="X375" s="136" t="n">
        <f aca="false" ca="false" dt2D="false" dtr="false" t="normal">MID(J369, 7, 1)</f>
        <v>0</v>
      </c>
      <c r="Y375" s="137" t="n">
        <f aca="false" ca="false" dt2D="false" dtr="false" t="normal">X375</f>
        <v>0</v>
      </c>
      <c r="Z375" s="120" t="s">
        <v>206</v>
      </c>
      <c r="AA375" s="139" t="s">
        <v>984</v>
      </c>
      <c r="AB375" s="136" t="n">
        <f aca="false" ca="false" dt2D="false" dtr="false" t="normal">MID(K369, 7, 1)</f>
        <v>0</v>
      </c>
      <c r="AC375" s="137" t="n">
        <f aca="false" ca="false" dt2D="false" dtr="false" t="normal">AB375</f>
        <v>0</v>
      </c>
      <c r="AD375" s="120" t="s">
        <v>206</v>
      </c>
      <c r="AE375" s="139" t="s">
        <v>468</v>
      </c>
      <c r="AF375" s="136" t="n">
        <f aca="false" ca="false" dt2D="false" dtr="false" t="normal">MID(L369, 7, 1)</f>
        <v>0</v>
      </c>
      <c r="AG375" s="137" t="n">
        <f aca="false" ca="false" dt2D="false" dtr="false" t="normal">AF375</f>
        <v>0</v>
      </c>
      <c r="AH375" s="120" t="s">
        <v>206</v>
      </c>
      <c r="AI375" s="139" t="s">
        <v>984</v>
      </c>
      <c r="AJ375" s="4147" t="s"/>
      <c r="AK375" s="4148" t="s"/>
    </row>
    <row hidden="false" ht="15.75" outlineLevel="0" r="376">
      <c r="C376" s="180" t="s">
        <v>194</v>
      </c>
      <c r="D376" s="299" t="n">
        <f aca="false" ca="false" dt2D="false" dtr="false" t="normal">D371</f>
        <v>7</v>
      </c>
      <c r="E376" s="299" t="n">
        <f aca="false" ca="false" dt2D="false" dtr="false" t="normal">E371</f>
        <v>20</v>
      </c>
      <c r="F376" s="299" t="str">
        <f aca="false" ca="false" dt2D="false" dtr="false" t="normal">F371</f>
        <v>G4</v>
      </c>
      <c r="G376" s="299" t="str">
        <f aca="false" ca="false" dt2D="false" dtr="false" t="normal">G371</f>
        <v>H8</v>
      </c>
      <c r="H376" s="45" t="n"/>
      <c r="I376" s="45" t="n"/>
      <c r="J376" s="45" t="n"/>
      <c r="K376" s="45" t="n"/>
      <c r="L376" s="45" t="n"/>
      <c r="M376" s="45" t="n"/>
      <c r="N376" s="49" t="n"/>
      <c r="P376" s="182" t="n">
        <f aca="false" ca="false" dt2D="false" dtr="false" t="normal">MID(H369, 8, 1)</f>
        <v>0</v>
      </c>
      <c r="Q376" s="183" t="n">
        <f aca="false" ca="false" dt2D="false" dtr="false" t="normal">P376</f>
        <v>0</v>
      </c>
      <c r="R376" s="184" t="s">
        <v>208</v>
      </c>
      <c r="S376" s="187" t="s">
        <v>468</v>
      </c>
      <c r="T376" s="182" t="n">
        <f aca="false" ca="false" dt2D="false" dtr="false" t="normal">MID(I369, 8, 1)</f>
        <v>0</v>
      </c>
      <c r="U376" s="183" t="n">
        <f aca="false" ca="false" dt2D="false" dtr="false" t="normal">T376</f>
        <v>0</v>
      </c>
      <c r="V376" s="184" t="s">
        <v>208</v>
      </c>
      <c r="W376" s="187" t="s">
        <v>984</v>
      </c>
      <c r="X376" s="182" t="n">
        <f aca="false" ca="false" dt2D="false" dtr="false" t="normal">MID(J369, 8, 1)</f>
        <v>0</v>
      </c>
      <c r="Y376" s="183" t="n">
        <f aca="false" ca="false" dt2D="false" dtr="false" t="normal">X376</f>
        <v>0</v>
      </c>
      <c r="Z376" s="184" t="s">
        <v>208</v>
      </c>
      <c r="AA376" s="1219" t="s">
        <v>1606</v>
      </c>
      <c r="AB376" s="182" t="n">
        <f aca="false" ca="false" dt2D="false" dtr="false" t="normal">MID(K369, 8, 1)</f>
        <v>0</v>
      </c>
      <c r="AC376" s="183" t="n">
        <f aca="false" ca="false" dt2D="false" dtr="false" t="normal">AB376</f>
        <v>0</v>
      </c>
      <c r="AD376" s="184" t="s">
        <v>208</v>
      </c>
      <c r="AE376" s="187" t="s">
        <v>468</v>
      </c>
      <c r="AF376" s="182" t="n">
        <f aca="false" ca="false" dt2D="false" dtr="false" t="normal">MID(L369, 8, 1)</f>
        <v>0</v>
      </c>
      <c r="AG376" s="183" t="n">
        <f aca="false" ca="false" dt2D="false" dtr="false" t="normal">AF376</f>
        <v>0</v>
      </c>
      <c r="AH376" s="184" t="s">
        <v>208</v>
      </c>
      <c r="AI376" s="187" t="s">
        <v>984</v>
      </c>
      <c r="AJ376" s="4149" t="s"/>
      <c r="AK376" s="4150" t="s"/>
    </row>
    <row hidden="false" ht="15.75" outlineLevel="0" r="377">
      <c r="C377" s="93" t="n"/>
      <c r="D377" s="94" t="n"/>
      <c r="E377" s="94" t="n"/>
      <c r="F377" s="94" t="n"/>
      <c r="G377" s="94" t="n"/>
      <c r="H377" s="94" t="n"/>
      <c r="I377" s="94" t="n"/>
      <c r="J377" s="94" t="n"/>
      <c r="K377" s="94" t="n"/>
      <c r="L377" s="94" t="n"/>
      <c r="M377" s="94" t="s">
        <v>161</v>
      </c>
      <c r="N377" s="60" t="n"/>
      <c r="P377" s="95" t="str">
        <f aca="false" ca="false" dt2D="false" dtr="false" t="normal">RIGHT(D379, 1)&amp;E379&amp;"-"&amp;F379&amp;"-"&amp;G379</f>
        <v>720-04-25</v>
      </c>
      <c r="Q377" s="4151" t="s"/>
      <c r="R377" s="234" t="s">
        <v>1607</v>
      </c>
      <c r="S377" s="4152" t="s"/>
      <c r="T377" s="4153" t="s"/>
      <c r="U377" s="4154" t="s"/>
      <c r="V377" s="4155" t="s"/>
      <c r="W377" s="4156" t="s"/>
      <c r="X377" s="4157" t="s"/>
      <c r="Y377" s="4158" t="s"/>
      <c r="Z377" s="4159" t="s"/>
      <c r="AA377" s="4160" t="s"/>
      <c r="AB377" s="4161" t="s"/>
      <c r="AC377" s="4162" t="s"/>
      <c r="AD377" s="4163" t="s"/>
      <c r="AE377" s="4164" t="s"/>
      <c r="AF377" s="4165" t="s"/>
      <c r="AG377" s="4166" t="s"/>
      <c r="AH377" s="4167" t="s"/>
      <c r="AI377" s="4168" t="s"/>
      <c r="AJ377" s="4169" t="s"/>
      <c r="AK377" s="4170" t="s"/>
    </row>
    <row hidden="false" ht="15.75" outlineLevel="0" r="378">
      <c r="C378" s="98" t="n"/>
      <c r="D378" s="99" t="s">
        <v>1608</v>
      </c>
      <c r="E378" s="4171" t="s"/>
      <c r="F378" s="4172" t="s"/>
      <c r="G378" s="4173" t="s"/>
      <c r="H378" s="53" t="s">
        <v>165</v>
      </c>
      <c r="I378" s="53" t="s">
        <v>166</v>
      </c>
      <c r="J378" s="53" t="s">
        <v>167</v>
      </c>
      <c r="K378" s="53" t="s">
        <v>168</v>
      </c>
      <c r="L378" s="53" t="s">
        <v>169</v>
      </c>
      <c r="M378" s="53" t="s">
        <v>221</v>
      </c>
      <c r="N378" s="63" t="n"/>
      <c r="P378" s="116" t="s">
        <v>1609</v>
      </c>
      <c r="Q378" s="4174" t="s"/>
      <c r="R378" s="4175" t="s"/>
      <c r="S378" s="4176" t="s"/>
      <c r="T378" s="116" t="s">
        <v>1610</v>
      </c>
      <c r="U378" s="4177" t="s"/>
      <c r="V378" s="4178" t="s"/>
      <c r="W378" s="4179" t="s"/>
      <c r="X378" s="103" t="s">
        <v>1611</v>
      </c>
      <c r="Y378" s="4180" t="s"/>
      <c r="Z378" s="4181" t="s"/>
      <c r="AA378" s="4182" t="s"/>
      <c r="AB378" s="103" t="s">
        <v>1612</v>
      </c>
      <c r="AC378" s="4183" t="s"/>
      <c r="AD378" s="4184" t="s"/>
      <c r="AE378" s="4185" t="s"/>
      <c r="AF378" s="103" t="s">
        <v>1613</v>
      </c>
      <c r="AG378" s="4186" t="s"/>
      <c r="AH378" s="4187" t="s"/>
      <c r="AI378" s="4188" t="s"/>
      <c r="AJ378" s="116" t="s">
        <v>1614</v>
      </c>
      <c r="AK378" s="4189" t="s"/>
    </row>
    <row hidden="false" ht="15.75" outlineLevel="0" r="379">
      <c r="C379" s="98" t="s">
        <v>176</v>
      </c>
      <c r="D379" s="122" t="s">
        <v>177</v>
      </c>
      <c r="E379" s="123" t="s">
        <v>693</v>
      </c>
      <c r="F379" s="123" t="s">
        <v>342</v>
      </c>
      <c r="G379" s="124" t="s">
        <v>1615</v>
      </c>
      <c r="H379" s="1819" t="n">
        <f aca="false" ca="false" dt2D="false" dtr="false" ref="H379:H379" t="array">MID(INDEX($A$3:$A$70, IF(ISNA(MATCH("720G4H9*", $A$3:$A$70, 0))=TRUE, MATCH("7200425*", $A$3:$A$70, 0), MATCH("720G4H9*", $A$3:$A$70, 0))), $AU$8, 2)</f>
        <v>0</v>
      </c>
      <c r="I379" s="1820" t="n">
        <f aca="false" ca="false" dt2D="false" dtr="false" ref="I379:I379" t="array">MID(INDEX($A$3:$A$70, IF(ISNA(MATCH("720G4H9*", $A$3:$A$70, 0))=TRUE, MATCH("7200425*", $A$3:$A$70, 0), MATCH("720G4H9*", $A$3:$A$70, 0))), $AV$8, 2)</f>
        <v>0</v>
      </c>
      <c r="J379" s="164" t="n">
        <f aca="false" ca="false" dt2D="false" dtr="false" ref="J379:J379" t="array">MID(INDEX($A$3:$A$70, IF(ISNA(MATCH("720G4H9*", $A$3:$A$70, 0))=TRUE, MATCH("7200425*", $A$3:$A$70, 0), MATCH("720G4H9*", $A$3:$A$70, 0))), $AW$8, 2)</f>
        <v>0</v>
      </c>
      <c r="K379" s="1820" t="n">
        <f aca="false" ca="false" dt2D="false" dtr="false" ref="K379:K379" t="array">MID(INDEX($A$3:$A$70, IF(ISNA(MATCH("720G4H9*", $A$3:$A$70, 0))=TRUE, MATCH("7200425*", $A$3:$A$70, 0), MATCH("720G4H9*", $A$3:$A$70, 0))), $AX$8, 2)</f>
        <v>0</v>
      </c>
      <c r="L379" s="1821" t="n">
        <f aca="false" ca="false" dt2D="false" dtr="false" ref="L379:L379" t="array">MID(INDEX($A$3:$A$70, IF(ISNA(MATCH("720G4H9*", $A$3:$A$70, 0))=TRUE, MATCH("7200425*", $A$3:$A$70, 0), MATCH("720G4H9*", $A$3:$A$70, 0))), $AY$8, 2)</f>
        <v>0</v>
      </c>
      <c r="M379" s="218" t="n">
        <f aca="false" ca="false" dt2D="false" dtr="false" ref="M379:M379" t="array">MID(INDEX($A$3:$A$70, IF(ISNA(MATCH("720G4H9*", $A$3:$A$70, 0))=TRUE, MATCH("7200425*", $A$3:$A$70, 0), MATCH("720G4H9*", $A$3:$A$70, 0))), $AZ$8, 2)</f>
        <v>50</v>
      </c>
      <c r="N379" s="63" t="s">
        <v>180</v>
      </c>
      <c r="P379" s="116" t="n"/>
      <c r="Q379" s="4190" t="s"/>
      <c r="R379" s="4191" t="s"/>
      <c r="S379" s="4192" t="s"/>
      <c r="T379" s="116" t="n"/>
      <c r="U379" s="4193" t="s"/>
      <c r="V379" s="4194" t="s"/>
      <c r="W379" s="4195" t="s"/>
      <c r="X379" s="129" t="s">
        <v>180</v>
      </c>
      <c r="Y379" s="130" t="s">
        <v>181</v>
      </c>
      <c r="Z379" s="121" t="s">
        <v>182</v>
      </c>
      <c r="AA379" s="131" t="n"/>
      <c r="AB379" s="129" t="s">
        <v>180</v>
      </c>
      <c r="AC379" s="130" t="s">
        <v>181</v>
      </c>
      <c r="AD379" s="121" t="s">
        <v>182</v>
      </c>
      <c r="AE379" s="131" t="n"/>
      <c r="AF379" s="129" t="s">
        <v>180</v>
      </c>
      <c r="AG379" s="130" t="s">
        <v>181</v>
      </c>
      <c r="AH379" s="121" t="s">
        <v>182</v>
      </c>
      <c r="AI379" s="121" t="n"/>
      <c r="AJ379" s="116" t="s">
        <v>183</v>
      </c>
      <c r="AK379" s="4196" t="s"/>
    </row>
    <row hidden="false" ht="15" outlineLevel="0" r="380">
      <c r="C380" s="98" t="s">
        <v>185</v>
      </c>
      <c r="D380" s="53" t="n">
        <f aca="false" ca="false" dt2D="false" dtr="false" t="normal">HEX2BIN(D379, 8)</f>
        <v>111</v>
      </c>
      <c r="E380" s="53" t="n">
        <f aca="false" ca="false" dt2D="false" dtr="false" t="normal">HEX2BIN(E379, 8)</f>
        <v>100000</v>
      </c>
      <c r="F380" s="53" t="n">
        <f aca="false" ca="false" dt2D="false" dtr="false" t="normal">HEX2BIN(F379, 8)</f>
        <v>100</v>
      </c>
      <c r="G380" s="53" t="n">
        <f aca="false" ca="false" dt2D="false" dtr="false" t="normal">HEX2BIN(G379, 8)</f>
        <v>100101</v>
      </c>
      <c r="H380" s="53" t="n">
        <f aca="false" ca="false" dt2D="false" dtr="false" t="normal">HEX2BIN(H379, 8)</f>
        <v>0</v>
      </c>
      <c r="I380" s="53" t="n">
        <f aca="false" ca="false" dt2D="false" dtr="false" t="normal">HEX2BIN(I379, 8)</f>
        <v>0</v>
      </c>
      <c r="J380" s="53" t="n">
        <f aca="false" ca="false" dt2D="false" dtr="false" t="normal">HEX2BIN(J379, 8)</f>
        <v>0</v>
      </c>
      <c r="K380" s="53" t="n">
        <f aca="false" ca="false" dt2D="false" dtr="false" t="normal">HEX2BIN(K379, 8)</f>
        <v>0</v>
      </c>
      <c r="L380" s="53" t="n">
        <f aca="false" ca="false" dt2D="false" dtr="false" t="normal">HEX2BIN(L379, 8)</f>
        <v>0</v>
      </c>
      <c r="N380" s="63" t="n"/>
      <c r="P380" s="4197" t="s"/>
      <c r="Q380" s="142" t="s"/>
      <c r="R380" s="142" t="s"/>
      <c r="S380" s="4198" t="s"/>
      <c r="T380" s="4199" t="s"/>
      <c r="U380" s="142" t="s"/>
      <c r="V380" s="142" t="s"/>
      <c r="W380" s="4200" t="s"/>
      <c r="X380" s="136" t="n">
        <f aca="false" ca="false" dt2D="false" dtr="false" t="normal">MID(J380, 1, 1)</f>
        <v>0</v>
      </c>
      <c r="Y380" s="137" t="n">
        <f aca="false" ca="false" dt2D="false" dtr="false" t="normal">X380</f>
        <v>0</v>
      </c>
      <c r="Z380" s="120" t="s">
        <v>186</v>
      </c>
      <c r="AA380" s="139" t="s">
        <v>1616</v>
      </c>
      <c r="AB380" s="136" t="n">
        <f aca="false" ca="false" dt2D="false" dtr="false" t="normal">MID(K380, 1, 1)</f>
        <v>0</v>
      </c>
      <c r="AC380" s="137" t="n">
        <f aca="false" ca="false" dt2D="false" dtr="false" t="normal">AB380</f>
        <v>0</v>
      </c>
      <c r="AD380" s="120" t="s">
        <v>186</v>
      </c>
      <c r="AE380" s="139" t="s">
        <v>1617</v>
      </c>
      <c r="AF380" s="136" t="n">
        <f aca="false" ca="false" dt2D="false" dtr="false" t="normal">MID(L380, 1, 1)</f>
        <v>0</v>
      </c>
      <c r="AG380" s="137" t="n">
        <f aca="false" ca="false" dt2D="false" dtr="false" t="normal">AF380</f>
        <v>0</v>
      </c>
      <c r="AH380" s="120" t="s">
        <v>186</v>
      </c>
      <c r="AI380" s="139" t="s">
        <v>1618</v>
      </c>
      <c r="AJ380" s="4201" t="s"/>
      <c r="AK380" s="4202" t="s"/>
    </row>
    <row hidden="false" ht="15" outlineLevel="0" r="381">
      <c r="C381" s="98" t="s">
        <v>191</v>
      </c>
      <c r="D381" s="53" t="n">
        <f aca="false" ca="false" dt2D="false" dtr="false" t="normal">HEX2DEC(D379)</f>
        <v>7</v>
      </c>
      <c r="E381" s="53" t="n">
        <f aca="false" ca="false" dt2D="false" dtr="false" t="normal">HEX2DEC(E379)</f>
        <v>32</v>
      </c>
      <c r="F381" s="53" t="n">
        <f aca="false" ca="false" dt2D="false" dtr="false" t="normal">HEX2DEC(F379)</f>
        <v>4</v>
      </c>
      <c r="G381" s="53" t="n">
        <f aca="false" ca="false" dt2D="false" dtr="false" t="normal">HEX2DEC(G379)</f>
        <v>37</v>
      </c>
      <c r="H381" s="53" t="n">
        <f aca="false" ca="false" dt2D="false" dtr="false" t="normal">HEX2DEC(H379)</f>
        <v>0</v>
      </c>
      <c r="I381" s="53" t="n">
        <f aca="false" ca="false" dt2D="false" dtr="false" t="normal">HEX2DEC(I379)</f>
        <v>0</v>
      </c>
      <c r="J381" s="53" t="n">
        <f aca="false" ca="false" dt2D="false" dtr="false" t="normal">HEX2DEC(J379)</f>
        <v>0</v>
      </c>
      <c r="K381" s="53" t="n">
        <f aca="false" ca="false" dt2D="false" dtr="false" t="normal">HEX2DEC(K379)</f>
        <v>0</v>
      </c>
      <c r="L381" s="53" t="n">
        <f aca="false" ca="false" dt2D="false" dtr="false" t="normal">HEX2DEC(L379)</f>
        <v>0</v>
      </c>
      <c r="M381" s="53" t="n">
        <f aca="false" ca="false" dt2D="false" dtr="false" t="normal">SUM(D381:L381)</f>
        <v>80</v>
      </c>
      <c r="N381" s="63" t="n"/>
      <c r="P381" s="4203" t="s"/>
      <c r="Q381" s="142" t="s"/>
      <c r="R381" s="142" t="s"/>
      <c r="S381" s="4204" t="s"/>
      <c r="T381" s="4205" t="s"/>
      <c r="U381" s="142" t="s"/>
      <c r="V381" s="142" t="s"/>
      <c r="W381" s="4206" t="s"/>
      <c r="X381" s="136" t="n">
        <f aca="false" ca="false" dt2D="false" dtr="false" t="normal">MID(J380, 2, 1)</f>
        <v>0</v>
      </c>
      <c r="Y381" s="137" t="n">
        <f aca="false" ca="false" dt2D="false" dtr="false" t="normal">X381</f>
        <v>0</v>
      </c>
      <c r="Z381" s="120" t="s">
        <v>192</v>
      </c>
      <c r="AA381" s="139" t="s">
        <v>1619</v>
      </c>
      <c r="AB381" s="136" t="n">
        <f aca="false" ca="false" dt2D="false" dtr="false" t="normal">MID(K380, 2, 1)</f>
        <v>0</v>
      </c>
      <c r="AC381" s="137" t="n">
        <f aca="false" ca="false" dt2D="false" dtr="false" t="normal">AB381</f>
        <v>0</v>
      </c>
      <c r="AD381" s="120" t="s">
        <v>192</v>
      </c>
      <c r="AE381" s="139" t="s">
        <v>1620</v>
      </c>
      <c r="AF381" s="136" t="n">
        <f aca="false" ca="false" dt2D="false" dtr="false" t="normal">MID(L380, 2, 1)</f>
        <v>0</v>
      </c>
      <c r="AG381" s="137" t="n">
        <f aca="false" ca="false" dt2D="false" dtr="false" t="normal">AF381</f>
        <v>0</v>
      </c>
      <c r="AH381" s="120" t="s">
        <v>192</v>
      </c>
      <c r="AI381" s="139" t="s">
        <v>1621</v>
      </c>
      <c r="AJ381" s="4207" t="s"/>
      <c r="AK381" s="4208" t="s"/>
    </row>
    <row customHeight="true" hidden="false" ht="15" outlineLevel="0" r="382">
      <c r="C382" s="98" t="s">
        <v>194</v>
      </c>
      <c r="D382" s="149" t="n">
        <f aca="false" ca="false" dt2D="false" dtr="false" t="normal">D379</f>
        <v>7</v>
      </c>
      <c r="E382" s="149" t="n">
        <f aca="false" ca="false" dt2D="false" dtr="false" t="normal">E379</f>
        <v>20</v>
      </c>
      <c r="F382" s="53" t="str">
        <f aca="false" ca="false" dt2D="false" dtr="false" t="normal">MID(INDEX($A$3:$A$70, IF(ISNA(MATCH("720G4H9*", $A$3:$A$70, 0))=TRUE, MATCH("7200425*", $A$3:$A$70, 0), MATCH("720G4H9*", $A$3:$A$70, 0))), $AS$8, 2)</f>
        <v>G4</v>
      </c>
      <c r="G382" s="53" t="str">
        <f aca="false" ca="false" dt2D="false" dtr="false" t="normal">MID(INDEX($A$3:$A$70, IF(ISNA(MATCH("720G4H9*", $A$3:$A$70, 0))=TRUE, MATCH("7200425*", $A$3:$A$70, 0), MATCH("720G4H9*", $A$3:$A$70, 0))), $AT$8, 2)</f>
        <v>H9</v>
      </c>
      <c r="N382" s="63" t="n"/>
      <c r="P382" s="4209" t="s"/>
      <c r="Q382" s="142" t="s"/>
      <c r="R382" s="142" t="s"/>
      <c r="S382" s="4210" t="s"/>
      <c r="T382" s="4211" t="s"/>
      <c r="U382" s="142" t="s"/>
      <c r="V382" s="142" t="s"/>
      <c r="W382" s="4212" t="s"/>
      <c r="X382" s="136" t="n">
        <f aca="false" ca="false" dt2D="false" dtr="false" t="normal">MID(J380, 3, 1)</f>
        <v>0</v>
      </c>
      <c r="Y382" s="137" t="n">
        <f aca="false" ca="false" dt2D="false" dtr="false" t="normal">X382</f>
        <v>0</v>
      </c>
      <c r="Z382" s="120" t="s">
        <v>195</v>
      </c>
      <c r="AA382" s="140" t="s">
        <v>1622</v>
      </c>
      <c r="AB382" s="136" t="n">
        <f aca="false" ca="false" dt2D="false" dtr="false" t="normal">MID(K380, 3, 1)</f>
        <v>0</v>
      </c>
      <c r="AC382" s="137" t="n">
        <f aca="false" ca="false" dt2D="false" dtr="false" t="normal">AB382</f>
        <v>0</v>
      </c>
      <c r="AD382" s="120" t="s">
        <v>195</v>
      </c>
      <c r="AE382" s="139" t="s">
        <v>1623</v>
      </c>
      <c r="AF382" s="136" t="n">
        <f aca="false" ca="false" dt2D="false" dtr="false" t="normal">MID(L380, 3, 1)</f>
        <v>0</v>
      </c>
      <c r="AG382" s="137" t="n">
        <f aca="false" ca="false" dt2D="false" dtr="false" t="normal">AF382</f>
        <v>0</v>
      </c>
      <c r="AH382" s="120" t="s">
        <v>195</v>
      </c>
      <c r="AI382" s="139" t="s">
        <v>1624</v>
      </c>
      <c r="AJ382" s="4213" t="s"/>
      <c r="AK382" s="4214" t="s"/>
    </row>
    <row hidden="false" ht="15.75" outlineLevel="0" r="383">
      <c r="C383" s="98" t="n"/>
      <c r="N383" s="63" t="n"/>
      <c r="P383" s="4215" t="s"/>
      <c r="Q383" s="142" t="s"/>
      <c r="R383" s="142" t="s"/>
      <c r="S383" s="4216" t="s"/>
      <c r="T383" s="4217" t="s"/>
      <c r="U383" s="142" t="s"/>
      <c r="V383" s="142" t="s"/>
      <c r="W383" s="4218" t="s"/>
      <c r="X383" s="136" t="n">
        <f aca="false" ca="false" dt2D="false" dtr="false" t="normal">MID(J380, 4, 1)</f>
        <v>0</v>
      </c>
      <c r="Y383" s="137" t="n">
        <f aca="false" ca="false" dt2D="false" dtr="false" t="normal">X383</f>
        <v>0</v>
      </c>
      <c r="Z383" s="120" t="s">
        <v>197</v>
      </c>
      <c r="AA383" s="4219" t="s"/>
      <c r="AB383" s="136" t="n">
        <f aca="false" ca="false" dt2D="false" dtr="false" t="normal">MID(K380, 4, 1)</f>
        <v>0</v>
      </c>
      <c r="AC383" s="137" t="n">
        <f aca="false" ca="false" dt2D="false" dtr="false" t="normal">AB383</f>
        <v>0</v>
      </c>
      <c r="AD383" s="120" t="s">
        <v>197</v>
      </c>
      <c r="AE383" s="139" t="s">
        <v>1625</v>
      </c>
      <c r="AF383" s="136" t="n">
        <f aca="false" ca="false" dt2D="false" dtr="false" t="normal">MID(L380, 4, 1)</f>
        <v>0</v>
      </c>
      <c r="AG383" s="137" t="n">
        <f aca="false" ca="false" dt2D="false" dtr="false" t="normal">AF383</f>
        <v>0</v>
      </c>
      <c r="AH383" s="120" t="s">
        <v>197</v>
      </c>
      <c r="AI383" s="139" t="s">
        <v>1626</v>
      </c>
      <c r="AJ383" s="4220" t="s"/>
      <c r="AK383" s="4221" t="s"/>
    </row>
    <row hidden="false" ht="15.75" outlineLevel="0" r="384">
      <c r="C384" s="98" t="s">
        <v>176</v>
      </c>
      <c r="D384" s="159" t="n">
        <f aca="false" ca="false" dt2D="false" dtr="false" t="normal">D379</f>
        <v>7</v>
      </c>
      <c r="E384" s="160" t="n">
        <f aca="false" ca="false" dt2D="false" dtr="false" t="normal">E379</f>
        <v>20</v>
      </c>
      <c r="F384" s="160" t="n">
        <f aca="false" ca="false" dt2D="false" dtr="false" t="normal">F379</f>
        <v>4</v>
      </c>
      <c r="G384" s="161" t="n">
        <f aca="false" ca="false" dt2D="false" dtr="false" t="normal">G379</f>
        <v>25</v>
      </c>
      <c r="H384" s="2540" t="n">
        <f aca="false" ca="false" dt2D="false" dtr="false" t="normal">H379</f>
        <v>0</v>
      </c>
      <c r="I384" s="1916" t="n">
        <f aca="false" ca="false" dt2D="false" dtr="false" t="normal">I379</f>
        <v>0</v>
      </c>
      <c r="J384" s="164" t="n">
        <f aca="false" ca="false" dt2D="false" dtr="false" t="normal">BIN2HEX(J385, 2)</f>
        <v>0</v>
      </c>
      <c r="K384" s="165" t="n">
        <f aca="false" ca="false" dt2D="false" dtr="false" t="normal">BIN2HEX(K385, 2)</f>
        <v>0</v>
      </c>
      <c r="L384" s="288" t="n">
        <f aca="false" ca="false" dt2D="false" dtr="false" t="normal">BIN2HEX(L385, 2)</f>
        <v>0</v>
      </c>
      <c r="M384" s="166" t="n">
        <f aca="false" ca="false" dt2D="false" dtr="false" t="normal">IF(LEN(M385)&gt;2, MID(M385, 2, 2), M385)</f>
        <v>50</v>
      </c>
      <c r="N384" s="63" t="s">
        <v>181</v>
      </c>
      <c r="P384" s="4222" t="s"/>
      <c r="Q384" s="142" t="s"/>
      <c r="R384" s="142" t="s"/>
      <c r="S384" s="4223" t="s"/>
      <c r="T384" s="4224" t="s"/>
      <c r="U384" s="142" t="s"/>
      <c r="V384" s="142" t="s"/>
      <c r="W384" s="4225" t="s"/>
      <c r="X384" s="136" t="n">
        <f aca="false" ca="false" dt2D="false" dtr="false" t="normal">MID(J380, 5, 1)</f>
        <v>0</v>
      </c>
      <c r="Y384" s="137" t="n">
        <f aca="false" ca="false" dt2D="false" dtr="false" t="normal">X384</f>
        <v>0</v>
      </c>
      <c r="Z384" s="120" t="s">
        <v>200</v>
      </c>
      <c r="AA384" s="139" t="s">
        <v>1627</v>
      </c>
      <c r="AB384" s="136" t="n">
        <f aca="false" ca="false" dt2D="false" dtr="false" t="normal">MID(K380, 5, 1)</f>
        <v>0</v>
      </c>
      <c r="AC384" s="137" t="n">
        <f aca="false" ca="false" dt2D="false" dtr="false" t="normal">AB384</f>
        <v>0</v>
      </c>
      <c r="AD384" s="120" t="s">
        <v>200</v>
      </c>
      <c r="AE384" s="139" t="s">
        <v>1628</v>
      </c>
      <c r="AF384" s="136" t="n">
        <f aca="false" ca="false" dt2D="false" dtr="false" t="normal">MID(L380, 5, 1)</f>
        <v>0</v>
      </c>
      <c r="AG384" s="137" t="n">
        <f aca="false" ca="false" dt2D="false" dtr="false" t="normal">AF384</f>
        <v>0</v>
      </c>
      <c r="AH384" s="120" t="s">
        <v>200</v>
      </c>
      <c r="AI384" s="139" t="s">
        <v>1629</v>
      </c>
      <c r="AJ384" s="4226" t="s"/>
      <c r="AK384" s="4227" t="s"/>
    </row>
    <row hidden="false" ht="15" outlineLevel="0" r="385">
      <c r="C385" s="98" t="s">
        <v>185</v>
      </c>
      <c r="D385" s="53" t="n">
        <f aca="false" ca="false" dt2D="false" dtr="false" t="normal">HEX2BIN(D384, 8)</f>
        <v>111</v>
      </c>
      <c r="E385" s="53" t="n">
        <f aca="false" ca="false" dt2D="false" dtr="false" t="normal">HEX2BIN(E384, 8)</f>
        <v>100000</v>
      </c>
      <c r="F385" s="53" t="n">
        <f aca="false" ca="false" dt2D="false" dtr="false" t="normal">HEX2BIN(F384, 8)</f>
        <v>100</v>
      </c>
      <c r="G385" s="53" t="n">
        <f aca="false" ca="false" dt2D="false" dtr="false" t="normal">HEX2BIN(G384, 8)</f>
        <v>100101</v>
      </c>
      <c r="H385" s="171" t="n"/>
      <c r="I385" s="53" t="n"/>
      <c r="J385" s="171" t="n">
        <f aca="false" ca="false" dt2D="false" dtr="false" t="normal">Y380&amp;Y381&amp;Y382&amp;Y383&amp;Y384&amp;Y385&amp;Y386&amp;Y387</f>
        <v>0</v>
      </c>
      <c r="K385" s="171" t="n">
        <f aca="false" ca="false" dt2D="false" dtr="false" t="normal">AC380&amp;AC381&amp;AC382&amp;AC383&amp;AC384&amp;AC385&amp;AC386&amp;AC387</f>
        <v>0</v>
      </c>
      <c r="L385" s="53" t="n">
        <f aca="false" ca="false" dt2D="false" dtr="false" t="normal">AG380&amp;AG381&amp;AG382&amp;AG383&amp;AG384&amp;AG385&amp;AG386&amp;AG387</f>
        <v>0</v>
      </c>
      <c r="M385" s="53" t="n">
        <f aca="false" ca="false" dt2D="false" dtr="false" t="normal">DEC2HEX(M386)</f>
        <v>50</v>
      </c>
      <c r="N385" s="63" t="n"/>
      <c r="P385" s="4228" t="s"/>
      <c r="Q385" s="142" t="s"/>
      <c r="R385" s="142" t="s"/>
      <c r="S385" s="4229" t="s"/>
      <c r="T385" s="4230" t="s"/>
      <c r="U385" s="142" t="s"/>
      <c r="V385" s="142" t="s"/>
      <c r="W385" s="4231" t="s"/>
      <c r="X385" s="136" t="n">
        <f aca="false" ca="false" dt2D="false" dtr="false" t="normal">MID(J380, 6, 1)</f>
        <v>0</v>
      </c>
      <c r="Y385" s="137" t="n">
        <f aca="false" ca="false" dt2D="false" dtr="false" t="normal">X385</f>
        <v>0</v>
      </c>
      <c r="Z385" s="120" t="s">
        <v>203</v>
      </c>
      <c r="AA385" s="139" t="s">
        <v>1630</v>
      </c>
      <c r="AB385" s="136" t="n">
        <f aca="false" ca="false" dt2D="false" dtr="false" t="normal">MID(K380, 6, 1)</f>
        <v>0</v>
      </c>
      <c r="AC385" s="137" t="n">
        <f aca="false" ca="false" dt2D="false" dtr="false" t="normal">AB385</f>
        <v>0</v>
      </c>
      <c r="AD385" s="120" t="s">
        <v>203</v>
      </c>
      <c r="AE385" s="139" t="s">
        <v>1631</v>
      </c>
      <c r="AF385" s="136" t="n">
        <f aca="false" ca="false" dt2D="false" dtr="false" t="normal">MID(L380, 6, 1)</f>
        <v>0</v>
      </c>
      <c r="AG385" s="137" t="n">
        <f aca="false" ca="false" dt2D="false" dtr="false" t="normal">AF385</f>
        <v>0</v>
      </c>
      <c r="AH385" s="120" t="s">
        <v>203</v>
      </c>
      <c r="AI385" s="139" t="s">
        <v>1632</v>
      </c>
      <c r="AJ385" s="4232" t="s"/>
      <c r="AK385" s="4233" t="s"/>
    </row>
    <row hidden="false" ht="15" outlineLevel="0" r="386">
      <c r="C386" s="98" t="s">
        <v>191</v>
      </c>
      <c r="D386" s="53" t="n">
        <f aca="false" ca="false" dt2D="false" dtr="false" t="normal">HEX2DEC(D384)</f>
        <v>7</v>
      </c>
      <c r="E386" s="53" t="n">
        <f aca="false" ca="false" dt2D="false" dtr="false" t="normal">HEX2DEC(E384)</f>
        <v>32</v>
      </c>
      <c r="F386" s="53" t="n">
        <f aca="false" ca="false" dt2D="false" dtr="false" t="normal">HEX2DEC(F384)</f>
        <v>4</v>
      </c>
      <c r="G386" s="53" t="n">
        <f aca="false" ca="false" dt2D="false" dtr="false" t="normal">HEX2DEC(G384)</f>
        <v>37</v>
      </c>
      <c r="H386" s="53" t="n">
        <f aca="false" ca="false" dt2D="false" dtr="false" t="normal">HEX2DEC(H384)</f>
        <v>0</v>
      </c>
      <c r="I386" s="53" t="n">
        <f aca="false" ca="false" dt2D="false" dtr="false" t="normal">HEX2DEC(I384)</f>
        <v>0</v>
      </c>
      <c r="J386" s="53" t="n">
        <f aca="false" ca="false" dt2D="false" dtr="false" t="normal">HEX2DEC(J384)</f>
        <v>0</v>
      </c>
      <c r="K386" s="53" t="n">
        <f aca="false" ca="false" dt2D="false" dtr="false" t="normal">HEX2DEC(K384)</f>
        <v>0</v>
      </c>
      <c r="L386" s="53" t="n">
        <f aca="false" ca="false" dt2D="false" dtr="false" t="normal">HEX2DEC(L384)</f>
        <v>0</v>
      </c>
      <c r="M386" s="53" t="n">
        <f aca="false" ca="false" dt2D="false" dtr="false" t="normal">SUM(D386:L386)</f>
        <v>80</v>
      </c>
      <c r="N386" s="63" t="n"/>
      <c r="P386" s="4234" t="s"/>
      <c r="Q386" s="142" t="s"/>
      <c r="R386" s="142" t="s"/>
      <c r="S386" s="4235" t="s"/>
      <c r="T386" s="4236" t="s"/>
      <c r="U386" s="142" t="s"/>
      <c r="V386" s="142" t="s"/>
      <c r="W386" s="4237" t="s"/>
      <c r="X386" s="136" t="n">
        <f aca="false" ca="false" dt2D="false" dtr="false" t="normal">MID(J380, 7, 1)</f>
        <v>0</v>
      </c>
      <c r="Y386" s="137" t="n">
        <f aca="false" ca="false" dt2D="false" dtr="false" t="normal">X386</f>
        <v>0</v>
      </c>
      <c r="Z386" s="120" t="s">
        <v>206</v>
      </c>
      <c r="AA386" s="131" t="s">
        <v>196</v>
      </c>
      <c r="AB386" s="136" t="n">
        <f aca="false" ca="false" dt2D="false" dtr="false" t="normal">MID(K380, 7, 1)</f>
        <v>0</v>
      </c>
      <c r="AC386" s="137" t="n">
        <f aca="false" ca="false" dt2D="false" dtr="false" t="normal">AB386</f>
        <v>0</v>
      </c>
      <c r="AD386" s="120" t="s">
        <v>206</v>
      </c>
      <c r="AE386" s="139" t="s">
        <v>1633</v>
      </c>
      <c r="AF386" s="136" t="n">
        <f aca="false" ca="false" dt2D="false" dtr="false" t="normal">MID(L380, 7, 1)</f>
        <v>0</v>
      </c>
      <c r="AG386" s="137" t="n">
        <f aca="false" ca="false" dt2D="false" dtr="false" t="normal">AF386</f>
        <v>0</v>
      </c>
      <c r="AH386" s="120" t="s">
        <v>206</v>
      </c>
      <c r="AI386" s="139" t="s">
        <v>1634</v>
      </c>
      <c r="AJ386" s="4238" t="s"/>
      <c r="AK386" s="4239" t="s"/>
    </row>
    <row hidden="false" ht="15.75" outlineLevel="0" r="387">
      <c r="C387" s="180" t="s">
        <v>194</v>
      </c>
      <c r="D387" s="299" t="n">
        <f aca="false" ca="false" dt2D="false" dtr="false" t="normal">D382</f>
        <v>7</v>
      </c>
      <c r="E387" s="299" t="n">
        <f aca="false" ca="false" dt2D="false" dtr="false" t="normal">E382</f>
        <v>20</v>
      </c>
      <c r="F387" s="299" t="str">
        <f aca="false" ca="false" dt2D="false" dtr="false" t="normal">F382</f>
        <v>G4</v>
      </c>
      <c r="G387" s="299" t="str">
        <f aca="false" ca="false" dt2D="false" dtr="false" t="normal">G382</f>
        <v>H9</v>
      </c>
      <c r="H387" s="45" t="n"/>
      <c r="I387" s="45" t="n"/>
      <c r="J387" s="45" t="n"/>
      <c r="K387" s="45" t="n"/>
      <c r="L387" s="45" t="n"/>
      <c r="M387" s="45" t="n"/>
      <c r="N387" s="49" t="n"/>
      <c r="P387" s="4240" t="s"/>
      <c r="Q387" s="4241" t="s"/>
      <c r="R387" s="4242" t="s"/>
      <c r="S387" s="4243" t="s"/>
      <c r="T387" s="4244" t="s"/>
      <c r="U387" s="4245" t="s"/>
      <c r="V387" s="4246" t="s"/>
      <c r="W387" s="4247" t="s"/>
      <c r="X387" s="182" t="n">
        <f aca="false" ca="false" dt2D="false" dtr="false" t="normal">MID(J380, 8, 1)</f>
        <v>0</v>
      </c>
      <c r="Y387" s="183" t="n">
        <f aca="false" ca="false" dt2D="false" dtr="false" t="normal">X387</f>
        <v>0</v>
      </c>
      <c r="Z387" s="184" t="s">
        <v>208</v>
      </c>
      <c r="AA387" s="187" t="s">
        <v>1635</v>
      </c>
      <c r="AB387" s="182" t="n">
        <f aca="false" ca="false" dt2D="false" dtr="false" t="normal">MID(K380, 8, 1)</f>
        <v>0</v>
      </c>
      <c r="AC387" s="183" t="n">
        <f aca="false" ca="false" dt2D="false" dtr="false" t="normal">AB387</f>
        <v>0</v>
      </c>
      <c r="AD387" s="184" t="s">
        <v>208</v>
      </c>
      <c r="AE387" s="187" t="s">
        <v>1636</v>
      </c>
      <c r="AF387" s="182" t="n">
        <f aca="false" ca="false" dt2D="false" dtr="false" t="normal">MID(L380, 8, 1)</f>
        <v>0</v>
      </c>
      <c r="AG387" s="183" t="n">
        <f aca="false" ca="false" dt2D="false" dtr="false" t="normal">AF387</f>
        <v>0</v>
      </c>
      <c r="AH387" s="184" t="s">
        <v>208</v>
      </c>
      <c r="AI387" s="187" t="s">
        <v>1637</v>
      </c>
      <c r="AJ387" s="4248" t="s"/>
      <c r="AK387" s="4249" t="s"/>
    </row>
    <row hidden="false" ht="15.75" outlineLevel="0" r="388">
      <c r="C388" s="93" t="n"/>
      <c r="D388" s="94" t="n"/>
      <c r="E388" s="94" t="n"/>
      <c r="F388" s="94" t="n"/>
      <c r="G388" s="94" t="n"/>
      <c r="H388" s="94" t="n"/>
      <c r="I388" s="94" t="n"/>
      <c r="J388" s="94" t="n"/>
      <c r="K388" s="94" t="n"/>
      <c r="L388" s="94" t="n"/>
      <c r="M388" s="94" t="s">
        <v>161</v>
      </c>
      <c r="N388" s="60" t="n"/>
      <c r="P388" s="95" t="str">
        <f aca="false" ca="false" dt2D="false" dtr="false" t="normal">RIGHT(D390, 1)&amp;E390&amp;"-"&amp;F390&amp;"-"&amp;G390</f>
        <v>720-04-26</v>
      </c>
      <c r="Q388" s="4250" t="s"/>
      <c r="R388" s="234" t="s">
        <v>1638</v>
      </c>
      <c r="S388" s="4251" t="s"/>
      <c r="T388" s="4252" t="s"/>
      <c r="U388" s="4253" t="s"/>
      <c r="V388" s="4254" t="s"/>
      <c r="W388" s="4255" t="s"/>
      <c r="X388" s="4256" t="s"/>
      <c r="Y388" s="4257" t="s"/>
      <c r="Z388" s="4258" t="s"/>
      <c r="AA388" s="4259" t="s"/>
      <c r="AB388" s="4260" t="s"/>
      <c r="AC388" s="4261" t="s"/>
      <c r="AD388" s="4262" t="s"/>
      <c r="AE388" s="4263" t="s"/>
      <c r="AF388" s="4264" t="s"/>
      <c r="AG388" s="4265" t="s"/>
      <c r="AH388" s="4266" t="s"/>
      <c r="AI388" s="4267" t="s"/>
      <c r="AJ388" s="4268" t="s"/>
      <c r="AK388" s="4269" t="s"/>
    </row>
    <row hidden="false" ht="15.75" outlineLevel="0" r="389">
      <c r="C389" s="98" t="n"/>
      <c r="D389" s="99" t="s">
        <v>1639</v>
      </c>
      <c r="E389" s="4270" t="s"/>
      <c r="F389" s="4271" t="s"/>
      <c r="G389" s="4272" t="s"/>
      <c r="H389" s="53" t="s">
        <v>165</v>
      </c>
      <c r="I389" s="53" t="s">
        <v>166</v>
      </c>
      <c r="J389" s="53" t="s">
        <v>167</v>
      </c>
      <c r="K389" s="53" t="s">
        <v>168</v>
      </c>
      <c r="L389" s="53" t="s">
        <v>169</v>
      </c>
      <c r="M389" s="53" t="s">
        <v>221</v>
      </c>
      <c r="N389" s="63" t="n"/>
      <c r="P389" s="103" t="s">
        <v>1640</v>
      </c>
      <c r="Q389" s="4273" t="s"/>
      <c r="R389" s="4274" t="s"/>
      <c r="S389" s="4275" t="s"/>
      <c r="T389" s="103" t="s">
        <v>1641</v>
      </c>
      <c r="U389" s="4276" t="s"/>
      <c r="V389" s="4277" t="s"/>
      <c r="W389" s="4278" t="s"/>
      <c r="X389" s="103" t="s">
        <v>895</v>
      </c>
      <c r="Y389" s="4279" t="s"/>
      <c r="Z389" s="4280" t="s"/>
      <c r="AA389" s="4281" t="s"/>
      <c r="AB389" s="116" t="s">
        <v>1642</v>
      </c>
      <c r="AC389" s="4282" t="s"/>
      <c r="AD389" s="4283" t="s"/>
      <c r="AE389" s="4284" t="s"/>
      <c r="AF389" s="116" t="s">
        <v>1643</v>
      </c>
      <c r="AG389" s="4285" t="s"/>
      <c r="AH389" s="4286" t="s"/>
      <c r="AI389" s="4287" t="s"/>
      <c r="AJ389" s="116" t="s">
        <v>1644</v>
      </c>
      <c r="AK389" s="4288" t="s"/>
    </row>
    <row hidden="false" ht="15.75" outlineLevel="0" r="390">
      <c r="C390" s="98" t="s">
        <v>176</v>
      </c>
      <c r="D390" s="122" t="s">
        <v>177</v>
      </c>
      <c r="E390" s="123" t="s">
        <v>693</v>
      </c>
      <c r="F390" s="123" t="s">
        <v>342</v>
      </c>
      <c r="G390" s="124" t="s">
        <v>178</v>
      </c>
      <c r="H390" s="164" t="n">
        <f aca="false" ca="false" dt2D="false" dtr="false" ref="H390:H390" t="array">MID(INDEX($A$3:$A$70, IF(ISNA(MATCH("720G4HA*", $A$3:$A$70, 0))=TRUE, MATCH("7200426*", $A$3:$A$70, 0), MATCH("720G4HA*", $A$3:$A$70, 0))), $AU$8, 2)</f>
        <v>0</v>
      </c>
      <c r="I390" s="1820" t="n">
        <f aca="false" ca="false" dt2D="false" dtr="false" ref="I390:I390" t="array">MID(INDEX($A$3:$A$70, IF(ISNA(MATCH("720G4HA*", $A$3:$A$70, 0))=TRUE, MATCH("7200426*", $A$3:$A$70, 0), MATCH("720G4HA*", $A$3:$A$70, 0))), $AV$8, 2)</f>
        <v>0</v>
      </c>
      <c r="J390" s="1820" t="n">
        <f aca="false" ca="false" dt2D="false" dtr="false" ref="J390:J390" t="array">MID(INDEX($A$3:$A$70, IF(ISNA(MATCH("720G4HA*", $A$3:$A$70, 0))=TRUE, MATCH("7200426*", $A$3:$A$70, 0), MATCH("720G4HA*", $A$3:$A$70, 0))), $AW$8, 2)</f>
        <v>0</v>
      </c>
      <c r="K390" s="1821" t="n">
        <f aca="false" ca="false" dt2D="false" dtr="false" ref="K390:K390" t="array">MID(INDEX($A$3:$A$70, IF(ISNA(MATCH("720G4HA*", $A$3:$A$70, 0))=TRUE, MATCH("7200426*", $A$3:$A$70, 0), MATCH("720G4HA*", $A$3:$A$70, 0))), $AX$8, 2)</f>
        <v>0</v>
      </c>
      <c r="L390" s="1821" t="n">
        <f aca="false" ca="false" dt2D="false" dtr="false" ref="L390:L390" t="array">MID(INDEX($A$3:$A$70, IF(ISNA(MATCH("720G4HA*", $A$3:$A$70, 0))=TRUE, MATCH("7200426*", $A$3:$A$70, 0), MATCH("720G4HA*", $A$3:$A$70, 0))), $AY$8, 2)</f>
        <v>0</v>
      </c>
      <c r="M390" s="218" t="n">
        <f aca="false" ca="false" dt2D="false" dtr="false" ref="M390:M390" t="array">MID(INDEX($A$3:$A$70, IF(ISNA(MATCH("720G4HA*", $A$3:$A$70, 0))=TRUE, MATCH("7200426*", $A$3:$A$70, 0), MATCH("720G4HA*", $A$3:$A$70, 0))), $AZ$8, 2)</f>
        <v>51</v>
      </c>
      <c r="N390" s="63" t="s">
        <v>180</v>
      </c>
      <c r="P390" s="129" t="s">
        <v>180</v>
      </c>
      <c r="Q390" s="130" t="s">
        <v>181</v>
      </c>
      <c r="R390" s="121" t="s">
        <v>182</v>
      </c>
      <c r="S390" s="131" t="n"/>
      <c r="T390" s="129" t="s">
        <v>180</v>
      </c>
      <c r="U390" s="130" t="s">
        <v>181</v>
      </c>
      <c r="V390" s="121" t="s">
        <v>182</v>
      </c>
      <c r="W390" s="131" t="n"/>
      <c r="X390" s="129" t="s">
        <v>180</v>
      </c>
      <c r="Y390" s="130" t="s">
        <v>181</v>
      </c>
      <c r="Z390" s="121" t="s">
        <v>182</v>
      </c>
      <c r="AA390" s="131" t="n"/>
      <c r="AB390" s="116" t="n"/>
      <c r="AC390" s="4289" t="s"/>
      <c r="AD390" s="4290" t="s"/>
      <c r="AE390" s="4291" t="s"/>
      <c r="AF390" s="116" t="n"/>
      <c r="AG390" s="4292" t="s"/>
      <c r="AH390" s="4293" t="s"/>
      <c r="AI390" s="4294" t="s"/>
      <c r="AJ390" s="116" t="s">
        <v>183</v>
      </c>
      <c r="AK390" s="4295" t="s"/>
    </row>
    <row hidden="false" ht="15" outlineLevel="0" r="391">
      <c r="C391" s="98" t="s">
        <v>185</v>
      </c>
      <c r="D391" s="53" t="n">
        <f aca="false" ca="false" dt2D="false" dtr="false" t="normal">HEX2BIN(D390, 8)</f>
        <v>111</v>
      </c>
      <c r="E391" s="53" t="n">
        <f aca="false" ca="false" dt2D="false" dtr="false" t="normal">HEX2BIN(E390, 8)</f>
        <v>100000</v>
      </c>
      <c r="F391" s="53" t="n">
        <f aca="false" ca="false" dt2D="false" dtr="false" t="normal">HEX2BIN(F390, 8)</f>
        <v>100</v>
      </c>
      <c r="G391" s="53" t="n">
        <f aca="false" ca="false" dt2D="false" dtr="false" t="normal">HEX2BIN(G390, 8)</f>
        <v>100110</v>
      </c>
      <c r="H391" s="53" t="n">
        <f aca="false" ca="false" dt2D="false" dtr="false" t="normal">HEX2BIN(H390, 8)</f>
        <v>0</v>
      </c>
      <c r="I391" s="53" t="n">
        <f aca="false" ca="false" dt2D="false" dtr="false" t="normal">HEX2BIN(I390, 8)</f>
        <v>0</v>
      </c>
      <c r="J391" s="53" t="n">
        <f aca="false" ca="false" dt2D="false" dtr="false" t="normal">HEX2BIN(J390, 8)</f>
        <v>0</v>
      </c>
      <c r="K391" s="53" t="n">
        <f aca="false" ca="false" dt2D="false" dtr="false" t="normal">HEX2BIN(K390, 8)</f>
        <v>0</v>
      </c>
      <c r="L391" s="53" t="n">
        <f aca="false" ca="false" dt2D="false" dtr="false" t="normal">HEX2BIN(L390, 8)</f>
        <v>0</v>
      </c>
      <c r="N391" s="63" t="n"/>
      <c r="P391" s="136" t="n">
        <f aca="false" ca="false" dt2D="false" dtr="false" t="normal">MID(H391, 1, 1)</f>
        <v>0</v>
      </c>
      <c r="Q391" s="137" t="n">
        <f aca="false" ca="false" dt2D="false" dtr="false" t="normal">P391</f>
        <v>0</v>
      </c>
      <c r="R391" s="120" t="s">
        <v>186</v>
      </c>
      <c r="S391" s="139" t="s">
        <v>1645</v>
      </c>
      <c r="T391" s="136" t="n">
        <f aca="false" ca="false" dt2D="false" dtr="false" t="normal">MID(I391, 1, 1)</f>
        <v>0</v>
      </c>
      <c r="U391" s="137" t="n">
        <f aca="false" ca="false" dt2D="false" dtr="false" t="normal">T391</f>
        <v>0</v>
      </c>
      <c r="V391" s="120" t="s">
        <v>186</v>
      </c>
      <c r="W391" s="139" t="s">
        <v>1646</v>
      </c>
      <c r="X391" s="136" t="n">
        <f aca="false" ca="false" dt2D="false" dtr="false" t="normal">MID(J391, 1, 1)</f>
        <v>0</v>
      </c>
      <c r="Y391" s="137" t="n">
        <f aca="false" ca="false" dt2D="false" dtr="false" t="normal">X391</f>
        <v>0</v>
      </c>
      <c r="Z391" s="120" t="s">
        <v>186</v>
      </c>
      <c r="AA391" s="139" t="s">
        <v>1275</v>
      </c>
      <c r="AB391" s="4296" t="s"/>
      <c r="AC391" s="142" t="s"/>
      <c r="AD391" s="142" t="s"/>
      <c r="AE391" s="4297" t="s"/>
      <c r="AF391" s="4298" t="s"/>
      <c r="AG391" s="142" t="s"/>
      <c r="AH391" s="142" t="s"/>
      <c r="AI391" s="4299" t="s"/>
      <c r="AJ391" s="4300" t="s"/>
      <c r="AK391" s="4301" t="s"/>
    </row>
    <row hidden="false" ht="15" outlineLevel="0" r="392">
      <c r="C392" s="98" t="s">
        <v>191</v>
      </c>
      <c r="D392" s="53" t="n">
        <f aca="false" ca="false" dt2D="false" dtr="false" t="normal">HEX2DEC(D390)</f>
        <v>7</v>
      </c>
      <c r="E392" s="53" t="n">
        <f aca="false" ca="false" dt2D="false" dtr="false" t="normal">HEX2DEC(E390)</f>
        <v>32</v>
      </c>
      <c r="F392" s="53" t="n">
        <f aca="false" ca="false" dt2D="false" dtr="false" t="normal">HEX2DEC(F390)</f>
        <v>4</v>
      </c>
      <c r="G392" s="53" t="n">
        <f aca="false" ca="false" dt2D="false" dtr="false" t="normal">HEX2DEC(G390)</f>
        <v>38</v>
      </c>
      <c r="H392" s="53" t="n">
        <f aca="false" ca="false" dt2D="false" dtr="false" t="normal">HEX2DEC(H390)</f>
        <v>0</v>
      </c>
      <c r="I392" s="53" t="n">
        <f aca="false" ca="false" dt2D="false" dtr="false" t="normal">HEX2DEC(I390)</f>
        <v>0</v>
      </c>
      <c r="J392" s="53" t="n">
        <f aca="false" ca="false" dt2D="false" dtr="false" t="normal">HEX2DEC(J390)</f>
        <v>0</v>
      </c>
      <c r="K392" s="53" t="n">
        <f aca="false" ca="false" dt2D="false" dtr="false" t="normal">HEX2DEC(K390)</f>
        <v>0</v>
      </c>
      <c r="L392" s="53" t="n">
        <f aca="false" ca="false" dt2D="false" dtr="false" t="normal">HEX2DEC(L390)</f>
        <v>0</v>
      </c>
      <c r="M392" s="53" t="n">
        <f aca="false" ca="false" dt2D="false" dtr="false" t="normal">SUM(D392:L392)</f>
        <v>81</v>
      </c>
      <c r="N392" s="63" t="n"/>
      <c r="P392" s="136" t="n">
        <f aca="false" ca="false" dt2D="false" dtr="false" t="normal">MID(H391, 2, 1)</f>
        <v>0</v>
      </c>
      <c r="Q392" s="137" t="n">
        <f aca="false" ca="false" dt2D="false" dtr="false" t="normal">P392</f>
        <v>0</v>
      </c>
      <c r="R392" s="120" t="s">
        <v>192</v>
      </c>
      <c r="S392" s="139" t="s">
        <v>1647</v>
      </c>
      <c r="T392" s="136" t="n">
        <f aca="false" ca="false" dt2D="false" dtr="false" t="normal">MID(I391, 2, 1)</f>
        <v>0</v>
      </c>
      <c r="U392" s="137" t="n">
        <f aca="false" ca="false" dt2D="false" dtr="false" t="normal">T392</f>
        <v>0</v>
      </c>
      <c r="V392" s="120" t="s">
        <v>192</v>
      </c>
      <c r="W392" s="139" t="s">
        <v>1648</v>
      </c>
      <c r="X392" s="136" t="n">
        <f aca="false" ca="false" dt2D="false" dtr="false" t="normal">MID(J391, 2, 1)</f>
        <v>0</v>
      </c>
      <c r="Y392" s="137" t="n">
        <f aca="false" ca="false" dt2D="false" dtr="false" t="normal">X392</f>
        <v>0</v>
      </c>
      <c r="Z392" s="120" t="s">
        <v>192</v>
      </c>
      <c r="AA392" s="139" t="s">
        <v>1649</v>
      </c>
      <c r="AB392" s="4302" t="s"/>
      <c r="AC392" s="142" t="s"/>
      <c r="AD392" s="142" t="s"/>
      <c r="AE392" s="4303" t="s"/>
      <c r="AF392" s="4304" t="s"/>
      <c r="AG392" s="142" t="s"/>
      <c r="AH392" s="142" t="s"/>
      <c r="AI392" s="4305" t="s"/>
      <c r="AJ392" s="4306" t="s"/>
      <c r="AK392" s="4307" t="s"/>
    </row>
    <row hidden="false" ht="15" outlineLevel="0" r="393">
      <c r="C393" s="98" t="s">
        <v>194</v>
      </c>
      <c r="D393" s="149" t="n">
        <f aca="false" ca="false" dt2D="false" dtr="false" t="normal">D390</f>
        <v>7</v>
      </c>
      <c r="E393" s="149" t="n">
        <f aca="false" ca="false" dt2D="false" dtr="false" t="normal">E390</f>
        <v>20</v>
      </c>
      <c r="F393" s="53" t="str">
        <f aca="false" ca="false" dt2D="false" dtr="false" t="normal">MID(INDEX($A$3:$A$70, IF(ISNA(MATCH("720G4HA*", $A$3:$A$70, 0))=TRUE, MATCH("7200426*", $A$3:$A$70, 0), MATCH("720G4HA*", $A$3:$A$70, 0))), $AS$8, 2)</f>
        <v>G4</v>
      </c>
      <c r="G393" s="53" t="str">
        <f aca="false" ca="false" dt2D="false" dtr="false" t="normal">MID(INDEX($A$3:$A$70, IF(ISNA(MATCH("720G4HA*", $A$3:$A$70, 0))=TRUE, MATCH("7200426*", $A$3:$A$70, 0), MATCH("720G4HA*", $A$3:$A$70, 0))), $AT$8, 2)</f>
        <v>HA</v>
      </c>
      <c r="N393" s="63" t="n"/>
      <c r="P393" s="136" t="n">
        <f aca="false" ca="false" dt2D="false" dtr="false" t="normal">MID(H391, 3, 1)</f>
        <v>0</v>
      </c>
      <c r="Q393" s="137" t="n">
        <f aca="false" ca="false" dt2D="false" dtr="false" t="normal">P393</f>
        <v>0</v>
      </c>
      <c r="R393" s="120" t="s">
        <v>195</v>
      </c>
      <c r="S393" s="140" t="s">
        <v>1650</v>
      </c>
      <c r="T393" s="136" t="n">
        <f aca="false" ca="false" dt2D="false" dtr="false" t="normal">MID(I391, 3, 1)</f>
        <v>0</v>
      </c>
      <c r="U393" s="137" t="n">
        <f aca="false" ca="false" dt2D="false" dtr="false" t="normal">T393</f>
        <v>0</v>
      </c>
      <c r="V393" s="120" t="s">
        <v>195</v>
      </c>
      <c r="W393" s="139" t="s">
        <v>1651</v>
      </c>
      <c r="X393" s="136" t="n">
        <f aca="false" ca="false" dt2D="false" dtr="false" t="normal">MID(J391, 3, 1)</f>
        <v>0</v>
      </c>
      <c r="Y393" s="137" t="n">
        <f aca="false" ca="false" dt2D="false" dtr="false" t="normal">X393</f>
        <v>0</v>
      </c>
      <c r="Z393" s="120" t="s">
        <v>195</v>
      </c>
      <c r="AA393" s="139" t="s">
        <v>1652</v>
      </c>
      <c r="AB393" s="4308" t="s"/>
      <c r="AC393" s="142" t="s"/>
      <c r="AD393" s="142" t="s"/>
      <c r="AE393" s="4309" t="s"/>
      <c r="AF393" s="4310" t="s"/>
      <c r="AG393" s="142" t="s"/>
      <c r="AH393" s="142" t="s"/>
      <c r="AI393" s="4311" t="s"/>
      <c r="AJ393" s="4312" t="s"/>
      <c r="AK393" s="4313" t="s"/>
    </row>
    <row hidden="false" ht="15.75" outlineLevel="0" r="394">
      <c r="C394" s="98" t="n"/>
      <c r="N394" s="63" t="n"/>
      <c r="P394" s="136" t="n">
        <f aca="false" ca="false" dt2D="false" dtr="false" t="normal">MID(H391, 4, 1)</f>
        <v>0</v>
      </c>
      <c r="Q394" s="137" t="n">
        <f aca="false" ca="false" dt2D="false" dtr="false" t="normal">P394</f>
        <v>0</v>
      </c>
      <c r="R394" s="120" t="s">
        <v>197</v>
      </c>
      <c r="S394" s="4314" t="s"/>
      <c r="T394" s="136" t="n">
        <f aca="false" ca="false" dt2D="false" dtr="false" t="normal">MID(I391, 4, 1)</f>
        <v>0</v>
      </c>
      <c r="U394" s="137" t="n">
        <f aca="false" ca="false" dt2D="false" dtr="false" t="normal">T394</f>
        <v>0</v>
      </c>
      <c r="V394" s="120" t="s">
        <v>197</v>
      </c>
      <c r="W394" s="139" t="s">
        <v>1653</v>
      </c>
      <c r="X394" s="136" t="n">
        <f aca="false" ca="false" dt2D="false" dtr="false" t="normal">MID(J391, 4, 1)</f>
        <v>0</v>
      </c>
      <c r="Y394" s="137" t="n">
        <f aca="false" ca="false" dt2D="false" dtr="false" t="normal">X394</f>
        <v>0</v>
      </c>
      <c r="Z394" s="120" t="s">
        <v>197</v>
      </c>
      <c r="AA394" s="131" t="s">
        <v>196</v>
      </c>
      <c r="AB394" s="4315" t="s"/>
      <c r="AC394" s="142" t="s"/>
      <c r="AD394" s="142" t="s"/>
      <c r="AE394" s="4316" t="s"/>
      <c r="AF394" s="4317" t="s"/>
      <c r="AG394" s="142" t="s"/>
      <c r="AH394" s="142" t="s"/>
      <c r="AI394" s="4318" t="s"/>
      <c r="AJ394" s="4319" t="s"/>
      <c r="AK394" s="4320" t="s"/>
    </row>
    <row hidden="false" ht="15.75" outlineLevel="0" r="395">
      <c r="C395" s="98" t="s">
        <v>176</v>
      </c>
      <c r="D395" s="159" t="n">
        <f aca="false" ca="false" dt2D="false" dtr="false" t="normal">D390</f>
        <v>7</v>
      </c>
      <c r="E395" s="160" t="n">
        <f aca="false" ca="false" dt2D="false" dtr="false" t="normal">E390</f>
        <v>20</v>
      </c>
      <c r="F395" s="160" t="n">
        <f aca="false" ca="false" dt2D="false" dtr="false" t="normal">F390</f>
        <v>4</v>
      </c>
      <c r="G395" s="161" t="n">
        <f aca="false" ca="false" dt2D="false" dtr="false" t="normal">G390</f>
        <v>26</v>
      </c>
      <c r="H395" s="162" t="n">
        <f aca="false" ca="false" dt2D="false" dtr="false" t="normal">BIN2HEX(H396, 2)</f>
        <v>0</v>
      </c>
      <c r="I395" s="163" t="n">
        <f aca="false" ca="false" dt2D="false" dtr="false" t="normal">BIN2HEX(I396, 2)</f>
        <v>0</v>
      </c>
      <c r="J395" s="164" t="n">
        <f aca="false" ca="false" dt2D="false" dtr="false" t="normal">BIN2HEX(J396, 2)</f>
        <v>0</v>
      </c>
      <c r="K395" s="1916" t="n">
        <f aca="false" ca="false" dt2D="false" dtr="false" t="normal">K390</f>
        <v>0</v>
      </c>
      <c r="L395" s="1917" t="n">
        <f aca="false" ca="false" dt2D="false" dtr="false" t="normal">L390</f>
        <v>0</v>
      </c>
      <c r="M395" s="166" t="n">
        <f aca="false" ca="false" dt2D="false" dtr="false" t="normal">IF(LEN(M396)&gt;2, MID(M396, 2, 2), M396)</f>
        <v>51</v>
      </c>
      <c r="N395" s="63" t="s">
        <v>181</v>
      </c>
      <c r="P395" s="136" t="n">
        <f aca="false" ca="false" dt2D="false" dtr="false" t="normal">MID(H391, 5, 1)</f>
        <v>0</v>
      </c>
      <c r="Q395" s="137" t="n">
        <f aca="false" ca="false" dt2D="false" dtr="false" t="normal">P395</f>
        <v>0</v>
      </c>
      <c r="R395" s="120" t="s">
        <v>200</v>
      </c>
      <c r="S395" s="139" t="s">
        <v>1654</v>
      </c>
      <c r="T395" s="136" t="n">
        <f aca="false" ca="false" dt2D="false" dtr="false" t="normal">MID(I391, 5, 1)</f>
        <v>0</v>
      </c>
      <c r="U395" s="137" t="n">
        <f aca="false" ca="false" dt2D="false" dtr="false" t="normal">T395</f>
        <v>0</v>
      </c>
      <c r="V395" s="120" t="s">
        <v>200</v>
      </c>
      <c r="W395" s="139" t="s">
        <v>1655</v>
      </c>
      <c r="X395" s="136" t="n">
        <f aca="false" ca="false" dt2D="false" dtr="false" t="normal">MID(J391, 5, 1)</f>
        <v>0</v>
      </c>
      <c r="Y395" s="137" t="n">
        <f aca="false" ca="false" dt2D="false" dtr="false" t="normal">X395</f>
        <v>0</v>
      </c>
      <c r="Z395" s="120" t="s">
        <v>200</v>
      </c>
      <c r="AA395" s="139" t="s">
        <v>1656</v>
      </c>
      <c r="AB395" s="4321" t="s"/>
      <c r="AC395" s="142" t="s"/>
      <c r="AD395" s="142" t="s"/>
      <c r="AE395" s="4322" t="s"/>
      <c r="AF395" s="4323" t="s"/>
      <c r="AG395" s="142" t="s"/>
      <c r="AH395" s="142" t="s"/>
      <c r="AI395" s="4324" t="s"/>
      <c r="AJ395" s="4325" t="s"/>
      <c r="AK395" s="4326" t="s"/>
    </row>
    <row hidden="false" ht="15" outlineLevel="0" r="396">
      <c r="C396" s="98" t="s">
        <v>185</v>
      </c>
      <c r="D396" s="53" t="n">
        <f aca="false" ca="false" dt2D="false" dtr="false" t="normal">HEX2BIN(D395, 8)</f>
        <v>111</v>
      </c>
      <c r="E396" s="53" t="n">
        <f aca="false" ca="false" dt2D="false" dtr="false" t="normal">HEX2BIN(E395, 8)</f>
        <v>100000</v>
      </c>
      <c r="F396" s="53" t="n">
        <f aca="false" ca="false" dt2D="false" dtr="false" t="normal">HEX2BIN(F395, 8)</f>
        <v>100</v>
      </c>
      <c r="G396" s="53" t="n">
        <f aca="false" ca="false" dt2D="false" dtr="false" t="normal">HEX2BIN(G395, 8)</f>
        <v>100110</v>
      </c>
      <c r="H396" s="171" t="n">
        <f aca="false" ca="false" dt2D="false" dtr="false" t="normal">Q391&amp;Q392&amp;Q393&amp;Q394&amp;Q395&amp;Q396&amp;Q397&amp;Q398</f>
        <v>0</v>
      </c>
      <c r="I396" s="53" t="n">
        <f aca="false" ca="false" dt2D="false" dtr="false" t="normal">U391&amp;U392&amp;U393&amp;U394&amp;U395&amp;U396&amp;U397&amp;U398</f>
        <v>0</v>
      </c>
      <c r="J396" s="171" t="n">
        <f aca="false" ca="false" dt2D="false" dtr="false" t="normal">Y391&amp;Y392&amp;Y393&amp;Y394&amp;Y395&amp;Y396&amp;Y397&amp;Y398</f>
        <v>0</v>
      </c>
      <c r="K396" s="171" t="n"/>
      <c r="L396" s="53" t="n"/>
      <c r="M396" s="53" t="n">
        <f aca="false" ca="false" dt2D="false" dtr="false" t="normal">DEC2HEX(M397)</f>
        <v>51</v>
      </c>
      <c r="N396" s="63" t="n"/>
      <c r="P396" s="136" t="n">
        <f aca="false" ca="false" dt2D="false" dtr="false" t="normal">MID(H391, 6, 1)</f>
        <v>0</v>
      </c>
      <c r="Q396" s="137" t="n">
        <f aca="false" ca="false" dt2D="false" dtr="false" t="normal">P396</f>
        <v>0</v>
      </c>
      <c r="R396" s="120" t="s">
        <v>203</v>
      </c>
      <c r="S396" s="139" t="s">
        <v>1142</v>
      </c>
      <c r="T396" s="136" t="n">
        <f aca="false" ca="false" dt2D="false" dtr="false" t="normal">MID(I391, 6, 1)</f>
        <v>0</v>
      </c>
      <c r="U396" s="137" t="n">
        <f aca="false" ca="false" dt2D="false" dtr="false" t="normal">T396</f>
        <v>0</v>
      </c>
      <c r="V396" s="120" t="s">
        <v>203</v>
      </c>
      <c r="W396" s="139" t="s">
        <v>1275</v>
      </c>
      <c r="X396" s="136" t="n">
        <f aca="false" ca="false" dt2D="false" dtr="false" t="normal">MID(J391, 6, 1)</f>
        <v>0</v>
      </c>
      <c r="Y396" s="137" t="n">
        <f aca="false" ca="false" dt2D="false" dtr="false" t="normal">X396</f>
        <v>0</v>
      </c>
      <c r="Z396" s="120" t="s">
        <v>203</v>
      </c>
      <c r="AA396" s="131" t="s">
        <v>196</v>
      </c>
      <c r="AB396" s="4327" t="s"/>
      <c r="AC396" s="142" t="s"/>
      <c r="AD396" s="142" t="s"/>
      <c r="AE396" s="4328" t="s"/>
      <c r="AF396" s="4329" t="s"/>
      <c r="AG396" s="142" t="s"/>
      <c r="AH396" s="142" t="s"/>
      <c r="AI396" s="4330" t="s"/>
      <c r="AJ396" s="4331" t="s"/>
      <c r="AK396" s="4332" t="s"/>
    </row>
    <row hidden="false" ht="15" outlineLevel="0" r="397">
      <c r="C397" s="98" t="s">
        <v>191</v>
      </c>
      <c r="D397" s="53" t="n">
        <f aca="false" ca="false" dt2D="false" dtr="false" t="normal">HEX2DEC(D395)</f>
        <v>7</v>
      </c>
      <c r="E397" s="53" t="n">
        <f aca="false" ca="false" dt2D="false" dtr="false" t="normal">HEX2DEC(E395)</f>
        <v>32</v>
      </c>
      <c r="F397" s="53" t="n">
        <f aca="false" ca="false" dt2D="false" dtr="false" t="normal">HEX2DEC(F395)</f>
        <v>4</v>
      </c>
      <c r="G397" s="53" t="n">
        <f aca="false" ca="false" dt2D="false" dtr="false" t="normal">HEX2DEC(G395)</f>
        <v>38</v>
      </c>
      <c r="H397" s="53" t="n">
        <f aca="false" ca="false" dt2D="false" dtr="false" t="normal">HEX2DEC(H395)</f>
        <v>0</v>
      </c>
      <c r="I397" s="53" t="n">
        <f aca="false" ca="false" dt2D="false" dtr="false" t="normal">HEX2DEC(I395)</f>
        <v>0</v>
      </c>
      <c r="J397" s="53" t="n">
        <f aca="false" ca="false" dt2D="false" dtr="false" t="normal">HEX2DEC(J395)</f>
        <v>0</v>
      </c>
      <c r="K397" s="53" t="n">
        <f aca="false" ca="false" dt2D="false" dtr="false" t="normal">HEX2DEC(K395)</f>
        <v>0</v>
      </c>
      <c r="L397" s="53" t="n">
        <f aca="false" ca="false" dt2D="false" dtr="false" t="normal">HEX2DEC(L395)</f>
        <v>0</v>
      </c>
      <c r="M397" s="53" t="n">
        <f aca="false" ca="false" dt2D="false" dtr="false" t="normal">SUM(D397:L397)</f>
        <v>81</v>
      </c>
      <c r="N397" s="63" t="n"/>
      <c r="P397" s="136" t="n">
        <f aca="false" ca="false" dt2D="false" dtr="false" t="normal">MID(H391, 7, 1)</f>
        <v>0</v>
      </c>
      <c r="Q397" s="137" t="n">
        <f aca="false" ca="false" dt2D="false" dtr="false" t="normal">P397</f>
        <v>0</v>
      </c>
      <c r="R397" s="120" t="s">
        <v>206</v>
      </c>
      <c r="S397" s="139" t="s">
        <v>1142</v>
      </c>
      <c r="T397" s="136" t="n">
        <f aca="false" ca="false" dt2D="false" dtr="false" t="normal">MID(I391, 7, 1)</f>
        <v>0</v>
      </c>
      <c r="U397" s="137" t="n">
        <f aca="false" ca="false" dt2D="false" dtr="false" t="normal">T397</f>
        <v>0</v>
      </c>
      <c r="V397" s="120" t="s">
        <v>206</v>
      </c>
      <c r="W397" s="139" t="s">
        <v>1275</v>
      </c>
      <c r="X397" s="136" t="n">
        <f aca="false" ca="false" dt2D="false" dtr="false" t="normal">MID(J391, 7, 1)</f>
        <v>0</v>
      </c>
      <c r="Y397" s="137" t="n">
        <f aca="false" ca="false" dt2D="false" dtr="false" t="normal">X397</f>
        <v>0</v>
      </c>
      <c r="Z397" s="120" t="s">
        <v>206</v>
      </c>
      <c r="AA397" s="654" t="s">
        <v>1657</v>
      </c>
      <c r="AB397" s="4333" t="s"/>
      <c r="AC397" s="142" t="s"/>
      <c r="AD397" s="142" t="s"/>
      <c r="AE397" s="4334" t="s"/>
      <c r="AF397" s="4335" t="s"/>
      <c r="AG397" s="142" t="s"/>
      <c r="AH397" s="142" t="s"/>
      <c r="AI397" s="4336" t="s"/>
      <c r="AJ397" s="4337" t="s"/>
      <c r="AK397" s="4338" t="s"/>
    </row>
    <row hidden="false" ht="15.75" outlineLevel="0" r="398">
      <c r="C398" s="180" t="s">
        <v>194</v>
      </c>
      <c r="D398" s="299" t="n">
        <f aca="false" ca="false" dt2D="false" dtr="false" t="normal">D393</f>
        <v>7</v>
      </c>
      <c r="E398" s="299" t="n">
        <f aca="false" ca="false" dt2D="false" dtr="false" t="normal">E393</f>
        <v>20</v>
      </c>
      <c r="F398" s="299" t="str">
        <f aca="false" ca="false" dt2D="false" dtr="false" t="normal">F393</f>
        <v>G4</v>
      </c>
      <c r="G398" s="299" t="str">
        <f aca="false" ca="false" dt2D="false" dtr="false" t="normal">G393</f>
        <v>HA</v>
      </c>
      <c r="H398" s="45" t="n"/>
      <c r="I398" s="45" t="n"/>
      <c r="J398" s="45" t="n"/>
      <c r="K398" s="45" t="n"/>
      <c r="L398" s="45" t="n"/>
      <c r="M398" s="45" t="n"/>
      <c r="N398" s="49" t="n"/>
      <c r="P398" s="182" t="n">
        <f aca="false" ca="false" dt2D="false" dtr="false" t="normal">MID(H391, 8, 1)</f>
        <v>0</v>
      </c>
      <c r="Q398" s="183" t="n">
        <f aca="false" ca="false" dt2D="false" dtr="false" t="normal">P398</f>
        <v>0</v>
      </c>
      <c r="R398" s="184" t="s">
        <v>208</v>
      </c>
      <c r="S398" s="187" t="s">
        <v>1658</v>
      </c>
      <c r="T398" s="182" t="n">
        <f aca="false" ca="false" dt2D="false" dtr="false" t="normal">MID(I391, 8, 1)</f>
        <v>0</v>
      </c>
      <c r="U398" s="183" t="n">
        <f aca="false" ca="false" dt2D="false" dtr="false" t="normal">T398</f>
        <v>0</v>
      </c>
      <c r="V398" s="184" t="s">
        <v>208</v>
      </c>
      <c r="W398" s="185" t="s">
        <v>196</v>
      </c>
      <c r="X398" s="182" t="n">
        <f aca="false" ca="false" dt2D="false" dtr="false" t="normal">MID(J391, 8, 1)</f>
        <v>0</v>
      </c>
      <c r="Y398" s="183" t="n">
        <f aca="false" ca="false" dt2D="false" dtr="false" t="normal">X398</f>
        <v>0</v>
      </c>
      <c r="Z398" s="184" t="s">
        <v>208</v>
      </c>
      <c r="AA398" s="4339" t="s"/>
      <c r="AB398" s="4340" t="s"/>
      <c r="AC398" s="4341" t="s"/>
      <c r="AD398" s="4342" t="s"/>
      <c r="AE398" s="4343" t="s"/>
      <c r="AF398" s="4344" t="s"/>
      <c r="AG398" s="4345" t="s"/>
      <c r="AH398" s="4346" t="s"/>
      <c r="AI398" s="4347" t="s"/>
      <c r="AJ398" s="4348" t="s"/>
      <c r="AK398" s="4349" t="s"/>
    </row>
    <row hidden="false" ht="15.75" outlineLevel="0" r="399">
      <c r="C399" s="93" t="n"/>
      <c r="D399" s="94" t="n"/>
      <c r="E399" s="94" t="n"/>
      <c r="F399" s="94" t="n"/>
      <c r="G399" s="94" t="n"/>
      <c r="H399" s="94" t="n"/>
      <c r="I399" s="94" t="n"/>
      <c r="J399" s="94" t="n"/>
      <c r="K399" s="94" t="n"/>
      <c r="L399" s="94" t="n"/>
      <c r="M399" s="94" t="s">
        <v>161</v>
      </c>
      <c r="N399" s="60" t="n"/>
      <c r="P399" s="95" t="str">
        <f aca="false" ca="false" dt2D="false" dtr="false" t="normal">RIGHT(D401, 1)&amp;E401&amp;"-"&amp;F401&amp;"-"&amp;G401</f>
        <v>720-04-27</v>
      </c>
      <c r="Q399" s="4350" t="s"/>
      <c r="R399" s="234" t="s">
        <v>1659</v>
      </c>
      <c r="S399" s="4351" t="s"/>
      <c r="T399" s="4352" t="s"/>
      <c r="U399" s="4353" t="s"/>
      <c r="V399" s="4354" t="s"/>
      <c r="W399" s="4355" t="s"/>
      <c r="X399" s="4356" t="s"/>
      <c r="Y399" s="4357" t="s"/>
      <c r="Z399" s="4358" t="s"/>
      <c r="AA399" s="4359" t="s"/>
      <c r="AB399" s="4360" t="s"/>
      <c r="AC399" s="4361" t="s"/>
      <c r="AD399" s="4362" t="s"/>
      <c r="AE399" s="4363" t="s"/>
      <c r="AF399" s="4364" t="s"/>
      <c r="AG399" s="4365" t="s"/>
      <c r="AH399" s="4366" t="s"/>
      <c r="AI399" s="4367" t="s"/>
      <c r="AJ399" s="4368" t="s"/>
      <c r="AK399" s="4369" t="s"/>
    </row>
    <row hidden="false" ht="15.75" outlineLevel="0" r="400">
      <c r="C400" s="98" t="n"/>
      <c r="D400" s="99" t="s">
        <v>1660</v>
      </c>
      <c r="E400" s="4370" t="s"/>
      <c r="F400" s="4371" t="s"/>
      <c r="G400" s="4372" t="s"/>
      <c r="H400" s="53" t="s">
        <v>165</v>
      </c>
      <c r="I400" s="53" t="s">
        <v>166</v>
      </c>
      <c r="J400" s="53" t="s">
        <v>167</v>
      </c>
      <c r="K400" s="53" t="s">
        <v>168</v>
      </c>
      <c r="L400" s="53" t="s">
        <v>169</v>
      </c>
      <c r="M400" s="53" t="s">
        <v>221</v>
      </c>
      <c r="N400" s="63" t="n"/>
      <c r="P400" s="103" t="s">
        <v>1661</v>
      </c>
      <c r="Q400" s="4373" t="s"/>
      <c r="R400" s="4374" t="s"/>
      <c r="S400" s="4375" t="s"/>
      <c r="T400" s="103" t="s">
        <v>1662</v>
      </c>
      <c r="U400" s="4376" t="s"/>
      <c r="V400" s="4377" t="s"/>
      <c r="W400" s="4378" t="s"/>
      <c r="X400" s="103" t="s">
        <v>1663</v>
      </c>
      <c r="Y400" s="4379" t="s"/>
      <c r="Z400" s="4380" t="s"/>
      <c r="AA400" s="4381" t="s"/>
      <c r="AB400" s="103" t="s">
        <v>1664</v>
      </c>
      <c r="AC400" s="4382" t="s"/>
      <c r="AD400" s="4383" t="s"/>
      <c r="AE400" s="4384" t="s"/>
      <c r="AF400" s="103" t="s">
        <v>1665</v>
      </c>
      <c r="AG400" s="4385" t="s"/>
      <c r="AH400" s="4386" t="s"/>
      <c r="AI400" s="4387" t="s"/>
      <c r="AJ400" s="116" t="s">
        <v>1666</v>
      </c>
      <c r="AK400" s="4388" t="s"/>
    </row>
    <row hidden="false" ht="15.75" outlineLevel="0" r="401">
      <c r="C401" s="98" t="s">
        <v>176</v>
      </c>
      <c r="D401" s="122" t="s">
        <v>177</v>
      </c>
      <c r="E401" s="123" t="s">
        <v>693</v>
      </c>
      <c r="F401" s="123" t="s">
        <v>342</v>
      </c>
      <c r="G401" s="124" t="s">
        <v>1667</v>
      </c>
      <c r="H401" s="1819" t="n">
        <f aca="false" ca="false" dt2D="false" dtr="false" ref="H401:H401" t="array">MID(INDEX($A$3:$A$70, IF(ISNA(MATCH("720G4HB*", $A$3:$A$70, 0))=TRUE, MATCH("7200427*", $A$3:$A$70, 0), MATCH("720G4HB*", $A$3:$A$70, 0))), $AU$8, 2)</f>
        <v>0</v>
      </c>
      <c r="I401" s="1820" t="n">
        <f aca="false" ca="false" dt2D="false" dtr="false" ref="I401:I401" t="array">MID(INDEX($A$3:$A$70, IF(ISNA(MATCH("720G4HB*", $A$3:$A$70, 0))=TRUE, MATCH("7200427*", $A$3:$A$70, 0), MATCH("720G4HB*", $A$3:$A$70, 0))), $AV$8, 2)</f>
        <v>0</v>
      </c>
      <c r="J401" s="164" t="n">
        <f aca="false" ca="false" dt2D="false" dtr="false" ref="J401:J401" t="array">MID(INDEX($A$3:$A$70, IF(ISNA(MATCH("720G4HB*", $A$3:$A$70, 0))=TRUE, MATCH("7200427*", $A$3:$A$70, 0), MATCH("720G4HB*", $A$3:$A$70, 0))), $AW$8, 2)</f>
        <v>0</v>
      </c>
      <c r="K401" s="1820" t="n">
        <f aca="false" ca="false" dt2D="false" dtr="false" ref="K401:K401" t="array">MID(INDEX($A$3:$A$70, IF(ISNA(MATCH("720G4HB*", $A$3:$A$70, 0))=TRUE, MATCH("7200427*", $A$3:$A$70, 0), MATCH("720G4HB*", $A$3:$A$70, 0))), $AX$8, 2)</f>
        <v>0</v>
      </c>
      <c r="L401" s="1821" t="n">
        <f aca="false" ca="false" dt2D="false" dtr="false" ref="L401:L401" t="array">MID(INDEX($A$3:$A$70, IF(ISNA(MATCH("720G4HB*", $A$3:$A$70, 0))=TRUE, MATCH("7200427*", $A$3:$A$70, 0), MATCH("720G4HB*", $A$3:$A$70, 0))), $AY$8, 2)</f>
        <v>0</v>
      </c>
      <c r="M401" s="218" t="n">
        <f aca="false" ca="false" dt2D="false" dtr="false" ref="M401:M401" t="array">MID(INDEX($A$3:$A$70, IF(ISNA(MATCH("720G4HB*", $A$3:$A$70, 0))=TRUE, MATCH("7200427*", $A$3:$A$70, 0), MATCH("720G4HB*", $A$3:$A$70, 0))), $AZ$8, 2)</f>
        <v>52</v>
      </c>
      <c r="N401" s="63" t="s">
        <v>180</v>
      </c>
      <c r="P401" s="129" t="s">
        <v>180</v>
      </c>
      <c r="Q401" s="130" t="s">
        <v>181</v>
      </c>
      <c r="R401" s="121" t="s">
        <v>182</v>
      </c>
      <c r="S401" s="131" t="n"/>
      <c r="T401" s="129" t="s">
        <v>180</v>
      </c>
      <c r="U401" s="130" t="s">
        <v>181</v>
      </c>
      <c r="V401" s="121" t="s">
        <v>182</v>
      </c>
      <c r="W401" s="131" t="n"/>
      <c r="X401" s="129" t="s">
        <v>180</v>
      </c>
      <c r="Y401" s="130" t="s">
        <v>181</v>
      </c>
      <c r="Z401" s="121" t="s">
        <v>182</v>
      </c>
      <c r="AA401" s="131" t="n"/>
      <c r="AB401" s="129" t="s">
        <v>180</v>
      </c>
      <c r="AC401" s="130" t="s">
        <v>181</v>
      </c>
      <c r="AD401" s="121" t="s">
        <v>182</v>
      </c>
      <c r="AE401" s="131" t="n"/>
      <c r="AF401" s="129" t="s">
        <v>180</v>
      </c>
      <c r="AG401" s="130" t="s">
        <v>181</v>
      </c>
      <c r="AH401" s="121" t="s">
        <v>182</v>
      </c>
      <c r="AI401" s="121" t="n"/>
      <c r="AJ401" s="116" t="s">
        <v>183</v>
      </c>
      <c r="AK401" s="4389" t="s"/>
    </row>
    <row hidden="false" ht="15" outlineLevel="0" r="402">
      <c r="C402" s="98" t="s">
        <v>185</v>
      </c>
      <c r="D402" s="53" t="n">
        <f aca="false" ca="false" dt2D="false" dtr="false" t="normal">HEX2BIN(D401, 8)</f>
        <v>111</v>
      </c>
      <c r="E402" s="53" t="n">
        <f aca="false" ca="false" dt2D="false" dtr="false" t="normal">HEX2BIN(E401, 8)</f>
        <v>100000</v>
      </c>
      <c r="F402" s="53" t="n">
        <f aca="false" ca="false" dt2D="false" dtr="false" t="normal">HEX2BIN(F401, 8)</f>
        <v>100</v>
      </c>
      <c r="G402" s="53" t="n">
        <f aca="false" ca="false" dt2D="false" dtr="false" t="normal">HEX2BIN(G401, 8)</f>
        <v>100111</v>
      </c>
      <c r="H402" s="53" t="n">
        <f aca="false" ca="false" dt2D="false" dtr="false" t="normal">HEX2BIN(H401, 8)</f>
        <v>0</v>
      </c>
      <c r="I402" s="53" t="n">
        <f aca="false" ca="false" dt2D="false" dtr="false" t="normal">HEX2BIN(I401, 8)</f>
        <v>0</v>
      </c>
      <c r="J402" s="53" t="n">
        <f aca="false" ca="false" dt2D="false" dtr="false" t="normal">HEX2BIN(J401, 8)</f>
        <v>0</v>
      </c>
      <c r="K402" s="53" t="n">
        <f aca="false" ca="false" dt2D="false" dtr="false" t="normal">HEX2BIN(K401, 8)</f>
        <v>0</v>
      </c>
      <c r="L402" s="53" t="n">
        <f aca="false" ca="false" dt2D="false" dtr="false" t="normal">HEX2BIN(L401, 8)</f>
        <v>0</v>
      </c>
      <c r="N402" s="63" t="n"/>
      <c r="P402" s="136" t="n">
        <f aca="false" ca="false" dt2D="false" dtr="false" t="normal">MID(H402, 1, 1)</f>
        <v>0</v>
      </c>
      <c r="Q402" s="137" t="n">
        <f aca="false" ca="false" dt2D="false" dtr="false" t="normal">P402</f>
        <v>0</v>
      </c>
      <c r="R402" s="120" t="s">
        <v>186</v>
      </c>
      <c r="S402" s="139" t="s">
        <v>1668</v>
      </c>
      <c r="T402" s="136" t="n">
        <f aca="false" ca="false" dt2D="false" dtr="false" t="normal">MID(I402, 1, 1)</f>
        <v>0</v>
      </c>
      <c r="U402" s="137" t="n">
        <f aca="false" ca="false" dt2D="false" dtr="false" t="normal">T402</f>
        <v>0</v>
      </c>
      <c r="V402" s="120" t="s">
        <v>186</v>
      </c>
      <c r="W402" s="131" t="s">
        <v>196</v>
      </c>
      <c r="X402" s="136" t="n">
        <f aca="false" ca="false" dt2D="false" dtr="false" t="normal">MID(J402, 1, 1)</f>
        <v>0</v>
      </c>
      <c r="Y402" s="137" t="n">
        <f aca="false" ca="false" dt2D="false" dtr="false" t="normal">X402</f>
        <v>0</v>
      </c>
      <c r="Z402" s="120" t="s">
        <v>186</v>
      </c>
      <c r="AA402" s="131" t="s">
        <v>196</v>
      </c>
      <c r="AB402" s="136" t="n">
        <f aca="false" ca="false" dt2D="false" dtr="false" t="normal">MID(K402, 1, 1)</f>
        <v>0</v>
      </c>
      <c r="AC402" s="137" t="n">
        <f aca="false" ca="false" dt2D="false" dtr="false" t="normal">AB402</f>
        <v>0</v>
      </c>
      <c r="AD402" s="120" t="s">
        <v>186</v>
      </c>
      <c r="AE402" s="139" t="s">
        <v>1669</v>
      </c>
      <c r="AF402" s="136" t="n">
        <f aca="false" ca="false" dt2D="false" dtr="false" t="normal">MID(L402, 1, 1)</f>
        <v>0</v>
      </c>
      <c r="AG402" s="137" t="n">
        <f aca="false" ca="false" dt2D="false" dtr="false" t="normal">AF402</f>
        <v>0</v>
      </c>
      <c r="AH402" s="120" t="s">
        <v>186</v>
      </c>
      <c r="AI402" s="139" t="s">
        <v>1670</v>
      </c>
      <c r="AJ402" s="4390" t="s"/>
      <c r="AK402" s="4391" t="s"/>
    </row>
    <row hidden="false" ht="15" outlineLevel="0" r="403">
      <c r="C403" s="98" t="s">
        <v>191</v>
      </c>
      <c r="D403" s="53" t="n">
        <f aca="false" ca="false" dt2D="false" dtr="false" t="normal">HEX2DEC(D401)</f>
        <v>7</v>
      </c>
      <c r="E403" s="53" t="n">
        <f aca="false" ca="false" dt2D="false" dtr="false" t="normal">HEX2DEC(E401)</f>
        <v>32</v>
      </c>
      <c r="F403" s="53" t="n">
        <f aca="false" ca="false" dt2D="false" dtr="false" t="normal">HEX2DEC(F401)</f>
        <v>4</v>
      </c>
      <c r="G403" s="53" t="n">
        <f aca="false" ca="false" dt2D="false" dtr="false" t="normal">HEX2DEC(G401)</f>
        <v>39</v>
      </c>
      <c r="H403" s="53" t="n">
        <f aca="false" ca="false" dt2D="false" dtr="false" t="normal">HEX2DEC(H401)</f>
        <v>0</v>
      </c>
      <c r="I403" s="53" t="n">
        <f aca="false" ca="false" dt2D="false" dtr="false" t="normal">HEX2DEC(I401)</f>
        <v>0</v>
      </c>
      <c r="J403" s="53" t="n">
        <f aca="false" ca="false" dt2D="false" dtr="false" t="normal">HEX2DEC(J401)</f>
        <v>0</v>
      </c>
      <c r="K403" s="53" t="n">
        <f aca="false" ca="false" dt2D="false" dtr="false" t="normal">HEX2DEC(K401)</f>
        <v>0</v>
      </c>
      <c r="L403" s="53" t="n">
        <f aca="false" ca="false" dt2D="false" dtr="false" t="normal">HEX2DEC(L401)</f>
        <v>0</v>
      </c>
      <c r="M403" s="53" t="n">
        <f aca="false" ca="false" dt2D="false" dtr="false" t="normal">SUM(D403:L403)</f>
        <v>82</v>
      </c>
      <c r="N403" s="63" t="n"/>
      <c r="P403" s="136" t="n">
        <f aca="false" ca="false" dt2D="false" dtr="false" t="normal">MID(H402, 2, 1)</f>
        <v>0</v>
      </c>
      <c r="Q403" s="137" t="n">
        <f aca="false" ca="false" dt2D="false" dtr="false" t="normal">P403</f>
        <v>0</v>
      </c>
      <c r="R403" s="120" t="s">
        <v>192</v>
      </c>
      <c r="S403" s="139" t="s">
        <v>1671</v>
      </c>
      <c r="T403" s="136" t="n">
        <f aca="false" ca="false" dt2D="false" dtr="false" t="normal">MID(I402, 2, 1)</f>
        <v>0</v>
      </c>
      <c r="U403" s="137" t="n">
        <f aca="false" ca="false" dt2D="false" dtr="false" t="normal">T403</f>
        <v>0</v>
      </c>
      <c r="V403" s="120" t="s">
        <v>192</v>
      </c>
      <c r="W403" s="131" t="s">
        <v>196</v>
      </c>
      <c r="X403" s="136" t="n">
        <f aca="false" ca="false" dt2D="false" dtr="false" t="normal">MID(J402, 2, 1)</f>
        <v>0</v>
      </c>
      <c r="Y403" s="137" t="n">
        <f aca="false" ca="false" dt2D="false" dtr="false" t="normal">X403</f>
        <v>0</v>
      </c>
      <c r="Z403" s="120" t="s">
        <v>192</v>
      </c>
      <c r="AA403" s="139" t="s">
        <v>1672</v>
      </c>
      <c r="AB403" s="136" t="n">
        <f aca="false" ca="false" dt2D="false" dtr="false" t="normal">MID(K402, 2, 1)</f>
        <v>0</v>
      </c>
      <c r="AC403" s="137" t="n">
        <f aca="false" ca="false" dt2D="false" dtr="false" t="normal">AB403</f>
        <v>0</v>
      </c>
      <c r="AD403" s="120" t="s">
        <v>192</v>
      </c>
      <c r="AE403" s="139" t="s">
        <v>1673</v>
      </c>
      <c r="AF403" s="136" t="n">
        <f aca="false" ca="false" dt2D="false" dtr="false" t="normal">MID(L402, 2, 1)</f>
        <v>0</v>
      </c>
      <c r="AG403" s="137" t="n">
        <f aca="false" ca="false" dt2D="false" dtr="false" t="normal">AF403</f>
        <v>0</v>
      </c>
      <c r="AH403" s="120" t="s">
        <v>192</v>
      </c>
      <c r="AI403" s="139" t="s">
        <v>1674</v>
      </c>
      <c r="AJ403" s="4392" t="s"/>
      <c r="AK403" s="4393" t="s"/>
    </row>
    <row hidden="false" ht="15" outlineLevel="0" r="404">
      <c r="C404" s="98" t="s">
        <v>194</v>
      </c>
      <c r="D404" s="149" t="n">
        <f aca="false" ca="false" dt2D="false" dtr="false" t="normal">D401</f>
        <v>7</v>
      </c>
      <c r="E404" s="149" t="n">
        <f aca="false" ca="false" dt2D="false" dtr="false" t="normal">E401</f>
        <v>20</v>
      </c>
      <c r="F404" s="53" t="str">
        <f aca="false" ca="false" dt2D="false" dtr="false" t="normal">MID(INDEX($A$3:$A$70, IF(ISNA(MATCH("720G4HB*", $A$3:$A$70, 0))=TRUE, MATCH("7200427*", $A$3:$A$70, 0), MATCH("720G4HB*", $A$3:$A$70, 0))), $AS$8, 2)</f>
        <v>G4</v>
      </c>
      <c r="G404" s="53" t="str">
        <f aca="false" ca="false" dt2D="false" dtr="false" t="normal">MID(INDEX($A$3:$A$70, IF(ISNA(MATCH("720G4HB*", $A$3:$A$70, 0))=TRUE, MATCH("7200427*", $A$3:$A$70, 0), MATCH("720G4HB*", $A$3:$A$70, 0))), $AT$8, 2)</f>
        <v>HB</v>
      </c>
      <c r="N404" s="63" t="n"/>
      <c r="P404" s="136" t="n">
        <f aca="false" ca="false" dt2D="false" dtr="false" t="normal">MID(H402, 3, 1)</f>
        <v>0</v>
      </c>
      <c r="Q404" s="137" t="n">
        <f aca="false" ca="false" dt2D="false" dtr="false" t="normal">P404</f>
        <v>0</v>
      </c>
      <c r="R404" s="120" t="s">
        <v>195</v>
      </c>
      <c r="S404" s="4394" t="s">
        <v>1675</v>
      </c>
      <c r="T404" s="136" t="n">
        <f aca="false" ca="false" dt2D="false" dtr="false" t="normal">MID(I402, 3, 1)</f>
        <v>0</v>
      </c>
      <c r="U404" s="137" t="n">
        <f aca="false" ca="false" dt2D="false" dtr="false" t="normal">T404</f>
        <v>0</v>
      </c>
      <c r="V404" s="120" t="s">
        <v>195</v>
      </c>
      <c r="W404" s="1193" t="s">
        <v>1676</v>
      </c>
      <c r="X404" s="136" t="n">
        <f aca="false" ca="false" dt2D="false" dtr="false" t="normal">MID(J402, 3, 1)</f>
        <v>0</v>
      </c>
      <c r="Y404" s="137" t="n">
        <f aca="false" ca="false" dt2D="false" dtr="false" t="normal">X404</f>
        <v>0</v>
      </c>
      <c r="Z404" s="120" t="s">
        <v>195</v>
      </c>
      <c r="AA404" s="131" t="s">
        <v>196</v>
      </c>
      <c r="AB404" s="136" t="n">
        <f aca="false" ca="false" dt2D="false" dtr="false" t="normal">MID(K402, 3, 1)</f>
        <v>0</v>
      </c>
      <c r="AC404" s="137" t="n">
        <f aca="false" ca="false" dt2D="false" dtr="false" t="normal">AB404</f>
        <v>0</v>
      </c>
      <c r="AD404" s="120" t="s">
        <v>195</v>
      </c>
      <c r="AE404" s="139" t="s">
        <v>1677</v>
      </c>
      <c r="AF404" s="136" t="n">
        <f aca="false" ca="false" dt2D="false" dtr="false" t="normal">MID(L402, 3, 1)</f>
        <v>0</v>
      </c>
      <c r="AG404" s="137" t="n">
        <f aca="false" ca="false" dt2D="false" dtr="false" t="normal">AF404</f>
        <v>0</v>
      </c>
      <c r="AH404" s="120" t="s">
        <v>195</v>
      </c>
      <c r="AI404" s="139" t="s">
        <v>1678</v>
      </c>
      <c r="AJ404" s="4395" t="s"/>
      <c r="AK404" s="4396" t="s"/>
    </row>
    <row hidden="false" ht="15.75" outlineLevel="0" r="405">
      <c r="C405" s="98" t="n"/>
      <c r="N405" s="63" t="n"/>
      <c r="P405" s="136" t="n">
        <f aca="false" ca="false" dt2D="false" dtr="false" t="normal">MID(H402, 4, 1)</f>
        <v>0</v>
      </c>
      <c r="Q405" s="137" t="n">
        <f aca="false" ca="false" dt2D="false" dtr="false" t="normal">P405</f>
        <v>0</v>
      </c>
      <c r="R405" s="120" t="s">
        <v>197</v>
      </c>
      <c r="S405" s="131" t="s">
        <v>196</v>
      </c>
      <c r="T405" s="136" t="n">
        <f aca="false" ca="false" dt2D="false" dtr="false" t="normal">MID(I402, 4, 1)</f>
        <v>0</v>
      </c>
      <c r="U405" s="137" t="n">
        <f aca="false" ca="false" dt2D="false" dtr="false" t="normal">T405</f>
        <v>0</v>
      </c>
      <c r="V405" s="120" t="s">
        <v>197</v>
      </c>
      <c r="W405" s="1193" t="s">
        <v>1679</v>
      </c>
      <c r="X405" s="136" t="n">
        <f aca="false" ca="false" dt2D="false" dtr="false" t="normal">MID(J402, 4, 1)</f>
        <v>0</v>
      </c>
      <c r="Y405" s="137" t="n">
        <f aca="false" ca="false" dt2D="false" dtr="false" t="normal">X405</f>
        <v>0</v>
      </c>
      <c r="Z405" s="120" t="s">
        <v>197</v>
      </c>
      <c r="AA405" s="131" t="s">
        <v>196</v>
      </c>
      <c r="AB405" s="136" t="n">
        <f aca="false" ca="false" dt2D="false" dtr="false" t="normal">MID(K402, 4, 1)</f>
        <v>0</v>
      </c>
      <c r="AC405" s="137" t="n">
        <f aca="false" ca="false" dt2D="false" dtr="false" t="normal">AB405</f>
        <v>0</v>
      </c>
      <c r="AD405" s="120" t="s">
        <v>197</v>
      </c>
      <c r="AE405" s="131" t="s">
        <v>196</v>
      </c>
      <c r="AF405" s="136" t="n">
        <f aca="false" ca="false" dt2D="false" dtr="false" t="normal">MID(L402, 4, 1)</f>
        <v>0</v>
      </c>
      <c r="AG405" s="137" t="n">
        <f aca="false" ca="false" dt2D="false" dtr="false" t="normal">AF405</f>
        <v>0</v>
      </c>
      <c r="AH405" s="120" t="s">
        <v>197</v>
      </c>
      <c r="AI405" s="139" t="s">
        <v>1680</v>
      </c>
      <c r="AJ405" s="4397" t="s"/>
      <c r="AK405" s="4398" t="s"/>
    </row>
    <row hidden="false" ht="15.75" outlineLevel="0" r="406">
      <c r="C406" s="98" t="s">
        <v>176</v>
      </c>
      <c r="D406" s="159" t="n">
        <f aca="false" ca="false" dt2D="false" dtr="false" t="normal">D401</f>
        <v>7</v>
      </c>
      <c r="E406" s="160" t="n">
        <f aca="false" ca="false" dt2D="false" dtr="false" t="normal">E401</f>
        <v>20</v>
      </c>
      <c r="F406" s="160" t="n">
        <f aca="false" ca="false" dt2D="false" dtr="false" t="normal">F401</f>
        <v>4</v>
      </c>
      <c r="G406" s="161" t="n">
        <f aca="false" ca="false" dt2D="false" dtr="false" t="normal">G401</f>
        <v>27</v>
      </c>
      <c r="H406" s="162" t="n">
        <f aca="false" ca="false" dt2D="false" dtr="false" t="normal">BIN2HEX(H407, 2)</f>
        <v>0</v>
      </c>
      <c r="I406" s="163" t="n">
        <f aca="false" ca="false" dt2D="false" dtr="false" t="normal">BIN2HEX(I407, 2)</f>
        <v>0</v>
      </c>
      <c r="J406" s="164" t="n">
        <f aca="false" ca="false" dt2D="false" dtr="false" t="normal">BIN2HEX(J407, 2)</f>
        <v>0</v>
      </c>
      <c r="K406" s="165" t="n">
        <f aca="false" ca="false" dt2D="false" dtr="false" t="normal">BIN2HEX(K407, 2)</f>
        <v>0</v>
      </c>
      <c r="L406" s="288" t="n">
        <f aca="false" ca="false" dt2D="false" dtr="false" t="normal">BIN2HEX(L407, 2)</f>
        <v>0</v>
      </c>
      <c r="M406" s="166" t="n">
        <f aca="false" ca="false" dt2D="false" dtr="false" t="normal">IF(LEN(M407)&gt;2, MID(M407, 2, 2), M407)</f>
        <v>52</v>
      </c>
      <c r="N406" s="63" t="s">
        <v>181</v>
      </c>
      <c r="P406" s="136" t="n">
        <f aca="false" ca="false" dt2D="false" dtr="false" t="normal">MID(H402, 5, 1)</f>
        <v>0</v>
      </c>
      <c r="Q406" s="137" t="n">
        <f aca="false" ca="false" dt2D="false" dtr="false" t="normal">P406</f>
        <v>0</v>
      </c>
      <c r="R406" s="120" t="s">
        <v>200</v>
      </c>
      <c r="S406" s="131" t="s">
        <v>196</v>
      </c>
      <c r="T406" s="136" t="n">
        <f aca="false" ca="false" dt2D="false" dtr="false" t="normal">MID(I402, 5, 1)</f>
        <v>0</v>
      </c>
      <c r="U406" s="137" t="n">
        <f aca="false" ca="false" dt2D="false" dtr="false" t="normal">T406</f>
        <v>0</v>
      </c>
      <c r="V406" s="120" t="s">
        <v>200</v>
      </c>
      <c r="W406" s="1193" t="s">
        <v>1681</v>
      </c>
      <c r="X406" s="136" t="n">
        <f aca="false" ca="false" dt2D="false" dtr="false" t="normal">MID(J402, 5, 1)</f>
        <v>0</v>
      </c>
      <c r="Y406" s="137" t="n">
        <f aca="false" ca="false" dt2D="false" dtr="false" t="normal">X406</f>
        <v>0</v>
      </c>
      <c r="Z406" s="120" t="s">
        <v>200</v>
      </c>
      <c r="AA406" s="1193" t="s">
        <v>1682</v>
      </c>
      <c r="AB406" s="136" t="n">
        <f aca="false" ca="false" dt2D="false" dtr="false" t="normal">MID(K402, 5, 1)</f>
        <v>0</v>
      </c>
      <c r="AC406" s="137" t="n">
        <f aca="false" ca="false" dt2D="false" dtr="false" t="normal">AB406</f>
        <v>0</v>
      </c>
      <c r="AD406" s="120" t="s">
        <v>200</v>
      </c>
      <c r="AE406" s="139" t="s">
        <v>1683</v>
      </c>
      <c r="AF406" s="136" t="n">
        <f aca="false" ca="false" dt2D="false" dtr="false" t="normal">MID(L402, 5, 1)</f>
        <v>0</v>
      </c>
      <c r="AG406" s="137" t="n">
        <f aca="false" ca="false" dt2D="false" dtr="false" t="normal">AF406</f>
        <v>0</v>
      </c>
      <c r="AH406" s="120" t="s">
        <v>200</v>
      </c>
      <c r="AI406" s="139" t="s">
        <v>1684</v>
      </c>
      <c r="AJ406" s="4399" t="s"/>
      <c r="AK406" s="4400" t="s"/>
    </row>
    <row hidden="false" ht="15" outlineLevel="0" r="407">
      <c r="C407" s="98" t="s">
        <v>185</v>
      </c>
      <c r="D407" s="53" t="n">
        <f aca="false" ca="false" dt2D="false" dtr="false" t="normal">HEX2BIN(D406, 8)</f>
        <v>111</v>
      </c>
      <c r="E407" s="53" t="n">
        <f aca="false" ca="false" dt2D="false" dtr="false" t="normal">HEX2BIN(E406, 8)</f>
        <v>100000</v>
      </c>
      <c r="F407" s="53" t="n">
        <f aca="false" ca="false" dt2D="false" dtr="false" t="normal">HEX2BIN(F406, 8)</f>
        <v>100</v>
      </c>
      <c r="G407" s="53" t="n">
        <f aca="false" ca="false" dt2D="false" dtr="false" t="normal">HEX2BIN(G406, 8)</f>
        <v>100111</v>
      </c>
      <c r="H407" s="171" t="n">
        <f aca="false" ca="false" dt2D="false" dtr="false" t="normal">Q402&amp;Q403&amp;Q404&amp;Q405&amp;Q406&amp;Q407&amp;Q408&amp;Q409</f>
        <v>0</v>
      </c>
      <c r="I407" s="53" t="n">
        <f aca="false" ca="false" dt2D="false" dtr="false" t="normal">U402&amp;U403&amp;U404&amp;U405&amp;U406&amp;U407&amp;U408&amp;U409</f>
        <v>0</v>
      </c>
      <c r="J407" s="171" t="n">
        <f aca="false" ca="false" dt2D="false" dtr="false" t="normal">Y402&amp;Y403&amp;Y404&amp;Y405&amp;Y406&amp;Y407&amp;Y408&amp;Y409</f>
        <v>0</v>
      </c>
      <c r="K407" s="171" t="n">
        <f aca="false" ca="false" dt2D="false" dtr="false" t="normal">AC402&amp;AC403&amp;AC404&amp;AC405&amp;AC406&amp;AC407&amp;AC408&amp;AC409</f>
        <v>0</v>
      </c>
      <c r="L407" s="53" t="n">
        <f aca="false" ca="false" dt2D="false" dtr="false" t="normal">AG402&amp;AG403&amp;AG404&amp;AG405&amp;AG406&amp;AG407&amp;AG408&amp;AG409</f>
        <v>0</v>
      </c>
      <c r="M407" s="53" t="n">
        <f aca="false" ca="false" dt2D="false" dtr="false" t="normal">DEC2HEX(M408)</f>
        <v>52</v>
      </c>
      <c r="N407" s="63" t="n"/>
      <c r="P407" s="136" t="n">
        <f aca="false" ca="false" dt2D="false" dtr="false" t="normal">MID(H402, 6, 1)</f>
        <v>0</v>
      </c>
      <c r="Q407" s="137" t="n">
        <f aca="false" ca="false" dt2D="false" dtr="false" t="normal">P407</f>
        <v>0</v>
      </c>
      <c r="R407" s="120" t="s">
        <v>203</v>
      </c>
      <c r="S407" s="139" t="s">
        <v>1685</v>
      </c>
      <c r="T407" s="136" t="n">
        <f aca="false" ca="false" dt2D="false" dtr="false" t="normal">MID(I402, 6, 1)</f>
        <v>0</v>
      </c>
      <c r="U407" s="137" t="n">
        <f aca="false" ca="false" dt2D="false" dtr="false" t="normal">T407</f>
        <v>0</v>
      </c>
      <c r="V407" s="120" t="s">
        <v>203</v>
      </c>
      <c r="W407" s="1193" t="s">
        <v>1686</v>
      </c>
      <c r="X407" s="136" t="n">
        <f aca="false" ca="false" dt2D="false" dtr="false" t="normal">MID(J402, 6, 1)</f>
        <v>0</v>
      </c>
      <c r="Y407" s="137" t="n">
        <f aca="false" ca="false" dt2D="false" dtr="false" t="normal">X407</f>
        <v>0</v>
      </c>
      <c r="Z407" s="120" t="s">
        <v>203</v>
      </c>
      <c r="AA407" s="131" t="s">
        <v>196</v>
      </c>
      <c r="AB407" s="136" t="n">
        <f aca="false" ca="false" dt2D="false" dtr="false" t="normal">MID(K402, 6, 1)</f>
        <v>0</v>
      </c>
      <c r="AC407" s="137" t="n">
        <f aca="false" ca="false" dt2D="false" dtr="false" t="normal">AB407</f>
        <v>0</v>
      </c>
      <c r="AD407" s="120" t="s">
        <v>203</v>
      </c>
      <c r="AE407" s="139" t="s">
        <v>1687</v>
      </c>
      <c r="AF407" s="136" t="n">
        <f aca="false" ca="false" dt2D="false" dtr="false" t="normal">MID(L402, 6, 1)</f>
        <v>0</v>
      </c>
      <c r="AG407" s="137" t="n">
        <f aca="false" ca="false" dt2D="false" dtr="false" t="normal">AF407</f>
        <v>0</v>
      </c>
      <c r="AH407" s="120" t="s">
        <v>203</v>
      </c>
      <c r="AI407" s="139" t="s">
        <v>1688</v>
      </c>
      <c r="AJ407" s="4401" t="s"/>
      <c r="AK407" s="4402" t="s"/>
    </row>
    <row hidden="false" ht="15" outlineLevel="0" r="408">
      <c r="C408" s="98" t="s">
        <v>191</v>
      </c>
      <c r="D408" s="53" t="n">
        <f aca="false" ca="false" dt2D="false" dtr="false" t="normal">HEX2DEC(D406)</f>
        <v>7</v>
      </c>
      <c r="E408" s="53" t="n">
        <f aca="false" ca="false" dt2D="false" dtr="false" t="normal">HEX2DEC(E406)</f>
        <v>32</v>
      </c>
      <c r="F408" s="53" t="n">
        <f aca="false" ca="false" dt2D="false" dtr="false" t="normal">HEX2DEC(F406)</f>
        <v>4</v>
      </c>
      <c r="G408" s="53" t="n">
        <f aca="false" ca="false" dt2D="false" dtr="false" t="normal">HEX2DEC(G406)</f>
        <v>39</v>
      </c>
      <c r="H408" s="53" t="n">
        <f aca="false" ca="false" dt2D="false" dtr="false" t="normal">HEX2DEC(H406)</f>
        <v>0</v>
      </c>
      <c r="I408" s="53" t="n">
        <f aca="false" ca="false" dt2D="false" dtr="false" t="normal">HEX2DEC(I406)</f>
        <v>0</v>
      </c>
      <c r="J408" s="53" t="n">
        <f aca="false" ca="false" dt2D="false" dtr="false" t="normal">HEX2DEC(J406)</f>
        <v>0</v>
      </c>
      <c r="K408" s="53" t="n">
        <f aca="false" ca="false" dt2D="false" dtr="false" t="normal">HEX2DEC(K406)</f>
        <v>0</v>
      </c>
      <c r="L408" s="53" t="n">
        <f aca="false" ca="false" dt2D="false" dtr="false" t="normal">HEX2DEC(L406)</f>
        <v>0</v>
      </c>
      <c r="M408" s="53" t="n">
        <f aca="false" ca="false" dt2D="false" dtr="false" t="normal">SUM(D408:L408)</f>
        <v>82</v>
      </c>
      <c r="N408" s="63" t="n"/>
      <c r="P408" s="136" t="n">
        <f aca="false" ca="false" dt2D="false" dtr="false" t="normal">MID(H402, 7, 1)</f>
        <v>0</v>
      </c>
      <c r="Q408" s="137" t="n">
        <f aca="false" ca="false" dt2D="false" dtr="false" t="normal">P408</f>
        <v>0</v>
      </c>
      <c r="R408" s="120" t="s">
        <v>206</v>
      </c>
      <c r="S408" s="139" t="s">
        <v>1689</v>
      </c>
      <c r="T408" s="136" t="n">
        <f aca="false" ca="false" dt2D="false" dtr="false" t="normal">MID(I402, 7, 1)</f>
        <v>0</v>
      </c>
      <c r="U408" s="137" t="n">
        <f aca="false" ca="false" dt2D="false" dtr="false" t="normal">T408</f>
        <v>0</v>
      </c>
      <c r="V408" s="120" t="s">
        <v>206</v>
      </c>
      <c r="W408" s="131" t="s">
        <v>196</v>
      </c>
      <c r="X408" s="136" t="n">
        <f aca="false" ca="false" dt2D="false" dtr="false" t="normal">MID(J402, 7, 1)</f>
        <v>0</v>
      </c>
      <c r="Y408" s="137" t="n">
        <f aca="false" ca="false" dt2D="false" dtr="false" t="normal">X408</f>
        <v>0</v>
      </c>
      <c r="Z408" s="120" t="s">
        <v>206</v>
      </c>
      <c r="AA408" s="131" t="s">
        <v>196</v>
      </c>
      <c r="AB408" s="136" t="n">
        <f aca="false" ca="false" dt2D="false" dtr="false" t="normal">MID(K402, 7, 1)</f>
        <v>0</v>
      </c>
      <c r="AC408" s="137" t="n">
        <f aca="false" ca="false" dt2D="false" dtr="false" t="normal">AB408</f>
        <v>0</v>
      </c>
      <c r="AD408" s="120" t="s">
        <v>206</v>
      </c>
      <c r="AE408" s="139" t="s">
        <v>1690</v>
      </c>
      <c r="AF408" s="136" t="n">
        <f aca="false" ca="false" dt2D="false" dtr="false" t="normal">MID(L402, 7, 1)</f>
        <v>0</v>
      </c>
      <c r="AG408" s="137" t="n">
        <f aca="false" ca="false" dt2D="false" dtr="false" t="normal">AF408</f>
        <v>0</v>
      </c>
      <c r="AH408" s="120" t="s">
        <v>206</v>
      </c>
      <c r="AI408" s="139" t="s">
        <v>1140</v>
      </c>
      <c r="AJ408" s="4403" t="s"/>
      <c r="AK408" s="4404" t="s"/>
    </row>
    <row hidden="false" ht="15.75" outlineLevel="0" r="409">
      <c r="C409" s="180" t="s">
        <v>194</v>
      </c>
      <c r="D409" s="299" t="n">
        <f aca="false" ca="false" dt2D="false" dtr="false" t="normal">D404</f>
        <v>7</v>
      </c>
      <c r="E409" s="299" t="n">
        <f aca="false" ca="false" dt2D="false" dtr="false" t="normal">E404</f>
        <v>20</v>
      </c>
      <c r="F409" s="299" t="str">
        <f aca="false" ca="false" dt2D="false" dtr="false" t="normal">F404</f>
        <v>G4</v>
      </c>
      <c r="G409" s="299" t="str">
        <f aca="false" ca="false" dt2D="false" dtr="false" t="normal">G404</f>
        <v>HB</v>
      </c>
      <c r="H409" s="45" t="n"/>
      <c r="I409" s="45" t="n"/>
      <c r="J409" s="45" t="n"/>
      <c r="K409" s="45" t="n"/>
      <c r="L409" s="45" t="n"/>
      <c r="M409" s="45" t="n"/>
      <c r="N409" s="49" t="n"/>
      <c r="P409" s="182" t="n">
        <f aca="false" ca="false" dt2D="false" dtr="false" t="normal">MID(H402, 8, 1)</f>
        <v>0</v>
      </c>
      <c r="Q409" s="183" t="n">
        <f aca="false" ca="false" dt2D="false" dtr="false" t="normal">P409</f>
        <v>0</v>
      </c>
      <c r="R409" s="184" t="s">
        <v>208</v>
      </c>
      <c r="S409" s="185" t="s">
        <v>196</v>
      </c>
      <c r="T409" s="182" t="n">
        <f aca="false" ca="false" dt2D="false" dtr="false" t="normal">MID(I402, 8, 1)</f>
        <v>0</v>
      </c>
      <c r="U409" s="183" t="n">
        <f aca="false" ca="false" dt2D="false" dtr="false" t="normal">T409</f>
        <v>0</v>
      </c>
      <c r="V409" s="184" t="s">
        <v>208</v>
      </c>
      <c r="W409" s="185" t="s">
        <v>196</v>
      </c>
      <c r="X409" s="182" t="n">
        <f aca="false" ca="false" dt2D="false" dtr="false" t="normal">MID(J402, 8, 1)</f>
        <v>0</v>
      </c>
      <c r="Y409" s="183" t="n">
        <f aca="false" ca="false" dt2D="false" dtr="false" t="normal">X409</f>
        <v>0</v>
      </c>
      <c r="Z409" s="184" t="s">
        <v>208</v>
      </c>
      <c r="AA409" s="185" t="s">
        <v>196</v>
      </c>
      <c r="AB409" s="182" t="n">
        <f aca="false" ca="false" dt2D="false" dtr="false" t="normal">MID(K402, 8, 1)</f>
        <v>0</v>
      </c>
      <c r="AC409" s="183" t="n">
        <f aca="false" ca="false" dt2D="false" dtr="false" t="normal">AB409</f>
        <v>0</v>
      </c>
      <c r="AD409" s="184" t="s">
        <v>208</v>
      </c>
      <c r="AE409" s="187" t="s">
        <v>1691</v>
      </c>
      <c r="AF409" s="182" t="n">
        <f aca="false" ca="false" dt2D="false" dtr="false" t="normal">MID(L402, 8, 1)</f>
        <v>0</v>
      </c>
      <c r="AG409" s="183" t="n">
        <f aca="false" ca="false" dt2D="false" dtr="false" t="normal">AF409</f>
        <v>0</v>
      </c>
      <c r="AH409" s="184" t="s">
        <v>208</v>
      </c>
      <c r="AI409" s="187" t="s">
        <v>1692</v>
      </c>
      <c r="AJ409" s="4405" t="s"/>
      <c r="AK409" s="4406" t="s"/>
    </row>
    <row hidden="false" ht="15.75" outlineLevel="0" r="410">
      <c r="C410" s="93" t="n"/>
      <c r="D410" s="94" t="n"/>
      <c r="E410" s="94" t="n"/>
      <c r="F410" s="94" t="n"/>
      <c r="G410" s="94" t="n"/>
      <c r="H410" s="94" t="n"/>
      <c r="I410" s="94" t="str">
        <f aca="false" ca="false" dt2D="false" dtr="false" t="normal">IF(J412="", "checksum", "")</f>
        <v>checksum</v>
      </c>
      <c r="J410" s="94" t="n"/>
      <c r="K410" s="94" t="n"/>
      <c r="L410" s="94" t="n"/>
      <c r="M410" s="94" t="str">
        <f aca="false" ca="false" dt2D="false" dtr="false" t="normal">IF(J412&lt;&gt;"", "checksum", "")</f>
        <v/>
      </c>
      <c r="N410" s="60" t="n"/>
      <c r="P410" s="95" t="str">
        <f aca="false" ca="false" dt2D="false" dtr="false" t="normal">RIGHT(D412, 1)&amp;E412&amp;"-"&amp;F412&amp;"-"&amp;G412</f>
        <v>720-04-28</v>
      </c>
      <c r="Q410" s="4407" t="s"/>
      <c r="R410" s="234" t="s">
        <v>1693</v>
      </c>
      <c r="S410" s="4408" t="s"/>
      <c r="T410" s="4409" t="s"/>
      <c r="U410" s="4410" t="s"/>
      <c r="V410" s="4411" t="s"/>
      <c r="W410" s="4412" t="s"/>
      <c r="X410" s="4413" t="s"/>
      <c r="Y410" s="4414" t="s"/>
      <c r="Z410" s="4415" t="s"/>
      <c r="AA410" s="4416" t="s"/>
      <c r="AB410" s="4417" t="s"/>
      <c r="AC410" s="4418" t="s"/>
      <c r="AD410" s="4419" t="s"/>
      <c r="AE410" s="4420" t="s"/>
      <c r="AF410" s="4421" t="s"/>
      <c r="AG410" s="4422" t="s"/>
      <c r="AH410" s="4423" t="s"/>
      <c r="AI410" s="4424" t="s"/>
      <c r="AJ410" s="4425" t="s"/>
      <c r="AK410" s="4426" t="s"/>
    </row>
    <row hidden="false" ht="15.75" outlineLevel="0" r="411">
      <c r="C411" s="98" t="n"/>
      <c r="D411" s="99" t="s">
        <v>1694</v>
      </c>
      <c r="E411" s="4427" t="s"/>
      <c r="F411" s="4428" t="s"/>
      <c r="G411" s="4429" t="s"/>
      <c r="H411" s="53" t="s">
        <v>165</v>
      </c>
      <c r="I411" s="53" t="s">
        <v>166</v>
      </c>
      <c r="J411" s="53" t="s">
        <v>167</v>
      </c>
      <c r="K411" s="53" t="s">
        <v>168</v>
      </c>
      <c r="L411" s="53" t="s">
        <v>169</v>
      </c>
      <c r="M411" s="53" t="s">
        <v>221</v>
      </c>
      <c r="N411" s="63" t="n"/>
      <c r="P411" s="103" t="s">
        <v>1695</v>
      </c>
      <c r="Q411" s="4430" t="s"/>
      <c r="R411" s="4431" t="s"/>
      <c r="S411" s="4432" t="s"/>
      <c r="T411" s="103" t="str">
        <f aca="false" ca="false" dt2D="false" dtr="false" t="normal">IF(J412="", "B1 - CHECKSUM", "B1 - Config Start Byte [BF]")</f>
        <v>B1 - CHECKSUM</v>
      </c>
      <c r="U411" s="4433" t="s"/>
      <c r="V411" s="4434" t="s"/>
      <c r="W411" s="4435" t="s"/>
      <c r="X411" s="103" t="s">
        <v>1696</v>
      </c>
      <c r="Y411" s="4436" t="s"/>
      <c r="Z411" s="4437" t="s"/>
      <c r="AA411" s="4438" t="s"/>
      <c r="AB411" s="103" t="s">
        <v>1697</v>
      </c>
      <c r="AC411" s="4439" t="s"/>
      <c r="AD411" s="4440" t="s"/>
      <c r="AE411" s="4441" t="s"/>
      <c r="AF411" s="103" t="s">
        <v>1698</v>
      </c>
      <c r="AG411" s="4442" t="s"/>
      <c r="AH411" s="4443" t="s"/>
      <c r="AI411" s="4444" t="s"/>
      <c r="AJ411" s="103" t="s">
        <v>1699</v>
      </c>
      <c r="AK411" s="4445" t="s"/>
    </row>
    <row hidden="false" ht="15.75" outlineLevel="0" r="412">
      <c r="C412" s="98" t="s">
        <v>176</v>
      </c>
      <c r="D412" s="122" t="s">
        <v>177</v>
      </c>
      <c r="E412" s="123" t="s">
        <v>693</v>
      </c>
      <c r="F412" s="123" t="s">
        <v>342</v>
      </c>
      <c r="G412" s="124" t="s">
        <v>1700</v>
      </c>
      <c r="H412" s="1819" t="n">
        <f aca="false" ca="false" dt2D="false" dtr="false" ref="H412:H412" t="array">MID(INDEX($A$3:$A$70, IF(ISNA(MATCH("720G4HC*", $A$3:$A$70, 0))=TRUE, MATCH("7200428*", $A$3:$A$70, 0), MATCH("720G4HC*", $A$3:$A$70, 0))), $AU$8, 2)</f>
        <v>0</v>
      </c>
      <c r="I412" s="1820" t="n">
        <f aca="false" ca="false" dt2D="false" dtr="false" ref="I412:I412" t="array">MID(INDEX($A$3:$A$70, IF(ISNA(MATCH("720G4HC*", $A$3:$A$70, 0))=TRUE, MATCH("7200428*", $A$3:$A$70, 0), MATCH("720G4HC*", $A$3:$A$70, 0))), $AV$8, 2)</f>
        <v>53</v>
      </c>
      <c r="J412" s="164" t="str">
        <f aca="false" ca="false" dt2D="false" dtr="false" ref="J412:J412" t="array">MID(INDEX($A$3:$A$70, IF(ISNA(MATCH("720G4HC*", $A$3:$A$70, 0))=TRUE, MATCH("7200428*", $A$3:$A$70, 0), MATCH("720G4HC*", $A$3:$A$70, 0))), $AW$8, 2)</f>
        <v/>
      </c>
      <c r="K412" s="1820" t="str">
        <f aca="false" ca="false" dt2D="false" dtr="false" ref="K412:K412" t="array">MID(INDEX($A$3:$A$70, IF(ISNA(MATCH("720G4HC*", $A$3:$A$70, 0))=TRUE, MATCH("7200428*", $A$3:$A$70, 0), MATCH("720G4HC*", $A$3:$A$70, 0))), $AX$8, 2)</f>
        <v/>
      </c>
      <c r="L412" s="1821" t="str">
        <f aca="false" ca="false" dt2D="false" dtr="false" ref="L412:L412" t="array">MID(INDEX($A$3:$A$70, IF(ISNA(MATCH("720G4HC*", $A$3:$A$70, 0))=TRUE, MATCH("7200428*", $A$3:$A$70, 0), MATCH("720G4HC*", $A$3:$A$70, 0))), $AY$8, 2)</f>
        <v/>
      </c>
      <c r="M412" s="218" t="str">
        <f aca="false" ca="false" dt2D="false" dtr="false" ref="M412:M412" t="array">MID(INDEX($A$3:$A$70, IF(ISNA(MATCH("720G4HC*", $A$3:$A$70, 0))=TRUE, MATCH("7200428*", $A$3:$A$70, 0), MATCH("720G4HC*", $A$3:$A$70, 0))), $AZ$8, 2)</f>
        <v/>
      </c>
      <c r="N412" s="63" t="s">
        <v>180</v>
      </c>
      <c r="P412" s="129" t="s">
        <v>180</v>
      </c>
      <c r="Q412" s="130" t="s">
        <v>181</v>
      </c>
      <c r="R412" s="121" t="s">
        <v>182</v>
      </c>
      <c r="S412" s="131" t="n"/>
      <c r="T412" s="116" t="n"/>
      <c r="U412" s="4446" t="s"/>
      <c r="V412" s="4447" t="s"/>
      <c r="W412" s="4448" t="s"/>
      <c r="X412" s="116" t="n"/>
      <c r="Y412" s="4449" t="s"/>
      <c r="Z412" s="4450" t="s"/>
      <c r="AA412" s="4451" t="s"/>
      <c r="AB412" s="129" t="s">
        <v>180</v>
      </c>
      <c r="AC412" s="130" t="s">
        <v>181</v>
      </c>
      <c r="AD412" s="121" t="s">
        <v>182</v>
      </c>
      <c r="AE412" s="131" t="n"/>
      <c r="AF412" s="129" t="s">
        <v>180</v>
      </c>
      <c r="AG412" s="130" t="s">
        <v>181</v>
      </c>
      <c r="AH412" s="121" t="s">
        <v>182</v>
      </c>
      <c r="AI412" s="121" t="n"/>
      <c r="AJ412" s="116" t="s">
        <v>183</v>
      </c>
      <c r="AK412" s="4452" t="s"/>
    </row>
    <row hidden="false" ht="15" outlineLevel="0" r="413">
      <c r="C413" s="98" t="s">
        <v>185</v>
      </c>
      <c r="D413" s="53" t="n">
        <f aca="false" ca="false" dt2D="false" dtr="false" t="normal">HEX2BIN(D412, 8)</f>
        <v>111</v>
      </c>
      <c r="E413" s="53" t="n">
        <f aca="false" ca="false" dt2D="false" dtr="false" t="normal">HEX2BIN(E412, 8)</f>
        <v>100000</v>
      </c>
      <c r="F413" s="53" t="n">
        <f aca="false" ca="false" dt2D="false" dtr="false" t="normal">HEX2BIN(F412, 8)</f>
        <v>100</v>
      </c>
      <c r="G413" s="53" t="n">
        <f aca="false" ca="false" dt2D="false" dtr="false" t="normal">HEX2BIN(G412, 8)</f>
        <v>101000</v>
      </c>
      <c r="H413" s="53" t="n">
        <f aca="false" ca="false" dt2D="false" dtr="false" t="normal">HEX2BIN(H412, 8)</f>
        <v>0</v>
      </c>
      <c r="I413" s="53" t="n">
        <f aca="false" ca="false" dt2D="false" dtr="false" t="normal">HEX2BIN(I412, 8)</f>
        <v>1010011</v>
      </c>
      <c r="J413" s="53" t="n">
        <f aca="false" ca="false" dt2D="false" dtr="false" t="normal">HEX2BIN(J412, 8)</f>
        <v>0</v>
      </c>
      <c r="K413" s="53" t="n">
        <f aca="false" ca="false" dt2D="false" dtr="false" t="normal">HEX2BIN(K412, 8)</f>
        <v>0</v>
      </c>
      <c r="L413" s="53" t="n">
        <f aca="false" ca="false" dt2D="false" dtr="false" t="normal">HEX2BIN(L412, 8)</f>
        <v>0</v>
      </c>
      <c r="N413" s="63" t="n"/>
      <c r="P413" s="136" t="n">
        <f aca="false" ca="false" dt2D="false" dtr="false" t="normal">MID(H413, 1, 1)</f>
        <v>0</v>
      </c>
      <c r="Q413" s="137" t="n">
        <f aca="false" ca="false" dt2D="false" dtr="false" t="normal">P413</f>
        <v>0</v>
      </c>
      <c r="R413" s="120" t="s">
        <v>186</v>
      </c>
      <c r="S413" s="139" t="s">
        <v>1701</v>
      </c>
      <c r="T413" s="4453" t="s"/>
      <c r="U413" s="142" t="s"/>
      <c r="V413" s="142" t="s"/>
      <c r="W413" s="4454" t="s"/>
      <c r="X413" s="4455" t="s"/>
      <c r="Y413" s="142" t="s"/>
      <c r="Z413" s="142" t="s"/>
      <c r="AA413" s="4456" t="s"/>
      <c r="AB413" s="136" t="n">
        <f aca="false" ca="false" dt2D="false" dtr="false" t="normal">MID(K413, 1, 1)</f>
        <v>0</v>
      </c>
      <c r="AC413" s="137" t="n">
        <f aca="false" ca="false" dt2D="false" dtr="false" t="normal">AB413</f>
        <v>0</v>
      </c>
      <c r="AD413" s="120" t="s">
        <v>186</v>
      </c>
      <c r="AE413" s="139" t="s">
        <v>1702</v>
      </c>
      <c r="AF413" s="136" t="n">
        <f aca="false" ca="false" dt2D="false" dtr="false" t="normal">MID(L413, 1, 1)</f>
        <v>0</v>
      </c>
      <c r="AG413" s="137" t="n">
        <f aca="false" ca="false" dt2D="false" dtr="false" t="normal">AF413</f>
        <v>0</v>
      </c>
      <c r="AH413" s="120" t="s">
        <v>186</v>
      </c>
      <c r="AI413" s="139" t="s">
        <v>1703</v>
      </c>
      <c r="AJ413" s="4457" t="s"/>
      <c r="AK413" s="4458" t="s"/>
    </row>
    <row hidden="false" ht="15" outlineLevel="0" r="414">
      <c r="C414" s="98" t="s">
        <v>191</v>
      </c>
      <c r="D414" s="53" t="n">
        <f aca="false" ca="false" dt2D="false" dtr="false" t="normal">HEX2DEC(D412)</f>
        <v>7</v>
      </c>
      <c r="E414" s="53" t="n">
        <f aca="false" ca="false" dt2D="false" dtr="false" t="normal">HEX2DEC(E412)</f>
        <v>32</v>
      </c>
      <c r="F414" s="53" t="n">
        <f aca="false" ca="false" dt2D="false" dtr="false" t="normal">HEX2DEC(F412)</f>
        <v>4</v>
      </c>
      <c r="G414" s="53" t="n">
        <f aca="false" ca="false" dt2D="false" dtr="false" t="normal">HEX2DEC(G412)</f>
        <v>40</v>
      </c>
      <c r="H414" s="53" t="n">
        <f aca="false" ca="false" dt2D="false" dtr="false" t="normal">HEX2DEC(H412)</f>
        <v>0</v>
      </c>
      <c r="I414" s="53" t="n">
        <f aca="false" ca="false" dt2D="false" dtr="false" t="normal">HEX2DEC(I412)</f>
        <v>83</v>
      </c>
      <c r="J414" s="53" t="n">
        <f aca="false" ca="false" dt2D="false" dtr="false" t="normal">HEX2DEC(J412)</f>
        <v>0</v>
      </c>
      <c r="K414" s="53" t="n">
        <f aca="false" ca="false" dt2D="false" dtr="false" t="normal">HEX2DEC(K412)</f>
        <v>0</v>
      </c>
      <c r="L414" s="53" t="n">
        <f aca="false" ca="false" dt2D="false" dtr="false" t="normal">HEX2DEC(L412)</f>
        <v>0</v>
      </c>
      <c r="M414" s="53" t="n">
        <f aca="false" ca="false" dt2D="false" dtr="false" t="normal">SUM(D414:L414)</f>
        <v>166</v>
      </c>
      <c r="N414" s="63" t="n"/>
      <c r="P414" s="136" t="n">
        <f aca="false" ca="false" dt2D="false" dtr="false" t="normal">MID(H413, 2, 1)</f>
        <v>0</v>
      </c>
      <c r="Q414" s="137" t="n">
        <f aca="false" ca="false" dt2D="false" dtr="false" t="normal">P414</f>
        <v>0</v>
      </c>
      <c r="R414" s="120" t="s">
        <v>192</v>
      </c>
      <c r="S414" s="139" t="s">
        <v>1704</v>
      </c>
      <c r="T414" s="4459" t="s"/>
      <c r="U414" s="142" t="s"/>
      <c r="V414" s="142" t="s"/>
      <c r="W414" s="4460" t="s"/>
      <c r="X414" s="4461" t="s"/>
      <c r="Y414" s="142" t="s"/>
      <c r="Z414" s="142" t="s"/>
      <c r="AA414" s="4462" t="s"/>
      <c r="AB414" s="136" t="n">
        <f aca="false" ca="false" dt2D="false" dtr="false" t="normal">MID(K413, 2, 1)</f>
        <v>0</v>
      </c>
      <c r="AC414" s="137" t="n">
        <f aca="false" ca="false" dt2D="false" dtr="false" t="normal">AB414</f>
        <v>0</v>
      </c>
      <c r="AD414" s="120" t="s">
        <v>192</v>
      </c>
      <c r="AE414" s="131" t="s">
        <v>196</v>
      </c>
      <c r="AF414" s="136" t="n">
        <f aca="false" ca="false" dt2D="false" dtr="false" t="normal">MID(L413, 2, 1)</f>
        <v>0</v>
      </c>
      <c r="AG414" s="137" t="n">
        <f aca="false" ca="false" dt2D="false" dtr="false" t="normal">AF414</f>
        <v>0</v>
      </c>
      <c r="AH414" s="120" t="s">
        <v>192</v>
      </c>
      <c r="AI414" s="131" t="s">
        <v>196</v>
      </c>
      <c r="AJ414" s="4463" t="s"/>
      <c r="AK414" s="4464" t="s"/>
    </row>
    <row hidden="false" ht="15" outlineLevel="0" r="415">
      <c r="C415" s="98" t="s">
        <v>194</v>
      </c>
      <c r="D415" s="149" t="n">
        <f aca="false" ca="false" dt2D="false" dtr="false" t="normal">D412</f>
        <v>7</v>
      </c>
      <c r="E415" s="149" t="n">
        <f aca="false" ca="false" dt2D="false" dtr="false" t="normal">E412</f>
        <v>20</v>
      </c>
      <c r="F415" s="53" t="str">
        <f aca="false" ca="false" dt2D="false" dtr="false" t="normal">MID(INDEX($A$3:$A$70, IF(ISNA(MATCH("720G4HC*", $A$3:$A$70, 0))=TRUE, MATCH("7200428*", $A$3:$A$70, 0), MATCH("720G4HC*", $A$3:$A$70, 0))), $AS$8, 2)</f>
        <v>G4</v>
      </c>
      <c r="G415" s="53" t="str">
        <f aca="false" ca="false" dt2D="false" dtr="false" t="normal">MID(INDEX($A$3:$A$70, IF(ISNA(MATCH("720G4HC*", $A$3:$A$70, 0))=TRUE, MATCH("7200428*", $A$3:$A$70, 0), MATCH("720G4HC*", $A$3:$A$70, 0))), $AT$8, 2)</f>
        <v>HC</v>
      </c>
      <c r="N415" s="63" t="n"/>
      <c r="P415" s="136" t="n">
        <f aca="false" ca="false" dt2D="false" dtr="false" t="normal">MID(H413, 3, 1)</f>
        <v>0</v>
      </c>
      <c r="Q415" s="137" t="n">
        <f aca="false" ca="false" dt2D="false" dtr="false" t="normal">P415</f>
        <v>0</v>
      </c>
      <c r="R415" s="120" t="s">
        <v>195</v>
      </c>
      <c r="S415" s="139" t="s">
        <v>1705</v>
      </c>
      <c r="T415" s="4465" t="s"/>
      <c r="U415" s="142" t="s"/>
      <c r="V415" s="142" t="s"/>
      <c r="W415" s="4466" t="s"/>
      <c r="X415" s="4467" t="s"/>
      <c r="Y415" s="142" t="s"/>
      <c r="Z415" s="142" t="s"/>
      <c r="AA415" s="4468" t="s"/>
      <c r="AB415" s="136" t="n">
        <f aca="false" ca="false" dt2D="false" dtr="false" t="normal">MID(K413, 3, 1)</f>
        <v>0</v>
      </c>
      <c r="AC415" s="137" t="n">
        <f aca="false" ca="false" dt2D="false" dtr="false" t="normal">AB415</f>
        <v>0</v>
      </c>
      <c r="AD415" s="120" t="s">
        <v>195</v>
      </c>
      <c r="AE415" s="131" t="s">
        <v>196</v>
      </c>
      <c r="AF415" s="136" t="n">
        <f aca="false" ca="false" dt2D="false" dtr="false" t="normal">MID(L413, 3, 1)</f>
        <v>0</v>
      </c>
      <c r="AG415" s="137" t="n">
        <f aca="false" ca="false" dt2D="false" dtr="false" t="normal">AF415</f>
        <v>0</v>
      </c>
      <c r="AH415" s="120" t="s">
        <v>195</v>
      </c>
      <c r="AI415" s="139" t="s">
        <v>1706</v>
      </c>
      <c r="AJ415" s="4469" t="s"/>
      <c r="AK415" s="4470" t="s"/>
    </row>
    <row hidden="false" ht="15.75" outlineLevel="0" r="416">
      <c r="C416" s="98" t="n"/>
      <c r="N416" s="63" t="n"/>
      <c r="P416" s="136" t="n">
        <f aca="false" ca="false" dt2D="false" dtr="false" t="normal">MID(H413, 4, 1)</f>
        <v>0</v>
      </c>
      <c r="Q416" s="137" t="n">
        <f aca="false" ca="false" dt2D="false" dtr="false" t="normal">P416</f>
        <v>0</v>
      </c>
      <c r="R416" s="120" t="s">
        <v>197</v>
      </c>
      <c r="S416" s="139" t="s">
        <v>1707</v>
      </c>
      <c r="T416" s="4471" t="s"/>
      <c r="U416" s="142" t="s"/>
      <c r="V416" s="142" t="s"/>
      <c r="W416" s="4472" t="s"/>
      <c r="X416" s="4473" t="s"/>
      <c r="Y416" s="142" t="s"/>
      <c r="Z416" s="142" t="s"/>
      <c r="AA416" s="4474" t="s"/>
      <c r="AB416" s="136" t="n">
        <f aca="false" ca="false" dt2D="false" dtr="false" t="normal">MID(K413, 4, 1)</f>
        <v>0</v>
      </c>
      <c r="AC416" s="137" t="n">
        <f aca="false" ca="false" dt2D="false" dtr="false" t="normal">AB416</f>
        <v>0</v>
      </c>
      <c r="AD416" s="120" t="s">
        <v>197</v>
      </c>
      <c r="AE416" s="131" t="s">
        <v>196</v>
      </c>
      <c r="AF416" s="136" t="n">
        <f aca="false" ca="false" dt2D="false" dtr="false" t="normal">MID(L413, 4, 1)</f>
        <v>0</v>
      </c>
      <c r="AG416" s="137" t="n">
        <f aca="false" ca="false" dt2D="false" dtr="false" t="normal">AF416</f>
        <v>0</v>
      </c>
      <c r="AH416" s="120" t="s">
        <v>197</v>
      </c>
      <c r="AI416" s="131" t="s">
        <v>196</v>
      </c>
      <c r="AJ416" s="4475" t="s"/>
      <c r="AK416" s="4476" t="s"/>
    </row>
    <row hidden="false" ht="15.75" outlineLevel="0" r="417">
      <c r="C417" s="98" t="s">
        <v>176</v>
      </c>
      <c r="D417" s="159" t="n">
        <f aca="false" ca="false" dt2D="false" dtr="false" t="normal">D412</f>
        <v>7</v>
      </c>
      <c r="E417" s="160" t="n">
        <f aca="false" ca="false" dt2D="false" dtr="false" t="normal">E412</f>
        <v>20</v>
      </c>
      <c r="F417" s="160" t="n">
        <f aca="false" ca="false" dt2D="false" dtr="false" t="normal">F412</f>
        <v>4</v>
      </c>
      <c r="G417" s="161" t="n">
        <f aca="false" ca="false" dt2D="false" dtr="false" t="normal">G412</f>
        <v>28</v>
      </c>
      <c r="H417" s="162" t="n">
        <f aca="false" ca="false" dt2D="false" dtr="false" t="normal">BIN2HEX(H418, 2)</f>
        <v>0</v>
      </c>
      <c r="I417" s="1916" t="n">
        <f aca="false" ca="false" dt2D="false" dtr="false" t="normal">IF(J412="", IF(LEN(I418)&gt;2, MID(I418, 2, 2), I418), I412)</f>
        <v>53</v>
      </c>
      <c r="J417" s="2217" t="str">
        <f aca="false" ca="false" dt2D="false" dtr="false" t="normal">J412</f>
        <v/>
      </c>
      <c r="K417" s="165" t="str">
        <f aca="false" ca="false" dt2D="false" dtr="false" t="normal">IF(J412="", "", BIN2HEX(K418, 2))</f>
        <v/>
      </c>
      <c r="L417" s="288" t="str">
        <f aca="false" ca="false" dt2D="false" dtr="false" t="normal">IF(J412="", "", BIN2HEX(L418, 2))</f>
        <v/>
      </c>
      <c r="M417" s="166" t="str">
        <f aca="false" ca="false" dt2D="false" dtr="false" t="normal">IF(J412="", "", IF(LEN(M418)&gt;2, MID(M418, 2, 2), M418))</f>
        <v/>
      </c>
      <c r="N417" s="63" t="s">
        <v>181</v>
      </c>
      <c r="P417" s="136" t="n">
        <f aca="false" ca="false" dt2D="false" dtr="false" t="normal">MID(H413, 5, 1)</f>
        <v>0</v>
      </c>
      <c r="Q417" s="137" t="n">
        <f aca="false" ca="false" dt2D="false" dtr="false" t="normal">P417</f>
        <v>0</v>
      </c>
      <c r="R417" s="120" t="s">
        <v>200</v>
      </c>
      <c r="S417" s="139" t="s">
        <v>1708</v>
      </c>
      <c r="T417" s="4477" t="s"/>
      <c r="U417" s="142" t="s"/>
      <c r="V417" s="142" t="s"/>
      <c r="W417" s="4478" t="s"/>
      <c r="X417" s="4479" t="s"/>
      <c r="Y417" s="142" t="s"/>
      <c r="Z417" s="142" t="s"/>
      <c r="AA417" s="4480" t="s"/>
      <c r="AB417" s="136" t="n">
        <f aca="false" ca="false" dt2D="false" dtr="false" t="normal">MID(K413, 5, 1)</f>
        <v>0</v>
      </c>
      <c r="AC417" s="137" t="n">
        <f aca="false" ca="false" dt2D="false" dtr="false" t="normal">AB417</f>
        <v>0</v>
      </c>
      <c r="AD417" s="120" t="s">
        <v>200</v>
      </c>
      <c r="AE417" s="131" t="s">
        <v>196</v>
      </c>
      <c r="AF417" s="136" t="n">
        <f aca="false" ca="false" dt2D="false" dtr="false" t="normal">MID(L413, 5, 1)</f>
        <v>0</v>
      </c>
      <c r="AG417" s="137" t="n">
        <f aca="false" ca="false" dt2D="false" dtr="false" t="normal">AF417</f>
        <v>0</v>
      </c>
      <c r="AH417" s="120" t="s">
        <v>200</v>
      </c>
      <c r="AI417" s="131" t="s">
        <v>196</v>
      </c>
      <c r="AJ417" s="4481" t="s"/>
      <c r="AK417" s="4482" t="s"/>
    </row>
    <row hidden="false" ht="15" outlineLevel="0" r="418">
      <c r="C418" s="98" t="s">
        <v>185</v>
      </c>
      <c r="D418" s="53" t="n">
        <f aca="false" ca="false" dt2D="false" dtr="false" t="normal">HEX2BIN(D417, 8)</f>
        <v>111</v>
      </c>
      <c r="E418" s="53" t="n">
        <f aca="false" ca="false" dt2D="false" dtr="false" t="normal">HEX2BIN(E417, 8)</f>
        <v>100000</v>
      </c>
      <c r="F418" s="53" t="n">
        <f aca="false" ca="false" dt2D="false" dtr="false" t="normal">HEX2BIN(F417, 8)</f>
        <v>100</v>
      </c>
      <c r="G418" s="53" t="n">
        <f aca="false" ca="false" dt2D="false" dtr="false" t="normal">HEX2BIN(G417, 8)</f>
        <v>101000</v>
      </c>
      <c r="H418" s="171" t="n">
        <f aca="false" ca="false" dt2D="false" dtr="false" t="normal">Q413&amp;Q414&amp;Q415&amp;Q416&amp;Q417&amp;Q418&amp;Q419&amp;Q420</f>
        <v>0</v>
      </c>
      <c r="I418" s="53" t="n">
        <f aca="false" ca="false" dt2D="false" dtr="false" t="normal">IF(J412="", DEC2HEX(I419), "")</f>
        <v>53</v>
      </c>
      <c r="J418" s="171" t="n"/>
      <c r="K418" s="171" t="n">
        <f aca="false" ca="false" dt2D="false" dtr="false" t="normal">AC413&amp;AC414&amp;AC415&amp;AC416&amp;AC417&amp;AC418&amp;AC419&amp;AC420</f>
        <v>0</v>
      </c>
      <c r="L418" s="53" t="n">
        <f aca="false" ca="false" dt2D="false" dtr="false" t="normal">AG413&amp;AG414&amp;AG415&amp;AG416&amp;AG417&amp;AG418&amp;AG419&amp;AG420</f>
        <v>0</v>
      </c>
      <c r="M418" s="53" t="str">
        <f aca="false" ca="false" dt2D="false" dtr="false" t="normal">DEC2HEX(M419)</f>
        <v>A6</v>
      </c>
      <c r="N418" s="63" t="n"/>
      <c r="P418" s="136" t="n">
        <f aca="false" ca="false" dt2D="false" dtr="false" t="normal">MID(H413, 6, 1)</f>
        <v>0</v>
      </c>
      <c r="Q418" s="137" t="n">
        <f aca="false" ca="false" dt2D="false" dtr="false" t="normal">P418</f>
        <v>0</v>
      </c>
      <c r="R418" s="120" t="s">
        <v>203</v>
      </c>
      <c r="S418" s="139" t="s">
        <v>1709</v>
      </c>
      <c r="T418" s="4483" t="s"/>
      <c r="U418" s="142" t="s"/>
      <c r="V418" s="142" t="s"/>
      <c r="W418" s="4484" t="s"/>
      <c r="X418" s="4485" t="s"/>
      <c r="Y418" s="142" t="s"/>
      <c r="Z418" s="142" t="s"/>
      <c r="AA418" s="4486" t="s"/>
      <c r="AB418" s="136" t="n">
        <f aca="false" ca="false" dt2D="false" dtr="false" t="normal">MID(K413, 6, 1)</f>
        <v>0</v>
      </c>
      <c r="AC418" s="137" t="n">
        <f aca="false" ca="false" dt2D="false" dtr="false" t="normal">AB418</f>
        <v>0</v>
      </c>
      <c r="AD418" s="120" t="s">
        <v>203</v>
      </c>
      <c r="AE418" s="131" t="s">
        <v>196</v>
      </c>
      <c r="AF418" s="136" t="n">
        <f aca="false" ca="false" dt2D="false" dtr="false" t="normal">MID(L413, 6, 1)</f>
        <v>0</v>
      </c>
      <c r="AG418" s="137" t="n">
        <f aca="false" ca="false" dt2D="false" dtr="false" t="normal">AF418</f>
        <v>0</v>
      </c>
      <c r="AH418" s="120" t="s">
        <v>203</v>
      </c>
      <c r="AI418" s="139" t="s">
        <v>1318</v>
      </c>
      <c r="AJ418" s="4487" t="s"/>
      <c r="AK418" s="4488" t="s"/>
    </row>
    <row hidden="false" ht="15" outlineLevel="0" r="419">
      <c r="C419" s="98" t="s">
        <v>191</v>
      </c>
      <c r="D419" s="53" t="n">
        <f aca="false" ca="false" dt2D="false" dtr="false" t="normal">HEX2DEC(D417)</f>
        <v>7</v>
      </c>
      <c r="E419" s="53" t="n">
        <f aca="false" ca="false" dt2D="false" dtr="false" t="normal">HEX2DEC(E417)</f>
        <v>32</v>
      </c>
      <c r="F419" s="53" t="n">
        <f aca="false" ca="false" dt2D="false" dtr="false" t="normal">HEX2DEC(F417)</f>
        <v>4</v>
      </c>
      <c r="G419" s="53" t="n">
        <f aca="false" ca="false" dt2D="false" dtr="false" t="normal">HEX2DEC(G417)</f>
        <v>40</v>
      </c>
      <c r="H419" s="53" t="n">
        <f aca="false" ca="false" dt2D="false" dtr="false" t="normal">HEX2DEC(H417)</f>
        <v>0</v>
      </c>
      <c r="I419" s="53" t="n">
        <f aca="false" ca="false" dt2D="false" dtr="false" t="normal">IF(J412="", SUM(D419:H419), HEX2DEC(I417))</f>
        <v>83</v>
      </c>
      <c r="J419" s="53" t="n">
        <f aca="false" ca="false" dt2D="false" dtr="false" t="normal">HEX2DEC(J417)</f>
        <v>0</v>
      </c>
      <c r="K419" s="53" t="n">
        <f aca="false" ca="false" dt2D="false" dtr="false" t="normal">HEX2DEC(K417)</f>
        <v>0</v>
      </c>
      <c r="L419" s="53" t="n">
        <f aca="false" ca="false" dt2D="false" dtr="false" t="normal">HEX2DEC(L417)</f>
        <v>0</v>
      </c>
      <c r="M419" s="53" t="n">
        <f aca="false" ca="false" dt2D="false" dtr="false" t="normal">SUM(D419:L419)</f>
        <v>166</v>
      </c>
      <c r="N419" s="63" t="n"/>
      <c r="P419" s="136" t="n">
        <f aca="false" ca="false" dt2D="false" dtr="false" t="normal">MID(H413, 7, 1)</f>
        <v>0</v>
      </c>
      <c r="Q419" s="137" t="n">
        <f aca="false" ca="false" dt2D="false" dtr="false" t="normal">P419</f>
        <v>0</v>
      </c>
      <c r="R419" s="120" t="s">
        <v>206</v>
      </c>
      <c r="S419" s="139" t="s">
        <v>1710</v>
      </c>
      <c r="T419" s="4489" t="s"/>
      <c r="U419" s="142" t="s"/>
      <c r="V419" s="142" t="s"/>
      <c r="W419" s="4490" t="s"/>
      <c r="X419" s="4491" t="s"/>
      <c r="Y419" s="142" t="s"/>
      <c r="Z419" s="142" t="s"/>
      <c r="AA419" s="4492" t="s"/>
      <c r="AB419" s="136" t="n">
        <f aca="false" ca="false" dt2D="false" dtr="false" t="normal">MID(K413, 7, 1)</f>
        <v>0</v>
      </c>
      <c r="AC419" s="137" t="n">
        <f aca="false" ca="false" dt2D="false" dtr="false" t="normal">AB419</f>
        <v>0</v>
      </c>
      <c r="AD419" s="120" t="s">
        <v>206</v>
      </c>
      <c r="AE419" s="131" t="s">
        <v>196</v>
      </c>
      <c r="AF419" s="136" t="n">
        <f aca="false" ca="false" dt2D="false" dtr="false" t="normal">MID(L413, 7, 1)</f>
        <v>0</v>
      </c>
      <c r="AG419" s="137" t="n">
        <f aca="false" ca="false" dt2D="false" dtr="false" t="normal">AF419</f>
        <v>0</v>
      </c>
      <c r="AH419" s="120" t="s">
        <v>206</v>
      </c>
      <c r="AI419" s="131" t="s">
        <v>196</v>
      </c>
      <c r="AJ419" s="4493" t="s"/>
      <c r="AK419" s="4494" t="s"/>
    </row>
    <row hidden="false" ht="15.75" outlineLevel="0" r="420">
      <c r="C420" s="180" t="s">
        <v>194</v>
      </c>
      <c r="D420" s="299" t="n">
        <f aca="false" ca="false" dt2D="false" dtr="false" t="normal">D415</f>
        <v>7</v>
      </c>
      <c r="E420" s="299" t="n">
        <f aca="false" ca="false" dt2D="false" dtr="false" t="normal">E415</f>
        <v>20</v>
      </c>
      <c r="F420" s="299" t="str">
        <f aca="false" ca="false" dt2D="false" dtr="false" t="normal">F415</f>
        <v>G4</v>
      </c>
      <c r="G420" s="299" t="str">
        <f aca="false" ca="false" dt2D="false" dtr="false" t="normal">G415</f>
        <v>HC</v>
      </c>
      <c r="H420" s="45" t="n"/>
      <c r="I420" s="45" t="n"/>
      <c r="J420" s="45" t="n"/>
      <c r="K420" s="45" t="n"/>
      <c r="L420" s="45" t="n"/>
      <c r="M420" s="45" t="n"/>
      <c r="N420" s="49" t="n"/>
      <c r="P420" s="182" t="n">
        <f aca="false" ca="false" dt2D="false" dtr="false" t="normal">MID(H413, 8, 1)</f>
        <v>0</v>
      </c>
      <c r="Q420" s="183" t="n">
        <f aca="false" ca="false" dt2D="false" dtr="false" t="normal">P420</f>
        <v>0</v>
      </c>
      <c r="R420" s="184" t="s">
        <v>208</v>
      </c>
      <c r="S420" s="187" t="s">
        <v>1711</v>
      </c>
      <c r="T420" s="4495" t="s"/>
      <c r="U420" s="4496" t="s"/>
      <c r="V420" s="4497" t="s"/>
      <c r="W420" s="4498" t="s"/>
      <c r="X420" s="4499" t="s"/>
      <c r="Y420" s="4500" t="s"/>
      <c r="Z420" s="4501" t="s"/>
      <c r="AA420" s="4502" t="s"/>
      <c r="AB420" s="182" t="n">
        <f aca="false" ca="false" dt2D="false" dtr="false" t="normal">MID(K413, 8, 1)</f>
        <v>0</v>
      </c>
      <c r="AC420" s="183" t="n">
        <f aca="false" ca="false" dt2D="false" dtr="false" t="normal">AB420</f>
        <v>0</v>
      </c>
      <c r="AD420" s="184" t="s">
        <v>208</v>
      </c>
      <c r="AE420" s="187" t="s">
        <v>1712</v>
      </c>
      <c r="AF420" s="182" t="n">
        <f aca="false" ca="false" dt2D="false" dtr="false" t="normal">MID(L413, 8, 1)</f>
        <v>0</v>
      </c>
      <c r="AG420" s="183" t="n">
        <f aca="false" ca="false" dt2D="false" dtr="false" t="normal">AF420</f>
        <v>0</v>
      </c>
      <c r="AH420" s="184" t="s">
        <v>208</v>
      </c>
      <c r="AI420" s="185" t="s">
        <v>196</v>
      </c>
      <c r="AJ420" s="4503" t="s"/>
      <c r="AK420" s="4504" t="s"/>
    </row>
    <row hidden="false" ht="15.75" outlineLevel="0" r="421">
      <c r="C421" s="93" t="n"/>
      <c r="D421" s="94" t="n"/>
      <c r="E421" s="94" t="n"/>
      <c r="F421" s="94" t="n"/>
      <c r="G421" s="94" t="n"/>
      <c r="H421" s="94" t="n"/>
      <c r="I421" s="94" t="n"/>
      <c r="J421" s="94" t="n"/>
      <c r="K421" s="94" t="n"/>
      <c r="L421" s="94" t="n"/>
      <c r="M421" s="94" t="s">
        <v>161</v>
      </c>
      <c r="N421" s="60" t="n"/>
      <c r="P421" s="95" t="str">
        <f aca="false" ca="false" dt2D="false" dtr="false" t="normal">RIGHT(D423, 1)&amp;E423&amp;"-"&amp;F423&amp;"-"&amp;G423</f>
        <v>--</v>
      </c>
      <c r="Q421" s="4505" t="s"/>
      <c r="R421" s="234" t="s">
        <v>1713</v>
      </c>
      <c r="S421" s="4506" t="s"/>
      <c r="T421" s="4507" t="s"/>
      <c r="U421" s="4508" t="s"/>
      <c r="V421" s="4509" t="s"/>
      <c r="W421" s="4510" t="s"/>
      <c r="X421" s="4511" t="s"/>
      <c r="Y421" s="4512" t="s"/>
      <c r="Z421" s="4513" t="s"/>
      <c r="AA421" s="4514" t="s"/>
      <c r="AB421" s="4515" t="s"/>
      <c r="AC421" s="4516" t="s"/>
      <c r="AD421" s="4517" t="s"/>
      <c r="AE421" s="4518" t="s"/>
      <c r="AF421" s="4519" t="s"/>
      <c r="AG421" s="4520" t="s"/>
      <c r="AH421" s="4521" t="s"/>
      <c r="AI421" s="4522" t="s"/>
      <c r="AJ421" s="4523" t="s"/>
      <c r="AK421" s="4524" t="s"/>
      <c r="AL421" s="4525" t="s">
        <v>1714</v>
      </c>
    </row>
    <row hidden="false" ht="15.75" outlineLevel="0" r="422">
      <c r="C422" s="98" t="n"/>
      <c r="D422" s="99" t="s">
        <v>1715</v>
      </c>
      <c r="E422" s="4526" t="s"/>
      <c r="F422" s="4527" t="s"/>
      <c r="G422" s="4528" t="s"/>
      <c r="H422" s="53" t="s">
        <v>165</v>
      </c>
      <c r="I422" s="53" t="s">
        <v>166</v>
      </c>
      <c r="J422" s="53" t="s">
        <v>167</v>
      </c>
      <c r="K422" s="53" t="s">
        <v>168</v>
      </c>
      <c r="L422" s="53" t="s">
        <v>169</v>
      </c>
      <c r="M422" s="53" t="s">
        <v>221</v>
      </c>
      <c r="N422" s="63" t="n"/>
      <c r="P422" s="103" t="s">
        <v>1716</v>
      </c>
      <c r="Q422" s="4529" t="s"/>
      <c r="R422" s="4530" t="s"/>
      <c r="S422" s="4531" t="s"/>
      <c r="T422" s="103" t="s">
        <v>1717</v>
      </c>
      <c r="U422" s="4532" t="s"/>
      <c r="V422" s="4533" t="s"/>
      <c r="W422" s="4534" t="s"/>
      <c r="X422" s="103" t="s">
        <v>1718</v>
      </c>
      <c r="Y422" s="4535" t="s"/>
      <c r="Z422" s="4536" t="s"/>
      <c r="AA422" s="4537" t="s"/>
      <c r="AB422" s="103" t="s">
        <v>1719</v>
      </c>
      <c r="AC422" s="4538" t="s"/>
      <c r="AD422" s="4539" t="s"/>
      <c r="AE422" s="4540" t="s"/>
      <c r="AF422" s="103" t="s">
        <v>1720</v>
      </c>
      <c r="AG422" s="4541" t="s"/>
      <c r="AH422" s="4542" t="s"/>
      <c r="AI422" s="4543" t="s"/>
      <c r="AJ422" s="103" t="s">
        <v>1721</v>
      </c>
      <c r="AK422" s="4544" t="s"/>
      <c r="AL422" s="4545" t="s"/>
    </row>
    <row hidden="false" ht="15.75" outlineLevel="0" r="423">
      <c r="C423" s="98" t="s">
        <v>176</v>
      </c>
      <c r="D423" s="122" t="str">
        <f aca="false" ca="false" dt2D="false" dtr="false" t="normal">IF(J412="", "", 7)</f>
        <v/>
      </c>
      <c r="E423" s="123" t="str">
        <f aca="false" ca="false" dt2D="false" dtr="false" t="normal">IF(J412="", "", 20)</f>
        <v/>
      </c>
      <c r="F423" s="123" t="str">
        <f aca="false" ca="false" dt2D="false" dtr="false" t="normal">IF(J412="", "", 4)</f>
        <v/>
      </c>
      <c r="G423" s="124" t="str">
        <f aca="false" ca="false" dt2D="false" dtr="false" t="normal">IF(J412="", "", 29)</f>
        <v/>
      </c>
      <c r="H423" s="1819" t="str">
        <f aca="false" ca="false" dt2D="false" dtr="false" ref="H423:H423" t="array">_XLFN.IFNA(MID(INDEX($A$3:$A$70, IF(ISNA(MATCH("720G4HD*", $A$3:$A$70, 0))=TRUE, MATCH("7200429*", $A$3:$A$70, 0), MATCH("720G4HD*", $A$3:$A$70, 0))), $AU$8, 2), "")</f>
        <v/>
      </c>
      <c r="I423" s="1820" t="str">
        <f aca="false" ca="false" dt2D="false" dtr="false" ref="I423:I423" t="array">_XLFN.IFNA(MID(INDEX($A$3:$A$70, IF(ISNA(MATCH("720G4HD*", $A$3:$A$70, 0))=TRUE, MATCH("7200429*", $A$3:$A$70, 0), MATCH("720G4HD*", $A$3:$A$70, 0))), $AV$8, 2), "")</f>
        <v/>
      </c>
      <c r="J423" s="164" t="str">
        <f aca="false" ca="false" dt2D="false" dtr="false" ref="J423:J423" t="array">_XLFN.IFNA(MID(INDEX($A$3:$A$70, IF(ISNA(MATCH("720G4HD*", $A$3:$A$70, 0))=TRUE, MATCH("7200429*", $A$3:$A$70, 0), MATCH("720G4HD*", $A$3:$A$70, 0))), $AW$8, 2), "")</f>
        <v/>
      </c>
      <c r="K423" s="1820" t="str">
        <f aca="false" ca="false" dt2D="false" dtr="false" ref="K423:K423" t="array">_XLFN.IFNA(MID(INDEX($A$3:$A$70, IF(ISNA(MATCH("720G4HD*", $A$3:$A$70, 0))=TRUE, MATCH("7200429*", $A$3:$A$70, 0), MATCH("720G4HD*", $A$3:$A$70, 0))), $AX$8, 2), "")</f>
        <v/>
      </c>
      <c r="L423" s="1821" t="str">
        <f aca="false" ca="false" dt2D="false" dtr="false" ref="L423:L423" t="array">_XLFN.IFNA(MID(INDEX($A$3:$A$70, IF(ISNA(MATCH("720G4HD*", $A$3:$A$70, 0))=TRUE, MATCH("7200429*", $A$3:$A$70, 0), MATCH("720G4HD*", $A$3:$A$70, 0))), $AY$8, 2), "")</f>
        <v/>
      </c>
      <c r="M423" s="218" t="str">
        <f aca="false" ca="false" dt2D="false" dtr="false" ref="M423:M423" t="array">_XLFN.IFNA(MID(INDEX($A$3:$A$70, IF(ISNA(MATCH("720G4HD*", $A$3:$A$70, 0))=TRUE, MATCH("7200429*", $A$3:$A$70, 0), MATCH("720G4HD*", $A$3:$A$70, 0))), $AZ$8, 2), "")</f>
        <v/>
      </c>
      <c r="N423" s="63" t="s">
        <v>180</v>
      </c>
      <c r="P423" s="129" t="s">
        <v>180</v>
      </c>
      <c r="Q423" s="130" t="s">
        <v>181</v>
      </c>
      <c r="R423" s="121" t="s">
        <v>182</v>
      </c>
      <c r="S423" s="131" t="n"/>
      <c r="T423" s="129" t="s">
        <v>180</v>
      </c>
      <c r="U423" s="130" t="s">
        <v>181</v>
      </c>
      <c r="V423" s="121" t="s">
        <v>182</v>
      </c>
      <c r="W423" s="131" t="n"/>
      <c r="X423" s="129" t="s">
        <v>180</v>
      </c>
      <c r="Y423" s="130" t="s">
        <v>181</v>
      </c>
      <c r="Z423" s="121" t="s">
        <v>182</v>
      </c>
      <c r="AA423" s="131" t="n"/>
      <c r="AB423" s="129" t="s">
        <v>180</v>
      </c>
      <c r="AC423" s="130" t="s">
        <v>181</v>
      </c>
      <c r="AD423" s="121" t="s">
        <v>182</v>
      </c>
      <c r="AE423" s="131" t="n"/>
      <c r="AF423" s="116" t="n"/>
      <c r="AG423" s="4546" t="s"/>
      <c r="AH423" s="4547" t="s"/>
      <c r="AI423" s="4548" t="s"/>
      <c r="AJ423" s="116" t="s">
        <v>183</v>
      </c>
      <c r="AK423" s="4549" t="s"/>
      <c r="AL423" s="4550" t="s"/>
    </row>
    <row hidden="false" ht="15" outlineLevel="0" r="424">
      <c r="C424" s="98" t="s">
        <v>185</v>
      </c>
      <c r="D424" s="53" t="n">
        <f aca="false" ca="false" dt2D="false" dtr="false" t="normal">HEX2BIN(D423, 8)</f>
        <v>0</v>
      </c>
      <c r="E424" s="53" t="n">
        <f aca="false" ca="false" dt2D="false" dtr="false" t="normal">HEX2BIN(E423, 8)</f>
        <v>0</v>
      </c>
      <c r="F424" s="53" t="n">
        <f aca="false" ca="false" dt2D="false" dtr="false" t="normal">HEX2BIN(F423, 8)</f>
        <v>0</v>
      </c>
      <c r="G424" s="53" t="n">
        <f aca="false" ca="false" dt2D="false" dtr="false" t="normal">HEX2BIN(G423, 8)</f>
        <v>0</v>
      </c>
      <c r="H424" s="53" t="n">
        <f aca="false" ca="false" dt2D="false" dtr="false" t="normal">HEX2BIN(H423, 8)</f>
        <v>0</v>
      </c>
      <c r="I424" s="53" t="n">
        <f aca="false" ca="false" dt2D="false" dtr="false" t="normal">HEX2BIN(I423, 8)</f>
        <v>0</v>
      </c>
      <c r="J424" s="53" t="n">
        <f aca="false" ca="false" dt2D="false" dtr="false" t="normal">HEX2BIN(J423, 8)</f>
        <v>0</v>
      </c>
      <c r="K424" s="53" t="n">
        <f aca="false" ca="false" dt2D="false" dtr="false" t="normal">HEX2BIN(K423, 8)</f>
        <v>0</v>
      </c>
      <c r="L424" s="53" t="n">
        <f aca="false" ca="false" dt2D="false" dtr="false" t="normal">HEX2BIN(L423, 8)</f>
        <v>0</v>
      </c>
      <c r="N424" s="63" t="n"/>
      <c r="P424" s="136" t="n">
        <f aca="false" ca="false" dt2D="false" dtr="false" t="normal">MID(H424, 1, 1)</f>
        <v>0</v>
      </c>
      <c r="Q424" s="137" t="n">
        <f aca="false" ca="false" dt2D="false" dtr="false" t="normal">P424</f>
        <v>0</v>
      </c>
      <c r="R424" s="120" t="s">
        <v>186</v>
      </c>
      <c r="S424" s="131" t="s">
        <v>196</v>
      </c>
      <c r="T424" s="136" t="n">
        <f aca="false" ca="false" dt2D="false" dtr="false" t="normal">MID(I424, 1, 1)</f>
        <v>0</v>
      </c>
      <c r="U424" s="137" t="n">
        <f aca="false" ca="false" dt2D="false" dtr="false" t="normal">T424</f>
        <v>0</v>
      </c>
      <c r="V424" s="120" t="s">
        <v>186</v>
      </c>
      <c r="W424" s="139" t="s">
        <v>1722</v>
      </c>
      <c r="X424" s="136" t="n">
        <f aca="false" ca="false" dt2D="false" dtr="false" t="normal">MID(J424, 1, 1)</f>
        <v>0</v>
      </c>
      <c r="Y424" s="137" t="n">
        <f aca="false" ca="false" dt2D="false" dtr="false" t="normal">X424</f>
        <v>0</v>
      </c>
      <c r="Z424" s="120" t="s">
        <v>186</v>
      </c>
      <c r="AA424" s="139" t="s">
        <v>1723</v>
      </c>
      <c r="AB424" s="136" t="n">
        <f aca="false" ca="false" dt2D="false" dtr="false" t="normal">MID(K424, 1, 1)</f>
        <v>0</v>
      </c>
      <c r="AC424" s="137" t="n">
        <f aca="false" ca="false" dt2D="false" dtr="false" t="normal">AB424</f>
        <v>0</v>
      </c>
      <c r="AD424" s="120" t="s">
        <v>186</v>
      </c>
      <c r="AE424" s="131" t="s">
        <v>196</v>
      </c>
      <c r="AF424" s="4551" t="s"/>
      <c r="AG424" s="142" t="s"/>
      <c r="AH424" s="142" t="s"/>
      <c r="AI424" s="4552" t="s"/>
      <c r="AJ424" s="4553" t="s"/>
      <c r="AK424" s="4554" t="s"/>
      <c r="AL424" s="4555" t="s"/>
    </row>
    <row hidden="false" ht="15" outlineLevel="0" r="425">
      <c r="C425" s="98" t="s">
        <v>191</v>
      </c>
      <c r="D425" s="53" t="n">
        <f aca="false" ca="false" dt2D="false" dtr="false" t="normal">HEX2DEC(D423)</f>
        <v>0</v>
      </c>
      <c r="E425" s="53" t="n">
        <f aca="false" ca="false" dt2D="false" dtr="false" t="normal">HEX2DEC(E423)</f>
        <v>0</v>
      </c>
      <c r="F425" s="53" t="n">
        <f aca="false" ca="false" dt2D="false" dtr="false" t="normal">HEX2DEC(F423)</f>
        <v>0</v>
      </c>
      <c r="G425" s="53" t="n">
        <f aca="false" ca="false" dt2D="false" dtr="false" t="normal">HEX2DEC(G423)</f>
        <v>0</v>
      </c>
      <c r="H425" s="53" t="n">
        <f aca="false" ca="false" dt2D="false" dtr="false" t="normal">HEX2DEC(H423)</f>
        <v>0</v>
      </c>
      <c r="I425" s="53" t="n">
        <f aca="false" ca="false" dt2D="false" dtr="false" t="normal">HEX2DEC(I423)</f>
        <v>0</v>
      </c>
      <c r="J425" s="53" t="n">
        <f aca="false" ca="false" dt2D="false" dtr="false" t="normal">HEX2DEC(J423)</f>
        <v>0</v>
      </c>
      <c r="K425" s="53" t="n">
        <f aca="false" ca="false" dt2D="false" dtr="false" t="normal">HEX2DEC(K423)</f>
        <v>0</v>
      </c>
      <c r="L425" s="53" t="n">
        <f aca="false" ca="false" dt2D="false" dtr="false" t="normal">HEX2DEC(L423)</f>
        <v>0</v>
      </c>
      <c r="M425" s="53" t="n">
        <f aca="false" ca="false" dt2D="false" dtr="false" t="normal">SUM(D425:L425)</f>
        <v>0</v>
      </c>
      <c r="N425" s="63" t="n"/>
      <c r="P425" s="136" t="n">
        <f aca="false" ca="false" dt2D="false" dtr="false" t="normal">MID(H424, 2, 1)</f>
        <v>0</v>
      </c>
      <c r="Q425" s="137" t="n">
        <f aca="false" ca="false" dt2D="false" dtr="false" t="normal">P425</f>
        <v>0</v>
      </c>
      <c r="R425" s="120" t="s">
        <v>192</v>
      </c>
      <c r="S425" s="139" t="s">
        <v>1724</v>
      </c>
      <c r="T425" s="136" t="n">
        <f aca="false" ca="false" dt2D="false" dtr="false" t="normal">MID(I424, 2, 1)</f>
        <v>0</v>
      </c>
      <c r="U425" s="137" t="n">
        <f aca="false" ca="false" dt2D="false" dtr="false" t="normal">T425</f>
        <v>0</v>
      </c>
      <c r="V425" s="120" t="s">
        <v>192</v>
      </c>
      <c r="W425" s="131" t="s">
        <v>196</v>
      </c>
      <c r="X425" s="136" t="n">
        <f aca="false" ca="false" dt2D="false" dtr="false" t="normal">MID(J424, 2, 1)</f>
        <v>0</v>
      </c>
      <c r="Y425" s="137" t="n">
        <f aca="false" ca="false" dt2D="false" dtr="false" t="normal">X425</f>
        <v>0</v>
      </c>
      <c r="Z425" s="120" t="s">
        <v>192</v>
      </c>
      <c r="AA425" s="131" t="s">
        <v>196</v>
      </c>
      <c r="AB425" s="136" t="n">
        <f aca="false" ca="false" dt2D="false" dtr="false" t="normal">MID(K424, 2, 1)</f>
        <v>0</v>
      </c>
      <c r="AC425" s="137" t="n">
        <f aca="false" ca="false" dt2D="false" dtr="false" t="normal">AB425</f>
        <v>0</v>
      </c>
      <c r="AD425" s="120" t="s">
        <v>192</v>
      </c>
      <c r="AE425" s="131" t="s">
        <v>196</v>
      </c>
      <c r="AF425" s="4556" t="s"/>
      <c r="AG425" s="142" t="s"/>
      <c r="AH425" s="142" t="s"/>
      <c r="AI425" s="4557" t="s"/>
      <c r="AJ425" s="4558" t="s"/>
      <c r="AK425" s="4559" t="s"/>
      <c r="AL425" s="4560" t="s"/>
    </row>
    <row hidden="false" ht="15" outlineLevel="0" r="426">
      <c r="C426" s="98" t="s">
        <v>194</v>
      </c>
      <c r="D426" s="149" t="str">
        <f aca="false" ca="false" dt2D="false" dtr="false" t="normal">D423</f>
        <v/>
      </c>
      <c r="E426" s="149" t="str">
        <f aca="false" ca="false" dt2D="false" dtr="false" t="normal">E423</f>
        <v/>
      </c>
      <c r="F426" s="53" t="str">
        <f aca="false" ca="false" dt2D="false" dtr="false" t="normal">_XLFN.IFNA(MID(INDEX($A$3:$A$70, IF(ISNA(MATCH("720G4HD*", $A$3:$A$70, 0))=TRUE, MATCH("7200429*", $A$3:$A$70, 0), MATCH("720G4HD*", $A$3:$A$70, 0))), $AS$8, 2), "")</f>
        <v/>
      </c>
      <c r="G426" s="53" t="str">
        <f aca="false" ca="false" dt2D="false" dtr="false" t="normal">_XLFN.IFNA(MID(INDEX($A$3:$A$70, IF(ISNA(MATCH("720G4HD*", $A$3:$A$70, 0))=TRUE, MATCH("7200429*", $A$3:$A$70, 0), MATCH("720G4HD*", $A$3:$A$70, 0))), $AT$8, 2), "")</f>
        <v/>
      </c>
      <c r="N426" s="63" t="n"/>
      <c r="P426" s="136" t="n">
        <f aca="false" ca="false" dt2D="false" dtr="false" t="normal">MID(H424, 3, 1)</f>
        <v>0</v>
      </c>
      <c r="Q426" s="137" t="n">
        <f aca="false" ca="false" dt2D="false" dtr="false" t="normal">P426</f>
        <v>0</v>
      </c>
      <c r="R426" s="120" t="s">
        <v>195</v>
      </c>
      <c r="S426" s="139" t="s">
        <v>1725</v>
      </c>
      <c r="T426" s="136" t="n">
        <f aca="false" ca="false" dt2D="false" dtr="false" t="normal">MID(I424, 3, 1)</f>
        <v>0</v>
      </c>
      <c r="U426" s="137" t="n">
        <f aca="false" ca="false" dt2D="false" dtr="false" t="normal">T426</f>
        <v>0</v>
      </c>
      <c r="V426" s="120" t="s">
        <v>195</v>
      </c>
      <c r="W426" s="139" t="s">
        <v>1726</v>
      </c>
      <c r="X426" s="136" t="n">
        <f aca="false" ca="false" dt2D="false" dtr="false" t="normal">MID(J424, 3, 1)</f>
        <v>0</v>
      </c>
      <c r="Y426" s="137" t="n">
        <f aca="false" ca="false" dt2D="false" dtr="false" t="normal">X426</f>
        <v>0</v>
      </c>
      <c r="Z426" s="120" t="s">
        <v>195</v>
      </c>
      <c r="AA426" s="139" t="s">
        <v>1727</v>
      </c>
      <c r="AB426" s="136" t="n">
        <f aca="false" ca="false" dt2D="false" dtr="false" t="normal">MID(K424, 3, 1)</f>
        <v>0</v>
      </c>
      <c r="AC426" s="137" t="n">
        <f aca="false" ca="false" dt2D="false" dtr="false" t="normal">AB426</f>
        <v>0</v>
      </c>
      <c r="AD426" s="120" t="s">
        <v>195</v>
      </c>
      <c r="AE426" s="131" t="s">
        <v>196</v>
      </c>
      <c r="AF426" s="4561" t="s"/>
      <c r="AG426" s="142" t="s"/>
      <c r="AH426" s="142" t="s"/>
      <c r="AI426" s="4562" t="s"/>
      <c r="AJ426" s="4563" t="s"/>
      <c r="AK426" s="4564" t="s"/>
      <c r="AL426" s="4565" t="s"/>
    </row>
    <row hidden="false" ht="15.75" outlineLevel="0" r="427">
      <c r="C427" s="98" t="n"/>
      <c r="N427" s="63" t="n"/>
      <c r="P427" s="136" t="n">
        <f aca="false" ca="false" dt2D="false" dtr="false" t="normal">MID(H424, 4, 1)</f>
        <v>0</v>
      </c>
      <c r="Q427" s="137" t="n">
        <f aca="false" ca="false" dt2D="false" dtr="false" t="normal">P427</f>
        <v>0</v>
      </c>
      <c r="R427" s="120" t="s">
        <v>197</v>
      </c>
      <c r="S427" s="131" t="s">
        <v>196</v>
      </c>
      <c r="T427" s="136" t="n">
        <f aca="false" ca="false" dt2D="false" dtr="false" t="normal">MID(I424, 4, 1)</f>
        <v>0</v>
      </c>
      <c r="U427" s="137" t="n">
        <f aca="false" ca="false" dt2D="false" dtr="false" t="normal">T427</f>
        <v>0</v>
      </c>
      <c r="V427" s="120" t="s">
        <v>197</v>
      </c>
      <c r="W427" s="131" t="s">
        <v>196</v>
      </c>
      <c r="X427" s="136" t="n">
        <f aca="false" ca="false" dt2D="false" dtr="false" t="normal">MID(J424, 4, 1)</f>
        <v>0</v>
      </c>
      <c r="Y427" s="137" t="n">
        <f aca="false" ca="false" dt2D="false" dtr="false" t="normal">X427</f>
        <v>0</v>
      </c>
      <c r="Z427" s="120" t="s">
        <v>197</v>
      </c>
      <c r="AA427" s="131" t="s">
        <v>196</v>
      </c>
      <c r="AB427" s="136" t="n">
        <f aca="false" ca="false" dt2D="false" dtr="false" t="normal">MID(K424, 4, 1)</f>
        <v>0</v>
      </c>
      <c r="AC427" s="137" t="n">
        <f aca="false" ca="false" dt2D="false" dtr="false" t="normal">AB427</f>
        <v>0</v>
      </c>
      <c r="AD427" s="120" t="s">
        <v>197</v>
      </c>
      <c r="AE427" s="139" t="s">
        <v>1728</v>
      </c>
      <c r="AF427" s="4566" t="s"/>
      <c r="AG427" s="142" t="s"/>
      <c r="AH427" s="142" t="s"/>
      <c r="AI427" s="4567" t="s"/>
      <c r="AJ427" s="4568" t="s"/>
      <c r="AK427" s="4569" t="s"/>
      <c r="AL427" s="4570" t="s"/>
    </row>
    <row hidden="false" ht="15.75" outlineLevel="0" r="428">
      <c r="C428" s="98" t="s">
        <v>176</v>
      </c>
      <c r="D428" s="159" t="str">
        <f aca="false" ca="false" dt2D="false" dtr="false" t="normal">D423</f>
        <v/>
      </c>
      <c r="E428" s="160" t="str">
        <f aca="false" ca="false" dt2D="false" dtr="false" t="normal">E423</f>
        <v/>
      </c>
      <c r="F428" s="160" t="str">
        <f aca="false" ca="false" dt2D="false" dtr="false" t="normal">F423</f>
        <v/>
      </c>
      <c r="G428" s="161" t="str">
        <f aca="false" ca="false" dt2D="false" dtr="false" t="normal">G423</f>
        <v/>
      </c>
      <c r="H428" s="162" t="str">
        <f aca="false" ca="false" dt2D="false" dtr="false" t="normal">IF(J412="", "", BIN2HEX(H429, 2))</f>
        <v/>
      </c>
      <c r="I428" s="163" t="str">
        <f aca="false" ca="false" dt2D="false" dtr="false" t="normal">IF(J412="", "", BIN2HEX(I429, 2))</f>
        <v/>
      </c>
      <c r="J428" s="164" t="str">
        <f aca="false" ca="false" dt2D="false" dtr="false" t="normal">IF(J412="", "", BIN2HEX(J429, 2))</f>
        <v/>
      </c>
      <c r="K428" s="165" t="str">
        <f aca="false" ca="false" dt2D="false" dtr="false" t="normal">IF(J412="", "", BIN2HEX(K429, 2))</f>
        <v/>
      </c>
      <c r="L428" s="1917" t="str">
        <f aca="false" ca="false" dt2D="false" dtr="false" t="normal">L423</f>
        <v/>
      </c>
      <c r="M428" s="166" t="str">
        <f aca="false" ca="false" dt2D="false" dtr="false" t="normal">IF(J412="", "", IF(LEN(M429)&gt;2, MID(M429, 2, 2), M429))</f>
        <v/>
      </c>
      <c r="N428" s="63" t="s">
        <v>181</v>
      </c>
      <c r="P428" s="136" t="n">
        <f aca="false" ca="false" dt2D="false" dtr="false" t="normal">MID(H424, 5, 1)</f>
        <v>0</v>
      </c>
      <c r="Q428" s="137" t="n">
        <f aca="false" ca="false" dt2D="false" dtr="false" t="normal">P428</f>
        <v>0</v>
      </c>
      <c r="R428" s="120" t="s">
        <v>200</v>
      </c>
      <c r="S428" s="139" t="s">
        <v>1729</v>
      </c>
      <c r="T428" s="136" t="n">
        <f aca="false" ca="false" dt2D="false" dtr="false" t="normal">MID(I424, 5, 1)</f>
        <v>0</v>
      </c>
      <c r="U428" s="137" t="n">
        <f aca="false" ca="false" dt2D="false" dtr="false" t="normal">T428</f>
        <v>0</v>
      </c>
      <c r="V428" s="120" t="s">
        <v>200</v>
      </c>
      <c r="W428" s="131" t="s">
        <v>196</v>
      </c>
      <c r="X428" s="136" t="n">
        <f aca="false" ca="false" dt2D="false" dtr="false" t="normal">MID(J424, 5, 1)</f>
        <v>0</v>
      </c>
      <c r="Y428" s="137" t="n">
        <f aca="false" ca="false" dt2D="false" dtr="false" t="normal">X428</f>
        <v>0</v>
      </c>
      <c r="Z428" s="120" t="s">
        <v>200</v>
      </c>
      <c r="AA428" s="139" t="s">
        <v>1730</v>
      </c>
      <c r="AB428" s="136" t="n">
        <f aca="false" ca="false" dt2D="false" dtr="false" t="normal">MID(K424, 5, 1)</f>
        <v>0</v>
      </c>
      <c r="AC428" s="137" t="n">
        <f aca="false" ca="false" dt2D="false" dtr="false" t="normal">AB428</f>
        <v>0</v>
      </c>
      <c r="AD428" s="120" t="s">
        <v>200</v>
      </c>
      <c r="AE428" s="139" t="s">
        <v>1731</v>
      </c>
      <c r="AF428" s="4571" t="s"/>
      <c r="AG428" s="142" t="s"/>
      <c r="AH428" s="142" t="s"/>
      <c r="AI428" s="4572" t="s"/>
      <c r="AJ428" s="4573" t="s"/>
      <c r="AK428" s="4574" t="s"/>
      <c r="AL428" s="4575" t="s"/>
    </row>
    <row hidden="false" ht="15" outlineLevel="0" r="429">
      <c r="C429" s="98" t="s">
        <v>185</v>
      </c>
      <c r="D429" s="53" t="n">
        <f aca="false" ca="false" dt2D="false" dtr="false" t="normal">HEX2BIN(D428, 8)</f>
        <v>0</v>
      </c>
      <c r="E429" s="53" t="n">
        <f aca="false" ca="false" dt2D="false" dtr="false" t="normal">HEX2BIN(E428, 8)</f>
        <v>0</v>
      </c>
      <c r="F429" s="53" t="n">
        <f aca="false" ca="false" dt2D="false" dtr="false" t="normal">HEX2BIN(F428, 8)</f>
        <v>0</v>
      </c>
      <c r="G429" s="53" t="n">
        <f aca="false" ca="false" dt2D="false" dtr="false" t="normal">HEX2BIN(G428, 8)</f>
        <v>0</v>
      </c>
      <c r="H429" s="171" t="n">
        <f aca="false" ca="false" dt2D="false" dtr="false" t="normal">Q424&amp;Q425&amp;Q426&amp;Q427&amp;Q428&amp;Q429&amp;Q430&amp;Q431</f>
        <v>0</v>
      </c>
      <c r="I429" s="53" t="n">
        <f aca="false" ca="false" dt2D="false" dtr="false" t="normal">U424&amp;U425&amp;U426&amp;U427&amp;U428&amp;U429&amp;U430&amp;U431</f>
        <v>0</v>
      </c>
      <c r="J429" s="171" t="n">
        <f aca="false" ca="false" dt2D="false" dtr="false" t="normal">Y424&amp;Y425&amp;Y426&amp;Y427&amp;Y428&amp;Y429&amp;Y430&amp;Y431</f>
        <v>0</v>
      </c>
      <c r="K429" s="171" t="n">
        <f aca="false" ca="false" dt2D="false" dtr="false" t="normal">AC424&amp;AC425&amp;AC426&amp;AC427&amp;AC428&amp;AC429&amp;AC430&amp;AC431</f>
        <v>0</v>
      </c>
      <c r="L429" s="53" t="n"/>
      <c r="M429" s="53" t="n">
        <f aca="false" ca="false" dt2D="false" dtr="false" t="normal">DEC2HEX(M430)</f>
        <v>0</v>
      </c>
      <c r="N429" s="63" t="n"/>
      <c r="P429" s="136" t="n">
        <f aca="false" ca="false" dt2D="false" dtr="false" t="normal">MID(H424, 6, 1)</f>
        <v>0</v>
      </c>
      <c r="Q429" s="137" t="n">
        <f aca="false" ca="false" dt2D="false" dtr="false" t="normal">P429</f>
        <v>0</v>
      </c>
      <c r="R429" s="120" t="s">
        <v>203</v>
      </c>
      <c r="S429" s="131" t="s">
        <v>196</v>
      </c>
      <c r="T429" s="136" t="n">
        <f aca="false" ca="false" dt2D="false" dtr="false" t="normal">MID(I424, 6, 1)</f>
        <v>0</v>
      </c>
      <c r="U429" s="137" t="n">
        <f aca="false" ca="false" dt2D="false" dtr="false" t="normal">T429</f>
        <v>0</v>
      </c>
      <c r="V429" s="120" t="s">
        <v>203</v>
      </c>
      <c r="W429" s="139" t="s">
        <v>1732</v>
      </c>
      <c r="X429" s="136" t="n">
        <f aca="false" ca="false" dt2D="false" dtr="false" t="normal">MID(J424, 6, 1)</f>
        <v>0</v>
      </c>
      <c r="Y429" s="137" t="n">
        <f aca="false" ca="false" dt2D="false" dtr="false" t="normal">X429</f>
        <v>0</v>
      </c>
      <c r="Z429" s="120" t="s">
        <v>203</v>
      </c>
      <c r="AA429" s="131" t="s">
        <v>196</v>
      </c>
      <c r="AB429" s="136" t="n">
        <f aca="false" ca="false" dt2D="false" dtr="false" t="normal">MID(K424, 6, 1)</f>
        <v>0</v>
      </c>
      <c r="AC429" s="137" t="n">
        <f aca="false" ca="false" dt2D="false" dtr="false" t="normal">AB429</f>
        <v>0</v>
      </c>
      <c r="AD429" s="120" t="s">
        <v>203</v>
      </c>
      <c r="AE429" s="139" t="s">
        <v>1733</v>
      </c>
      <c r="AF429" s="4576" t="s"/>
      <c r="AG429" s="142" t="s"/>
      <c r="AH429" s="142" t="s"/>
      <c r="AI429" s="4577" t="s"/>
      <c r="AJ429" s="4578" t="s"/>
      <c r="AK429" s="4579" t="s"/>
      <c r="AL429" s="4580" t="s"/>
    </row>
    <row hidden="false" ht="15" outlineLevel="0" r="430">
      <c r="C430" s="98" t="s">
        <v>191</v>
      </c>
      <c r="D430" s="53" t="n">
        <f aca="false" ca="false" dt2D="false" dtr="false" t="normal">HEX2DEC(D428)</f>
        <v>0</v>
      </c>
      <c r="E430" s="53" t="n">
        <f aca="false" ca="false" dt2D="false" dtr="false" t="normal">HEX2DEC(E428)</f>
        <v>0</v>
      </c>
      <c r="F430" s="53" t="n">
        <f aca="false" ca="false" dt2D="false" dtr="false" t="normal">HEX2DEC(F428)</f>
        <v>0</v>
      </c>
      <c r="G430" s="53" t="n">
        <f aca="false" ca="false" dt2D="false" dtr="false" t="normal">HEX2DEC(G428)</f>
        <v>0</v>
      </c>
      <c r="H430" s="53" t="n">
        <f aca="false" ca="false" dt2D="false" dtr="false" t="normal">HEX2DEC(H428)</f>
        <v>0</v>
      </c>
      <c r="I430" s="53" t="n">
        <f aca="false" ca="false" dt2D="false" dtr="false" t="normal">HEX2DEC(I428)</f>
        <v>0</v>
      </c>
      <c r="J430" s="53" t="n">
        <f aca="false" ca="false" dt2D="false" dtr="false" t="normal">HEX2DEC(J428)</f>
        <v>0</v>
      </c>
      <c r="K430" s="53" t="n">
        <f aca="false" ca="false" dt2D="false" dtr="false" t="normal">HEX2DEC(K428)</f>
        <v>0</v>
      </c>
      <c r="L430" s="53" t="n">
        <f aca="false" ca="false" dt2D="false" dtr="false" t="normal">HEX2DEC(L428)</f>
        <v>0</v>
      </c>
      <c r="M430" s="53" t="n">
        <f aca="false" ca="false" dt2D="false" dtr="false" t="normal">SUM(D430:L430)</f>
        <v>0</v>
      </c>
      <c r="N430" s="63" t="n"/>
      <c r="P430" s="136" t="n">
        <f aca="false" ca="false" dt2D="false" dtr="false" t="normal">MID(H424, 7, 1)</f>
        <v>0</v>
      </c>
      <c r="Q430" s="137" t="n">
        <f aca="false" ca="false" dt2D="false" dtr="false" t="normal">P430</f>
        <v>0</v>
      </c>
      <c r="R430" s="120" t="s">
        <v>206</v>
      </c>
      <c r="S430" s="139" t="s">
        <v>1734</v>
      </c>
      <c r="T430" s="136" t="n">
        <f aca="false" ca="false" dt2D="false" dtr="false" t="normal">MID(I424, 7, 1)</f>
        <v>0</v>
      </c>
      <c r="U430" s="137" t="n">
        <f aca="false" ca="false" dt2D="false" dtr="false" t="normal">T430</f>
        <v>0</v>
      </c>
      <c r="V430" s="120" t="s">
        <v>206</v>
      </c>
      <c r="W430" s="131" t="s">
        <v>196</v>
      </c>
      <c r="X430" s="136" t="n">
        <f aca="false" ca="false" dt2D="false" dtr="false" t="normal">MID(J424, 7, 1)</f>
        <v>0</v>
      </c>
      <c r="Y430" s="137" t="n">
        <f aca="false" ca="false" dt2D="false" dtr="false" t="normal">X430</f>
        <v>0</v>
      </c>
      <c r="Z430" s="120" t="s">
        <v>206</v>
      </c>
      <c r="AA430" s="139" t="s">
        <v>1735</v>
      </c>
      <c r="AB430" s="136" t="n">
        <f aca="false" ca="false" dt2D="false" dtr="false" t="normal">MID(K424, 7, 1)</f>
        <v>0</v>
      </c>
      <c r="AC430" s="137" t="n">
        <f aca="false" ca="false" dt2D="false" dtr="false" t="normal">AB430</f>
        <v>0</v>
      </c>
      <c r="AD430" s="120" t="s">
        <v>206</v>
      </c>
      <c r="AE430" s="139" t="s">
        <v>1736</v>
      </c>
      <c r="AF430" s="4581" t="s"/>
      <c r="AG430" s="142" t="s"/>
      <c r="AH430" s="142" t="s"/>
      <c r="AI430" s="4582" t="s"/>
      <c r="AJ430" s="4583" t="s"/>
      <c r="AK430" s="4584" t="s"/>
      <c r="AL430" s="4585" t="s"/>
    </row>
    <row hidden="false" ht="15.75" outlineLevel="0" r="431">
      <c r="C431" s="180" t="s">
        <v>194</v>
      </c>
      <c r="D431" s="299" t="str">
        <f aca="false" ca="false" dt2D="false" dtr="false" t="normal">D426</f>
        <v/>
      </c>
      <c r="E431" s="299" t="str">
        <f aca="false" ca="false" dt2D="false" dtr="false" t="normal">E426</f>
        <v/>
      </c>
      <c r="F431" s="299" t="str">
        <f aca="false" ca="false" dt2D="false" dtr="false" t="normal">F426</f>
        <v/>
      </c>
      <c r="G431" s="299" t="str">
        <f aca="false" ca="false" dt2D="false" dtr="false" t="normal">G426</f>
        <v/>
      </c>
      <c r="H431" s="45" t="n"/>
      <c r="I431" s="45" t="n"/>
      <c r="J431" s="45" t="n"/>
      <c r="K431" s="45" t="n"/>
      <c r="L431" s="45" t="n"/>
      <c r="M431" s="45" t="n"/>
      <c r="N431" s="49" t="n"/>
      <c r="P431" s="182" t="n">
        <f aca="false" ca="false" dt2D="false" dtr="false" t="normal">MID(H424, 8, 1)</f>
        <v>0</v>
      </c>
      <c r="Q431" s="183" t="n">
        <f aca="false" ca="false" dt2D="false" dtr="false" t="normal">P431</f>
        <v>0</v>
      </c>
      <c r="R431" s="184" t="s">
        <v>208</v>
      </c>
      <c r="S431" s="185" t="s">
        <v>196</v>
      </c>
      <c r="T431" s="182" t="n">
        <f aca="false" ca="false" dt2D="false" dtr="false" t="normal">MID(I424, 8, 1)</f>
        <v>0</v>
      </c>
      <c r="U431" s="183" t="n">
        <f aca="false" ca="false" dt2D="false" dtr="false" t="normal">T431</f>
        <v>0</v>
      </c>
      <c r="V431" s="184" t="s">
        <v>208</v>
      </c>
      <c r="W431" s="187" t="s">
        <v>1737</v>
      </c>
      <c r="X431" s="182" t="n">
        <f aca="false" ca="false" dt2D="false" dtr="false" t="normal">MID(J424, 8, 1)</f>
        <v>0</v>
      </c>
      <c r="Y431" s="183" t="n">
        <f aca="false" ca="false" dt2D="false" dtr="false" t="normal">X431</f>
        <v>0</v>
      </c>
      <c r="Z431" s="184" t="s">
        <v>208</v>
      </c>
      <c r="AA431" s="187" t="s">
        <v>1738</v>
      </c>
      <c r="AB431" s="182" t="n">
        <f aca="false" ca="false" dt2D="false" dtr="false" t="normal">MID(K424, 8, 1)</f>
        <v>0</v>
      </c>
      <c r="AC431" s="183" t="n">
        <f aca="false" ca="false" dt2D="false" dtr="false" t="normal">AB431</f>
        <v>0</v>
      </c>
      <c r="AD431" s="184" t="s">
        <v>208</v>
      </c>
      <c r="AE431" s="185" t="s">
        <v>196</v>
      </c>
      <c r="AF431" s="4586" t="s"/>
      <c r="AG431" s="4587" t="s"/>
      <c r="AH431" s="4588" t="s"/>
      <c r="AI431" s="4589" t="s"/>
      <c r="AJ431" s="4590" t="s"/>
      <c r="AK431" s="4591" t="s"/>
      <c r="AL431" s="4592" t="s"/>
    </row>
    <row hidden="false" ht="15.75" outlineLevel="0" r="432">
      <c r="C432" s="93" t="n"/>
      <c r="D432" s="94" t="n"/>
      <c r="E432" s="94" t="n"/>
      <c r="F432" s="94" t="n"/>
      <c r="G432" s="94" t="n"/>
      <c r="H432" s="94" t="n"/>
      <c r="I432" s="94" t="n"/>
      <c r="J432" s="94" t="n"/>
      <c r="K432" s="94" t="n"/>
      <c r="L432" s="94" t="n"/>
      <c r="M432" s="94" t="s">
        <v>161</v>
      </c>
      <c r="N432" s="60" t="n"/>
      <c r="P432" s="95" t="str">
        <f aca="false" ca="false" dt2D="false" dtr="false" t="normal">RIGHT(D434, 1)&amp;E434&amp;"-"&amp;F434&amp;"-"&amp;G434</f>
        <v>--</v>
      </c>
      <c r="Q432" s="4593" t="s"/>
      <c r="R432" s="234" t="s">
        <v>1739</v>
      </c>
      <c r="S432" s="4594" t="s"/>
      <c r="T432" s="4595" t="s"/>
      <c r="U432" s="4596" t="s"/>
      <c r="V432" s="4597" t="s"/>
      <c r="W432" s="4598" t="s"/>
      <c r="X432" s="4599" t="s"/>
      <c r="Y432" s="4600" t="s"/>
      <c r="Z432" s="4601" t="s"/>
      <c r="AA432" s="4602" t="s"/>
      <c r="AB432" s="4603" t="s"/>
      <c r="AC432" s="4604" t="s"/>
      <c r="AD432" s="4605" t="s"/>
      <c r="AE432" s="4606" t="s"/>
      <c r="AF432" s="4607" t="s"/>
      <c r="AG432" s="4608" t="s"/>
      <c r="AH432" s="4609" t="s"/>
      <c r="AI432" s="4610" t="s"/>
      <c r="AJ432" s="4611" t="s"/>
      <c r="AK432" s="4612" t="s"/>
      <c r="AL432" s="4613" t="s"/>
    </row>
    <row hidden="false" ht="15.75" outlineLevel="0" r="433">
      <c r="C433" s="98" t="n"/>
      <c r="D433" s="99" t="s">
        <v>1740</v>
      </c>
      <c r="E433" s="4614" t="s"/>
      <c r="F433" s="4615" t="s"/>
      <c r="G433" s="4616" t="s"/>
      <c r="H433" s="53" t="s">
        <v>165</v>
      </c>
      <c r="I433" s="53" t="s">
        <v>166</v>
      </c>
      <c r="J433" s="53" t="s">
        <v>167</v>
      </c>
      <c r="K433" s="53" t="s">
        <v>168</v>
      </c>
      <c r="L433" s="53" t="s">
        <v>169</v>
      </c>
      <c r="M433" s="53" t="s">
        <v>221</v>
      </c>
      <c r="N433" s="63" t="n"/>
      <c r="P433" s="103" t="s">
        <v>1741</v>
      </c>
      <c r="Q433" s="4617" t="s"/>
      <c r="R433" s="4618" t="s"/>
      <c r="S433" s="4619" t="s"/>
      <c r="T433" s="103" t="s">
        <v>1742</v>
      </c>
      <c r="U433" s="4620" t="s"/>
      <c r="V433" s="4621" t="s"/>
      <c r="W433" s="4622" t="s"/>
      <c r="X433" s="103" t="s">
        <v>1743</v>
      </c>
      <c r="Y433" s="4623" t="s"/>
      <c r="Z433" s="4624" t="s"/>
      <c r="AA433" s="4625" t="s"/>
      <c r="AB433" s="103" t="s">
        <v>1744</v>
      </c>
      <c r="AC433" s="4626" t="s"/>
      <c r="AD433" s="4627" t="s"/>
      <c r="AE433" s="4628" t="s"/>
      <c r="AF433" s="103" t="s">
        <v>1745</v>
      </c>
      <c r="AG433" s="4629" t="s"/>
      <c r="AH433" s="4630" t="s"/>
      <c r="AI433" s="4631" t="s"/>
      <c r="AJ433" s="103" t="s">
        <v>1746</v>
      </c>
      <c r="AK433" s="4632" t="s"/>
      <c r="AL433" s="4633" t="s"/>
    </row>
    <row hidden="false" ht="15.75" outlineLevel="0" r="434">
      <c r="C434" s="98" t="s">
        <v>176</v>
      </c>
      <c r="D434" s="122" t="str">
        <f aca="false" ca="false" dt2D="false" dtr="false" t="normal">IF(J412="", "", 7)</f>
        <v/>
      </c>
      <c r="E434" s="123" t="str">
        <f aca="false" ca="false" dt2D="false" dtr="false" t="normal">IF(J412="", "", 20)</f>
        <v/>
      </c>
      <c r="F434" s="123" t="str">
        <f aca="false" ca="false" dt2D="false" dtr="false" t="normal">IF(J412="", "", 4)</f>
        <v/>
      </c>
      <c r="G434" s="124" t="str">
        <f aca="false" ca="false" dt2D="false" dtr="false" t="normal">IF(J412="", "", 30)</f>
        <v/>
      </c>
      <c r="H434" s="1819" t="str">
        <f aca="false" ca="false" dt2D="false" dtr="false" ref="H434:H434" t="array">_XLFN.IFNA(MID(INDEX($A$3:$A$70, IF(ISNA(MATCH("720G4HE*", $A$3:$A$70, 0))=TRUE, MATCH("7200430*", $A$3:$A$70, 0), MATCH("720G4HE*", $A$3:$A$70, 0))), $AU$8, 2), "")</f>
        <v/>
      </c>
      <c r="I434" s="1820" t="str">
        <f aca="false" ca="false" dt2D="false" dtr="false" ref="I434:I434" t="array">_XLFN.IFNA(MID(INDEX($A$3:$A$70, IF(ISNA(MATCH("720G4HE*", $A$3:$A$70, 0))=TRUE, MATCH("7200430*", $A$3:$A$70, 0), MATCH("720G4HE*", $A$3:$A$70, 0))), $AV$8, 2), "")</f>
        <v/>
      </c>
      <c r="J434" s="164" t="str">
        <f aca="false" ca="false" dt2D="false" dtr="false" ref="J434:J434" t="array">_XLFN.IFNA(MID(INDEX($A$3:$A$70, IF(ISNA(MATCH("720G4HE*", $A$3:$A$70, 0))=TRUE, MATCH("7200430*", $A$3:$A$70, 0), MATCH("720G4HE*", $A$3:$A$70, 0))), $AW$8, 2), "")</f>
        <v/>
      </c>
      <c r="K434" s="1820" t="str">
        <f aca="false" ca="false" dt2D="false" dtr="false" ref="K434:K434" t="array">_XLFN.IFNA(MID(INDEX($A$3:$A$70, IF(ISNA(MATCH("720G4HE*", $A$3:$A$70, 0))=TRUE, MATCH("7200430*", $A$3:$A$70, 0), MATCH("720G4HE*", $A$3:$A$70, 0))), $AX$8, 2), "")</f>
        <v/>
      </c>
      <c r="L434" s="1821" t="str">
        <f aca="false" ca="false" dt2D="false" dtr="false" ref="L434:L434" t="array">_XLFN.IFNA(MID(INDEX($A$3:$A$70, IF(ISNA(MATCH("720G4HE*", $A$3:$A$70, 0))=TRUE, MATCH("7200430*", $A$3:$A$70, 0), MATCH("720G4HE*", $A$3:$A$70, 0))), $AY$8, 2), "")</f>
        <v/>
      </c>
      <c r="M434" s="218" t="str">
        <f aca="false" ca="false" dt2D="false" dtr="false" ref="M434:M434" t="array">_XLFN.IFNA(MID(INDEX($A$3:$A$70, IF(ISNA(MATCH("720G4HE*", $A$3:$A$70, 0))=TRUE, MATCH("7200430*", $A$3:$A$70, 0), MATCH("720G4HE*", $A$3:$A$70, 0))), $AZ$8, 2), "")</f>
        <v/>
      </c>
      <c r="N434" s="63" t="s">
        <v>180</v>
      </c>
      <c r="P434" s="116" t="n"/>
      <c r="Q434" s="4634" t="s"/>
      <c r="R434" s="4635" t="s"/>
      <c r="S434" s="4636" t="s"/>
      <c r="T434" s="129" t="s">
        <v>180</v>
      </c>
      <c r="U434" s="130" t="s">
        <v>181</v>
      </c>
      <c r="V434" s="121" t="s">
        <v>182</v>
      </c>
      <c r="W434" s="131" t="n"/>
      <c r="X434" s="129" t="s">
        <v>180</v>
      </c>
      <c r="Y434" s="130" t="s">
        <v>181</v>
      </c>
      <c r="Z434" s="121" t="s">
        <v>182</v>
      </c>
      <c r="AA434" s="131" t="n"/>
      <c r="AB434" s="129" t="s">
        <v>180</v>
      </c>
      <c r="AC434" s="130" t="s">
        <v>181</v>
      </c>
      <c r="AD434" s="121" t="s">
        <v>182</v>
      </c>
      <c r="AE434" s="131" t="n"/>
      <c r="AF434" s="129" t="s">
        <v>180</v>
      </c>
      <c r="AG434" s="130" t="s">
        <v>181</v>
      </c>
      <c r="AH434" s="121" t="s">
        <v>182</v>
      </c>
      <c r="AI434" s="121" t="n"/>
      <c r="AJ434" s="116" t="s">
        <v>183</v>
      </c>
      <c r="AK434" s="4637" t="s"/>
      <c r="AL434" s="4638" t="s"/>
    </row>
    <row hidden="false" ht="15" outlineLevel="0" r="435">
      <c r="C435" s="98" t="s">
        <v>185</v>
      </c>
      <c r="D435" s="53" t="n">
        <f aca="false" ca="false" dt2D="false" dtr="false" t="normal">HEX2BIN(D434, 8)</f>
        <v>0</v>
      </c>
      <c r="E435" s="53" t="n">
        <f aca="false" ca="false" dt2D="false" dtr="false" t="normal">HEX2BIN(E434, 8)</f>
        <v>0</v>
      </c>
      <c r="F435" s="53" t="n">
        <f aca="false" ca="false" dt2D="false" dtr="false" t="normal">HEX2BIN(F434, 8)</f>
        <v>0</v>
      </c>
      <c r="G435" s="53" t="n">
        <f aca="false" ca="false" dt2D="false" dtr="false" t="normal">HEX2BIN(G434, 8)</f>
        <v>0</v>
      </c>
      <c r="H435" s="53" t="n">
        <f aca="false" ca="false" dt2D="false" dtr="false" t="normal">HEX2BIN(H434, 8)</f>
        <v>0</v>
      </c>
      <c r="I435" s="53" t="n">
        <f aca="false" ca="false" dt2D="false" dtr="false" t="normal">HEX2BIN(I434, 8)</f>
        <v>0</v>
      </c>
      <c r="J435" s="53" t="n">
        <f aca="false" ca="false" dt2D="false" dtr="false" t="normal">HEX2BIN(J434, 8)</f>
        <v>0</v>
      </c>
      <c r="K435" s="53" t="n">
        <f aca="false" ca="false" dt2D="false" dtr="false" t="normal">HEX2BIN(K434, 8)</f>
        <v>0</v>
      </c>
      <c r="L435" s="53" t="n">
        <f aca="false" ca="false" dt2D="false" dtr="false" t="normal">HEX2BIN(L434, 8)</f>
        <v>0</v>
      </c>
      <c r="N435" s="63" t="n"/>
      <c r="P435" s="4639" t="s"/>
      <c r="Q435" s="142" t="s"/>
      <c r="R435" s="142" t="s"/>
      <c r="S435" s="4640" t="s"/>
      <c r="T435" s="136" t="n">
        <f aca="false" ca="false" dt2D="false" dtr="false" t="normal">MID(I435, 1, 1)</f>
        <v>0</v>
      </c>
      <c r="U435" s="137" t="n">
        <f aca="false" ca="false" dt2D="false" dtr="false" t="normal">T435</f>
        <v>0</v>
      </c>
      <c r="V435" s="120" t="s">
        <v>186</v>
      </c>
      <c r="W435" s="139" t="s">
        <v>1747</v>
      </c>
      <c r="X435" s="136" t="n">
        <f aca="false" ca="false" dt2D="false" dtr="false" t="normal">MID(J435, 1, 1)</f>
        <v>0</v>
      </c>
      <c r="Y435" s="137" t="n">
        <f aca="false" ca="false" dt2D="false" dtr="false" t="normal">X435</f>
        <v>0</v>
      </c>
      <c r="Z435" s="120" t="s">
        <v>186</v>
      </c>
      <c r="AA435" s="139" t="s">
        <v>1748</v>
      </c>
      <c r="AB435" s="136" t="n">
        <f aca="false" ca="false" dt2D="false" dtr="false" t="normal">MID(K435, 1, 1)</f>
        <v>0</v>
      </c>
      <c r="AC435" s="137" t="n">
        <f aca="false" ca="false" dt2D="false" dtr="false" t="normal">AB435</f>
        <v>0</v>
      </c>
      <c r="AD435" s="120" t="s">
        <v>186</v>
      </c>
      <c r="AE435" s="139" t="s">
        <v>1749</v>
      </c>
      <c r="AF435" s="136" t="n">
        <f aca="false" ca="false" dt2D="false" dtr="false" t="normal">MID(L435, 1, 1)</f>
        <v>0</v>
      </c>
      <c r="AG435" s="137" t="n">
        <f aca="false" ca="false" dt2D="false" dtr="false" t="normal">AF435</f>
        <v>0</v>
      </c>
      <c r="AH435" s="120" t="s">
        <v>186</v>
      </c>
      <c r="AI435" s="139" t="s">
        <v>1750</v>
      </c>
      <c r="AJ435" s="4641" t="s"/>
      <c r="AK435" s="4642" t="s"/>
      <c r="AL435" s="4643" t="s"/>
    </row>
    <row hidden="false" ht="15" outlineLevel="0" r="436">
      <c r="C436" s="98" t="s">
        <v>191</v>
      </c>
      <c r="D436" s="53" t="n">
        <f aca="false" ca="false" dt2D="false" dtr="false" t="normal">HEX2DEC(D434)</f>
        <v>0</v>
      </c>
      <c r="E436" s="53" t="n">
        <f aca="false" ca="false" dt2D="false" dtr="false" t="normal">HEX2DEC(E434)</f>
        <v>0</v>
      </c>
      <c r="F436" s="53" t="n">
        <f aca="false" ca="false" dt2D="false" dtr="false" t="normal">HEX2DEC(F434)</f>
        <v>0</v>
      </c>
      <c r="G436" s="53" t="n">
        <f aca="false" ca="false" dt2D="false" dtr="false" t="normal">HEX2DEC(G434)</f>
        <v>0</v>
      </c>
      <c r="H436" s="53" t="n">
        <f aca="false" ca="false" dt2D="false" dtr="false" t="normal">HEX2DEC(H434)</f>
        <v>0</v>
      </c>
      <c r="I436" s="53" t="n">
        <f aca="false" ca="false" dt2D="false" dtr="false" t="normal">HEX2DEC(I434)</f>
        <v>0</v>
      </c>
      <c r="J436" s="53" t="n">
        <f aca="false" ca="false" dt2D="false" dtr="false" t="normal">HEX2DEC(J434)</f>
        <v>0</v>
      </c>
      <c r="K436" s="53" t="n">
        <f aca="false" ca="false" dt2D="false" dtr="false" t="normal">HEX2DEC(K434)</f>
        <v>0</v>
      </c>
      <c r="L436" s="53" t="n">
        <f aca="false" ca="false" dt2D="false" dtr="false" t="normal">HEX2DEC(L434)</f>
        <v>0</v>
      </c>
      <c r="M436" s="53" t="n">
        <f aca="false" ca="false" dt2D="false" dtr="false" t="normal">SUM(D436:L436)</f>
        <v>0</v>
      </c>
      <c r="N436" s="63" t="n"/>
      <c r="P436" s="4644" t="s"/>
      <c r="Q436" s="142" t="s"/>
      <c r="R436" s="142" t="s"/>
      <c r="S436" s="4645" t="s"/>
      <c r="T436" s="136" t="n">
        <f aca="false" ca="false" dt2D="false" dtr="false" t="normal">MID(I435, 2, 1)</f>
        <v>0</v>
      </c>
      <c r="U436" s="137" t="n">
        <f aca="false" ca="false" dt2D="false" dtr="false" t="normal">T436</f>
        <v>0</v>
      </c>
      <c r="V436" s="120" t="s">
        <v>192</v>
      </c>
      <c r="W436" s="139" t="s">
        <v>1751</v>
      </c>
      <c r="X436" s="136" t="n">
        <f aca="false" ca="false" dt2D="false" dtr="false" t="normal">MID(J435, 2, 1)</f>
        <v>0</v>
      </c>
      <c r="Y436" s="137" t="n">
        <f aca="false" ca="false" dt2D="false" dtr="false" t="normal">X436</f>
        <v>0</v>
      </c>
      <c r="Z436" s="120" t="s">
        <v>192</v>
      </c>
      <c r="AA436" s="139" t="s">
        <v>1752</v>
      </c>
      <c r="AB436" s="136" t="n">
        <f aca="false" ca="false" dt2D="false" dtr="false" t="normal">MID(K435, 2, 1)</f>
        <v>0</v>
      </c>
      <c r="AC436" s="137" t="n">
        <f aca="false" ca="false" dt2D="false" dtr="false" t="normal">AB436</f>
        <v>0</v>
      </c>
      <c r="AD436" s="120" t="s">
        <v>192</v>
      </c>
      <c r="AE436" s="139" t="s">
        <v>1753</v>
      </c>
      <c r="AF436" s="136" t="n">
        <f aca="false" ca="false" dt2D="false" dtr="false" t="normal">MID(L435, 2, 1)</f>
        <v>0</v>
      </c>
      <c r="AG436" s="137" t="n">
        <f aca="false" ca="false" dt2D="false" dtr="false" t="normal">AF436</f>
        <v>0</v>
      </c>
      <c r="AH436" s="120" t="s">
        <v>192</v>
      </c>
      <c r="AI436" s="139" t="s">
        <v>1754</v>
      </c>
      <c r="AJ436" s="4646" t="s"/>
      <c r="AK436" s="4647" t="s"/>
      <c r="AL436" s="4648" t="s"/>
    </row>
    <row hidden="false" ht="15" outlineLevel="0" r="437">
      <c r="C437" s="98" t="s">
        <v>194</v>
      </c>
      <c r="D437" s="149" t="str">
        <f aca="false" ca="false" dt2D="false" dtr="false" t="normal">D434</f>
        <v/>
      </c>
      <c r="E437" s="149" t="str">
        <f aca="false" ca="false" dt2D="false" dtr="false" t="normal">E434</f>
        <v/>
      </c>
      <c r="F437" s="53" t="str">
        <f aca="false" ca="false" dt2D="false" dtr="false" t="normal">_XLFN.IFNA(MID(INDEX($A$3:$A$70, IF(ISNA(MATCH("720G4HE*", $A$3:$A$70, 0))=TRUE, MATCH("7200430*", $A$3:$A$70, 0), MATCH("720G4HE*", $A$3:$A$70, 0))), $AS$8, 2), "")</f>
        <v/>
      </c>
      <c r="G437" s="53" t="str">
        <f aca="false" ca="false" dt2D="false" dtr="false" t="normal">_XLFN.IFNA(MID(INDEX($A$3:$A$70, IF(ISNA(MATCH("720G4HE*", $A$3:$A$70, 0))=TRUE, MATCH("7200430*", $A$3:$A$70, 0), MATCH("720G4HE*", $A$3:$A$70, 0))), $AT$8, 2), "")</f>
        <v/>
      </c>
      <c r="N437" s="63" t="n"/>
      <c r="P437" s="4649" t="s"/>
      <c r="Q437" s="142" t="s"/>
      <c r="R437" s="142" t="s"/>
      <c r="S437" s="4650" t="s"/>
      <c r="T437" s="136" t="n">
        <f aca="false" ca="false" dt2D="false" dtr="false" t="normal">MID(I435, 3, 1)</f>
        <v>0</v>
      </c>
      <c r="U437" s="137" t="n">
        <f aca="false" ca="false" dt2D="false" dtr="false" t="normal">T437</f>
        <v>0</v>
      </c>
      <c r="V437" s="120" t="s">
        <v>195</v>
      </c>
      <c r="W437" s="139" t="s">
        <v>1755</v>
      </c>
      <c r="X437" s="136" t="n">
        <f aca="false" ca="false" dt2D="false" dtr="false" t="normal">MID(J435, 3, 1)</f>
        <v>0</v>
      </c>
      <c r="Y437" s="137" t="n">
        <f aca="false" ca="false" dt2D="false" dtr="false" t="normal">X437</f>
        <v>0</v>
      </c>
      <c r="Z437" s="120" t="s">
        <v>195</v>
      </c>
      <c r="AA437" s="139" t="s">
        <v>1756</v>
      </c>
      <c r="AB437" s="136" t="n">
        <f aca="false" ca="false" dt2D="false" dtr="false" t="normal">MID(K435, 3, 1)</f>
        <v>0</v>
      </c>
      <c r="AC437" s="137" t="n">
        <f aca="false" ca="false" dt2D="false" dtr="false" t="normal">AB437</f>
        <v>0</v>
      </c>
      <c r="AD437" s="120" t="s">
        <v>195</v>
      </c>
      <c r="AE437" s="139" t="s">
        <v>1757</v>
      </c>
      <c r="AF437" s="136" t="n">
        <f aca="false" ca="false" dt2D="false" dtr="false" t="normal">MID(L435, 3, 1)</f>
        <v>0</v>
      </c>
      <c r="AG437" s="137" t="n">
        <f aca="false" ca="false" dt2D="false" dtr="false" t="normal">AF437</f>
        <v>0</v>
      </c>
      <c r="AH437" s="120" t="s">
        <v>195</v>
      </c>
      <c r="AI437" s="139" t="s">
        <v>1758</v>
      </c>
      <c r="AJ437" s="4651" t="s"/>
      <c r="AK437" s="4652" t="s"/>
      <c r="AL437" s="4653" t="s"/>
    </row>
    <row hidden="false" ht="15.75" outlineLevel="0" r="438">
      <c r="C438" s="98" t="n"/>
      <c r="N438" s="63" t="n"/>
      <c r="P438" s="4654" t="s"/>
      <c r="Q438" s="142" t="s"/>
      <c r="R438" s="142" t="s"/>
      <c r="S438" s="4655" t="s"/>
      <c r="T438" s="136" t="n">
        <f aca="false" ca="false" dt2D="false" dtr="false" t="normal">MID(I435, 4, 1)</f>
        <v>0</v>
      </c>
      <c r="U438" s="137" t="n">
        <f aca="false" ca="false" dt2D="false" dtr="false" t="normal">T438</f>
        <v>0</v>
      </c>
      <c r="V438" s="120" t="s">
        <v>197</v>
      </c>
      <c r="W438" s="139" t="s">
        <v>1759</v>
      </c>
      <c r="X438" s="136" t="n">
        <f aca="false" ca="false" dt2D="false" dtr="false" t="normal">MID(J435, 4, 1)</f>
        <v>0</v>
      </c>
      <c r="Y438" s="137" t="n">
        <f aca="false" ca="false" dt2D="false" dtr="false" t="normal">X438</f>
        <v>0</v>
      </c>
      <c r="Z438" s="120" t="s">
        <v>197</v>
      </c>
      <c r="AA438" s="139" t="s">
        <v>1760</v>
      </c>
      <c r="AB438" s="136" t="n">
        <f aca="false" ca="false" dt2D="false" dtr="false" t="normal">MID(K435, 4, 1)</f>
        <v>0</v>
      </c>
      <c r="AC438" s="137" t="n">
        <f aca="false" ca="false" dt2D="false" dtr="false" t="normal">AB438</f>
        <v>0</v>
      </c>
      <c r="AD438" s="120" t="s">
        <v>197</v>
      </c>
      <c r="AE438" s="139" t="s">
        <v>1761</v>
      </c>
      <c r="AF438" s="136" t="n">
        <f aca="false" ca="false" dt2D="false" dtr="false" t="normal">MID(L435, 4, 1)</f>
        <v>0</v>
      </c>
      <c r="AG438" s="137" t="n">
        <f aca="false" ca="false" dt2D="false" dtr="false" t="normal">AF438</f>
        <v>0</v>
      </c>
      <c r="AH438" s="120" t="s">
        <v>197</v>
      </c>
      <c r="AI438" s="139" t="s">
        <v>1762</v>
      </c>
      <c r="AJ438" s="4656" t="s"/>
      <c r="AK438" s="4657" t="s"/>
      <c r="AL438" s="4658" t="s"/>
    </row>
    <row hidden="false" ht="15.75" outlineLevel="0" r="439">
      <c r="C439" s="98" t="s">
        <v>176</v>
      </c>
      <c r="D439" s="159" t="str">
        <f aca="false" ca="false" dt2D="false" dtr="false" t="normal">D434</f>
        <v/>
      </c>
      <c r="E439" s="160" t="str">
        <f aca="false" ca="false" dt2D="false" dtr="false" t="normal">E434</f>
        <v/>
      </c>
      <c r="F439" s="160" t="str">
        <f aca="false" ca="false" dt2D="false" dtr="false" t="normal">F434</f>
        <v/>
      </c>
      <c r="G439" s="161" t="str">
        <f aca="false" ca="false" dt2D="false" dtr="false" t="normal">G434</f>
        <v/>
      </c>
      <c r="H439" s="2540" t="str">
        <f aca="false" ca="false" dt2D="false" dtr="false" t="normal">H434</f>
        <v/>
      </c>
      <c r="I439" s="163" t="str">
        <f aca="false" ca="false" dt2D="false" dtr="false" t="normal">IF(J412="", "", BIN2HEX(I440, 2))</f>
        <v/>
      </c>
      <c r="J439" s="164" t="str">
        <f aca="false" ca="false" dt2D="false" dtr="false" t="normal">IF(J412="", "", BIN2HEX(J440, 2))</f>
        <v/>
      </c>
      <c r="K439" s="165" t="str">
        <f aca="false" ca="false" dt2D="false" dtr="false" t="normal">IF(J412="", "", BIN2HEX(K440, 2))</f>
        <v/>
      </c>
      <c r="L439" s="288" t="str">
        <f aca="false" ca="false" dt2D="false" dtr="false" t="normal">IF(J412="", "", BIN2HEX(L440, 2))</f>
        <v/>
      </c>
      <c r="M439" s="166" t="str">
        <f aca="false" ca="false" dt2D="false" dtr="false" t="normal">IF(J412="", "", IF(LEN(M440)&gt;2, MID(M440, 2, 2), M440))</f>
        <v/>
      </c>
      <c r="N439" s="63" t="s">
        <v>181</v>
      </c>
      <c r="P439" s="4659" t="s"/>
      <c r="Q439" s="142" t="s"/>
      <c r="R439" s="142" t="s"/>
      <c r="S439" s="4660" t="s"/>
      <c r="T439" s="136" t="n">
        <f aca="false" ca="false" dt2D="false" dtr="false" t="normal">MID(I435, 5, 1)</f>
        <v>0</v>
      </c>
      <c r="U439" s="137" t="n">
        <f aca="false" ca="false" dt2D="false" dtr="false" t="normal">T439</f>
        <v>0</v>
      </c>
      <c r="V439" s="120" t="s">
        <v>200</v>
      </c>
      <c r="W439" s="139" t="s">
        <v>1763</v>
      </c>
      <c r="X439" s="136" t="n">
        <f aca="false" ca="false" dt2D="false" dtr="false" t="normal">MID(J435, 5, 1)</f>
        <v>0</v>
      </c>
      <c r="Y439" s="137" t="n">
        <f aca="false" ca="false" dt2D="false" dtr="false" t="normal">X439</f>
        <v>0</v>
      </c>
      <c r="Z439" s="120" t="s">
        <v>200</v>
      </c>
      <c r="AA439" s="139" t="s">
        <v>1764</v>
      </c>
      <c r="AB439" s="136" t="n">
        <f aca="false" ca="false" dt2D="false" dtr="false" t="normal">MID(K435, 5, 1)</f>
        <v>0</v>
      </c>
      <c r="AC439" s="137" t="n">
        <f aca="false" ca="false" dt2D="false" dtr="false" t="normal">AB439</f>
        <v>0</v>
      </c>
      <c r="AD439" s="120" t="s">
        <v>200</v>
      </c>
      <c r="AE439" s="139" t="s">
        <v>1765</v>
      </c>
      <c r="AF439" s="136" t="n">
        <f aca="false" ca="false" dt2D="false" dtr="false" t="normal">MID(L435, 5, 1)</f>
        <v>0</v>
      </c>
      <c r="AG439" s="137" t="n">
        <f aca="false" ca="false" dt2D="false" dtr="false" t="normal">AF439</f>
        <v>0</v>
      </c>
      <c r="AH439" s="120" t="s">
        <v>200</v>
      </c>
      <c r="AI439" s="139" t="s">
        <v>1766</v>
      </c>
      <c r="AJ439" s="4661" t="s"/>
      <c r="AK439" s="4662" t="s"/>
      <c r="AL439" s="4663" t="s"/>
    </row>
    <row hidden="false" ht="15" outlineLevel="0" r="440">
      <c r="C440" s="98" t="s">
        <v>185</v>
      </c>
      <c r="D440" s="53" t="n">
        <f aca="false" ca="false" dt2D="false" dtr="false" t="normal">HEX2BIN(D439, 8)</f>
        <v>0</v>
      </c>
      <c r="E440" s="53" t="n">
        <f aca="false" ca="false" dt2D="false" dtr="false" t="normal">HEX2BIN(E439, 8)</f>
        <v>0</v>
      </c>
      <c r="F440" s="53" t="n">
        <f aca="false" ca="false" dt2D="false" dtr="false" t="normal">HEX2BIN(F439, 8)</f>
        <v>0</v>
      </c>
      <c r="G440" s="53" t="n">
        <f aca="false" ca="false" dt2D="false" dtr="false" t="normal">HEX2BIN(G439, 8)</f>
        <v>0</v>
      </c>
      <c r="H440" s="171" t="n"/>
      <c r="I440" s="53" t="n">
        <f aca="false" ca="false" dt2D="false" dtr="false" t="normal">U435&amp;U436&amp;U437&amp;U438&amp;U439&amp;U440&amp;U441&amp;U442</f>
        <v>0</v>
      </c>
      <c r="J440" s="171" t="n">
        <f aca="false" ca="false" dt2D="false" dtr="false" t="normal">Y435&amp;Y436&amp;Y437&amp;Y438&amp;Y439&amp;Y440&amp;Y441&amp;Y442</f>
        <v>0</v>
      </c>
      <c r="K440" s="171" t="n">
        <f aca="false" ca="false" dt2D="false" dtr="false" t="normal">AC435&amp;AC436&amp;AC437&amp;AC438&amp;AC439&amp;AC440&amp;AC441&amp;AC442</f>
        <v>0</v>
      </c>
      <c r="L440" s="53" t="n">
        <f aca="false" ca="false" dt2D="false" dtr="false" t="normal">AG435&amp;AG436&amp;AG437&amp;AG438&amp;AG439&amp;AG440&amp;AG441&amp;AG442</f>
        <v>0</v>
      </c>
      <c r="M440" s="53" t="n">
        <f aca="false" ca="false" dt2D="false" dtr="false" t="normal">DEC2HEX(M441)</f>
        <v>0</v>
      </c>
      <c r="N440" s="63" t="n"/>
      <c r="P440" s="4664" t="s"/>
      <c r="Q440" s="142" t="s"/>
      <c r="R440" s="142" t="s"/>
      <c r="S440" s="4665" t="s"/>
      <c r="T440" s="136" t="n">
        <f aca="false" ca="false" dt2D="false" dtr="false" t="normal">MID(I435, 6, 1)</f>
        <v>0</v>
      </c>
      <c r="U440" s="137" t="n">
        <f aca="false" ca="false" dt2D="false" dtr="false" t="normal">T440</f>
        <v>0</v>
      </c>
      <c r="V440" s="120" t="s">
        <v>203</v>
      </c>
      <c r="W440" s="139" t="s">
        <v>1767</v>
      </c>
      <c r="X440" s="136" t="n">
        <f aca="false" ca="false" dt2D="false" dtr="false" t="normal">MID(J435, 6, 1)</f>
        <v>0</v>
      </c>
      <c r="Y440" s="137" t="n">
        <f aca="false" ca="false" dt2D="false" dtr="false" t="normal">X440</f>
        <v>0</v>
      </c>
      <c r="Z440" s="120" t="s">
        <v>203</v>
      </c>
      <c r="AA440" s="139" t="s">
        <v>1768</v>
      </c>
      <c r="AB440" s="136" t="n">
        <f aca="false" ca="false" dt2D="false" dtr="false" t="normal">MID(K435, 6, 1)</f>
        <v>0</v>
      </c>
      <c r="AC440" s="137" t="n">
        <f aca="false" ca="false" dt2D="false" dtr="false" t="normal">AB440</f>
        <v>0</v>
      </c>
      <c r="AD440" s="120" t="s">
        <v>203</v>
      </c>
      <c r="AE440" s="139" t="s">
        <v>1769</v>
      </c>
      <c r="AF440" s="136" t="n">
        <f aca="false" ca="false" dt2D="false" dtr="false" t="normal">MID(L435, 6, 1)</f>
        <v>0</v>
      </c>
      <c r="AG440" s="137" t="n">
        <f aca="false" ca="false" dt2D="false" dtr="false" t="normal">AF440</f>
        <v>0</v>
      </c>
      <c r="AH440" s="120" t="s">
        <v>203</v>
      </c>
      <c r="AI440" s="139" t="s">
        <v>1770</v>
      </c>
      <c r="AJ440" s="4666" t="s"/>
      <c r="AK440" s="4667" t="s"/>
      <c r="AL440" s="4668" t="s"/>
    </row>
    <row hidden="false" ht="15" outlineLevel="0" r="441">
      <c r="C441" s="98" t="s">
        <v>191</v>
      </c>
      <c r="D441" s="53" t="n">
        <f aca="false" ca="false" dt2D="false" dtr="false" t="normal">HEX2DEC(D439)</f>
        <v>0</v>
      </c>
      <c r="E441" s="53" t="n">
        <f aca="false" ca="false" dt2D="false" dtr="false" t="normal">HEX2DEC(E439)</f>
        <v>0</v>
      </c>
      <c r="F441" s="53" t="n">
        <f aca="false" ca="false" dt2D="false" dtr="false" t="normal">HEX2DEC(F439)</f>
        <v>0</v>
      </c>
      <c r="G441" s="53" t="n">
        <f aca="false" ca="false" dt2D="false" dtr="false" t="normal">HEX2DEC(G439)</f>
        <v>0</v>
      </c>
      <c r="H441" s="53" t="n">
        <f aca="false" ca="false" dt2D="false" dtr="false" t="normal">HEX2DEC(H439)</f>
        <v>0</v>
      </c>
      <c r="I441" s="53" t="n">
        <f aca="false" ca="false" dt2D="false" dtr="false" t="normal">HEX2DEC(I439)</f>
        <v>0</v>
      </c>
      <c r="J441" s="53" t="n">
        <f aca="false" ca="false" dt2D="false" dtr="false" t="normal">HEX2DEC(J439)</f>
        <v>0</v>
      </c>
      <c r="K441" s="53" t="n">
        <f aca="false" ca="false" dt2D="false" dtr="false" t="normal">HEX2DEC(K439)</f>
        <v>0</v>
      </c>
      <c r="L441" s="53" t="n">
        <f aca="false" ca="false" dt2D="false" dtr="false" t="normal">HEX2DEC(L439)</f>
        <v>0</v>
      </c>
      <c r="M441" s="53" t="n">
        <f aca="false" ca="false" dt2D="false" dtr="false" t="normal">SUM(D441:L441)</f>
        <v>0</v>
      </c>
      <c r="N441" s="63" t="n"/>
      <c r="P441" s="4669" t="s"/>
      <c r="Q441" s="142" t="s"/>
      <c r="R441" s="142" t="s"/>
      <c r="S441" s="4670" t="s"/>
      <c r="T441" s="136" t="n">
        <f aca="false" ca="false" dt2D="false" dtr="false" t="normal">MID(I435, 7, 1)</f>
        <v>0</v>
      </c>
      <c r="U441" s="137" t="n">
        <f aca="false" ca="false" dt2D="false" dtr="false" t="normal">T441</f>
        <v>0</v>
      </c>
      <c r="V441" s="120" t="s">
        <v>206</v>
      </c>
      <c r="W441" s="139" t="s">
        <v>1771</v>
      </c>
      <c r="X441" s="136" t="n">
        <f aca="false" ca="false" dt2D="false" dtr="false" t="normal">MID(J435, 7, 1)</f>
        <v>0</v>
      </c>
      <c r="Y441" s="137" t="n">
        <f aca="false" ca="false" dt2D="false" dtr="false" t="normal">X441</f>
        <v>0</v>
      </c>
      <c r="Z441" s="120" t="s">
        <v>206</v>
      </c>
      <c r="AA441" s="139" t="s">
        <v>1772</v>
      </c>
      <c r="AB441" s="136" t="n">
        <f aca="false" ca="false" dt2D="false" dtr="false" t="normal">MID(K435, 7, 1)</f>
        <v>0</v>
      </c>
      <c r="AC441" s="137" t="n">
        <f aca="false" ca="false" dt2D="false" dtr="false" t="normal">AB441</f>
        <v>0</v>
      </c>
      <c r="AD441" s="120" t="s">
        <v>206</v>
      </c>
      <c r="AE441" s="139" t="s">
        <v>1773</v>
      </c>
      <c r="AF441" s="136" t="n">
        <f aca="false" ca="false" dt2D="false" dtr="false" t="normal">MID(L435, 7, 1)</f>
        <v>0</v>
      </c>
      <c r="AG441" s="137" t="n">
        <f aca="false" ca="false" dt2D="false" dtr="false" t="normal">AF441</f>
        <v>0</v>
      </c>
      <c r="AH441" s="120" t="s">
        <v>206</v>
      </c>
      <c r="AI441" s="139" t="s">
        <v>1774</v>
      </c>
      <c r="AJ441" s="4671" t="s"/>
      <c r="AK441" s="4672" t="s"/>
      <c r="AL441" s="4673" t="s"/>
    </row>
    <row hidden="false" ht="15.75" outlineLevel="0" r="442">
      <c r="C442" s="180" t="s">
        <v>194</v>
      </c>
      <c r="D442" s="299" t="str">
        <f aca="false" ca="false" dt2D="false" dtr="false" t="normal">D437</f>
        <v/>
      </c>
      <c r="E442" s="299" t="str">
        <f aca="false" ca="false" dt2D="false" dtr="false" t="normal">E437</f>
        <v/>
      </c>
      <c r="F442" s="299" t="str">
        <f aca="false" ca="false" dt2D="false" dtr="false" t="normal">F437</f>
        <v/>
      </c>
      <c r="G442" s="299" t="str">
        <f aca="false" ca="false" dt2D="false" dtr="false" t="normal">G437</f>
        <v/>
      </c>
      <c r="H442" s="45" t="n"/>
      <c r="I442" s="45" t="n"/>
      <c r="J442" s="45" t="n"/>
      <c r="K442" s="45" t="n"/>
      <c r="L442" s="45" t="n"/>
      <c r="M442" s="45" t="n"/>
      <c r="N442" s="49" t="n"/>
      <c r="P442" s="4674" t="s"/>
      <c r="Q442" s="4675" t="s"/>
      <c r="R442" s="4676" t="s"/>
      <c r="S442" s="4677" t="s"/>
      <c r="T442" s="182" t="n">
        <f aca="false" ca="false" dt2D="false" dtr="false" t="normal">MID(I435, 8, 1)</f>
        <v>0</v>
      </c>
      <c r="U442" s="183" t="n">
        <f aca="false" ca="false" dt2D="false" dtr="false" t="normal">T442</f>
        <v>0</v>
      </c>
      <c r="V442" s="184" t="s">
        <v>208</v>
      </c>
      <c r="W442" s="187" t="s">
        <v>1775</v>
      </c>
      <c r="X442" s="182" t="n">
        <f aca="false" ca="false" dt2D="false" dtr="false" t="normal">MID(J435, 8, 1)</f>
        <v>0</v>
      </c>
      <c r="Y442" s="183" t="n">
        <f aca="false" ca="false" dt2D="false" dtr="false" t="normal">X442</f>
        <v>0</v>
      </c>
      <c r="Z442" s="184" t="s">
        <v>208</v>
      </c>
      <c r="AA442" s="187" t="s">
        <v>1776</v>
      </c>
      <c r="AB442" s="182" t="n">
        <f aca="false" ca="false" dt2D="false" dtr="false" t="normal">MID(K435, 8, 1)</f>
        <v>0</v>
      </c>
      <c r="AC442" s="183" t="n">
        <f aca="false" ca="false" dt2D="false" dtr="false" t="normal">AB442</f>
        <v>0</v>
      </c>
      <c r="AD442" s="184" t="s">
        <v>208</v>
      </c>
      <c r="AE442" s="187" t="s">
        <v>1777</v>
      </c>
      <c r="AF442" s="182" t="n">
        <f aca="false" ca="false" dt2D="false" dtr="false" t="normal">MID(L435, 8, 1)</f>
        <v>0</v>
      </c>
      <c r="AG442" s="183" t="n">
        <f aca="false" ca="false" dt2D="false" dtr="false" t="normal">AF442</f>
        <v>0</v>
      </c>
      <c r="AH442" s="184" t="s">
        <v>208</v>
      </c>
      <c r="AI442" s="187" t="s">
        <v>1778</v>
      </c>
      <c r="AJ442" s="4678" t="s"/>
      <c r="AK442" s="4679" t="s"/>
      <c r="AL442" s="4680" t="s"/>
    </row>
    <row hidden="false" ht="15.75" outlineLevel="0" r="443">
      <c r="C443" s="93" t="n"/>
      <c r="D443" s="94" t="n"/>
      <c r="E443" s="94" t="n"/>
      <c r="F443" s="94" t="n"/>
      <c r="G443" s="94" t="n"/>
      <c r="H443" s="94" t="n"/>
      <c r="I443" s="94" t="n"/>
      <c r="J443" s="94" t="n"/>
      <c r="K443" s="94" t="n"/>
      <c r="L443" s="94" t="n"/>
      <c r="M443" s="94" t="s">
        <v>161</v>
      </c>
      <c r="N443" s="60" t="n"/>
      <c r="P443" s="95" t="str">
        <f aca="false" ca="false" dt2D="false" dtr="false" t="normal">RIGHT(D445, 1)&amp;E445&amp;"-"&amp;F445&amp;"-"&amp;G445</f>
        <v>--</v>
      </c>
      <c r="Q443" s="4681" t="s"/>
      <c r="R443" s="234" t="s">
        <v>1779</v>
      </c>
      <c r="S443" s="4682" t="s"/>
      <c r="T443" s="4683" t="s"/>
      <c r="U443" s="4684" t="s"/>
      <c r="V443" s="4685" t="s"/>
      <c r="W443" s="4686" t="s"/>
      <c r="X443" s="4687" t="s"/>
      <c r="Y443" s="4688" t="s"/>
      <c r="Z443" s="4689" t="s"/>
      <c r="AA443" s="4690" t="s"/>
      <c r="AB443" s="4691" t="s"/>
      <c r="AC443" s="4692" t="s"/>
      <c r="AD443" s="4693" t="s"/>
      <c r="AE443" s="4694" t="s"/>
      <c r="AF443" s="4695" t="s"/>
      <c r="AG443" s="4696" t="s"/>
      <c r="AH443" s="4697" t="s"/>
      <c r="AI443" s="4698" t="s"/>
      <c r="AJ443" s="4699" t="s"/>
      <c r="AK443" s="4700" t="s"/>
      <c r="AL443" s="4701" t="s"/>
    </row>
    <row hidden="false" ht="15.75" outlineLevel="0" r="444">
      <c r="C444" s="98" t="n"/>
      <c r="D444" s="99" t="s">
        <v>1780</v>
      </c>
      <c r="E444" s="4702" t="s"/>
      <c r="F444" s="4703" t="s"/>
      <c r="G444" s="4704" t="s"/>
      <c r="H444" s="53" t="s">
        <v>165</v>
      </c>
      <c r="I444" s="53" t="s">
        <v>166</v>
      </c>
      <c r="J444" s="53" t="s">
        <v>167</v>
      </c>
      <c r="K444" s="53" t="s">
        <v>168</v>
      </c>
      <c r="L444" s="53" t="s">
        <v>169</v>
      </c>
      <c r="M444" s="53" t="s">
        <v>221</v>
      </c>
      <c r="N444" s="63" t="n"/>
      <c r="P444" s="103" t="s">
        <v>1781</v>
      </c>
      <c r="Q444" s="4705" t="s"/>
      <c r="R444" s="4706" t="s"/>
      <c r="S444" s="4707" t="s"/>
      <c r="T444" s="103" t="s">
        <v>1782</v>
      </c>
      <c r="U444" s="4708" t="s"/>
      <c r="V444" s="4709" t="s"/>
      <c r="W444" s="4710" t="s"/>
      <c r="X444" s="103" t="s">
        <v>1783</v>
      </c>
      <c r="Y444" s="4711" t="s"/>
      <c r="Z444" s="4712" t="s"/>
      <c r="AA444" s="4713" t="s"/>
      <c r="AB444" s="103" t="s">
        <v>1784</v>
      </c>
      <c r="AC444" s="4714" t="s"/>
      <c r="AD444" s="4715" t="s"/>
      <c r="AE444" s="4716" t="s"/>
      <c r="AF444" s="103" t="s">
        <v>1785</v>
      </c>
      <c r="AG444" s="4717" t="s"/>
      <c r="AH444" s="4718" t="s"/>
      <c r="AI444" s="4719" t="s"/>
      <c r="AJ444" s="103" t="s">
        <v>1786</v>
      </c>
      <c r="AK444" s="4720" t="s"/>
      <c r="AL444" s="4721" t="s"/>
    </row>
    <row hidden="false" ht="15.75" outlineLevel="0" r="445">
      <c r="C445" s="98" t="s">
        <v>176</v>
      </c>
      <c r="D445" s="122" t="str">
        <f aca="false" ca="false" dt2D="false" dtr="false" t="normal">IF(J412="", "", 7)</f>
        <v/>
      </c>
      <c r="E445" s="123" t="str">
        <f aca="false" ca="false" dt2D="false" dtr="false" t="normal">IF(J412="", "", 20)</f>
        <v/>
      </c>
      <c r="F445" s="123" t="str">
        <f aca="false" ca="false" dt2D="false" dtr="false" t="normal">IF(J412="", "", 4)</f>
        <v/>
      </c>
      <c r="G445" s="124" t="str">
        <f aca="false" ca="false" dt2D="false" dtr="false" t="normal">IF(J412="", "", 31)</f>
        <v/>
      </c>
      <c r="H445" s="1819" t="str">
        <f aca="false" ca="false" dt2D="false" dtr="false" ref="H445:H445" t="array">_XLFN.IFNA(MID(INDEX($A$3:$A$70, IF(ISNA(MATCH("720G4HF*", $A$3:$A$70, 0))=TRUE, MATCH("7200431*", $A$3:$A$70, 0), MATCH("720G4HF*", $A$3:$A$70, 0))), $AU$8, 2), "")</f>
        <v/>
      </c>
      <c r="I445" s="1820" t="str">
        <f aca="false" ca="false" dt2D="false" dtr="false" ref="I445:I445" t="array">_XLFN.IFNA(MID(INDEX($A$3:$A$70, IF(ISNA(MATCH("720G4HF*", $A$3:$A$70, 0))=TRUE, MATCH("7200431*", $A$3:$A$70, 0), MATCH("720G4HF*", $A$3:$A$70, 0))), $AV$8, 2), "")</f>
        <v/>
      </c>
      <c r="J445" s="164" t="str">
        <f aca="false" ca="false" dt2D="false" dtr="false" ref="J445:J445" t="array">_XLFN.IFNA(MID(INDEX($A$3:$A$70, IF(ISNA(MATCH("720G4HF*", $A$3:$A$70, 0))=TRUE, MATCH("7200431*", $A$3:$A$70, 0), MATCH("720G4HF*", $A$3:$A$70, 0))), $AW$8, 2), "")</f>
        <v/>
      </c>
      <c r="K445" s="1820" t="str">
        <f aca="false" ca="false" dt2D="false" dtr="false" ref="K445:K445" t="array">_XLFN.IFNA(MID(INDEX($A$3:$A$70, IF(ISNA(MATCH("720G4HF*", $A$3:$A$70, 0))=TRUE, MATCH("7200431*", $A$3:$A$70, 0), MATCH("720G4HF*", $A$3:$A$70, 0))), $AX$8, 2), "")</f>
        <v/>
      </c>
      <c r="L445" s="1821" t="str">
        <f aca="false" ca="false" dt2D="false" dtr="false" ref="L445:L445" t="array">_XLFN.IFNA(MID(INDEX($A$3:$A$70, IF(ISNA(MATCH("720G4HF*", $A$3:$A$70, 0))=TRUE, MATCH("7200431*", $A$3:$A$70, 0), MATCH("720G4HF*", $A$3:$A$70, 0))), $AY$8, 2), "")</f>
        <v/>
      </c>
      <c r="M445" s="218" t="str">
        <f aca="false" ca="false" dt2D="false" dtr="false" ref="M445:M445" t="array">_XLFN.IFNA(MID(INDEX($A$3:$A$70, IF(ISNA(MATCH("720G4HF*", $A$3:$A$70, 0))=TRUE, MATCH("7200431*", $A$3:$A$70, 0), MATCH("720G4HF*", $A$3:$A$70, 0))), $AZ$8, 2), "")</f>
        <v/>
      </c>
      <c r="N445" s="63" t="s">
        <v>180</v>
      </c>
      <c r="P445" s="129" t="s">
        <v>180</v>
      </c>
      <c r="Q445" s="130" t="s">
        <v>181</v>
      </c>
      <c r="R445" s="121" t="s">
        <v>182</v>
      </c>
      <c r="S445" s="131" t="n"/>
      <c r="T445" s="129" t="s">
        <v>180</v>
      </c>
      <c r="U445" s="130" t="s">
        <v>181</v>
      </c>
      <c r="V445" s="121" t="s">
        <v>182</v>
      </c>
      <c r="W445" s="131" t="n"/>
      <c r="X445" s="116" t="n"/>
      <c r="Y445" s="4722" t="s"/>
      <c r="Z445" s="4723" t="s"/>
      <c r="AA445" s="4724" t="s"/>
      <c r="AB445" s="116" t="n"/>
      <c r="AC445" s="4725" t="s"/>
      <c r="AD445" s="4726" t="s"/>
      <c r="AE445" s="4727" t="s"/>
      <c r="AF445" s="129" t="s">
        <v>180</v>
      </c>
      <c r="AG445" s="130" t="s">
        <v>181</v>
      </c>
      <c r="AH445" s="121" t="s">
        <v>182</v>
      </c>
      <c r="AI445" s="121" t="n"/>
      <c r="AJ445" s="116" t="s">
        <v>183</v>
      </c>
      <c r="AK445" s="4728" t="s"/>
      <c r="AL445" s="4729" t="s"/>
    </row>
    <row hidden="false" ht="15" outlineLevel="0" r="446">
      <c r="C446" s="98" t="s">
        <v>185</v>
      </c>
      <c r="D446" s="53" t="n">
        <f aca="false" ca="false" dt2D="false" dtr="false" t="normal">HEX2BIN(D445, 8)</f>
        <v>0</v>
      </c>
      <c r="E446" s="53" t="n">
        <f aca="false" ca="false" dt2D="false" dtr="false" t="normal">HEX2BIN(E445, 8)</f>
        <v>0</v>
      </c>
      <c r="F446" s="53" t="n">
        <f aca="false" ca="false" dt2D="false" dtr="false" t="normal">HEX2BIN(F445, 8)</f>
        <v>0</v>
      </c>
      <c r="G446" s="53" t="n">
        <f aca="false" ca="false" dt2D="false" dtr="false" t="normal">HEX2BIN(G445, 8)</f>
        <v>0</v>
      </c>
      <c r="H446" s="53" t="n">
        <f aca="false" ca="false" dt2D="false" dtr="false" t="normal">HEX2BIN(H445, 8)</f>
        <v>0</v>
      </c>
      <c r="I446" s="53" t="n">
        <f aca="false" ca="false" dt2D="false" dtr="false" t="normal">HEX2BIN(I445, 8)</f>
        <v>0</v>
      </c>
      <c r="J446" s="53" t="n">
        <f aca="false" ca="false" dt2D="false" dtr="false" t="normal">HEX2BIN(J445, 8)</f>
        <v>0</v>
      </c>
      <c r="K446" s="53" t="n">
        <f aca="false" ca="false" dt2D="false" dtr="false" t="normal">HEX2BIN(K445, 8)</f>
        <v>0</v>
      </c>
      <c r="L446" s="53" t="n">
        <f aca="false" ca="false" dt2D="false" dtr="false" t="normal">HEX2BIN(L445, 8)</f>
        <v>0</v>
      </c>
      <c r="N446" s="63" t="n"/>
      <c r="P446" s="136" t="n">
        <f aca="false" ca="false" dt2D="false" dtr="false" t="normal">MID(H446, 1, 1)</f>
        <v>0</v>
      </c>
      <c r="Q446" s="137" t="n">
        <f aca="false" ca="false" dt2D="false" dtr="false" t="normal">P446</f>
        <v>0</v>
      </c>
      <c r="R446" s="120" t="s">
        <v>186</v>
      </c>
      <c r="S446" s="139" t="s">
        <v>1787</v>
      </c>
      <c r="T446" s="136" t="n">
        <f aca="false" ca="false" dt2D="false" dtr="false" t="normal">MID(I446, 1, 1)</f>
        <v>0</v>
      </c>
      <c r="U446" s="137" t="n">
        <f aca="false" ca="false" dt2D="false" dtr="false" t="normal">T446</f>
        <v>0</v>
      </c>
      <c r="V446" s="120" t="s">
        <v>186</v>
      </c>
      <c r="W446" s="139" t="s">
        <v>1788</v>
      </c>
      <c r="X446" s="4730" t="s"/>
      <c r="Y446" s="142" t="s"/>
      <c r="Z446" s="142" t="s"/>
      <c r="AA446" s="4731" t="s"/>
      <c r="AB446" s="4732" t="s"/>
      <c r="AC446" s="142" t="s"/>
      <c r="AD446" s="142" t="s"/>
      <c r="AE446" s="4733" t="s"/>
      <c r="AF446" s="136" t="n">
        <f aca="false" ca="false" dt2D="false" dtr="false" t="normal">MID(L446, 1, 1)</f>
        <v>0</v>
      </c>
      <c r="AG446" s="137" t="n">
        <f aca="false" ca="false" dt2D="false" dtr="false" t="normal">AF446</f>
        <v>0</v>
      </c>
      <c r="AH446" s="120" t="s">
        <v>186</v>
      </c>
      <c r="AI446" s="139" t="s">
        <v>1789</v>
      </c>
      <c r="AJ446" s="4734" t="s"/>
      <c r="AK446" s="4735" t="s"/>
      <c r="AL446" s="4736" t="s"/>
    </row>
    <row hidden="false" ht="15" outlineLevel="0" r="447">
      <c r="C447" s="98" t="s">
        <v>191</v>
      </c>
      <c r="D447" s="53" t="n">
        <f aca="false" ca="false" dt2D="false" dtr="false" t="normal">HEX2DEC(D445)</f>
        <v>0</v>
      </c>
      <c r="E447" s="53" t="n">
        <f aca="false" ca="false" dt2D="false" dtr="false" t="normal">HEX2DEC(E445)</f>
        <v>0</v>
      </c>
      <c r="F447" s="53" t="n">
        <f aca="false" ca="false" dt2D="false" dtr="false" t="normal">HEX2DEC(F445)</f>
        <v>0</v>
      </c>
      <c r="G447" s="53" t="n">
        <f aca="false" ca="false" dt2D="false" dtr="false" t="normal">HEX2DEC(G445)</f>
        <v>0</v>
      </c>
      <c r="H447" s="53" t="n">
        <f aca="false" ca="false" dt2D="false" dtr="false" t="normal">HEX2DEC(H445)</f>
        <v>0</v>
      </c>
      <c r="I447" s="53" t="n">
        <f aca="false" ca="false" dt2D="false" dtr="false" t="normal">HEX2DEC(I445)</f>
        <v>0</v>
      </c>
      <c r="J447" s="53" t="n">
        <f aca="false" ca="false" dt2D="false" dtr="false" t="normal">HEX2DEC(J445)</f>
        <v>0</v>
      </c>
      <c r="K447" s="53" t="n">
        <f aca="false" ca="false" dt2D="false" dtr="false" t="normal">HEX2DEC(K445)</f>
        <v>0</v>
      </c>
      <c r="L447" s="53" t="n">
        <f aca="false" ca="false" dt2D="false" dtr="false" t="normal">HEX2DEC(L445)</f>
        <v>0</v>
      </c>
      <c r="M447" s="53" t="n">
        <f aca="false" ca="false" dt2D="false" dtr="false" t="normal">SUM(D447:L447)</f>
        <v>0</v>
      </c>
      <c r="N447" s="63" t="n"/>
      <c r="P447" s="136" t="n">
        <f aca="false" ca="false" dt2D="false" dtr="false" t="normal">MID(H446, 2, 1)</f>
        <v>0</v>
      </c>
      <c r="Q447" s="137" t="n">
        <f aca="false" ca="false" dt2D="false" dtr="false" t="normal">P447</f>
        <v>0</v>
      </c>
      <c r="R447" s="120" t="s">
        <v>192</v>
      </c>
      <c r="S447" s="139" t="s">
        <v>1790</v>
      </c>
      <c r="T447" s="136" t="n">
        <f aca="false" ca="false" dt2D="false" dtr="false" t="normal">MID(I446, 2, 1)</f>
        <v>0</v>
      </c>
      <c r="U447" s="137" t="n">
        <f aca="false" ca="false" dt2D="false" dtr="false" t="normal">T447</f>
        <v>0</v>
      </c>
      <c r="V447" s="120" t="s">
        <v>192</v>
      </c>
      <c r="W447" s="139" t="s">
        <v>1791</v>
      </c>
      <c r="X447" s="4737" t="s"/>
      <c r="Y447" s="142" t="s"/>
      <c r="Z447" s="142" t="s"/>
      <c r="AA447" s="4738" t="s"/>
      <c r="AB447" s="4739" t="s"/>
      <c r="AC447" s="142" t="s"/>
      <c r="AD447" s="142" t="s"/>
      <c r="AE447" s="4740" t="s"/>
      <c r="AF447" s="136" t="n">
        <f aca="false" ca="false" dt2D="false" dtr="false" t="normal">MID(L446, 2, 1)</f>
        <v>0</v>
      </c>
      <c r="AG447" s="137" t="n">
        <f aca="false" ca="false" dt2D="false" dtr="false" t="normal">AF447</f>
        <v>0</v>
      </c>
      <c r="AH447" s="120" t="s">
        <v>192</v>
      </c>
      <c r="AI447" s="139" t="s">
        <v>1792</v>
      </c>
      <c r="AJ447" s="4741" t="s"/>
      <c r="AK447" s="4742" t="s"/>
      <c r="AL447" s="4743" t="s"/>
    </row>
    <row hidden="false" ht="15" outlineLevel="0" r="448">
      <c r="C448" s="98" t="s">
        <v>194</v>
      </c>
      <c r="D448" s="149" t="str">
        <f aca="false" ca="false" dt2D="false" dtr="false" t="normal">D445</f>
        <v/>
      </c>
      <c r="E448" s="149" t="str">
        <f aca="false" ca="false" dt2D="false" dtr="false" t="normal">E445</f>
        <v/>
      </c>
      <c r="F448" s="53" t="str">
        <f aca="false" ca="false" dt2D="false" dtr="false" t="normal">_XLFN.IFNA(MID(INDEX($A$3:$A$70, IF(ISNA(MATCH("720G4HF*", $A$3:$A$70, 0))=TRUE, MATCH("7200431*", $A$3:$A$70, 0), MATCH("720G4HF*", $A$3:$A$70, 0))), $AS$8, 2), "")</f>
        <v/>
      </c>
      <c r="G448" s="53" t="str">
        <f aca="false" ca="false" dt2D="false" dtr="false" t="normal">_XLFN.IFNA(MID(INDEX($A$3:$A$70, IF(ISNA(MATCH("720G4HF*", $A$3:$A$70, 0))=TRUE, MATCH("7200431*", $A$3:$A$70, 0), MATCH("720G4HF*", $A$3:$A$70, 0))), $AT$8, 2), "")</f>
        <v/>
      </c>
      <c r="N448" s="63" t="n"/>
      <c r="P448" s="136" t="n">
        <f aca="false" ca="false" dt2D="false" dtr="false" t="normal">MID(H446, 3, 1)</f>
        <v>0</v>
      </c>
      <c r="Q448" s="137" t="n">
        <f aca="false" ca="false" dt2D="false" dtr="false" t="normal">P448</f>
        <v>0</v>
      </c>
      <c r="R448" s="120" t="s">
        <v>195</v>
      </c>
      <c r="S448" s="139" t="s">
        <v>1793</v>
      </c>
      <c r="T448" s="136" t="n">
        <f aca="false" ca="false" dt2D="false" dtr="false" t="normal">MID(I446, 3, 1)</f>
        <v>0</v>
      </c>
      <c r="U448" s="137" t="n">
        <f aca="false" ca="false" dt2D="false" dtr="false" t="normal">T448</f>
        <v>0</v>
      </c>
      <c r="V448" s="120" t="s">
        <v>195</v>
      </c>
      <c r="W448" s="139" t="s">
        <v>1794</v>
      </c>
      <c r="X448" s="4744" t="s"/>
      <c r="Y448" s="142" t="s"/>
      <c r="Z448" s="142" t="s"/>
      <c r="AA448" s="4745" t="s"/>
      <c r="AB448" s="4746" t="s"/>
      <c r="AC448" s="142" t="s"/>
      <c r="AD448" s="142" t="s"/>
      <c r="AE448" s="4747" t="s"/>
      <c r="AF448" s="136" t="n">
        <f aca="false" ca="false" dt2D="false" dtr="false" t="normal">MID(L446, 3, 1)</f>
        <v>0</v>
      </c>
      <c r="AG448" s="137" t="n">
        <f aca="false" ca="false" dt2D="false" dtr="false" t="normal">AF448</f>
        <v>0</v>
      </c>
      <c r="AH448" s="120" t="s">
        <v>195</v>
      </c>
      <c r="AI448" s="139" t="s">
        <v>1795</v>
      </c>
      <c r="AJ448" s="4748" t="s"/>
      <c r="AK448" s="4749" t="s"/>
      <c r="AL448" s="4750" t="s"/>
    </row>
    <row hidden="false" ht="15.75" outlineLevel="0" r="449">
      <c r="C449" s="98" t="n"/>
      <c r="N449" s="63" t="n"/>
      <c r="P449" s="136" t="n">
        <f aca="false" ca="false" dt2D="false" dtr="false" t="normal">MID(H446, 4, 1)</f>
        <v>0</v>
      </c>
      <c r="Q449" s="137" t="n">
        <f aca="false" ca="false" dt2D="false" dtr="false" t="normal">P449</f>
        <v>0</v>
      </c>
      <c r="R449" s="120" t="s">
        <v>197</v>
      </c>
      <c r="S449" s="139" t="s">
        <v>1796</v>
      </c>
      <c r="T449" s="136" t="n">
        <f aca="false" ca="false" dt2D="false" dtr="false" t="normal">MID(I446, 4, 1)</f>
        <v>0</v>
      </c>
      <c r="U449" s="137" t="n">
        <f aca="false" ca="false" dt2D="false" dtr="false" t="normal">T449</f>
        <v>0</v>
      </c>
      <c r="V449" s="120" t="s">
        <v>197</v>
      </c>
      <c r="W449" s="139" t="s">
        <v>1797</v>
      </c>
      <c r="X449" s="4751" t="s"/>
      <c r="Y449" s="142" t="s"/>
      <c r="Z449" s="142" t="s"/>
      <c r="AA449" s="4752" t="s"/>
      <c r="AB449" s="4753" t="s"/>
      <c r="AC449" s="142" t="s"/>
      <c r="AD449" s="142" t="s"/>
      <c r="AE449" s="4754" t="s"/>
      <c r="AF449" s="136" t="n">
        <f aca="false" ca="false" dt2D="false" dtr="false" t="normal">MID(L446, 4, 1)</f>
        <v>0</v>
      </c>
      <c r="AG449" s="137" t="n">
        <f aca="false" ca="false" dt2D="false" dtr="false" t="normal">AF449</f>
        <v>0</v>
      </c>
      <c r="AH449" s="120" t="s">
        <v>197</v>
      </c>
      <c r="AI449" s="139" t="s">
        <v>1798</v>
      </c>
      <c r="AJ449" s="4755" t="s"/>
      <c r="AK449" s="4756" t="s"/>
      <c r="AL449" s="4757" t="s"/>
    </row>
    <row hidden="false" ht="15.75" outlineLevel="0" r="450">
      <c r="C450" s="98" t="s">
        <v>176</v>
      </c>
      <c r="D450" s="159" t="str">
        <f aca="false" ca="false" dt2D="false" dtr="false" t="normal">D445</f>
        <v/>
      </c>
      <c r="E450" s="160" t="str">
        <f aca="false" ca="false" dt2D="false" dtr="false" t="normal">E445</f>
        <v/>
      </c>
      <c r="F450" s="160" t="str">
        <f aca="false" ca="false" dt2D="false" dtr="false" t="normal">F445</f>
        <v/>
      </c>
      <c r="G450" s="161" t="str">
        <f aca="false" ca="false" dt2D="false" dtr="false" t="normal">G445</f>
        <v/>
      </c>
      <c r="H450" s="162" t="str">
        <f aca="false" ca="false" dt2D="false" dtr="false" t="normal">IF(J412="", "", BIN2HEX(H451, 2))</f>
        <v/>
      </c>
      <c r="I450" s="163" t="str">
        <f aca="false" ca="false" dt2D="false" dtr="false" t="normal">IF(J412="", "", BIN2HEX(I451, 2))</f>
        <v/>
      </c>
      <c r="J450" s="2217" t="str">
        <f aca="false" ca="false" dt2D="false" dtr="false" t="normal">J445</f>
        <v/>
      </c>
      <c r="K450" s="1916" t="str">
        <f aca="false" ca="false" dt2D="false" dtr="false" t="normal">K445</f>
        <v/>
      </c>
      <c r="L450" s="288" t="str">
        <f aca="false" ca="false" dt2D="false" dtr="false" t="normal">IF(J412="", "", BIN2HEX(L451, 2))</f>
        <v/>
      </c>
      <c r="M450" s="166" t="str">
        <f aca="false" ca="false" dt2D="false" dtr="false" t="normal">IF(J412="", "", IF(LEN(M451)&gt;2, MID(M451, 2, 2), M451))</f>
        <v/>
      </c>
      <c r="N450" s="63" t="s">
        <v>181</v>
      </c>
      <c r="P450" s="136" t="n">
        <f aca="false" ca="false" dt2D="false" dtr="false" t="normal">MID(H446, 5, 1)</f>
        <v>0</v>
      </c>
      <c r="Q450" s="137" t="n">
        <f aca="false" ca="false" dt2D="false" dtr="false" t="normal">P450</f>
        <v>0</v>
      </c>
      <c r="R450" s="120" t="s">
        <v>200</v>
      </c>
      <c r="S450" s="139" t="s">
        <v>1799</v>
      </c>
      <c r="T450" s="136" t="n">
        <f aca="false" ca="false" dt2D="false" dtr="false" t="normal">MID(I446, 5, 1)</f>
        <v>0</v>
      </c>
      <c r="U450" s="137" t="n">
        <f aca="false" ca="false" dt2D="false" dtr="false" t="normal">T450</f>
        <v>0</v>
      </c>
      <c r="V450" s="120" t="s">
        <v>200</v>
      </c>
      <c r="W450" s="139" t="s">
        <v>1800</v>
      </c>
      <c r="X450" s="4758" t="s"/>
      <c r="Y450" s="142" t="s"/>
      <c r="Z450" s="142" t="s"/>
      <c r="AA450" s="4759" t="s"/>
      <c r="AB450" s="4760" t="s"/>
      <c r="AC450" s="142" t="s"/>
      <c r="AD450" s="142" t="s"/>
      <c r="AE450" s="4761" t="s"/>
      <c r="AF450" s="136" t="n">
        <f aca="false" ca="false" dt2D="false" dtr="false" t="normal">MID(L446, 5, 1)</f>
        <v>0</v>
      </c>
      <c r="AG450" s="137" t="n">
        <f aca="false" ca="false" dt2D="false" dtr="false" t="normal">AF450</f>
        <v>0</v>
      </c>
      <c r="AH450" s="120" t="s">
        <v>200</v>
      </c>
      <c r="AI450" s="139" t="s">
        <v>1801</v>
      </c>
      <c r="AJ450" s="4762" t="s"/>
      <c r="AK450" s="4763" t="s"/>
      <c r="AL450" s="4764" t="s"/>
    </row>
    <row hidden="false" ht="15" outlineLevel="0" r="451">
      <c r="C451" s="98" t="s">
        <v>185</v>
      </c>
      <c r="D451" s="53" t="n">
        <f aca="false" ca="false" dt2D="false" dtr="false" t="normal">HEX2BIN(D450, 8)</f>
        <v>0</v>
      </c>
      <c r="E451" s="53" t="n">
        <f aca="false" ca="false" dt2D="false" dtr="false" t="normal">HEX2BIN(E450, 8)</f>
        <v>0</v>
      </c>
      <c r="F451" s="53" t="n">
        <f aca="false" ca="false" dt2D="false" dtr="false" t="normal">HEX2BIN(F450, 8)</f>
        <v>0</v>
      </c>
      <c r="G451" s="53" t="n">
        <f aca="false" ca="false" dt2D="false" dtr="false" t="normal">HEX2BIN(G450, 8)</f>
        <v>0</v>
      </c>
      <c r="H451" s="171" t="n">
        <f aca="false" ca="false" dt2D="false" dtr="false" t="normal">Q446&amp;Q447&amp;Q448&amp;Q449&amp;Q450&amp;Q451&amp;Q452&amp;Q453</f>
        <v>0</v>
      </c>
      <c r="I451" s="53" t="n">
        <f aca="false" ca="false" dt2D="false" dtr="false" t="normal">U446&amp;U447&amp;U448&amp;U449&amp;U450&amp;U451&amp;U452&amp;U453</f>
        <v>0</v>
      </c>
      <c r="J451" s="171" t="n"/>
      <c r="K451" s="171" t="n"/>
      <c r="L451" s="53" t="n">
        <f aca="false" ca="false" dt2D="false" dtr="false" t="normal">AG446&amp;AG447&amp;AG448&amp;AG449&amp;AG450&amp;AG451&amp;AG452&amp;AG453</f>
        <v>0</v>
      </c>
      <c r="M451" s="53" t="n">
        <f aca="false" ca="false" dt2D="false" dtr="false" t="normal">DEC2HEX(M452)</f>
        <v>0</v>
      </c>
      <c r="N451" s="63" t="n"/>
      <c r="P451" s="136" t="n">
        <f aca="false" ca="false" dt2D="false" dtr="false" t="normal">MID(H446, 6, 1)</f>
        <v>0</v>
      </c>
      <c r="Q451" s="137" t="n">
        <f aca="false" ca="false" dt2D="false" dtr="false" t="normal">P451</f>
        <v>0</v>
      </c>
      <c r="R451" s="120" t="s">
        <v>203</v>
      </c>
      <c r="S451" s="139" t="s">
        <v>1802</v>
      </c>
      <c r="T451" s="136" t="n">
        <f aca="false" ca="false" dt2D="false" dtr="false" t="normal">MID(I446, 6, 1)</f>
        <v>0</v>
      </c>
      <c r="U451" s="137" t="n">
        <f aca="false" ca="false" dt2D="false" dtr="false" t="normal">T451</f>
        <v>0</v>
      </c>
      <c r="V451" s="120" t="s">
        <v>203</v>
      </c>
      <c r="W451" s="139" t="s">
        <v>1803</v>
      </c>
      <c r="X451" s="4765" t="s"/>
      <c r="Y451" s="142" t="s"/>
      <c r="Z451" s="142" t="s"/>
      <c r="AA451" s="4766" t="s"/>
      <c r="AB451" s="4767" t="s"/>
      <c r="AC451" s="142" t="s"/>
      <c r="AD451" s="142" t="s"/>
      <c r="AE451" s="4768" t="s"/>
      <c r="AF451" s="136" t="n">
        <f aca="false" ca="false" dt2D="false" dtr="false" t="normal">MID(L446, 6, 1)</f>
        <v>0</v>
      </c>
      <c r="AG451" s="137" t="n">
        <f aca="false" ca="false" dt2D="false" dtr="false" t="normal">AF451</f>
        <v>0</v>
      </c>
      <c r="AH451" s="120" t="s">
        <v>203</v>
      </c>
      <c r="AI451" s="139" t="s">
        <v>1804</v>
      </c>
      <c r="AJ451" s="4769" t="s"/>
      <c r="AK451" s="4770" t="s"/>
      <c r="AL451" s="4771" t="s"/>
    </row>
    <row hidden="false" ht="15" outlineLevel="0" r="452">
      <c r="C452" s="98" t="s">
        <v>191</v>
      </c>
      <c r="D452" s="53" t="n">
        <f aca="false" ca="false" dt2D="false" dtr="false" t="normal">HEX2DEC(D450)</f>
        <v>0</v>
      </c>
      <c r="E452" s="53" t="n">
        <f aca="false" ca="false" dt2D="false" dtr="false" t="normal">HEX2DEC(E450)</f>
        <v>0</v>
      </c>
      <c r="F452" s="53" t="n">
        <f aca="false" ca="false" dt2D="false" dtr="false" t="normal">HEX2DEC(F450)</f>
        <v>0</v>
      </c>
      <c r="G452" s="53" t="n">
        <f aca="false" ca="false" dt2D="false" dtr="false" t="normal">HEX2DEC(G450)</f>
        <v>0</v>
      </c>
      <c r="H452" s="53" t="n">
        <f aca="false" ca="false" dt2D="false" dtr="false" t="normal">HEX2DEC(H450)</f>
        <v>0</v>
      </c>
      <c r="I452" s="53" t="n">
        <f aca="false" ca="false" dt2D="false" dtr="false" t="normal">HEX2DEC(I450)</f>
        <v>0</v>
      </c>
      <c r="J452" s="53" t="n">
        <f aca="false" ca="false" dt2D="false" dtr="false" t="normal">HEX2DEC(J450)</f>
        <v>0</v>
      </c>
      <c r="K452" s="53" t="n">
        <f aca="false" ca="false" dt2D="false" dtr="false" t="normal">HEX2DEC(K450)</f>
        <v>0</v>
      </c>
      <c r="L452" s="53" t="n">
        <f aca="false" ca="false" dt2D="false" dtr="false" t="normal">HEX2DEC(L450)</f>
        <v>0</v>
      </c>
      <c r="M452" s="53" t="n">
        <f aca="false" ca="false" dt2D="false" dtr="false" t="normal">SUM(D452:L452)</f>
        <v>0</v>
      </c>
      <c r="N452" s="63" t="n"/>
      <c r="P452" s="136" t="n">
        <f aca="false" ca="false" dt2D="false" dtr="false" t="normal">MID(H446, 7, 1)</f>
        <v>0</v>
      </c>
      <c r="Q452" s="137" t="n">
        <f aca="false" ca="false" dt2D="false" dtr="false" t="normal">P452</f>
        <v>0</v>
      </c>
      <c r="R452" s="120" t="s">
        <v>206</v>
      </c>
      <c r="S452" s="139" t="s">
        <v>1805</v>
      </c>
      <c r="T452" s="136" t="n">
        <f aca="false" ca="false" dt2D="false" dtr="false" t="normal">MID(I446, 7, 1)</f>
        <v>0</v>
      </c>
      <c r="U452" s="137" t="n">
        <f aca="false" ca="false" dt2D="false" dtr="false" t="normal">T452</f>
        <v>0</v>
      </c>
      <c r="V452" s="120" t="s">
        <v>206</v>
      </c>
      <c r="W452" s="139" t="s">
        <v>1806</v>
      </c>
      <c r="X452" s="4772" t="s"/>
      <c r="Y452" s="142" t="s"/>
      <c r="Z452" s="142" t="s"/>
      <c r="AA452" s="4773" t="s"/>
      <c r="AB452" s="4774" t="s"/>
      <c r="AC452" s="142" t="s"/>
      <c r="AD452" s="142" t="s"/>
      <c r="AE452" s="4775" t="s"/>
      <c r="AF452" s="136" t="n">
        <f aca="false" ca="false" dt2D="false" dtr="false" t="normal">MID(L446, 7, 1)</f>
        <v>0</v>
      </c>
      <c r="AG452" s="137" t="n">
        <f aca="false" ca="false" dt2D="false" dtr="false" t="normal">AF452</f>
        <v>0</v>
      </c>
      <c r="AH452" s="120" t="s">
        <v>206</v>
      </c>
      <c r="AI452" s="139" t="s">
        <v>1807</v>
      </c>
      <c r="AJ452" s="4776" t="s"/>
      <c r="AK452" s="4777" t="s"/>
      <c r="AL452" s="4778" t="s"/>
    </row>
    <row hidden="false" ht="15.75" outlineLevel="0" r="453">
      <c r="C453" s="180" t="s">
        <v>194</v>
      </c>
      <c r="D453" s="299" t="str">
        <f aca="false" ca="false" dt2D="false" dtr="false" t="normal">D448</f>
        <v/>
      </c>
      <c r="E453" s="299" t="str">
        <f aca="false" ca="false" dt2D="false" dtr="false" t="normal">E448</f>
        <v/>
      </c>
      <c r="F453" s="299" t="str">
        <f aca="false" ca="false" dt2D="false" dtr="false" t="normal">F448</f>
        <v/>
      </c>
      <c r="G453" s="299" t="str">
        <f aca="false" ca="false" dt2D="false" dtr="false" t="normal">G448</f>
        <v/>
      </c>
      <c r="H453" s="45" t="n"/>
      <c r="I453" s="45" t="n"/>
      <c r="J453" s="45" t="n"/>
      <c r="K453" s="45" t="n"/>
      <c r="L453" s="45" t="n"/>
      <c r="M453" s="45" t="n"/>
      <c r="N453" s="49" t="n"/>
      <c r="P453" s="182" t="n">
        <f aca="false" ca="false" dt2D="false" dtr="false" t="normal">MID(H446, 8, 1)</f>
        <v>0</v>
      </c>
      <c r="Q453" s="183" t="n">
        <f aca="false" ca="false" dt2D="false" dtr="false" t="normal">P453</f>
        <v>0</v>
      </c>
      <c r="R453" s="184" t="s">
        <v>208</v>
      </c>
      <c r="S453" s="187" t="s">
        <v>1808</v>
      </c>
      <c r="T453" s="182" t="n">
        <f aca="false" ca="false" dt2D="false" dtr="false" t="normal">MID(I446, 8, 1)</f>
        <v>0</v>
      </c>
      <c r="U453" s="183" t="n">
        <f aca="false" ca="false" dt2D="false" dtr="false" t="normal">T453</f>
        <v>0</v>
      </c>
      <c r="V453" s="184" t="s">
        <v>208</v>
      </c>
      <c r="W453" s="187" t="s">
        <v>1809</v>
      </c>
      <c r="X453" s="4779" t="s"/>
      <c r="Y453" s="4780" t="s"/>
      <c r="Z453" s="4781" t="s"/>
      <c r="AA453" s="4782" t="s"/>
      <c r="AB453" s="4783" t="s"/>
      <c r="AC453" s="4784" t="s"/>
      <c r="AD453" s="4785" t="s"/>
      <c r="AE453" s="4786" t="s"/>
      <c r="AF453" s="182" t="n">
        <f aca="false" ca="false" dt2D="false" dtr="false" t="normal">MID(L446, 8, 1)</f>
        <v>0</v>
      </c>
      <c r="AG453" s="183" t="n">
        <f aca="false" ca="false" dt2D="false" dtr="false" t="normal">AF453</f>
        <v>0</v>
      </c>
      <c r="AH453" s="184" t="s">
        <v>208</v>
      </c>
      <c r="AI453" s="187" t="s">
        <v>1810</v>
      </c>
      <c r="AJ453" s="4787" t="s"/>
      <c r="AK453" s="4788" t="s"/>
      <c r="AL453" s="4789" t="s"/>
    </row>
    <row hidden="false" ht="15.75" outlineLevel="0" r="454">
      <c r="C454" s="93" t="n"/>
      <c r="D454" s="94" t="n"/>
      <c r="E454" s="94" t="n"/>
      <c r="F454" s="94" t="n"/>
      <c r="G454" s="94" t="n"/>
      <c r="H454" s="94" t="n"/>
      <c r="I454" s="94" t="n"/>
      <c r="J454" s="94" t="n"/>
      <c r="K454" s="94" t="n"/>
      <c r="L454" s="94" t="n"/>
      <c r="M454" s="94" t="s">
        <v>161</v>
      </c>
      <c r="N454" s="60" t="n"/>
      <c r="P454" s="95" t="str">
        <f aca="false" ca="false" dt2D="false" dtr="false" t="normal">RIGHT(D456, 1)&amp;E456&amp;"-"&amp;F456&amp;"-"&amp;G456</f>
        <v>--</v>
      </c>
      <c r="Q454" s="4790" t="s"/>
      <c r="R454" s="234" t="s">
        <v>1811</v>
      </c>
      <c r="S454" s="4791" t="s"/>
      <c r="T454" s="4792" t="s"/>
      <c r="U454" s="4793" t="s"/>
      <c r="V454" s="4794" t="s"/>
      <c r="W454" s="4795" t="s"/>
      <c r="X454" s="4796" t="s"/>
      <c r="Y454" s="4797" t="s"/>
      <c r="Z454" s="4798" t="s"/>
      <c r="AA454" s="4799" t="s"/>
      <c r="AB454" s="4800" t="s"/>
      <c r="AC454" s="4801" t="s"/>
      <c r="AD454" s="4802" t="s"/>
      <c r="AE454" s="4803" t="s"/>
      <c r="AF454" s="4804" t="s"/>
      <c r="AG454" s="4805" t="s"/>
      <c r="AH454" s="4806" t="s"/>
      <c r="AI454" s="4807" t="s"/>
      <c r="AJ454" s="4808" t="s"/>
      <c r="AK454" s="4809" t="s"/>
      <c r="AL454" s="4810" t="s"/>
    </row>
    <row hidden="false" ht="15.75" outlineLevel="0" r="455">
      <c r="C455" s="98" t="n"/>
      <c r="D455" s="99" t="s">
        <v>1812</v>
      </c>
      <c r="E455" s="4811" t="s"/>
      <c r="F455" s="4812" t="s"/>
      <c r="G455" s="4813" t="s"/>
      <c r="H455" s="53" t="s">
        <v>165</v>
      </c>
      <c r="I455" s="53" t="s">
        <v>166</v>
      </c>
      <c r="J455" s="53" t="s">
        <v>167</v>
      </c>
      <c r="K455" s="53" t="s">
        <v>168</v>
      </c>
      <c r="L455" s="53" t="s">
        <v>169</v>
      </c>
      <c r="M455" s="53" t="s">
        <v>221</v>
      </c>
      <c r="N455" s="63" t="n"/>
      <c r="P455" s="103" t="s">
        <v>1813</v>
      </c>
      <c r="Q455" s="4814" t="s"/>
      <c r="R455" s="4815" t="s"/>
      <c r="S455" s="4816" t="s"/>
      <c r="T455" s="103" t="s">
        <v>1814</v>
      </c>
      <c r="U455" s="4817" t="s"/>
      <c r="V455" s="4818" t="s"/>
      <c r="W455" s="4819" t="s"/>
      <c r="X455" s="103" t="s">
        <v>1815</v>
      </c>
      <c r="Y455" s="4820" t="s"/>
      <c r="Z455" s="4821" t="s"/>
      <c r="AA455" s="4822" t="s"/>
      <c r="AB455" s="103" t="s">
        <v>1816</v>
      </c>
      <c r="AC455" s="4823" t="s"/>
      <c r="AD455" s="4824" t="s"/>
      <c r="AE455" s="4825" t="s"/>
      <c r="AF455" s="103" t="s">
        <v>1817</v>
      </c>
      <c r="AG455" s="4826" t="s"/>
      <c r="AH455" s="4827" t="s"/>
      <c r="AI455" s="4828" t="s"/>
      <c r="AJ455" s="103" t="s">
        <v>1818</v>
      </c>
      <c r="AK455" s="4829" t="s"/>
      <c r="AL455" s="4830" t="s"/>
    </row>
    <row hidden="false" ht="15.75" outlineLevel="0" r="456">
      <c r="C456" s="98" t="s">
        <v>176</v>
      </c>
      <c r="D456" s="122" t="str">
        <f aca="false" ca="false" dt2D="false" dtr="false" t="normal">IF(J412="", "", 7)</f>
        <v/>
      </c>
      <c r="E456" s="123" t="str">
        <f aca="false" ca="false" dt2D="false" dtr="false" t="normal">IF(J412="", "", 20)</f>
        <v/>
      </c>
      <c r="F456" s="123" t="str">
        <f aca="false" ca="false" dt2D="false" dtr="false" t="normal">IF(J412="", "", 4)</f>
        <v/>
      </c>
      <c r="G456" s="124" t="str">
        <f aca="false" ca="false" dt2D="false" dtr="false" t="normal">IF(J412="", "", 32)</f>
        <v/>
      </c>
      <c r="H456" s="1819" t="str">
        <f aca="false" ca="false" dt2D="false" dtr="false" ref="H456:H456" t="array">_XLFN.IFNA(MID(INDEX($A$3:$A$70, IF(ISNA(MATCH("720G4I0*", $A$3:$A$70, 0))=TRUE, MATCH("7200432*", $A$3:$A$70, 0), MATCH("720G4I0*", $A$3:$A$70, 0))), $AU$8, 2), "")</f>
        <v/>
      </c>
      <c r="I456" s="1820" t="str">
        <f aca="false" ca="false" dt2D="false" dtr="false" ref="I456:I456" t="array">_XLFN.IFNA(MID(INDEX($A$3:$A$70, IF(ISNA(MATCH("720G4I0*", $A$3:$A$70, 0))=TRUE, MATCH("7200432*", $A$3:$A$70, 0), MATCH("720G4I0*", $A$3:$A$70, 0))), $AV$8, 2), "")</f>
        <v/>
      </c>
      <c r="J456" s="164" t="str">
        <f aca="false" ca="false" dt2D="false" dtr="false" ref="J456:J456" t="array">_XLFN.IFNA(MID(INDEX($A$3:$A$70, IF(ISNA(MATCH("720G4I0*", $A$3:$A$70, 0))=TRUE, MATCH("7200432*", $A$3:$A$70, 0), MATCH("720G4I0*", $A$3:$A$70, 0))), $AW$8, 2), "")</f>
        <v/>
      </c>
      <c r="K456" s="1820" t="str">
        <f aca="false" ca="false" dt2D="false" dtr="false" ref="K456:K456" t="array">_XLFN.IFNA(MID(INDEX($A$3:$A$70, IF(ISNA(MATCH("720G4I0*", $A$3:$A$70, 0))=TRUE, MATCH("7200432*", $A$3:$A$70, 0), MATCH("720G4I0*", $A$3:$A$70, 0))), $AX$8, 2), "")</f>
        <v/>
      </c>
      <c r="L456" s="1821" t="str">
        <f aca="false" ca="false" dt2D="false" dtr="false" ref="L456:L456" t="array">_XLFN.IFNA(MID(INDEX($A$3:$A$70, IF(ISNA(MATCH("720G4I0*", $A$3:$A$70, 0))=TRUE, MATCH("7200432*", $A$3:$A$70, 0), MATCH("720G4I0*", $A$3:$A$70, 0))), $AY$8, 2), "")</f>
        <v/>
      </c>
      <c r="M456" s="218" t="str">
        <f aca="false" ca="false" dt2D="false" dtr="false" ref="M456:M456" t="array">_XLFN.IFNA(MID(INDEX($A$3:$A$70, IF(ISNA(MATCH("720G4I0*", $A$3:$A$70, 0))=TRUE, MATCH("7200432*", $A$3:$A$70, 0), MATCH("720G4I0*", $A$3:$A$70, 0))), $AZ$8, 2), "")</f>
        <v/>
      </c>
      <c r="N456" s="63" t="s">
        <v>180</v>
      </c>
      <c r="P456" s="129" t="s">
        <v>180</v>
      </c>
      <c r="Q456" s="130" t="s">
        <v>181</v>
      </c>
      <c r="R456" s="121" t="s">
        <v>182</v>
      </c>
      <c r="S456" s="131" t="n"/>
      <c r="T456" s="129" t="s">
        <v>180</v>
      </c>
      <c r="U456" s="130" t="s">
        <v>181</v>
      </c>
      <c r="V456" s="121" t="s">
        <v>182</v>
      </c>
      <c r="W456" s="131" t="n"/>
      <c r="X456" s="129" t="s">
        <v>180</v>
      </c>
      <c r="Y456" s="130" t="s">
        <v>181</v>
      </c>
      <c r="Z456" s="121" t="s">
        <v>182</v>
      </c>
      <c r="AA456" s="131" t="n"/>
      <c r="AB456" s="129" t="s">
        <v>180</v>
      </c>
      <c r="AC456" s="130" t="s">
        <v>181</v>
      </c>
      <c r="AD456" s="121" t="s">
        <v>182</v>
      </c>
      <c r="AE456" s="131" t="n"/>
      <c r="AF456" s="129" t="s">
        <v>180</v>
      </c>
      <c r="AG456" s="130" t="s">
        <v>181</v>
      </c>
      <c r="AH456" s="121" t="s">
        <v>182</v>
      </c>
      <c r="AI456" s="121" t="n"/>
      <c r="AJ456" s="116" t="s">
        <v>183</v>
      </c>
      <c r="AK456" s="4831" t="s"/>
      <c r="AL456" s="4832" t="s"/>
    </row>
    <row hidden="false" ht="15" outlineLevel="0" r="457">
      <c r="C457" s="98" t="s">
        <v>185</v>
      </c>
      <c r="D457" s="53" t="n">
        <f aca="false" ca="false" dt2D="false" dtr="false" t="normal">HEX2BIN(D456, 8)</f>
        <v>0</v>
      </c>
      <c r="E457" s="53" t="n">
        <f aca="false" ca="false" dt2D="false" dtr="false" t="normal">HEX2BIN(E456, 8)</f>
        <v>0</v>
      </c>
      <c r="F457" s="53" t="n">
        <f aca="false" ca="false" dt2D="false" dtr="false" t="normal">HEX2BIN(F456, 8)</f>
        <v>0</v>
      </c>
      <c r="G457" s="53" t="n">
        <f aca="false" ca="false" dt2D="false" dtr="false" t="normal">HEX2BIN(G456, 8)</f>
        <v>0</v>
      </c>
      <c r="H457" s="53" t="n">
        <f aca="false" ca="false" dt2D="false" dtr="false" t="normal">HEX2BIN(H456, 8)</f>
        <v>0</v>
      </c>
      <c r="I457" s="53" t="n">
        <f aca="false" ca="false" dt2D="false" dtr="false" t="normal">HEX2BIN(I456, 8)</f>
        <v>0</v>
      </c>
      <c r="J457" s="53" t="n">
        <f aca="false" ca="false" dt2D="false" dtr="false" t="normal">HEX2BIN(J456, 8)</f>
        <v>0</v>
      </c>
      <c r="K457" s="53" t="n">
        <f aca="false" ca="false" dt2D="false" dtr="false" t="normal">HEX2BIN(K456, 8)</f>
        <v>0</v>
      </c>
      <c r="L457" s="53" t="n">
        <f aca="false" ca="false" dt2D="false" dtr="false" t="normal">HEX2BIN(L456, 8)</f>
        <v>0</v>
      </c>
      <c r="N457" s="63" t="n"/>
      <c r="P457" s="136" t="n">
        <f aca="false" ca="false" dt2D="false" dtr="false" t="normal">MID(H457, 1, 1)</f>
        <v>0</v>
      </c>
      <c r="Q457" s="137" t="n">
        <f aca="false" ca="false" dt2D="false" dtr="false" t="normal">P457</f>
        <v>0</v>
      </c>
      <c r="R457" s="120" t="s">
        <v>186</v>
      </c>
      <c r="S457" s="139" t="s">
        <v>1819</v>
      </c>
      <c r="T457" s="136" t="n">
        <f aca="false" ca="false" dt2D="false" dtr="false" t="normal">MID(I457, 1, 1)</f>
        <v>0</v>
      </c>
      <c r="U457" s="137" t="n">
        <f aca="false" ca="false" dt2D="false" dtr="false" t="normal">T457</f>
        <v>0</v>
      </c>
      <c r="V457" s="120" t="s">
        <v>186</v>
      </c>
      <c r="W457" s="139" t="s">
        <v>1621</v>
      </c>
      <c r="X457" s="136" t="n">
        <f aca="false" ca="false" dt2D="false" dtr="false" t="normal">MID(J457, 1, 1)</f>
        <v>0</v>
      </c>
      <c r="Y457" s="137" t="n">
        <f aca="false" ca="false" dt2D="false" dtr="false" t="normal">X457</f>
        <v>0</v>
      </c>
      <c r="Z457" s="120" t="s">
        <v>186</v>
      </c>
      <c r="AA457" s="139" t="s">
        <v>1820</v>
      </c>
      <c r="AB457" s="136" t="n">
        <f aca="false" ca="false" dt2D="false" dtr="false" t="normal">MID(K457, 1, 1)</f>
        <v>0</v>
      </c>
      <c r="AC457" s="137" t="n">
        <f aca="false" ca="false" dt2D="false" dtr="false" t="normal">AB457</f>
        <v>0</v>
      </c>
      <c r="AD457" s="120" t="s">
        <v>186</v>
      </c>
      <c r="AE457" s="131" t="s">
        <v>196</v>
      </c>
      <c r="AF457" s="136" t="n">
        <f aca="false" ca="false" dt2D="false" dtr="false" t="normal">MID(L457, 1, 1)</f>
        <v>0</v>
      </c>
      <c r="AG457" s="137" t="n">
        <f aca="false" ca="false" dt2D="false" dtr="false" t="normal">AF457</f>
        <v>0</v>
      </c>
      <c r="AH457" s="120" t="s">
        <v>186</v>
      </c>
      <c r="AI457" s="139" t="s">
        <v>1821</v>
      </c>
      <c r="AJ457" s="4833" t="s"/>
      <c r="AK457" s="4834" t="s"/>
      <c r="AL457" s="4835" t="s"/>
    </row>
    <row customHeight="true" hidden="false" ht="15" outlineLevel="0" r="458">
      <c r="C458" s="98" t="s">
        <v>191</v>
      </c>
      <c r="D458" s="53" t="n">
        <f aca="false" ca="false" dt2D="false" dtr="false" t="normal">HEX2DEC(D456)</f>
        <v>0</v>
      </c>
      <c r="E458" s="53" t="n">
        <f aca="false" ca="false" dt2D="false" dtr="false" t="normal">HEX2DEC(E456)</f>
        <v>0</v>
      </c>
      <c r="F458" s="53" t="n">
        <f aca="false" ca="false" dt2D="false" dtr="false" t="normal">HEX2DEC(F456)</f>
        <v>0</v>
      </c>
      <c r="G458" s="53" t="n">
        <f aca="false" ca="false" dt2D="false" dtr="false" t="normal">HEX2DEC(G456)</f>
        <v>0</v>
      </c>
      <c r="H458" s="53" t="n">
        <f aca="false" ca="false" dt2D="false" dtr="false" t="normal">HEX2DEC(H456)</f>
        <v>0</v>
      </c>
      <c r="I458" s="53" t="n">
        <f aca="false" ca="false" dt2D="false" dtr="false" t="normal">HEX2DEC(I456)</f>
        <v>0</v>
      </c>
      <c r="J458" s="53" t="n">
        <f aca="false" ca="false" dt2D="false" dtr="false" t="normal">HEX2DEC(J456)</f>
        <v>0</v>
      </c>
      <c r="K458" s="53" t="n">
        <f aca="false" ca="false" dt2D="false" dtr="false" t="normal">HEX2DEC(K456)</f>
        <v>0</v>
      </c>
      <c r="L458" s="53" t="n">
        <f aca="false" ca="false" dt2D="false" dtr="false" t="normal">HEX2DEC(L456)</f>
        <v>0</v>
      </c>
      <c r="M458" s="53" t="n">
        <f aca="false" ca="false" dt2D="false" dtr="false" t="normal">SUM(D458:L458)</f>
        <v>0</v>
      </c>
      <c r="N458" s="63" t="n"/>
      <c r="P458" s="136" t="n">
        <f aca="false" ca="false" dt2D="false" dtr="false" t="normal">MID(H457, 2, 1)</f>
        <v>0</v>
      </c>
      <c r="Q458" s="137" t="n">
        <f aca="false" ca="false" dt2D="false" dtr="false" t="normal">P458</f>
        <v>0</v>
      </c>
      <c r="R458" s="120" t="s">
        <v>192</v>
      </c>
      <c r="S458" s="4394" t="s">
        <v>1822</v>
      </c>
      <c r="T458" s="136" t="n">
        <f aca="false" ca="false" dt2D="false" dtr="false" t="normal">MID(I457, 2, 1)</f>
        <v>0</v>
      </c>
      <c r="U458" s="137" t="n">
        <f aca="false" ca="false" dt2D="false" dtr="false" t="normal">T458</f>
        <v>0</v>
      </c>
      <c r="V458" s="120" t="s">
        <v>192</v>
      </c>
      <c r="W458" s="139" t="s">
        <v>1823</v>
      </c>
      <c r="X458" s="136" t="n">
        <f aca="false" ca="false" dt2D="false" dtr="false" t="normal">MID(J457, 2, 1)</f>
        <v>0</v>
      </c>
      <c r="Y458" s="137" t="n">
        <f aca="false" ca="false" dt2D="false" dtr="false" t="normal">X458</f>
        <v>0</v>
      </c>
      <c r="Z458" s="120" t="s">
        <v>192</v>
      </c>
      <c r="AA458" s="139" t="s">
        <v>1824</v>
      </c>
      <c r="AB458" s="136" t="n">
        <f aca="false" ca="false" dt2D="false" dtr="false" t="normal">MID(K457, 2, 1)</f>
        <v>0</v>
      </c>
      <c r="AC458" s="137" t="n">
        <f aca="false" ca="false" dt2D="false" dtr="false" t="normal">AB458</f>
        <v>0</v>
      </c>
      <c r="AD458" s="120" t="s">
        <v>192</v>
      </c>
      <c r="AE458" s="139" t="s">
        <v>1825</v>
      </c>
      <c r="AF458" s="136" t="n">
        <f aca="false" ca="false" dt2D="false" dtr="false" t="normal">MID(L457, 2, 1)</f>
        <v>0</v>
      </c>
      <c r="AG458" s="137" t="n">
        <f aca="false" ca="false" dt2D="false" dtr="false" t="normal">AF458</f>
        <v>0</v>
      </c>
      <c r="AH458" s="120" t="s">
        <v>192</v>
      </c>
      <c r="AI458" s="139" t="s">
        <v>1826</v>
      </c>
      <c r="AJ458" s="4836" t="s"/>
      <c r="AK458" s="4837" t="s"/>
      <c r="AL458" s="4838" t="s"/>
    </row>
    <row hidden="false" ht="15" outlineLevel="0" r="459">
      <c r="C459" s="98" t="s">
        <v>194</v>
      </c>
      <c r="D459" s="149" t="str">
        <f aca="false" ca="false" dt2D="false" dtr="false" t="normal">D456</f>
        <v/>
      </c>
      <c r="E459" s="149" t="str">
        <f aca="false" ca="false" dt2D="false" dtr="false" t="normal">E456</f>
        <v/>
      </c>
      <c r="F459" s="53" t="str">
        <f aca="false" ca="false" dt2D="false" dtr="false" t="normal">_XLFN.IFNA(MID(INDEX($A$3:$A$70, IF(ISNA(MATCH("720G4I0*", $A$3:$A$70, 0))=TRUE, MATCH("7200432*", $A$3:$A$70, 0), MATCH("720G4I0*", $A$3:$A$70, 0))), $AS$8, 2), "")</f>
        <v/>
      </c>
      <c r="G459" s="53" t="str">
        <f aca="false" ca="false" dt2D="false" dtr="false" t="normal">_XLFN.IFNA(MID(INDEX($A$3:$A$70, IF(ISNA(MATCH("720G4I0*", $A$3:$A$70, 0))=TRUE, MATCH("7200432*", $A$3:$A$70, 0), MATCH("720G4I0*", $A$3:$A$70, 0))), $AT$8, 2), "")</f>
        <v/>
      </c>
      <c r="N459" s="63" t="n"/>
      <c r="P459" s="136" t="n">
        <f aca="false" ca="false" dt2D="false" dtr="false" t="normal">MID(H457, 3, 1)</f>
        <v>0</v>
      </c>
      <c r="Q459" s="137" t="n">
        <f aca="false" ca="false" dt2D="false" dtr="false" t="normal">P459</f>
        <v>0</v>
      </c>
      <c r="R459" s="120" t="s">
        <v>195</v>
      </c>
      <c r="S459" s="139" t="s">
        <v>1827</v>
      </c>
      <c r="T459" s="136" t="n">
        <f aca="false" ca="false" dt2D="false" dtr="false" t="normal">MID(I457, 3, 1)</f>
        <v>0</v>
      </c>
      <c r="U459" s="137" t="n">
        <f aca="false" ca="false" dt2D="false" dtr="false" t="normal">T459</f>
        <v>0</v>
      </c>
      <c r="V459" s="120" t="s">
        <v>195</v>
      </c>
      <c r="W459" s="139" t="s">
        <v>1828</v>
      </c>
      <c r="X459" s="136" t="n">
        <f aca="false" ca="false" dt2D="false" dtr="false" t="normal">MID(J457, 3, 1)</f>
        <v>0</v>
      </c>
      <c r="Y459" s="137" t="n">
        <f aca="false" ca="false" dt2D="false" dtr="false" t="normal">X459</f>
        <v>0</v>
      </c>
      <c r="Z459" s="120" t="s">
        <v>195</v>
      </c>
      <c r="AA459" s="4839" t="s">
        <v>1829</v>
      </c>
      <c r="AB459" s="136" t="n">
        <f aca="false" ca="false" dt2D="false" dtr="false" t="normal">MID(K457, 3, 1)</f>
        <v>0</v>
      </c>
      <c r="AC459" s="137" t="n">
        <f aca="false" ca="false" dt2D="false" dtr="false" t="normal">AB459</f>
        <v>0</v>
      </c>
      <c r="AD459" s="120" t="s">
        <v>195</v>
      </c>
      <c r="AE459" s="1194" t="s">
        <v>1830</v>
      </c>
      <c r="AF459" s="136" t="n">
        <f aca="false" ca="false" dt2D="false" dtr="false" t="normal">MID(L457, 3, 1)</f>
        <v>0</v>
      </c>
      <c r="AG459" s="137" t="n">
        <f aca="false" ca="false" dt2D="false" dtr="false" t="normal">AF459</f>
        <v>0</v>
      </c>
      <c r="AH459" s="120" t="s">
        <v>195</v>
      </c>
      <c r="AI459" s="139" t="s">
        <v>1831</v>
      </c>
      <c r="AJ459" s="4840" t="s"/>
      <c r="AK459" s="4841" t="s"/>
      <c r="AL459" s="4842" t="s"/>
    </row>
    <row hidden="false" ht="15.75" outlineLevel="0" r="460">
      <c r="C460" s="98" t="n"/>
      <c r="N460" s="63" t="n"/>
      <c r="P460" s="136" t="n">
        <f aca="false" ca="false" dt2D="false" dtr="false" t="normal">MID(H457, 4, 1)</f>
        <v>0</v>
      </c>
      <c r="Q460" s="137" t="n">
        <f aca="false" ca="false" dt2D="false" dtr="false" t="normal">P460</f>
        <v>0</v>
      </c>
      <c r="R460" s="120" t="s">
        <v>197</v>
      </c>
      <c r="S460" s="139" t="s">
        <v>1832</v>
      </c>
      <c r="T460" s="136" t="n">
        <f aca="false" ca="false" dt2D="false" dtr="false" t="normal">MID(I457, 4, 1)</f>
        <v>0</v>
      </c>
      <c r="U460" s="137" t="n">
        <f aca="false" ca="false" dt2D="false" dtr="false" t="normal">T460</f>
        <v>0</v>
      </c>
      <c r="V460" s="120" t="s">
        <v>197</v>
      </c>
      <c r="W460" s="139" t="s">
        <v>1833</v>
      </c>
      <c r="X460" s="136" t="n">
        <f aca="false" ca="false" dt2D="false" dtr="false" t="normal">MID(J457, 4, 1)</f>
        <v>0</v>
      </c>
      <c r="Y460" s="137" t="n">
        <f aca="false" ca="false" dt2D="false" dtr="false" t="normal">X460</f>
        <v>0</v>
      </c>
      <c r="Z460" s="120" t="s">
        <v>197</v>
      </c>
      <c r="AA460" s="139" t="s">
        <v>1834</v>
      </c>
      <c r="AB460" s="136" t="n">
        <f aca="false" ca="false" dt2D="false" dtr="false" t="normal">MID(K457, 4, 1)</f>
        <v>0</v>
      </c>
      <c r="AC460" s="137" t="n">
        <f aca="false" ca="false" dt2D="false" dtr="false" t="normal">AB460</f>
        <v>0</v>
      </c>
      <c r="AD460" s="120" t="s">
        <v>197</v>
      </c>
      <c r="AE460" s="1194" t="s">
        <v>1835</v>
      </c>
      <c r="AF460" s="136" t="n">
        <f aca="false" ca="false" dt2D="false" dtr="false" t="normal">MID(L457, 4, 1)</f>
        <v>0</v>
      </c>
      <c r="AG460" s="137" t="n">
        <f aca="false" ca="false" dt2D="false" dtr="false" t="normal">AF460</f>
        <v>0</v>
      </c>
      <c r="AH460" s="120" t="s">
        <v>197</v>
      </c>
      <c r="AI460" s="139" t="s">
        <v>1836</v>
      </c>
      <c r="AJ460" s="4843" t="s"/>
      <c r="AK460" s="4844" t="s"/>
      <c r="AL460" s="4845" t="s"/>
    </row>
    <row hidden="false" ht="15.75" outlineLevel="0" r="461">
      <c r="C461" s="98" t="s">
        <v>176</v>
      </c>
      <c r="D461" s="159" t="str">
        <f aca="false" ca="false" dt2D="false" dtr="false" t="normal">D456</f>
        <v/>
      </c>
      <c r="E461" s="160" t="str">
        <f aca="false" ca="false" dt2D="false" dtr="false" t="normal">E456</f>
        <v/>
      </c>
      <c r="F461" s="160" t="str">
        <f aca="false" ca="false" dt2D="false" dtr="false" t="normal">F456</f>
        <v/>
      </c>
      <c r="G461" s="161" t="str">
        <f aca="false" ca="false" dt2D="false" dtr="false" t="normal">G456</f>
        <v/>
      </c>
      <c r="H461" s="162" t="str">
        <f aca="false" ca="false" dt2D="false" dtr="false" t="normal">IF(J412="", "", BIN2HEX(H462, 2))</f>
        <v/>
      </c>
      <c r="I461" s="163" t="str">
        <f aca="false" ca="false" dt2D="false" dtr="false" t="normal">IF(J412="", "", BIN2HEX(I462, 2))</f>
        <v/>
      </c>
      <c r="J461" s="164" t="str">
        <f aca="false" ca="false" dt2D="false" dtr="false" t="normal">IF(J412="", "", BIN2HEX(J462, 2))</f>
        <v/>
      </c>
      <c r="K461" s="165" t="str">
        <f aca="false" ca="false" dt2D="false" dtr="false" t="normal">IF(J412="", "", BIN2HEX(K462, 2))</f>
        <v/>
      </c>
      <c r="L461" s="288" t="str">
        <f aca="false" ca="false" dt2D="false" dtr="false" t="normal">IF(J412="", "", BIN2HEX(L462, 2))</f>
        <v/>
      </c>
      <c r="M461" s="166" t="str">
        <f aca="false" ca="false" dt2D="false" dtr="false" t="normal">IF(J412="", "", IF(LEN(M462)&gt;2, MID(M462, 2, 2), M462))</f>
        <v/>
      </c>
      <c r="N461" s="63" t="s">
        <v>181</v>
      </c>
      <c r="P461" s="136" t="n">
        <f aca="false" ca="false" dt2D="false" dtr="false" t="normal">MID(H457, 5, 1)</f>
        <v>0</v>
      </c>
      <c r="Q461" s="137" t="n">
        <f aca="false" ca="false" dt2D="false" dtr="false" t="normal">P461</f>
        <v>0</v>
      </c>
      <c r="R461" s="120" t="s">
        <v>200</v>
      </c>
      <c r="S461" s="139" t="s">
        <v>1837</v>
      </c>
      <c r="T461" s="136" t="n">
        <f aca="false" ca="false" dt2D="false" dtr="false" t="normal">MID(I457, 5, 1)</f>
        <v>0</v>
      </c>
      <c r="U461" s="137" t="n">
        <f aca="false" ca="false" dt2D="false" dtr="false" t="normal">T461</f>
        <v>0</v>
      </c>
      <c r="V461" s="120" t="s">
        <v>200</v>
      </c>
      <c r="W461" s="139" t="s">
        <v>1838</v>
      </c>
      <c r="X461" s="136" t="n">
        <f aca="false" ca="false" dt2D="false" dtr="false" t="normal">MID(J457, 5, 1)</f>
        <v>0</v>
      </c>
      <c r="Y461" s="137" t="n">
        <f aca="false" ca="false" dt2D="false" dtr="false" t="normal">X461</f>
        <v>0</v>
      </c>
      <c r="Z461" s="120" t="s">
        <v>200</v>
      </c>
      <c r="AA461" s="1194" t="s">
        <v>1839</v>
      </c>
      <c r="AB461" s="136" t="n">
        <f aca="false" ca="false" dt2D="false" dtr="false" t="normal">MID(K457, 5, 1)</f>
        <v>0</v>
      </c>
      <c r="AC461" s="137" t="n">
        <f aca="false" ca="false" dt2D="false" dtr="false" t="normal">AB461</f>
        <v>0</v>
      </c>
      <c r="AD461" s="120" t="s">
        <v>200</v>
      </c>
      <c r="AE461" s="139" t="s">
        <v>1840</v>
      </c>
      <c r="AF461" s="136" t="n">
        <f aca="false" ca="false" dt2D="false" dtr="false" t="normal">MID(L457, 5, 1)</f>
        <v>0</v>
      </c>
      <c r="AG461" s="137" t="n">
        <f aca="false" ca="false" dt2D="false" dtr="false" t="normal">AF461</f>
        <v>0</v>
      </c>
      <c r="AH461" s="120" t="s">
        <v>200</v>
      </c>
      <c r="AI461" s="139" t="s">
        <v>1841</v>
      </c>
      <c r="AJ461" s="4846" t="s"/>
      <c r="AK461" s="4847" t="s"/>
      <c r="AL461" s="4848" t="s"/>
    </row>
    <row hidden="false" ht="15" outlineLevel="0" r="462">
      <c r="C462" s="98" t="s">
        <v>185</v>
      </c>
      <c r="D462" s="53" t="n">
        <f aca="false" ca="false" dt2D="false" dtr="false" t="normal">HEX2BIN(D461, 8)</f>
        <v>0</v>
      </c>
      <c r="E462" s="53" t="n">
        <f aca="false" ca="false" dt2D="false" dtr="false" t="normal">HEX2BIN(E461, 8)</f>
        <v>0</v>
      </c>
      <c r="F462" s="53" t="n">
        <f aca="false" ca="false" dt2D="false" dtr="false" t="normal">HEX2BIN(F461, 8)</f>
        <v>0</v>
      </c>
      <c r="G462" s="53" t="n">
        <f aca="false" ca="false" dt2D="false" dtr="false" t="normal">HEX2BIN(G461, 8)</f>
        <v>0</v>
      </c>
      <c r="H462" s="171" t="n">
        <f aca="false" ca="false" dt2D="false" dtr="false" t="normal">Q457&amp;Q458&amp;Q459&amp;Q460&amp;Q461&amp;Q462&amp;Q463&amp;Q464</f>
        <v>0</v>
      </c>
      <c r="I462" s="53" t="n">
        <f aca="false" ca="false" dt2D="false" dtr="false" t="normal">U457&amp;U458&amp;U459&amp;U460&amp;U461&amp;U462&amp;U463&amp;U464</f>
        <v>0</v>
      </c>
      <c r="J462" s="171" t="n">
        <f aca="false" ca="false" dt2D="false" dtr="false" t="normal">Y457&amp;Y458&amp;Y459&amp;Y460&amp;Y461&amp;Y462&amp;Y463&amp;Y464</f>
        <v>0</v>
      </c>
      <c r="K462" s="171" t="n">
        <f aca="false" ca="false" dt2D="false" dtr="false" t="normal">AC457&amp;AC458&amp;AC459&amp;AC460&amp;AC461&amp;AC462&amp;AC463&amp;AC464</f>
        <v>0</v>
      </c>
      <c r="L462" s="53" t="n">
        <f aca="false" ca="false" dt2D="false" dtr="false" t="normal">AG457&amp;AG458&amp;AG459&amp;AG460&amp;AG461&amp;AG462&amp;AG463&amp;AG464</f>
        <v>0</v>
      </c>
      <c r="M462" s="53" t="n">
        <f aca="false" ca="false" dt2D="false" dtr="false" t="normal">DEC2HEX(M463)</f>
        <v>0</v>
      </c>
      <c r="N462" s="63" t="n"/>
      <c r="P462" s="136" t="n">
        <f aca="false" ca="false" dt2D="false" dtr="false" t="normal">MID(H457, 6, 1)</f>
        <v>0</v>
      </c>
      <c r="Q462" s="137" t="n">
        <f aca="false" ca="false" dt2D="false" dtr="false" t="normal">P462</f>
        <v>0</v>
      </c>
      <c r="R462" s="120" t="s">
        <v>203</v>
      </c>
      <c r="S462" s="139" t="s">
        <v>1842</v>
      </c>
      <c r="T462" s="136" t="n">
        <f aca="false" ca="false" dt2D="false" dtr="false" t="normal">MID(I457, 6, 1)</f>
        <v>0</v>
      </c>
      <c r="U462" s="137" t="n">
        <f aca="false" ca="false" dt2D="false" dtr="false" t="normal">T462</f>
        <v>0</v>
      </c>
      <c r="V462" s="120" t="s">
        <v>203</v>
      </c>
      <c r="W462" s="1194" t="s">
        <v>1843</v>
      </c>
      <c r="X462" s="136" t="n">
        <f aca="false" ca="false" dt2D="false" dtr="false" t="normal">MID(J457, 6, 1)</f>
        <v>0</v>
      </c>
      <c r="Y462" s="137" t="n">
        <f aca="false" ca="false" dt2D="false" dtr="false" t="normal">X462</f>
        <v>0</v>
      </c>
      <c r="Z462" s="120" t="s">
        <v>203</v>
      </c>
      <c r="AA462" s="139" t="s">
        <v>1844</v>
      </c>
      <c r="AB462" s="136" t="n">
        <f aca="false" ca="false" dt2D="false" dtr="false" t="normal">MID(K457, 6, 1)</f>
        <v>0</v>
      </c>
      <c r="AC462" s="137" t="n">
        <f aca="false" ca="false" dt2D="false" dtr="false" t="normal">AB462</f>
        <v>0</v>
      </c>
      <c r="AD462" s="120" t="s">
        <v>203</v>
      </c>
      <c r="AE462" s="139" t="s">
        <v>1845</v>
      </c>
      <c r="AF462" s="136" t="n">
        <f aca="false" ca="false" dt2D="false" dtr="false" t="normal">MID(L457, 6, 1)</f>
        <v>0</v>
      </c>
      <c r="AG462" s="137" t="n">
        <f aca="false" ca="false" dt2D="false" dtr="false" t="normal">AF462</f>
        <v>0</v>
      </c>
      <c r="AH462" s="120" t="s">
        <v>203</v>
      </c>
      <c r="AI462" s="139" t="s">
        <v>1846</v>
      </c>
      <c r="AJ462" s="4849" t="s"/>
      <c r="AK462" s="4850" t="s"/>
      <c r="AL462" s="4851" t="s"/>
    </row>
    <row hidden="false" ht="15" outlineLevel="0" r="463">
      <c r="C463" s="98" t="s">
        <v>191</v>
      </c>
      <c r="D463" s="53" t="n">
        <f aca="false" ca="false" dt2D="false" dtr="false" t="normal">HEX2DEC(D461)</f>
        <v>0</v>
      </c>
      <c r="E463" s="53" t="n">
        <f aca="false" ca="false" dt2D="false" dtr="false" t="normal">HEX2DEC(E461)</f>
        <v>0</v>
      </c>
      <c r="F463" s="53" t="n">
        <f aca="false" ca="false" dt2D="false" dtr="false" t="normal">HEX2DEC(F461)</f>
        <v>0</v>
      </c>
      <c r="G463" s="53" t="n">
        <f aca="false" ca="false" dt2D="false" dtr="false" t="normal">HEX2DEC(G461)</f>
        <v>0</v>
      </c>
      <c r="H463" s="53" t="n">
        <f aca="false" ca="false" dt2D="false" dtr="false" t="normal">HEX2DEC(H461)</f>
        <v>0</v>
      </c>
      <c r="I463" s="53" t="n">
        <f aca="false" ca="false" dt2D="false" dtr="false" t="normal">HEX2DEC(I461)</f>
        <v>0</v>
      </c>
      <c r="J463" s="53" t="n">
        <f aca="false" ca="false" dt2D="false" dtr="false" t="normal">HEX2DEC(J461)</f>
        <v>0</v>
      </c>
      <c r="K463" s="53" t="n">
        <f aca="false" ca="false" dt2D="false" dtr="false" t="normal">HEX2DEC(K461)</f>
        <v>0</v>
      </c>
      <c r="L463" s="53" t="n">
        <f aca="false" ca="false" dt2D="false" dtr="false" t="normal">HEX2DEC(L461)</f>
        <v>0</v>
      </c>
      <c r="M463" s="53" t="n">
        <f aca="false" ca="false" dt2D="false" dtr="false" t="normal">SUM(D463:L463)</f>
        <v>0</v>
      </c>
      <c r="N463" s="63" t="n"/>
      <c r="P463" s="136" t="n">
        <f aca="false" ca="false" dt2D="false" dtr="false" t="normal">MID(H457, 7, 1)</f>
        <v>0</v>
      </c>
      <c r="Q463" s="137" t="n">
        <f aca="false" ca="false" dt2D="false" dtr="false" t="normal">P463</f>
        <v>0</v>
      </c>
      <c r="R463" s="120" t="s">
        <v>206</v>
      </c>
      <c r="S463" s="139" t="s">
        <v>1847</v>
      </c>
      <c r="T463" s="136" t="n">
        <f aca="false" ca="false" dt2D="false" dtr="false" t="normal">MID(I457, 7, 1)</f>
        <v>0</v>
      </c>
      <c r="U463" s="137" t="n">
        <f aca="false" ca="false" dt2D="false" dtr="false" t="normal">T463</f>
        <v>0</v>
      </c>
      <c r="V463" s="120" t="s">
        <v>206</v>
      </c>
      <c r="W463" s="139" t="s">
        <v>1848</v>
      </c>
      <c r="X463" s="136" t="n">
        <f aca="false" ca="false" dt2D="false" dtr="false" t="normal">MID(J457, 7, 1)</f>
        <v>0</v>
      </c>
      <c r="Y463" s="137" t="n">
        <f aca="false" ca="false" dt2D="false" dtr="false" t="normal">X463</f>
        <v>0</v>
      </c>
      <c r="Z463" s="120" t="s">
        <v>206</v>
      </c>
      <c r="AA463" s="139" t="s">
        <v>1849</v>
      </c>
      <c r="AB463" s="136" t="n">
        <f aca="false" ca="false" dt2D="false" dtr="false" t="normal">MID(K457, 7, 1)</f>
        <v>0</v>
      </c>
      <c r="AC463" s="137" t="n">
        <f aca="false" ca="false" dt2D="false" dtr="false" t="normal">AB463</f>
        <v>0</v>
      </c>
      <c r="AD463" s="120" t="s">
        <v>206</v>
      </c>
      <c r="AE463" s="139" t="s">
        <v>1850</v>
      </c>
      <c r="AF463" s="136" t="n">
        <f aca="false" ca="false" dt2D="false" dtr="false" t="normal">MID(L457, 7, 1)</f>
        <v>0</v>
      </c>
      <c r="AG463" s="137" t="n">
        <f aca="false" ca="false" dt2D="false" dtr="false" t="normal">AF463</f>
        <v>0</v>
      </c>
      <c r="AH463" s="120" t="s">
        <v>206</v>
      </c>
      <c r="AI463" s="139" t="s">
        <v>1851</v>
      </c>
      <c r="AJ463" s="4852" t="s"/>
      <c r="AK463" s="4853" t="s"/>
      <c r="AL463" s="4854" t="s"/>
    </row>
    <row hidden="false" ht="15.75" outlineLevel="0" r="464">
      <c r="C464" s="180" t="s">
        <v>194</v>
      </c>
      <c r="D464" s="299" t="str">
        <f aca="false" ca="false" dt2D="false" dtr="false" t="normal">D459</f>
        <v/>
      </c>
      <c r="E464" s="299" t="str">
        <f aca="false" ca="false" dt2D="false" dtr="false" t="normal">E459</f>
        <v/>
      </c>
      <c r="F464" s="299" t="str">
        <f aca="false" ca="false" dt2D="false" dtr="false" t="normal">F459</f>
        <v/>
      </c>
      <c r="G464" s="299" t="str">
        <f aca="false" ca="false" dt2D="false" dtr="false" t="normal">G459</f>
        <v/>
      </c>
      <c r="H464" s="45" t="n"/>
      <c r="I464" s="45" t="n"/>
      <c r="J464" s="45" t="n"/>
      <c r="K464" s="45" t="n"/>
      <c r="L464" s="45" t="n"/>
      <c r="M464" s="45" t="n"/>
      <c r="N464" s="49" t="n"/>
      <c r="P464" s="182" t="n">
        <f aca="false" ca="false" dt2D="false" dtr="false" t="normal">MID(H457, 8, 1)</f>
        <v>0</v>
      </c>
      <c r="Q464" s="183" t="n">
        <f aca="false" ca="false" dt2D="false" dtr="false" t="normal">P464</f>
        <v>0</v>
      </c>
      <c r="R464" s="184" t="s">
        <v>208</v>
      </c>
      <c r="S464" s="187" t="s">
        <v>1852</v>
      </c>
      <c r="T464" s="182" t="n">
        <f aca="false" ca="false" dt2D="false" dtr="false" t="normal">MID(I457, 8, 1)</f>
        <v>0</v>
      </c>
      <c r="U464" s="183" t="n">
        <f aca="false" ca="false" dt2D="false" dtr="false" t="normal">T464</f>
        <v>0</v>
      </c>
      <c r="V464" s="184" t="s">
        <v>208</v>
      </c>
      <c r="W464" s="1219" t="s">
        <v>1839</v>
      </c>
      <c r="X464" s="182" t="n">
        <f aca="false" ca="false" dt2D="false" dtr="false" t="normal">MID(J457, 8, 1)</f>
        <v>0</v>
      </c>
      <c r="Y464" s="183" t="n">
        <f aca="false" ca="false" dt2D="false" dtr="false" t="normal">X464</f>
        <v>0</v>
      </c>
      <c r="Z464" s="184" t="s">
        <v>208</v>
      </c>
      <c r="AA464" s="187" t="s">
        <v>1853</v>
      </c>
      <c r="AB464" s="182" t="n">
        <f aca="false" ca="false" dt2D="false" dtr="false" t="normal">MID(K457, 8, 1)</f>
        <v>0</v>
      </c>
      <c r="AC464" s="183" t="n">
        <f aca="false" ca="false" dt2D="false" dtr="false" t="normal">AB464</f>
        <v>0</v>
      </c>
      <c r="AD464" s="184" t="s">
        <v>208</v>
      </c>
      <c r="AE464" s="187" t="s">
        <v>1854</v>
      </c>
      <c r="AF464" s="182" t="n">
        <f aca="false" ca="false" dt2D="false" dtr="false" t="normal">MID(L457, 8, 1)</f>
        <v>0</v>
      </c>
      <c r="AG464" s="183" t="n">
        <f aca="false" ca="false" dt2D="false" dtr="false" t="normal">AF464</f>
        <v>0</v>
      </c>
      <c r="AH464" s="184" t="s">
        <v>208</v>
      </c>
      <c r="AI464" s="187" t="s">
        <v>1855</v>
      </c>
      <c r="AJ464" s="4855" t="s"/>
      <c r="AK464" s="4856" t="s"/>
      <c r="AL464" s="4857" t="s"/>
    </row>
    <row hidden="false" ht="15.75" outlineLevel="0" r="465">
      <c r="C465" s="93" t="n"/>
      <c r="D465" s="94" t="n"/>
      <c r="E465" s="94" t="n"/>
      <c r="F465" s="94" t="n"/>
      <c r="G465" s="94" t="n"/>
      <c r="H465" s="94" t="n"/>
      <c r="I465" s="94" t="n"/>
      <c r="J465" s="94" t="n"/>
      <c r="K465" s="94" t="n"/>
      <c r="L465" s="94" t="n"/>
      <c r="M465" s="94" t="s">
        <v>161</v>
      </c>
      <c r="N465" s="60" t="n"/>
      <c r="P465" s="95" t="str">
        <f aca="false" ca="false" dt2D="false" dtr="false" t="normal">RIGHT(D467, 1)&amp;E467&amp;"-"&amp;F467&amp;"-"&amp;G467</f>
        <v>--</v>
      </c>
      <c r="Q465" s="4858" t="s"/>
      <c r="R465" s="234" t="s">
        <v>1856</v>
      </c>
      <c r="S465" s="4859" t="s"/>
      <c r="T465" s="4860" t="s"/>
      <c r="U465" s="4861" t="s"/>
      <c r="V465" s="4862" t="s"/>
      <c r="W465" s="4863" t="s"/>
      <c r="X465" s="4864" t="s"/>
      <c r="Y465" s="4865" t="s"/>
      <c r="Z465" s="4866" t="s"/>
      <c r="AA465" s="4867" t="s"/>
      <c r="AB465" s="4868" t="s"/>
      <c r="AC465" s="4869" t="s"/>
      <c r="AD465" s="4870" t="s"/>
      <c r="AE465" s="4871" t="s"/>
      <c r="AF465" s="4872" t="s"/>
      <c r="AG465" s="4873" t="s"/>
      <c r="AH465" s="4874" t="s"/>
      <c r="AI465" s="4875" t="s"/>
      <c r="AJ465" s="4876" t="s"/>
      <c r="AK465" s="4877" t="s"/>
      <c r="AL465" s="4878" t="s"/>
    </row>
    <row hidden="false" ht="15.75" outlineLevel="0" r="466">
      <c r="C466" s="98" t="n"/>
      <c r="D466" s="99" t="s">
        <v>1857</v>
      </c>
      <c r="E466" s="4879" t="s"/>
      <c r="F466" s="4880" t="s"/>
      <c r="G466" s="4881" t="s"/>
      <c r="H466" s="53" t="s">
        <v>165</v>
      </c>
      <c r="I466" s="53" t="s">
        <v>166</v>
      </c>
      <c r="J466" s="53" t="s">
        <v>167</v>
      </c>
      <c r="K466" s="53" t="s">
        <v>168</v>
      </c>
      <c r="L466" s="53" t="s">
        <v>169</v>
      </c>
      <c r="M466" s="53" t="s">
        <v>221</v>
      </c>
      <c r="N466" s="63" t="n"/>
      <c r="P466" s="103" t="s">
        <v>1858</v>
      </c>
      <c r="Q466" s="4882" t="s"/>
      <c r="R466" s="4883" t="s"/>
      <c r="S466" s="4884" t="s"/>
      <c r="T466" s="103" t="s">
        <v>1859</v>
      </c>
      <c r="U466" s="4885" t="s"/>
      <c r="V466" s="4886" t="s"/>
      <c r="W466" s="4887" t="s"/>
      <c r="X466" s="103" t="s">
        <v>1860</v>
      </c>
      <c r="Y466" s="4888" t="s"/>
      <c r="Z466" s="4889" t="s"/>
      <c r="AA466" s="4890" t="s"/>
      <c r="AB466" s="103" t="s">
        <v>1861</v>
      </c>
      <c r="AC466" s="4891" t="s"/>
      <c r="AD466" s="4892" t="s"/>
      <c r="AE466" s="4893" t="s"/>
      <c r="AF466" s="103" t="s">
        <v>1862</v>
      </c>
      <c r="AG466" s="4894" t="s"/>
      <c r="AH466" s="4895" t="s"/>
      <c r="AI466" s="4896" t="s"/>
      <c r="AJ466" s="103" t="s">
        <v>1863</v>
      </c>
      <c r="AK466" s="4897" t="s"/>
      <c r="AL466" s="4898" t="s"/>
    </row>
    <row hidden="false" ht="15.75" outlineLevel="0" r="467">
      <c r="C467" s="98" t="s">
        <v>176</v>
      </c>
      <c r="D467" s="122" t="str">
        <f aca="false" ca="false" dt2D="false" dtr="false" t="normal">IF(J412="", "", 7)</f>
        <v/>
      </c>
      <c r="E467" s="123" t="str">
        <f aca="false" ca="false" dt2D="false" dtr="false" t="normal">IF(J412="", "", 20)</f>
        <v/>
      </c>
      <c r="F467" s="123" t="str">
        <f aca="false" ca="false" dt2D="false" dtr="false" t="normal">IF(J412="", "", 4)</f>
        <v/>
      </c>
      <c r="G467" s="124" t="str">
        <f aca="false" ca="false" dt2D="false" dtr="false" t="normal">IF(J412="", "", 33)</f>
        <v/>
      </c>
      <c r="H467" s="1819" t="str">
        <f aca="false" ca="false" dt2D="false" dtr="false" ref="H467:H467" t="array">_XLFN.IFNA(MID(INDEX($A$3:$A$70, IF(ISNA(MATCH("720G4I1*", $A$3:$A$70, 0))=TRUE, MATCH("7200433*", $A$3:$A$70, 0), MATCH("720G4I1*", $A$3:$A$70, 0))), $AU$8, 2), "")</f>
        <v/>
      </c>
      <c r="I467" s="1820" t="str">
        <f aca="false" ca="false" dt2D="false" dtr="false" ref="I467:I467" t="array">_XLFN.IFNA(MID(INDEX($A$3:$A$70, IF(ISNA(MATCH("720G4I1*", $A$3:$A$70, 0))=TRUE, MATCH("7200433*", $A$3:$A$70, 0), MATCH("720G4I1*", $A$3:$A$70, 0))), $AV$8, 2), "")</f>
        <v/>
      </c>
      <c r="J467" s="164" t="str">
        <f aca="false" ca="false" dt2D="false" dtr="false" ref="J467:J467" t="array">_XLFN.IFNA(MID(INDEX($A$3:$A$70, IF(ISNA(MATCH("720G4I1*", $A$3:$A$70, 0))=TRUE, MATCH("7200433*", $A$3:$A$70, 0), MATCH("720G4I1*", $A$3:$A$70, 0))), $AW$8, 2), "")</f>
        <v/>
      </c>
      <c r="K467" s="1820" t="str">
        <f aca="false" ca="false" dt2D="false" dtr="false" ref="K467:K467" t="array">_XLFN.IFNA(MID(INDEX($A$3:$A$70, IF(ISNA(MATCH("720G4I1*", $A$3:$A$70, 0))=TRUE, MATCH("7200433*", $A$3:$A$70, 0), MATCH("720G4I1*", $A$3:$A$70, 0))), $AX$8, 2), "")</f>
        <v/>
      </c>
      <c r="L467" s="1821" t="str">
        <f aca="false" ca="false" dt2D="false" dtr="false" ref="L467:L467" t="array">_XLFN.IFNA(MID(INDEX($A$3:$A$70, IF(ISNA(MATCH("720G4I1*", $A$3:$A$70, 0))=TRUE, MATCH("7200433*", $A$3:$A$70, 0), MATCH("720G4I1*", $A$3:$A$70, 0))), $AY$8, 2), "")</f>
        <v/>
      </c>
      <c r="M467" s="218" t="str">
        <f aca="false" ca="false" dt2D="false" dtr="false" ref="M467:M467" t="array">_XLFN.IFNA(MID(INDEX($A$3:$A$70, IF(ISNA(MATCH("720G4I1*", $A$3:$A$70, 0))=TRUE, MATCH("7200433*", $A$3:$A$70, 0), MATCH("720G4I1*", $A$3:$A$70, 0))), $AZ$8, 2), "")</f>
        <v/>
      </c>
      <c r="N467" s="63" t="s">
        <v>180</v>
      </c>
      <c r="P467" s="116" t="n"/>
      <c r="Q467" s="4899" t="s"/>
      <c r="R467" s="4900" t="s"/>
      <c r="S467" s="4901" t="s"/>
      <c r="T467" s="116" t="n"/>
      <c r="U467" s="4902" t="s"/>
      <c r="V467" s="4903" t="s"/>
      <c r="W467" s="4904" t="s"/>
      <c r="X467" s="129" t="s">
        <v>180</v>
      </c>
      <c r="Y467" s="130" t="s">
        <v>181</v>
      </c>
      <c r="Z467" s="121" t="s">
        <v>182</v>
      </c>
      <c r="AA467" s="131" t="n"/>
      <c r="AB467" s="129" t="s">
        <v>180</v>
      </c>
      <c r="AC467" s="130" t="s">
        <v>181</v>
      </c>
      <c r="AD467" s="121" t="s">
        <v>182</v>
      </c>
      <c r="AE467" s="131" t="n"/>
      <c r="AF467" s="129" t="s">
        <v>180</v>
      </c>
      <c r="AG467" s="130" t="s">
        <v>181</v>
      </c>
      <c r="AH467" s="121" t="s">
        <v>182</v>
      </c>
      <c r="AI467" s="121" t="n"/>
      <c r="AJ467" s="116" t="s">
        <v>183</v>
      </c>
      <c r="AK467" s="4905" t="s"/>
      <c r="AL467" s="4906" t="s"/>
    </row>
    <row hidden="false" ht="15" outlineLevel="0" r="468">
      <c r="C468" s="98" t="s">
        <v>185</v>
      </c>
      <c r="D468" s="53" t="n">
        <f aca="false" ca="false" dt2D="false" dtr="false" t="normal">HEX2BIN(D467, 8)</f>
        <v>0</v>
      </c>
      <c r="E468" s="53" t="n">
        <f aca="false" ca="false" dt2D="false" dtr="false" t="normal">HEX2BIN(E467, 8)</f>
        <v>0</v>
      </c>
      <c r="F468" s="53" t="n">
        <f aca="false" ca="false" dt2D="false" dtr="false" t="normal">HEX2BIN(F467, 8)</f>
        <v>0</v>
      </c>
      <c r="G468" s="53" t="n">
        <f aca="false" ca="false" dt2D="false" dtr="false" t="normal">HEX2BIN(G467, 8)</f>
        <v>0</v>
      </c>
      <c r="H468" s="53" t="n">
        <f aca="false" ca="false" dt2D="false" dtr="false" t="normal">HEX2BIN(H467, 8)</f>
        <v>0</v>
      </c>
      <c r="I468" s="53" t="n">
        <f aca="false" ca="false" dt2D="false" dtr="false" t="normal">HEX2BIN(I467, 8)</f>
        <v>0</v>
      </c>
      <c r="J468" s="53" t="n">
        <f aca="false" ca="false" dt2D="false" dtr="false" t="normal">HEX2BIN(J467, 8)</f>
        <v>0</v>
      </c>
      <c r="K468" s="53" t="n">
        <f aca="false" ca="false" dt2D="false" dtr="false" t="normal">HEX2BIN(K467, 8)</f>
        <v>0</v>
      </c>
      <c r="L468" s="53" t="n">
        <f aca="false" ca="false" dt2D="false" dtr="false" t="normal">HEX2BIN(L467, 8)</f>
        <v>0</v>
      </c>
      <c r="N468" s="63" t="n"/>
      <c r="P468" s="4907" t="s"/>
      <c r="Q468" s="142" t="s"/>
      <c r="R468" s="142" t="s"/>
      <c r="S468" s="4908" t="s"/>
      <c r="T468" s="4909" t="s"/>
      <c r="U468" s="142" t="s"/>
      <c r="V468" s="142" t="s"/>
      <c r="W468" s="4910" t="s"/>
      <c r="X468" s="136" t="n">
        <f aca="false" ca="false" dt2D="false" dtr="false" t="normal">MID(J468, 1, 1)</f>
        <v>0</v>
      </c>
      <c r="Y468" s="137" t="n">
        <f aca="false" ca="false" dt2D="false" dtr="false" t="normal">X468</f>
        <v>0</v>
      </c>
      <c r="Z468" s="120" t="s">
        <v>186</v>
      </c>
      <c r="AA468" s="139" t="s">
        <v>1864</v>
      </c>
      <c r="AB468" s="136" t="n">
        <f aca="false" ca="false" dt2D="false" dtr="false" t="normal">MID(K468, 1, 1)</f>
        <v>0</v>
      </c>
      <c r="AC468" s="137" t="n">
        <f aca="false" ca="false" dt2D="false" dtr="false" t="normal">AB468</f>
        <v>0</v>
      </c>
      <c r="AD468" s="120" t="s">
        <v>186</v>
      </c>
      <c r="AE468" s="1194" t="s">
        <v>1865</v>
      </c>
      <c r="AF468" s="136" t="n">
        <f aca="false" ca="false" dt2D="false" dtr="false" t="normal">MID(L468, 1, 1)</f>
        <v>0</v>
      </c>
      <c r="AG468" s="137" t="n">
        <f aca="false" ca="false" dt2D="false" dtr="false" t="normal">AF468</f>
        <v>0</v>
      </c>
      <c r="AH468" s="120" t="s">
        <v>186</v>
      </c>
      <c r="AI468" s="131" t="s">
        <v>196</v>
      </c>
      <c r="AJ468" s="4911" t="s"/>
      <c r="AK468" s="4912" t="s"/>
      <c r="AL468" s="4913" t="s"/>
    </row>
    <row customHeight="true" hidden="false" ht="15" outlineLevel="0" r="469">
      <c r="C469" s="98" t="s">
        <v>191</v>
      </c>
      <c r="D469" s="53" t="n">
        <f aca="false" ca="false" dt2D="false" dtr="false" t="normal">HEX2DEC(D467)</f>
        <v>0</v>
      </c>
      <c r="E469" s="53" t="n">
        <f aca="false" ca="false" dt2D="false" dtr="false" t="normal">HEX2DEC(E467)</f>
        <v>0</v>
      </c>
      <c r="F469" s="53" t="n">
        <f aca="false" ca="false" dt2D="false" dtr="false" t="normal">HEX2DEC(F467)</f>
        <v>0</v>
      </c>
      <c r="G469" s="53" t="n">
        <f aca="false" ca="false" dt2D="false" dtr="false" t="normal">HEX2DEC(G467)</f>
        <v>0</v>
      </c>
      <c r="H469" s="53" t="n">
        <f aca="false" ca="false" dt2D="false" dtr="false" t="normal">HEX2DEC(H467)</f>
        <v>0</v>
      </c>
      <c r="I469" s="53" t="n">
        <f aca="false" ca="false" dt2D="false" dtr="false" t="normal">HEX2DEC(I467)</f>
        <v>0</v>
      </c>
      <c r="J469" s="53" t="n">
        <f aca="false" ca="false" dt2D="false" dtr="false" t="normal">HEX2DEC(J467)</f>
        <v>0</v>
      </c>
      <c r="K469" s="53" t="n">
        <f aca="false" ca="false" dt2D="false" dtr="false" t="normal">HEX2DEC(K467)</f>
        <v>0</v>
      </c>
      <c r="L469" s="53" t="n">
        <f aca="false" ca="false" dt2D="false" dtr="false" t="normal">HEX2DEC(L467)</f>
        <v>0</v>
      </c>
      <c r="M469" s="53" t="n">
        <f aca="false" ca="false" dt2D="false" dtr="false" t="normal">SUM(D469:L469)</f>
        <v>0</v>
      </c>
      <c r="N469" s="63" t="n"/>
      <c r="P469" s="4914" t="s"/>
      <c r="Q469" s="142" t="s"/>
      <c r="R469" s="142" t="s"/>
      <c r="S469" s="4915" t="s"/>
      <c r="T469" s="4916" t="s"/>
      <c r="U469" s="142" t="s"/>
      <c r="V469" s="142" t="s"/>
      <c r="W469" s="4917" t="s"/>
      <c r="X469" s="136" t="n">
        <f aca="false" ca="false" dt2D="false" dtr="false" t="normal">MID(J468, 2, 1)</f>
        <v>0</v>
      </c>
      <c r="Y469" s="137" t="n">
        <f aca="false" ca="false" dt2D="false" dtr="false" t="normal">X469</f>
        <v>0</v>
      </c>
      <c r="Z469" s="120" t="s">
        <v>192</v>
      </c>
      <c r="AA469" s="4918" t="s">
        <v>1866</v>
      </c>
      <c r="AB469" s="136" t="n">
        <f aca="false" ca="false" dt2D="false" dtr="false" t="normal">MID(K468, 2, 1)</f>
        <v>0</v>
      </c>
      <c r="AC469" s="137" t="n">
        <f aca="false" ca="false" dt2D="false" dtr="false" t="normal">AB469</f>
        <v>0</v>
      </c>
      <c r="AD469" s="120" t="s">
        <v>192</v>
      </c>
      <c r="AE469" s="1194" t="s">
        <v>1867</v>
      </c>
      <c r="AF469" s="136" t="n">
        <f aca="false" ca="false" dt2D="false" dtr="false" t="normal">MID(L468, 2, 1)</f>
        <v>0</v>
      </c>
      <c r="AG469" s="137" t="n">
        <f aca="false" ca="false" dt2D="false" dtr="false" t="normal">AF469</f>
        <v>0</v>
      </c>
      <c r="AH469" s="120" t="s">
        <v>192</v>
      </c>
      <c r="AI469" s="139" t="s">
        <v>1868</v>
      </c>
      <c r="AJ469" s="4919" t="s"/>
      <c r="AK469" s="4920" t="s"/>
      <c r="AL469" s="4921" t="s"/>
    </row>
    <row hidden="false" ht="15" outlineLevel="0" r="470">
      <c r="C470" s="98" t="s">
        <v>194</v>
      </c>
      <c r="D470" s="149" t="str">
        <f aca="false" ca="false" dt2D="false" dtr="false" t="normal">D467</f>
        <v/>
      </c>
      <c r="E470" s="149" t="str">
        <f aca="false" ca="false" dt2D="false" dtr="false" t="normal">E467</f>
        <v/>
      </c>
      <c r="F470" s="53" t="str">
        <f aca="false" ca="false" dt2D="false" dtr="false" t="normal">_XLFN.IFNA(MID(INDEX($A$3:$A$70, IF(ISNA(MATCH("720G4I1*", $A$3:$A$70, 0))=TRUE, MATCH("7200433*", $A$3:$A$70, 0), MATCH("720G4I1*", $A$3:$A$70, 0))), $AS$8, 2), "")</f>
        <v/>
      </c>
      <c r="G470" s="53" t="str">
        <f aca="false" ca="false" dt2D="false" dtr="false" t="normal">_XLFN.IFNA(MID(INDEX($A$3:$A$70, IF(ISNA(MATCH("720G4I1*", $A$3:$A$70, 0))=TRUE, MATCH("7200433*", $A$3:$A$70, 0), MATCH("720G4I1*", $A$3:$A$70, 0))), $AT$8, 2), "")</f>
        <v/>
      </c>
      <c r="N470" s="63" t="n"/>
      <c r="P470" s="4922" t="s"/>
      <c r="Q470" s="142" t="s"/>
      <c r="R470" s="142" t="s"/>
      <c r="S470" s="4923" t="s"/>
      <c r="T470" s="4924" t="s"/>
      <c r="U470" s="142" t="s"/>
      <c r="V470" s="142" t="s"/>
      <c r="W470" s="4925" t="s"/>
      <c r="X470" s="136" t="n">
        <f aca="false" ca="false" dt2D="false" dtr="false" t="normal">MID(J468, 3, 1)</f>
        <v>0</v>
      </c>
      <c r="Y470" s="137" t="n">
        <f aca="false" ca="false" dt2D="false" dtr="false" t="normal">X470</f>
        <v>0</v>
      </c>
      <c r="Z470" s="120" t="s">
        <v>195</v>
      </c>
      <c r="AA470" s="4926" t="s"/>
      <c r="AB470" s="136" t="n">
        <f aca="false" ca="false" dt2D="false" dtr="false" t="normal">MID(K468, 3, 1)</f>
        <v>0</v>
      </c>
      <c r="AC470" s="137" t="n">
        <f aca="false" ca="false" dt2D="false" dtr="false" t="normal">AB470</f>
        <v>0</v>
      </c>
      <c r="AD470" s="120" t="s">
        <v>195</v>
      </c>
      <c r="AE470" s="1194" t="s">
        <v>1869</v>
      </c>
      <c r="AF470" s="136" t="n">
        <f aca="false" ca="false" dt2D="false" dtr="false" t="normal">MID(L468, 3, 1)</f>
        <v>0</v>
      </c>
      <c r="AG470" s="137" t="n">
        <f aca="false" ca="false" dt2D="false" dtr="false" t="normal">AF470</f>
        <v>0</v>
      </c>
      <c r="AH470" s="120" t="s">
        <v>195</v>
      </c>
      <c r="AI470" s="139" t="s">
        <v>1870</v>
      </c>
      <c r="AJ470" s="4927" t="s"/>
      <c r="AK470" s="4928" t="s"/>
      <c r="AL470" s="4929" t="s"/>
    </row>
    <row hidden="false" ht="15.75" outlineLevel="0" r="471">
      <c r="C471" s="98" t="n"/>
      <c r="N471" s="63" t="n"/>
      <c r="P471" s="4930" t="s"/>
      <c r="Q471" s="142" t="s"/>
      <c r="R471" s="142" t="s"/>
      <c r="S471" s="4931" t="s"/>
      <c r="T471" s="4932" t="s"/>
      <c r="U471" s="142" t="s"/>
      <c r="V471" s="142" t="s"/>
      <c r="W471" s="4933" t="s"/>
      <c r="X471" s="136" t="n">
        <f aca="false" ca="false" dt2D="false" dtr="false" t="normal">MID(J468, 4, 1)</f>
        <v>0</v>
      </c>
      <c r="Y471" s="137" t="n">
        <f aca="false" ca="false" dt2D="false" dtr="false" t="normal">X471</f>
        <v>0</v>
      </c>
      <c r="Z471" s="120" t="s">
        <v>197</v>
      </c>
      <c r="AA471" s="1194" t="s">
        <v>1871</v>
      </c>
      <c r="AB471" s="136" t="n">
        <f aca="false" ca="false" dt2D="false" dtr="false" t="normal">MID(K468, 4, 1)</f>
        <v>0</v>
      </c>
      <c r="AC471" s="137" t="n">
        <f aca="false" ca="false" dt2D="false" dtr="false" t="normal">AB471</f>
        <v>0</v>
      </c>
      <c r="AD471" s="120" t="s">
        <v>197</v>
      </c>
      <c r="AE471" s="1194" t="s">
        <v>1872</v>
      </c>
      <c r="AF471" s="136" t="n">
        <f aca="false" ca="false" dt2D="false" dtr="false" t="normal">MID(L468, 4, 1)</f>
        <v>0</v>
      </c>
      <c r="AG471" s="137" t="n">
        <f aca="false" ca="false" dt2D="false" dtr="false" t="normal">AF471</f>
        <v>0</v>
      </c>
      <c r="AH471" s="120" t="s">
        <v>197</v>
      </c>
      <c r="AI471" s="139" t="s">
        <v>1873</v>
      </c>
      <c r="AJ471" s="4934" t="s"/>
      <c r="AK471" s="4935" t="s"/>
      <c r="AL471" s="4936" t="s"/>
    </row>
    <row hidden="false" ht="15.75" outlineLevel="0" r="472">
      <c r="C472" s="98" t="s">
        <v>176</v>
      </c>
      <c r="D472" s="159" t="str">
        <f aca="false" ca="false" dt2D="false" dtr="false" t="normal">D467</f>
        <v/>
      </c>
      <c r="E472" s="160" t="str">
        <f aca="false" ca="false" dt2D="false" dtr="false" t="normal">E467</f>
        <v/>
      </c>
      <c r="F472" s="160" t="str">
        <f aca="false" ca="false" dt2D="false" dtr="false" t="normal">F467</f>
        <v/>
      </c>
      <c r="G472" s="161" t="str">
        <f aca="false" ca="false" dt2D="false" dtr="false" t="normal">G467</f>
        <v/>
      </c>
      <c r="H472" s="2540" t="str">
        <f aca="false" ca="false" dt2D="false" dtr="false" t="normal">H467</f>
        <v/>
      </c>
      <c r="I472" s="1916" t="str">
        <f aca="false" ca="false" dt2D="false" dtr="false" t="normal">I467</f>
        <v/>
      </c>
      <c r="J472" s="164" t="str">
        <f aca="false" ca="false" dt2D="false" dtr="false" t="normal">IF(J412="", "", BIN2HEX(J473, 2))</f>
        <v/>
      </c>
      <c r="K472" s="165" t="str">
        <f aca="false" ca="false" dt2D="false" dtr="false" t="normal">IF(J412="", "", BIN2HEX(K473, 2))</f>
        <v/>
      </c>
      <c r="L472" s="288" t="str">
        <f aca="false" ca="false" dt2D="false" dtr="false" t="normal">IF(J412="", "", BIN2HEX(L473, 2))</f>
        <v/>
      </c>
      <c r="M472" s="166" t="str">
        <f aca="false" ca="false" dt2D="false" dtr="false" t="normal">IF(J412="", "", IF(LEN(M473)&gt;2, MID(M473, 2, 2), M473))</f>
        <v/>
      </c>
      <c r="N472" s="63" t="s">
        <v>181</v>
      </c>
      <c r="P472" s="4937" t="s"/>
      <c r="Q472" s="142" t="s"/>
      <c r="R472" s="142" t="s"/>
      <c r="S472" s="4938" t="s"/>
      <c r="T472" s="4939" t="s"/>
      <c r="U472" s="142" t="s"/>
      <c r="V472" s="142" t="s"/>
      <c r="W472" s="4940" t="s"/>
      <c r="X472" s="136" t="n">
        <f aca="false" ca="false" dt2D="false" dtr="false" t="normal">MID(J468, 5, 1)</f>
        <v>0</v>
      </c>
      <c r="Y472" s="137" t="n">
        <f aca="false" ca="false" dt2D="false" dtr="false" t="normal">X472</f>
        <v>0</v>
      </c>
      <c r="Z472" s="120" t="s">
        <v>200</v>
      </c>
      <c r="AA472" s="1194" t="s">
        <v>1874</v>
      </c>
      <c r="AB472" s="136" t="n">
        <f aca="false" ca="false" dt2D="false" dtr="false" t="normal">MID(K468, 5, 1)</f>
        <v>0</v>
      </c>
      <c r="AC472" s="137" t="n">
        <f aca="false" ca="false" dt2D="false" dtr="false" t="normal">AB472</f>
        <v>0</v>
      </c>
      <c r="AD472" s="120" t="s">
        <v>200</v>
      </c>
      <c r="AE472" s="131" t="s">
        <v>196</v>
      </c>
      <c r="AF472" s="136" t="n">
        <f aca="false" ca="false" dt2D="false" dtr="false" t="normal">MID(L468, 5, 1)</f>
        <v>0</v>
      </c>
      <c r="AG472" s="137" t="n">
        <f aca="false" ca="false" dt2D="false" dtr="false" t="normal">AF472</f>
        <v>0</v>
      </c>
      <c r="AH472" s="120" t="s">
        <v>200</v>
      </c>
      <c r="AI472" s="139" t="s">
        <v>1875</v>
      </c>
      <c r="AJ472" s="4941" t="s"/>
      <c r="AK472" s="4942" t="s"/>
      <c r="AL472" s="4943" t="s"/>
    </row>
    <row hidden="false" ht="15" outlineLevel="0" r="473">
      <c r="C473" s="98" t="s">
        <v>185</v>
      </c>
      <c r="D473" s="53" t="n">
        <f aca="false" ca="false" dt2D="false" dtr="false" t="normal">HEX2BIN(D472, 8)</f>
        <v>0</v>
      </c>
      <c r="E473" s="53" t="n">
        <f aca="false" ca="false" dt2D="false" dtr="false" t="normal">HEX2BIN(E472, 8)</f>
        <v>0</v>
      </c>
      <c r="F473" s="53" t="n">
        <f aca="false" ca="false" dt2D="false" dtr="false" t="normal">HEX2BIN(F472, 8)</f>
        <v>0</v>
      </c>
      <c r="G473" s="53" t="n">
        <f aca="false" ca="false" dt2D="false" dtr="false" t="normal">HEX2BIN(G472, 8)</f>
        <v>0</v>
      </c>
      <c r="H473" s="171" t="n"/>
      <c r="I473" s="53" t="n"/>
      <c r="J473" s="171" t="n">
        <f aca="false" ca="false" dt2D="false" dtr="false" t="normal">Y468&amp;Y469&amp;Y470&amp;Y471&amp;Y472&amp;Y473&amp;Y474&amp;Y475</f>
        <v>0</v>
      </c>
      <c r="K473" s="171" t="n">
        <f aca="false" ca="false" dt2D="false" dtr="false" t="normal">AC468&amp;AC469&amp;AC470&amp;AC471&amp;AC472&amp;AC473&amp;AC474&amp;AC475</f>
        <v>0</v>
      </c>
      <c r="L473" s="53" t="n">
        <f aca="false" ca="false" dt2D="false" dtr="false" t="normal">AG468&amp;AG469&amp;AG470&amp;AG471&amp;AG472&amp;AG473&amp;AG474&amp;AG475</f>
        <v>0</v>
      </c>
      <c r="M473" s="53" t="n">
        <f aca="false" ca="false" dt2D="false" dtr="false" t="normal">DEC2HEX(M474)</f>
        <v>0</v>
      </c>
      <c r="N473" s="63" t="n"/>
      <c r="P473" s="4944" t="s"/>
      <c r="Q473" s="142" t="s"/>
      <c r="R473" s="142" t="s"/>
      <c r="S473" s="4945" t="s"/>
      <c r="T473" s="4946" t="s"/>
      <c r="U473" s="142" t="s"/>
      <c r="V473" s="142" t="s"/>
      <c r="W473" s="4947" t="s"/>
      <c r="X473" s="136" t="n">
        <f aca="false" ca="false" dt2D="false" dtr="false" t="normal">MID(J468, 6, 1)</f>
        <v>0</v>
      </c>
      <c r="Y473" s="137" t="n">
        <f aca="false" ca="false" dt2D="false" dtr="false" t="normal">X473</f>
        <v>0</v>
      </c>
      <c r="Z473" s="120" t="s">
        <v>203</v>
      </c>
      <c r="AA473" s="139" t="s">
        <v>1876</v>
      </c>
      <c r="AB473" s="136" t="n">
        <f aca="false" ca="false" dt2D="false" dtr="false" t="normal">MID(K468, 6, 1)</f>
        <v>0</v>
      </c>
      <c r="AC473" s="137" t="n">
        <f aca="false" ca="false" dt2D="false" dtr="false" t="normal">AB473</f>
        <v>0</v>
      </c>
      <c r="AD473" s="120" t="s">
        <v>203</v>
      </c>
      <c r="AE473" s="1194" t="s">
        <v>1872</v>
      </c>
      <c r="AF473" s="136" t="n">
        <f aca="false" ca="false" dt2D="false" dtr="false" t="normal">MID(L468, 6, 1)</f>
        <v>0</v>
      </c>
      <c r="AG473" s="137" t="n">
        <f aca="false" ca="false" dt2D="false" dtr="false" t="normal">AF473</f>
        <v>0</v>
      </c>
      <c r="AH473" s="120" t="s">
        <v>203</v>
      </c>
      <c r="AI473" s="139" t="s">
        <v>1877</v>
      </c>
      <c r="AJ473" s="4948" t="s"/>
      <c r="AK473" s="4949" t="s"/>
      <c r="AL473" s="4950" t="s"/>
    </row>
    <row hidden="false" ht="15" outlineLevel="0" r="474">
      <c r="C474" s="98" t="s">
        <v>191</v>
      </c>
      <c r="D474" s="53" t="n">
        <f aca="false" ca="false" dt2D="false" dtr="false" t="normal">HEX2DEC(D472)</f>
        <v>0</v>
      </c>
      <c r="E474" s="53" t="n">
        <f aca="false" ca="false" dt2D="false" dtr="false" t="normal">HEX2DEC(E472)</f>
        <v>0</v>
      </c>
      <c r="F474" s="53" t="n">
        <f aca="false" ca="false" dt2D="false" dtr="false" t="normal">HEX2DEC(F472)</f>
        <v>0</v>
      </c>
      <c r="G474" s="53" t="n">
        <f aca="false" ca="false" dt2D="false" dtr="false" t="normal">HEX2DEC(G472)</f>
        <v>0</v>
      </c>
      <c r="H474" s="53" t="n">
        <f aca="false" ca="false" dt2D="false" dtr="false" t="normal">HEX2DEC(H472)</f>
        <v>0</v>
      </c>
      <c r="I474" s="53" t="n">
        <f aca="false" ca="false" dt2D="false" dtr="false" t="normal">HEX2DEC(I472)</f>
        <v>0</v>
      </c>
      <c r="J474" s="53" t="n">
        <f aca="false" ca="false" dt2D="false" dtr="false" t="normal">HEX2DEC(J472)</f>
        <v>0</v>
      </c>
      <c r="K474" s="53" t="n">
        <f aca="false" ca="false" dt2D="false" dtr="false" t="normal">HEX2DEC(K472)</f>
        <v>0</v>
      </c>
      <c r="L474" s="53" t="n">
        <f aca="false" ca="false" dt2D="false" dtr="false" t="normal">HEX2DEC(L472)</f>
        <v>0</v>
      </c>
      <c r="M474" s="53" t="n">
        <f aca="false" ca="false" dt2D="false" dtr="false" t="normal">SUM(D474:L474)</f>
        <v>0</v>
      </c>
      <c r="N474" s="63" t="n"/>
      <c r="P474" s="4951" t="s"/>
      <c r="Q474" s="142" t="s"/>
      <c r="R474" s="142" t="s"/>
      <c r="S474" s="4952" t="s"/>
      <c r="T474" s="4953" t="s"/>
      <c r="U474" s="142" t="s"/>
      <c r="V474" s="142" t="s"/>
      <c r="W474" s="4954" t="s"/>
      <c r="X474" s="136" t="n">
        <f aca="false" ca="false" dt2D="false" dtr="false" t="normal">MID(J468, 7, 1)</f>
        <v>0</v>
      </c>
      <c r="Y474" s="137" t="n">
        <f aca="false" ca="false" dt2D="false" dtr="false" t="normal">X474</f>
        <v>0</v>
      </c>
      <c r="Z474" s="120" t="s">
        <v>206</v>
      </c>
      <c r="AA474" s="131" t="s">
        <v>196</v>
      </c>
      <c r="AB474" s="136" t="n">
        <f aca="false" ca="false" dt2D="false" dtr="false" t="normal">MID(K468, 7, 1)</f>
        <v>0</v>
      </c>
      <c r="AC474" s="137" t="n">
        <f aca="false" ca="false" dt2D="false" dtr="false" t="normal">AB474</f>
        <v>0</v>
      </c>
      <c r="AD474" s="120" t="s">
        <v>206</v>
      </c>
      <c r="AE474" s="139" t="s">
        <v>1878</v>
      </c>
      <c r="AF474" s="136" t="n">
        <f aca="false" ca="false" dt2D="false" dtr="false" t="normal">MID(L468, 7, 1)</f>
        <v>0</v>
      </c>
      <c r="AG474" s="137" t="n">
        <f aca="false" ca="false" dt2D="false" dtr="false" t="normal">AF474</f>
        <v>0</v>
      </c>
      <c r="AH474" s="120" t="s">
        <v>206</v>
      </c>
      <c r="AI474" s="139" t="s">
        <v>1879</v>
      </c>
      <c r="AJ474" s="4955" t="s"/>
      <c r="AK474" s="4956" t="s"/>
      <c r="AL474" s="4957" t="s"/>
    </row>
    <row hidden="false" ht="15.75" outlineLevel="0" r="475">
      <c r="C475" s="180" t="s">
        <v>194</v>
      </c>
      <c r="D475" s="299" t="str">
        <f aca="false" ca="false" dt2D="false" dtr="false" t="normal">D470</f>
        <v/>
      </c>
      <c r="E475" s="299" t="str">
        <f aca="false" ca="false" dt2D="false" dtr="false" t="normal">E470</f>
        <v/>
      </c>
      <c r="F475" s="299" t="str">
        <f aca="false" ca="false" dt2D="false" dtr="false" t="normal">F470</f>
        <v/>
      </c>
      <c r="G475" s="299" t="str">
        <f aca="false" ca="false" dt2D="false" dtr="false" t="normal">G470</f>
        <v/>
      </c>
      <c r="H475" s="45" t="n"/>
      <c r="I475" s="45" t="n"/>
      <c r="J475" s="45" t="n"/>
      <c r="K475" s="45" t="n"/>
      <c r="L475" s="45" t="n"/>
      <c r="M475" s="45" t="n"/>
      <c r="N475" s="49" t="n"/>
      <c r="P475" s="4958" t="s"/>
      <c r="Q475" s="4959" t="s"/>
      <c r="R475" s="4960" t="s"/>
      <c r="S475" s="4961" t="s"/>
      <c r="T475" s="4962" t="s"/>
      <c r="U475" s="4963" t="s"/>
      <c r="V475" s="4964" t="s"/>
      <c r="W475" s="4965" t="s"/>
      <c r="X475" s="182" t="n">
        <f aca="false" ca="false" dt2D="false" dtr="false" t="normal">MID(J468, 8, 1)</f>
        <v>0</v>
      </c>
      <c r="Y475" s="183" t="n">
        <f aca="false" ca="false" dt2D="false" dtr="false" t="normal">X475</f>
        <v>0</v>
      </c>
      <c r="Z475" s="184" t="s">
        <v>208</v>
      </c>
      <c r="AA475" s="1219" t="s">
        <v>1880</v>
      </c>
      <c r="AB475" s="182" t="n">
        <f aca="false" ca="false" dt2D="false" dtr="false" t="normal">MID(K468, 8, 1)</f>
        <v>0</v>
      </c>
      <c r="AC475" s="183" t="n">
        <f aca="false" ca="false" dt2D="false" dtr="false" t="normal">AB475</f>
        <v>0</v>
      </c>
      <c r="AD475" s="184" t="s">
        <v>208</v>
      </c>
      <c r="AE475" s="185" t="s">
        <v>196</v>
      </c>
      <c r="AF475" s="182" t="n">
        <f aca="false" ca="false" dt2D="false" dtr="false" t="normal">MID(L468, 8, 1)</f>
        <v>0</v>
      </c>
      <c r="AG475" s="183" t="n">
        <f aca="false" ca="false" dt2D="false" dtr="false" t="normal">AF475</f>
        <v>0</v>
      </c>
      <c r="AH475" s="184" t="s">
        <v>208</v>
      </c>
      <c r="AI475" s="187" t="s">
        <v>1881</v>
      </c>
      <c r="AJ475" s="4966" t="s"/>
      <c r="AK475" s="4967" t="s"/>
      <c r="AL475" s="4968" t="s"/>
    </row>
    <row hidden="false" ht="15.75" outlineLevel="0" r="476">
      <c r="C476" s="93" t="n"/>
      <c r="D476" s="94" t="n"/>
      <c r="E476" s="94" t="n"/>
      <c r="F476" s="94" t="n"/>
      <c r="G476" s="94" t="n"/>
      <c r="H476" s="94" t="n"/>
      <c r="I476" s="94" t="n"/>
      <c r="J476" s="94" t="n"/>
      <c r="K476" s="94" t="n"/>
      <c r="L476" s="94" t="n"/>
      <c r="M476" s="94" t="s">
        <v>161</v>
      </c>
      <c r="N476" s="60" t="n"/>
      <c r="P476" s="95" t="str">
        <f aca="false" ca="false" dt2D="false" dtr="false" t="normal">RIGHT(D478, 1)&amp;E478&amp;"-"&amp;F478&amp;"-"&amp;G478</f>
        <v>--</v>
      </c>
      <c r="Q476" s="4969" t="s"/>
      <c r="R476" s="234" t="s">
        <v>1882</v>
      </c>
      <c r="S476" s="4970" t="s"/>
      <c r="T476" s="4971" t="s"/>
      <c r="U476" s="4972" t="s"/>
      <c r="V476" s="4973" t="s"/>
      <c r="W476" s="4974" t="s"/>
      <c r="X476" s="4975" t="s"/>
      <c r="Y476" s="4976" t="s"/>
      <c r="Z476" s="4977" t="s"/>
      <c r="AA476" s="4978" t="s"/>
      <c r="AB476" s="4979" t="s"/>
      <c r="AC476" s="4980" t="s"/>
      <c r="AD476" s="4981" t="s"/>
      <c r="AE476" s="4982" t="s"/>
      <c r="AF476" s="4983" t="s"/>
      <c r="AG476" s="4984" t="s"/>
      <c r="AH476" s="4985" t="s"/>
      <c r="AI476" s="4986" t="s"/>
      <c r="AJ476" s="4987" t="s"/>
      <c r="AK476" s="4988" t="s"/>
      <c r="AL476" s="4989" t="s"/>
    </row>
    <row hidden="false" ht="15.75" outlineLevel="0" r="477">
      <c r="C477" s="98" t="n"/>
      <c r="D477" s="99" t="s">
        <v>1883</v>
      </c>
      <c r="E477" s="4990" t="s"/>
      <c r="F477" s="4991" t="s"/>
      <c r="G477" s="4992" t="s"/>
      <c r="H477" s="53" t="s">
        <v>165</v>
      </c>
      <c r="I477" s="53" t="s">
        <v>166</v>
      </c>
      <c r="J477" s="53" t="s">
        <v>167</v>
      </c>
      <c r="K477" s="53" t="s">
        <v>168</v>
      </c>
      <c r="L477" s="53" t="s">
        <v>169</v>
      </c>
      <c r="M477" s="53" t="s">
        <v>221</v>
      </c>
      <c r="N477" s="63" t="n"/>
      <c r="P477" s="103" t="s">
        <v>1884</v>
      </c>
      <c r="Q477" s="4993" t="s"/>
      <c r="R477" s="4994" t="s"/>
      <c r="S477" s="4995" t="s"/>
      <c r="T477" s="103" t="s">
        <v>1885</v>
      </c>
      <c r="U477" s="4996" t="s"/>
      <c r="V477" s="4997" t="s"/>
      <c r="W477" s="4998" t="s"/>
      <c r="X477" s="103" t="s">
        <v>1886</v>
      </c>
      <c r="Y477" s="4999" t="s"/>
      <c r="Z477" s="5000" t="s"/>
      <c r="AA477" s="5001" t="s"/>
      <c r="AB477" s="103" t="s">
        <v>1887</v>
      </c>
      <c r="AC477" s="5002" t="s"/>
      <c r="AD477" s="5003" t="s"/>
      <c r="AE477" s="5004" t="s"/>
      <c r="AF477" s="103" t="s">
        <v>1888</v>
      </c>
      <c r="AG477" s="5005" t="s"/>
      <c r="AH477" s="5006" t="s"/>
      <c r="AI477" s="5007" t="s"/>
      <c r="AJ477" s="103" t="s">
        <v>1889</v>
      </c>
      <c r="AK477" s="5008" t="s"/>
      <c r="AL477" s="5009" t="s"/>
    </row>
    <row hidden="false" ht="15.75" outlineLevel="0" r="478">
      <c r="C478" s="98" t="s">
        <v>176</v>
      </c>
      <c r="D478" s="122" t="str">
        <f aca="false" ca="false" dt2D="false" dtr="false" t="normal">IF(J412="", "", 7)</f>
        <v/>
      </c>
      <c r="E478" s="123" t="str">
        <f aca="false" ca="false" dt2D="false" dtr="false" t="normal">IF(J412="", "", 20)</f>
        <v/>
      </c>
      <c r="F478" s="123" t="str">
        <f aca="false" ca="false" dt2D="false" dtr="false" t="normal">IF(J412="", "", 4)</f>
        <v/>
      </c>
      <c r="G478" s="124" t="str">
        <f aca="false" ca="false" dt2D="false" dtr="false" t="normal">IF(J412="", "", 34)</f>
        <v/>
      </c>
      <c r="H478" s="1819" t="str">
        <f aca="false" ca="false" dt2D="false" dtr="false" ref="H478:H478" t="array">_XLFN.IFNA(MID(INDEX($A$3:$A$70, IF(ISNA(MATCH("720G4I2*", $A$3:$A$70, 0))=TRUE, MATCH("7200434*", $A$3:$A$70, 0), MATCH("720G4I2*", $A$3:$A$70, 0))), $AU$8, 2), "")</f>
        <v/>
      </c>
      <c r="I478" s="1820" t="str">
        <f aca="false" ca="false" dt2D="false" dtr="false" ref="I478:I478" t="array">_XLFN.IFNA(MID(INDEX($A$3:$A$70, IF(ISNA(MATCH("720G4I2*", $A$3:$A$70, 0))=TRUE, MATCH("7200434*", $A$3:$A$70, 0), MATCH("720G4I2*", $A$3:$A$70, 0))), $AV$8, 2), "")</f>
        <v/>
      </c>
      <c r="J478" s="164" t="str">
        <f aca="false" ca="false" dt2D="false" dtr="false" ref="J478:J478" t="array">_XLFN.IFNA(MID(INDEX($A$3:$A$70, IF(ISNA(MATCH("720G4I2*", $A$3:$A$70, 0))=TRUE, MATCH("7200434*", $A$3:$A$70, 0), MATCH("720G4I2*", $A$3:$A$70, 0))), $AW$8, 2), "")</f>
        <v/>
      </c>
      <c r="K478" s="1820" t="str">
        <f aca="false" ca="false" dt2D="false" dtr="false" ref="K478:K478" t="array">_XLFN.IFNA(MID(INDEX($A$3:$A$70, IF(ISNA(MATCH("720G4I2*", $A$3:$A$70, 0))=TRUE, MATCH("7200434*", $A$3:$A$70, 0), MATCH("720G4I2*", $A$3:$A$70, 0))), $AX$8, 2), "")</f>
        <v/>
      </c>
      <c r="L478" s="1821" t="str">
        <f aca="false" ca="false" dt2D="false" dtr="false" ref="L478:L478" t="array">_XLFN.IFNA(MID(INDEX($A$3:$A$70, IF(ISNA(MATCH("720G4I2*", $A$3:$A$70, 0))=TRUE, MATCH("7200434*", $A$3:$A$70, 0), MATCH("720G4I2*", $A$3:$A$70, 0))), $AY$8, 2), "")</f>
        <v/>
      </c>
      <c r="M478" s="218" t="str">
        <f aca="false" ca="false" dt2D="false" dtr="false" ref="M478:M478" t="array">_XLFN.IFNA(MID(INDEX($A$3:$A$70, IF(ISNA(MATCH("720G4I2*", $A$3:$A$70, 0))=TRUE, MATCH("7200434*", $A$3:$A$70, 0), MATCH("720G4I2*", $A$3:$A$70, 0))), $AZ$8, 2), "")</f>
        <v/>
      </c>
      <c r="N478" s="63" t="s">
        <v>180</v>
      </c>
      <c r="P478" s="129" t="s">
        <v>180</v>
      </c>
      <c r="Q478" s="130" t="s">
        <v>181</v>
      </c>
      <c r="R478" s="121" t="s">
        <v>182</v>
      </c>
      <c r="S478" s="131" t="n"/>
      <c r="T478" s="129" t="s">
        <v>180</v>
      </c>
      <c r="U478" s="130" t="s">
        <v>181</v>
      </c>
      <c r="V478" s="121" t="s">
        <v>182</v>
      </c>
      <c r="W478" s="131" t="n"/>
      <c r="X478" s="129" t="s">
        <v>180</v>
      </c>
      <c r="Y478" s="130" t="s">
        <v>181</v>
      </c>
      <c r="Z478" s="121" t="s">
        <v>182</v>
      </c>
      <c r="AA478" s="131" t="n"/>
      <c r="AB478" s="116" t="n"/>
      <c r="AC478" s="5010" t="s"/>
      <c r="AD478" s="5011" t="s"/>
      <c r="AE478" s="5012" t="s"/>
      <c r="AF478" s="116" t="n"/>
      <c r="AG478" s="5013" t="s"/>
      <c r="AH478" s="5014" t="s"/>
      <c r="AI478" s="5015" t="s"/>
      <c r="AJ478" s="116" t="s">
        <v>183</v>
      </c>
      <c r="AK478" s="5016" t="s"/>
      <c r="AL478" s="5017" t="s"/>
    </row>
    <row hidden="false" ht="15" outlineLevel="0" r="479">
      <c r="C479" s="98" t="s">
        <v>185</v>
      </c>
      <c r="D479" s="53" t="n">
        <f aca="false" ca="false" dt2D="false" dtr="false" t="normal">HEX2BIN(D478, 8)</f>
        <v>0</v>
      </c>
      <c r="E479" s="53" t="n">
        <f aca="false" ca="false" dt2D="false" dtr="false" t="normal">HEX2BIN(E478, 8)</f>
        <v>0</v>
      </c>
      <c r="F479" s="53" t="n">
        <f aca="false" ca="false" dt2D="false" dtr="false" t="normal">HEX2BIN(F478, 8)</f>
        <v>0</v>
      </c>
      <c r="G479" s="53" t="n">
        <f aca="false" ca="false" dt2D="false" dtr="false" t="normal">HEX2BIN(G478, 8)</f>
        <v>0</v>
      </c>
      <c r="H479" s="53" t="n">
        <f aca="false" ca="false" dt2D="false" dtr="false" t="normal">HEX2BIN(H478, 8)</f>
        <v>0</v>
      </c>
      <c r="I479" s="53" t="n">
        <f aca="false" ca="false" dt2D="false" dtr="false" t="normal">HEX2BIN(I478, 8)</f>
        <v>0</v>
      </c>
      <c r="J479" s="53" t="n">
        <f aca="false" ca="false" dt2D="false" dtr="false" t="normal">HEX2BIN(J478, 8)</f>
        <v>0</v>
      </c>
      <c r="K479" s="53" t="n">
        <f aca="false" ca="false" dt2D="false" dtr="false" t="normal">HEX2BIN(K478, 8)</f>
        <v>0</v>
      </c>
      <c r="L479" s="53" t="n">
        <f aca="false" ca="false" dt2D="false" dtr="false" t="normal">HEX2BIN(L478, 8)</f>
        <v>0</v>
      </c>
      <c r="N479" s="63" t="n"/>
      <c r="P479" s="136" t="n">
        <f aca="false" ca="false" dt2D="false" dtr="false" t="normal">MID(H479, 1, 1)</f>
        <v>0</v>
      </c>
      <c r="Q479" s="137" t="n">
        <f aca="false" ca="false" dt2D="false" dtr="false" t="normal">P479</f>
        <v>0</v>
      </c>
      <c r="R479" s="120" t="s">
        <v>186</v>
      </c>
      <c r="S479" s="139" t="s">
        <v>1890</v>
      </c>
      <c r="T479" s="136" t="n">
        <f aca="false" ca="false" dt2D="false" dtr="false" t="normal">MID(I479, 1, 1)</f>
        <v>0</v>
      </c>
      <c r="U479" s="137" t="n">
        <f aca="false" ca="false" dt2D="false" dtr="false" t="normal">T479</f>
        <v>0</v>
      </c>
      <c r="V479" s="120" t="s">
        <v>186</v>
      </c>
      <c r="W479" s="131" t="s">
        <v>196</v>
      </c>
      <c r="X479" s="136" t="n">
        <f aca="false" ca="false" dt2D="false" dtr="false" t="normal">MID(J479, 1, 1)</f>
        <v>0</v>
      </c>
      <c r="Y479" s="137" t="n">
        <f aca="false" ca="false" dt2D="false" dtr="false" t="normal">X479</f>
        <v>0</v>
      </c>
      <c r="Z479" s="120" t="s">
        <v>186</v>
      </c>
      <c r="AA479" s="139" t="s">
        <v>1891</v>
      </c>
      <c r="AB479" s="5018" t="s"/>
      <c r="AC479" s="142" t="s"/>
      <c r="AD479" s="142" t="s"/>
      <c r="AE479" s="5019" t="s"/>
      <c r="AF479" s="5020" t="s"/>
      <c r="AG479" s="142" t="s"/>
      <c r="AH479" s="142" t="s"/>
      <c r="AI479" s="5021" t="s"/>
      <c r="AJ479" s="5022" t="s"/>
      <c r="AK479" s="5023" t="s"/>
      <c r="AL479" s="5024" t="s"/>
    </row>
    <row hidden="false" ht="15" outlineLevel="0" r="480">
      <c r="C480" s="98" t="s">
        <v>191</v>
      </c>
      <c r="D480" s="53" t="n">
        <f aca="false" ca="false" dt2D="false" dtr="false" t="normal">HEX2DEC(D478)</f>
        <v>0</v>
      </c>
      <c r="E480" s="53" t="n">
        <f aca="false" ca="false" dt2D="false" dtr="false" t="normal">HEX2DEC(E478)</f>
        <v>0</v>
      </c>
      <c r="F480" s="53" t="n">
        <f aca="false" ca="false" dt2D="false" dtr="false" t="normal">HEX2DEC(F478)</f>
        <v>0</v>
      </c>
      <c r="G480" s="53" t="n">
        <f aca="false" ca="false" dt2D="false" dtr="false" t="normal">HEX2DEC(G478)</f>
        <v>0</v>
      </c>
      <c r="H480" s="53" t="n">
        <f aca="false" ca="false" dt2D="false" dtr="false" t="normal">HEX2DEC(H478)</f>
        <v>0</v>
      </c>
      <c r="I480" s="53" t="n">
        <f aca="false" ca="false" dt2D="false" dtr="false" t="normal">HEX2DEC(I478)</f>
        <v>0</v>
      </c>
      <c r="J480" s="53" t="n">
        <f aca="false" ca="false" dt2D="false" dtr="false" t="normal">HEX2DEC(J478)</f>
        <v>0</v>
      </c>
      <c r="K480" s="53" t="n">
        <f aca="false" ca="false" dt2D="false" dtr="false" t="normal">HEX2DEC(K478)</f>
        <v>0</v>
      </c>
      <c r="L480" s="53" t="n">
        <f aca="false" ca="false" dt2D="false" dtr="false" t="normal">HEX2DEC(L478)</f>
        <v>0</v>
      </c>
      <c r="M480" s="53" t="n">
        <f aca="false" ca="false" dt2D="false" dtr="false" t="normal">SUM(D480:L480)</f>
        <v>0</v>
      </c>
      <c r="N480" s="63" t="n"/>
      <c r="P480" s="136" t="n">
        <f aca="false" ca="false" dt2D="false" dtr="false" t="normal">MID(H479, 2, 1)</f>
        <v>0</v>
      </c>
      <c r="Q480" s="137" t="n">
        <f aca="false" ca="false" dt2D="false" dtr="false" t="normal">P480</f>
        <v>0</v>
      </c>
      <c r="R480" s="120" t="s">
        <v>192</v>
      </c>
      <c r="S480" s="139" t="s">
        <v>1892</v>
      </c>
      <c r="T480" s="136" t="n">
        <f aca="false" ca="false" dt2D="false" dtr="false" t="normal">MID(I479, 2, 1)</f>
        <v>0</v>
      </c>
      <c r="U480" s="137" t="n">
        <f aca="false" ca="false" dt2D="false" dtr="false" t="normal">T480</f>
        <v>0</v>
      </c>
      <c r="V480" s="120" t="s">
        <v>192</v>
      </c>
      <c r="W480" s="1194" t="s">
        <v>1893</v>
      </c>
      <c r="X480" s="136" t="n">
        <f aca="false" ca="false" dt2D="false" dtr="false" t="normal">MID(J479, 2, 1)</f>
        <v>0</v>
      </c>
      <c r="Y480" s="137" t="n">
        <f aca="false" ca="false" dt2D="false" dtr="false" t="normal">X480</f>
        <v>0</v>
      </c>
      <c r="Z480" s="120" t="s">
        <v>192</v>
      </c>
      <c r="AA480" s="139" t="s">
        <v>1894</v>
      </c>
      <c r="AB480" s="5025" t="s"/>
      <c r="AC480" s="142" t="s"/>
      <c r="AD480" s="142" t="s"/>
      <c r="AE480" s="5026" t="s"/>
      <c r="AF480" s="5027" t="s"/>
      <c r="AG480" s="142" t="s"/>
      <c r="AH480" s="142" t="s"/>
      <c r="AI480" s="5028" t="s"/>
      <c r="AJ480" s="5029" t="s"/>
      <c r="AK480" s="5030" t="s"/>
      <c r="AL480" s="5031" t="s"/>
    </row>
    <row customHeight="true" hidden="false" ht="15" outlineLevel="0" r="481">
      <c r="C481" s="98" t="s">
        <v>194</v>
      </c>
      <c r="D481" s="149" t="str">
        <f aca="false" ca="false" dt2D="false" dtr="false" t="normal">D478</f>
        <v/>
      </c>
      <c r="E481" s="149" t="str">
        <f aca="false" ca="false" dt2D="false" dtr="false" t="normal">E478</f>
        <v/>
      </c>
      <c r="F481" s="53" t="str">
        <f aca="false" ca="false" dt2D="false" dtr="false" t="normal">_XLFN.IFNA(MID(INDEX($A$3:$A$70, IF(ISNA(MATCH("720G4I2*", $A$3:$A$70, 0))=TRUE, MATCH("7200434*", $A$3:$A$70, 0), MATCH("720G4I2*", $A$3:$A$70, 0))), $AS$8, 2), "")</f>
        <v/>
      </c>
      <c r="G481" s="53" t="str">
        <f aca="false" ca="false" dt2D="false" dtr="false" t="normal">_XLFN.IFNA(MID(INDEX($A$3:$A$70, IF(ISNA(MATCH("720G4I2*", $A$3:$A$70, 0))=TRUE, MATCH("7200434*", $A$3:$A$70, 0), MATCH("720G4I2*", $A$3:$A$70, 0))), $AT$8, 2), "")</f>
        <v/>
      </c>
      <c r="N481" s="63" t="n"/>
      <c r="P481" s="136" t="n">
        <f aca="false" ca="false" dt2D="false" dtr="false" t="normal">MID(H479, 3, 1)</f>
        <v>0</v>
      </c>
      <c r="Q481" s="137" t="n">
        <f aca="false" ca="false" dt2D="false" dtr="false" t="normal">P481</f>
        <v>0</v>
      </c>
      <c r="R481" s="120" t="s">
        <v>195</v>
      </c>
      <c r="S481" s="4918" t="s">
        <v>1895</v>
      </c>
      <c r="T481" s="136" t="n">
        <f aca="false" ca="false" dt2D="false" dtr="false" t="normal">MID(I479, 3, 1)</f>
        <v>0</v>
      </c>
      <c r="U481" s="137" t="n">
        <f aca="false" ca="false" dt2D="false" dtr="false" t="normal">T481</f>
        <v>0</v>
      </c>
      <c r="V481" s="120" t="s">
        <v>195</v>
      </c>
      <c r="W481" s="139" t="s">
        <v>1896</v>
      </c>
      <c r="X481" s="136" t="n">
        <f aca="false" ca="false" dt2D="false" dtr="false" t="normal">MID(J479, 3, 1)</f>
        <v>0</v>
      </c>
      <c r="Y481" s="137" t="n">
        <f aca="false" ca="false" dt2D="false" dtr="false" t="normal">X481</f>
        <v>0</v>
      </c>
      <c r="Z481" s="120" t="s">
        <v>195</v>
      </c>
      <c r="AA481" s="139" t="s">
        <v>1897</v>
      </c>
      <c r="AB481" s="5032" t="s"/>
      <c r="AC481" s="142" t="s"/>
      <c r="AD481" s="142" t="s"/>
      <c r="AE481" s="5033" t="s"/>
      <c r="AF481" s="5034" t="s"/>
      <c r="AG481" s="142" t="s"/>
      <c r="AH481" s="142" t="s"/>
      <c r="AI481" s="5035" t="s"/>
      <c r="AJ481" s="5036" t="s"/>
      <c r="AK481" s="5037" t="s"/>
      <c r="AL481" s="5038" t="s"/>
    </row>
    <row hidden="false" ht="15.75" outlineLevel="0" r="482">
      <c r="C482" s="98" t="n"/>
      <c r="N482" s="63" t="n"/>
      <c r="P482" s="136" t="n">
        <f aca="false" ca="false" dt2D="false" dtr="false" t="normal">MID(H479, 4, 1)</f>
        <v>0</v>
      </c>
      <c r="Q482" s="137" t="n">
        <f aca="false" ca="false" dt2D="false" dtr="false" t="normal">P482</f>
        <v>0</v>
      </c>
      <c r="R482" s="120" t="s">
        <v>197</v>
      </c>
      <c r="S482" s="5039" t="s"/>
      <c r="T482" s="136" t="n">
        <f aca="false" ca="false" dt2D="false" dtr="false" t="normal">MID(I479, 4, 1)</f>
        <v>0</v>
      </c>
      <c r="U482" s="137" t="n">
        <f aca="false" ca="false" dt2D="false" dtr="false" t="normal">T482</f>
        <v>0</v>
      </c>
      <c r="V482" s="120" t="s">
        <v>197</v>
      </c>
      <c r="W482" s="139" t="s">
        <v>1898</v>
      </c>
      <c r="X482" s="136" t="n">
        <f aca="false" ca="false" dt2D="false" dtr="false" t="normal">MID(J479, 4, 1)</f>
        <v>0</v>
      </c>
      <c r="Y482" s="137" t="n">
        <f aca="false" ca="false" dt2D="false" dtr="false" t="normal">X482</f>
        <v>0</v>
      </c>
      <c r="Z482" s="120" t="s">
        <v>197</v>
      </c>
      <c r="AA482" s="139" t="s">
        <v>1899</v>
      </c>
      <c r="AB482" s="5040" t="s"/>
      <c r="AC482" s="142" t="s"/>
      <c r="AD482" s="142" t="s"/>
      <c r="AE482" s="5041" t="s"/>
      <c r="AF482" s="5042" t="s"/>
      <c r="AG482" s="142" t="s"/>
      <c r="AH482" s="142" t="s"/>
      <c r="AI482" s="5043" t="s"/>
      <c r="AJ482" s="5044" t="s"/>
      <c r="AK482" s="5045" t="s"/>
      <c r="AL482" s="5046" t="s"/>
    </row>
    <row hidden="false" ht="15.75" outlineLevel="0" r="483">
      <c r="C483" s="98" t="s">
        <v>176</v>
      </c>
      <c r="D483" s="159" t="str">
        <f aca="false" ca="false" dt2D="false" dtr="false" t="normal">D478</f>
        <v/>
      </c>
      <c r="E483" s="160" t="str">
        <f aca="false" ca="false" dt2D="false" dtr="false" t="normal">E478</f>
        <v/>
      </c>
      <c r="F483" s="160" t="str">
        <f aca="false" ca="false" dt2D="false" dtr="false" t="normal">F478</f>
        <v/>
      </c>
      <c r="G483" s="161" t="str">
        <f aca="false" ca="false" dt2D="false" dtr="false" t="normal">G478</f>
        <v/>
      </c>
      <c r="H483" s="162" t="str">
        <f aca="false" ca="false" dt2D="false" dtr="false" t="normal">IF(J412="", "", BIN2HEX(H484, 2))</f>
        <v/>
      </c>
      <c r="I483" s="163" t="str">
        <f aca="false" ca="false" dt2D="false" dtr="false" t="normal">IF(J412="", "", BIN2HEX(I484, 2))</f>
        <v/>
      </c>
      <c r="J483" s="164" t="str">
        <f aca="false" ca="false" dt2D="false" dtr="false" t="normal">IF(J412="", "", BIN2HEX(J484, 2))</f>
        <v/>
      </c>
      <c r="K483" s="1916" t="str">
        <f aca="false" ca="false" dt2D="false" dtr="false" t="normal">K478</f>
        <v/>
      </c>
      <c r="L483" s="1917" t="str">
        <f aca="false" ca="false" dt2D="false" dtr="false" t="normal">L478</f>
        <v/>
      </c>
      <c r="M483" s="166" t="str">
        <f aca="false" ca="false" dt2D="false" dtr="false" t="normal">IF(J412="", "", IF(LEN(M484)&gt;2, MID(M484, 2, 2), M484))</f>
        <v/>
      </c>
      <c r="N483" s="63" t="s">
        <v>181</v>
      </c>
      <c r="P483" s="136" t="n">
        <f aca="false" ca="false" dt2D="false" dtr="false" t="normal">MID(H479, 5, 1)</f>
        <v>0</v>
      </c>
      <c r="Q483" s="137" t="n">
        <f aca="false" ca="false" dt2D="false" dtr="false" t="normal">P483</f>
        <v>0</v>
      </c>
      <c r="R483" s="120" t="s">
        <v>200</v>
      </c>
      <c r="S483" s="139" t="s">
        <v>1900</v>
      </c>
      <c r="T483" s="136" t="n">
        <f aca="false" ca="false" dt2D="false" dtr="false" t="normal">MID(I479, 5, 1)</f>
        <v>0</v>
      </c>
      <c r="U483" s="137" t="n">
        <f aca="false" ca="false" dt2D="false" dtr="false" t="normal">T483</f>
        <v>0</v>
      </c>
      <c r="V483" s="120" t="s">
        <v>200</v>
      </c>
      <c r="W483" s="139" t="s">
        <v>1901</v>
      </c>
      <c r="X483" s="136" t="n">
        <f aca="false" ca="false" dt2D="false" dtr="false" t="normal">MID(J479, 5, 1)</f>
        <v>0</v>
      </c>
      <c r="Y483" s="137" t="n">
        <f aca="false" ca="false" dt2D="false" dtr="false" t="normal">X483</f>
        <v>0</v>
      </c>
      <c r="Z483" s="120" t="s">
        <v>200</v>
      </c>
      <c r="AA483" s="139" t="s">
        <v>1902</v>
      </c>
      <c r="AB483" s="5047" t="s"/>
      <c r="AC483" s="142" t="s"/>
      <c r="AD483" s="142" t="s"/>
      <c r="AE483" s="5048" t="s"/>
      <c r="AF483" s="5049" t="s"/>
      <c r="AG483" s="142" t="s"/>
      <c r="AH483" s="142" t="s"/>
      <c r="AI483" s="5050" t="s"/>
      <c r="AJ483" s="5051" t="s"/>
      <c r="AK483" s="5052" t="s"/>
      <c r="AL483" s="5053" t="s"/>
    </row>
    <row customHeight="true" hidden="false" ht="15" outlineLevel="0" r="484">
      <c r="C484" s="98" t="s">
        <v>185</v>
      </c>
      <c r="D484" s="53" t="n">
        <f aca="false" ca="false" dt2D="false" dtr="false" t="normal">HEX2BIN(D483, 8)</f>
        <v>0</v>
      </c>
      <c r="E484" s="53" t="n">
        <f aca="false" ca="false" dt2D="false" dtr="false" t="normal">HEX2BIN(E483, 8)</f>
        <v>0</v>
      </c>
      <c r="F484" s="53" t="n">
        <f aca="false" ca="false" dt2D="false" dtr="false" t="normal">HEX2BIN(F483, 8)</f>
        <v>0</v>
      </c>
      <c r="G484" s="53" t="n">
        <f aca="false" ca="false" dt2D="false" dtr="false" t="normal">HEX2BIN(G483, 8)</f>
        <v>0</v>
      </c>
      <c r="H484" s="171" t="n">
        <f aca="false" ca="false" dt2D="false" dtr="false" t="normal">Q479&amp;Q480&amp;Q481&amp;Q482&amp;Q483&amp;Q484&amp;Q485&amp;Q486</f>
        <v>0</v>
      </c>
      <c r="I484" s="53" t="n">
        <f aca="false" ca="false" dt2D="false" dtr="false" t="normal">U479&amp;U480&amp;U481&amp;U482&amp;U483&amp;U484&amp;U485&amp;U486</f>
        <v>0</v>
      </c>
      <c r="J484" s="171" t="n">
        <f aca="false" ca="false" dt2D="false" dtr="false" t="normal">Y479&amp;Y480&amp;Y481&amp;Y482&amp;Y483&amp;Y484&amp;Y485&amp;Y486</f>
        <v>0</v>
      </c>
      <c r="K484" s="171" t="n"/>
      <c r="L484" s="53" t="n"/>
      <c r="M484" s="53" t="n">
        <f aca="false" ca="false" dt2D="false" dtr="false" t="normal">DEC2HEX(M485)</f>
        <v>0</v>
      </c>
      <c r="N484" s="63" t="n"/>
      <c r="P484" s="136" t="n">
        <f aca="false" ca="false" dt2D="false" dtr="false" t="normal">MID(H479, 6, 1)</f>
        <v>0</v>
      </c>
      <c r="Q484" s="137" t="n">
        <f aca="false" ca="false" dt2D="false" dtr="false" t="normal">P484</f>
        <v>0</v>
      </c>
      <c r="R484" s="120" t="s">
        <v>203</v>
      </c>
      <c r="S484" s="5054" t="s">
        <v>1903</v>
      </c>
      <c r="T484" s="136" t="n">
        <f aca="false" ca="false" dt2D="false" dtr="false" t="normal">MID(I479, 6, 1)</f>
        <v>0</v>
      </c>
      <c r="U484" s="137" t="n">
        <f aca="false" ca="false" dt2D="false" dtr="false" t="normal">T484</f>
        <v>0</v>
      </c>
      <c r="V484" s="120" t="s">
        <v>203</v>
      </c>
      <c r="W484" s="139" t="s">
        <v>1904</v>
      </c>
      <c r="X484" s="136" t="n">
        <f aca="false" ca="false" dt2D="false" dtr="false" t="normal">MID(J479, 6, 1)</f>
        <v>0</v>
      </c>
      <c r="Y484" s="137" t="n">
        <f aca="false" ca="false" dt2D="false" dtr="false" t="normal">X484</f>
        <v>0</v>
      </c>
      <c r="Z484" s="120" t="s">
        <v>203</v>
      </c>
      <c r="AA484" s="139" t="s">
        <v>1905</v>
      </c>
      <c r="AB484" s="5055" t="s"/>
      <c r="AC484" s="142" t="s"/>
      <c r="AD484" s="142" t="s"/>
      <c r="AE484" s="5056" t="s"/>
      <c r="AF484" s="5057" t="s"/>
      <c r="AG484" s="142" t="s"/>
      <c r="AH484" s="142" t="s"/>
      <c r="AI484" s="5058" t="s"/>
      <c r="AJ484" s="5059" t="s"/>
      <c r="AK484" s="5060" t="s"/>
      <c r="AL484" s="5061" t="s"/>
    </row>
    <row hidden="false" ht="15" outlineLevel="0" r="485">
      <c r="C485" s="98" t="s">
        <v>191</v>
      </c>
      <c r="D485" s="53" t="n">
        <f aca="false" ca="false" dt2D="false" dtr="false" t="normal">HEX2DEC(D483)</f>
        <v>0</v>
      </c>
      <c r="E485" s="53" t="n">
        <f aca="false" ca="false" dt2D="false" dtr="false" t="normal">HEX2DEC(E483)</f>
        <v>0</v>
      </c>
      <c r="F485" s="53" t="n">
        <f aca="false" ca="false" dt2D="false" dtr="false" t="normal">HEX2DEC(F483)</f>
        <v>0</v>
      </c>
      <c r="G485" s="53" t="n">
        <f aca="false" ca="false" dt2D="false" dtr="false" t="normal">HEX2DEC(G483)</f>
        <v>0</v>
      </c>
      <c r="H485" s="53" t="n">
        <f aca="false" ca="false" dt2D="false" dtr="false" t="normal">HEX2DEC(H483)</f>
        <v>0</v>
      </c>
      <c r="I485" s="53" t="n">
        <f aca="false" ca="false" dt2D="false" dtr="false" t="normal">HEX2DEC(I483)</f>
        <v>0</v>
      </c>
      <c r="J485" s="53" t="n">
        <f aca="false" ca="false" dt2D="false" dtr="false" t="normal">HEX2DEC(J483)</f>
        <v>0</v>
      </c>
      <c r="K485" s="53" t="n">
        <f aca="false" ca="false" dt2D="false" dtr="false" t="normal">HEX2DEC(K483)</f>
        <v>0</v>
      </c>
      <c r="L485" s="53" t="n">
        <f aca="false" ca="false" dt2D="false" dtr="false" t="normal">HEX2DEC(L483)</f>
        <v>0</v>
      </c>
      <c r="M485" s="53" t="n">
        <f aca="false" ca="false" dt2D="false" dtr="false" t="normal">SUM(D485:L485)</f>
        <v>0</v>
      </c>
      <c r="N485" s="63" t="n"/>
      <c r="P485" s="136" t="n">
        <f aca="false" ca="false" dt2D="false" dtr="false" t="normal">MID(H479, 7, 1)</f>
        <v>0</v>
      </c>
      <c r="Q485" s="137" t="n">
        <f aca="false" ca="false" dt2D="false" dtr="false" t="normal">P485</f>
        <v>0</v>
      </c>
      <c r="R485" s="120" t="s">
        <v>206</v>
      </c>
      <c r="S485" s="5062" t="s"/>
      <c r="T485" s="136" t="n">
        <f aca="false" ca="false" dt2D="false" dtr="false" t="normal">MID(I479, 7, 1)</f>
        <v>0</v>
      </c>
      <c r="U485" s="137" t="n">
        <f aca="false" ca="false" dt2D="false" dtr="false" t="normal">T485</f>
        <v>0</v>
      </c>
      <c r="V485" s="120" t="s">
        <v>206</v>
      </c>
      <c r="W485" s="139" t="s">
        <v>1906</v>
      </c>
      <c r="X485" s="136" t="n">
        <f aca="false" ca="false" dt2D="false" dtr="false" t="normal">MID(J479, 7, 1)</f>
        <v>0</v>
      </c>
      <c r="Y485" s="137" t="n">
        <f aca="false" ca="false" dt2D="false" dtr="false" t="normal">X485</f>
        <v>0</v>
      </c>
      <c r="Z485" s="120" t="s">
        <v>206</v>
      </c>
      <c r="AA485" s="139" t="s">
        <v>1907</v>
      </c>
      <c r="AB485" s="5063" t="s"/>
      <c r="AC485" s="142" t="s"/>
      <c r="AD485" s="142" t="s"/>
      <c r="AE485" s="5064" t="s"/>
      <c r="AF485" s="5065" t="s"/>
      <c r="AG485" s="142" t="s"/>
      <c r="AH485" s="142" t="s"/>
      <c r="AI485" s="5066" t="s"/>
      <c r="AJ485" s="5067" t="s"/>
      <c r="AK485" s="5068" t="s"/>
      <c r="AL485" s="5069" t="s"/>
    </row>
    <row hidden="false" ht="15.75" outlineLevel="0" r="486">
      <c r="C486" s="180" t="s">
        <v>194</v>
      </c>
      <c r="D486" s="299" t="str">
        <f aca="false" ca="false" dt2D="false" dtr="false" t="normal">D481</f>
        <v/>
      </c>
      <c r="E486" s="299" t="str">
        <f aca="false" ca="false" dt2D="false" dtr="false" t="normal">E481</f>
        <v/>
      </c>
      <c r="F486" s="299" t="str">
        <f aca="false" ca="false" dt2D="false" dtr="false" t="normal">F481</f>
        <v/>
      </c>
      <c r="G486" s="299" t="str">
        <f aca="false" ca="false" dt2D="false" dtr="false" t="normal">G481</f>
        <v/>
      </c>
      <c r="H486" s="45" t="n"/>
      <c r="I486" s="45" t="n"/>
      <c r="J486" s="45" t="n"/>
      <c r="K486" s="45" t="n"/>
      <c r="L486" s="45" t="n"/>
      <c r="M486" s="45" t="n"/>
      <c r="N486" s="49" t="n"/>
      <c r="P486" s="182" t="n">
        <f aca="false" ca="false" dt2D="false" dtr="false" t="normal">MID(H479, 8, 1)</f>
        <v>0</v>
      </c>
      <c r="Q486" s="183" t="n">
        <f aca="false" ca="false" dt2D="false" dtr="false" t="normal">P486</f>
        <v>0</v>
      </c>
      <c r="R486" s="184" t="s">
        <v>208</v>
      </c>
      <c r="S486" s="5070" t="s"/>
      <c r="T486" s="182" t="n">
        <f aca="false" ca="false" dt2D="false" dtr="false" t="normal">MID(I479, 8, 1)</f>
        <v>0</v>
      </c>
      <c r="U486" s="183" t="n">
        <f aca="false" ca="false" dt2D="false" dtr="false" t="normal">T486</f>
        <v>0</v>
      </c>
      <c r="V486" s="184" t="s">
        <v>208</v>
      </c>
      <c r="W486" s="187" t="s">
        <v>1908</v>
      </c>
      <c r="X486" s="182" t="n">
        <f aca="false" ca="false" dt2D="false" dtr="false" t="normal">MID(J479, 8, 1)</f>
        <v>0</v>
      </c>
      <c r="Y486" s="183" t="n">
        <f aca="false" ca="false" dt2D="false" dtr="false" t="normal">X486</f>
        <v>0</v>
      </c>
      <c r="Z486" s="184" t="s">
        <v>208</v>
      </c>
      <c r="AA486" s="187" t="s">
        <v>1909</v>
      </c>
      <c r="AB486" s="5071" t="s"/>
      <c r="AC486" s="5072" t="s"/>
      <c r="AD486" s="5073" t="s"/>
      <c r="AE486" s="5074" t="s"/>
      <c r="AF486" s="5075" t="s"/>
      <c r="AG486" s="5076" t="s"/>
      <c r="AH486" s="5077" t="s"/>
      <c r="AI486" s="5078" t="s"/>
      <c r="AJ486" s="5079" t="s"/>
      <c r="AK486" s="5080" t="s"/>
      <c r="AL486" s="5081" t="s"/>
    </row>
    <row hidden="false" ht="15.75" outlineLevel="0" r="487">
      <c r="C487" s="93" t="n"/>
      <c r="D487" s="94" t="n"/>
      <c r="E487" s="94" t="n"/>
      <c r="F487" s="94" t="n"/>
      <c r="G487" s="94" t="n"/>
      <c r="H487" s="94" t="n"/>
      <c r="I487" s="94" t="n"/>
      <c r="J487" s="94" t="n"/>
      <c r="K487" s="94" t="n"/>
      <c r="L487" s="94" t="n"/>
      <c r="M487" s="94" t="s">
        <v>161</v>
      </c>
      <c r="N487" s="60" t="n"/>
      <c r="P487" s="95" t="str">
        <f aca="false" ca="false" dt2D="false" dtr="false" t="normal">RIGHT(D489, 1)&amp;E489&amp;"-"&amp;F489&amp;"-"&amp;G489</f>
        <v>--</v>
      </c>
      <c r="Q487" s="5082" t="s"/>
      <c r="R487" s="234" t="s">
        <v>1910</v>
      </c>
      <c r="S487" s="5083" t="s"/>
      <c r="T487" s="5084" t="s"/>
      <c r="U487" s="5085" t="s"/>
      <c r="V487" s="5086" t="s"/>
      <c r="W487" s="5087" t="s"/>
      <c r="X487" s="5088" t="s"/>
      <c r="Y487" s="5089" t="s"/>
      <c r="Z487" s="5090" t="s"/>
      <c r="AA487" s="5091" t="s"/>
      <c r="AB487" s="5092" t="s"/>
      <c r="AC487" s="5093" t="s"/>
      <c r="AD487" s="5094" t="s"/>
      <c r="AE487" s="5095" t="s"/>
      <c r="AF487" s="5096" t="s"/>
      <c r="AG487" s="5097" t="s"/>
      <c r="AH487" s="5098" t="s"/>
      <c r="AI487" s="5099" t="s"/>
      <c r="AJ487" s="5100" t="s"/>
      <c r="AK487" s="5101" t="s"/>
      <c r="AL487" s="5102" t="s"/>
    </row>
    <row hidden="false" ht="15.75" outlineLevel="0" r="488">
      <c r="C488" s="98" t="n"/>
      <c r="D488" s="99" t="s">
        <v>1911</v>
      </c>
      <c r="E488" s="5103" t="s"/>
      <c r="F488" s="5104" t="s"/>
      <c r="G488" s="5105" t="s"/>
      <c r="H488" s="53" t="s">
        <v>165</v>
      </c>
      <c r="I488" s="53" t="s">
        <v>166</v>
      </c>
      <c r="J488" s="53" t="s">
        <v>167</v>
      </c>
      <c r="K488" s="53" t="s">
        <v>168</v>
      </c>
      <c r="L488" s="53" t="s">
        <v>169</v>
      </c>
      <c r="M488" s="53" t="s">
        <v>221</v>
      </c>
      <c r="N488" s="63" t="n"/>
      <c r="P488" s="103" t="s">
        <v>1912</v>
      </c>
      <c r="Q488" s="5106" t="s"/>
      <c r="R488" s="5107" t="s"/>
      <c r="S488" s="5108" t="s"/>
      <c r="T488" s="103" t="s">
        <v>1913</v>
      </c>
      <c r="U488" s="5109" t="s"/>
      <c r="V488" s="5110" t="s"/>
      <c r="W488" s="5111" t="s"/>
      <c r="X488" s="103" t="s">
        <v>1914</v>
      </c>
      <c r="Y488" s="5112" t="s"/>
      <c r="Z488" s="5113" t="s"/>
      <c r="AA488" s="5114" t="s"/>
      <c r="AB488" s="103" t="s">
        <v>1915</v>
      </c>
      <c r="AC488" s="5115" t="s"/>
      <c r="AD488" s="5116" t="s"/>
      <c r="AE488" s="5117" t="s"/>
      <c r="AF488" s="103" t="s">
        <v>1916</v>
      </c>
      <c r="AG488" s="5118" t="s"/>
      <c r="AH488" s="5119" t="s"/>
      <c r="AI488" s="5120" t="s"/>
      <c r="AJ488" s="103" t="s">
        <v>1917</v>
      </c>
      <c r="AK488" s="5121" t="s"/>
      <c r="AL488" s="5122" t="s"/>
    </row>
    <row hidden="false" ht="15.75" outlineLevel="0" r="489">
      <c r="C489" s="98" t="s">
        <v>176</v>
      </c>
      <c r="D489" s="122" t="str">
        <f aca="false" ca="false" dt2D="false" dtr="false" t="normal">IF(J412="", "", 7)</f>
        <v/>
      </c>
      <c r="E489" s="123" t="str">
        <f aca="false" ca="false" dt2D="false" dtr="false" t="normal">IF(J412="", "", 20)</f>
        <v/>
      </c>
      <c r="F489" s="123" t="str">
        <f aca="false" ca="false" dt2D="false" dtr="false" t="normal">IF(J412="", "", 4)</f>
        <v/>
      </c>
      <c r="G489" s="124" t="str">
        <f aca="false" ca="false" dt2D="false" dtr="false" t="normal">IF(J412="", "", 35)</f>
        <v/>
      </c>
      <c r="H489" s="1819" t="str">
        <f aca="false" ca="false" dt2D="false" dtr="false" ref="H489:H489" t="array">_XLFN.IFNA(MID(INDEX($A$3:$A$70, IF(ISNA(MATCH("720G4I3*", $A$3:$A$70, 0))=TRUE, MATCH("7200435*", $A$3:$A$70, 0), MATCH("720G4I3*", $A$3:$A$70, 0))), $AU$8, 2), "")</f>
        <v/>
      </c>
      <c r="I489" s="1820" t="str">
        <f aca="false" ca="false" dt2D="false" dtr="false" ref="I489:I489" t="array">_XLFN.IFNA(MID(INDEX($A$3:$A$70, IF(ISNA(MATCH("720G4I3*", $A$3:$A$70, 0))=TRUE, MATCH("7200435*", $A$3:$A$70, 0), MATCH("720G4I3*", $A$3:$A$70, 0))), $AV$8, 2), "")</f>
        <v/>
      </c>
      <c r="J489" s="164" t="str">
        <f aca="false" ca="false" dt2D="false" dtr="false" ref="J489:J489" t="array">_XLFN.IFNA(MID(INDEX($A$3:$A$70, IF(ISNA(MATCH("720G4I3*", $A$3:$A$70, 0))=TRUE, MATCH("7200435*", $A$3:$A$70, 0), MATCH("720G4I3*", $A$3:$A$70, 0))), $AW$8, 2), "")</f>
        <v/>
      </c>
      <c r="K489" s="1820" t="str">
        <f aca="false" ca="false" dt2D="false" dtr="false" ref="K489:K489" t="array">_XLFN.IFNA(MID(INDEX($A$3:$A$70, IF(ISNA(MATCH("720G4I3*", $A$3:$A$70, 0))=TRUE, MATCH("7200435*", $A$3:$A$70, 0), MATCH("720G4I3*", $A$3:$A$70, 0))), $AX$8, 2), "")</f>
        <v/>
      </c>
      <c r="L489" s="1821" t="str">
        <f aca="false" ca="false" dt2D="false" dtr="false" ref="L489:L489" t="array">_XLFN.IFNA(MID(INDEX($A$3:$A$70, IF(ISNA(MATCH("720G4I3*", $A$3:$A$70, 0))=TRUE, MATCH("7200435*", $A$3:$A$70, 0), MATCH("720G4I3*", $A$3:$A$70, 0))), $AY$8, 2), "")</f>
        <v/>
      </c>
      <c r="M489" s="218" t="str">
        <f aca="false" ca="false" dt2D="false" dtr="false" ref="M489:M489" t="array">_XLFN.IFNA(MID(INDEX($A$3:$A$70, IF(ISNA(MATCH("720G4I3*", $A$3:$A$70, 0))=TRUE, MATCH("7200435*", $A$3:$A$70, 0), MATCH("720G4I3*", $A$3:$A$70, 0))), $AZ$8, 2), "")</f>
        <v/>
      </c>
      <c r="N489" s="63" t="s">
        <v>180</v>
      </c>
      <c r="P489" s="129" t="s">
        <v>180</v>
      </c>
      <c r="Q489" s="130" t="s">
        <v>181</v>
      </c>
      <c r="R489" s="121" t="s">
        <v>182</v>
      </c>
      <c r="S489" s="131" t="n"/>
      <c r="T489" s="129" t="s">
        <v>180</v>
      </c>
      <c r="U489" s="130" t="s">
        <v>181</v>
      </c>
      <c r="V489" s="121" t="s">
        <v>182</v>
      </c>
      <c r="W489" s="131" t="n"/>
      <c r="X489" s="129" t="s">
        <v>180</v>
      </c>
      <c r="Y489" s="130" t="s">
        <v>181</v>
      </c>
      <c r="Z489" s="121" t="s">
        <v>182</v>
      </c>
      <c r="AA489" s="131" t="n"/>
      <c r="AB489" s="129" t="s">
        <v>180</v>
      </c>
      <c r="AC489" s="130" t="s">
        <v>181</v>
      </c>
      <c r="AD489" s="121" t="s">
        <v>182</v>
      </c>
      <c r="AE489" s="131" t="n"/>
      <c r="AF489" s="129" t="s">
        <v>180</v>
      </c>
      <c r="AG489" s="130" t="s">
        <v>181</v>
      </c>
      <c r="AH489" s="121" t="s">
        <v>182</v>
      </c>
      <c r="AI489" s="121" t="n"/>
      <c r="AJ489" s="116" t="s">
        <v>183</v>
      </c>
      <c r="AK489" s="5123" t="s"/>
      <c r="AL489" s="5124" t="s"/>
    </row>
    <row hidden="false" ht="15" outlineLevel="0" r="490">
      <c r="C490" s="98" t="s">
        <v>185</v>
      </c>
      <c r="D490" s="53" t="n">
        <f aca="false" ca="false" dt2D="false" dtr="false" t="normal">HEX2BIN(D489, 8)</f>
        <v>0</v>
      </c>
      <c r="E490" s="53" t="n">
        <f aca="false" ca="false" dt2D="false" dtr="false" t="normal">HEX2BIN(E489, 8)</f>
        <v>0</v>
      </c>
      <c r="F490" s="53" t="n">
        <f aca="false" ca="false" dt2D="false" dtr="false" t="normal">HEX2BIN(F489, 8)</f>
        <v>0</v>
      </c>
      <c r="G490" s="53" t="n">
        <f aca="false" ca="false" dt2D="false" dtr="false" t="normal">HEX2BIN(G489, 8)</f>
        <v>0</v>
      </c>
      <c r="H490" s="53" t="n">
        <f aca="false" ca="false" dt2D="false" dtr="false" t="normal">HEX2BIN(H489, 8)</f>
        <v>0</v>
      </c>
      <c r="I490" s="53" t="n">
        <f aca="false" ca="false" dt2D="false" dtr="false" t="normal">HEX2BIN(I489, 8)</f>
        <v>0</v>
      </c>
      <c r="J490" s="53" t="n">
        <f aca="false" ca="false" dt2D="false" dtr="false" t="normal">HEX2BIN(J489, 8)</f>
        <v>0</v>
      </c>
      <c r="K490" s="53" t="n">
        <f aca="false" ca="false" dt2D="false" dtr="false" t="normal">HEX2BIN(K489, 8)</f>
        <v>0</v>
      </c>
      <c r="L490" s="53" t="n">
        <f aca="false" ca="false" dt2D="false" dtr="false" t="normal">HEX2BIN(L489, 8)</f>
        <v>0</v>
      </c>
      <c r="N490" s="63" t="n"/>
      <c r="P490" s="136" t="n">
        <f aca="false" ca="false" dt2D="false" dtr="false" t="normal">MID(H490, 1, 1)</f>
        <v>0</v>
      </c>
      <c r="Q490" s="137" t="n">
        <f aca="false" ca="false" dt2D="false" dtr="false" t="normal">P490</f>
        <v>0</v>
      </c>
      <c r="R490" s="120" t="s">
        <v>186</v>
      </c>
      <c r="S490" s="4918" t="s">
        <v>1918</v>
      </c>
      <c r="T490" s="136" t="n">
        <f aca="false" ca="false" dt2D="false" dtr="false" t="normal">MID(I490, 1, 1)</f>
        <v>0</v>
      </c>
      <c r="U490" s="137" t="n">
        <f aca="false" ca="false" dt2D="false" dtr="false" t="normal">T490</f>
        <v>0</v>
      </c>
      <c r="V490" s="120" t="s">
        <v>186</v>
      </c>
      <c r="W490" s="131" t="s">
        <v>196</v>
      </c>
      <c r="X490" s="136" t="n">
        <f aca="false" ca="false" dt2D="false" dtr="false" t="normal">MID(J490, 1, 1)</f>
        <v>0</v>
      </c>
      <c r="Y490" s="137" t="n">
        <f aca="false" ca="false" dt2D="false" dtr="false" t="normal">X490</f>
        <v>0</v>
      </c>
      <c r="Z490" s="120" t="s">
        <v>186</v>
      </c>
      <c r="AA490" s="139" t="s">
        <v>1919</v>
      </c>
      <c r="AB490" s="136" t="n">
        <f aca="false" ca="false" dt2D="false" dtr="false" t="normal">MID(K490, 1, 1)</f>
        <v>0</v>
      </c>
      <c r="AC490" s="137" t="n">
        <f aca="false" ca="false" dt2D="false" dtr="false" t="normal">AB490</f>
        <v>0</v>
      </c>
      <c r="AD490" s="120" t="s">
        <v>186</v>
      </c>
      <c r="AE490" s="139" t="s">
        <v>1920</v>
      </c>
      <c r="AF490" s="136" t="n">
        <f aca="false" ca="false" dt2D="false" dtr="false" t="normal">MID(L490, 1, 1)</f>
        <v>0</v>
      </c>
      <c r="AG490" s="137" t="n">
        <f aca="false" ca="false" dt2D="false" dtr="false" t="normal">AF490</f>
        <v>0</v>
      </c>
      <c r="AH490" s="120" t="s">
        <v>186</v>
      </c>
      <c r="AI490" s="139" t="s">
        <v>1921</v>
      </c>
      <c r="AJ490" s="5125" t="s"/>
      <c r="AK490" s="5126" t="s"/>
      <c r="AL490" s="5127" t="s"/>
    </row>
    <row customHeight="true" hidden="false" ht="15" outlineLevel="0" r="491">
      <c r="C491" s="98" t="s">
        <v>191</v>
      </c>
      <c r="D491" s="53" t="n">
        <f aca="false" ca="false" dt2D="false" dtr="false" t="normal">HEX2DEC(D489)</f>
        <v>0</v>
      </c>
      <c r="E491" s="53" t="n">
        <f aca="false" ca="false" dt2D="false" dtr="false" t="normal">HEX2DEC(E489)</f>
        <v>0</v>
      </c>
      <c r="F491" s="53" t="n">
        <f aca="false" ca="false" dt2D="false" dtr="false" t="normal">HEX2DEC(F489)</f>
        <v>0</v>
      </c>
      <c r="G491" s="53" t="n">
        <f aca="false" ca="false" dt2D="false" dtr="false" t="normal">HEX2DEC(G489)</f>
        <v>0</v>
      </c>
      <c r="H491" s="53" t="n">
        <f aca="false" ca="false" dt2D="false" dtr="false" t="normal">HEX2DEC(H489)</f>
        <v>0</v>
      </c>
      <c r="I491" s="53" t="n">
        <f aca="false" ca="false" dt2D="false" dtr="false" t="normal">HEX2DEC(I489)</f>
        <v>0</v>
      </c>
      <c r="J491" s="53" t="n">
        <f aca="false" ca="false" dt2D="false" dtr="false" t="normal">HEX2DEC(J489)</f>
        <v>0</v>
      </c>
      <c r="K491" s="53" t="n">
        <f aca="false" ca="false" dt2D="false" dtr="false" t="normal">HEX2DEC(K489)</f>
        <v>0</v>
      </c>
      <c r="L491" s="53" t="n">
        <f aca="false" ca="false" dt2D="false" dtr="false" t="normal">HEX2DEC(L489)</f>
        <v>0</v>
      </c>
      <c r="M491" s="53" t="n">
        <f aca="false" ca="false" dt2D="false" dtr="false" t="normal">SUM(D491:L491)</f>
        <v>0</v>
      </c>
      <c r="N491" s="63" t="n"/>
      <c r="P491" s="136" t="n">
        <f aca="false" ca="false" dt2D="false" dtr="false" t="normal">MID(H490, 2, 1)</f>
        <v>0</v>
      </c>
      <c r="Q491" s="137" t="n">
        <f aca="false" ca="false" dt2D="false" dtr="false" t="normal">P491</f>
        <v>0</v>
      </c>
      <c r="R491" s="120" t="s">
        <v>192</v>
      </c>
      <c r="S491" s="5128" t="s"/>
      <c r="T491" s="136" t="n">
        <f aca="false" ca="false" dt2D="false" dtr="false" t="normal">MID(I490, 2, 1)</f>
        <v>0</v>
      </c>
      <c r="U491" s="137" t="n">
        <f aca="false" ca="false" dt2D="false" dtr="false" t="normal">T491</f>
        <v>0</v>
      </c>
      <c r="V491" s="120" t="s">
        <v>192</v>
      </c>
      <c r="W491" s="131" t="s">
        <v>196</v>
      </c>
      <c r="X491" s="136" t="n">
        <f aca="false" ca="false" dt2D="false" dtr="false" t="normal">MID(J490, 2, 1)</f>
        <v>0</v>
      </c>
      <c r="Y491" s="137" t="n">
        <f aca="false" ca="false" dt2D="false" dtr="false" t="normal">X491</f>
        <v>0</v>
      </c>
      <c r="Z491" s="120" t="s">
        <v>192</v>
      </c>
      <c r="AA491" s="139" t="s">
        <v>1922</v>
      </c>
      <c r="AB491" s="136" t="n">
        <f aca="false" ca="false" dt2D="false" dtr="false" t="normal">MID(K490, 2, 1)</f>
        <v>0</v>
      </c>
      <c r="AC491" s="137" t="n">
        <f aca="false" ca="false" dt2D="false" dtr="false" t="normal">AB491</f>
        <v>0</v>
      </c>
      <c r="AD491" s="120" t="s">
        <v>192</v>
      </c>
      <c r="AE491" s="139" t="s">
        <v>1923</v>
      </c>
      <c r="AF491" s="136" t="n">
        <f aca="false" ca="false" dt2D="false" dtr="false" t="normal">MID(L490, 2, 1)</f>
        <v>0</v>
      </c>
      <c r="AG491" s="137" t="n">
        <f aca="false" ca="false" dt2D="false" dtr="false" t="normal">AF491</f>
        <v>0</v>
      </c>
      <c r="AH491" s="120" t="s">
        <v>192</v>
      </c>
      <c r="AI491" s="139" t="s">
        <v>1924</v>
      </c>
      <c r="AJ491" s="5129" t="s"/>
      <c r="AK491" s="5130" t="s"/>
      <c r="AL491" s="5131" t="s"/>
    </row>
    <row hidden="false" ht="15" outlineLevel="0" r="492">
      <c r="C492" s="98" t="s">
        <v>194</v>
      </c>
      <c r="D492" s="149" t="str">
        <f aca="false" ca="false" dt2D="false" dtr="false" t="normal">D489</f>
        <v/>
      </c>
      <c r="E492" s="149" t="str">
        <f aca="false" ca="false" dt2D="false" dtr="false" t="normal">E489</f>
        <v/>
      </c>
      <c r="F492" s="53" t="str">
        <f aca="false" ca="false" dt2D="false" dtr="false" t="normal">_XLFN.IFNA(MID(INDEX($A$3:$A$70, IF(ISNA(MATCH("720G4I3*", $A$3:$A$70, 0))=TRUE, MATCH("7200435*", $A$3:$A$70, 0), MATCH("720G4I3*", $A$3:$A$70, 0))), $AS$8, 2), "")</f>
        <v/>
      </c>
      <c r="G492" s="53" t="str">
        <f aca="false" ca="false" dt2D="false" dtr="false" t="normal">_XLFN.IFNA(MID(INDEX($A$3:$A$70, IF(ISNA(MATCH("720G4I3*", $A$3:$A$70, 0))=TRUE, MATCH("7200435*", $A$3:$A$70, 0), MATCH("720G4I3*", $A$3:$A$70, 0))), $AT$8, 2), "")</f>
        <v/>
      </c>
      <c r="N492" s="63" t="n"/>
      <c r="P492" s="136" t="n">
        <f aca="false" ca="false" dt2D="false" dtr="false" t="normal">MID(H490, 3, 1)</f>
        <v>0</v>
      </c>
      <c r="Q492" s="137" t="n">
        <f aca="false" ca="false" dt2D="false" dtr="false" t="normal">P492</f>
        <v>0</v>
      </c>
      <c r="R492" s="120" t="s">
        <v>195</v>
      </c>
      <c r="S492" s="5132" t="s"/>
      <c r="T492" s="136" t="n">
        <f aca="false" ca="false" dt2D="false" dtr="false" t="normal">MID(I490, 3, 1)</f>
        <v>0</v>
      </c>
      <c r="U492" s="137" t="n">
        <f aca="false" ca="false" dt2D="false" dtr="false" t="normal">T492</f>
        <v>0</v>
      </c>
      <c r="V492" s="120" t="s">
        <v>195</v>
      </c>
      <c r="W492" s="139" t="s">
        <v>1925</v>
      </c>
      <c r="X492" s="136" t="n">
        <f aca="false" ca="false" dt2D="false" dtr="false" t="normal">MID(J490, 3, 1)</f>
        <v>0</v>
      </c>
      <c r="Y492" s="137" t="n">
        <f aca="false" ca="false" dt2D="false" dtr="false" t="normal">X492</f>
        <v>0</v>
      </c>
      <c r="Z492" s="120" t="s">
        <v>195</v>
      </c>
      <c r="AA492" s="139" t="s">
        <v>1926</v>
      </c>
      <c r="AB492" s="136" t="n">
        <f aca="false" ca="false" dt2D="false" dtr="false" t="normal">MID(K490, 3, 1)</f>
        <v>0</v>
      </c>
      <c r="AC492" s="137" t="n">
        <f aca="false" ca="false" dt2D="false" dtr="false" t="normal">AB492</f>
        <v>0</v>
      </c>
      <c r="AD492" s="120" t="s">
        <v>195</v>
      </c>
      <c r="AE492" s="131" t="s">
        <v>196</v>
      </c>
      <c r="AF492" s="136" t="n">
        <f aca="false" ca="false" dt2D="false" dtr="false" t="normal">MID(L490, 3, 1)</f>
        <v>0</v>
      </c>
      <c r="AG492" s="137" t="n">
        <f aca="false" ca="false" dt2D="false" dtr="false" t="normal">AF492</f>
        <v>0</v>
      </c>
      <c r="AH492" s="120" t="s">
        <v>195</v>
      </c>
      <c r="AI492" s="139" t="s">
        <v>1927</v>
      </c>
      <c r="AJ492" s="5133" t="s"/>
      <c r="AK492" s="5134" t="s"/>
      <c r="AL492" s="5135" t="s"/>
    </row>
    <row hidden="false" ht="15.75" outlineLevel="0" r="493">
      <c r="C493" s="98" t="n"/>
      <c r="N493" s="63" t="n"/>
      <c r="P493" s="136" t="n">
        <f aca="false" ca="false" dt2D="false" dtr="false" t="normal">MID(H490, 4, 1)</f>
        <v>0</v>
      </c>
      <c r="Q493" s="137" t="n">
        <f aca="false" ca="false" dt2D="false" dtr="false" t="normal">P493</f>
        <v>0</v>
      </c>
      <c r="R493" s="120" t="s">
        <v>197</v>
      </c>
      <c r="S493" s="1194" t="s">
        <v>1928</v>
      </c>
      <c r="T493" s="136" t="n">
        <f aca="false" ca="false" dt2D="false" dtr="false" t="normal">MID(I490, 4, 1)</f>
        <v>0</v>
      </c>
      <c r="U493" s="137" t="n">
        <f aca="false" ca="false" dt2D="false" dtr="false" t="normal">T493</f>
        <v>0</v>
      </c>
      <c r="V493" s="120" t="s">
        <v>197</v>
      </c>
      <c r="W493" s="131" t="s">
        <v>196</v>
      </c>
      <c r="X493" s="136" t="n">
        <f aca="false" ca="false" dt2D="false" dtr="false" t="normal">MID(J490, 4, 1)</f>
        <v>0</v>
      </c>
      <c r="Y493" s="137" t="n">
        <f aca="false" ca="false" dt2D="false" dtr="false" t="normal">X493</f>
        <v>0</v>
      </c>
      <c r="Z493" s="120" t="s">
        <v>197</v>
      </c>
      <c r="AA493" s="139" t="s">
        <v>1929</v>
      </c>
      <c r="AB493" s="136" t="n">
        <f aca="false" ca="false" dt2D="false" dtr="false" t="normal">MID(K490, 4, 1)</f>
        <v>0</v>
      </c>
      <c r="AC493" s="137" t="n">
        <f aca="false" ca="false" dt2D="false" dtr="false" t="normal">AB493</f>
        <v>0</v>
      </c>
      <c r="AD493" s="120" t="s">
        <v>197</v>
      </c>
      <c r="AE493" s="139" t="s">
        <v>1930</v>
      </c>
      <c r="AF493" s="136" t="n">
        <f aca="false" ca="false" dt2D="false" dtr="false" t="normal">MID(L490, 4, 1)</f>
        <v>0</v>
      </c>
      <c r="AG493" s="137" t="n">
        <f aca="false" ca="false" dt2D="false" dtr="false" t="normal">AF493</f>
        <v>0</v>
      </c>
      <c r="AH493" s="120" t="s">
        <v>197</v>
      </c>
      <c r="AI493" s="139" t="s">
        <v>1931</v>
      </c>
      <c r="AJ493" s="5136" t="s"/>
      <c r="AK493" s="5137" t="s"/>
      <c r="AL493" s="5138" t="s"/>
    </row>
    <row hidden="false" ht="15.75" outlineLevel="0" r="494">
      <c r="C494" s="98" t="s">
        <v>176</v>
      </c>
      <c r="D494" s="159" t="str">
        <f aca="false" ca="false" dt2D="false" dtr="false" t="normal">D489</f>
        <v/>
      </c>
      <c r="E494" s="160" t="str">
        <f aca="false" ca="false" dt2D="false" dtr="false" t="normal">E489</f>
        <v/>
      </c>
      <c r="F494" s="160" t="str">
        <f aca="false" ca="false" dt2D="false" dtr="false" t="normal">F489</f>
        <v/>
      </c>
      <c r="G494" s="161" t="str">
        <f aca="false" ca="false" dt2D="false" dtr="false" t="normal">G489</f>
        <v/>
      </c>
      <c r="H494" s="162" t="str">
        <f aca="false" ca="false" dt2D="false" dtr="false" t="normal">IF(J412="", "", BIN2HEX(H495, 2))</f>
        <v/>
      </c>
      <c r="I494" s="163" t="str">
        <f aca="false" ca="false" dt2D="false" dtr="false" t="normal">IF(J412="", "", BIN2HEX(I495, 2))</f>
        <v/>
      </c>
      <c r="J494" s="164" t="str">
        <f aca="false" ca="false" dt2D="false" dtr="false" t="normal">IF(J412="", "", BIN2HEX(J495, 2))</f>
        <v/>
      </c>
      <c r="K494" s="165" t="str">
        <f aca="false" ca="false" dt2D="false" dtr="false" t="normal">IF(J412="", "", BIN2HEX(K495, 2))</f>
        <v/>
      </c>
      <c r="L494" s="288" t="str">
        <f aca="false" ca="false" dt2D="false" dtr="false" t="normal">IF(J412="", "", BIN2HEX(L495, 2))</f>
        <v/>
      </c>
      <c r="M494" s="166" t="str">
        <f aca="false" ca="false" dt2D="false" dtr="false" t="normal">IF(J412="", "", IF(LEN(M495)&gt;2, MID(M495, 2, 2), M495))</f>
        <v/>
      </c>
      <c r="N494" s="63" t="s">
        <v>181</v>
      </c>
      <c r="P494" s="136" t="n">
        <f aca="false" ca="false" dt2D="false" dtr="false" t="normal">MID(H490, 5, 1)</f>
        <v>0</v>
      </c>
      <c r="Q494" s="137" t="n">
        <f aca="false" ca="false" dt2D="false" dtr="false" t="normal">P494</f>
        <v>0</v>
      </c>
      <c r="R494" s="120" t="s">
        <v>200</v>
      </c>
      <c r="S494" s="131" t="s">
        <v>196</v>
      </c>
      <c r="T494" s="136" t="n">
        <f aca="false" ca="false" dt2D="false" dtr="false" t="normal">MID(I490, 5, 1)</f>
        <v>0</v>
      </c>
      <c r="U494" s="137" t="n">
        <f aca="false" ca="false" dt2D="false" dtr="false" t="normal">T494</f>
        <v>0</v>
      </c>
      <c r="V494" s="120" t="s">
        <v>200</v>
      </c>
      <c r="W494" s="131" t="s">
        <v>196</v>
      </c>
      <c r="X494" s="136" t="n">
        <f aca="false" ca="false" dt2D="false" dtr="false" t="normal">MID(J490, 5, 1)</f>
        <v>0</v>
      </c>
      <c r="Y494" s="137" t="n">
        <f aca="false" ca="false" dt2D="false" dtr="false" t="normal">X494</f>
        <v>0</v>
      </c>
      <c r="Z494" s="120" t="s">
        <v>200</v>
      </c>
      <c r="AA494" s="139" t="s">
        <v>1932</v>
      </c>
      <c r="AB494" s="136" t="n">
        <f aca="false" ca="false" dt2D="false" dtr="false" t="normal">MID(K490, 5, 1)</f>
        <v>0</v>
      </c>
      <c r="AC494" s="137" t="n">
        <f aca="false" ca="false" dt2D="false" dtr="false" t="normal">AB494</f>
        <v>0</v>
      </c>
      <c r="AD494" s="120" t="s">
        <v>200</v>
      </c>
      <c r="AE494" s="139" t="s">
        <v>1933</v>
      </c>
      <c r="AF494" s="136" t="n">
        <f aca="false" ca="false" dt2D="false" dtr="false" t="normal">MID(L490, 5, 1)</f>
        <v>0</v>
      </c>
      <c r="AG494" s="137" t="n">
        <f aca="false" ca="false" dt2D="false" dtr="false" t="normal">AF494</f>
        <v>0</v>
      </c>
      <c r="AH494" s="120" t="s">
        <v>200</v>
      </c>
      <c r="AI494" s="139" t="s">
        <v>1934</v>
      </c>
      <c r="AJ494" s="5139" t="s"/>
      <c r="AK494" s="5140" t="s"/>
      <c r="AL494" s="5141" t="s"/>
    </row>
    <row hidden="false" ht="15" outlineLevel="0" r="495">
      <c r="C495" s="98" t="s">
        <v>185</v>
      </c>
      <c r="D495" s="53" t="n">
        <f aca="false" ca="false" dt2D="false" dtr="false" t="normal">HEX2BIN(D494, 8)</f>
        <v>0</v>
      </c>
      <c r="E495" s="53" t="n">
        <f aca="false" ca="false" dt2D="false" dtr="false" t="normal">HEX2BIN(E494, 8)</f>
        <v>0</v>
      </c>
      <c r="F495" s="53" t="n">
        <f aca="false" ca="false" dt2D="false" dtr="false" t="normal">HEX2BIN(F494, 8)</f>
        <v>0</v>
      </c>
      <c r="G495" s="53" t="n">
        <f aca="false" ca="false" dt2D="false" dtr="false" t="normal">HEX2BIN(G494, 8)</f>
        <v>0</v>
      </c>
      <c r="H495" s="171" t="n">
        <f aca="false" ca="false" dt2D="false" dtr="false" t="normal">Q490&amp;Q491&amp;Q492&amp;Q493&amp;Q494&amp;Q495&amp;Q496&amp;Q497</f>
        <v>0</v>
      </c>
      <c r="I495" s="53" t="n">
        <f aca="false" ca="false" dt2D="false" dtr="false" t="normal">U490&amp;U491&amp;U492&amp;U493&amp;U494&amp;U495&amp;U496&amp;U497</f>
        <v>0</v>
      </c>
      <c r="J495" s="171" t="n">
        <f aca="false" ca="false" dt2D="false" dtr="false" t="normal">Y490&amp;Y491&amp;Y492&amp;Y493&amp;Y494&amp;Y495&amp;Y496&amp;Y497</f>
        <v>0</v>
      </c>
      <c r="K495" s="171" t="n">
        <f aca="false" ca="false" dt2D="false" dtr="false" t="normal">AC490&amp;AC491&amp;AC492&amp;AC493&amp;AC494&amp;AC495&amp;AC496&amp;AC497</f>
        <v>0</v>
      </c>
      <c r="L495" s="53" t="n">
        <f aca="false" ca="false" dt2D="false" dtr="false" t="normal">AG490&amp;AG491&amp;AG492&amp;AG493&amp;AG494&amp;AG495&amp;AG496&amp;AG497</f>
        <v>0</v>
      </c>
      <c r="M495" s="53" t="n">
        <f aca="false" ca="false" dt2D="false" dtr="false" t="normal">DEC2HEX(M496)</f>
        <v>0</v>
      </c>
      <c r="N495" s="63" t="n"/>
      <c r="P495" s="136" t="n">
        <f aca="false" ca="false" dt2D="false" dtr="false" t="normal">MID(H490, 6, 1)</f>
        <v>0</v>
      </c>
      <c r="Q495" s="137" t="n">
        <f aca="false" ca="false" dt2D="false" dtr="false" t="normal">P495</f>
        <v>0</v>
      </c>
      <c r="R495" s="120" t="s">
        <v>203</v>
      </c>
      <c r="S495" s="131" t="s">
        <v>196</v>
      </c>
      <c r="T495" s="136" t="n">
        <f aca="false" ca="false" dt2D="false" dtr="false" t="normal">MID(I490, 6, 1)</f>
        <v>0</v>
      </c>
      <c r="U495" s="137" t="n">
        <f aca="false" ca="false" dt2D="false" dtr="false" t="normal">T495</f>
        <v>0</v>
      </c>
      <c r="V495" s="120" t="s">
        <v>203</v>
      </c>
      <c r="W495" s="131" t="s">
        <v>196</v>
      </c>
      <c r="X495" s="136" t="n">
        <f aca="false" ca="false" dt2D="false" dtr="false" t="normal">MID(J490, 6, 1)</f>
        <v>0</v>
      </c>
      <c r="Y495" s="137" t="n">
        <f aca="false" ca="false" dt2D="false" dtr="false" t="normal">X495</f>
        <v>0</v>
      </c>
      <c r="Z495" s="120" t="s">
        <v>203</v>
      </c>
      <c r="AA495" s="139" t="s">
        <v>1935</v>
      </c>
      <c r="AB495" s="136" t="n">
        <f aca="false" ca="false" dt2D="false" dtr="false" t="normal">MID(K490, 6, 1)</f>
        <v>0</v>
      </c>
      <c r="AC495" s="137" t="n">
        <f aca="false" ca="false" dt2D="false" dtr="false" t="normal">AB495</f>
        <v>0</v>
      </c>
      <c r="AD495" s="120" t="s">
        <v>203</v>
      </c>
      <c r="AE495" s="139" t="s">
        <v>1936</v>
      </c>
      <c r="AF495" s="136" t="n">
        <f aca="false" ca="false" dt2D="false" dtr="false" t="normal">MID(L490, 6, 1)</f>
        <v>0</v>
      </c>
      <c r="AG495" s="137" t="n">
        <f aca="false" ca="false" dt2D="false" dtr="false" t="normal">AF495</f>
        <v>0</v>
      </c>
      <c r="AH495" s="120" t="s">
        <v>203</v>
      </c>
      <c r="AI495" s="139" t="s">
        <v>1937</v>
      </c>
      <c r="AJ495" s="5142" t="s"/>
      <c r="AK495" s="5143" t="s"/>
      <c r="AL495" s="5144" t="s"/>
    </row>
    <row hidden="false" ht="15" outlineLevel="0" r="496">
      <c r="C496" s="98" t="s">
        <v>191</v>
      </c>
      <c r="D496" s="53" t="n">
        <f aca="false" ca="false" dt2D="false" dtr="false" t="normal">HEX2DEC(D494)</f>
        <v>0</v>
      </c>
      <c r="E496" s="53" t="n">
        <f aca="false" ca="false" dt2D="false" dtr="false" t="normal">HEX2DEC(E494)</f>
        <v>0</v>
      </c>
      <c r="F496" s="53" t="n">
        <f aca="false" ca="false" dt2D="false" dtr="false" t="normal">HEX2DEC(F494)</f>
        <v>0</v>
      </c>
      <c r="G496" s="53" t="n">
        <f aca="false" ca="false" dt2D="false" dtr="false" t="normal">HEX2DEC(G494)</f>
        <v>0</v>
      </c>
      <c r="H496" s="53" t="n">
        <f aca="false" ca="false" dt2D="false" dtr="false" t="normal">HEX2DEC(H494)</f>
        <v>0</v>
      </c>
      <c r="I496" s="53" t="n">
        <f aca="false" ca="false" dt2D="false" dtr="false" t="normal">HEX2DEC(I494)</f>
        <v>0</v>
      </c>
      <c r="J496" s="53" t="n">
        <f aca="false" ca="false" dt2D="false" dtr="false" t="normal">HEX2DEC(J494)</f>
        <v>0</v>
      </c>
      <c r="K496" s="53" t="n">
        <f aca="false" ca="false" dt2D="false" dtr="false" t="normal">HEX2DEC(K494)</f>
        <v>0</v>
      </c>
      <c r="L496" s="53" t="n">
        <f aca="false" ca="false" dt2D="false" dtr="false" t="normal">HEX2DEC(L494)</f>
        <v>0</v>
      </c>
      <c r="M496" s="53" t="n">
        <f aca="false" ca="false" dt2D="false" dtr="false" t="normal">SUM(D496:L496)</f>
        <v>0</v>
      </c>
      <c r="N496" s="63" t="n"/>
      <c r="P496" s="136" t="n">
        <f aca="false" ca="false" dt2D="false" dtr="false" t="normal">MID(H490, 7, 1)</f>
        <v>0</v>
      </c>
      <c r="Q496" s="137" t="n">
        <f aca="false" ca="false" dt2D="false" dtr="false" t="normal">P496</f>
        <v>0</v>
      </c>
      <c r="R496" s="120" t="s">
        <v>206</v>
      </c>
      <c r="S496" s="131" t="s">
        <v>196</v>
      </c>
      <c r="T496" s="136" t="n">
        <f aca="false" ca="false" dt2D="false" dtr="false" t="normal">MID(I490, 7, 1)</f>
        <v>0</v>
      </c>
      <c r="U496" s="137" t="n">
        <f aca="false" ca="false" dt2D="false" dtr="false" t="normal">T496</f>
        <v>0</v>
      </c>
      <c r="V496" s="120" t="s">
        <v>206</v>
      </c>
      <c r="W496" s="131" t="s">
        <v>196</v>
      </c>
      <c r="X496" s="136" t="n">
        <f aca="false" ca="false" dt2D="false" dtr="false" t="normal">MID(J490, 7, 1)</f>
        <v>0</v>
      </c>
      <c r="Y496" s="137" t="n">
        <f aca="false" ca="false" dt2D="false" dtr="false" t="normal">X496</f>
        <v>0</v>
      </c>
      <c r="Z496" s="120" t="s">
        <v>206</v>
      </c>
      <c r="AA496" s="139" t="s">
        <v>1938</v>
      </c>
      <c r="AB496" s="136" t="n">
        <f aca="false" ca="false" dt2D="false" dtr="false" t="normal">MID(K490, 7, 1)</f>
        <v>0</v>
      </c>
      <c r="AC496" s="137" t="n">
        <f aca="false" ca="false" dt2D="false" dtr="false" t="normal">AB496</f>
        <v>0</v>
      </c>
      <c r="AD496" s="120" t="s">
        <v>206</v>
      </c>
      <c r="AE496" s="139" t="s">
        <v>1939</v>
      </c>
      <c r="AF496" s="136" t="n">
        <f aca="false" ca="false" dt2D="false" dtr="false" t="normal">MID(L490, 7, 1)</f>
        <v>0</v>
      </c>
      <c r="AG496" s="137" t="n">
        <f aca="false" ca="false" dt2D="false" dtr="false" t="normal">AF496</f>
        <v>0</v>
      </c>
      <c r="AH496" s="120" t="s">
        <v>206</v>
      </c>
      <c r="AI496" s="139" t="s">
        <v>1940</v>
      </c>
      <c r="AJ496" s="5145" t="s"/>
      <c r="AK496" s="5146" t="s"/>
      <c r="AL496" s="5147" t="s"/>
    </row>
    <row hidden="false" ht="15.75" outlineLevel="0" r="497">
      <c r="C497" s="180" t="s">
        <v>194</v>
      </c>
      <c r="D497" s="299" t="str">
        <f aca="false" ca="false" dt2D="false" dtr="false" t="normal">D492</f>
        <v/>
      </c>
      <c r="E497" s="299" t="str">
        <f aca="false" ca="false" dt2D="false" dtr="false" t="normal">E492</f>
        <v/>
      </c>
      <c r="F497" s="299" t="str">
        <f aca="false" ca="false" dt2D="false" dtr="false" t="normal">F492</f>
        <v/>
      </c>
      <c r="G497" s="299" t="str">
        <f aca="false" ca="false" dt2D="false" dtr="false" t="normal">G492</f>
        <v/>
      </c>
      <c r="H497" s="45" t="n"/>
      <c r="I497" s="45" t="n"/>
      <c r="J497" s="45" t="n"/>
      <c r="K497" s="45" t="n"/>
      <c r="L497" s="45" t="n"/>
      <c r="M497" s="45" t="n"/>
      <c r="N497" s="49" t="n"/>
      <c r="P497" s="182" t="n">
        <f aca="false" ca="false" dt2D="false" dtr="false" t="normal">MID(H490, 8, 1)</f>
        <v>0</v>
      </c>
      <c r="Q497" s="183" t="n">
        <f aca="false" ca="false" dt2D="false" dtr="false" t="normal">P497</f>
        <v>0</v>
      </c>
      <c r="R497" s="184" t="s">
        <v>208</v>
      </c>
      <c r="S497" s="185" t="s">
        <v>196</v>
      </c>
      <c r="T497" s="182" t="n">
        <f aca="false" ca="false" dt2D="false" dtr="false" t="normal">MID(I490, 8, 1)</f>
        <v>0</v>
      </c>
      <c r="U497" s="183" t="n">
        <f aca="false" ca="false" dt2D="false" dtr="false" t="normal">T497</f>
        <v>0</v>
      </c>
      <c r="V497" s="184" t="s">
        <v>208</v>
      </c>
      <c r="W497" s="187" t="s">
        <v>1941</v>
      </c>
      <c r="X497" s="182" t="n">
        <f aca="false" ca="false" dt2D="false" dtr="false" t="normal">MID(J490, 8, 1)</f>
        <v>0</v>
      </c>
      <c r="Y497" s="183" t="n">
        <f aca="false" ca="false" dt2D="false" dtr="false" t="normal">X497</f>
        <v>0</v>
      </c>
      <c r="Z497" s="184" t="s">
        <v>208</v>
      </c>
      <c r="AA497" s="187" t="s">
        <v>1942</v>
      </c>
      <c r="AB497" s="182" t="n">
        <f aca="false" ca="false" dt2D="false" dtr="false" t="normal">MID(K490, 8, 1)</f>
        <v>0</v>
      </c>
      <c r="AC497" s="183" t="n">
        <f aca="false" ca="false" dt2D="false" dtr="false" t="normal">AB497</f>
        <v>0</v>
      </c>
      <c r="AD497" s="184" t="s">
        <v>208</v>
      </c>
      <c r="AE497" s="187" t="s">
        <v>1943</v>
      </c>
      <c r="AF497" s="182" t="n">
        <f aca="false" ca="false" dt2D="false" dtr="false" t="normal">MID(L490, 8, 1)</f>
        <v>0</v>
      </c>
      <c r="AG497" s="183" t="n">
        <f aca="false" ca="false" dt2D="false" dtr="false" t="normal">AF497</f>
        <v>0</v>
      </c>
      <c r="AH497" s="184" t="s">
        <v>208</v>
      </c>
      <c r="AI497" s="187" t="s">
        <v>1944</v>
      </c>
      <c r="AJ497" s="5148" t="s"/>
      <c r="AK497" s="5149" t="s"/>
      <c r="AL497" s="5150" t="s"/>
    </row>
    <row hidden="false" ht="15.75" outlineLevel="0" r="498">
      <c r="C498" s="93" t="n"/>
      <c r="D498" s="94" t="n"/>
      <c r="E498" s="94" t="n"/>
      <c r="F498" s="94" t="n"/>
      <c r="G498" s="94" t="n"/>
      <c r="H498" s="94" t="n"/>
      <c r="I498" s="94" t="n"/>
      <c r="J498" s="94" t="n"/>
      <c r="K498" s="94" t="n"/>
      <c r="L498" s="94" t="n"/>
      <c r="M498" s="94" t="s">
        <v>161</v>
      </c>
      <c r="N498" s="60" t="n"/>
      <c r="P498" s="95" t="str">
        <f aca="false" ca="false" dt2D="false" dtr="false" t="normal">RIGHT(D500, 1)&amp;E500&amp;"-"&amp;F500&amp;"-"&amp;G500</f>
        <v>--</v>
      </c>
      <c r="Q498" s="5151" t="s"/>
      <c r="R498" s="234" t="s">
        <v>1945</v>
      </c>
      <c r="S498" s="5152" t="s"/>
      <c r="T498" s="5153" t="s"/>
      <c r="U498" s="5154" t="s"/>
      <c r="V498" s="5155" t="s"/>
      <c r="W498" s="5156" t="s"/>
      <c r="X498" s="5157" t="s"/>
      <c r="Y498" s="5158" t="s"/>
      <c r="Z498" s="5159" t="s"/>
      <c r="AA498" s="5160" t="s"/>
      <c r="AB498" s="5161" t="s"/>
      <c r="AC498" s="5162" t="s"/>
      <c r="AD498" s="5163" t="s"/>
      <c r="AE498" s="5164" t="s"/>
      <c r="AF498" s="5165" t="s"/>
      <c r="AG498" s="5166" t="s"/>
      <c r="AH498" s="5167" t="s"/>
      <c r="AI498" s="5168" t="s"/>
      <c r="AJ498" s="5169" t="s"/>
      <c r="AK498" s="5170" t="s"/>
      <c r="AL498" s="5171" t="s"/>
    </row>
    <row hidden="false" ht="15.75" outlineLevel="0" r="499">
      <c r="C499" s="98" t="n"/>
      <c r="D499" s="99" t="s">
        <v>1946</v>
      </c>
      <c r="E499" s="5172" t="s"/>
      <c r="F499" s="5173" t="s"/>
      <c r="G499" s="5174" t="s"/>
      <c r="H499" s="53" t="s">
        <v>165</v>
      </c>
      <c r="I499" s="53" t="s">
        <v>166</v>
      </c>
      <c r="J499" s="53" t="s">
        <v>167</v>
      </c>
      <c r="K499" s="53" t="s">
        <v>168</v>
      </c>
      <c r="L499" s="53" t="s">
        <v>169</v>
      </c>
      <c r="M499" s="53" t="s">
        <v>221</v>
      </c>
      <c r="N499" s="63" t="n"/>
      <c r="P499" s="103" t="s">
        <v>1947</v>
      </c>
      <c r="Q499" s="5175" t="s"/>
      <c r="R499" s="5176" t="s"/>
      <c r="S499" s="5177" t="s"/>
      <c r="T499" s="103" t="s">
        <v>1948</v>
      </c>
      <c r="U499" s="5178" t="s"/>
      <c r="V499" s="5179" t="s"/>
      <c r="W499" s="5180" t="s"/>
      <c r="X499" s="103" t="s">
        <v>1949</v>
      </c>
      <c r="Y499" s="5181" t="s"/>
      <c r="Z499" s="5182" t="s"/>
      <c r="AA499" s="5183" t="s"/>
      <c r="AB499" s="103" t="s">
        <v>1950</v>
      </c>
      <c r="AC499" s="5184" t="s"/>
      <c r="AD499" s="5185" t="s"/>
      <c r="AE499" s="5186" t="s"/>
      <c r="AF499" s="103" t="s">
        <v>1951</v>
      </c>
      <c r="AG499" s="5187" t="s"/>
      <c r="AH499" s="5188" t="s"/>
      <c r="AI499" s="5189" t="s"/>
      <c r="AJ499" s="103" t="s">
        <v>1952</v>
      </c>
      <c r="AK499" s="5190" t="s"/>
      <c r="AL499" s="5191" t="s"/>
    </row>
    <row hidden="false" ht="15.75" outlineLevel="0" r="500">
      <c r="C500" s="98" t="s">
        <v>176</v>
      </c>
      <c r="D500" s="122" t="str">
        <f aca="false" ca="false" dt2D="false" dtr="false" t="normal">IF(J412="", "", 7)</f>
        <v/>
      </c>
      <c r="E500" s="123" t="str">
        <f aca="false" ca="false" dt2D="false" dtr="false" t="normal">IF(J412="", "", 20)</f>
        <v/>
      </c>
      <c r="F500" s="123" t="str">
        <f aca="false" ca="false" dt2D="false" dtr="false" t="normal">IF(J412="", "", 4)</f>
        <v/>
      </c>
      <c r="G500" s="124" t="str">
        <f aca="false" ca="false" dt2D="false" dtr="false" t="normal">IF(J412="", "", 36)</f>
        <v/>
      </c>
      <c r="H500" s="1819" t="str">
        <f aca="false" ca="false" dt2D="false" dtr="false" ref="H500:H500" t="array">_XLFN.IFNA(MID(INDEX($A$3:$A$70, IF(ISNA(MATCH("720G4I4*", $A$3:$A$70, 0))=TRUE, MATCH("7200436*", $A$3:$A$70, 0), MATCH("720G4I4*", $A$3:$A$70, 0))), $AU$8, 2), "")</f>
        <v/>
      </c>
      <c r="I500" s="1820" t="str">
        <f aca="false" ca="false" dt2D="false" dtr="false" ref="I500:I500" t="array">_XLFN.IFNA(MID(INDEX($A$3:$A$70, IF(ISNA(MATCH("720G4I4*", $A$3:$A$70, 0))=TRUE, MATCH("7200436*", $A$3:$A$70, 0), MATCH("720G4I4*", $A$3:$A$70, 0))), $AV$8, 2), "")</f>
        <v/>
      </c>
      <c r="J500" s="164" t="str">
        <f aca="false" ca="false" dt2D="false" dtr="false" ref="J500:J500" t="array">_XLFN.IFNA(MID(INDEX($A$3:$A$70, IF(ISNA(MATCH("720G4I4*", $A$3:$A$70, 0))=TRUE, MATCH("7200436*", $A$3:$A$70, 0), MATCH("720G4I4*", $A$3:$A$70, 0))), $AW$8, 2), "")</f>
        <v/>
      </c>
      <c r="K500" s="1820" t="str">
        <f aca="false" ca="false" dt2D="false" dtr="false" ref="K500:K500" t="array">_XLFN.IFNA(MID(INDEX($A$3:$A$70, IF(ISNA(MATCH("720G4I4*", $A$3:$A$70, 0))=TRUE, MATCH("7200436*", $A$3:$A$70, 0), MATCH("720G4I4*", $A$3:$A$70, 0))), $AX$8, 2), "")</f>
        <v/>
      </c>
      <c r="L500" s="1821" t="str">
        <f aca="false" ca="false" dt2D="false" dtr="false" ref="L500:L500" t="array">_XLFN.IFNA(MID(INDEX($A$3:$A$70, IF(ISNA(MATCH("720G4I4*", $A$3:$A$70, 0))=TRUE, MATCH("7200436*", $A$3:$A$70, 0), MATCH("720G4I4*", $A$3:$A$70, 0))), $AY$8, 2), "")</f>
        <v/>
      </c>
      <c r="M500" s="218" t="str">
        <f aca="false" ca="false" dt2D="false" dtr="false" ref="M500:M500" t="array">_XLFN.IFNA(MID(INDEX($A$3:$A$70, IF(ISNA(MATCH("720G4I4*", $A$3:$A$70, 0))=TRUE, MATCH("7200436*", $A$3:$A$70, 0), MATCH("720G4I4*", $A$3:$A$70, 0))), $AZ$8, 2), "")</f>
        <v/>
      </c>
      <c r="N500" s="63" t="s">
        <v>180</v>
      </c>
      <c r="P500" s="129" t="s">
        <v>180</v>
      </c>
      <c r="Q500" s="130" t="s">
        <v>181</v>
      </c>
      <c r="R500" s="121" t="s">
        <v>182</v>
      </c>
      <c r="S500" s="131" t="n"/>
      <c r="T500" s="116" t="n"/>
      <c r="U500" s="5192" t="s"/>
      <c r="V500" s="5193" t="s"/>
      <c r="W500" s="5194" t="s"/>
      <c r="X500" s="116" t="n"/>
      <c r="Y500" s="5195" t="s"/>
      <c r="Z500" s="5196" t="s"/>
      <c r="AA500" s="5197" t="s"/>
      <c r="AB500" s="129" t="s">
        <v>180</v>
      </c>
      <c r="AC500" s="130" t="s">
        <v>181</v>
      </c>
      <c r="AD500" s="121" t="s">
        <v>182</v>
      </c>
      <c r="AE500" s="131" t="n"/>
      <c r="AF500" s="129" t="s">
        <v>180</v>
      </c>
      <c r="AG500" s="130" t="s">
        <v>181</v>
      </c>
      <c r="AH500" s="121" t="s">
        <v>182</v>
      </c>
      <c r="AI500" s="121" t="n"/>
      <c r="AJ500" s="116" t="s">
        <v>183</v>
      </c>
      <c r="AK500" s="5198" t="s"/>
      <c r="AL500" s="5199" t="s"/>
    </row>
    <row hidden="false" ht="15" outlineLevel="0" r="501">
      <c r="C501" s="98" t="s">
        <v>185</v>
      </c>
      <c r="D501" s="53" t="n">
        <f aca="false" ca="false" dt2D="false" dtr="false" t="normal">HEX2BIN(D500, 8)</f>
        <v>0</v>
      </c>
      <c r="E501" s="53" t="n">
        <f aca="false" ca="false" dt2D="false" dtr="false" t="normal">HEX2BIN(E500, 8)</f>
        <v>0</v>
      </c>
      <c r="F501" s="53" t="n">
        <f aca="false" ca="false" dt2D="false" dtr="false" t="normal">HEX2BIN(F500, 8)</f>
        <v>0</v>
      </c>
      <c r="G501" s="53" t="n">
        <f aca="false" ca="false" dt2D="false" dtr="false" t="normal">HEX2BIN(G500, 8)</f>
        <v>0</v>
      </c>
      <c r="H501" s="53" t="n">
        <f aca="false" ca="false" dt2D="false" dtr="false" t="normal">HEX2BIN(H500, 8)</f>
        <v>0</v>
      </c>
      <c r="I501" s="53" t="n">
        <f aca="false" ca="false" dt2D="false" dtr="false" t="normal">HEX2BIN(I500, 8)</f>
        <v>0</v>
      </c>
      <c r="J501" s="53" t="n">
        <f aca="false" ca="false" dt2D="false" dtr="false" t="normal">HEX2BIN(J500, 8)</f>
        <v>0</v>
      </c>
      <c r="K501" s="53" t="n">
        <f aca="false" ca="false" dt2D="false" dtr="false" t="normal">HEX2BIN(K500, 8)</f>
        <v>0</v>
      </c>
      <c r="L501" s="53" t="n">
        <f aca="false" ca="false" dt2D="false" dtr="false" t="normal">HEX2BIN(L500, 8)</f>
        <v>0</v>
      </c>
      <c r="N501" s="63" t="n"/>
      <c r="P501" s="136" t="n">
        <f aca="false" ca="false" dt2D="false" dtr="false" t="normal">MID(H501, 1, 1)</f>
        <v>0</v>
      </c>
      <c r="Q501" s="137" t="n">
        <f aca="false" ca="false" dt2D="false" dtr="false" t="normal">P501</f>
        <v>0</v>
      </c>
      <c r="R501" s="120" t="s">
        <v>186</v>
      </c>
      <c r="S501" s="139" t="s">
        <v>1953</v>
      </c>
      <c r="T501" s="5200" t="s"/>
      <c r="U501" s="142" t="s"/>
      <c r="V501" s="142" t="s"/>
      <c r="W501" s="5201" t="s"/>
      <c r="X501" s="5202" t="s"/>
      <c r="Y501" s="142" t="s"/>
      <c r="Z501" s="142" t="s"/>
      <c r="AA501" s="5203" t="s"/>
      <c r="AB501" s="136" t="n">
        <f aca="false" ca="false" dt2D="false" dtr="false" t="normal">MID(K501, 1, 1)</f>
        <v>0</v>
      </c>
      <c r="AC501" s="137" t="n">
        <f aca="false" ca="false" dt2D="false" dtr="false" t="normal">AB501</f>
        <v>0</v>
      </c>
      <c r="AD501" s="120" t="s">
        <v>186</v>
      </c>
      <c r="AE501" s="139" t="s">
        <v>1954</v>
      </c>
      <c r="AF501" s="136" t="n">
        <f aca="false" ca="false" dt2D="false" dtr="false" t="normal">MID(L501, 1, 1)</f>
        <v>0</v>
      </c>
      <c r="AG501" s="137" t="n">
        <f aca="false" ca="false" dt2D="false" dtr="false" t="normal">AF501</f>
        <v>0</v>
      </c>
      <c r="AH501" s="120" t="s">
        <v>186</v>
      </c>
      <c r="AI501" s="131" t="s">
        <v>196</v>
      </c>
      <c r="AJ501" s="5204" t="s"/>
      <c r="AK501" s="5205" t="s"/>
      <c r="AL501" s="5206" t="s"/>
    </row>
    <row hidden="false" ht="15" outlineLevel="0" r="502">
      <c r="C502" s="98" t="s">
        <v>191</v>
      </c>
      <c r="D502" s="53" t="n">
        <f aca="false" ca="false" dt2D="false" dtr="false" t="normal">HEX2DEC(D500)</f>
        <v>0</v>
      </c>
      <c r="E502" s="53" t="n">
        <f aca="false" ca="false" dt2D="false" dtr="false" t="normal">HEX2DEC(E500)</f>
        <v>0</v>
      </c>
      <c r="F502" s="53" t="n">
        <f aca="false" ca="false" dt2D="false" dtr="false" t="normal">HEX2DEC(F500)</f>
        <v>0</v>
      </c>
      <c r="G502" s="53" t="n">
        <f aca="false" ca="false" dt2D="false" dtr="false" t="normal">HEX2DEC(G500)</f>
        <v>0</v>
      </c>
      <c r="H502" s="53" t="n">
        <f aca="false" ca="false" dt2D="false" dtr="false" t="normal">HEX2DEC(H500)</f>
        <v>0</v>
      </c>
      <c r="I502" s="53" t="n">
        <f aca="false" ca="false" dt2D="false" dtr="false" t="normal">HEX2DEC(I500)</f>
        <v>0</v>
      </c>
      <c r="J502" s="53" t="n">
        <f aca="false" ca="false" dt2D="false" dtr="false" t="normal">HEX2DEC(J500)</f>
        <v>0</v>
      </c>
      <c r="K502" s="53" t="n">
        <f aca="false" ca="false" dt2D="false" dtr="false" t="normal">HEX2DEC(K500)</f>
        <v>0</v>
      </c>
      <c r="L502" s="53" t="n">
        <f aca="false" ca="false" dt2D="false" dtr="false" t="normal">HEX2DEC(L500)</f>
        <v>0</v>
      </c>
      <c r="M502" s="53" t="n">
        <f aca="false" ca="false" dt2D="false" dtr="false" t="normal">SUM(D502:L502)</f>
        <v>0</v>
      </c>
      <c r="N502" s="63" t="n"/>
      <c r="P502" s="136" t="n">
        <f aca="false" ca="false" dt2D="false" dtr="false" t="normal">MID(H501, 2, 1)</f>
        <v>0</v>
      </c>
      <c r="Q502" s="137" t="n">
        <f aca="false" ca="false" dt2D="false" dtr="false" t="normal">P502</f>
        <v>0</v>
      </c>
      <c r="R502" s="120" t="s">
        <v>192</v>
      </c>
      <c r="S502" s="139" t="s">
        <v>1955</v>
      </c>
      <c r="T502" s="5207" t="s"/>
      <c r="U502" s="142" t="s"/>
      <c r="V502" s="142" t="s"/>
      <c r="W502" s="5208" t="s"/>
      <c r="X502" s="5209" t="s"/>
      <c r="Y502" s="142" t="s"/>
      <c r="Z502" s="142" t="s"/>
      <c r="AA502" s="5210" t="s"/>
      <c r="AB502" s="136" t="n">
        <f aca="false" ca="false" dt2D="false" dtr="false" t="normal">MID(K501, 2, 1)</f>
        <v>0</v>
      </c>
      <c r="AC502" s="137" t="n">
        <f aca="false" ca="false" dt2D="false" dtr="false" t="normal">AB502</f>
        <v>0</v>
      </c>
      <c r="AD502" s="120" t="s">
        <v>192</v>
      </c>
      <c r="AE502" s="1194" t="s">
        <v>574</v>
      </c>
      <c r="AF502" s="136" t="n">
        <f aca="false" ca="false" dt2D="false" dtr="false" t="normal">MID(L501, 2, 1)</f>
        <v>0</v>
      </c>
      <c r="AG502" s="137" t="n">
        <f aca="false" ca="false" dt2D="false" dtr="false" t="normal">AF502</f>
        <v>0</v>
      </c>
      <c r="AH502" s="120" t="s">
        <v>192</v>
      </c>
      <c r="AI502" s="139" t="s">
        <v>1956</v>
      </c>
      <c r="AJ502" s="5211" t="s"/>
      <c r="AK502" s="5212" t="s"/>
      <c r="AL502" s="5213" t="s"/>
    </row>
    <row hidden="false" ht="15" outlineLevel="0" r="503">
      <c r="C503" s="98" t="s">
        <v>194</v>
      </c>
      <c r="D503" s="149" t="str">
        <f aca="false" ca="false" dt2D="false" dtr="false" t="normal">D500</f>
        <v/>
      </c>
      <c r="E503" s="149" t="str">
        <f aca="false" ca="false" dt2D="false" dtr="false" t="normal">E500</f>
        <v/>
      </c>
      <c r="F503" s="53" t="str">
        <f aca="false" ca="false" dt2D="false" dtr="false" t="normal">_XLFN.IFNA(MID(INDEX($A$3:$A$70, IF(ISNA(MATCH("720G4I4*", $A$3:$A$70, 0))=TRUE, MATCH("7200436*", $A$3:$A$70, 0), MATCH("720G4I4*", $A$3:$A$70, 0))), $AS$8, 2), "")</f>
        <v/>
      </c>
      <c r="G503" s="53" t="str">
        <f aca="false" ca="false" dt2D="false" dtr="false" t="normal">_XLFN.IFNA(MID(INDEX($A$3:$A$70, IF(ISNA(MATCH("720G4I4*", $A$3:$A$70, 0))=TRUE, MATCH("7200436*", $A$3:$A$70, 0), MATCH("720G4I4*", $A$3:$A$70, 0))), $AT$8, 2), "")</f>
        <v/>
      </c>
      <c r="N503" s="63" t="n"/>
      <c r="P503" s="136" t="n">
        <f aca="false" ca="false" dt2D="false" dtr="false" t="normal">MID(H501, 3, 1)</f>
        <v>0</v>
      </c>
      <c r="Q503" s="137" t="n">
        <f aca="false" ca="false" dt2D="false" dtr="false" t="normal">P503</f>
        <v>0</v>
      </c>
      <c r="R503" s="120" t="s">
        <v>195</v>
      </c>
      <c r="S503" s="139" t="s">
        <v>1957</v>
      </c>
      <c r="T503" s="5214" t="s"/>
      <c r="U503" s="142" t="s"/>
      <c r="V503" s="142" t="s"/>
      <c r="W503" s="5215" t="s"/>
      <c r="X503" s="5216" t="s"/>
      <c r="Y503" s="142" t="s"/>
      <c r="Z503" s="142" t="s"/>
      <c r="AA503" s="5217" t="s"/>
      <c r="AB503" s="136" t="n">
        <f aca="false" ca="false" dt2D="false" dtr="false" t="normal">MID(K501, 3, 1)</f>
        <v>0</v>
      </c>
      <c r="AC503" s="137" t="n">
        <f aca="false" ca="false" dt2D="false" dtr="false" t="normal">AB503</f>
        <v>0</v>
      </c>
      <c r="AD503" s="120" t="s">
        <v>195</v>
      </c>
      <c r="AE503" s="131" t="s">
        <v>196</v>
      </c>
      <c r="AF503" s="136" t="n">
        <f aca="false" ca="false" dt2D="false" dtr="false" t="normal">MID(L501, 3, 1)</f>
        <v>0</v>
      </c>
      <c r="AG503" s="137" t="n">
        <f aca="false" ca="false" dt2D="false" dtr="false" t="normal">AF503</f>
        <v>0</v>
      </c>
      <c r="AH503" s="120" t="s">
        <v>195</v>
      </c>
      <c r="AI503" s="139" t="s">
        <v>1958</v>
      </c>
      <c r="AJ503" s="5218" t="s"/>
      <c r="AK503" s="5219" t="s"/>
      <c r="AL503" s="5220" t="s"/>
    </row>
    <row hidden="false" ht="15.75" outlineLevel="0" r="504">
      <c r="C504" s="98" t="n"/>
      <c r="N504" s="63" t="n"/>
      <c r="P504" s="136" t="n">
        <f aca="false" ca="false" dt2D="false" dtr="false" t="normal">MID(H501, 4, 1)</f>
        <v>0</v>
      </c>
      <c r="Q504" s="137" t="n">
        <f aca="false" ca="false" dt2D="false" dtr="false" t="normal">P504</f>
        <v>0</v>
      </c>
      <c r="R504" s="120" t="s">
        <v>197</v>
      </c>
      <c r="S504" s="139" t="s">
        <v>1959</v>
      </c>
      <c r="T504" s="5221" t="s"/>
      <c r="U504" s="142" t="s"/>
      <c r="V504" s="142" t="s"/>
      <c r="W504" s="5222" t="s"/>
      <c r="X504" s="5223" t="s"/>
      <c r="Y504" s="142" t="s"/>
      <c r="Z504" s="142" t="s"/>
      <c r="AA504" s="5224" t="s"/>
      <c r="AB504" s="136" t="n">
        <f aca="false" ca="false" dt2D="false" dtr="false" t="normal">MID(K501, 4, 1)</f>
        <v>0</v>
      </c>
      <c r="AC504" s="137" t="n">
        <f aca="false" ca="false" dt2D="false" dtr="false" t="normal">AB504</f>
        <v>0</v>
      </c>
      <c r="AD504" s="120" t="s">
        <v>197</v>
      </c>
      <c r="AE504" s="131" t="s">
        <v>196</v>
      </c>
      <c r="AF504" s="136" t="n">
        <f aca="false" ca="false" dt2D="false" dtr="false" t="normal">MID(L501, 4, 1)</f>
        <v>0</v>
      </c>
      <c r="AG504" s="137" t="n">
        <f aca="false" ca="false" dt2D="false" dtr="false" t="normal">AF504</f>
        <v>0</v>
      </c>
      <c r="AH504" s="120" t="s">
        <v>197</v>
      </c>
      <c r="AI504" s="1194" t="s">
        <v>1960</v>
      </c>
      <c r="AJ504" s="5225" t="s"/>
      <c r="AK504" s="5226" t="s"/>
      <c r="AL504" s="5227" t="s"/>
    </row>
    <row hidden="false" ht="15.75" outlineLevel="0" r="505">
      <c r="C505" s="98" t="s">
        <v>176</v>
      </c>
      <c r="D505" s="159" t="str">
        <f aca="false" ca="false" dt2D="false" dtr="false" t="normal">D500</f>
        <v/>
      </c>
      <c r="E505" s="160" t="str">
        <f aca="false" ca="false" dt2D="false" dtr="false" t="normal">E500</f>
        <v/>
      </c>
      <c r="F505" s="160" t="str">
        <f aca="false" ca="false" dt2D="false" dtr="false" t="normal">F500</f>
        <v/>
      </c>
      <c r="G505" s="161" t="str">
        <f aca="false" ca="false" dt2D="false" dtr="false" t="normal">G500</f>
        <v/>
      </c>
      <c r="H505" s="162" t="str">
        <f aca="false" ca="false" dt2D="false" dtr="false" t="normal">IF(J412="", "", BIN2HEX(H506, 2))</f>
        <v/>
      </c>
      <c r="I505" s="1916" t="str">
        <f aca="false" ca="false" dt2D="false" dtr="false" t="normal">I500</f>
        <v/>
      </c>
      <c r="J505" s="2217" t="str">
        <f aca="false" ca="false" dt2D="false" dtr="false" t="normal">J500</f>
        <v/>
      </c>
      <c r="K505" s="165" t="str">
        <f aca="false" ca="false" dt2D="false" dtr="false" t="normal">IF(J412="", "", BIN2HEX(K506, 2))</f>
        <v/>
      </c>
      <c r="L505" s="288" t="str">
        <f aca="false" ca="false" dt2D="false" dtr="false" t="normal">IF(J412="", "", BIN2HEX(L506, 2))</f>
        <v/>
      </c>
      <c r="M505" s="166" t="str">
        <f aca="false" ca="false" dt2D="false" dtr="false" t="normal">IF(J412="", "", IF(LEN(M506)&gt;2, MID(M506, 2, 2), M506))</f>
        <v/>
      </c>
      <c r="N505" s="63" t="s">
        <v>181</v>
      </c>
      <c r="P505" s="136" t="n">
        <f aca="false" ca="false" dt2D="false" dtr="false" t="normal">MID(H501, 5, 1)</f>
        <v>0</v>
      </c>
      <c r="Q505" s="137" t="n">
        <f aca="false" ca="false" dt2D="false" dtr="false" t="normal">P505</f>
        <v>0</v>
      </c>
      <c r="R505" s="120" t="s">
        <v>200</v>
      </c>
      <c r="S505" s="139" t="s">
        <v>1961</v>
      </c>
      <c r="T505" s="5228" t="s"/>
      <c r="U505" s="142" t="s"/>
      <c r="V505" s="142" t="s"/>
      <c r="W505" s="5229" t="s"/>
      <c r="X505" s="5230" t="s"/>
      <c r="Y505" s="142" t="s"/>
      <c r="Z505" s="142" t="s"/>
      <c r="AA505" s="5231" t="s"/>
      <c r="AB505" s="136" t="n">
        <f aca="false" ca="false" dt2D="false" dtr="false" t="normal">MID(K501, 5, 1)</f>
        <v>0</v>
      </c>
      <c r="AC505" s="137" t="n">
        <f aca="false" ca="false" dt2D="false" dtr="false" t="normal">AB505</f>
        <v>0</v>
      </c>
      <c r="AD505" s="120" t="s">
        <v>200</v>
      </c>
      <c r="AE505" s="131" t="s">
        <v>196</v>
      </c>
      <c r="AF505" s="136" t="n">
        <f aca="false" ca="false" dt2D="false" dtr="false" t="normal">MID(L501, 5, 1)</f>
        <v>0</v>
      </c>
      <c r="AG505" s="137" t="n">
        <f aca="false" ca="false" dt2D="false" dtr="false" t="normal">AF505</f>
        <v>0</v>
      </c>
      <c r="AH505" s="120" t="s">
        <v>200</v>
      </c>
      <c r="AI505" s="139" t="s">
        <v>1962</v>
      </c>
      <c r="AJ505" s="5232" t="s"/>
      <c r="AK505" s="5233" t="s"/>
      <c r="AL505" s="5234" t="s"/>
    </row>
    <row hidden="false" ht="15" outlineLevel="0" r="506">
      <c r="C506" s="98" t="s">
        <v>185</v>
      </c>
      <c r="D506" s="53" t="n">
        <f aca="false" ca="false" dt2D="false" dtr="false" t="normal">HEX2BIN(D505, 8)</f>
        <v>0</v>
      </c>
      <c r="E506" s="53" t="n">
        <f aca="false" ca="false" dt2D="false" dtr="false" t="normal">HEX2BIN(E505, 8)</f>
        <v>0</v>
      </c>
      <c r="F506" s="53" t="n">
        <f aca="false" ca="false" dt2D="false" dtr="false" t="normal">HEX2BIN(F505, 8)</f>
        <v>0</v>
      </c>
      <c r="G506" s="53" t="n">
        <f aca="false" ca="false" dt2D="false" dtr="false" t="normal">HEX2BIN(G505, 8)</f>
        <v>0</v>
      </c>
      <c r="H506" s="171" t="n">
        <f aca="false" ca="false" dt2D="false" dtr="false" t="normal">Q501&amp;Q502&amp;Q503&amp;Q504&amp;Q505&amp;Q506&amp;Q507&amp;Q508</f>
        <v>0</v>
      </c>
      <c r="I506" s="53" t="n"/>
      <c r="J506" s="171" t="n"/>
      <c r="K506" s="171" t="n">
        <f aca="false" ca="false" dt2D="false" dtr="false" t="normal">AC501&amp;AC502&amp;AC503&amp;AC504&amp;AC505&amp;AC506&amp;AC507&amp;AC508</f>
        <v>0</v>
      </c>
      <c r="L506" s="53" t="n">
        <f aca="false" ca="false" dt2D="false" dtr="false" t="normal">AG501&amp;AG502&amp;AG503&amp;AG504&amp;AG505&amp;AG506&amp;AG507&amp;AG508</f>
        <v>0</v>
      </c>
      <c r="M506" s="53" t="n">
        <f aca="false" ca="false" dt2D="false" dtr="false" t="normal">DEC2HEX(M507)</f>
        <v>0</v>
      </c>
      <c r="N506" s="63" t="n"/>
      <c r="P506" s="136" t="n">
        <f aca="false" ca="false" dt2D="false" dtr="false" t="normal">MID(H501, 6, 1)</f>
        <v>0</v>
      </c>
      <c r="Q506" s="137" t="n">
        <f aca="false" ca="false" dt2D="false" dtr="false" t="normal">P506</f>
        <v>0</v>
      </c>
      <c r="R506" s="120" t="s">
        <v>203</v>
      </c>
      <c r="S506" s="139" t="s">
        <v>1963</v>
      </c>
      <c r="T506" s="5235" t="s"/>
      <c r="U506" s="142" t="s"/>
      <c r="V506" s="142" t="s"/>
      <c r="W506" s="5236" t="s"/>
      <c r="X506" s="5237" t="s"/>
      <c r="Y506" s="142" t="s"/>
      <c r="Z506" s="142" t="s"/>
      <c r="AA506" s="5238" t="s"/>
      <c r="AB506" s="136" t="n">
        <f aca="false" ca="false" dt2D="false" dtr="false" t="normal">MID(K501, 6, 1)</f>
        <v>0</v>
      </c>
      <c r="AC506" s="137" t="n">
        <f aca="false" ca="false" dt2D="false" dtr="false" t="normal">AB506</f>
        <v>0</v>
      </c>
      <c r="AD506" s="120" t="s">
        <v>203</v>
      </c>
      <c r="AE506" s="1194" t="s">
        <v>1964</v>
      </c>
      <c r="AF506" s="136" t="n">
        <f aca="false" ca="false" dt2D="false" dtr="false" t="normal">MID(L501, 6, 1)</f>
        <v>0</v>
      </c>
      <c r="AG506" s="137" t="n">
        <f aca="false" ca="false" dt2D="false" dtr="false" t="normal">AF506</f>
        <v>0</v>
      </c>
      <c r="AH506" s="120" t="s">
        <v>203</v>
      </c>
      <c r="AI506" s="131" t="s">
        <v>196</v>
      </c>
      <c r="AJ506" s="5239" t="s"/>
      <c r="AK506" s="5240" t="s"/>
      <c r="AL506" s="5241" t="s"/>
    </row>
    <row hidden="false" ht="15" outlineLevel="0" r="507">
      <c r="C507" s="98" t="s">
        <v>191</v>
      </c>
      <c r="D507" s="53" t="n">
        <f aca="false" ca="false" dt2D="false" dtr="false" t="normal">HEX2DEC(D505)</f>
        <v>0</v>
      </c>
      <c r="E507" s="53" t="n">
        <f aca="false" ca="false" dt2D="false" dtr="false" t="normal">HEX2DEC(E505)</f>
        <v>0</v>
      </c>
      <c r="F507" s="53" t="n">
        <f aca="false" ca="false" dt2D="false" dtr="false" t="normal">HEX2DEC(F505)</f>
        <v>0</v>
      </c>
      <c r="G507" s="53" t="n">
        <f aca="false" ca="false" dt2D="false" dtr="false" t="normal">HEX2DEC(G505)</f>
        <v>0</v>
      </c>
      <c r="H507" s="53" t="n">
        <f aca="false" ca="false" dt2D="false" dtr="false" t="normal">HEX2DEC(H505)</f>
        <v>0</v>
      </c>
      <c r="I507" s="53" t="n">
        <f aca="false" ca="false" dt2D="false" dtr="false" t="normal">HEX2DEC(I505)</f>
        <v>0</v>
      </c>
      <c r="J507" s="53" t="n">
        <f aca="false" ca="false" dt2D="false" dtr="false" t="normal">HEX2DEC(J505)</f>
        <v>0</v>
      </c>
      <c r="K507" s="53" t="n">
        <f aca="false" ca="false" dt2D="false" dtr="false" t="normal">HEX2DEC(K505)</f>
        <v>0</v>
      </c>
      <c r="L507" s="53" t="n">
        <f aca="false" ca="false" dt2D="false" dtr="false" t="normal">HEX2DEC(L505)</f>
        <v>0</v>
      </c>
      <c r="M507" s="53" t="n">
        <f aca="false" ca="false" dt2D="false" dtr="false" t="normal">SUM(D507:L507)</f>
        <v>0</v>
      </c>
      <c r="N507" s="63" t="n"/>
      <c r="P507" s="136" t="n">
        <f aca="false" ca="false" dt2D="false" dtr="false" t="normal">MID(H501, 7, 1)</f>
        <v>0</v>
      </c>
      <c r="Q507" s="137" t="n">
        <f aca="false" ca="false" dt2D="false" dtr="false" t="normal">P507</f>
        <v>0</v>
      </c>
      <c r="R507" s="120" t="s">
        <v>206</v>
      </c>
      <c r="S507" s="139" t="s">
        <v>1965</v>
      </c>
      <c r="T507" s="5242" t="s"/>
      <c r="U507" s="142" t="s"/>
      <c r="V507" s="142" t="s"/>
      <c r="W507" s="5243" t="s"/>
      <c r="X507" s="5244" t="s"/>
      <c r="Y507" s="142" t="s"/>
      <c r="Z507" s="142" t="s"/>
      <c r="AA507" s="5245" t="s"/>
      <c r="AB507" s="136" t="n">
        <f aca="false" ca="false" dt2D="false" dtr="false" t="normal">MID(K501, 7, 1)</f>
        <v>0</v>
      </c>
      <c r="AC507" s="137" t="n">
        <f aca="false" ca="false" dt2D="false" dtr="false" t="normal">AB507</f>
        <v>0</v>
      </c>
      <c r="AD507" s="120" t="s">
        <v>206</v>
      </c>
      <c r="AE507" s="131" t="s">
        <v>196</v>
      </c>
      <c r="AF507" s="136" t="n">
        <f aca="false" ca="false" dt2D="false" dtr="false" t="normal">MID(L501, 7, 1)</f>
        <v>0</v>
      </c>
      <c r="AG507" s="137" t="n">
        <f aca="false" ca="false" dt2D="false" dtr="false" t="normal">AF507</f>
        <v>0</v>
      </c>
      <c r="AH507" s="120" t="s">
        <v>206</v>
      </c>
      <c r="AI507" s="131" t="s">
        <v>196</v>
      </c>
      <c r="AJ507" s="5246" t="s"/>
      <c r="AK507" s="5247" t="s"/>
      <c r="AL507" s="5248" t="s"/>
    </row>
    <row hidden="false" ht="15.75" outlineLevel="0" r="508">
      <c r="C508" s="180" t="s">
        <v>194</v>
      </c>
      <c r="D508" s="299" t="str">
        <f aca="false" ca="false" dt2D="false" dtr="false" t="normal">D503</f>
        <v/>
      </c>
      <c r="E508" s="299" t="str">
        <f aca="false" ca="false" dt2D="false" dtr="false" t="normal">E503</f>
        <v/>
      </c>
      <c r="F508" s="299" t="str">
        <f aca="false" ca="false" dt2D="false" dtr="false" t="normal">F503</f>
        <v/>
      </c>
      <c r="G508" s="299" t="str">
        <f aca="false" ca="false" dt2D="false" dtr="false" t="normal">G503</f>
        <v/>
      </c>
      <c r="H508" s="45" t="n"/>
      <c r="I508" s="45" t="n"/>
      <c r="J508" s="45" t="n"/>
      <c r="K508" s="45" t="n"/>
      <c r="L508" s="45" t="n"/>
      <c r="M508" s="45" t="n"/>
      <c r="N508" s="49" t="n"/>
      <c r="P508" s="182" t="n">
        <f aca="false" ca="false" dt2D="false" dtr="false" t="normal">MID(H501, 8, 1)</f>
        <v>0</v>
      </c>
      <c r="Q508" s="183" t="n">
        <f aca="false" ca="false" dt2D="false" dtr="false" t="normal">P508</f>
        <v>0</v>
      </c>
      <c r="R508" s="184" t="s">
        <v>208</v>
      </c>
      <c r="S508" s="187" t="s">
        <v>1966</v>
      </c>
      <c r="T508" s="5249" t="s"/>
      <c r="U508" s="5250" t="s"/>
      <c r="V508" s="5251" t="s"/>
      <c r="W508" s="5252" t="s"/>
      <c r="X508" s="5253" t="s"/>
      <c r="Y508" s="5254" t="s"/>
      <c r="Z508" s="5255" t="s"/>
      <c r="AA508" s="5256" t="s"/>
      <c r="AB508" s="182" t="n">
        <f aca="false" ca="false" dt2D="false" dtr="false" t="normal">MID(K501, 8, 1)</f>
        <v>0</v>
      </c>
      <c r="AC508" s="183" t="n">
        <f aca="false" ca="false" dt2D="false" dtr="false" t="normal">AB508</f>
        <v>0</v>
      </c>
      <c r="AD508" s="184" t="s">
        <v>208</v>
      </c>
      <c r="AE508" s="185" t="s">
        <v>196</v>
      </c>
      <c r="AF508" s="182" t="n">
        <f aca="false" ca="false" dt2D="false" dtr="false" t="normal">MID(L501, 8, 1)</f>
        <v>0</v>
      </c>
      <c r="AG508" s="183" t="n">
        <f aca="false" ca="false" dt2D="false" dtr="false" t="normal">AF508</f>
        <v>0</v>
      </c>
      <c r="AH508" s="184" t="s">
        <v>208</v>
      </c>
      <c r="AI508" s="187" t="s">
        <v>1967</v>
      </c>
      <c r="AJ508" s="5257" t="s"/>
      <c r="AK508" s="5258" t="s"/>
      <c r="AL508" s="5259" t="s"/>
    </row>
    <row hidden="false" ht="15.75" outlineLevel="0" r="509">
      <c r="C509" s="93" t="n"/>
      <c r="D509" s="94" t="n"/>
      <c r="E509" s="94" t="n"/>
      <c r="F509" s="94" t="n"/>
      <c r="G509" s="94" t="n"/>
      <c r="H509" s="94" t="n"/>
      <c r="I509" s="94" t="n"/>
      <c r="J509" s="94" t="n"/>
      <c r="K509" s="94" t="n"/>
      <c r="L509" s="94" t="n"/>
      <c r="M509" s="94" t="s">
        <v>161</v>
      </c>
      <c r="N509" s="60" t="n"/>
      <c r="P509" s="95" t="str">
        <f aca="false" ca="false" dt2D="false" dtr="false" t="normal">RIGHT(D511, 1)&amp;E511&amp;"-"&amp;F511&amp;"-"&amp;G511</f>
        <v>--</v>
      </c>
      <c r="Q509" s="5260" t="s"/>
      <c r="R509" s="234" t="s">
        <v>1968</v>
      </c>
      <c r="S509" s="5261" t="s"/>
      <c r="T509" s="5262" t="s"/>
      <c r="U509" s="5263" t="s"/>
      <c r="V509" s="5264" t="s"/>
      <c r="W509" s="5265" t="s"/>
      <c r="X509" s="5266" t="s"/>
      <c r="Y509" s="5267" t="s"/>
      <c r="Z509" s="5268" t="s"/>
      <c r="AA509" s="5269" t="s"/>
      <c r="AB509" s="5270" t="s"/>
      <c r="AC509" s="5271" t="s"/>
      <c r="AD509" s="5272" t="s"/>
      <c r="AE509" s="5273" t="s"/>
      <c r="AF509" s="5274" t="s"/>
      <c r="AG509" s="5275" t="s"/>
      <c r="AH509" s="5276" t="s"/>
      <c r="AI509" s="5277" t="s"/>
      <c r="AJ509" s="5278" t="s"/>
      <c r="AK509" s="5279" t="s"/>
      <c r="AL509" s="5280" t="s"/>
    </row>
    <row hidden="false" ht="15.75" outlineLevel="0" r="510">
      <c r="C510" s="98" t="n"/>
      <c r="D510" s="99" t="s">
        <v>1969</v>
      </c>
      <c r="E510" s="5281" t="s"/>
      <c r="F510" s="5282" t="s"/>
      <c r="G510" s="5283" t="s"/>
      <c r="H510" s="53" t="s">
        <v>165</v>
      </c>
      <c r="I510" s="53" t="s">
        <v>166</v>
      </c>
      <c r="J510" s="53" t="s">
        <v>167</v>
      </c>
      <c r="K510" s="53" t="s">
        <v>168</v>
      </c>
      <c r="L510" s="53" t="s">
        <v>169</v>
      </c>
      <c r="M510" s="53" t="s">
        <v>221</v>
      </c>
      <c r="N510" s="63" t="n"/>
      <c r="P510" s="103" t="s">
        <v>1970</v>
      </c>
      <c r="Q510" s="5284" t="s"/>
      <c r="R510" s="5285" t="s"/>
      <c r="S510" s="5286" t="s"/>
      <c r="T510" s="103" t="s">
        <v>1971</v>
      </c>
      <c r="U510" s="5287" t="s"/>
      <c r="V510" s="5288" t="s"/>
      <c r="W510" s="5289" t="s"/>
      <c r="X510" s="103" t="s">
        <v>1972</v>
      </c>
      <c r="Y510" s="5290" t="s"/>
      <c r="Z510" s="5291" t="s"/>
      <c r="AA510" s="5292" t="s"/>
      <c r="AB510" s="103" t="s">
        <v>1973</v>
      </c>
      <c r="AC510" s="5293" t="s"/>
      <c r="AD510" s="5294" t="s"/>
      <c r="AE510" s="5295" t="s"/>
      <c r="AF510" s="103" t="s">
        <v>1974</v>
      </c>
      <c r="AG510" s="5296" t="s"/>
      <c r="AH510" s="5297" t="s"/>
      <c r="AI510" s="5298" t="s"/>
      <c r="AJ510" s="103" t="s">
        <v>1975</v>
      </c>
      <c r="AK510" s="5299" t="s"/>
      <c r="AL510" s="5300" t="s"/>
    </row>
    <row hidden="false" ht="15.75" outlineLevel="0" r="511">
      <c r="C511" s="98" t="s">
        <v>176</v>
      </c>
      <c r="D511" s="122" t="str">
        <f aca="false" ca="false" dt2D="false" dtr="false" t="normal">IF(J412="", "", 7)</f>
        <v/>
      </c>
      <c r="E511" s="123" t="str">
        <f aca="false" ca="false" dt2D="false" dtr="false" t="normal">IF(J412="", "", 20)</f>
        <v/>
      </c>
      <c r="F511" s="123" t="str">
        <f aca="false" ca="false" dt2D="false" dtr="false" t="normal">IF(J412="", "", 4)</f>
        <v/>
      </c>
      <c r="G511" s="124" t="str">
        <f aca="false" ca="false" dt2D="false" dtr="false" t="normal">IF(J412="", "", 37)</f>
        <v/>
      </c>
      <c r="H511" s="1819" t="str">
        <f aca="false" ca="false" dt2D="false" dtr="false" ref="H511:H511" t="array">_XLFN.IFNA(MID(INDEX($A$3:$A$70, IF(ISNA(MATCH("720G4I5*", $A$3:$A$70, 0))=TRUE, MATCH("7200437*", $A$3:$A$70, 0), MATCH("720G4I5*", $A$3:$A$70, 0))), $AU$8, 2), "")</f>
        <v/>
      </c>
      <c r="I511" s="1820" t="str">
        <f aca="false" ca="false" dt2D="false" dtr="false" ref="I511:I511" t="array">_XLFN.IFNA(MID(INDEX($A$3:$A$70, IF(ISNA(MATCH("720G4I5*", $A$3:$A$70, 0))=TRUE, MATCH("7200437*", $A$3:$A$70, 0), MATCH("720G4I5*", $A$3:$A$70, 0))), $AV$8, 2), "")</f>
        <v/>
      </c>
      <c r="J511" s="164" t="str">
        <f aca="false" ca="false" dt2D="false" dtr="false" ref="J511:J511" t="array">_XLFN.IFNA(MID(INDEX($A$3:$A$70, IF(ISNA(MATCH("720G4I5*", $A$3:$A$70, 0))=TRUE, MATCH("7200437*", $A$3:$A$70, 0), MATCH("720G4I5*", $A$3:$A$70, 0))), $AW$8, 2), "")</f>
        <v/>
      </c>
      <c r="K511" s="1820" t="str">
        <f aca="false" ca="false" dt2D="false" dtr="false" ref="K511:K511" t="array">_XLFN.IFNA(MID(INDEX($A$3:$A$70, IF(ISNA(MATCH("720G4I5*", $A$3:$A$70, 0))=TRUE, MATCH("7200437*", $A$3:$A$70, 0), MATCH("720G4I5*", $A$3:$A$70, 0))), $AX$8, 2), "")</f>
        <v/>
      </c>
      <c r="L511" s="1821" t="str">
        <f aca="false" ca="false" dt2D="false" dtr="false" ref="L511:L511" t="array">_XLFN.IFNA(MID(INDEX($A$3:$A$70, IF(ISNA(MATCH("720G4I5*", $A$3:$A$70, 0))=TRUE, MATCH("7200437*", $A$3:$A$70, 0), MATCH("720G4I5*", $A$3:$A$70, 0))), $AY$8, 2), "")</f>
        <v/>
      </c>
      <c r="M511" s="218" t="str">
        <f aca="false" ca="false" dt2D="false" dtr="false" ref="M511:M511" t="array">_XLFN.IFNA(MID(INDEX($A$3:$A$70, IF(ISNA(MATCH("720G4I5*", $A$3:$A$70, 0))=TRUE, MATCH("7200437*", $A$3:$A$70, 0), MATCH("720G4I5*", $A$3:$A$70, 0))), $AZ$8, 2), "")</f>
        <v/>
      </c>
      <c r="N511" s="63" t="s">
        <v>180</v>
      </c>
      <c r="P511" s="129" t="s">
        <v>180</v>
      </c>
      <c r="Q511" s="130" t="s">
        <v>181</v>
      </c>
      <c r="R511" s="121" t="s">
        <v>182</v>
      </c>
      <c r="S511" s="131" t="n"/>
      <c r="T511" s="129" t="s">
        <v>180</v>
      </c>
      <c r="U511" s="130" t="s">
        <v>181</v>
      </c>
      <c r="V511" s="121" t="s">
        <v>182</v>
      </c>
      <c r="W511" s="131" t="n"/>
      <c r="X511" s="129" t="s">
        <v>180</v>
      </c>
      <c r="Y511" s="130" t="s">
        <v>181</v>
      </c>
      <c r="Z511" s="121" t="s">
        <v>182</v>
      </c>
      <c r="AA511" s="131" t="n"/>
      <c r="AB511" s="129" t="s">
        <v>180</v>
      </c>
      <c r="AC511" s="130" t="s">
        <v>181</v>
      </c>
      <c r="AD511" s="121" t="s">
        <v>182</v>
      </c>
      <c r="AE511" s="131" t="n"/>
      <c r="AF511" s="116" t="n"/>
      <c r="AG511" s="5301" t="s"/>
      <c r="AH511" s="5302" t="s"/>
      <c r="AI511" s="5303" t="s"/>
      <c r="AJ511" s="116" t="s">
        <v>183</v>
      </c>
      <c r="AK511" s="5304" t="s"/>
      <c r="AL511" s="5305" t="s"/>
    </row>
    <row hidden="false" ht="15" outlineLevel="0" r="512">
      <c r="C512" s="98" t="s">
        <v>185</v>
      </c>
      <c r="D512" s="53" t="n">
        <f aca="false" ca="false" dt2D="false" dtr="false" t="normal">HEX2BIN(D511, 8)</f>
        <v>0</v>
      </c>
      <c r="E512" s="53" t="n">
        <f aca="false" ca="false" dt2D="false" dtr="false" t="normal">HEX2BIN(E511, 8)</f>
        <v>0</v>
      </c>
      <c r="F512" s="53" t="n">
        <f aca="false" ca="false" dt2D="false" dtr="false" t="normal">HEX2BIN(F511, 8)</f>
        <v>0</v>
      </c>
      <c r="G512" s="53" t="n">
        <f aca="false" ca="false" dt2D="false" dtr="false" t="normal">HEX2BIN(G511, 8)</f>
        <v>0</v>
      </c>
      <c r="H512" s="53" t="n">
        <f aca="false" ca="false" dt2D="false" dtr="false" t="normal">HEX2BIN(H511, 8)</f>
        <v>0</v>
      </c>
      <c r="I512" s="53" t="n">
        <f aca="false" ca="false" dt2D="false" dtr="false" t="normal">HEX2BIN(I511, 8)</f>
        <v>0</v>
      </c>
      <c r="J512" s="53" t="n">
        <f aca="false" ca="false" dt2D="false" dtr="false" t="normal">HEX2BIN(J511, 8)</f>
        <v>0</v>
      </c>
      <c r="K512" s="53" t="n">
        <f aca="false" ca="false" dt2D="false" dtr="false" t="normal">HEX2BIN(K511, 8)</f>
        <v>0</v>
      </c>
      <c r="L512" s="53" t="n">
        <f aca="false" ca="false" dt2D="false" dtr="false" t="normal">HEX2BIN(L511, 8)</f>
        <v>0</v>
      </c>
      <c r="N512" s="63" t="n"/>
      <c r="P512" s="136" t="n">
        <f aca="false" ca="false" dt2D="false" dtr="false" t="normal">MID(H512, 1, 1)</f>
        <v>0</v>
      </c>
      <c r="Q512" s="137" t="n">
        <f aca="false" ca="false" dt2D="false" dtr="false" t="normal">P512</f>
        <v>0</v>
      </c>
      <c r="R512" s="120" t="s">
        <v>186</v>
      </c>
      <c r="S512" s="139" t="s">
        <v>1976</v>
      </c>
      <c r="T512" s="136" t="n">
        <f aca="false" ca="false" dt2D="false" dtr="false" t="normal">MID(I512, 1, 1)</f>
        <v>0</v>
      </c>
      <c r="U512" s="137" t="n">
        <f aca="false" ca="false" dt2D="false" dtr="false" t="normal">T512</f>
        <v>0</v>
      </c>
      <c r="V512" s="120" t="s">
        <v>186</v>
      </c>
      <c r="W512" s="139" t="s">
        <v>1977</v>
      </c>
      <c r="X512" s="136" t="n">
        <f aca="false" ca="false" dt2D="false" dtr="false" t="normal">MID(J512, 1, 1)</f>
        <v>0</v>
      </c>
      <c r="Y512" s="137" t="n">
        <f aca="false" ca="false" dt2D="false" dtr="false" t="normal">X512</f>
        <v>0</v>
      </c>
      <c r="Z512" s="120" t="s">
        <v>186</v>
      </c>
      <c r="AA512" s="139" t="s">
        <v>1978</v>
      </c>
      <c r="AB512" s="136" t="n">
        <f aca="false" ca="false" dt2D="false" dtr="false" t="normal">MID(K512, 1, 1)</f>
        <v>0</v>
      </c>
      <c r="AC512" s="137" t="n">
        <f aca="false" ca="false" dt2D="false" dtr="false" t="normal">AB512</f>
        <v>0</v>
      </c>
      <c r="AD512" s="120" t="s">
        <v>186</v>
      </c>
      <c r="AE512" s="139" t="s">
        <v>1979</v>
      </c>
      <c r="AF512" s="5306" t="s"/>
      <c r="AG512" s="142" t="s"/>
      <c r="AH512" s="142" t="s"/>
      <c r="AI512" s="5307" t="s"/>
      <c r="AJ512" s="5308" t="s"/>
      <c r="AK512" s="5309" t="s"/>
      <c r="AL512" s="5310" t="s"/>
    </row>
    <row hidden="false" ht="15" outlineLevel="0" r="513">
      <c r="C513" s="98" t="s">
        <v>191</v>
      </c>
      <c r="D513" s="53" t="n">
        <f aca="false" ca="false" dt2D="false" dtr="false" t="normal">HEX2DEC(D511)</f>
        <v>0</v>
      </c>
      <c r="E513" s="53" t="n">
        <f aca="false" ca="false" dt2D="false" dtr="false" t="normal">HEX2DEC(E511)</f>
        <v>0</v>
      </c>
      <c r="F513" s="53" t="n">
        <f aca="false" ca="false" dt2D="false" dtr="false" t="normal">HEX2DEC(F511)</f>
        <v>0</v>
      </c>
      <c r="G513" s="53" t="n">
        <f aca="false" ca="false" dt2D="false" dtr="false" t="normal">HEX2DEC(G511)</f>
        <v>0</v>
      </c>
      <c r="H513" s="53" t="n">
        <f aca="false" ca="false" dt2D="false" dtr="false" t="normal">HEX2DEC(H511)</f>
        <v>0</v>
      </c>
      <c r="I513" s="53" t="n">
        <f aca="false" ca="false" dt2D="false" dtr="false" t="normal">HEX2DEC(I511)</f>
        <v>0</v>
      </c>
      <c r="J513" s="53" t="n">
        <f aca="false" ca="false" dt2D="false" dtr="false" t="normal">HEX2DEC(J511)</f>
        <v>0</v>
      </c>
      <c r="K513" s="53" t="n">
        <f aca="false" ca="false" dt2D="false" dtr="false" t="normal">HEX2DEC(K511)</f>
        <v>0</v>
      </c>
      <c r="L513" s="53" t="n">
        <f aca="false" ca="false" dt2D="false" dtr="false" t="normal">HEX2DEC(L511)</f>
        <v>0</v>
      </c>
      <c r="M513" s="53" t="n">
        <f aca="false" ca="false" dt2D="false" dtr="false" t="normal">SUM(D513:L513)</f>
        <v>0</v>
      </c>
      <c r="N513" s="63" t="n"/>
      <c r="P513" s="136" t="n">
        <f aca="false" ca="false" dt2D="false" dtr="false" t="normal">MID(H512, 2, 1)</f>
        <v>0</v>
      </c>
      <c r="Q513" s="137" t="n">
        <f aca="false" ca="false" dt2D="false" dtr="false" t="normal">P513</f>
        <v>0</v>
      </c>
      <c r="R513" s="120" t="s">
        <v>192</v>
      </c>
      <c r="S513" s="1194" t="s">
        <v>756</v>
      </c>
      <c r="T513" s="136" t="n">
        <f aca="false" ca="false" dt2D="false" dtr="false" t="normal">MID(I512, 2, 1)</f>
        <v>0</v>
      </c>
      <c r="U513" s="137" t="n">
        <f aca="false" ca="false" dt2D="false" dtr="false" t="normal">T513</f>
        <v>0</v>
      </c>
      <c r="V513" s="120" t="s">
        <v>192</v>
      </c>
      <c r="W513" s="139" t="s">
        <v>1980</v>
      </c>
      <c r="X513" s="136" t="n">
        <f aca="false" ca="false" dt2D="false" dtr="false" t="normal">MID(J512, 2, 1)</f>
        <v>0</v>
      </c>
      <c r="Y513" s="137" t="n">
        <f aca="false" ca="false" dt2D="false" dtr="false" t="normal">X513</f>
        <v>0</v>
      </c>
      <c r="Z513" s="120" t="s">
        <v>192</v>
      </c>
      <c r="AA513" s="139" t="s">
        <v>1981</v>
      </c>
      <c r="AB513" s="136" t="n">
        <f aca="false" ca="false" dt2D="false" dtr="false" t="normal">MID(K512, 2, 1)</f>
        <v>0</v>
      </c>
      <c r="AC513" s="137" t="n">
        <f aca="false" ca="false" dt2D="false" dtr="false" t="normal">AB513</f>
        <v>0</v>
      </c>
      <c r="AD513" s="120" t="s">
        <v>192</v>
      </c>
      <c r="AE513" s="139" t="s">
        <v>1982</v>
      </c>
      <c r="AF513" s="5311" t="s"/>
      <c r="AG513" s="142" t="s"/>
      <c r="AH513" s="142" t="s"/>
      <c r="AI513" s="5312" t="s"/>
      <c r="AJ513" s="5313" t="s"/>
      <c r="AK513" s="5314" t="s"/>
      <c r="AL513" s="5315" t="s"/>
    </row>
    <row hidden="false" ht="15" outlineLevel="0" r="514">
      <c r="C514" s="98" t="s">
        <v>194</v>
      </c>
      <c r="D514" s="149" t="str">
        <f aca="false" ca="false" dt2D="false" dtr="false" t="normal">D511</f>
        <v/>
      </c>
      <c r="E514" s="149" t="str">
        <f aca="false" ca="false" dt2D="false" dtr="false" t="normal">E511</f>
        <v/>
      </c>
      <c r="F514" s="53" t="str">
        <f aca="false" ca="false" dt2D="false" dtr="false" t="normal">_XLFN.IFNA(MID(INDEX($A$3:$A$70, IF(ISNA(MATCH("720G4I5*", $A$3:$A$70, 0))=TRUE, MATCH("7200437*", $A$3:$A$70, 0), MATCH("720G4I5*", $A$3:$A$70, 0))), $AS$8, 2), "")</f>
        <v/>
      </c>
      <c r="G514" s="53" t="str">
        <f aca="false" ca="false" dt2D="false" dtr="false" t="normal">_XLFN.IFNA(MID(INDEX($A$3:$A$70, IF(ISNA(MATCH("720G4I5*", $A$3:$A$70, 0))=TRUE, MATCH("7200437*", $A$3:$A$70, 0), MATCH("720G4I5*", $A$3:$A$70, 0))), $AT$8, 2), "")</f>
        <v/>
      </c>
      <c r="N514" s="63" t="n"/>
      <c r="P514" s="136" t="n">
        <f aca="false" ca="false" dt2D="false" dtr="false" t="normal">MID(H512, 3, 1)</f>
        <v>0</v>
      </c>
      <c r="Q514" s="137" t="n">
        <f aca="false" ca="false" dt2D="false" dtr="false" t="normal">P514</f>
        <v>0</v>
      </c>
      <c r="R514" s="120" t="s">
        <v>195</v>
      </c>
      <c r="S514" s="139" t="s">
        <v>1983</v>
      </c>
      <c r="T514" s="136" t="n">
        <f aca="false" ca="false" dt2D="false" dtr="false" t="normal">MID(I512, 3, 1)</f>
        <v>0</v>
      </c>
      <c r="U514" s="137" t="n">
        <f aca="false" ca="false" dt2D="false" dtr="false" t="normal">T514</f>
        <v>0</v>
      </c>
      <c r="V514" s="120" t="s">
        <v>195</v>
      </c>
      <c r="W514" s="139" t="s">
        <v>1984</v>
      </c>
      <c r="X514" s="136" t="n">
        <f aca="false" ca="false" dt2D="false" dtr="false" t="normal">MID(J512, 3, 1)</f>
        <v>0</v>
      </c>
      <c r="Y514" s="137" t="n">
        <f aca="false" ca="false" dt2D="false" dtr="false" t="normal">X514</f>
        <v>0</v>
      </c>
      <c r="Z514" s="120" t="s">
        <v>195</v>
      </c>
      <c r="AA514" s="139" t="s">
        <v>1985</v>
      </c>
      <c r="AB514" s="136" t="n">
        <f aca="false" ca="false" dt2D="false" dtr="false" t="normal">MID(K512, 3, 1)</f>
        <v>0</v>
      </c>
      <c r="AC514" s="137" t="n">
        <f aca="false" ca="false" dt2D="false" dtr="false" t="normal">AB514</f>
        <v>0</v>
      </c>
      <c r="AD514" s="120" t="s">
        <v>195</v>
      </c>
      <c r="AE514" s="139" t="s">
        <v>1986</v>
      </c>
      <c r="AF514" s="5316" t="s"/>
      <c r="AG514" s="142" t="s"/>
      <c r="AH514" s="142" t="s"/>
      <c r="AI514" s="5317" t="s"/>
      <c r="AJ514" s="5318" t="s"/>
      <c r="AK514" s="5319" t="s"/>
      <c r="AL514" s="5320" t="s"/>
    </row>
    <row hidden="false" ht="15.75" outlineLevel="0" r="515">
      <c r="C515" s="98" t="n"/>
      <c r="N515" s="63" t="n"/>
      <c r="P515" s="136" t="n">
        <f aca="false" ca="false" dt2D="false" dtr="false" t="normal">MID(H512, 4, 1)</f>
        <v>0</v>
      </c>
      <c r="Q515" s="137" t="n">
        <f aca="false" ca="false" dt2D="false" dtr="false" t="normal">P515</f>
        <v>0</v>
      </c>
      <c r="R515" s="120" t="s">
        <v>197</v>
      </c>
      <c r="S515" s="139" t="s">
        <v>1987</v>
      </c>
      <c r="T515" s="136" t="n">
        <f aca="false" ca="false" dt2D="false" dtr="false" t="normal">MID(I512, 4, 1)</f>
        <v>0</v>
      </c>
      <c r="U515" s="137" t="n">
        <f aca="false" ca="false" dt2D="false" dtr="false" t="normal">T515</f>
        <v>0</v>
      </c>
      <c r="V515" s="120" t="s">
        <v>197</v>
      </c>
      <c r="W515" s="139" t="s">
        <v>1988</v>
      </c>
      <c r="X515" s="136" t="n">
        <f aca="false" ca="false" dt2D="false" dtr="false" t="normal">MID(J512, 4, 1)</f>
        <v>0</v>
      </c>
      <c r="Y515" s="137" t="n">
        <f aca="false" ca="false" dt2D="false" dtr="false" t="normal">X515</f>
        <v>0</v>
      </c>
      <c r="Z515" s="120" t="s">
        <v>197</v>
      </c>
      <c r="AA515" s="139" t="s">
        <v>1989</v>
      </c>
      <c r="AB515" s="136" t="n">
        <f aca="false" ca="false" dt2D="false" dtr="false" t="normal">MID(K512, 4, 1)</f>
        <v>0</v>
      </c>
      <c r="AC515" s="137" t="n">
        <f aca="false" ca="false" dt2D="false" dtr="false" t="normal">AB515</f>
        <v>0</v>
      </c>
      <c r="AD515" s="120" t="s">
        <v>197</v>
      </c>
      <c r="AE515" s="139" t="s">
        <v>1990</v>
      </c>
      <c r="AF515" s="5321" t="s"/>
      <c r="AG515" s="142" t="s"/>
      <c r="AH515" s="142" t="s"/>
      <c r="AI515" s="5322" t="s"/>
      <c r="AJ515" s="5323" t="s"/>
      <c r="AK515" s="5324" t="s"/>
      <c r="AL515" s="5325" t="s"/>
    </row>
    <row hidden="false" ht="15.75" outlineLevel="0" r="516">
      <c r="C516" s="98" t="s">
        <v>176</v>
      </c>
      <c r="D516" s="159" t="str">
        <f aca="false" ca="false" dt2D="false" dtr="false" t="normal">D511</f>
        <v/>
      </c>
      <c r="E516" s="160" t="str">
        <f aca="false" ca="false" dt2D="false" dtr="false" t="normal">E511</f>
        <v/>
      </c>
      <c r="F516" s="160" t="str">
        <f aca="false" ca="false" dt2D="false" dtr="false" t="normal">F511</f>
        <v/>
      </c>
      <c r="G516" s="161" t="str">
        <f aca="false" ca="false" dt2D="false" dtr="false" t="normal">G511</f>
        <v/>
      </c>
      <c r="H516" s="162" t="str">
        <f aca="false" ca="false" dt2D="false" dtr="false" t="normal">IF(J412="", "", BIN2HEX(H517, 2))</f>
        <v/>
      </c>
      <c r="I516" s="163" t="str">
        <f aca="false" ca="false" dt2D="false" dtr="false" t="normal">IF(J412="", "", BIN2HEX(I517, 2))</f>
        <v/>
      </c>
      <c r="J516" s="164" t="str">
        <f aca="false" ca="false" dt2D="false" dtr="false" t="normal">IF(J412="", "", BIN2HEX(J517, 2))</f>
        <v/>
      </c>
      <c r="K516" s="165" t="str">
        <f aca="false" ca="false" dt2D="false" dtr="false" t="normal">IF(J412="", "", BIN2HEX(K517, 2))</f>
        <v/>
      </c>
      <c r="L516" s="1917" t="str">
        <f aca="false" ca="false" dt2D="false" dtr="false" t="normal">L511</f>
        <v/>
      </c>
      <c r="M516" s="166" t="str">
        <f aca="false" ca="false" dt2D="false" dtr="false" t="normal">IF(J412="", "", IF(LEN(M517)&gt;2, MID(M517, 2, 2), M517))</f>
        <v/>
      </c>
      <c r="N516" s="63" t="s">
        <v>181</v>
      </c>
      <c r="P516" s="136" t="n">
        <f aca="false" ca="false" dt2D="false" dtr="false" t="normal">MID(H512, 5, 1)</f>
        <v>0</v>
      </c>
      <c r="Q516" s="137" t="n">
        <f aca="false" ca="false" dt2D="false" dtr="false" t="normal">P516</f>
        <v>0</v>
      </c>
      <c r="R516" s="120" t="s">
        <v>200</v>
      </c>
      <c r="S516" s="139" t="s">
        <v>1991</v>
      </c>
      <c r="T516" s="136" t="n">
        <f aca="false" ca="false" dt2D="false" dtr="false" t="normal">MID(I512, 5, 1)</f>
        <v>0</v>
      </c>
      <c r="U516" s="137" t="n">
        <f aca="false" ca="false" dt2D="false" dtr="false" t="normal">T516</f>
        <v>0</v>
      </c>
      <c r="V516" s="120" t="s">
        <v>200</v>
      </c>
      <c r="W516" s="139" t="s">
        <v>1992</v>
      </c>
      <c r="X516" s="136" t="n">
        <f aca="false" ca="false" dt2D="false" dtr="false" t="normal">MID(J512, 5, 1)</f>
        <v>0</v>
      </c>
      <c r="Y516" s="137" t="n">
        <f aca="false" ca="false" dt2D="false" dtr="false" t="normal">X516</f>
        <v>0</v>
      </c>
      <c r="Z516" s="120" t="s">
        <v>200</v>
      </c>
      <c r="AA516" s="139" t="s">
        <v>1993</v>
      </c>
      <c r="AB516" s="136" t="n">
        <f aca="false" ca="false" dt2D="false" dtr="false" t="normal">MID(K512, 5, 1)</f>
        <v>0</v>
      </c>
      <c r="AC516" s="137" t="n">
        <f aca="false" ca="false" dt2D="false" dtr="false" t="normal">AB516</f>
        <v>0</v>
      </c>
      <c r="AD516" s="120" t="s">
        <v>200</v>
      </c>
      <c r="AE516" s="139" t="s">
        <v>1994</v>
      </c>
      <c r="AF516" s="5326" t="s"/>
      <c r="AG516" s="142" t="s"/>
      <c r="AH516" s="142" t="s"/>
      <c r="AI516" s="5327" t="s"/>
      <c r="AJ516" s="5328" t="s"/>
      <c r="AK516" s="5329" t="s"/>
      <c r="AL516" s="5330" t="s"/>
    </row>
    <row hidden="false" ht="15" outlineLevel="0" r="517">
      <c r="C517" s="98" t="s">
        <v>185</v>
      </c>
      <c r="D517" s="53" t="n">
        <f aca="false" ca="false" dt2D="false" dtr="false" t="normal">HEX2BIN(D516, 8)</f>
        <v>0</v>
      </c>
      <c r="E517" s="53" t="n">
        <f aca="false" ca="false" dt2D="false" dtr="false" t="normal">HEX2BIN(E516, 8)</f>
        <v>0</v>
      </c>
      <c r="F517" s="53" t="n">
        <f aca="false" ca="false" dt2D="false" dtr="false" t="normal">HEX2BIN(F516, 8)</f>
        <v>0</v>
      </c>
      <c r="G517" s="53" t="n">
        <f aca="false" ca="false" dt2D="false" dtr="false" t="normal">HEX2BIN(G516, 8)</f>
        <v>0</v>
      </c>
      <c r="H517" s="171" t="n">
        <f aca="false" ca="false" dt2D="false" dtr="false" t="normal">Q512&amp;Q513&amp;Q514&amp;Q515&amp;Q516&amp;Q517&amp;Q518&amp;Q519</f>
        <v>0</v>
      </c>
      <c r="I517" s="53" t="n">
        <f aca="false" ca="false" dt2D="false" dtr="false" t="normal">U512&amp;U513&amp;U514&amp;U515&amp;U516&amp;U517&amp;U518&amp;U519</f>
        <v>0</v>
      </c>
      <c r="J517" s="171" t="n">
        <f aca="false" ca="false" dt2D="false" dtr="false" t="normal">Y512&amp;Y513&amp;Y514&amp;Y515&amp;Y516&amp;Y517&amp;Y518&amp;Y519</f>
        <v>0</v>
      </c>
      <c r="K517" s="171" t="n">
        <f aca="false" ca="false" dt2D="false" dtr="false" t="normal">AC512&amp;AC513&amp;AC514&amp;AC515&amp;AC516&amp;AC517&amp;AC518&amp;AC519</f>
        <v>0</v>
      </c>
      <c r="L517" s="53" t="n"/>
      <c r="M517" s="53" t="n">
        <f aca="false" ca="false" dt2D="false" dtr="false" t="normal">DEC2HEX(M518)</f>
        <v>0</v>
      </c>
      <c r="N517" s="63" t="n"/>
      <c r="P517" s="136" t="n">
        <f aca="false" ca="false" dt2D="false" dtr="false" t="normal">MID(H512, 6, 1)</f>
        <v>0</v>
      </c>
      <c r="Q517" s="137" t="n">
        <f aca="false" ca="false" dt2D="false" dtr="false" t="normal">P517</f>
        <v>0</v>
      </c>
      <c r="R517" s="120" t="s">
        <v>203</v>
      </c>
      <c r="S517" s="139" t="s">
        <v>1995</v>
      </c>
      <c r="T517" s="136" t="n">
        <f aca="false" ca="false" dt2D="false" dtr="false" t="normal">MID(I512, 6, 1)</f>
        <v>0</v>
      </c>
      <c r="U517" s="137" t="n">
        <f aca="false" ca="false" dt2D="false" dtr="false" t="normal">T517</f>
        <v>0</v>
      </c>
      <c r="V517" s="120" t="s">
        <v>203</v>
      </c>
      <c r="W517" s="139" t="s">
        <v>1996</v>
      </c>
      <c r="X517" s="136" t="n">
        <f aca="false" ca="false" dt2D="false" dtr="false" t="normal">MID(J512, 6, 1)</f>
        <v>0</v>
      </c>
      <c r="Y517" s="137" t="n">
        <f aca="false" ca="false" dt2D="false" dtr="false" t="normal">X517</f>
        <v>0</v>
      </c>
      <c r="Z517" s="120" t="s">
        <v>203</v>
      </c>
      <c r="AA517" s="139" t="s">
        <v>1997</v>
      </c>
      <c r="AB517" s="136" t="n">
        <f aca="false" ca="false" dt2D="false" dtr="false" t="normal">MID(K512, 6, 1)</f>
        <v>0</v>
      </c>
      <c r="AC517" s="137" t="n">
        <f aca="false" ca="false" dt2D="false" dtr="false" t="normal">AB517</f>
        <v>0</v>
      </c>
      <c r="AD517" s="120" t="s">
        <v>203</v>
      </c>
      <c r="AE517" s="139" t="s">
        <v>1998</v>
      </c>
      <c r="AF517" s="5331" t="s"/>
      <c r="AG517" s="142" t="s"/>
      <c r="AH517" s="142" t="s"/>
      <c r="AI517" s="5332" t="s"/>
      <c r="AJ517" s="5333" t="s"/>
      <c r="AK517" s="5334" t="s"/>
      <c r="AL517" s="5335" t="s"/>
    </row>
    <row hidden="false" ht="15" outlineLevel="0" r="518">
      <c r="C518" s="98" t="s">
        <v>191</v>
      </c>
      <c r="D518" s="53" t="n">
        <f aca="false" ca="false" dt2D="false" dtr="false" t="normal">HEX2DEC(D516)</f>
        <v>0</v>
      </c>
      <c r="E518" s="53" t="n">
        <f aca="false" ca="false" dt2D="false" dtr="false" t="normal">HEX2DEC(E516)</f>
        <v>0</v>
      </c>
      <c r="F518" s="53" t="n">
        <f aca="false" ca="false" dt2D="false" dtr="false" t="normal">HEX2DEC(F516)</f>
        <v>0</v>
      </c>
      <c r="G518" s="53" t="n">
        <f aca="false" ca="false" dt2D="false" dtr="false" t="normal">HEX2DEC(G516)</f>
        <v>0</v>
      </c>
      <c r="H518" s="53" t="n">
        <f aca="false" ca="false" dt2D="false" dtr="false" t="normal">HEX2DEC(H516)</f>
        <v>0</v>
      </c>
      <c r="I518" s="53" t="n">
        <f aca="false" ca="false" dt2D="false" dtr="false" t="normal">HEX2DEC(I516)</f>
        <v>0</v>
      </c>
      <c r="J518" s="53" t="n">
        <f aca="false" ca="false" dt2D="false" dtr="false" t="normal">HEX2DEC(J516)</f>
        <v>0</v>
      </c>
      <c r="K518" s="53" t="n">
        <f aca="false" ca="false" dt2D="false" dtr="false" t="normal">HEX2DEC(K516)</f>
        <v>0</v>
      </c>
      <c r="L518" s="53" t="n">
        <f aca="false" ca="false" dt2D="false" dtr="false" t="normal">HEX2DEC(L516)</f>
        <v>0</v>
      </c>
      <c r="M518" s="53" t="n">
        <f aca="false" ca="false" dt2D="false" dtr="false" t="normal">SUM(D518:L518)</f>
        <v>0</v>
      </c>
      <c r="N518" s="63" t="n"/>
      <c r="P518" s="136" t="n">
        <f aca="false" ca="false" dt2D="false" dtr="false" t="normal">MID(H512, 7, 1)</f>
        <v>0</v>
      </c>
      <c r="Q518" s="137" t="n">
        <f aca="false" ca="false" dt2D="false" dtr="false" t="normal">P518</f>
        <v>0</v>
      </c>
      <c r="R518" s="120" t="s">
        <v>206</v>
      </c>
      <c r="S518" s="139" t="s">
        <v>1999</v>
      </c>
      <c r="T518" s="136" t="n">
        <f aca="false" ca="false" dt2D="false" dtr="false" t="normal">MID(I512, 7, 1)</f>
        <v>0</v>
      </c>
      <c r="U518" s="137" t="n">
        <f aca="false" ca="false" dt2D="false" dtr="false" t="normal">T518</f>
        <v>0</v>
      </c>
      <c r="V518" s="120" t="s">
        <v>206</v>
      </c>
      <c r="W518" s="139" t="s">
        <v>2000</v>
      </c>
      <c r="X518" s="136" t="n">
        <f aca="false" ca="false" dt2D="false" dtr="false" t="normal">MID(J512, 7, 1)</f>
        <v>0</v>
      </c>
      <c r="Y518" s="137" t="n">
        <f aca="false" ca="false" dt2D="false" dtr="false" t="normal">X518</f>
        <v>0</v>
      </c>
      <c r="Z518" s="120" t="s">
        <v>206</v>
      </c>
      <c r="AA518" s="139" t="s">
        <v>2001</v>
      </c>
      <c r="AB518" s="136" t="n">
        <f aca="false" ca="false" dt2D="false" dtr="false" t="normal">MID(K512, 7, 1)</f>
        <v>0</v>
      </c>
      <c r="AC518" s="137" t="n">
        <f aca="false" ca="false" dt2D="false" dtr="false" t="normal">AB518</f>
        <v>0</v>
      </c>
      <c r="AD518" s="120" t="s">
        <v>206</v>
      </c>
      <c r="AE518" s="139" t="s">
        <v>2002</v>
      </c>
      <c r="AF518" s="5336" t="s"/>
      <c r="AG518" s="142" t="s"/>
      <c r="AH518" s="142" t="s"/>
      <c r="AI518" s="5337" t="s"/>
      <c r="AJ518" s="5338" t="s"/>
      <c r="AK518" s="5339" t="s"/>
      <c r="AL518" s="5340" t="s"/>
    </row>
    <row hidden="false" ht="15.75" outlineLevel="0" r="519">
      <c r="C519" s="180" t="s">
        <v>194</v>
      </c>
      <c r="D519" s="299" t="str">
        <f aca="false" ca="false" dt2D="false" dtr="false" t="normal">D514</f>
        <v/>
      </c>
      <c r="E519" s="299" t="str">
        <f aca="false" ca="false" dt2D="false" dtr="false" t="normal">E514</f>
        <v/>
      </c>
      <c r="F519" s="299" t="str">
        <f aca="false" ca="false" dt2D="false" dtr="false" t="normal">F514</f>
        <v/>
      </c>
      <c r="G519" s="299" t="str">
        <f aca="false" ca="false" dt2D="false" dtr="false" t="normal">G514</f>
        <v/>
      </c>
      <c r="H519" s="45" t="n"/>
      <c r="I519" s="45" t="n"/>
      <c r="J519" s="45" t="n"/>
      <c r="K519" s="45" t="n"/>
      <c r="L519" s="45" t="n"/>
      <c r="M519" s="45" t="n"/>
      <c r="N519" s="49" t="n"/>
      <c r="P519" s="182" t="n">
        <f aca="false" ca="false" dt2D="false" dtr="false" t="normal">MID(H512, 8, 1)</f>
        <v>0</v>
      </c>
      <c r="Q519" s="183" t="n">
        <f aca="false" ca="false" dt2D="false" dtr="false" t="normal">P519</f>
        <v>0</v>
      </c>
      <c r="R519" s="184" t="s">
        <v>208</v>
      </c>
      <c r="S519" s="187" t="s">
        <v>2003</v>
      </c>
      <c r="T519" s="182" t="n">
        <f aca="false" ca="false" dt2D="false" dtr="false" t="normal">MID(I512, 8, 1)</f>
        <v>0</v>
      </c>
      <c r="U519" s="183" t="n">
        <f aca="false" ca="false" dt2D="false" dtr="false" t="normal">T519</f>
        <v>0</v>
      </c>
      <c r="V519" s="184" t="s">
        <v>208</v>
      </c>
      <c r="W519" s="187" t="s">
        <v>2004</v>
      </c>
      <c r="X519" s="182" t="n">
        <f aca="false" ca="false" dt2D="false" dtr="false" t="normal">MID(J512, 8, 1)</f>
        <v>0</v>
      </c>
      <c r="Y519" s="183" t="n">
        <f aca="false" ca="false" dt2D="false" dtr="false" t="normal">X519</f>
        <v>0</v>
      </c>
      <c r="Z519" s="184" t="s">
        <v>208</v>
      </c>
      <c r="AA519" s="187" t="s">
        <v>2005</v>
      </c>
      <c r="AB519" s="182" t="n">
        <f aca="false" ca="false" dt2D="false" dtr="false" t="normal">MID(K512, 8, 1)</f>
        <v>0</v>
      </c>
      <c r="AC519" s="183" t="n">
        <f aca="false" ca="false" dt2D="false" dtr="false" t="normal">AB519</f>
        <v>0</v>
      </c>
      <c r="AD519" s="184" t="s">
        <v>208</v>
      </c>
      <c r="AE519" s="187" t="s">
        <v>2006</v>
      </c>
      <c r="AF519" s="5341" t="s"/>
      <c r="AG519" s="5342" t="s"/>
      <c r="AH519" s="5343" t="s"/>
      <c r="AI519" s="5344" t="s"/>
      <c r="AJ519" s="5345" t="s"/>
      <c r="AK519" s="5346" t="s"/>
      <c r="AL519" s="5347" t="s"/>
    </row>
    <row hidden="false" ht="15.75" outlineLevel="0" r="520">
      <c r="C520" s="93" t="n"/>
      <c r="D520" s="94" t="n"/>
      <c r="E520" s="94" t="n"/>
      <c r="F520" s="94" t="n"/>
      <c r="G520" s="94" t="n"/>
      <c r="H520" s="94" t="n"/>
      <c r="I520" s="94" t="n"/>
      <c r="J520" s="94" t="n"/>
      <c r="K520" s="94" t="n"/>
      <c r="L520" s="94" t="n"/>
      <c r="M520" s="94" t="s">
        <v>161</v>
      </c>
      <c r="N520" s="60" t="n"/>
      <c r="P520" s="95" t="str">
        <f aca="false" ca="false" dt2D="false" dtr="false" t="normal">RIGHT(D522, 1)&amp;E522&amp;"-"&amp;F522&amp;"-"&amp;G522</f>
        <v>--</v>
      </c>
      <c r="Q520" s="5348" t="s"/>
      <c r="R520" s="234" t="s">
        <v>2007</v>
      </c>
      <c r="S520" s="5349" t="s"/>
      <c r="T520" s="5350" t="s"/>
      <c r="U520" s="5351" t="s"/>
      <c r="V520" s="5352" t="s"/>
      <c r="W520" s="5353" t="s"/>
      <c r="X520" s="5354" t="s"/>
      <c r="Y520" s="5355" t="s"/>
      <c r="Z520" s="5356" t="s"/>
      <c r="AA520" s="5357" t="s"/>
      <c r="AB520" s="5358" t="s"/>
      <c r="AC520" s="5359" t="s"/>
      <c r="AD520" s="5360" t="s"/>
      <c r="AE520" s="5361" t="s"/>
      <c r="AF520" s="5362" t="s"/>
      <c r="AG520" s="5363" t="s"/>
      <c r="AH520" s="5364" t="s"/>
      <c r="AI520" s="5365" t="s"/>
      <c r="AJ520" s="5366" t="s"/>
      <c r="AK520" s="5367" t="s"/>
      <c r="AL520" s="5368" t="s"/>
    </row>
    <row hidden="false" ht="15.75" outlineLevel="0" r="521">
      <c r="C521" s="98" t="n"/>
      <c r="D521" s="99" t="s">
        <v>2008</v>
      </c>
      <c r="E521" s="5369" t="s"/>
      <c r="F521" s="5370" t="s"/>
      <c r="G521" s="5371" t="s"/>
      <c r="H521" s="53" t="s">
        <v>165</v>
      </c>
      <c r="I521" s="53" t="s">
        <v>166</v>
      </c>
      <c r="J521" s="53" t="s">
        <v>167</v>
      </c>
      <c r="K521" s="53" t="s">
        <v>168</v>
      </c>
      <c r="L521" s="53" t="s">
        <v>169</v>
      </c>
      <c r="M521" s="53" t="s">
        <v>221</v>
      </c>
      <c r="N521" s="63" t="n"/>
      <c r="P521" s="103" t="s">
        <v>2009</v>
      </c>
      <c r="Q521" s="5372" t="s"/>
      <c r="R521" s="5373" t="s"/>
      <c r="S521" s="5374" t="s"/>
      <c r="T521" s="103" t="s">
        <v>2010</v>
      </c>
      <c r="U521" s="5375" t="s"/>
      <c r="V521" s="5376" t="s"/>
      <c r="W521" s="5377" t="s"/>
      <c r="X521" s="103" t="s">
        <v>2011</v>
      </c>
      <c r="Y521" s="5378" t="s"/>
      <c r="Z521" s="5379" t="s"/>
      <c r="AA521" s="5380" t="s"/>
      <c r="AB521" s="103" t="s">
        <v>2012</v>
      </c>
      <c r="AC521" s="5381" t="s"/>
      <c r="AD521" s="5382" t="s"/>
      <c r="AE521" s="5383" t="s"/>
      <c r="AF521" s="103" t="s">
        <v>2013</v>
      </c>
      <c r="AG521" s="5384" t="s"/>
      <c r="AH521" s="5385" t="s"/>
      <c r="AI521" s="5386" t="s"/>
      <c r="AJ521" s="103" t="s">
        <v>2014</v>
      </c>
      <c r="AK521" s="5387" t="s"/>
      <c r="AL521" s="5388" t="s"/>
    </row>
    <row hidden="false" ht="15.75" outlineLevel="0" r="522">
      <c r="C522" s="98" t="s">
        <v>176</v>
      </c>
      <c r="D522" s="122" t="str">
        <f aca="false" ca="false" dt2D="false" dtr="false" t="normal">IF(J412="", "", 7)</f>
        <v/>
      </c>
      <c r="E522" s="123" t="str">
        <f aca="false" ca="false" dt2D="false" dtr="false" t="normal">IF(J412="", "", 20)</f>
        <v/>
      </c>
      <c r="F522" s="123" t="str">
        <f aca="false" ca="false" dt2D="false" dtr="false" t="normal">IF(J412="", "", 4)</f>
        <v/>
      </c>
      <c r="G522" s="124" t="str">
        <f aca="false" ca="false" dt2D="false" dtr="false" t="normal">IF(J412="", "", 38)</f>
        <v/>
      </c>
      <c r="H522" s="1819" t="str">
        <f aca="false" ca="false" dt2D="false" dtr="false" ref="H522:H522" t="array">_XLFN.IFNA(MID(INDEX($A$3:$A$70, IF(ISNA(MATCH("720G4I6*", $A$3:$A$70, 0))=TRUE, MATCH("7200438*", $A$3:$A$70, 0), MATCH("720G4I6*", $A$3:$A$70, 0))), $AU$8, 2), "")</f>
        <v/>
      </c>
      <c r="I522" s="1820" t="str">
        <f aca="false" ca="false" dt2D="false" dtr="false" ref="I522:I522" t="array">_XLFN.IFNA(MID(INDEX($A$3:$A$70, IF(ISNA(MATCH("720G4I6*", $A$3:$A$70, 0))=TRUE, MATCH("7200438*", $A$3:$A$70, 0), MATCH("720G4I6*", $A$3:$A$70, 0))), $AV$8, 2), "")</f>
        <v/>
      </c>
      <c r="J522" s="164" t="str">
        <f aca="false" ca="false" dt2D="false" dtr="false" ref="J522:J522" t="array">_XLFN.IFNA(MID(INDEX($A$3:$A$70, IF(ISNA(MATCH("720G4I6*", $A$3:$A$70, 0))=TRUE, MATCH("7200438*", $A$3:$A$70, 0), MATCH("720G4I6*", $A$3:$A$70, 0))), $AW$8, 2), "")</f>
        <v/>
      </c>
      <c r="K522" s="1820" t="str">
        <f aca="false" ca="false" dt2D="false" dtr="false" ref="K522:K522" t="array">_XLFN.IFNA(MID(INDEX($A$3:$A$70, IF(ISNA(MATCH("720G4I6*", $A$3:$A$70, 0))=TRUE, MATCH("7200438*", $A$3:$A$70, 0), MATCH("720G4I6*", $A$3:$A$70, 0))), $AX$8, 2), "")</f>
        <v/>
      </c>
      <c r="L522" s="1821" t="str">
        <f aca="false" ca="false" dt2D="false" dtr="false" ref="L522:L522" t="array">_XLFN.IFNA(MID(INDEX($A$3:$A$70, IF(ISNA(MATCH("720G4I6*", $A$3:$A$70, 0))=TRUE, MATCH("7200438*", $A$3:$A$70, 0), MATCH("720G4I6*", $A$3:$A$70, 0))), $AY$8, 2), "")</f>
        <v/>
      </c>
      <c r="M522" s="218" t="str">
        <f aca="false" ca="false" dt2D="false" dtr="false" ref="M522:M522" t="array">_XLFN.IFNA(MID(INDEX($A$3:$A$70, IF(ISNA(MATCH("720G4I6*", $A$3:$A$70, 0))=TRUE, MATCH("7200438*", $A$3:$A$70, 0), MATCH("720G4I6*", $A$3:$A$70, 0))), $AZ$8, 2), "")</f>
        <v/>
      </c>
      <c r="N522" s="63" t="s">
        <v>180</v>
      </c>
      <c r="P522" s="116" t="n"/>
      <c r="Q522" s="5389" t="s"/>
      <c r="R522" s="5390" t="s"/>
      <c r="S522" s="5391" t="s"/>
      <c r="T522" s="129" t="s">
        <v>180</v>
      </c>
      <c r="U522" s="130" t="s">
        <v>181</v>
      </c>
      <c r="V522" s="121" t="s">
        <v>182</v>
      </c>
      <c r="W522" s="131" t="n"/>
      <c r="X522" s="129" t="s">
        <v>180</v>
      </c>
      <c r="Y522" s="130" t="s">
        <v>181</v>
      </c>
      <c r="Z522" s="121" t="s">
        <v>182</v>
      </c>
      <c r="AA522" s="131" t="n"/>
      <c r="AB522" s="129" t="s">
        <v>180</v>
      </c>
      <c r="AC522" s="130" t="s">
        <v>181</v>
      </c>
      <c r="AD522" s="121" t="s">
        <v>182</v>
      </c>
      <c r="AE522" s="131" t="n"/>
      <c r="AF522" s="129" t="s">
        <v>180</v>
      </c>
      <c r="AG522" s="130" t="s">
        <v>181</v>
      </c>
      <c r="AH522" s="121" t="s">
        <v>182</v>
      </c>
      <c r="AI522" s="121" t="n"/>
      <c r="AJ522" s="116" t="s">
        <v>183</v>
      </c>
      <c r="AK522" s="5392" t="s"/>
      <c r="AL522" s="5393" t="s"/>
    </row>
    <row hidden="false" ht="15" outlineLevel="0" r="523">
      <c r="C523" s="98" t="s">
        <v>185</v>
      </c>
      <c r="D523" s="53" t="n">
        <f aca="false" ca="false" dt2D="false" dtr="false" t="normal">HEX2BIN(D522, 8)</f>
        <v>0</v>
      </c>
      <c r="E523" s="53" t="n">
        <f aca="false" ca="false" dt2D="false" dtr="false" t="normal">HEX2BIN(E522, 8)</f>
        <v>0</v>
      </c>
      <c r="F523" s="53" t="n">
        <f aca="false" ca="false" dt2D="false" dtr="false" t="normal">HEX2BIN(F522, 8)</f>
        <v>0</v>
      </c>
      <c r="G523" s="53" t="n">
        <f aca="false" ca="false" dt2D="false" dtr="false" t="normal">HEX2BIN(G522, 8)</f>
        <v>0</v>
      </c>
      <c r="H523" s="53" t="n">
        <f aca="false" ca="false" dt2D="false" dtr="false" t="normal">HEX2BIN(H522, 8)</f>
        <v>0</v>
      </c>
      <c r="I523" s="53" t="n">
        <f aca="false" ca="false" dt2D="false" dtr="false" t="normal">HEX2BIN(I522, 8)</f>
        <v>0</v>
      </c>
      <c r="J523" s="53" t="n">
        <f aca="false" ca="false" dt2D="false" dtr="false" t="normal">HEX2BIN(J522, 8)</f>
        <v>0</v>
      </c>
      <c r="K523" s="53" t="n">
        <f aca="false" ca="false" dt2D="false" dtr="false" t="normal">HEX2BIN(K522, 8)</f>
        <v>0</v>
      </c>
      <c r="L523" s="53" t="n">
        <f aca="false" ca="false" dt2D="false" dtr="false" t="normal">HEX2BIN(L522, 8)</f>
        <v>0</v>
      </c>
      <c r="N523" s="63" t="n"/>
      <c r="P523" s="5394" t="s"/>
      <c r="Q523" s="142" t="s"/>
      <c r="R523" s="142" t="s"/>
      <c r="S523" s="5395" t="s"/>
      <c r="T523" s="136" t="n">
        <f aca="false" ca="false" dt2D="false" dtr="false" t="normal">MID(I523, 1, 1)</f>
        <v>0</v>
      </c>
      <c r="U523" s="137" t="n">
        <f aca="false" ca="false" dt2D="false" dtr="false" t="normal">T523</f>
        <v>0</v>
      </c>
      <c r="V523" s="120" t="s">
        <v>186</v>
      </c>
      <c r="W523" s="139" t="s">
        <v>2015</v>
      </c>
      <c r="X523" s="136" t="n">
        <f aca="false" ca="false" dt2D="false" dtr="false" t="normal">MID(J523, 1, 1)</f>
        <v>0</v>
      </c>
      <c r="Y523" s="137" t="n">
        <f aca="false" ca="false" dt2D="false" dtr="false" t="normal">X523</f>
        <v>0</v>
      </c>
      <c r="Z523" s="120" t="s">
        <v>186</v>
      </c>
      <c r="AA523" s="139" t="s">
        <v>2016</v>
      </c>
      <c r="AB523" s="136" t="n">
        <f aca="false" ca="false" dt2D="false" dtr="false" t="normal">MID(K523, 1, 1)</f>
        <v>0</v>
      </c>
      <c r="AC523" s="137" t="n">
        <f aca="false" ca="false" dt2D="false" dtr="false" t="normal">AB523</f>
        <v>0</v>
      </c>
      <c r="AD523" s="120" t="s">
        <v>186</v>
      </c>
      <c r="AE523" s="139" t="s">
        <v>2017</v>
      </c>
      <c r="AF523" s="136" t="n">
        <f aca="false" ca="false" dt2D="false" dtr="false" t="normal">MID(L523, 1, 1)</f>
        <v>0</v>
      </c>
      <c r="AG523" s="137" t="n">
        <f aca="false" ca="false" dt2D="false" dtr="false" t="normal">AF523</f>
        <v>0</v>
      </c>
      <c r="AH523" s="120" t="s">
        <v>186</v>
      </c>
      <c r="AI523" s="139" t="s">
        <v>2018</v>
      </c>
      <c r="AJ523" s="5396" t="s"/>
      <c r="AK523" s="5397" t="s"/>
      <c r="AL523" s="5398" t="s"/>
    </row>
    <row hidden="false" ht="15" outlineLevel="0" r="524">
      <c r="C524" s="98" t="s">
        <v>191</v>
      </c>
      <c r="D524" s="53" t="n">
        <f aca="false" ca="false" dt2D="false" dtr="false" t="normal">HEX2DEC(D522)</f>
        <v>0</v>
      </c>
      <c r="E524" s="53" t="n">
        <f aca="false" ca="false" dt2D="false" dtr="false" t="normal">HEX2DEC(E522)</f>
        <v>0</v>
      </c>
      <c r="F524" s="53" t="n">
        <f aca="false" ca="false" dt2D="false" dtr="false" t="normal">HEX2DEC(F522)</f>
        <v>0</v>
      </c>
      <c r="G524" s="53" t="n">
        <f aca="false" ca="false" dt2D="false" dtr="false" t="normal">HEX2DEC(G522)</f>
        <v>0</v>
      </c>
      <c r="H524" s="53" t="n">
        <f aca="false" ca="false" dt2D="false" dtr="false" t="normal">HEX2DEC(H522)</f>
        <v>0</v>
      </c>
      <c r="I524" s="53" t="n">
        <f aca="false" ca="false" dt2D="false" dtr="false" t="normal">HEX2DEC(I522)</f>
        <v>0</v>
      </c>
      <c r="J524" s="53" t="n">
        <f aca="false" ca="false" dt2D="false" dtr="false" t="normal">HEX2DEC(J522)</f>
        <v>0</v>
      </c>
      <c r="K524" s="53" t="n">
        <f aca="false" ca="false" dt2D="false" dtr="false" t="normal">HEX2DEC(K522)</f>
        <v>0</v>
      </c>
      <c r="L524" s="53" t="n">
        <f aca="false" ca="false" dt2D="false" dtr="false" t="normal">HEX2DEC(L522)</f>
        <v>0</v>
      </c>
      <c r="M524" s="53" t="n">
        <f aca="false" ca="false" dt2D="false" dtr="false" t="normal">SUM(D524:L524)</f>
        <v>0</v>
      </c>
      <c r="N524" s="63" t="n"/>
      <c r="P524" s="5399" t="s"/>
      <c r="Q524" s="142" t="s"/>
      <c r="R524" s="142" t="s"/>
      <c r="S524" s="5400" t="s"/>
      <c r="T524" s="136" t="n">
        <f aca="false" ca="false" dt2D="false" dtr="false" t="normal">MID(I523, 2, 1)</f>
        <v>0</v>
      </c>
      <c r="U524" s="137" t="n">
        <f aca="false" ca="false" dt2D="false" dtr="false" t="normal">T524</f>
        <v>0</v>
      </c>
      <c r="V524" s="120" t="s">
        <v>192</v>
      </c>
      <c r="W524" s="139" t="s">
        <v>2019</v>
      </c>
      <c r="X524" s="136" t="n">
        <f aca="false" ca="false" dt2D="false" dtr="false" t="normal">MID(J523, 2, 1)</f>
        <v>0</v>
      </c>
      <c r="Y524" s="137" t="n">
        <f aca="false" ca="false" dt2D="false" dtr="false" t="normal">X524</f>
        <v>0</v>
      </c>
      <c r="Z524" s="120" t="s">
        <v>192</v>
      </c>
      <c r="AA524" s="139" t="s">
        <v>2020</v>
      </c>
      <c r="AB524" s="136" t="n">
        <f aca="false" ca="false" dt2D="false" dtr="false" t="normal">MID(K523, 2, 1)</f>
        <v>0</v>
      </c>
      <c r="AC524" s="137" t="n">
        <f aca="false" ca="false" dt2D="false" dtr="false" t="normal">AB524</f>
        <v>0</v>
      </c>
      <c r="AD524" s="120" t="s">
        <v>192</v>
      </c>
      <c r="AE524" s="139" t="s">
        <v>2021</v>
      </c>
      <c r="AF524" s="136" t="n">
        <f aca="false" ca="false" dt2D="false" dtr="false" t="normal">MID(L523, 2, 1)</f>
        <v>0</v>
      </c>
      <c r="AG524" s="137" t="n">
        <f aca="false" ca="false" dt2D="false" dtr="false" t="normal">AF524</f>
        <v>0</v>
      </c>
      <c r="AH524" s="120" t="s">
        <v>192</v>
      </c>
      <c r="AI524" s="139" t="s">
        <v>2022</v>
      </c>
      <c r="AJ524" s="5401" t="s"/>
      <c r="AK524" s="5402" t="s"/>
      <c r="AL524" s="5403" t="s"/>
    </row>
    <row hidden="false" ht="15" outlineLevel="0" r="525">
      <c r="C525" s="98" t="s">
        <v>194</v>
      </c>
      <c r="D525" s="149" t="str">
        <f aca="false" ca="false" dt2D="false" dtr="false" t="normal">D522</f>
        <v/>
      </c>
      <c r="E525" s="149" t="str">
        <f aca="false" ca="false" dt2D="false" dtr="false" t="normal">E522</f>
        <v/>
      </c>
      <c r="F525" s="53" t="str">
        <f aca="false" ca="false" dt2D="false" dtr="false" t="normal">_XLFN.IFNA(MID(INDEX($A$3:$A$70, IF(ISNA(MATCH("720G4I6*", $A$3:$A$70, 0))=TRUE, MATCH("7200438*", $A$3:$A$70, 0), MATCH("720G4I6*", $A$3:$A$70, 0))), $AS$8, 2), "")</f>
        <v/>
      </c>
      <c r="G525" s="53" t="str">
        <f aca="false" ca="false" dt2D="false" dtr="false" t="normal">_XLFN.IFNA(MID(INDEX($A$3:$A$70, IF(ISNA(MATCH("720G4I6*", $A$3:$A$70, 0))=TRUE, MATCH("7200438*", $A$3:$A$70, 0), MATCH("720G4I6*", $A$3:$A$70, 0))), $AT$8, 2), "")</f>
        <v/>
      </c>
      <c r="N525" s="63" t="n"/>
      <c r="P525" s="5404" t="s"/>
      <c r="Q525" s="142" t="s"/>
      <c r="R525" s="142" t="s"/>
      <c r="S525" s="5405" t="s"/>
      <c r="T525" s="136" t="n">
        <f aca="false" ca="false" dt2D="false" dtr="false" t="normal">MID(I523, 3, 1)</f>
        <v>0</v>
      </c>
      <c r="U525" s="137" t="n">
        <f aca="false" ca="false" dt2D="false" dtr="false" t="normal">T525</f>
        <v>0</v>
      </c>
      <c r="V525" s="120" t="s">
        <v>195</v>
      </c>
      <c r="W525" s="139" t="s">
        <v>2023</v>
      </c>
      <c r="X525" s="136" t="n">
        <f aca="false" ca="false" dt2D="false" dtr="false" t="normal">MID(J523, 3, 1)</f>
        <v>0</v>
      </c>
      <c r="Y525" s="137" t="n">
        <f aca="false" ca="false" dt2D="false" dtr="false" t="normal">X525</f>
        <v>0</v>
      </c>
      <c r="Z525" s="120" t="s">
        <v>195</v>
      </c>
      <c r="AA525" s="139" t="s">
        <v>2024</v>
      </c>
      <c r="AB525" s="136" t="n">
        <f aca="false" ca="false" dt2D="false" dtr="false" t="normal">MID(K523, 3, 1)</f>
        <v>0</v>
      </c>
      <c r="AC525" s="137" t="n">
        <f aca="false" ca="false" dt2D="false" dtr="false" t="normal">AB525</f>
        <v>0</v>
      </c>
      <c r="AD525" s="120" t="s">
        <v>195</v>
      </c>
      <c r="AE525" s="139" t="s">
        <v>2025</v>
      </c>
      <c r="AF525" s="136" t="n">
        <f aca="false" ca="false" dt2D="false" dtr="false" t="normal">MID(L523, 3, 1)</f>
        <v>0</v>
      </c>
      <c r="AG525" s="137" t="n">
        <f aca="false" ca="false" dt2D="false" dtr="false" t="normal">AF525</f>
        <v>0</v>
      </c>
      <c r="AH525" s="120" t="s">
        <v>195</v>
      </c>
      <c r="AI525" s="139" t="s">
        <v>2026</v>
      </c>
      <c r="AJ525" s="5406" t="s"/>
      <c r="AK525" s="5407" t="s"/>
      <c r="AL525" s="5408" t="s"/>
    </row>
    <row hidden="false" ht="15.75" outlineLevel="0" r="526">
      <c r="C526" s="98" t="n"/>
      <c r="N526" s="63" t="n"/>
      <c r="P526" s="5409" t="s"/>
      <c r="Q526" s="142" t="s"/>
      <c r="R526" s="142" t="s"/>
      <c r="S526" s="5410" t="s"/>
      <c r="T526" s="136" t="n">
        <f aca="false" ca="false" dt2D="false" dtr="false" t="normal">MID(I523, 4, 1)</f>
        <v>0</v>
      </c>
      <c r="U526" s="137" t="n">
        <f aca="false" ca="false" dt2D="false" dtr="false" t="normal">T526</f>
        <v>0</v>
      </c>
      <c r="V526" s="120" t="s">
        <v>197</v>
      </c>
      <c r="W526" s="139" t="s">
        <v>2027</v>
      </c>
      <c r="X526" s="136" t="n">
        <f aca="false" ca="false" dt2D="false" dtr="false" t="normal">MID(J523, 4, 1)</f>
        <v>0</v>
      </c>
      <c r="Y526" s="137" t="n">
        <f aca="false" ca="false" dt2D="false" dtr="false" t="normal">X526</f>
        <v>0</v>
      </c>
      <c r="Z526" s="120" t="s">
        <v>197</v>
      </c>
      <c r="AA526" s="139" t="s">
        <v>2028</v>
      </c>
      <c r="AB526" s="136" t="n">
        <f aca="false" ca="false" dt2D="false" dtr="false" t="normal">MID(K523, 4, 1)</f>
        <v>0</v>
      </c>
      <c r="AC526" s="137" t="n">
        <f aca="false" ca="false" dt2D="false" dtr="false" t="normal">AB526</f>
        <v>0</v>
      </c>
      <c r="AD526" s="120" t="s">
        <v>197</v>
      </c>
      <c r="AE526" s="139" t="s">
        <v>2029</v>
      </c>
      <c r="AF526" s="136" t="n">
        <f aca="false" ca="false" dt2D="false" dtr="false" t="normal">MID(L523, 4, 1)</f>
        <v>0</v>
      </c>
      <c r="AG526" s="137" t="n">
        <f aca="false" ca="false" dt2D="false" dtr="false" t="normal">AF526</f>
        <v>0</v>
      </c>
      <c r="AH526" s="120" t="s">
        <v>197</v>
      </c>
      <c r="AI526" s="139" t="s">
        <v>2030</v>
      </c>
      <c r="AJ526" s="5411" t="s"/>
      <c r="AK526" s="5412" t="s"/>
      <c r="AL526" s="5413" t="s"/>
    </row>
    <row hidden="false" ht="15.75" outlineLevel="0" r="527">
      <c r="C527" s="98" t="s">
        <v>176</v>
      </c>
      <c r="D527" s="159" t="str">
        <f aca="false" ca="false" dt2D="false" dtr="false" t="normal">D522</f>
        <v/>
      </c>
      <c r="E527" s="160" t="str">
        <f aca="false" ca="false" dt2D="false" dtr="false" t="normal">E522</f>
        <v/>
      </c>
      <c r="F527" s="160" t="str">
        <f aca="false" ca="false" dt2D="false" dtr="false" t="normal">F522</f>
        <v/>
      </c>
      <c r="G527" s="161" t="str">
        <f aca="false" ca="false" dt2D="false" dtr="false" t="normal">G522</f>
        <v/>
      </c>
      <c r="H527" s="2540" t="str">
        <f aca="false" ca="false" dt2D="false" dtr="false" t="normal">H522</f>
        <v/>
      </c>
      <c r="I527" s="163" t="str">
        <f aca="false" ca="false" dt2D="false" dtr="false" t="normal">IF(J412="", "", BIN2HEX(I528, 2))</f>
        <v/>
      </c>
      <c r="J527" s="164" t="str">
        <f aca="false" ca="false" dt2D="false" dtr="false" t="normal">IF(J412="", "", BIN2HEX(J528, 2))</f>
        <v/>
      </c>
      <c r="K527" s="165" t="str">
        <f aca="false" ca="false" dt2D="false" dtr="false" t="normal">IF(J412="", "", BIN2HEX(K528, 2))</f>
        <v/>
      </c>
      <c r="L527" s="288" t="str">
        <f aca="false" ca="false" dt2D="false" dtr="false" t="normal">IF(J412="", "", BIN2HEX(L528, 2))</f>
        <v/>
      </c>
      <c r="M527" s="166" t="str">
        <f aca="false" ca="false" dt2D="false" dtr="false" t="normal">IF(J412="", "", IF(LEN(M528)&gt;2, MID(M528, 2, 2), M528))</f>
        <v/>
      </c>
      <c r="N527" s="63" t="s">
        <v>181</v>
      </c>
      <c r="P527" s="5414" t="s"/>
      <c r="Q527" s="142" t="s"/>
      <c r="R527" s="142" t="s"/>
      <c r="S527" s="5415" t="s"/>
      <c r="T527" s="136" t="n">
        <f aca="false" ca="false" dt2D="false" dtr="false" t="normal">MID(I523, 5, 1)</f>
        <v>0</v>
      </c>
      <c r="U527" s="137" t="n">
        <f aca="false" ca="false" dt2D="false" dtr="false" t="normal">T527</f>
        <v>0</v>
      </c>
      <c r="V527" s="120" t="s">
        <v>200</v>
      </c>
      <c r="W527" s="139" t="s">
        <v>2031</v>
      </c>
      <c r="X527" s="136" t="n">
        <f aca="false" ca="false" dt2D="false" dtr="false" t="normal">MID(J523, 5, 1)</f>
        <v>0</v>
      </c>
      <c r="Y527" s="137" t="n">
        <f aca="false" ca="false" dt2D="false" dtr="false" t="normal">X527</f>
        <v>0</v>
      </c>
      <c r="Z527" s="120" t="s">
        <v>200</v>
      </c>
      <c r="AA527" s="139" t="s">
        <v>2032</v>
      </c>
      <c r="AB527" s="136" t="n">
        <f aca="false" ca="false" dt2D="false" dtr="false" t="normal">MID(K523, 5, 1)</f>
        <v>0</v>
      </c>
      <c r="AC527" s="137" t="n">
        <f aca="false" ca="false" dt2D="false" dtr="false" t="normal">AB527</f>
        <v>0</v>
      </c>
      <c r="AD527" s="120" t="s">
        <v>200</v>
      </c>
      <c r="AE527" s="139" t="s">
        <v>2033</v>
      </c>
      <c r="AF527" s="136" t="n">
        <f aca="false" ca="false" dt2D="false" dtr="false" t="normal">MID(L523, 5, 1)</f>
        <v>0</v>
      </c>
      <c r="AG527" s="137" t="n">
        <f aca="false" ca="false" dt2D="false" dtr="false" t="normal">AF527</f>
        <v>0</v>
      </c>
      <c r="AH527" s="120" t="s">
        <v>200</v>
      </c>
      <c r="AI527" s="139" t="s">
        <v>2034</v>
      </c>
      <c r="AJ527" s="5416" t="s"/>
      <c r="AK527" s="5417" t="s"/>
      <c r="AL527" s="5418" t="s"/>
    </row>
    <row hidden="false" ht="15" outlineLevel="0" r="528">
      <c r="C528" s="98" t="s">
        <v>185</v>
      </c>
      <c r="D528" s="53" t="n">
        <f aca="false" ca="false" dt2D="false" dtr="false" t="normal">HEX2BIN(D527, 8)</f>
        <v>0</v>
      </c>
      <c r="E528" s="53" t="n">
        <f aca="false" ca="false" dt2D="false" dtr="false" t="normal">HEX2BIN(E527, 8)</f>
        <v>0</v>
      </c>
      <c r="F528" s="53" t="n">
        <f aca="false" ca="false" dt2D="false" dtr="false" t="normal">HEX2BIN(F527, 8)</f>
        <v>0</v>
      </c>
      <c r="G528" s="53" t="n">
        <f aca="false" ca="false" dt2D="false" dtr="false" t="normal">HEX2BIN(G527, 8)</f>
        <v>0</v>
      </c>
      <c r="H528" s="171" t="n"/>
      <c r="I528" s="53" t="n">
        <f aca="false" ca="false" dt2D="false" dtr="false" t="normal">U523&amp;U524&amp;U525&amp;U526&amp;U527&amp;U528&amp;U529&amp;U530</f>
        <v>0</v>
      </c>
      <c r="J528" s="171" t="n">
        <f aca="false" ca="false" dt2D="false" dtr="false" t="normal">Y523&amp;Y524&amp;Y525&amp;Y526&amp;Y527&amp;Y528&amp;Y529&amp;Y530</f>
        <v>0</v>
      </c>
      <c r="K528" s="171" t="n">
        <f aca="false" ca="false" dt2D="false" dtr="false" t="normal">AC523&amp;AC524&amp;AC525&amp;AC526&amp;AC527&amp;AC528&amp;AC529&amp;AC530</f>
        <v>0</v>
      </c>
      <c r="L528" s="53" t="n">
        <f aca="false" ca="false" dt2D="false" dtr="false" t="normal">AG523&amp;AG524&amp;AG525&amp;AG526&amp;AG527&amp;AG528&amp;AG529&amp;AG530</f>
        <v>0</v>
      </c>
      <c r="M528" s="53" t="n">
        <f aca="false" ca="false" dt2D="false" dtr="false" t="normal">DEC2HEX(M529)</f>
        <v>0</v>
      </c>
      <c r="N528" s="63" t="n"/>
      <c r="P528" s="5419" t="s"/>
      <c r="Q528" s="142" t="s"/>
      <c r="R528" s="142" t="s"/>
      <c r="S528" s="5420" t="s"/>
      <c r="T528" s="136" t="n">
        <f aca="false" ca="false" dt2D="false" dtr="false" t="normal">MID(I523, 6, 1)</f>
        <v>0</v>
      </c>
      <c r="U528" s="137" t="n">
        <f aca="false" ca="false" dt2D="false" dtr="false" t="normal">T528</f>
        <v>0</v>
      </c>
      <c r="V528" s="120" t="s">
        <v>203</v>
      </c>
      <c r="W528" s="139" t="s">
        <v>2035</v>
      </c>
      <c r="X528" s="136" t="n">
        <f aca="false" ca="false" dt2D="false" dtr="false" t="normal">MID(J523, 6, 1)</f>
        <v>0</v>
      </c>
      <c r="Y528" s="137" t="n">
        <f aca="false" ca="false" dt2D="false" dtr="false" t="normal">X528</f>
        <v>0</v>
      </c>
      <c r="Z528" s="120" t="s">
        <v>203</v>
      </c>
      <c r="AA528" s="139" t="s">
        <v>2036</v>
      </c>
      <c r="AB528" s="136" t="n">
        <f aca="false" ca="false" dt2D="false" dtr="false" t="normal">MID(K523, 6, 1)</f>
        <v>0</v>
      </c>
      <c r="AC528" s="137" t="n">
        <f aca="false" ca="false" dt2D="false" dtr="false" t="normal">AB528</f>
        <v>0</v>
      </c>
      <c r="AD528" s="120" t="s">
        <v>203</v>
      </c>
      <c r="AE528" s="139" t="s">
        <v>2037</v>
      </c>
      <c r="AF528" s="136" t="n">
        <f aca="false" ca="false" dt2D="false" dtr="false" t="normal">MID(L523, 6, 1)</f>
        <v>0</v>
      </c>
      <c r="AG528" s="137" t="n">
        <f aca="false" ca="false" dt2D="false" dtr="false" t="normal">AF528</f>
        <v>0</v>
      </c>
      <c r="AH528" s="120" t="s">
        <v>203</v>
      </c>
      <c r="AI528" s="139" t="s">
        <v>2038</v>
      </c>
      <c r="AJ528" s="5421" t="s"/>
      <c r="AK528" s="5422" t="s"/>
      <c r="AL528" s="5423" t="s"/>
    </row>
    <row hidden="false" ht="15" outlineLevel="0" r="529">
      <c r="C529" s="98" t="s">
        <v>191</v>
      </c>
      <c r="D529" s="53" t="n">
        <f aca="false" ca="false" dt2D="false" dtr="false" t="normal">HEX2DEC(D527)</f>
        <v>0</v>
      </c>
      <c r="E529" s="53" t="n">
        <f aca="false" ca="false" dt2D="false" dtr="false" t="normal">HEX2DEC(E527)</f>
        <v>0</v>
      </c>
      <c r="F529" s="53" t="n">
        <f aca="false" ca="false" dt2D="false" dtr="false" t="normal">HEX2DEC(F527)</f>
        <v>0</v>
      </c>
      <c r="G529" s="53" t="n">
        <f aca="false" ca="false" dt2D="false" dtr="false" t="normal">HEX2DEC(G527)</f>
        <v>0</v>
      </c>
      <c r="H529" s="53" t="n">
        <f aca="false" ca="false" dt2D="false" dtr="false" t="normal">HEX2DEC(H527)</f>
        <v>0</v>
      </c>
      <c r="I529" s="53" t="n">
        <f aca="false" ca="false" dt2D="false" dtr="false" t="normal">HEX2DEC(I527)</f>
        <v>0</v>
      </c>
      <c r="J529" s="53" t="n">
        <f aca="false" ca="false" dt2D="false" dtr="false" t="normal">HEX2DEC(J527)</f>
        <v>0</v>
      </c>
      <c r="K529" s="53" t="n">
        <f aca="false" ca="false" dt2D="false" dtr="false" t="normal">HEX2DEC(K527)</f>
        <v>0</v>
      </c>
      <c r="L529" s="53" t="n">
        <f aca="false" ca="false" dt2D="false" dtr="false" t="normal">HEX2DEC(L527)</f>
        <v>0</v>
      </c>
      <c r="M529" s="53" t="n">
        <f aca="false" ca="false" dt2D="false" dtr="false" t="normal">SUM(D529:L529)</f>
        <v>0</v>
      </c>
      <c r="N529" s="63" t="n"/>
      <c r="P529" s="5424" t="s"/>
      <c r="Q529" s="142" t="s"/>
      <c r="R529" s="142" t="s"/>
      <c r="S529" s="5425" t="s"/>
      <c r="T529" s="136" t="n">
        <f aca="false" ca="false" dt2D="false" dtr="false" t="normal">MID(I523, 7, 1)</f>
        <v>0</v>
      </c>
      <c r="U529" s="137" t="n">
        <f aca="false" ca="false" dt2D="false" dtr="false" t="normal">T529</f>
        <v>0</v>
      </c>
      <c r="V529" s="120" t="s">
        <v>206</v>
      </c>
      <c r="W529" s="139" t="s">
        <v>2039</v>
      </c>
      <c r="X529" s="136" t="n">
        <f aca="false" ca="false" dt2D="false" dtr="false" t="normal">MID(J523, 7, 1)</f>
        <v>0</v>
      </c>
      <c r="Y529" s="137" t="n">
        <f aca="false" ca="false" dt2D="false" dtr="false" t="normal">X529</f>
        <v>0</v>
      </c>
      <c r="Z529" s="120" t="s">
        <v>206</v>
      </c>
      <c r="AA529" s="139" t="s">
        <v>2040</v>
      </c>
      <c r="AB529" s="136" t="n">
        <f aca="false" ca="false" dt2D="false" dtr="false" t="normal">MID(K523, 7, 1)</f>
        <v>0</v>
      </c>
      <c r="AC529" s="137" t="n">
        <f aca="false" ca="false" dt2D="false" dtr="false" t="normal">AB529</f>
        <v>0</v>
      </c>
      <c r="AD529" s="120" t="s">
        <v>206</v>
      </c>
      <c r="AE529" s="139" t="s">
        <v>2041</v>
      </c>
      <c r="AF529" s="136" t="n">
        <f aca="false" ca="false" dt2D="false" dtr="false" t="normal">MID(L523, 7, 1)</f>
        <v>0</v>
      </c>
      <c r="AG529" s="137" t="n">
        <f aca="false" ca="false" dt2D="false" dtr="false" t="normal">AF529</f>
        <v>0</v>
      </c>
      <c r="AH529" s="120" t="s">
        <v>206</v>
      </c>
      <c r="AI529" s="139" t="s">
        <v>2042</v>
      </c>
      <c r="AJ529" s="5426" t="s"/>
      <c r="AK529" s="5427" t="s"/>
      <c r="AL529" s="5428" t="s"/>
    </row>
    <row hidden="false" ht="15.75" outlineLevel="0" r="530">
      <c r="C530" s="180" t="s">
        <v>194</v>
      </c>
      <c r="D530" s="299" t="str">
        <f aca="false" ca="false" dt2D="false" dtr="false" t="normal">D525</f>
        <v/>
      </c>
      <c r="E530" s="299" t="str">
        <f aca="false" ca="false" dt2D="false" dtr="false" t="normal">E525</f>
        <v/>
      </c>
      <c r="F530" s="299" t="str">
        <f aca="false" ca="false" dt2D="false" dtr="false" t="normal">F525</f>
        <v/>
      </c>
      <c r="G530" s="299" t="str">
        <f aca="false" ca="false" dt2D="false" dtr="false" t="normal">G525</f>
        <v/>
      </c>
      <c r="H530" s="45" t="n"/>
      <c r="I530" s="45" t="n"/>
      <c r="J530" s="45" t="n"/>
      <c r="K530" s="45" t="n"/>
      <c r="L530" s="45" t="n"/>
      <c r="M530" s="45" t="n"/>
      <c r="N530" s="49" t="n"/>
      <c r="P530" s="5429" t="s"/>
      <c r="Q530" s="5430" t="s"/>
      <c r="R530" s="5431" t="s"/>
      <c r="S530" s="5432" t="s"/>
      <c r="T530" s="182" t="n">
        <f aca="false" ca="false" dt2D="false" dtr="false" t="normal">MID(I523, 8, 1)</f>
        <v>0</v>
      </c>
      <c r="U530" s="183" t="n">
        <f aca="false" ca="false" dt2D="false" dtr="false" t="normal">T530</f>
        <v>0</v>
      </c>
      <c r="V530" s="184" t="s">
        <v>208</v>
      </c>
      <c r="W530" s="187" t="s">
        <v>2043</v>
      </c>
      <c r="X530" s="182" t="n">
        <f aca="false" ca="false" dt2D="false" dtr="false" t="normal">MID(J523, 8, 1)</f>
        <v>0</v>
      </c>
      <c r="Y530" s="183" t="n">
        <f aca="false" ca="false" dt2D="false" dtr="false" t="normal">X530</f>
        <v>0</v>
      </c>
      <c r="Z530" s="184" t="s">
        <v>208</v>
      </c>
      <c r="AA530" s="187" t="s">
        <v>2044</v>
      </c>
      <c r="AB530" s="182" t="n">
        <f aca="false" ca="false" dt2D="false" dtr="false" t="normal">MID(K523, 8, 1)</f>
        <v>0</v>
      </c>
      <c r="AC530" s="183" t="n">
        <f aca="false" ca="false" dt2D="false" dtr="false" t="normal">AB530</f>
        <v>0</v>
      </c>
      <c r="AD530" s="184" t="s">
        <v>208</v>
      </c>
      <c r="AE530" s="187" t="s">
        <v>2045</v>
      </c>
      <c r="AF530" s="182" t="n">
        <f aca="false" ca="false" dt2D="false" dtr="false" t="normal">MID(L523, 8, 1)</f>
        <v>0</v>
      </c>
      <c r="AG530" s="183" t="n">
        <f aca="false" ca="false" dt2D="false" dtr="false" t="normal">AF530</f>
        <v>0</v>
      </c>
      <c r="AH530" s="184" t="s">
        <v>208</v>
      </c>
      <c r="AI530" s="187" t="s">
        <v>2046</v>
      </c>
      <c r="AJ530" s="5433" t="s"/>
      <c r="AK530" s="5434" t="s"/>
      <c r="AL530" s="5435" t="s"/>
    </row>
    <row hidden="false" ht="15.75" outlineLevel="0" r="531">
      <c r="C531" s="93" t="n"/>
      <c r="D531" s="94" t="n"/>
      <c r="E531" s="94" t="n"/>
      <c r="F531" s="94" t="n"/>
      <c r="G531" s="94" t="n"/>
      <c r="H531" s="94" t="n"/>
      <c r="I531" s="94" t="n"/>
      <c r="J531" s="94" t="n"/>
      <c r="K531" s="94" t="n"/>
      <c r="L531" s="94" t="n"/>
      <c r="M531" s="94" t="s">
        <v>161</v>
      </c>
      <c r="N531" s="60" t="n"/>
      <c r="P531" s="95" t="str">
        <f aca="false" ca="false" dt2D="false" dtr="false" t="normal">RIGHT(D533, 1)&amp;E533&amp;"-"&amp;F533&amp;"-"&amp;G533</f>
        <v>--</v>
      </c>
      <c r="Q531" s="5436" t="s"/>
      <c r="R531" s="234" t="s">
        <v>2047</v>
      </c>
      <c r="S531" s="5437" t="s"/>
      <c r="T531" s="5438" t="s"/>
      <c r="U531" s="5439" t="s"/>
      <c r="V531" s="5440" t="s"/>
      <c r="W531" s="5441" t="s"/>
      <c r="X531" s="5442" t="s"/>
      <c r="Y531" s="5443" t="s"/>
      <c r="Z531" s="5444" t="s"/>
      <c r="AA531" s="5445" t="s"/>
      <c r="AB531" s="5446" t="s"/>
      <c r="AC531" s="5447" t="s"/>
      <c r="AD531" s="5448" t="s"/>
      <c r="AE531" s="5449" t="s"/>
      <c r="AF531" s="5450" t="s"/>
      <c r="AG531" s="5451" t="s"/>
      <c r="AH531" s="5452" t="s"/>
      <c r="AI531" s="5453" t="s"/>
      <c r="AJ531" s="5454" t="s"/>
      <c r="AK531" s="5455" t="s"/>
      <c r="AL531" s="5456" t="s"/>
    </row>
    <row hidden="false" ht="15.75" outlineLevel="0" r="532">
      <c r="C532" s="98" t="n"/>
      <c r="D532" s="99" t="s">
        <v>2048</v>
      </c>
      <c r="E532" s="5457" t="s"/>
      <c r="F532" s="5458" t="s"/>
      <c r="G532" s="5459" t="s"/>
      <c r="H532" s="53" t="s">
        <v>165</v>
      </c>
      <c r="I532" s="53" t="s">
        <v>166</v>
      </c>
      <c r="J532" s="53" t="s">
        <v>167</v>
      </c>
      <c r="K532" s="53" t="s">
        <v>168</v>
      </c>
      <c r="L532" s="53" t="s">
        <v>169</v>
      </c>
      <c r="M532" s="53" t="s">
        <v>221</v>
      </c>
      <c r="N532" s="63" t="n"/>
      <c r="P532" s="103" t="s">
        <v>2049</v>
      </c>
      <c r="Q532" s="5460" t="s"/>
      <c r="R532" s="5461" t="s"/>
      <c r="S532" s="5462" t="s"/>
      <c r="T532" s="103" t="s">
        <v>2050</v>
      </c>
      <c r="U532" s="5463" t="s"/>
      <c r="V532" s="5464" t="s"/>
      <c r="W532" s="5465" t="s"/>
      <c r="X532" s="103" t="s">
        <v>2051</v>
      </c>
      <c r="Y532" s="5466" t="s"/>
      <c r="Z532" s="5467" t="s"/>
      <c r="AA532" s="5468" t="s"/>
      <c r="AB532" s="103" t="s">
        <v>2052</v>
      </c>
      <c r="AC532" s="5469" t="s"/>
      <c r="AD532" s="5470" t="s"/>
      <c r="AE532" s="5471" t="s"/>
      <c r="AF532" s="103" t="s">
        <v>2053</v>
      </c>
      <c r="AG532" s="5472" t="s"/>
      <c r="AH532" s="5473" t="s"/>
      <c r="AI532" s="5474" t="s"/>
      <c r="AJ532" s="103" t="s">
        <v>2054</v>
      </c>
      <c r="AK532" s="5475" t="s"/>
      <c r="AL532" s="5476" t="s"/>
    </row>
    <row hidden="false" ht="15.75" outlineLevel="0" r="533">
      <c r="C533" s="98" t="s">
        <v>176</v>
      </c>
      <c r="D533" s="122" t="str">
        <f aca="false" ca="false" dt2D="false" dtr="false" t="normal">IF(J412="", "", 7)</f>
        <v/>
      </c>
      <c r="E533" s="123" t="str">
        <f aca="false" ca="false" dt2D="false" dtr="false" t="normal">IF(J412="", "", 20)</f>
        <v/>
      </c>
      <c r="F533" s="123" t="str">
        <f aca="false" ca="false" dt2D="false" dtr="false" t="normal">IF(J412="", "", 4)</f>
        <v/>
      </c>
      <c r="G533" s="124" t="str">
        <f aca="false" ca="false" dt2D="false" dtr="false" t="normal">IF(J412="", "", 39)</f>
        <v/>
      </c>
      <c r="H533" s="1819" t="str">
        <f aca="false" ca="false" dt2D="false" dtr="false" ref="H533:H533" t="array">_XLFN.IFNA(MID(INDEX($A$3:$A$70, IF(ISNA(MATCH("720G4I7*", $A$3:$A$70, 0))=TRUE, MATCH("7200439*", $A$3:$A$70, 0), MATCH("720G4I7*", $A$3:$A$70, 0))), $AU$8, 2), "")</f>
        <v/>
      </c>
      <c r="I533" s="1820" t="str">
        <f aca="false" ca="false" dt2D="false" dtr="false" ref="I533:I533" t="array">_XLFN.IFNA(MID(INDEX($A$3:$A$70, IF(ISNA(MATCH("720G4I7*", $A$3:$A$70, 0))=TRUE, MATCH("7200439*", $A$3:$A$70, 0), MATCH("720G4I7*", $A$3:$A$70, 0))), $AV$8, 2), "")</f>
        <v/>
      </c>
      <c r="J533" s="164" t="str">
        <f aca="false" ca="false" dt2D="false" dtr="false" ref="J533:J533" t="array">_XLFN.IFNA(MID(INDEX($A$3:$A$70, IF(ISNA(MATCH("720G4I7*", $A$3:$A$70, 0))=TRUE, MATCH("7200439*", $A$3:$A$70, 0), MATCH("720G4I7*", $A$3:$A$70, 0))), $AW$8, 2), "")</f>
        <v/>
      </c>
      <c r="K533" s="1820" t="str">
        <f aca="false" ca="false" dt2D="false" dtr="false" ref="K533:K533" t="array">_XLFN.IFNA(MID(INDEX($A$3:$A$70, IF(ISNA(MATCH("720G4I7*", $A$3:$A$70, 0))=TRUE, MATCH("7200439*", $A$3:$A$70, 0), MATCH("720G4I7*", $A$3:$A$70, 0))), $AX$8, 2), "")</f>
        <v/>
      </c>
      <c r="L533" s="1821" t="str">
        <f aca="false" ca="false" dt2D="false" dtr="false" ref="L533:L533" t="array">_XLFN.IFNA(MID(INDEX($A$3:$A$70, IF(ISNA(MATCH("720G4I7*", $A$3:$A$70, 0))=TRUE, MATCH("7200439*", $A$3:$A$70, 0), MATCH("720G4I7*", $A$3:$A$70, 0))), $AY$8, 2), "")</f>
        <v/>
      </c>
      <c r="M533" s="218" t="str">
        <f aca="false" ca="false" dt2D="false" dtr="false" ref="M533:M533" t="array">_XLFN.IFNA(MID(INDEX($A$3:$A$70, IF(ISNA(MATCH("720G4I7*", $A$3:$A$70, 0))=TRUE, MATCH("7200439*", $A$3:$A$70, 0), MATCH("720G4I7*", $A$3:$A$70, 0))), $AZ$8, 2), "")</f>
        <v/>
      </c>
      <c r="N533" s="63" t="s">
        <v>180</v>
      </c>
      <c r="P533" s="129" t="s">
        <v>180</v>
      </c>
      <c r="Q533" s="130" t="s">
        <v>181</v>
      </c>
      <c r="R533" s="121" t="s">
        <v>182</v>
      </c>
      <c r="S533" s="131" t="n"/>
      <c r="T533" s="129" t="s">
        <v>180</v>
      </c>
      <c r="U533" s="130" t="s">
        <v>181</v>
      </c>
      <c r="V533" s="121" t="s">
        <v>182</v>
      </c>
      <c r="W533" s="131" t="n"/>
      <c r="X533" s="116" t="n"/>
      <c r="Y533" s="5477" t="s"/>
      <c r="Z533" s="5478" t="s"/>
      <c r="AA533" s="5479" t="s"/>
      <c r="AB533" s="116" t="n"/>
      <c r="AC533" s="5480" t="s"/>
      <c r="AD533" s="5481" t="s"/>
      <c r="AE533" s="5482" t="s"/>
      <c r="AF533" s="129" t="s">
        <v>180</v>
      </c>
      <c r="AG533" s="130" t="s">
        <v>181</v>
      </c>
      <c r="AH533" s="121" t="s">
        <v>182</v>
      </c>
      <c r="AI533" s="121" t="n"/>
      <c r="AJ533" s="116" t="s">
        <v>183</v>
      </c>
      <c r="AK533" s="5483" t="s"/>
      <c r="AL533" s="5484" t="s"/>
    </row>
    <row hidden="false" ht="15" outlineLevel="0" r="534">
      <c r="C534" s="98" t="s">
        <v>185</v>
      </c>
      <c r="D534" s="53" t="n">
        <f aca="false" ca="false" dt2D="false" dtr="false" t="normal">HEX2BIN(D533, 8)</f>
        <v>0</v>
      </c>
      <c r="E534" s="53" t="n">
        <f aca="false" ca="false" dt2D="false" dtr="false" t="normal">HEX2BIN(E533, 8)</f>
        <v>0</v>
      </c>
      <c r="F534" s="53" t="n">
        <f aca="false" ca="false" dt2D="false" dtr="false" t="normal">HEX2BIN(F533, 8)</f>
        <v>0</v>
      </c>
      <c r="G534" s="53" t="n">
        <f aca="false" ca="false" dt2D="false" dtr="false" t="normal">HEX2BIN(G533, 8)</f>
        <v>0</v>
      </c>
      <c r="H534" s="53" t="n">
        <f aca="false" ca="false" dt2D="false" dtr="false" t="normal">HEX2BIN(H533, 8)</f>
        <v>0</v>
      </c>
      <c r="I534" s="53" t="n">
        <f aca="false" ca="false" dt2D="false" dtr="false" t="normal">HEX2BIN(I533, 8)</f>
        <v>0</v>
      </c>
      <c r="J534" s="53" t="n">
        <f aca="false" ca="false" dt2D="false" dtr="false" t="normal">HEX2BIN(J533, 8)</f>
        <v>0</v>
      </c>
      <c r="K534" s="53" t="n">
        <f aca="false" ca="false" dt2D="false" dtr="false" t="normal">HEX2BIN(K533, 8)</f>
        <v>0</v>
      </c>
      <c r="L534" s="53" t="n">
        <f aca="false" ca="false" dt2D="false" dtr="false" t="normal">HEX2BIN(L533, 8)</f>
        <v>0</v>
      </c>
      <c r="N534" s="63" t="n"/>
      <c r="P534" s="136" t="n">
        <f aca="false" ca="false" dt2D="false" dtr="false" t="normal">MID(H534, 1, 1)</f>
        <v>0</v>
      </c>
      <c r="Q534" s="137" t="n">
        <f aca="false" ca="false" dt2D="false" dtr="false" t="normal">P534</f>
        <v>0</v>
      </c>
      <c r="R534" s="120" t="s">
        <v>186</v>
      </c>
      <c r="S534" s="139" t="s">
        <v>2055</v>
      </c>
      <c r="T534" s="136" t="n">
        <f aca="false" ca="false" dt2D="false" dtr="false" t="normal">MID(I534, 1, 1)</f>
        <v>0</v>
      </c>
      <c r="U534" s="137" t="n">
        <f aca="false" ca="false" dt2D="false" dtr="false" t="normal">T534</f>
        <v>0</v>
      </c>
      <c r="V534" s="120" t="s">
        <v>186</v>
      </c>
      <c r="W534" s="139" t="s">
        <v>2056</v>
      </c>
      <c r="X534" s="5485" t="s"/>
      <c r="Y534" s="142" t="s"/>
      <c r="Z534" s="142" t="s"/>
      <c r="AA534" s="5486" t="s"/>
      <c r="AB534" s="5487" t="s"/>
      <c r="AC534" s="142" t="s"/>
      <c r="AD534" s="142" t="s"/>
      <c r="AE534" s="5488" t="s"/>
      <c r="AF534" s="136" t="n">
        <f aca="false" ca="false" dt2D="false" dtr="false" t="normal">MID(L534, 1, 1)</f>
        <v>0</v>
      </c>
      <c r="AG534" s="137" t="n">
        <f aca="false" ca="false" dt2D="false" dtr="false" t="normal">AF534</f>
        <v>0</v>
      </c>
      <c r="AH534" s="120" t="s">
        <v>186</v>
      </c>
      <c r="AI534" s="139" t="s">
        <v>2057</v>
      </c>
      <c r="AJ534" s="5489" t="s"/>
      <c r="AK534" s="5490" t="s"/>
      <c r="AL534" s="5491" t="s"/>
    </row>
    <row hidden="false" ht="15" outlineLevel="0" r="535">
      <c r="C535" s="98" t="s">
        <v>191</v>
      </c>
      <c r="D535" s="53" t="n">
        <f aca="false" ca="false" dt2D="false" dtr="false" t="normal">HEX2DEC(D533)</f>
        <v>0</v>
      </c>
      <c r="E535" s="53" t="n">
        <f aca="false" ca="false" dt2D="false" dtr="false" t="normal">HEX2DEC(E533)</f>
        <v>0</v>
      </c>
      <c r="F535" s="53" t="n">
        <f aca="false" ca="false" dt2D="false" dtr="false" t="normal">HEX2DEC(F533)</f>
        <v>0</v>
      </c>
      <c r="G535" s="53" t="n">
        <f aca="false" ca="false" dt2D="false" dtr="false" t="normal">HEX2DEC(G533)</f>
        <v>0</v>
      </c>
      <c r="H535" s="53" t="n">
        <f aca="false" ca="false" dt2D="false" dtr="false" t="normal">HEX2DEC(H533)</f>
        <v>0</v>
      </c>
      <c r="I535" s="53" t="n">
        <f aca="false" ca="false" dt2D="false" dtr="false" t="normal">HEX2DEC(I533)</f>
        <v>0</v>
      </c>
      <c r="J535" s="53" t="n">
        <f aca="false" ca="false" dt2D="false" dtr="false" t="normal">HEX2DEC(J533)</f>
        <v>0</v>
      </c>
      <c r="K535" s="53" t="n">
        <f aca="false" ca="false" dt2D="false" dtr="false" t="normal">HEX2DEC(K533)</f>
        <v>0</v>
      </c>
      <c r="L535" s="53" t="n">
        <f aca="false" ca="false" dt2D="false" dtr="false" t="normal">HEX2DEC(L533)</f>
        <v>0</v>
      </c>
      <c r="M535" s="53" t="n">
        <f aca="false" ca="false" dt2D="false" dtr="false" t="normal">SUM(D535:L535)</f>
        <v>0</v>
      </c>
      <c r="N535" s="63" t="n"/>
      <c r="P535" s="136" t="n">
        <f aca="false" ca="false" dt2D="false" dtr="false" t="normal">MID(H534, 2, 1)</f>
        <v>0</v>
      </c>
      <c r="Q535" s="137" t="n">
        <f aca="false" ca="false" dt2D="false" dtr="false" t="normal">P535</f>
        <v>0</v>
      </c>
      <c r="R535" s="120" t="s">
        <v>192</v>
      </c>
      <c r="S535" s="139" t="s">
        <v>2058</v>
      </c>
      <c r="T535" s="136" t="n">
        <f aca="false" ca="false" dt2D="false" dtr="false" t="normal">MID(I534, 2, 1)</f>
        <v>0</v>
      </c>
      <c r="U535" s="137" t="n">
        <f aca="false" ca="false" dt2D="false" dtr="false" t="normal">T535</f>
        <v>0</v>
      </c>
      <c r="V535" s="120" t="s">
        <v>192</v>
      </c>
      <c r="W535" s="139" t="s">
        <v>2059</v>
      </c>
      <c r="X535" s="5492" t="s"/>
      <c r="Y535" s="142" t="s"/>
      <c r="Z535" s="142" t="s"/>
      <c r="AA535" s="5493" t="s"/>
      <c r="AB535" s="5494" t="s"/>
      <c r="AC535" s="142" t="s"/>
      <c r="AD535" s="142" t="s"/>
      <c r="AE535" s="5495" t="s"/>
      <c r="AF535" s="136" t="n">
        <f aca="false" ca="false" dt2D="false" dtr="false" t="normal">MID(L534, 2, 1)</f>
        <v>0</v>
      </c>
      <c r="AG535" s="137" t="n">
        <f aca="false" ca="false" dt2D="false" dtr="false" t="normal">AF535</f>
        <v>0</v>
      </c>
      <c r="AH535" s="120" t="s">
        <v>192</v>
      </c>
      <c r="AI535" s="139" t="s">
        <v>2060</v>
      </c>
      <c r="AJ535" s="5496" t="s"/>
      <c r="AK535" s="5497" t="s"/>
      <c r="AL535" s="5498" t="s"/>
    </row>
    <row hidden="false" ht="15" outlineLevel="0" r="536">
      <c r="C536" s="98" t="s">
        <v>194</v>
      </c>
      <c r="D536" s="149" t="str">
        <f aca="false" ca="false" dt2D="false" dtr="false" t="normal">D533</f>
        <v/>
      </c>
      <c r="E536" s="149" t="str">
        <f aca="false" ca="false" dt2D="false" dtr="false" t="normal">E533</f>
        <v/>
      </c>
      <c r="F536" s="53" t="str">
        <f aca="false" ca="false" dt2D="false" dtr="false" t="normal">_XLFN.IFNA(MID(INDEX($A$3:$A$70, IF(ISNA(MATCH("720G4I7*", $A$3:$A$70, 0))=TRUE, MATCH("7200439*", $A$3:$A$70, 0), MATCH("720G4I7*", $A$3:$A$70, 0))), $AS$8, 2), "")</f>
        <v/>
      </c>
      <c r="G536" s="53" t="str">
        <f aca="false" ca="false" dt2D="false" dtr="false" t="normal">_XLFN.IFNA(MID(INDEX($A$3:$A$70, IF(ISNA(MATCH("720G4I7*", $A$3:$A$70, 0))=TRUE, MATCH("7200439*", $A$3:$A$70, 0), MATCH("720G4I7*", $A$3:$A$70, 0))), $AT$8, 2), "")</f>
        <v/>
      </c>
      <c r="N536" s="63" t="n"/>
      <c r="P536" s="136" t="n">
        <f aca="false" ca="false" dt2D="false" dtr="false" t="normal">MID(H534, 3, 1)</f>
        <v>0</v>
      </c>
      <c r="Q536" s="137" t="n">
        <f aca="false" ca="false" dt2D="false" dtr="false" t="normal">P536</f>
        <v>0</v>
      </c>
      <c r="R536" s="120" t="s">
        <v>195</v>
      </c>
      <c r="S536" s="139" t="s">
        <v>2061</v>
      </c>
      <c r="T536" s="136" t="n">
        <f aca="false" ca="false" dt2D="false" dtr="false" t="normal">MID(I534, 3, 1)</f>
        <v>0</v>
      </c>
      <c r="U536" s="137" t="n">
        <f aca="false" ca="false" dt2D="false" dtr="false" t="normal">T536</f>
        <v>0</v>
      </c>
      <c r="V536" s="120" t="s">
        <v>195</v>
      </c>
      <c r="W536" s="139" t="s">
        <v>2062</v>
      </c>
      <c r="X536" s="5499" t="s"/>
      <c r="Y536" s="142" t="s"/>
      <c r="Z536" s="142" t="s"/>
      <c r="AA536" s="5500" t="s"/>
      <c r="AB536" s="5501" t="s"/>
      <c r="AC536" s="142" t="s"/>
      <c r="AD536" s="142" t="s"/>
      <c r="AE536" s="5502" t="s"/>
      <c r="AF536" s="136" t="n">
        <f aca="false" ca="false" dt2D="false" dtr="false" t="normal">MID(L534, 3, 1)</f>
        <v>0</v>
      </c>
      <c r="AG536" s="137" t="n">
        <f aca="false" ca="false" dt2D="false" dtr="false" t="normal">AF536</f>
        <v>0</v>
      </c>
      <c r="AH536" s="120" t="s">
        <v>195</v>
      </c>
      <c r="AI536" s="139" t="s">
        <v>2063</v>
      </c>
      <c r="AJ536" s="5503" t="s"/>
      <c r="AK536" s="5504" t="s"/>
      <c r="AL536" s="5505" t="s"/>
    </row>
    <row hidden="false" ht="15.75" outlineLevel="0" r="537">
      <c r="C537" s="98" t="n"/>
      <c r="N537" s="63" t="n"/>
      <c r="P537" s="136" t="n">
        <f aca="false" ca="false" dt2D="false" dtr="false" t="normal">MID(H534, 4, 1)</f>
        <v>0</v>
      </c>
      <c r="Q537" s="137" t="n">
        <f aca="false" ca="false" dt2D="false" dtr="false" t="normal">P537</f>
        <v>0</v>
      </c>
      <c r="R537" s="120" t="s">
        <v>197</v>
      </c>
      <c r="S537" s="139" t="s">
        <v>2064</v>
      </c>
      <c r="T537" s="136" t="n">
        <f aca="false" ca="false" dt2D="false" dtr="false" t="normal">MID(I534, 4, 1)</f>
        <v>0</v>
      </c>
      <c r="U537" s="137" t="n">
        <f aca="false" ca="false" dt2D="false" dtr="false" t="normal">T537</f>
        <v>0</v>
      </c>
      <c r="V537" s="120" t="s">
        <v>197</v>
      </c>
      <c r="W537" s="139" t="s">
        <v>2065</v>
      </c>
      <c r="X537" s="5506" t="s"/>
      <c r="Y537" s="142" t="s"/>
      <c r="Z537" s="142" t="s"/>
      <c r="AA537" s="5507" t="s"/>
      <c r="AB537" s="5508" t="s"/>
      <c r="AC537" s="142" t="s"/>
      <c r="AD537" s="142" t="s"/>
      <c r="AE537" s="5509" t="s"/>
      <c r="AF537" s="136" t="n">
        <f aca="false" ca="false" dt2D="false" dtr="false" t="normal">MID(L534, 4, 1)</f>
        <v>0</v>
      </c>
      <c r="AG537" s="137" t="n">
        <f aca="false" ca="false" dt2D="false" dtr="false" t="normal">AF537</f>
        <v>0</v>
      </c>
      <c r="AH537" s="120" t="s">
        <v>197</v>
      </c>
      <c r="AI537" s="139" t="s">
        <v>2066</v>
      </c>
      <c r="AJ537" s="5510" t="s"/>
      <c r="AK537" s="5511" t="s"/>
      <c r="AL537" s="5512" t="s"/>
    </row>
    <row hidden="false" ht="15.75" outlineLevel="0" r="538">
      <c r="C538" s="98" t="s">
        <v>176</v>
      </c>
      <c r="D538" s="159" t="str">
        <f aca="false" ca="false" dt2D="false" dtr="false" t="normal">D533</f>
        <v/>
      </c>
      <c r="E538" s="160" t="str">
        <f aca="false" ca="false" dt2D="false" dtr="false" t="normal">E533</f>
        <v/>
      </c>
      <c r="F538" s="160" t="str">
        <f aca="false" ca="false" dt2D="false" dtr="false" t="normal">F533</f>
        <v/>
      </c>
      <c r="G538" s="161" t="str">
        <f aca="false" ca="false" dt2D="false" dtr="false" t="normal">G533</f>
        <v/>
      </c>
      <c r="H538" s="162" t="str">
        <f aca="false" ca="false" dt2D="false" dtr="false" t="normal">IF(J412="", "", BIN2HEX(H539, 2))</f>
        <v/>
      </c>
      <c r="I538" s="163" t="str">
        <f aca="false" ca="false" dt2D="false" dtr="false" t="normal">IF(J412="", "", BIN2HEX(I539, 2))</f>
        <v/>
      </c>
      <c r="J538" s="2217" t="str">
        <f aca="false" ca="false" dt2D="false" dtr="false" t="normal">J533</f>
        <v/>
      </c>
      <c r="K538" s="1916" t="str">
        <f aca="false" ca="false" dt2D="false" dtr="false" t="normal">K533</f>
        <v/>
      </c>
      <c r="L538" s="288" t="str">
        <f aca="false" ca="false" dt2D="false" dtr="false" t="normal">IF(J412="", "", BIN2HEX(L539, 2))</f>
        <v/>
      </c>
      <c r="M538" s="166" t="str">
        <f aca="false" ca="false" dt2D="false" dtr="false" t="normal">IF(J412="", "", IF(LEN(M539)&gt;2, MID(M539, 2, 2), M539))</f>
        <v/>
      </c>
      <c r="N538" s="63" t="s">
        <v>181</v>
      </c>
      <c r="P538" s="136" t="n">
        <f aca="false" ca="false" dt2D="false" dtr="false" t="normal">MID(H534, 5, 1)</f>
        <v>0</v>
      </c>
      <c r="Q538" s="137" t="n">
        <f aca="false" ca="false" dt2D="false" dtr="false" t="normal">P538</f>
        <v>0</v>
      </c>
      <c r="R538" s="120" t="s">
        <v>200</v>
      </c>
      <c r="S538" s="139" t="s">
        <v>2067</v>
      </c>
      <c r="T538" s="136" t="n">
        <f aca="false" ca="false" dt2D="false" dtr="false" t="normal">MID(I534, 5, 1)</f>
        <v>0</v>
      </c>
      <c r="U538" s="137" t="n">
        <f aca="false" ca="false" dt2D="false" dtr="false" t="normal">T538</f>
        <v>0</v>
      </c>
      <c r="V538" s="120" t="s">
        <v>200</v>
      </c>
      <c r="W538" s="139" t="s">
        <v>2068</v>
      </c>
      <c r="X538" s="5513" t="s"/>
      <c r="Y538" s="142" t="s"/>
      <c r="Z538" s="142" t="s"/>
      <c r="AA538" s="5514" t="s"/>
      <c r="AB538" s="5515" t="s"/>
      <c r="AC538" s="142" t="s"/>
      <c r="AD538" s="142" t="s"/>
      <c r="AE538" s="5516" t="s"/>
      <c r="AF538" s="136" t="n">
        <f aca="false" ca="false" dt2D="false" dtr="false" t="normal">MID(L534, 5, 1)</f>
        <v>0</v>
      </c>
      <c r="AG538" s="137" t="n">
        <f aca="false" ca="false" dt2D="false" dtr="false" t="normal">AF538</f>
        <v>0</v>
      </c>
      <c r="AH538" s="120" t="s">
        <v>200</v>
      </c>
      <c r="AI538" s="139" t="s">
        <v>2069</v>
      </c>
      <c r="AJ538" s="5517" t="s"/>
      <c r="AK538" s="5518" t="s"/>
      <c r="AL538" s="5519" t="s"/>
    </row>
    <row hidden="false" ht="15" outlineLevel="0" r="539">
      <c r="C539" s="98" t="s">
        <v>185</v>
      </c>
      <c r="D539" s="53" t="n">
        <f aca="false" ca="false" dt2D="false" dtr="false" t="normal">HEX2BIN(D538, 8)</f>
        <v>0</v>
      </c>
      <c r="E539" s="53" t="n">
        <f aca="false" ca="false" dt2D="false" dtr="false" t="normal">HEX2BIN(E538, 8)</f>
        <v>0</v>
      </c>
      <c r="F539" s="53" t="n">
        <f aca="false" ca="false" dt2D="false" dtr="false" t="normal">HEX2BIN(F538, 8)</f>
        <v>0</v>
      </c>
      <c r="G539" s="53" t="n">
        <f aca="false" ca="false" dt2D="false" dtr="false" t="normal">HEX2BIN(G538, 8)</f>
        <v>0</v>
      </c>
      <c r="H539" s="171" t="n">
        <f aca="false" ca="false" dt2D="false" dtr="false" t="normal">Q534&amp;Q535&amp;Q536&amp;Q537&amp;Q538&amp;Q539&amp;Q540&amp;Q541</f>
        <v>0</v>
      </c>
      <c r="I539" s="53" t="n">
        <f aca="false" ca="false" dt2D="false" dtr="false" t="normal">U534&amp;U535&amp;U536&amp;U537&amp;U538&amp;U539&amp;U540&amp;U541</f>
        <v>0</v>
      </c>
      <c r="J539" s="171" t="n"/>
      <c r="K539" s="171" t="n"/>
      <c r="L539" s="53" t="n">
        <f aca="false" ca="false" dt2D="false" dtr="false" t="normal">AG534&amp;AG535&amp;AG536&amp;AG537&amp;AG538&amp;AG539&amp;AG540&amp;AG541</f>
        <v>0</v>
      </c>
      <c r="M539" s="53" t="n">
        <f aca="false" ca="false" dt2D="false" dtr="false" t="normal">DEC2HEX(M540)</f>
        <v>0</v>
      </c>
      <c r="N539" s="63" t="n"/>
      <c r="P539" s="136" t="n">
        <f aca="false" ca="false" dt2D="false" dtr="false" t="normal">MID(H534, 6, 1)</f>
        <v>0</v>
      </c>
      <c r="Q539" s="137" t="n">
        <f aca="false" ca="false" dt2D="false" dtr="false" t="normal">P539</f>
        <v>0</v>
      </c>
      <c r="R539" s="120" t="s">
        <v>203</v>
      </c>
      <c r="S539" s="139" t="s">
        <v>2070</v>
      </c>
      <c r="T539" s="136" t="n">
        <f aca="false" ca="false" dt2D="false" dtr="false" t="normal">MID(I534, 6, 1)</f>
        <v>0</v>
      </c>
      <c r="U539" s="137" t="n">
        <f aca="false" ca="false" dt2D="false" dtr="false" t="normal">T539</f>
        <v>0</v>
      </c>
      <c r="V539" s="120" t="s">
        <v>203</v>
      </c>
      <c r="W539" s="139" t="s">
        <v>2071</v>
      </c>
      <c r="X539" s="5520" t="s"/>
      <c r="Y539" s="142" t="s"/>
      <c r="Z539" s="142" t="s"/>
      <c r="AA539" s="5521" t="s"/>
      <c r="AB539" s="5522" t="s"/>
      <c r="AC539" s="142" t="s"/>
      <c r="AD539" s="142" t="s"/>
      <c r="AE539" s="5523" t="s"/>
      <c r="AF539" s="136" t="n">
        <f aca="false" ca="false" dt2D="false" dtr="false" t="normal">MID(L534, 6, 1)</f>
        <v>0</v>
      </c>
      <c r="AG539" s="137" t="n">
        <f aca="false" ca="false" dt2D="false" dtr="false" t="normal">AF539</f>
        <v>0</v>
      </c>
      <c r="AH539" s="120" t="s">
        <v>203</v>
      </c>
      <c r="AI539" s="139" t="s">
        <v>2072</v>
      </c>
      <c r="AJ539" s="5524" t="s"/>
      <c r="AK539" s="5525" t="s"/>
      <c r="AL539" s="5526" t="s"/>
    </row>
    <row hidden="false" ht="15" outlineLevel="0" r="540">
      <c r="C540" s="98" t="s">
        <v>191</v>
      </c>
      <c r="D540" s="53" t="n">
        <f aca="false" ca="false" dt2D="false" dtr="false" t="normal">HEX2DEC(D538)</f>
        <v>0</v>
      </c>
      <c r="E540" s="53" t="n">
        <f aca="false" ca="false" dt2D="false" dtr="false" t="normal">HEX2DEC(E538)</f>
        <v>0</v>
      </c>
      <c r="F540" s="53" t="n">
        <f aca="false" ca="false" dt2D="false" dtr="false" t="normal">HEX2DEC(F538)</f>
        <v>0</v>
      </c>
      <c r="G540" s="53" t="n">
        <f aca="false" ca="false" dt2D="false" dtr="false" t="normal">HEX2DEC(G538)</f>
        <v>0</v>
      </c>
      <c r="H540" s="53" t="n">
        <f aca="false" ca="false" dt2D="false" dtr="false" t="normal">HEX2DEC(H538)</f>
        <v>0</v>
      </c>
      <c r="I540" s="53" t="n">
        <f aca="false" ca="false" dt2D="false" dtr="false" t="normal">HEX2DEC(I538)</f>
        <v>0</v>
      </c>
      <c r="J540" s="53" t="n">
        <f aca="false" ca="false" dt2D="false" dtr="false" t="normal">HEX2DEC(J538)</f>
        <v>0</v>
      </c>
      <c r="K540" s="53" t="n">
        <f aca="false" ca="false" dt2D="false" dtr="false" t="normal">HEX2DEC(K538)</f>
        <v>0</v>
      </c>
      <c r="L540" s="53" t="n">
        <f aca="false" ca="false" dt2D="false" dtr="false" t="normal">HEX2DEC(L538)</f>
        <v>0</v>
      </c>
      <c r="M540" s="53" t="n">
        <f aca="false" ca="false" dt2D="false" dtr="false" t="normal">SUM(D540:L540)</f>
        <v>0</v>
      </c>
      <c r="N540" s="63" t="n"/>
      <c r="P540" s="136" t="n">
        <f aca="false" ca="false" dt2D="false" dtr="false" t="normal">MID(H534, 7, 1)</f>
        <v>0</v>
      </c>
      <c r="Q540" s="137" t="n">
        <f aca="false" ca="false" dt2D="false" dtr="false" t="normal">P540</f>
        <v>0</v>
      </c>
      <c r="R540" s="120" t="s">
        <v>206</v>
      </c>
      <c r="S540" s="139" t="s">
        <v>2073</v>
      </c>
      <c r="T540" s="136" t="n">
        <f aca="false" ca="false" dt2D="false" dtr="false" t="normal">MID(I534, 7, 1)</f>
        <v>0</v>
      </c>
      <c r="U540" s="137" t="n">
        <f aca="false" ca="false" dt2D="false" dtr="false" t="normal">T540</f>
        <v>0</v>
      </c>
      <c r="V540" s="120" t="s">
        <v>206</v>
      </c>
      <c r="W540" s="139" t="s">
        <v>2074</v>
      </c>
      <c r="X540" s="5527" t="s"/>
      <c r="Y540" s="142" t="s"/>
      <c r="Z540" s="142" t="s"/>
      <c r="AA540" s="5528" t="s"/>
      <c r="AB540" s="5529" t="s"/>
      <c r="AC540" s="142" t="s"/>
      <c r="AD540" s="142" t="s"/>
      <c r="AE540" s="5530" t="s"/>
      <c r="AF540" s="136" t="n">
        <f aca="false" ca="false" dt2D="false" dtr="false" t="normal">MID(L534, 7, 1)</f>
        <v>0</v>
      </c>
      <c r="AG540" s="137" t="n">
        <f aca="false" ca="false" dt2D="false" dtr="false" t="normal">AF540</f>
        <v>0</v>
      </c>
      <c r="AH540" s="120" t="s">
        <v>206</v>
      </c>
      <c r="AI540" s="139" t="s">
        <v>2075</v>
      </c>
      <c r="AJ540" s="5531" t="s"/>
      <c r="AK540" s="5532" t="s"/>
      <c r="AL540" s="5533" t="s"/>
    </row>
    <row hidden="false" ht="15.75" outlineLevel="0" r="541">
      <c r="C541" s="180" t="s">
        <v>194</v>
      </c>
      <c r="D541" s="299" t="str">
        <f aca="false" ca="false" dt2D="false" dtr="false" t="normal">D536</f>
        <v/>
      </c>
      <c r="E541" s="299" t="str">
        <f aca="false" ca="false" dt2D="false" dtr="false" t="normal">E536</f>
        <v/>
      </c>
      <c r="F541" s="299" t="str">
        <f aca="false" ca="false" dt2D="false" dtr="false" t="normal">F536</f>
        <v/>
      </c>
      <c r="G541" s="299" t="str">
        <f aca="false" ca="false" dt2D="false" dtr="false" t="normal">G536</f>
        <v/>
      </c>
      <c r="H541" s="45" t="n"/>
      <c r="I541" s="45" t="n"/>
      <c r="J541" s="45" t="n"/>
      <c r="K541" s="45" t="n"/>
      <c r="L541" s="45" t="n"/>
      <c r="M541" s="45" t="n"/>
      <c r="N541" s="49" t="n"/>
      <c r="P541" s="182" t="n">
        <f aca="false" ca="false" dt2D="false" dtr="false" t="normal">MID(H534, 8, 1)</f>
        <v>0</v>
      </c>
      <c r="Q541" s="183" t="n">
        <f aca="false" ca="false" dt2D="false" dtr="false" t="normal">P541</f>
        <v>0</v>
      </c>
      <c r="R541" s="184" t="s">
        <v>208</v>
      </c>
      <c r="S541" s="187" t="s">
        <v>2076</v>
      </c>
      <c r="T541" s="182" t="n">
        <f aca="false" ca="false" dt2D="false" dtr="false" t="normal">MID(I534, 8, 1)</f>
        <v>0</v>
      </c>
      <c r="U541" s="183" t="n">
        <f aca="false" ca="false" dt2D="false" dtr="false" t="normal">T541</f>
        <v>0</v>
      </c>
      <c r="V541" s="184" t="s">
        <v>208</v>
      </c>
      <c r="W541" s="187" t="s">
        <v>2077</v>
      </c>
      <c r="X541" s="5534" t="s"/>
      <c r="Y541" s="5535" t="s"/>
      <c r="Z541" s="5536" t="s"/>
      <c r="AA541" s="5537" t="s"/>
      <c r="AB541" s="5538" t="s"/>
      <c r="AC541" s="5539" t="s"/>
      <c r="AD541" s="5540" t="s"/>
      <c r="AE541" s="5541" t="s"/>
      <c r="AF541" s="182" t="n">
        <f aca="false" ca="false" dt2D="false" dtr="false" t="normal">MID(L534, 8, 1)</f>
        <v>0</v>
      </c>
      <c r="AG541" s="183" t="n">
        <f aca="false" ca="false" dt2D="false" dtr="false" t="normal">AF541</f>
        <v>0</v>
      </c>
      <c r="AH541" s="184" t="s">
        <v>208</v>
      </c>
      <c r="AI541" s="187" t="s">
        <v>2078</v>
      </c>
      <c r="AJ541" s="5542" t="s"/>
      <c r="AK541" s="5543" t="s"/>
      <c r="AL541" s="5544" t="s"/>
    </row>
    <row hidden="false" ht="15.75" outlineLevel="0" r="542">
      <c r="C542" s="93" t="n"/>
      <c r="D542" s="94" t="n"/>
      <c r="E542" s="94" t="n"/>
      <c r="F542" s="94" t="n"/>
      <c r="G542" s="94" t="n"/>
      <c r="H542" s="94" t="n"/>
      <c r="I542" s="94" t="n"/>
      <c r="J542" s="94" t="n"/>
      <c r="K542" s="94" t="n"/>
      <c r="L542" s="94" t="n"/>
      <c r="M542" s="94" t="s">
        <v>161</v>
      </c>
      <c r="N542" s="60" t="n"/>
      <c r="P542" s="95" t="str">
        <f aca="false" ca="false" dt2D="false" dtr="false" t="normal">RIGHT(D544, 1)&amp;E544&amp;"-"&amp;F544&amp;"-"&amp;G544</f>
        <v>--</v>
      </c>
      <c r="Q542" s="5545" t="s"/>
      <c r="R542" s="234" t="s">
        <v>2079</v>
      </c>
      <c r="S542" s="5546" t="s"/>
      <c r="T542" s="5547" t="s"/>
      <c r="U542" s="5548" t="s"/>
      <c r="V542" s="5549" t="s"/>
      <c r="W542" s="5550" t="s"/>
      <c r="X542" s="5551" t="s"/>
      <c r="Y542" s="5552" t="s"/>
      <c r="Z542" s="5553" t="s"/>
      <c r="AA542" s="5554" t="s"/>
      <c r="AB542" s="5555" t="s"/>
      <c r="AC542" s="5556" t="s"/>
      <c r="AD542" s="5557" t="s"/>
      <c r="AE542" s="5558" t="s"/>
      <c r="AF542" s="5559" t="s"/>
      <c r="AG542" s="5560" t="s"/>
      <c r="AH542" s="5561" t="s"/>
      <c r="AI542" s="5562" t="s"/>
      <c r="AJ542" s="5563" t="s"/>
      <c r="AK542" s="5564" t="s"/>
      <c r="AL542" s="5565" t="s"/>
    </row>
    <row hidden="false" ht="15.75" outlineLevel="0" r="543">
      <c r="C543" s="98" t="n"/>
      <c r="D543" s="99" t="s">
        <v>2080</v>
      </c>
      <c r="E543" s="5566" t="s"/>
      <c r="F543" s="5567" t="s"/>
      <c r="G543" s="5568" t="s"/>
      <c r="H543" s="53" t="s">
        <v>165</v>
      </c>
      <c r="I543" s="53" t="s">
        <v>166</v>
      </c>
      <c r="J543" s="53" t="s">
        <v>167</v>
      </c>
      <c r="K543" s="53" t="s">
        <v>168</v>
      </c>
      <c r="L543" s="53" t="s">
        <v>169</v>
      </c>
      <c r="M543" s="53" t="s">
        <v>221</v>
      </c>
      <c r="N543" s="63" t="n"/>
      <c r="P543" s="103" t="s">
        <v>2081</v>
      </c>
      <c r="Q543" s="5569" t="s"/>
      <c r="R543" s="5570" t="s"/>
      <c r="S543" s="5571" t="s"/>
      <c r="T543" s="103" t="s">
        <v>2082</v>
      </c>
      <c r="U543" s="5572" t="s"/>
      <c r="V543" s="5573" t="s"/>
      <c r="W543" s="5574" t="s"/>
      <c r="X543" s="103" t="s">
        <v>2083</v>
      </c>
      <c r="Y543" s="5575" t="s"/>
      <c r="Z543" s="5576" t="s"/>
      <c r="AA543" s="5577" t="s"/>
      <c r="AB543" s="103" t="s">
        <v>2084</v>
      </c>
      <c r="AC543" s="5578" t="s"/>
      <c r="AD543" s="5579" t="s"/>
      <c r="AE543" s="5580" t="s"/>
      <c r="AF543" s="103" t="s">
        <v>2085</v>
      </c>
      <c r="AG543" s="5581" t="s"/>
      <c r="AH543" s="5582" t="s"/>
      <c r="AI543" s="5583" t="s"/>
      <c r="AJ543" s="103" t="s">
        <v>2086</v>
      </c>
      <c r="AK543" s="5584" t="s"/>
      <c r="AL543" s="5585" t="s"/>
    </row>
    <row hidden="false" ht="15.75" outlineLevel="0" r="544">
      <c r="C544" s="98" t="s">
        <v>176</v>
      </c>
      <c r="D544" s="122" t="str">
        <f aca="false" ca="false" dt2D="false" dtr="false" t="normal">IF(J412="", "", 7)</f>
        <v/>
      </c>
      <c r="E544" s="123" t="str">
        <f aca="false" ca="false" dt2D="false" dtr="false" t="normal">IF(J412="", "", 20)</f>
        <v/>
      </c>
      <c r="F544" s="123" t="str">
        <f aca="false" ca="false" dt2D="false" dtr="false" t="normal">IF(J412="", "", 4)</f>
        <v/>
      </c>
      <c r="G544" s="124" t="str">
        <f aca="false" ca="false" dt2D="false" dtr="false" t="normal">IF(J412="", "", 40)</f>
        <v/>
      </c>
      <c r="H544" s="1819" t="str">
        <f aca="false" ca="false" dt2D="false" dtr="false" ref="H544:H544" t="array">_XLFN.IFNA(MID(INDEX($A$3:$A$70, IF(ISNA(MATCH("720G4I8*", $A$3:$A$70, 0))=TRUE, MATCH("7200440*", $A$3:$A$70, 0), MATCH("720G4I8*", $A$3:$A$70, 0))), $AU$8, 2), "")</f>
        <v/>
      </c>
      <c r="I544" s="1820" t="str">
        <f aca="false" ca="false" dt2D="false" dtr="false" ref="I544:I544" t="array">_XLFN.IFNA(MID(INDEX($A$3:$A$70, IF(ISNA(MATCH("720G4I8*", $A$3:$A$70, 0))=TRUE, MATCH("7200440*", $A$3:$A$70, 0), MATCH("720G4I8*", $A$3:$A$70, 0))), $AV$8, 2), "")</f>
        <v/>
      </c>
      <c r="J544" s="164" t="str">
        <f aca="false" ca="false" dt2D="false" dtr="false" ref="J544:J544" t="array">_XLFN.IFNA(MID(INDEX($A$3:$A$70, IF(ISNA(MATCH("720G4I8*", $A$3:$A$70, 0))=TRUE, MATCH("7200440*", $A$3:$A$70, 0), MATCH("720G4I8*", $A$3:$A$70, 0))), $AW$8, 2), "")</f>
        <v/>
      </c>
      <c r="K544" s="1820" t="str">
        <f aca="false" ca="false" dt2D="false" dtr="false" ref="K544:K544" t="array">_XLFN.IFNA(MID(INDEX($A$3:$A$70, IF(ISNA(MATCH("720G4I8*", $A$3:$A$70, 0))=TRUE, MATCH("7200440*", $A$3:$A$70, 0), MATCH("720G4I8*", $A$3:$A$70, 0))), $AX$8, 2), "")</f>
        <v/>
      </c>
      <c r="L544" s="1821" t="str">
        <f aca="false" ca="false" dt2D="false" dtr="false" ref="L544:L544" t="array">_XLFN.IFNA(MID(INDEX($A$3:$A$70, IF(ISNA(MATCH("720G4I8*", $A$3:$A$70, 0))=TRUE, MATCH("7200440*", $A$3:$A$70, 0), MATCH("720G4I8*", $A$3:$A$70, 0))), $AY$8, 2), "")</f>
        <v/>
      </c>
      <c r="M544" s="218" t="str">
        <f aca="false" ca="false" dt2D="false" dtr="false" ref="M544:M544" t="array">_XLFN.IFNA(MID(INDEX($A$3:$A$70, IF(ISNA(MATCH("720G4I8*", $A$3:$A$70, 0))=TRUE, MATCH("7200440*", $A$3:$A$70, 0), MATCH("720G4I8*", $A$3:$A$70, 0))), $AZ$8, 2), "")</f>
        <v/>
      </c>
      <c r="N544" s="63" t="s">
        <v>180</v>
      </c>
      <c r="P544" s="129" t="s">
        <v>180</v>
      </c>
      <c r="Q544" s="130" t="s">
        <v>181</v>
      </c>
      <c r="R544" s="121" t="s">
        <v>182</v>
      </c>
      <c r="S544" s="131" t="n"/>
      <c r="T544" s="129" t="s">
        <v>180</v>
      </c>
      <c r="U544" s="130" t="s">
        <v>181</v>
      </c>
      <c r="V544" s="121" t="s">
        <v>182</v>
      </c>
      <c r="W544" s="131" t="n"/>
      <c r="X544" s="129" t="s">
        <v>180</v>
      </c>
      <c r="Y544" s="130" t="s">
        <v>181</v>
      </c>
      <c r="Z544" s="121" t="s">
        <v>182</v>
      </c>
      <c r="AA544" s="131" t="n"/>
      <c r="AB544" s="129" t="s">
        <v>180</v>
      </c>
      <c r="AC544" s="130" t="s">
        <v>181</v>
      </c>
      <c r="AD544" s="121" t="s">
        <v>182</v>
      </c>
      <c r="AE544" s="131" t="n"/>
      <c r="AF544" s="129" t="s">
        <v>180</v>
      </c>
      <c r="AG544" s="130" t="s">
        <v>181</v>
      </c>
      <c r="AH544" s="121" t="s">
        <v>182</v>
      </c>
      <c r="AI544" s="121" t="n"/>
      <c r="AJ544" s="116" t="s">
        <v>183</v>
      </c>
      <c r="AK544" s="5586" t="s"/>
      <c r="AL544" s="5587" t="s"/>
    </row>
    <row hidden="false" ht="15" outlineLevel="0" r="545">
      <c r="C545" s="98" t="s">
        <v>185</v>
      </c>
      <c r="D545" s="53" t="n">
        <f aca="false" ca="false" dt2D="false" dtr="false" t="normal">HEX2BIN(D544, 8)</f>
        <v>0</v>
      </c>
      <c r="E545" s="53" t="n">
        <f aca="false" ca="false" dt2D="false" dtr="false" t="normal">HEX2BIN(E544, 8)</f>
        <v>0</v>
      </c>
      <c r="F545" s="53" t="n">
        <f aca="false" ca="false" dt2D="false" dtr="false" t="normal">HEX2BIN(F544, 8)</f>
        <v>0</v>
      </c>
      <c r="G545" s="53" t="n">
        <f aca="false" ca="false" dt2D="false" dtr="false" t="normal">HEX2BIN(G544, 8)</f>
        <v>0</v>
      </c>
      <c r="H545" s="53" t="n">
        <f aca="false" ca="false" dt2D="false" dtr="false" t="normal">HEX2BIN(H544, 8)</f>
        <v>0</v>
      </c>
      <c r="I545" s="53" t="n">
        <f aca="false" ca="false" dt2D="false" dtr="false" t="normal">HEX2BIN(I544, 8)</f>
        <v>0</v>
      </c>
      <c r="J545" s="53" t="n">
        <f aca="false" ca="false" dt2D="false" dtr="false" t="normal">HEX2BIN(J544, 8)</f>
        <v>0</v>
      </c>
      <c r="K545" s="53" t="n">
        <f aca="false" ca="false" dt2D="false" dtr="false" t="normal">HEX2BIN(K544, 8)</f>
        <v>0</v>
      </c>
      <c r="L545" s="53" t="n">
        <f aca="false" ca="false" dt2D="false" dtr="false" t="normal">HEX2BIN(L544, 8)</f>
        <v>0</v>
      </c>
      <c r="N545" s="63" t="n"/>
      <c r="P545" s="136" t="n">
        <f aca="false" ca="false" dt2D="false" dtr="false" t="normal">MID(H545, 1, 1)</f>
        <v>0</v>
      </c>
      <c r="Q545" s="137" t="n">
        <f aca="false" ca="false" dt2D="false" dtr="false" t="normal">P545</f>
        <v>0</v>
      </c>
      <c r="R545" s="120" t="s">
        <v>186</v>
      </c>
      <c r="S545" s="139" t="s">
        <v>2087</v>
      </c>
      <c r="T545" s="136" t="n">
        <f aca="false" ca="false" dt2D="false" dtr="false" t="normal">MID(I545, 1, 1)</f>
        <v>0</v>
      </c>
      <c r="U545" s="137" t="n">
        <f aca="false" ca="false" dt2D="false" dtr="false" t="normal">T545</f>
        <v>0</v>
      </c>
      <c r="V545" s="120" t="s">
        <v>186</v>
      </c>
      <c r="W545" s="139" t="s">
        <v>2088</v>
      </c>
      <c r="X545" s="136" t="n">
        <f aca="false" ca="false" dt2D="false" dtr="false" t="normal">MID(J545, 1, 1)</f>
        <v>0</v>
      </c>
      <c r="Y545" s="137" t="n">
        <f aca="false" ca="false" dt2D="false" dtr="false" t="normal">X545</f>
        <v>0</v>
      </c>
      <c r="Z545" s="120" t="s">
        <v>186</v>
      </c>
      <c r="AA545" s="139" t="s">
        <v>2089</v>
      </c>
      <c r="AB545" s="136" t="n">
        <f aca="false" ca="false" dt2D="false" dtr="false" t="normal">MID(K545, 1, 1)</f>
        <v>0</v>
      </c>
      <c r="AC545" s="137" t="n">
        <f aca="false" ca="false" dt2D="false" dtr="false" t="normal">AB545</f>
        <v>0</v>
      </c>
      <c r="AD545" s="120" t="s">
        <v>186</v>
      </c>
      <c r="AE545" s="139" t="s">
        <v>2090</v>
      </c>
      <c r="AF545" s="136" t="n">
        <f aca="false" ca="false" dt2D="false" dtr="false" t="normal">MID(L545, 1, 1)</f>
        <v>0</v>
      </c>
      <c r="AG545" s="137" t="n">
        <f aca="false" ca="false" dt2D="false" dtr="false" t="normal">AF545</f>
        <v>0</v>
      </c>
      <c r="AH545" s="120" t="s">
        <v>186</v>
      </c>
      <c r="AI545" s="139" t="s">
        <v>2091</v>
      </c>
      <c r="AJ545" s="5588" t="s"/>
      <c r="AK545" s="5589" t="s"/>
      <c r="AL545" s="5590" t="s"/>
    </row>
    <row hidden="false" ht="15" outlineLevel="0" r="546">
      <c r="C546" s="98" t="s">
        <v>191</v>
      </c>
      <c r="D546" s="53" t="n">
        <f aca="false" ca="false" dt2D="false" dtr="false" t="normal">HEX2DEC(D544)</f>
        <v>0</v>
      </c>
      <c r="E546" s="53" t="n">
        <f aca="false" ca="false" dt2D="false" dtr="false" t="normal">HEX2DEC(E544)</f>
        <v>0</v>
      </c>
      <c r="F546" s="53" t="n">
        <f aca="false" ca="false" dt2D="false" dtr="false" t="normal">HEX2DEC(F544)</f>
        <v>0</v>
      </c>
      <c r="G546" s="53" t="n">
        <f aca="false" ca="false" dt2D="false" dtr="false" t="normal">HEX2DEC(G544)</f>
        <v>0</v>
      </c>
      <c r="H546" s="53" t="n">
        <f aca="false" ca="false" dt2D="false" dtr="false" t="normal">HEX2DEC(H544)</f>
        <v>0</v>
      </c>
      <c r="I546" s="53" t="n">
        <f aca="false" ca="false" dt2D="false" dtr="false" t="normal">HEX2DEC(I544)</f>
        <v>0</v>
      </c>
      <c r="J546" s="53" t="n">
        <f aca="false" ca="false" dt2D="false" dtr="false" t="normal">HEX2DEC(J544)</f>
        <v>0</v>
      </c>
      <c r="K546" s="53" t="n">
        <f aca="false" ca="false" dt2D="false" dtr="false" t="normal">HEX2DEC(K544)</f>
        <v>0</v>
      </c>
      <c r="L546" s="53" t="n">
        <f aca="false" ca="false" dt2D="false" dtr="false" t="normal">HEX2DEC(L544)</f>
        <v>0</v>
      </c>
      <c r="M546" s="53" t="n">
        <f aca="false" ca="false" dt2D="false" dtr="false" t="normal">SUM(D546:L546)</f>
        <v>0</v>
      </c>
      <c r="N546" s="63" t="n"/>
      <c r="P546" s="136" t="n">
        <f aca="false" ca="false" dt2D="false" dtr="false" t="normal">MID(H545, 2, 1)</f>
        <v>0</v>
      </c>
      <c r="Q546" s="137" t="n">
        <f aca="false" ca="false" dt2D="false" dtr="false" t="normal">P546</f>
        <v>0</v>
      </c>
      <c r="R546" s="120" t="s">
        <v>192</v>
      </c>
      <c r="S546" s="139" t="s">
        <v>2092</v>
      </c>
      <c r="T546" s="136" t="n">
        <f aca="false" ca="false" dt2D="false" dtr="false" t="normal">MID(I545, 2, 1)</f>
        <v>0</v>
      </c>
      <c r="U546" s="137" t="n">
        <f aca="false" ca="false" dt2D="false" dtr="false" t="normal">T546</f>
        <v>0</v>
      </c>
      <c r="V546" s="120" t="s">
        <v>192</v>
      </c>
      <c r="W546" s="139" t="s">
        <v>2093</v>
      </c>
      <c r="X546" s="136" t="n">
        <f aca="false" ca="false" dt2D="false" dtr="false" t="normal">MID(J545, 2, 1)</f>
        <v>0</v>
      </c>
      <c r="Y546" s="137" t="n">
        <f aca="false" ca="false" dt2D="false" dtr="false" t="normal">X546</f>
        <v>0</v>
      </c>
      <c r="Z546" s="120" t="s">
        <v>192</v>
      </c>
      <c r="AA546" s="139" t="s">
        <v>2094</v>
      </c>
      <c r="AB546" s="136" t="n">
        <f aca="false" ca="false" dt2D="false" dtr="false" t="normal">MID(K545, 2, 1)</f>
        <v>0</v>
      </c>
      <c r="AC546" s="137" t="n">
        <f aca="false" ca="false" dt2D="false" dtr="false" t="normal">AB546</f>
        <v>0</v>
      </c>
      <c r="AD546" s="120" t="s">
        <v>192</v>
      </c>
      <c r="AE546" s="139" t="s">
        <v>2095</v>
      </c>
      <c r="AF546" s="136" t="n">
        <f aca="false" ca="false" dt2D="false" dtr="false" t="normal">MID(L545, 2, 1)</f>
        <v>0</v>
      </c>
      <c r="AG546" s="137" t="n">
        <f aca="false" ca="false" dt2D="false" dtr="false" t="normal">AF546</f>
        <v>0</v>
      </c>
      <c r="AH546" s="120" t="s">
        <v>192</v>
      </c>
      <c r="AI546" s="139" t="s">
        <v>2096</v>
      </c>
      <c r="AJ546" s="5591" t="s"/>
      <c r="AK546" s="5592" t="s"/>
      <c r="AL546" s="5593" t="s"/>
    </row>
    <row hidden="false" ht="15" outlineLevel="0" r="547">
      <c r="C547" s="98" t="s">
        <v>194</v>
      </c>
      <c r="D547" s="149" t="str">
        <f aca="false" ca="false" dt2D="false" dtr="false" t="normal">D544</f>
        <v/>
      </c>
      <c r="E547" s="149" t="str">
        <f aca="false" ca="false" dt2D="false" dtr="false" t="normal">E544</f>
        <v/>
      </c>
      <c r="F547" s="53" t="str">
        <f aca="false" ca="false" dt2D="false" dtr="false" t="normal">_XLFN.IFNA(MID(INDEX($A$3:$A$70, IF(ISNA(MATCH("720G4I8*", $A$3:$A$70, 0))=TRUE, MATCH("7200440*", $A$3:$A$70, 0), MATCH("720G4I8*", $A$3:$A$70, 0))), $AS$8, 2), "")</f>
        <v/>
      </c>
      <c r="G547" s="53" t="str">
        <f aca="false" ca="false" dt2D="false" dtr="false" t="normal">_XLFN.IFNA(MID(INDEX($A$3:$A$70, IF(ISNA(MATCH("720G4I8*", $A$3:$A$70, 0))=TRUE, MATCH("7200440*", $A$3:$A$70, 0), MATCH("720G4I8*", $A$3:$A$70, 0))), $AT$8, 2), "")</f>
        <v/>
      </c>
      <c r="N547" s="63" t="n"/>
      <c r="P547" s="136" t="n">
        <f aca="false" ca="false" dt2D="false" dtr="false" t="normal">MID(H545, 3, 1)</f>
        <v>0</v>
      </c>
      <c r="Q547" s="137" t="n">
        <f aca="false" ca="false" dt2D="false" dtr="false" t="normal">P547</f>
        <v>0</v>
      </c>
      <c r="R547" s="120" t="s">
        <v>195</v>
      </c>
      <c r="S547" s="139" t="s">
        <v>2097</v>
      </c>
      <c r="T547" s="136" t="n">
        <f aca="false" ca="false" dt2D="false" dtr="false" t="normal">MID(I545, 3, 1)</f>
        <v>0</v>
      </c>
      <c r="U547" s="137" t="n">
        <f aca="false" ca="false" dt2D="false" dtr="false" t="normal">T547</f>
        <v>0</v>
      </c>
      <c r="V547" s="120" t="s">
        <v>195</v>
      </c>
      <c r="W547" s="139" t="s">
        <v>2098</v>
      </c>
      <c r="X547" s="136" t="n">
        <f aca="false" ca="false" dt2D="false" dtr="false" t="normal">MID(J545, 3, 1)</f>
        <v>0</v>
      </c>
      <c r="Y547" s="137" t="n">
        <f aca="false" ca="false" dt2D="false" dtr="false" t="normal">X547</f>
        <v>0</v>
      </c>
      <c r="Z547" s="120" t="s">
        <v>195</v>
      </c>
      <c r="AA547" s="139" t="s">
        <v>2099</v>
      </c>
      <c r="AB547" s="136" t="n">
        <f aca="false" ca="false" dt2D="false" dtr="false" t="normal">MID(K545, 3, 1)</f>
        <v>0</v>
      </c>
      <c r="AC547" s="137" t="n">
        <f aca="false" ca="false" dt2D="false" dtr="false" t="normal">AB547</f>
        <v>0</v>
      </c>
      <c r="AD547" s="120" t="s">
        <v>195</v>
      </c>
      <c r="AE547" s="139" t="s">
        <v>2100</v>
      </c>
      <c r="AF547" s="136" t="n">
        <f aca="false" ca="false" dt2D="false" dtr="false" t="normal">MID(L545, 3, 1)</f>
        <v>0</v>
      </c>
      <c r="AG547" s="137" t="n">
        <f aca="false" ca="false" dt2D="false" dtr="false" t="normal">AF547</f>
        <v>0</v>
      </c>
      <c r="AH547" s="120" t="s">
        <v>195</v>
      </c>
      <c r="AI547" s="139" t="s">
        <v>2101</v>
      </c>
      <c r="AJ547" s="5594" t="s"/>
      <c r="AK547" s="5595" t="s"/>
      <c r="AL547" s="5596" t="s"/>
    </row>
    <row hidden="false" ht="15.75" outlineLevel="0" r="548">
      <c r="C548" s="98" t="n"/>
      <c r="N548" s="63" t="n"/>
      <c r="P548" s="136" t="n">
        <f aca="false" ca="false" dt2D="false" dtr="false" t="normal">MID(H545, 4, 1)</f>
        <v>0</v>
      </c>
      <c r="Q548" s="137" t="n">
        <f aca="false" ca="false" dt2D="false" dtr="false" t="normal">P548</f>
        <v>0</v>
      </c>
      <c r="R548" s="120" t="s">
        <v>197</v>
      </c>
      <c r="S548" s="139" t="s">
        <v>2102</v>
      </c>
      <c r="T548" s="136" t="n">
        <f aca="false" ca="false" dt2D="false" dtr="false" t="normal">MID(I545, 4, 1)</f>
        <v>0</v>
      </c>
      <c r="U548" s="137" t="n">
        <f aca="false" ca="false" dt2D="false" dtr="false" t="normal">T548</f>
        <v>0</v>
      </c>
      <c r="V548" s="120" t="s">
        <v>197</v>
      </c>
      <c r="W548" s="139" t="s">
        <v>2103</v>
      </c>
      <c r="X548" s="136" t="n">
        <f aca="false" ca="false" dt2D="false" dtr="false" t="normal">MID(J545, 4, 1)</f>
        <v>0</v>
      </c>
      <c r="Y548" s="137" t="n">
        <f aca="false" ca="false" dt2D="false" dtr="false" t="normal">X548</f>
        <v>0</v>
      </c>
      <c r="Z548" s="120" t="s">
        <v>197</v>
      </c>
      <c r="AA548" s="139" t="s">
        <v>2104</v>
      </c>
      <c r="AB548" s="136" t="n">
        <f aca="false" ca="false" dt2D="false" dtr="false" t="normal">MID(K545, 4, 1)</f>
        <v>0</v>
      </c>
      <c r="AC548" s="137" t="n">
        <f aca="false" ca="false" dt2D="false" dtr="false" t="normal">AB548</f>
        <v>0</v>
      </c>
      <c r="AD548" s="120" t="s">
        <v>197</v>
      </c>
      <c r="AE548" s="139" t="s">
        <v>2105</v>
      </c>
      <c r="AF548" s="136" t="n">
        <f aca="false" ca="false" dt2D="false" dtr="false" t="normal">MID(L545, 4, 1)</f>
        <v>0</v>
      </c>
      <c r="AG548" s="137" t="n">
        <f aca="false" ca="false" dt2D="false" dtr="false" t="normal">AF548</f>
        <v>0</v>
      </c>
      <c r="AH548" s="120" t="s">
        <v>197</v>
      </c>
      <c r="AI548" s="139" t="s">
        <v>2106</v>
      </c>
      <c r="AJ548" s="5597" t="s"/>
      <c r="AK548" s="5598" t="s"/>
      <c r="AL548" s="5599" t="s"/>
    </row>
    <row hidden="false" ht="15.75" outlineLevel="0" r="549">
      <c r="C549" s="98" t="s">
        <v>176</v>
      </c>
      <c r="D549" s="159" t="str">
        <f aca="false" ca="false" dt2D="false" dtr="false" t="normal">D544</f>
        <v/>
      </c>
      <c r="E549" s="160" t="str">
        <f aca="false" ca="false" dt2D="false" dtr="false" t="normal">E544</f>
        <v/>
      </c>
      <c r="F549" s="160" t="str">
        <f aca="false" ca="false" dt2D="false" dtr="false" t="normal">F544</f>
        <v/>
      </c>
      <c r="G549" s="161" t="str">
        <f aca="false" ca="false" dt2D="false" dtr="false" t="normal">G544</f>
        <v/>
      </c>
      <c r="H549" s="162" t="str">
        <f aca="false" ca="false" dt2D="false" dtr="false" t="normal">IF(J412="", "", BIN2HEX(H550, 2))</f>
        <v/>
      </c>
      <c r="I549" s="163" t="str">
        <f aca="false" ca="false" dt2D="false" dtr="false" t="normal">IF(J412="", "", BIN2HEX(I550, 2))</f>
        <v/>
      </c>
      <c r="J549" s="164" t="str">
        <f aca="false" ca="false" dt2D="false" dtr="false" t="normal">IF(J412="", "", BIN2HEX(J550, 2))</f>
        <v/>
      </c>
      <c r="K549" s="165" t="str">
        <f aca="false" ca="false" dt2D="false" dtr="false" t="normal">IF(J412="", "", BIN2HEX(K550, 2))</f>
        <v/>
      </c>
      <c r="L549" s="288" t="str">
        <f aca="false" ca="false" dt2D="false" dtr="false" t="normal">IF(J412="", "", BIN2HEX(L550, 2))</f>
        <v/>
      </c>
      <c r="M549" s="166" t="str">
        <f aca="false" ca="false" dt2D="false" dtr="false" t="normal">IF(J412="", "", IF(LEN(M550)&gt;2, MID(M550, 2, 2), M550))</f>
        <v/>
      </c>
      <c r="N549" s="63" t="s">
        <v>181</v>
      </c>
      <c r="P549" s="136" t="n">
        <f aca="false" ca="false" dt2D="false" dtr="false" t="normal">MID(H545, 5, 1)</f>
        <v>0</v>
      </c>
      <c r="Q549" s="137" t="n">
        <f aca="false" ca="false" dt2D="false" dtr="false" t="normal">P549</f>
        <v>0</v>
      </c>
      <c r="R549" s="120" t="s">
        <v>200</v>
      </c>
      <c r="S549" s="139" t="s">
        <v>2107</v>
      </c>
      <c r="T549" s="136" t="n">
        <f aca="false" ca="false" dt2D="false" dtr="false" t="normal">MID(I545, 5, 1)</f>
        <v>0</v>
      </c>
      <c r="U549" s="137" t="n">
        <f aca="false" ca="false" dt2D="false" dtr="false" t="normal">T549</f>
        <v>0</v>
      </c>
      <c r="V549" s="120" t="s">
        <v>200</v>
      </c>
      <c r="W549" s="139" t="s">
        <v>2108</v>
      </c>
      <c r="X549" s="136" t="n">
        <f aca="false" ca="false" dt2D="false" dtr="false" t="normal">MID(J545, 5, 1)</f>
        <v>0</v>
      </c>
      <c r="Y549" s="137" t="n">
        <f aca="false" ca="false" dt2D="false" dtr="false" t="normal">X549</f>
        <v>0</v>
      </c>
      <c r="Z549" s="120" t="s">
        <v>200</v>
      </c>
      <c r="AA549" s="139" t="s">
        <v>2109</v>
      </c>
      <c r="AB549" s="136" t="n">
        <f aca="false" ca="false" dt2D="false" dtr="false" t="normal">MID(K545, 5, 1)</f>
        <v>0</v>
      </c>
      <c r="AC549" s="137" t="n">
        <f aca="false" ca="false" dt2D="false" dtr="false" t="normal">AB549</f>
        <v>0</v>
      </c>
      <c r="AD549" s="120" t="s">
        <v>200</v>
      </c>
      <c r="AE549" s="139" t="s">
        <v>2110</v>
      </c>
      <c r="AF549" s="136" t="n">
        <f aca="false" ca="false" dt2D="false" dtr="false" t="normal">MID(L545, 5, 1)</f>
        <v>0</v>
      </c>
      <c r="AG549" s="137" t="n">
        <f aca="false" ca="false" dt2D="false" dtr="false" t="normal">AF549</f>
        <v>0</v>
      </c>
      <c r="AH549" s="120" t="s">
        <v>200</v>
      </c>
      <c r="AI549" s="139" t="s">
        <v>2111</v>
      </c>
      <c r="AJ549" s="5600" t="s"/>
      <c r="AK549" s="5601" t="s"/>
      <c r="AL549" s="5602" t="s"/>
    </row>
    <row hidden="false" ht="15" outlineLevel="0" r="550">
      <c r="C550" s="98" t="s">
        <v>185</v>
      </c>
      <c r="D550" s="53" t="n">
        <f aca="false" ca="false" dt2D="false" dtr="false" t="normal">HEX2BIN(D549, 8)</f>
        <v>0</v>
      </c>
      <c r="E550" s="53" t="n">
        <f aca="false" ca="false" dt2D="false" dtr="false" t="normal">HEX2BIN(E549, 8)</f>
        <v>0</v>
      </c>
      <c r="F550" s="53" t="n">
        <f aca="false" ca="false" dt2D="false" dtr="false" t="normal">HEX2BIN(F549, 8)</f>
        <v>0</v>
      </c>
      <c r="G550" s="53" t="n">
        <f aca="false" ca="false" dt2D="false" dtr="false" t="normal">HEX2BIN(G549, 8)</f>
        <v>0</v>
      </c>
      <c r="H550" s="171" t="n">
        <f aca="false" ca="false" dt2D="false" dtr="false" t="normal">Q545&amp;Q546&amp;Q547&amp;Q548&amp;Q549&amp;Q550&amp;Q551&amp;Q552</f>
        <v>0</v>
      </c>
      <c r="I550" s="53" t="n">
        <f aca="false" ca="false" dt2D="false" dtr="false" t="normal">U545&amp;U546&amp;U547&amp;U548&amp;U549&amp;U550&amp;U551&amp;U552</f>
        <v>0</v>
      </c>
      <c r="J550" s="171" t="n">
        <f aca="false" ca="false" dt2D="false" dtr="false" t="normal">Y545&amp;Y546&amp;Y547&amp;Y548&amp;Y549&amp;Y550&amp;Y551&amp;Y552</f>
        <v>0</v>
      </c>
      <c r="K550" s="171" t="n">
        <f aca="false" ca="false" dt2D="false" dtr="false" t="normal">AC545&amp;AC546&amp;AC547&amp;AC548&amp;AC549&amp;AC550&amp;AC551&amp;AC552</f>
        <v>0</v>
      </c>
      <c r="L550" s="53" t="n">
        <f aca="false" ca="false" dt2D="false" dtr="false" t="normal">AG545&amp;AG546&amp;AG547&amp;AG548&amp;AG549&amp;AG550&amp;AG551&amp;AG552</f>
        <v>0</v>
      </c>
      <c r="M550" s="53" t="n">
        <f aca="false" ca="false" dt2D="false" dtr="false" t="normal">DEC2HEX(M551)</f>
        <v>0</v>
      </c>
      <c r="N550" s="63" t="n"/>
      <c r="P550" s="136" t="n">
        <f aca="false" ca="false" dt2D="false" dtr="false" t="normal">MID(H545, 6, 1)</f>
        <v>0</v>
      </c>
      <c r="Q550" s="137" t="n">
        <f aca="false" ca="false" dt2D="false" dtr="false" t="normal">P550</f>
        <v>0</v>
      </c>
      <c r="R550" s="120" t="s">
        <v>203</v>
      </c>
      <c r="S550" s="139" t="s">
        <v>2112</v>
      </c>
      <c r="T550" s="136" t="n">
        <f aca="false" ca="false" dt2D="false" dtr="false" t="normal">MID(I545, 6, 1)</f>
        <v>0</v>
      </c>
      <c r="U550" s="137" t="n">
        <f aca="false" ca="false" dt2D="false" dtr="false" t="normal">T550</f>
        <v>0</v>
      </c>
      <c r="V550" s="120" t="s">
        <v>203</v>
      </c>
      <c r="W550" s="139" t="s">
        <v>2113</v>
      </c>
      <c r="X550" s="136" t="n">
        <f aca="false" ca="false" dt2D="false" dtr="false" t="normal">MID(J545, 6, 1)</f>
        <v>0</v>
      </c>
      <c r="Y550" s="137" t="n">
        <f aca="false" ca="false" dt2D="false" dtr="false" t="normal">X550</f>
        <v>0</v>
      </c>
      <c r="Z550" s="120" t="s">
        <v>203</v>
      </c>
      <c r="AA550" s="139" t="s">
        <v>289</v>
      </c>
      <c r="AB550" s="136" t="n">
        <f aca="false" ca="false" dt2D="false" dtr="false" t="normal">MID(K545, 6, 1)</f>
        <v>0</v>
      </c>
      <c r="AC550" s="137" t="n">
        <f aca="false" ca="false" dt2D="false" dtr="false" t="normal">AB550</f>
        <v>0</v>
      </c>
      <c r="AD550" s="120" t="s">
        <v>203</v>
      </c>
      <c r="AE550" s="139" t="s">
        <v>2114</v>
      </c>
      <c r="AF550" s="136" t="n">
        <f aca="false" ca="false" dt2D="false" dtr="false" t="normal">MID(L545, 6, 1)</f>
        <v>0</v>
      </c>
      <c r="AG550" s="137" t="n">
        <f aca="false" ca="false" dt2D="false" dtr="false" t="normal">AF550</f>
        <v>0</v>
      </c>
      <c r="AH550" s="120" t="s">
        <v>203</v>
      </c>
      <c r="AI550" s="139" t="s">
        <v>2115</v>
      </c>
      <c r="AJ550" s="5603" t="s"/>
      <c r="AK550" s="5604" t="s"/>
      <c r="AL550" s="5605" t="s"/>
    </row>
    <row hidden="false" ht="15" outlineLevel="0" r="551">
      <c r="C551" s="98" t="s">
        <v>191</v>
      </c>
      <c r="D551" s="53" t="n">
        <f aca="false" ca="false" dt2D="false" dtr="false" t="normal">HEX2DEC(D549)</f>
        <v>0</v>
      </c>
      <c r="E551" s="53" t="n">
        <f aca="false" ca="false" dt2D="false" dtr="false" t="normal">HEX2DEC(E549)</f>
        <v>0</v>
      </c>
      <c r="F551" s="53" t="n">
        <f aca="false" ca="false" dt2D="false" dtr="false" t="normal">HEX2DEC(F549)</f>
        <v>0</v>
      </c>
      <c r="G551" s="53" t="n">
        <f aca="false" ca="false" dt2D="false" dtr="false" t="normal">HEX2DEC(G549)</f>
        <v>0</v>
      </c>
      <c r="H551" s="53" t="n">
        <f aca="false" ca="false" dt2D="false" dtr="false" t="normal">HEX2DEC(H549)</f>
        <v>0</v>
      </c>
      <c r="I551" s="53" t="n">
        <f aca="false" ca="false" dt2D="false" dtr="false" t="normal">HEX2DEC(I549)</f>
        <v>0</v>
      </c>
      <c r="J551" s="53" t="n">
        <f aca="false" ca="false" dt2D="false" dtr="false" t="normal">HEX2DEC(J549)</f>
        <v>0</v>
      </c>
      <c r="K551" s="53" t="n">
        <f aca="false" ca="false" dt2D="false" dtr="false" t="normal">HEX2DEC(K549)</f>
        <v>0</v>
      </c>
      <c r="L551" s="53" t="n">
        <f aca="false" ca="false" dt2D="false" dtr="false" t="normal">HEX2DEC(L549)</f>
        <v>0</v>
      </c>
      <c r="M551" s="53" t="n">
        <f aca="false" ca="false" dt2D="false" dtr="false" t="normal">SUM(D551:L551)</f>
        <v>0</v>
      </c>
      <c r="N551" s="63" t="n"/>
      <c r="P551" s="136" t="n">
        <f aca="false" ca="false" dt2D="false" dtr="false" t="normal">MID(H545, 7, 1)</f>
        <v>0</v>
      </c>
      <c r="Q551" s="137" t="n">
        <f aca="false" ca="false" dt2D="false" dtr="false" t="normal">P551</f>
        <v>0</v>
      </c>
      <c r="R551" s="120" t="s">
        <v>206</v>
      </c>
      <c r="S551" s="139" t="s">
        <v>2116</v>
      </c>
      <c r="T551" s="136" t="n">
        <f aca="false" ca="false" dt2D="false" dtr="false" t="normal">MID(I545, 7, 1)</f>
        <v>0</v>
      </c>
      <c r="U551" s="137" t="n">
        <f aca="false" ca="false" dt2D="false" dtr="false" t="normal">T551</f>
        <v>0</v>
      </c>
      <c r="V551" s="120" t="s">
        <v>206</v>
      </c>
      <c r="W551" s="139" t="s">
        <v>2117</v>
      </c>
      <c r="X551" s="136" t="n">
        <f aca="false" ca="false" dt2D="false" dtr="false" t="normal">MID(J545, 7, 1)</f>
        <v>0</v>
      </c>
      <c r="Y551" s="137" t="n">
        <f aca="false" ca="false" dt2D="false" dtr="false" t="normal">X551</f>
        <v>0</v>
      </c>
      <c r="Z551" s="120" t="s">
        <v>206</v>
      </c>
      <c r="AA551" s="139" t="s">
        <v>2118</v>
      </c>
      <c r="AB551" s="136" t="n">
        <f aca="false" ca="false" dt2D="false" dtr="false" t="normal">MID(K545, 7, 1)</f>
        <v>0</v>
      </c>
      <c r="AC551" s="137" t="n">
        <f aca="false" ca="false" dt2D="false" dtr="false" t="normal">AB551</f>
        <v>0</v>
      </c>
      <c r="AD551" s="120" t="s">
        <v>206</v>
      </c>
      <c r="AE551" s="139" t="s">
        <v>2119</v>
      </c>
      <c r="AF551" s="136" t="n">
        <f aca="false" ca="false" dt2D="false" dtr="false" t="normal">MID(L545, 7, 1)</f>
        <v>0</v>
      </c>
      <c r="AG551" s="137" t="n">
        <f aca="false" ca="false" dt2D="false" dtr="false" t="normal">AF551</f>
        <v>0</v>
      </c>
      <c r="AH551" s="120" t="s">
        <v>206</v>
      </c>
      <c r="AI551" s="139" t="s">
        <v>2120</v>
      </c>
      <c r="AJ551" s="5606" t="s"/>
      <c r="AK551" s="5607" t="s"/>
      <c r="AL551" s="5608" t="s"/>
    </row>
    <row hidden="false" ht="15.75" outlineLevel="0" r="552">
      <c r="C552" s="180" t="s">
        <v>194</v>
      </c>
      <c r="D552" s="299" t="str">
        <f aca="false" ca="false" dt2D="false" dtr="false" t="normal">D547</f>
        <v/>
      </c>
      <c r="E552" s="299" t="str">
        <f aca="false" ca="false" dt2D="false" dtr="false" t="normal">E547</f>
        <v/>
      </c>
      <c r="F552" s="299" t="str">
        <f aca="false" ca="false" dt2D="false" dtr="false" t="normal">F547</f>
        <v/>
      </c>
      <c r="G552" s="299" t="str">
        <f aca="false" ca="false" dt2D="false" dtr="false" t="normal">G547</f>
        <v/>
      </c>
      <c r="H552" s="45" t="n"/>
      <c r="I552" s="45" t="n"/>
      <c r="J552" s="45" t="n"/>
      <c r="K552" s="45" t="n"/>
      <c r="L552" s="45" t="n"/>
      <c r="M552" s="45" t="n"/>
      <c r="N552" s="49" t="n"/>
      <c r="P552" s="182" t="n">
        <f aca="false" ca="false" dt2D="false" dtr="false" t="normal">MID(H545, 8, 1)</f>
        <v>0</v>
      </c>
      <c r="Q552" s="183" t="n">
        <f aca="false" ca="false" dt2D="false" dtr="false" t="normal">P552</f>
        <v>0</v>
      </c>
      <c r="R552" s="184" t="s">
        <v>208</v>
      </c>
      <c r="S552" s="187" t="s">
        <v>2121</v>
      </c>
      <c r="T552" s="182" t="n">
        <f aca="false" ca="false" dt2D="false" dtr="false" t="normal">MID(I545, 8, 1)</f>
        <v>0</v>
      </c>
      <c r="U552" s="183" t="n">
        <f aca="false" ca="false" dt2D="false" dtr="false" t="normal">T552</f>
        <v>0</v>
      </c>
      <c r="V552" s="184" t="s">
        <v>208</v>
      </c>
      <c r="W552" s="187" t="s">
        <v>2122</v>
      </c>
      <c r="X552" s="182" t="n">
        <f aca="false" ca="false" dt2D="false" dtr="false" t="normal">MID(J545, 8, 1)</f>
        <v>0</v>
      </c>
      <c r="Y552" s="183" t="n">
        <f aca="false" ca="false" dt2D="false" dtr="false" t="normal">X552</f>
        <v>0</v>
      </c>
      <c r="Z552" s="184" t="s">
        <v>208</v>
      </c>
      <c r="AA552" s="187" t="s">
        <v>2123</v>
      </c>
      <c r="AB552" s="182" t="n">
        <f aca="false" ca="false" dt2D="false" dtr="false" t="normal">MID(K545, 8, 1)</f>
        <v>0</v>
      </c>
      <c r="AC552" s="183" t="n">
        <f aca="false" ca="false" dt2D="false" dtr="false" t="normal">AB552</f>
        <v>0</v>
      </c>
      <c r="AD552" s="184" t="s">
        <v>208</v>
      </c>
      <c r="AE552" s="187" t="s">
        <v>2124</v>
      </c>
      <c r="AF552" s="182" t="n">
        <f aca="false" ca="false" dt2D="false" dtr="false" t="normal">MID(L545, 8, 1)</f>
        <v>0</v>
      </c>
      <c r="AG552" s="183" t="n">
        <f aca="false" ca="false" dt2D="false" dtr="false" t="normal">AF552</f>
        <v>0</v>
      </c>
      <c r="AH552" s="184" t="s">
        <v>208</v>
      </c>
      <c r="AI552" s="187" t="s">
        <v>2125</v>
      </c>
      <c r="AJ552" s="5609" t="s"/>
      <c r="AK552" s="5610" t="s"/>
      <c r="AL552" s="5611" t="s"/>
    </row>
    <row hidden="false" ht="15.75" outlineLevel="0" r="553">
      <c r="C553" s="93" t="n"/>
      <c r="D553" s="94" t="n"/>
      <c r="E553" s="94" t="n"/>
      <c r="F553" s="94" t="n"/>
      <c r="G553" s="94" t="n"/>
      <c r="H553" s="94" t="n"/>
      <c r="I553" s="94" t="n"/>
      <c r="J553" s="94" t="n"/>
      <c r="K553" s="94" t="n"/>
      <c r="L553" s="94" t="n"/>
      <c r="M553" s="94" t="s">
        <v>161</v>
      </c>
      <c r="N553" s="60" t="n"/>
      <c r="P553" s="95" t="str">
        <f aca="false" ca="false" dt2D="false" dtr="false" t="normal">RIGHT(D555, 1)&amp;E555&amp;"-"&amp;F555&amp;"-"&amp;G555</f>
        <v>--</v>
      </c>
      <c r="Q553" s="5612" t="s"/>
      <c r="R553" s="234" t="s">
        <v>2126</v>
      </c>
      <c r="S553" s="5613" t="s"/>
      <c r="T553" s="5614" t="s"/>
      <c r="U553" s="5615" t="s"/>
      <c r="V553" s="5616" t="s"/>
      <c r="W553" s="5617" t="s"/>
      <c r="X553" s="5618" t="s"/>
      <c r="Y553" s="5619" t="s"/>
      <c r="Z553" s="5620" t="s"/>
      <c r="AA553" s="5621" t="s"/>
      <c r="AB553" s="5622" t="s"/>
      <c r="AC553" s="5623" t="s"/>
      <c r="AD553" s="5624" t="s"/>
      <c r="AE553" s="5625" t="s"/>
      <c r="AF553" s="5626" t="s"/>
      <c r="AG553" s="5627" t="s"/>
      <c r="AH553" s="5628" t="s"/>
      <c r="AI553" s="5629" t="s"/>
      <c r="AJ553" s="5630" t="s"/>
      <c r="AK553" s="5631" t="s"/>
      <c r="AL553" s="5632" t="s"/>
    </row>
    <row hidden="false" ht="15.75" outlineLevel="0" r="554">
      <c r="C554" s="98" t="n"/>
      <c r="D554" s="99" t="s">
        <v>2127</v>
      </c>
      <c r="E554" s="5633" t="s"/>
      <c r="F554" s="5634" t="s"/>
      <c r="G554" s="5635" t="s"/>
      <c r="H554" s="53" t="s">
        <v>165</v>
      </c>
      <c r="I554" s="53" t="s">
        <v>166</v>
      </c>
      <c r="J554" s="53" t="s">
        <v>167</v>
      </c>
      <c r="K554" s="53" t="s">
        <v>168</v>
      </c>
      <c r="L554" s="53" t="s">
        <v>169</v>
      </c>
      <c r="M554" s="53" t="s">
        <v>221</v>
      </c>
      <c r="N554" s="63" t="n"/>
      <c r="P554" s="103" t="s">
        <v>2128</v>
      </c>
      <c r="Q554" s="5636" t="s"/>
      <c r="R554" s="5637" t="s"/>
      <c r="S554" s="5638" t="s"/>
      <c r="T554" s="103" t="s">
        <v>2129</v>
      </c>
      <c r="U554" s="5639" t="s"/>
      <c r="V554" s="5640" t="s"/>
      <c r="W554" s="5641" t="s"/>
      <c r="X554" s="103" t="s">
        <v>2130</v>
      </c>
      <c r="Y554" s="5642" t="s"/>
      <c r="Z554" s="5643" t="s"/>
      <c r="AA554" s="5644" t="s"/>
      <c r="AB554" s="103" t="s">
        <v>2131</v>
      </c>
      <c r="AC554" s="5645" t="s"/>
      <c r="AD554" s="5646" t="s"/>
      <c r="AE554" s="5647" t="s"/>
      <c r="AF554" s="103" t="s">
        <v>2132</v>
      </c>
      <c r="AG554" s="5648" t="s"/>
      <c r="AH554" s="5649" t="s"/>
      <c r="AI554" s="5650" t="s"/>
      <c r="AJ554" s="103" t="s">
        <v>2133</v>
      </c>
      <c r="AK554" s="5651" t="s"/>
      <c r="AL554" s="5652" t="s"/>
    </row>
    <row hidden="false" ht="15.75" outlineLevel="0" r="555">
      <c r="C555" s="98" t="s">
        <v>176</v>
      </c>
      <c r="D555" s="122" t="str">
        <f aca="false" ca="false" dt2D="false" dtr="false" t="normal">IF(J412="", "", 7)</f>
        <v/>
      </c>
      <c r="E555" s="123" t="str">
        <f aca="false" ca="false" dt2D="false" dtr="false" t="normal">IF(J412="", "", 20)</f>
        <v/>
      </c>
      <c r="F555" s="123" t="str">
        <f aca="false" ca="false" dt2D="false" dtr="false" t="normal">IF(J412="", "", 4)</f>
        <v/>
      </c>
      <c r="G555" s="124" t="str">
        <f aca="false" ca="false" dt2D="false" dtr="false" t="normal">IF(J412="", "", 41)</f>
        <v/>
      </c>
      <c r="H555" s="1819" t="str">
        <f aca="false" ca="false" dt2D="false" dtr="false" ref="H555:H555" t="array">_XLFN.IFNA(MID(INDEX($A$3:$A$70, IF(ISNA(MATCH("720G4I9*", $A$3:$A$70, 0))=TRUE, MATCH("7200441*", $A$3:$A$70, 0), MATCH("720G4I9*", $A$3:$A$70, 0))), $AU$8, 2), "")</f>
        <v/>
      </c>
      <c r="I555" s="1820" t="str">
        <f aca="false" ca="false" dt2D="false" dtr="false" ref="I555:I555" t="array">_XLFN.IFNA(MID(INDEX($A$3:$A$70, IF(ISNA(MATCH("720G4I9*", $A$3:$A$70, 0))=TRUE, MATCH("7200441*", $A$3:$A$70, 0), MATCH("720G4I9*", $A$3:$A$70, 0))), $AV$8, 2), "")</f>
        <v/>
      </c>
      <c r="J555" s="164" t="str">
        <f aca="false" ca="false" dt2D="false" dtr="false" ref="J555:J555" t="array">_XLFN.IFNA(MID(INDEX($A$3:$A$70, IF(ISNA(MATCH("720G4I9*", $A$3:$A$70, 0))=TRUE, MATCH("7200441*", $A$3:$A$70, 0), MATCH("720G4I9*", $A$3:$A$70, 0))), $AW$8, 2), "")</f>
        <v/>
      </c>
      <c r="K555" s="1820" t="str">
        <f aca="false" ca="false" dt2D="false" dtr="false" ref="K555:K555" t="array">_XLFN.IFNA(MID(INDEX($A$3:$A$70, IF(ISNA(MATCH("720G4I9*", $A$3:$A$70, 0))=TRUE, MATCH("7200441*", $A$3:$A$70, 0), MATCH("720G4I9*", $A$3:$A$70, 0))), $AX$8, 2), "")</f>
        <v/>
      </c>
      <c r="L555" s="1821" t="str">
        <f aca="false" ca="false" dt2D="false" dtr="false" ref="L555:L555" t="array">_XLFN.IFNA(MID(INDEX($A$3:$A$70, IF(ISNA(MATCH("720G4I9*", $A$3:$A$70, 0))=TRUE, MATCH("7200441*", $A$3:$A$70, 0), MATCH("720G4I9*", $A$3:$A$70, 0))), $AY$8, 2), "")</f>
        <v/>
      </c>
      <c r="M555" s="218" t="str">
        <f aca="false" ca="false" dt2D="false" dtr="false" ref="M555:M555" t="array">_XLFN.IFNA(MID(INDEX($A$3:$A$70, IF(ISNA(MATCH("720G4I9*", $A$3:$A$70, 0))=TRUE, MATCH("7200441*", $A$3:$A$70, 0), MATCH("720G4I9*", $A$3:$A$70, 0))), $AZ$8, 2), "")</f>
        <v/>
      </c>
      <c r="N555" s="63" t="s">
        <v>180</v>
      </c>
      <c r="P555" s="116" t="n"/>
      <c r="Q555" s="5653" t="s"/>
      <c r="R555" s="5654" t="s"/>
      <c r="S555" s="5655" t="s"/>
      <c r="T555" s="116" t="n"/>
      <c r="U555" s="5656" t="s"/>
      <c r="V555" s="5657" t="s"/>
      <c r="W555" s="5658" t="s"/>
      <c r="X555" s="129" t="s">
        <v>180</v>
      </c>
      <c r="Y555" s="130" t="s">
        <v>181</v>
      </c>
      <c r="Z555" s="121" t="s">
        <v>182</v>
      </c>
      <c r="AA555" s="131" t="n"/>
      <c r="AB555" s="129" t="s">
        <v>180</v>
      </c>
      <c r="AC555" s="130" t="s">
        <v>181</v>
      </c>
      <c r="AD555" s="121" t="s">
        <v>182</v>
      </c>
      <c r="AE555" s="131" t="n"/>
      <c r="AF555" s="129" t="s">
        <v>180</v>
      </c>
      <c r="AG555" s="130" t="s">
        <v>181</v>
      </c>
      <c r="AH555" s="121" t="s">
        <v>182</v>
      </c>
      <c r="AI555" s="121" t="n"/>
      <c r="AJ555" s="116" t="s">
        <v>183</v>
      </c>
      <c r="AK555" s="5659" t="s"/>
      <c r="AL555" s="5660" t="s"/>
    </row>
    <row hidden="false" ht="15" outlineLevel="0" r="556">
      <c r="C556" s="98" t="s">
        <v>185</v>
      </c>
      <c r="D556" s="53" t="n">
        <f aca="false" ca="false" dt2D="false" dtr="false" t="normal">HEX2BIN(D555, 8)</f>
        <v>0</v>
      </c>
      <c r="E556" s="53" t="n">
        <f aca="false" ca="false" dt2D="false" dtr="false" t="normal">HEX2BIN(E555, 8)</f>
        <v>0</v>
      </c>
      <c r="F556" s="53" t="n">
        <f aca="false" ca="false" dt2D="false" dtr="false" t="normal">HEX2BIN(F555, 8)</f>
        <v>0</v>
      </c>
      <c r="G556" s="53" t="n">
        <f aca="false" ca="false" dt2D="false" dtr="false" t="normal">HEX2BIN(G555, 8)</f>
        <v>0</v>
      </c>
      <c r="H556" s="53" t="n">
        <f aca="false" ca="false" dt2D="false" dtr="false" t="normal">HEX2BIN(H555, 8)</f>
        <v>0</v>
      </c>
      <c r="I556" s="53" t="n">
        <f aca="false" ca="false" dt2D="false" dtr="false" t="normal">HEX2BIN(I555, 8)</f>
        <v>0</v>
      </c>
      <c r="J556" s="53" t="n">
        <f aca="false" ca="false" dt2D="false" dtr="false" t="normal">HEX2BIN(J555, 8)</f>
        <v>0</v>
      </c>
      <c r="K556" s="53" t="n">
        <f aca="false" ca="false" dt2D="false" dtr="false" t="normal">HEX2BIN(K555, 8)</f>
        <v>0</v>
      </c>
      <c r="L556" s="53" t="n">
        <f aca="false" ca="false" dt2D="false" dtr="false" t="normal">HEX2BIN(L555, 8)</f>
        <v>0</v>
      </c>
      <c r="N556" s="63" t="n"/>
      <c r="P556" s="5661" t="s"/>
      <c r="Q556" s="142" t="s"/>
      <c r="R556" s="142" t="s"/>
      <c r="S556" s="5662" t="s"/>
      <c r="T556" s="5663" t="s"/>
      <c r="U556" s="142" t="s"/>
      <c r="V556" s="142" t="s"/>
      <c r="W556" s="5664" t="s"/>
      <c r="X556" s="136" t="n">
        <f aca="false" ca="false" dt2D="false" dtr="false" t="normal">MID(J556, 1, 1)</f>
        <v>0</v>
      </c>
      <c r="Y556" s="137" t="n">
        <f aca="false" ca="false" dt2D="false" dtr="false" t="normal">X556</f>
        <v>0</v>
      </c>
      <c r="Z556" s="120" t="s">
        <v>186</v>
      </c>
      <c r="AA556" s="139" t="s">
        <v>2134</v>
      </c>
      <c r="AB556" s="136" t="n">
        <f aca="false" ca="false" dt2D="false" dtr="false" t="normal">MID(K556, 1, 1)</f>
        <v>0</v>
      </c>
      <c r="AC556" s="137" t="n">
        <f aca="false" ca="false" dt2D="false" dtr="false" t="normal">AB556</f>
        <v>0</v>
      </c>
      <c r="AD556" s="120" t="s">
        <v>186</v>
      </c>
      <c r="AE556" s="139" t="s">
        <v>2135</v>
      </c>
      <c r="AF556" s="136" t="n">
        <f aca="false" ca="false" dt2D="false" dtr="false" t="normal">MID(L556, 1, 1)</f>
        <v>0</v>
      </c>
      <c r="AG556" s="137" t="n">
        <f aca="false" ca="false" dt2D="false" dtr="false" t="normal">AF556</f>
        <v>0</v>
      </c>
      <c r="AH556" s="120" t="s">
        <v>186</v>
      </c>
      <c r="AI556" s="139" t="s">
        <v>2136</v>
      </c>
      <c r="AJ556" s="5665" t="s"/>
      <c r="AK556" s="5666" t="s"/>
      <c r="AL556" s="5667" t="s"/>
    </row>
    <row hidden="false" ht="15" outlineLevel="0" r="557">
      <c r="C557" s="98" t="s">
        <v>191</v>
      </c>
      <c r="D557" s="53" t="n">
        <f aca="false" ca="false" dt2D="false" dtr="false" t="normal">HEX2DEC(D555)</f>
        <v>0</v>
      </c>
      <c r="E557" s="53" t="n">
        <f aca="false" ca="false" dt2D="false" dtr="false" t="normal">HEX2DEC(E555)</f>
        <v>0</v>
      </c>
      <c r="F557" s="53" t="n">
        <f aca="false" ca="false" dt2D="false" dtr="false" t="normal">HEX2DEC(F555)</f>
        <v>0</v>
      </c>
      <c r="G557" s="53" t="n">
        <f aca="false" ca="false" dt2D="false" dtr="false" t="normal">HEX2DEC(G555)</f>
        <v>0</v>
      </c>
      <c r="H557" s="53" t="n">
        <f aca="false" ca="false" dt2D="false" dtr="false" t="normal">HEX2DEC(H555)</f>
        <v>0</v>
      </c>
      <c r="I557" s="53" t="n">
        <f aca="false" ca="false" dt2D="false" dtr="false" t="normal">HEX2DEC(I555)</f>
        <v>0</v>
      </c>
      <c r="J557" s="53" t="n">
        <f aca="false" ca="false" dt2D="false" dtr="false" t="normal">HEX2DEC(J555)</f>
        <v>0</v>
      </c>
      <c r="K557" s="53" t="n">
        <f aca="false" ca="false" dt2D="false" dtr="false" t="normal">HEX2DEC(K555)</f>
        <v>0</v>
      </c>
      <c r="L557" s="53" t="n">
        <f aca="false" ca="false" dt2D="false" dtr="false" t="normal">HEX2DEC(L555)</f>
        <v>0</v>
      </c>
      <c r="M557" s="53" t="n">
        <f aca="false" ca="false" dt2D="false" dtr="false" t="normal">SUM(D557:L557)</f>
        <v>0</v>
      </c>
      <c r="N557" s="63" t="n"/>
      <c r="P557" s="5668" t="s"/>
      <c r="Q557" s="142" t="s"/>
      <c r="R557" s="142" t="s"/>
      <c r="S557" s="5669" t="s"/>
      <c r="T557" s="5670" t="s"/>
      <c r="U557" s="142" t="s"/>
      <c r="V557" s="142" t="s"/>
      <c r="W557" s="5671" t="s"/>
      <c r="X557" s="136" t="n">
        <f aca="false" ca="false" dt2D="false" dtr="false" t="normal">MID(J556, 2, 1)</f>
        <v>0</v>
      </c>
      <c r="Y557" s="137" t="n">
        <f aca="false" ca="false" dt2D="false" dtr="false" t="normal">X557</f>
        <v>0</v>
      </c>
      <c r="Z557" s="120" t="s">
        <v>192</v>
      </c>
      <c r="AA557" s="139" t="s">
        <v>2137</v>
      </c>
      <c r="AB557" s="136" t="n">
        <f aca="false" ca="false" dt2D="false" dtr="false" t="normal">MID(K556, 2, 1)</f>
        <v>0</v>
      </c>
      <c r="AC557" s="137" t="n">
        <f aca="false" ca="false" dt2D="false" dtr="false" t="normal">AB557</f>
        <v>0</v>
      </c>
      <c r="AD557" s="120" t="s">
        <v>192</v>
      </c>
      <c r="AE557" s="139" t="s">
        <v>2138</v>
      </c>
      <c r="AF557" s="136" t="n">
        <f aca="false" ca="false" dt2D="false" dtr="false" t="normal">MID(L556, 2, 1)</f>
        <v>0</v>
      </c>
      <c r="AG557" s="137" t="n">
        <f aca="false" ca="false" dt2D="false" dtr="false" t="normal">AF557</f>
        <v>0</v>
      </c>
      <c r="AH557" s="120" t="s">
        <v>192</v>
      </c>
      <c r="AI557" s="139" t="s">
        <v>2139</v>
      </c>
      <c r="AJ557" s="5672" t="s"/>
      <c r="AK557" s="5673" t="s"/>
      <c r="AL557" s="5674" t="s"/>
    </row>
    <row hidden="false" ht="15" outlineLevel="0" r="558">
      <c r="C558" s="98" t="s">
        <v>194</v>
      </c>
      <c r="D558" s="149" t="str">
        <f aca="false" ca="false" dt2D="false" dtr="false" t="normal">D555</f>
        <v/>
      </c>
      <c r="E558" s="149" t="str">
        <f aca="false" ca="false" dt2D="false" dtr="false" t="normal">E555</f>
        <v/>
      </c>
      <c r="F558" s="53" t="str">
        <f aca="false" ca="false" dt2D="false" dtr="false" t="normal">_XLFN.IFNA(MID(INDEX($A$3:$A$70, IF(ISNA(MATCH("720G4I9*", $A$3:$A$70, 0))=TRUE, MATCH("7200441*", $A$3:$A$70, 0), MATCH("720G4I9*", $A$3:$A$70, 0))), $AS$8, 2), "")</f>
        <v/>
      </c>
      <c r="G558" s="53" t="str">
        <f aca="false" ca="false" dt2D="false" dtr="false" t="normal">_XLFN.IFNA(MID(INDEX($A$3:$A$70, IF(ISNA(MATCH("720G4I9*", $A$3:$A$70, 0))=TRUE, MATCH("7200441*", $A$3:$A$70, 0), MATCH("720G4I9*", $A$3:$A$70, 0))), $AT$8, 2), "")</f>
        <v/>
      </c>
      <c r="N558" s="63" t="n"/>
      <c r="P558" s="5675" t="s"/>
      <c r="Q558" s="142" t="s"/>
      <c r="R558" s="142" t="s"/>
      <c r="S558" s="5676" t="s"/>
      <c r="T558" s="5677" t="s"/>
      <c r="U558" s="142" t="s"/>
      <c r="V558" s="142" t="s"/>
      <c r="W558" s="5678" t="s"/>
      <c r="X558" s="136" t="n">
        <f aca="false" ca="false" dt2D="false" dtr="false" t="normal">MID(J556, 3, 1)</f>
        <v>0</v>
      </c>
      <c r="Y558" s="137" t="n">
        <f aca="false" ca="false" dt2D="false" dtr="false" t="normal">X558</f>
        <v>0</v>
      </c>
      <c r="Z558" s="120" t="s">
        <v>195</v>
      </c>
      <c r="AA558" s="139" t="s">
        <v>2140</v>
      </c>
      <c r="AB558" s="136" t="n">
        <f aca="false" ca="false" dt2D="false" dtr="false" t="normal">MID(K556, 3, 1)</f>
        <v>0</v>
      </c>
      <c r="AC558" s="137" t="n">
        <f aca="false" ca="false" dt2D="false" dtr="false" t="normal">AB558</f>
        <v>0</v>
      </c>
      <c r="AD558" s="120" t="s">
        <v>195</v>
      </c>
      <c r="AE558" s="139" t="s">
        <v>2141</v>
      </c>
      <c r="AF558" s="136" t="n">
        <f aca="false" ca="false" dt2D="false" dtr="false" t="normal">MID(L556, 3, 1)</f>
        <v>0</v>
      </c>
      <c r="AG558" s="137" t="n">
        <f aca="false" ca="false" dt2D="false" dtr="false" t="normal">AF558</f>
        <v>0</v>
      </c>
      <c r="AH558" s="120" t="s">
        <v>195</v>
      </c>
      <c r="AI558" s="139" t="s">
        <v>2142</v>
      </c>
      <c r="AJ558" s="5679" t="s"/>
      <c r="AK558" s="5680" t="s"/>
      <c r="AL558" s="5681" t="s"/>
    </row>
    <row hidden="false" ht="15.75" outlineLevel="0" r="559">
      <c r="C559" s="98" t="n"/>
      <c r="N559" s="63" t="n"/>
      <c r="P559" s="5682" t="s"/>
      <c r="Q559" s="142" t="s"/>
      <c r="R559" s="142" t="s"/>
      <c r="S559" s="5683" t="s"/>
      <c r="T559" s="5684" t="s"/>
      <c r="U559" s="142" t="s"/>
      <c r="V559" s="142" t="s"/>
      <c r="W559" s="5685" t="s"/>
      <c r="X559" s="136" t="n">
        <f aca="false" ca="false" dt2D="false" dtr="false" t="normal">MID(J556, 4, 1)</f>
        <v>0</v>
      </c>
      <c r="Y559" s="137" t="n">
        <f aca="false" ca="false" dt2D="false" dtr="false" t="normal">X559</f>
        <v>0</v>
      </c>
      <c r="Z559" s="120" t="s">
        <v>197</v>
      </c>
      <c r="AA559" s="139" t="s">
        <v>2143</v>
      </c>
      <c r="AB559" s="136" t="n">
        <f aca="false" ca="false" dt2D="false" dtr="false" t="normal">MID(K556, 4, 1)</f>
        <v>0</v>
      </c>
      <c r="AC559" s="137" t="n">
        <f aca="false" ca="false" dt2D="false" dtr="false" t="normal">AB559</f>
        <v>0</v>
      </c>
      <c r="AD559" s="120" t="s">
        <v>197</v>
      </c>
      <c r="AE559" s="139" t="s">
        <v>2144</v>
      </c>
      <c r="AF559" s="136" t="n">
        <f aca="false" ca="false" dt2D="false" dtr="false" t="normal">MID(L556, 4, 1)</f>
        <v>0</v>
      </c>
      <c r="AG559" s="137" t="n">
        <f aca="false" ca="false" dt2D="false" dtr="false" t="normal">AF559</f>
        <v>0</v>
      </c>
      <c r="AH559" s="120" t="s">
        <v>197</v>
      </c>
      <c r="AI559" s="139" t="s">
        <v>2145</v>
      </c>
      <c r="AJ559" s="5686" t="s"/>
      <c r="AK559" s="5687" t="s"/>
      <c r="AL559" s="5688" t="s"/>
    </row>
    <row hidden="false" ht="15.75" outlineLevel="0" r="560">
      <c r="C560" s="98" t="s">
        <v>176</v>
      </c>
      <c r="D560" s="159" t="str">
        <f aca="false" ca="false" dt2D="false" dtr="false" t="normal">D555</f>
        <v/>
      </c>
      <c r="E560" s="160" t="str">
        <f aca="false" ca="false" dt2D="false" dtr="false" t="normal">E555</f>
        <v/>
      </c>
      <c r="F560" s="160" t="str">
        <f aca="false" ca="false" dt2D="false" dtr="false" t="normal">F555</f>
        <v/>
      </c>
      <c r="G560" s="161" t="str">
        <f aca="false" ca="false" dt2D="false" dtr="false" t="normal">G555</f>
        <v/>
      </c>
      <c r="H560" s="2540" t="str">
        <f aca="false" ca="false" dt2D="false" dtr="false" t="normal">H555</f>
        <v/>
      </c>
      <c r="I560" s="1916" t="str">
        <f aca="false" ca="false" dt2D="false" dtr="false" t="normal">I555</f>
        <v/>
      </c>
      <c r="J560" s="164" t="str">
        <f aca="false" ca="false" dt2D="false" dtr="false" t="normal">IF(J412="", "", BIN2HEX(J561, 2))</f>
        <v/>
      </c>
      <c r="K560" s="165" t="str">
        <f aca="false" ca="false" dt2D="false" dtr="false" t="normal">IF(J412="", "", BIN2HEX(K561, 2))</f>
        <v/>
      </c>
      <c r="L560" s="288" t="str">
        <f aca="false" ca="false" dt2D="false" dtr="false" t="normal">IF(J412="", "", BIN2HEX(L561, 2))</f>
        <v/>
      </c>
      <c r="M560" s="166" t="str">
        <f aca="false" ca="false" dt2D="false" dtr="false" t="normal">IF(J412="", "", IF(LEN(M561)&gt;2, MID(M561, 2, 2), M561))</f>
        <v/>
      </c>
      <c r="N560" s="63" t="s">
        <v>181</v>
      </c>
      <c r="P560" s="5689" t="s"/>
      <c r="Q560" s="142" t="s"/>
      <c r="R560" s="142" t="s"/>
      <c r="S560" s="5690" t="s"/>
      <c r="T560" s="5691" t="s"/>
      <c r="U560" s="142" t="s"/>
      <c r="V560" s="142" t="s"/>
      <c r="W560" s="5692" t="s"/>
      <c r="X560" s="136" t="n">
        <f aca="false" ca="false" dt2D="false" dtr="false" t="normal">MID(J556, 5, 1)</f>
        <v>0</v>
      </c>
      <c r="Y560" s="137" t="n">
        <f aca="false" ca="false" dt2D="false" dtr="false" t="normal">X560</f>
        <v>0</v>
      </c>
      <c r="Z560" s="120" t="s">
        <v>200</v>
      </c>
      <c r="AA560" s="139" t="s">
        <v>2146</v>
      </c>
      <c r="AB560" s="136" t="n">
        <f aca="false" ca="false" dt2D="false" dtr="false" t="normal">MID(K556, 5, 1)</f>
        <v>0</v>
      </c>
      <c r="AC560" s="137" t="n">
        <f aca="false" ca="false" dt2D="false" dtr="false" t="normal">AB560</f>
        <v>0</v>
      </c>
      <c r="AD560" s="120" t="s">
        <v>200</v>
      </c>
      <c r="AE560" s="139" t="s">
        <v>2147</v>
      </c>
      <c r="AF560" s="136" t="n">
        <f aca="false" ca="false" dt2D="false" dtr="false" t="normal">MID(L556, 5, 1)</f>
        <v>0</v>
      </c>
      <c r="AG560" s="137" t="n">
        <f aca="false" ca="false" dt2D="false" dtr="false" t="normal">AF560</f>
        <v>0</v>
      </c>
      <c r="AH560" s="120" t="s">
        <v>200</v>
      </c>
      <c r="AI560" s="139" t="s">
        <v>2148</v>
      </c>
      <c r="AJ560" s="5693" t="s"/>
      <c r="AK560" s="5694" t="s"/>
      <c r="AL560" s="5695" t="s"/>
    </row>
    <row hidden="false" ht="15" outlineLevel="0" r="561">
      <c r="C561" s="98" t="s">
        <v>185</v>
      </c>
      <c r="D561" s="53" t="n">
        <f aca="false" ca="false" dt2D="false" dtr="false" t="normal">HEX2BIN(D560, 8)</f>
        <v>0</v>
      </c>
      <c r="E561" s="53" t="n">
        <f aca="false" ca="false" dt2D="false" dtr="false" t="normal">HEX2BIN(E560, 8)</f>
        <v>0</v>
      </c>
      <c r="F561" s="53" t="n">
        <f aca="false" ca="false" dt2D="false" dtr="false" t="normal">HEX2BIN(F560, 8)</f>
        <v>0</v>
      </c>
      <c r="G561" s="53" t="n">
        <f aca="false" ca="false" dt2D="false" dtr="false" t="normal">HEX2BIN(G560, 8)</f>
        <v>0</v>
      </c>
      <c r="H561" s="171" t="n"/>
      <c r="I561" s="53" t="n"/>
      <c r="J561" s="171" t="n">
        <f aca="false" ca="false" dt2D="false" dtr="false" t="normal">Y556&amp;Y557&amp;Y558&amp;Y559&amp;Y560&amp;Y561&amp;Y562&amp;Y563</f>
        <v>0</v>
      </c>
      <c r="K561" s="171" t="n">
        <f aca="false" ca="false" dt2D="false" dtr="false" t="normal">AC556&amp;AC557&amp;AC558&amp;AC559&amp;AC560&amp;AC561&amp;AC562&amp;AC563</f>
        <v>0</v>
      </c>
      <c r="L561" s="53" t="n">
        <f aca="false" ca="false" dt2D="false" dtr="false" t="normal">AG556&amp;AG557&amp;AG558&amp;AG559&amp;AG560&amp;AG561&amp;AG562&amp;AG563</f>
        <v>0</v>
      </c>
      <c r="M561" s="53" t="n">
        <f aca="false" ca="false" dt2D="false" dtr="false" t="normal">DEC2HEX(M562)</f>
        <v>0</v>
      </c>
      <c r="N561" s="63" t="n"/>
      <c r="P561" s="5696" t="s"/>
      <c r="Q561" s="142" t="s"/>
      <c r="R561" s="142" t="s"/>
      <c r="S561" s="5697" t="s"/>
      <c r="T561" s="5698" t="s"/>
      <c r="U561" s="142" t="s"/>
      <c r="V561" s="142" t="s"/>
      <c r="W561" s="5699" t="s"/>
      <c r="X561" s="136" t="n">
        <f aca="false" ca="false" dt2D="false" dtr="false" t="normal">MID(J556, 6, 1)</f>
        <v>0</v>
      </c>
      <c r="Y561" s="137" t="n">
        <f aca="false" ca="false" dt2D="false" dtr="false" t="normal">X561</f>
        <v>0</v>
      </c>
      <c r="Z561" s="120" t="s">
        <v>203</v>
      </c>
      <c r="AA561" s="139" t="s">
        <v>2149</v>
      </c>
      <c r="AB561" s="136" t="n">
        <f aca="false" ca="false" dt2D="false" dtr="false" t="normal">MID(K556, 6, 1)</f>
        <v>0</v>
      </c>
      <c r="AC561" s="137" t="n">
        <f aca="false" ca="false" dt2D="false" dtr="false" t="normal">AB561</f>
        <v>0</v>
      </c>
      <c r="AD561" s="120" t="s">
        <v>203</v>
      </c>
      <c r="AE561" s="139" t="s">
        <v>2150</v>
      </c>
      <c r="AF561" s="136" t="n">
        <f aca="false" ca="false" dt2D="false" dtr="false" t="normal">MID(L556, 6, 1)</f>
        <v>0</v>
      </c>
      <c r="AG561" s="137" t="n">
        <f aca="false" ca="false" dt2D="false" dtr="false" t="normal">AF561</f>
        <v>0</v>
      </c>
      <c r="AH561" s="120" t="s">
        <v>203</v>
      </c>
      <c r="AI561" s="139" t="s">
        <v>2151</v>
      </c>
      <c r="AJ561" s="5700" t="s"/>
      <c r="AK561" s="5701" t="s"/>
      <c r="AL561" s="5702" t="s"/>
    </row>
    <row hidden="false" ht="15" outlineLevel="0" r="562">
      <c r="C562" s="98" t="s">
        <v>191</v>
      </c>
      <c r="D562" s="53" t="n">
        <f aca="false" ca="false" dt2D="false" dtr="false" t="normal">HEX2DEC(D560)</f>
        <v>0</v>
      </c>
      <c r="E562" s="53" t="n">
        <f aca="false" ca="false" dt2D="false" dtr="false" t="normal">HEX2DEC(E560)</f>
        <v>0</v>
      </c>
      <c r="F562" s="53" t="n">
        <f aca="false" ca="false" dt2D="false" dtr="false" t="normal">HEX2DEC(F560)</f>
        <v>0</v>
      </c>
      <c r="G562" s="53" t="n">
        <f aca="false" ca="false" dt2D="false" dtr="false" t="normal">HEX2DEC(G560)</f>
        <v>0</v>
      </c>
      <c r="H562" s="53" t="n">
        <f aca="false" ca="false" dt2D="false" dtr="false" t="normal">HEX2DEC(H560)</f>
        <v>0</v>
      </c>
      <c r="I562" s="53" t="n">
        <f aca="false" ca="false" dt2D="false" dtr="false" t="normal">HEX2DEC(I560)</f>
        <v>0</v>
      </c>
      <c r="J562" s="53" t="n">
        <f aca="false" ca="false" dt2D="false" dtr="false" t="normal">HEX2DEC(J560)</f>
        <v>0</v>
      </c>
      <c r="K562" s="53" t="n">
        <f aca="false" ca="false" dt2D="false" dtr="false" t="normal">HEX2DEC(K560)</f>
        <v>0</v>
      </c>
      <c r="L562" s="53" t="n">
        <f aca="false" ca="false" dt2D="false" dtr="false" t="normal">HEX2DEC(L560)</f>
        <v>0</v>
      </c>
      <c r="M562" s="53" t="n">
        <f aca="false" ca="false" dt2D="false" dtr="false" t="normal">SUM(D562:L562)</f>
        <v>0</v>
      </c>
      <c r="N562" s="63" t="n"/>
      <c r="P562" s="5703" t="s"/>
      <c r="Q562" s="142" t="s"/>
      <c r="R562" s="142" t="s"/>
      <c r="S562" s="5704" t="s"/>
      <c r="T562" s="5705" t="s"/>
      <c r="U562" s="142" t="s"/>
      <c r="V562" s="142" t="s"/>
      <c r="W562" s="5706" t="s"/>
      <c r="X562" s="136" t="n">
        <f aca="false" ca="false" dt2D="false" dtr="false" t="normal">MID(J556, 7, 1)</f>
        <v>0</v>
      </c>
      <c r="Y562" s="137" t="n">
        <f aca="false" ca="false" dt2D="false" dtr="false" t="normal">X562</f>
        <v>0</v>
      </c>
      <c r="Z562" s="120" t="s">
        <v>206</v>
      </c>
      <c r="AA562" s="139" t="s">
        <v>2152</v>
      </c>
      <c r="AB562" s="136" t="n">
        <f aca="false" ca="false" dt2D="false" dtr="false" t="normal">MID(K556, 7, 1)</f>
        <v>0</v>
      </c>
      <c r="AC562" s="137" t="n">
        <f aca="false" ca="false" dt2D="false" dtr="false" t="normal">AB562</f>
        <v>0</v>
      </c>
      <c r="AD562" s="120" t="s">
        <v>206</v>
      </c>
      <c r="AE562" s="139" t="s">
        <v>2153</v>
      </c>
      <c r="AF562" s="136" t="n">
        <f aca="false" ca="false" dt2D="false" dtr="false" t="normal">MID(L556, 7, 1)</f>
        <v>0</v>
      </c>
      <c r="AG562" s="137" t="n">
        <f aca="false" ca="false" dt2D="false" dtr="false" t="normal">AF562</f>
        <v>0</v>
      </c>
      <c r="AH562" s="120" t="s">
        <v>206</v>
      </c>
      <c r="AI562" s="139" t="s">
        <v>2154</v>
      </c>
      <c r="AJ562" s="5707" t="s"/>
      <c r="AK562" s="5708" t="s"/>
      <c r="AL562" s="5709" t="s"/>
    </row>
    <row hidden="false" ht="15.75" outlineLevel="0" r="563">
      <c r="C563" s="180" t="s">
        <v>194</v>
      </c>
      <c r="D563" s="299" t="str">
        <f aca="false" ca="false" dt2D="false" dtr="false" t="normal">D558</f>
        <v/>
      </c>
      <c r="E563" s="299" t="str">
        <f aca="false" ca="false" dt2D="false" dtr="false" t="normal">E558</f>
        <v/>
      </c>
      <c r="F563" s="299" t="str">
        <f aca="false" ca="false" dt2D="false" dtr="false" t="normal">F558</f>
        <v/>
      </c>
      <c r="G563" s="299" t="str">
        <f aca="false" ca="false" dt2D="false" dtr="false" t="normal">G558</f>
        <v/>
      </c>
      <c r="H563" s="45" t="n"/>
      <c r="I563" s="45" t="n"/>
      <c r="J563" s="45" t="n"/>
      <c r="K563" s="45" t="n"/>
      <c r="L563" s="45" t="n"/>
      <c r="M563" s="45" t="n"/>
      <c r="N563" s="49" t="n"/>
      <c r="P563" s="5710" t="s"/>
      <c r="Q563" s="5711" t="s"/>
      <c r="R563" s="5712" t="s"/>
      <c r="S563" s="5713" t="s"/>
      <c r="T563" s="5714" t="s"/>
      <c r="U563" s="5715" t="s"/>
      <c r="V563" s="5716" t="s"/>
      <c r="W563" s="5717" t="s"/>
      <c r="X563" s="182" t="n">
        <f aca="false" ca="false" dt2D="false" dtr="false" t="normal">MID(J556, 8, 1)</f>
        <v>0</v>
      </c>
      <c r="Y563" s="183" t="n">
        <f aca="false" ca="false" dt2D="false" dtr="false" t="normal">X563</f>
        <v>0</v>
      </c>
      <c r="Z563" s="184" t="s">
        <v>208</v>
      </c>
      <c r="AA563" s="187" t="s">
        <v>2155</v>
      </c>
      <c r="AB563" s="182" t="n">
        <f aca="false" ca="false" dt2D="false" dtr="false" t="normal">MID(K556, 8, 1)</f>
        <v>0</v>
      </c>
      <c r="AC563" s="183" t="n">
        <f aca="false" ca="false" dt2D="false" dtr="false" t="normal">AB563</f>
        <v>0</v>
      </c>
      <c r="AD563" s="184" t="s">
        <v>208</v>
      </c>
      <c r="AE563" s="187" t="s">
        <v>2156</v>
      </c>
      <c r="AF563" s="182" t="n">
        <f aca="false" ca="false" dt2D="false" dtr="false" t="normal">MID(L556, 8, 1)</f>
        <v>0</v>
      </c>
      <c r="AG563" s="183" t="n">
        <f aca="false" ca="false" dt2D="false" dtr="false" t="normal">AF563</f>
        <v>0</v>
      </c>
      <c r="AH563" s="184" t="s">
        <v>208</v>
      </c>
      <c r="AI563" s="187" t="s">
        <v>2157</v>
      </c>
      <c r="AJ563" s="5718" t="s"/>
      <c r="AK563" s="5719" t="s"/>
      <c r="AL563" s="5720" t="s"/>
    </row>
    <row hidden="false" ht="15.75" outlineLevel="0" r="564">
      <c r="C564" s="93" t="n"/>
      <c r="D564" s="94" t="n"/>
      <c r="E564" s="94" t="n"/>
      <c r="F564" s="94" t="n"/>
      <c r="G564" s="94" t="n"/>
      <c r="H564" s="94" t="n"/>
      <c r="I564" s="94" t="n"/>
      <c r="J564" s="94" t="n"/>
      <c r="K564" s="94" t="n"/>
      <c r="L564" s="94" t="n"/>
      <c r="M564" s="94" t="s">
        <v>161</v>
      </c>
      <c r="N564" s="60" t="n"/>
      <c r="P564" s="95" t="str">
        <f aca="false" ca="false" dt2D="false" dtr="false" t="normal">RIGHT(D566, 1)&amp;E566&amp;"-"&amp;F566&amp;"-"&amp;G566</f>
        <v>--</v>
      </c>
      <c r="Q564" s="5721" t="s"/>
      <c r="R564" s="234" t="s">
        <v>2158</v>
      </c>
      <c r="S564" s="5722" t="s"/>
      <c r="T564" s="5723" t="s"/>
      <c r="U564" s="5724" t="s"/>
      <c r="V564" s="5725" t="s"/>
      <c r="W564" s="5726" t="s"/>
      <c r="X564" s="5727" t="s"/>
      <c r="Y564" s="5728" t="s"/>
      <c r="Z564" s="5729" t="s"/>
      <c r="AA564" s="5730" t="s"/>
      <c r="AB564" s="5731" t="s"/>
      <c r="AC564" s="5732" t="s"/>
      <c r="AD564" s="5733" t="s"/>
      <c r="AE564" s="5734" t="s"/>
      <c r="AF564" s="5735" t="s"/>
      <c r="AG564" s="5736" t="s"/>
      <c r="AH564" s="5737" t="s"/>
      <c r="AI564" s="5738" t="s"/>
      <c r="AJ564" s="5739" t="s"/>
      <c r="AK564" s="5740" t="s"/>
      <c r="AL564" s="5741" t="s"/>
    </row>
    <row hidden="false" ht="15.75" outlineLevel="0" r="565">
      <c r="C565" s="98" t="n"/>
      <c r="D565" s="99" t="s">
        <v>2159</v>
      </c>
      <c r="E565" s="5742" t="s"/>
      <c r="F565" s="5743" t="s"/>
      <c r="G565" s="5744" t="s"/>
      <c r="H565" s="53" t="s">
        <v>165</v>
      </c>
      <c r="I565" s="53" t="s">
        <v>166</v>
      </c>
      <c r="J565" s="53" t="s">
        <v>167</v>
      </c>
      <c r="K565" s="53" t="s">
        <v>168</v>
      </c>
      <c r="L565" s="53" t="s">
        <v>169</v>
      </c>
      <c r="M565" s="53" t="s">
        <v>221</v>
      </c>
      <c r="N565" s="63" t="n"/>
      <c r="P565" s="103" t="s">
        <v>2160</v>
      </c>
      <c r="Q565" s="5745" t="s"/>
      <c r="R565" s="5746" t="s"/>
      <c r="S565" s="5747" t="s"/>
      <c r="T565" s="103" t="s">
        <v>2161</v>
      </c>
      <c r="U565" s="5748" t="s"/>
      <c r="V565" s="5749" t="s"/>
      <c r="W565" s="5750" t="s"/>
      <c r="X565" s="103" t="s">
        <v>2162</v>
      </c>
      <c r="Y565" s="5751" t="s"/>
      <c r="Z565" s="5752" t="s"/>
      <c r="AA565" s="5753" t="s"/>
      <c r="AB565" s="103" t="s">
        <v>2163</v>
      </c>
      <c r="AC565" s="5754" t="s"/>
      <c r="AD565" s="5755" t="s"/>
      <c r="AE565" s="5756" t="s"/>
      <c r="AF565" s="103" t="s">
        <v>2164</v>
      </c>
      <c r="AG565" s="5757" t="s"/>
      <c r="AH565" s="5758" t="s"/>
      <c r="AI565" s="5759" t="s"/>
      <c r="AJ565" s="103" t="s">
        <v>2165</v>
      </c>
      <c r="AK565" s="5760" t="s"/>
      <c r="AL565" s="5761" t="s"/>
    </row>
    <row hidden="false" ht="15.75" outlineLevel="0" r="566">
      <c r="C566" s="98" t="s">
        <v>176</v>
      </c>
      <c r="D566" s="122" t="str">
        <f aca="false" ca="false" dt2D="false" dtr="false" t="normal">IF(J412="", "", 7)</f>
        <v/>
      </c>
      <c r="E566" s="123" t="str">
        <f aca="false" ca="false" dt2D="false" dtr="false" t="normal">IF(J412="", "", 20)</f>
        <v/>
      </c>
      <c r="F566" s="123" t="str">
        <f aca="false" ca="false" dt2D="false" dtr="false" t="normal">IF(J412="", "", 4)</f>
        <v/>
      </c>
      <c r="G566" s="124" t="str">
        <f aca="false" ca="false" dt2D="false" dtr="false" t="normal">IF(J412="", "", 42)</f>
        <v/>
      </c>
      <c r="H566" s="1819" t="str">
        <f aca="false" ca="false" dt2D="false" dtr="false" ref="H566:H566" t="array">_XLFN.IFNA(MID(INDEX($A$3:$A$70, IF(ISNA(MATCH("720G4IA*", $A$3:$A$70, 0))=TRUE, MATCH("7200442*", $A$3:$A$70, 0), MATCH("720G4IA*", $A$3:$A$70, 0))), $AU$8, 2), "")</f>
        <v/>
      </c>
      <c r="I566" s="1820" t="str">
        <f aca="false" ca="false" dt2D="false" dtr="false" ref="I566:I566" t="array">_XLFN.IFNA(MID(INDEX($A$3:$A$70, IF(ISNA(MATCH("720G4IA*", $A$3:$A$70, 0))=TRUE, MATCH("7200442*", $A$3:$A$70, 0), MATCH("720G4IA*", $A$3:$A$70, 0))), $AV$8, 2), "")</f>
        <v/>
      </c>
      <c r="J566" s="164" t="str">
        <f aca="false" ca="false" dt2D="false" dtr="false" ref="J566:J566" t="array">_XLFN.IFNA(MID(INDEX($A$3:$A$70, IF(ISNA(MATCH("720G4IA*", $A$3:$A$70, 0))=TRUE, MATCH("7200442*", $A$3:$A$70, 0), MATCH("720G4IA*", $A$3:$A$70, 0))), $AW$8, 2), "")</f>
        <v/>
      </c>
      <c r="K566" s="1820" t="str">
        <f aca="false" ca="false" dt2D="false" dtr="false" ref="K566:K566" t="array">_XLFN.IFNA(MID(INDEX($A$3:$A$70, IF(ISNA(MATCH("720G4IA*", $A$3:$A$70, 0))=TRUE, MATCH("7200442*", $A$3:$A$70, 0), MATCH("720G4IA*", $A$3:$A$70, 0))), $AX$8, 2), "")</f>
        <v/>
      </c>
      <c r="L566" s="1821" t="str">
        <f aca="false" ca="false" dt2D="false" dtr="false" ref="L566:L566" t="array">_XLFN.IFNA(MID(INDEX($A$3:$A$70, IF(ISNA(MATCH("720G4IA*", $A$3:$A$70, 0))=TRUE, MATCH("7200442*", $A$3:$A$70, 0), MATCH("720G4IA*", $A$3:$A$70, 0))), $AY$8, 2), "")</f>
        <v/>
      </c>
      <c r="M566" s="218" t="str">
        <f aca="false" ca="false" dt2D="false" dtr="false" ref="M566:M566" t="array">_XLFN.IFNA(MID(INDEX($A$3:$A$70, IF(ISNA(MATCH("720G4IA*", $A$3:$A$70, 0))=TRUE, MATCH("7200442*", $A$3:$A$70, 0), MATCH("720G4IA*", $A$3:$A$70, 0))), $AZ$8, 2), "")</f>
        <v/>
      </c>
      <c r="N566" s="63" t="s">
        <v>180</v>
      </c>
      <c r="P566" s="129" t="s">
        <v>180</v>
      </c>
      <c r="Q566" s="130" t="s">
        <v>181</v>
      </c>
      <c r="R566" s="121" t="s">
        <v>182</v>
      </c>
      <c r="S566" s="131" t="n"/>
      <c r="T566" s="129" t="s">
        <v>180</v>
      </c>
      <c r="U566" s="130" t="s">
        <v>181</v>
      </c>
      <c r="V566" s="121" t="s">
        <v>182</v>
      </c>
      <c r="W566" s="131" t="n"/>
      <c r="X566" s="129" t="s">
        <v>180</v>
      </c>
      <c r="Y566" s="130" t="s">
        <v>181</v>
      </c>
      <c r="Z566" s="121" t="s">
        <v>182</v>
      </c>
      <c r="AA566" s="131" t="n"/>
      <c r="AB566" s="116" t="n"/>
      <c r="AC566" s="5762" t="s"/>
      <c r="AD566" s="5763" t="s"/>
      <c r="AE566" s="5764" t="s"/>
      <c r="AF566" s="116" t="n"/>
      <c r="AG566" s="5765" t="s"/>
      <c r="AH566" s="5766" t="s"/>
      <c r="AI566" s="5767" t="s"/>
      <c r="AJ566" s="116" t="s">
        <v>183</v>
      </c>
      <c r="AK566" s="5768" t="s"/>
      <c r="AL566" s="5769" t="s"/>
    </row>
    <row hidden="false" ht="15" outlineLevel="0" r="567">
      <c r="C567" s="98" t="s">
        <v>185</v>
      </c>
      <c r="D567" s="53" t="n">
        <f aca="false" ca="false" dt2D="false" dtr="false" t="normal">HEX2BIN(D566, 8)</f>
        <v>0</v>
      </c>
      <c r="E567" s="53" t="n">
        <f aca="false" ca="false" dt2D="false" dtr="false" t="normal">HEX2BIN(E566, 8)</f>
        <v>0</v>
      </c>
      <c r="F567" s="53" t="n">
        <f aca="false" ca="false" dt2D="false" dtr="false" t="normal">HEX2BIN(F566, 8)</f>
        <v>0</v>
      </c>
      <c r="G567" s="53" t="n">
        <f aca="false" ca="false" dt2D="false" dtr="false" t="normal">HEX2BIN(G566, 8)</f>
        <v>0</v>
      </c>
      <c r="H567" s="53" t="n">
        <f aca="false" ca="false" dt2D="false" dtr="false" t="normal">HEX2BIN(H566, 8)</f>
        <v>0</v>
      </c>
      <c r="I567" s="53" t="n">
        <f aca="false" ca="false" dt2D="false" dtr="false" t="normal">HEX2BIN(I566, 8)</f>
        <v>0</v>
      </c>
      <c r="J567" s="53" t="n">
        <f aca="false" ca="false" dt2D="false" dtr="false" t="normal">HEX2BIN(J566, 8)</f>
        <v>0</v>
      </c>
      <c r="K567" s="53" t="n">
        <f aca="false" ca="false" dt2D="false" dtr="false" t="normal">HEX2BIN(K566, 8)</f>
        <v>0</v>
      </c>
      <c r="L567" s="53" t="n">
        <f aca="false" ca="false" dt2D="false" dtr="false" t="normal">HEX2BIN(L566, 8)</f>
        <v>0</v>
      </c>
      <c r="N567" s="63" t="n"/>
      <c r="P567" s="136" t="n">
        <f aca="false" ca="false" dt2D="false" dtr="false" t="normal">MID(H567, 1, 1)</f>
        <v>0</v>
      </c>
      <c r="Q567" s="137" t="n">
        <f aca="false" ca="false" dt2D="false" dtr="false" t="normal">P567</f>
        <v>0</v>
      </c>
      <c r="R567" s="120" t="s">
        <v>186</v>
      </c>
      <c r="S567" s="139" t="s">
        <v>2166</v>
      </c>
      <c r="T567" s="136" t="n">
        <f aca="false" ca="false" dt2D="false" dtr="false" t="normal">MID(I567, 1, 1)</f>
        <v>0</v>
      </c>
      <c r="U567" s="137" t="n">
        <f aca="false" ca="false" dt2D="false" dtr="false" t="normal">T567</f>
        <v>0</v>
      </c>
      <c r="V567" s="120" t="s">
        <v>186</v>
      </c>
      <c r="W567" s="139" t="s">
        <v>2167</v>
      </c>
      <c r="X567" s="136" t="n">
        <f aca="false" ca="false" dt2D="false" dtr="false" t="normal">MID(J567, 1, 1)</f>
        <v>0</v>
      </c>
      <c r="Y567" s="137" t="n">
        <f aca="false" ca="false" dt2D="false" dtr="false" t="normal">X567</f>
        <v>0</v>
      </c>
      <c r="Z567" s="120" t="s">
        <v>186</v>
      </c>
      <c r="AA567" s="139" t="s">
        <v>2168</v>
      </c>
      <c r="AB567" s="5770" t="s"/>
      <c r="AC567" s="142" t="s"/>
      <c r="AD567" s="142" t="s"/>
      <c r="AE567" s="5771" t="s"/>
      <c r="AF567" s="5772" t="s"/>
      <c r="AG567" s="142" t="s"/>
      <c r="AH567" s="142" t="s"/>
      <c r="AI567" s="5773" t="s"/>
      <c r="AJ567" s="5774" t="s"/>
      <c r="AK567" s="5775" t="s"/>
      <c r="AL567" s="5776" t="s"/>
    </row>
    <row hidden="false" ht="15" outlineLevel="0" r="568">
      <c r="C568" s="98" t="s">
        <v>191</v>
      </c>
      <c r="D568" s="53" t="n">
        <f aca="false" ca="false" dt2D="false" dtr="false" t="normal">HEX2DEC(D566)</f>
        <v>0</v>
      </c>
      <c r="E568" s="53" t="n">
        <f aca="false" ca="false" dt2D="false" dtr="false" t="normal">HEX2DEC(E566)</f>
        <v>0</v>
      </c>
      <c r="F568" s="53" t="n">
        <f aca="false" ca="false" dt2D="false" dtr="false" t="normal">HEX2DEC(F566)</f>
        <v>0</v>
      </c>
      <c r="G568" s="53" t="n">
        <f aca="false" ca="false" dt2D="false" dtr="false" t="normal">HEX2DEC(G566)</f>
        <v>0</v>
      </c>
      <c r="H568" s="53" t="n">
        <f aca="false" ca="false" dt2D="false" dtr="false" t="normal">HEX2DEC(H566)</f>
        <v>0</v>
      </c>
      <c r="I568" s="53" t="n">
        <f aca="false" ca="false" dt2D="false" dtr="false" t="normal">HEX2DEC(I566)</f>
        <v>0</v>
      </c>
      <c r="J568" s="53" t="n">
        <f aca="false" ca="false" dt2D="false" dtr="false" t="normal">HEX2DEC(J566)</f>
        <v>0</v>
      </c>
      <c r="K568" s="53" t="n">
        <f aca="false" ca="false" dt2D="false" dtr="false" t="normal">HEX2DEC(K566)</f>
        <v>0</v>
      </c>
      <c r="L568" s="53" t="n">
        <f aca="false" ca="false" dt2D="false" dtr="false" t="normal">HEX2DEC(L566)</f>
        <v>0</v>
      </c>
      <c r="M568" s="53" t="n">
        <f aca="false" ca="false" dt2D="false" dtr="false" t="normal">SUM(D568:L568)</f>
        <v>0</v>
      </c>
      <c r="N568" s="63" t="n"/>
      <c r="P568" s="136" t="n">
        <f aca="false" ca="false" dt2D="false" dtr="false" t="normal">MID(H567, 2, 1)</f>
        <v>0</v>
      </c>
      <c r="Q568" s="137" t="n">
        <f aca="false" ca="false" dt2D="false" dtr="false" t="normal">P568</f>
        <v>0</v>
      </c>
      <c r="R568" s="120" t="s">
        <v>192</v>
      </c>
      <c r="S568" s="139" t="s">
        <v>2169</v>
      </c>
      <c r="T568" s="136" t="n">
        <f aca="false" ca="false" dt2D="false" dtr="false" t="normal">MID(I567, 2, 1)</f>
        <v>0</v>
      </c>
      <c r="U568" s="137" t="n">
        <f aca="false" ca="false" dt2D="false" dtr="false" t="normal">T568</f>
        <v>0</v>
      </c>
      <c r="V568" s="120" t="s">
        <v>192</v>
      </c>
      <c r="W568" s="139" t="s">
        <v>2170</v>
      </c>
      <c r="X568" s="136" t="n">
        <f aca="false" ca="false" dt2D="false" dtr="false" t="normal">MID(J567, 2, 1)</f>
        <v>0</v>
      </c>
      <c r="Y568" s="137" t="n">
        <f aca="false" ca="false" dt2D="false" dtr="false" t="normal">X568</f>
        <v>0</v>
      </c>
      <c r="Z568" s="120" t="s">
        <v>192</v>
      </c>
      <c r="AA568" s="139" t="s">
        <v>2171</v>
      </c>
      <c r="AB568" s="5777" t="s"/>
      <c r="AC568" s="142" t="s"/>
      <c r="AD568" s="142" t="s"/>
      <c r="AE568" s="5778" t="s"/>
      <c r="AF568" s="5779" t="s"/>
      <c r="AG568" s="142" t="s"/>
      <c r="AH568" s="142" t="s"/>
      <c r="AI568" s="5780" t="s"/>
      <c r="AJ568" s="5781" t="s"/>
      <c r="AK568" s="5782" t="s"/>
      <c r="AL568" s="5783" t="s"/>
    </row>
    <row hidden="false" ht="15" outlineLevel="0" r="569">
      <c r="C569" s="98" t="s">
        <v>194</v>
      </c>
      <c r="D569" s="149" t="str">
        <f aca="false" ca="false" dt2D="false" dtr="false" t="normal">D566</f>
        <v/>
      </c>
      <c r="E569" s="149" t="str">
        <f aca="false" ca="false" dt2D="false" dtr="false" t="normal">E566</f>
        <v/>
      </c>
      <c r="F569" s="53" t="str">
        <f aca="false" ca="false" dt2D="false" dtr="false" t="normal">_XLFN.IFNA(MID(INDEX($A$3:$A$70, IF(ISNA(MATCH("720G4IA*", $A$3:$A$70, 0))=TRUE, MATCH("7200442*", $A$3:$A$70, 0), MATCH("720G4IA*", $A$3:$A$70, 0))), $AS$8, 2), "")</f>
        <v/>
      </c>
      <c r="G569" s="53" t="str">
        <f aca="false" ca="false" dt2D="false" dtr="false" t="normal">_XLFN.IFNA(MID(INDEX($A$3:$A$70, IF(ISNA(MATCH("720G4IA*", $A$3:$A$70, 0))=TRUE, MATCH("7200442*", $A$3:$A$70, 0), MATCH("720G4IA*", $A$3:$A$70, 0))), $AT$8, 2), "")</f>
        <v/>
      </c>
      <c r="N569" s="63" t="n"/>
      <c r="P569" s="136" t="n">
        <f aca="false" ca="false" dt2D="false" dtr="false" t="normal">MID(H567, 3, 1)</f>
        <v>0</v>
      </c>
      <c r="Q569" s="137" t="n">
        <f aca="false" ca="false" dt2D="false" dtr="false" t="normal">P569</f>
        <v>0</v>
      </c>
      <c r="R569" s="120" t="s">
        <v>195</v>
      </c>
      <c r="S569" s="139" t="s">
        <v>2172</v>
      </c>
      <c r="T569" s="136" t="n">
        <f aca="false" ca="false" dt2D="false" dtr="false" t="normal">MID(I567, 3, 1)</f>
        <v>0</v>
      </c>
      <c r="U569" s="137" t="n">
        <f aca="false" ca="false" dt2D="false" dtr="false" t="normal">T569</f>
        <v>0</v>
      </c>
      <c r="V569" s="120" t="s">
        <v>195</v>
      </c>
      <c r="W569" s="139" t="s">
        <v>2173</v>
      </c>
      <c r="X569" s="136" t="n">
        <f aca="false" ca="false" dt2D="false" dtr="false" t="normal">MID(J567, 3, 1)</f>
        <v>0</v>
      </c>
      <c r="Y569" s="137" t="n">
        <f aca="false" ca="false" dt2D="false" dtr="false" t="normal">X569</f>
        <v>0</v>
      </c>
      <c r="Z569" s="120" t="s">
        <v>195</v>
      </c>
      <c r="AA569" s="139" t="s">
        <v>2174</v>
      </c>
      <c r="AB569" s="5784" t="s"/>
      <c r="AC569" s="142" t="s"/>
      <c r="AD569" s="142" t="s"/>
      <c r="AE569" s="5785" t="s"/>
      <c r="AF569" s="5786" t="s"/>
      <c r="AG569" s="142" t="s"/>
      <c r="AH569" s="142" t="s"/>
      <c r="AI569" s="5787" t="s"/>
      <c r="AJ569" s="5788" t="s"/>
      <c r="AK569" s="5789" t="s"/>
      <c r="AL569" s="5790" t="s"/>
    </row>
    <row hidden="false" ht="15.75" outlineLevel="0" r="570">
      <c r="C570" s="98" t="n"/>
      <c r="N570" s="63" t="n"/>
      <c r="P570" s="136" t="n">
        <f aca="false" ca="false" dt2D="false" dtr="false" t="normal">MID(H567, 4, 1)</f>
        <v>0</v>
      </c>
      <c r="Q570" s="137" t="n">
        <f aca="false" ca="false" dt2D="false" dtr="false" t="normal">P570</f>
        <v>0</v>
      </c>
      <c r="R570" s="120" t="s">
        <v>197</v>
      </c>
      <c r="S570" s="139" t="s">
        <v>2175</v>
      </c>
      <c r="T570" s="136" t="n">
        <f aca="false" ca="false" dt2D="false" dtr="false" t="normal">MID(I567, 4, 1)</f>
        <v>0</v>
      </c>
      <c r="U570" s="137" t="n">
        <f aca="false" ca="false" dt2D="false" dtr="false" t="normal">T570</f>
        <v>0</v>
      </c>
      <c r="V570" s="120" t="s">
        <v>197</v>
      </c>
      <c r="W570" s="139" t="s">
        <v>2176</v>
      </c>
      <c r="X570" s="136" t="n">
        <f aca="false" ca="false" dt2D="false" dtr="false" t="normal">MID(J567, 4, 1)</f>
        <v>0</v>
      </c>
      <c r="Y570" s="137" t="n">
        <f aca="false" ca="false" dt2D="false" dtr="false" t="normal">X570</f>
        <v>0</v>
      </c>
      <c r="Z570" s="120" t="s">
        <v>197</v>
      </c>
      <c r="AA570" s="139" t="s">
        <v>2177</v>
      </c>
      <c r="AB570" s="5791" t="s"/>
      <c r="AC570" s="142" t="s"/>
      <c r="AD570" s="142" t="s"/>
      <c r="AE570" s="5792" t="s"/>
      <c r="AF570" s="5793" t="s"/>
      <c r="AG570" s="142" t="s"/>
      <c r="AH570" s="142" t="s"/>
      <c r="AI570" s="5794" t="s"/>
      <c r="AJ570" s="5795" t="s"/>
      <c r="AK570" s="5796" t="s"/>
      <c r="AL570" s="5797" t="s"/>
    </row>
    <row hidden="false" ht="15.75" outlineLevel="0" r="571">
      <c r="C571" s="98" t="s">
        <v>176</v>
      </c>
      <c r="D571" s="159" t="str">
        <f aca="false" ca="false" dt2D="false" dtr="false" t="normal">D566</f>
        <v/>
      </c>
      <c r="E571" s="160" t="str">
        <f aca="false" ca="false" dt2D="false" dtr="false" t="normal">E566</f>
        <v/>
      </c>
      <c r="F571" s="160" t="str">
        <f aca="false" ca="false" dt2D="false" dtr="false" t="normal">F566</f>
        <v/>
      </c>
      <c r="G571" s="161" t="str">
        <f aca="false" ca="false" dt2D="false" dtr="false" t="normal">G566</f>
        <v/>
      </c>
      <c r="H571" s="162" t="str">
        <f aca="false" ca="false" dt2D="false" dtr="false" t="normal">IF(J412="", "", BIN2HEX(H572, 2))</f>
        <v/>
      </c>
      <c r="I571" s="163" t="str">
        <f aca="false" ca="false" dt2D="false" dtr="false" t="normal">IF(J412="", "", BIN2HEX(I572, 2))</f>
        <v/>
      </c>
      <c r="J571" s="164" t="str">
        <f aca="false" ca="false" dt2D="false" dtr="false" t="normal">IF(J412="", "", BIN2HEX(J572, 2))</f>
        <v/>
      </c>
      <c r="K571" s="1916" t="str">
        <f aca="false" ca="false" dt2D="false" dtr="false" t="normal">K566</f>
        <v/>
      </c>
      <c r="L571" s="1917" t="str">
        <f aca="false" ca="false" dt2D="false" dtr="false" t="normal">L566</f>
        <v/>
      </c>
      <c r="M571" s="166" t="str">
        <f aca="false" ca="false" dt2D="false" dtr="false" t="normal">IF(J412="", "", IF(LEN(M572)&gt;2, MID(M572, 2, 2), M572))</f>
        <v/>
      </c>
      <c r="N571" s="63" t="s">
        <v>181</v>
      </c>
      <c r="P571" s="136" t="n">
        <f aca="false" ca="false" dt2D="false" dtr="false" t="normal">MID(H567, 5, 1)</f>
        <v>0</v>
      </c>
      <c r="Q571" s="137" t="n">
        <f aca="false" ca="false" dt2D="false" dtr="false" t="normal">P571</f>
        <v>0</v>
      </c>
      <c r="R571" s="120" t="s">
        <v>200</v>
      </c>
      <c r="S571" s="139" t="s">
        <v>2178</v>
      </c>
      <c r="T571" s="136" t="n">
        <f aca="false" ca="false" dt2D="false" dtr="false" t="normal">MID(I567, 5, 1)</f>
        <v>0</v>
      </c>
      <c r="U571" s="137" t="n">
        <f aca="false" ca="false" dt2D="false" dtr="false" t="normal">T571</f>
        <v>0</v>
      </c>
      <c r="V571" s="120" t="s">
        <v>200</v>
      </c>
      <c r="W571" s="139" t="s">
        <v>2179</v>
      </c>
      <c r="X571" s="136" t="n">
        <f aca="false" ca="false" dt2D="false" dtr="false" t="normal">MID(J567, 5, 1)</f>
        <v>0</v>
      </c>
      <c r="Y571" s="137" t="n">
        <f aca="false" ca="false" dt2D="false" dtr="false" t="normal">X571</f>
        <v>0</v>
      </c>
      <c r="Z571" s="120" t="s">
        <v>200</v>
      </c>
      <c r="AA571" s="139" t="s">
        <v>2180</v>
      </c>
      <c r="AB571" s="5798" t="s"/>
      <c r="AC571" s="142" t="s"/>
      <c r="AD571" s="142" t="s"/>
      <c r="AE571" s="5799" t="s"/>
      <c r="AF571" s="5800" t="s"/>
      <c r="AG571" s="142" t="s"/>
      <c r="AH571" s="142" t="s"/>
      <c r="AI571" s="5801" t="s"/>
      <c r="AJ571" s="5802" t="s"/>
      <c r="AK571" s="5803" t="s"/>
      <c r="AL571" s="5804" t="s"/>
    </row>
    <row hidden="false" ht="15" outlineLevel="0" r="572">
      <c r="C572" s="98" t="s">
        <v>185</v>
      </c>
      <c r="D572" s="53" t="n">
        <f aca="false" ca="false" dt2D="false" dtr="false" t="normal">HEX2BIN(D571, 8)</f>
        <v>0</v>
      </c>
      <c r="E572" s="53" t="n">
        <f aca="false" ca="false" dt2D="false" dtr="false" t="normal">HEX2BIN(E571, 8)</f>
        <v>0</v>
      </c>
      <c r="F572" s="53" t="n">
        <f aca="false" ca="false" dt2D="false" dtr="false" t="normal">HEX2BIN(F571, 8)</f>
        <v>0</v>
      </c>
      <c r="G572" s="53" t="n">
        <f aca="false" ca="false" dt2D="false" dtr="false" t="normal">HEX2BIN(G571, 8)</f>
        <v>0</v>
      </c>
      <c r="H572" s="171" t="n">
        <f aca="false" ca="false" dt2D="false" dtr="false" t="normal">Q567&amp;Q568&amp;Q569&amp;Q570&amp;Q571&amp;Q572&amp;Q573&amp;Q574</f>
        <v>0</v>
      </c>
      <c r="I572" s="53" t="n">
        <f aca="false" ca="false" dt2D="false" dtr="false" t="normal">U567&amp;U568&amp;U569&amp;U570&amp;U571&amp;U572&amp;U573&amp;U574</f>
        <v>0</v>
      </c>
      <c r="J572" s="171" t="n">
        <f aca="false" ca="false" dt2D="false" dtr="false" t="normal">Y567&amp;Y568&amp;Y569&amp;Y570&amp;Y571&amp;Y572&amp;Y573&amp;Y574</f>
        <v>0</v>
      </c>
      <c r="K572" s="171" t="n"/>
      <c r="L572" s="53" t="n"/>
      <c r="M572" s="53" t="n">
        <f aca="false" ca="false" dt2D="false" dtr="false" t="normal">DEC2HEX(M573)</f>
        <v>0</v>
      </c>
      <c r="N572" s="63" t="n"/>
      <c r="P572" s="136" t="n">
        <f aca="false" ca="false" dt2D="false" dtr="false" t="normal">MID(H567, 6, 1)</f>
        <v>0</v>
      </c>
      <c r="Q572" s="137" t="n">
        <f aca="false" ca="false" dt2D="false" dtr="false" t="normal">P572</f>
        <v>0</v>
      </c>
      <c r="R572" s="120" t="s">
        <v>203</v>
      </c>
      <c r="S572" s="139" t="s">
        <v>2181</v>
      </c>
      <c r="T572" s="136" t="n">
        <f aca="false" ca="false" dt2D="false" dtr="false" t="normal">MID(I567, 6, 1)</f>
        <v>0</v>
      </c>
      <c r="U572" s="137" t="n">
        <f aca="false" ca="false" dt2D="false" dtr="false" t="normal">T572</f>
        <v>0</v>
      </c>
      <c r="V572" s="120" t="s">
        <v>203</v>
      </c>
      <c r="W572" s="139" t="s">
        <v>2182</v>
      </c>
      <c r="X572" s="136" t="n">
        <f aca="false" ca="false" dt2D="false" dtr="false" t="normal">MID(J567, 6, 1)</f>
        <v>0</v>
      </c>
      <c r="Y572" s="137" t="n">
        <f aca="false" ca="false" dt2D="false" dtr="false" t="normal">X572</f>
        <v>0</v>
      </c>
      <c r="Z572" s="120" t="s">
        <v>203</v>
      </c>
      <c r="AA572" s="139" t="s">
        <v>2183</v>
      </c>
      <c r="AB572" s="5805" t="s"/>
      <c r="AC572" s="142" t="s"/>
      <c r="AD572" s="142" t="s"/>
      <c r="AE572" s="5806" t="s"/>
      <c r="AF572" s="5807" t="s"/>
      <c r="AG572" s="142" t="s"/>
      <c r="AH572" s="142" t="s"/>
      <c r="AI572" s="5808" t="s"/>
      <c r="AJ572" s="5809" t="s"/>
      <c r="AK572" s="5810" t="s"/>
      <c r="AL572" s="5811" t="s"/>
    </row>
    <row hidden="false" ht="15" outlineLevel="0" r="573">
      <c r="C573" s="98" t="s">
        <v>191</v>
      </c>
      <c r="D573" s="53" t="n">
        <f aca="false" ca="false" dt2D="false" dtr="false" t="normal">HEX2DEC(D571)</f>
        <v>0</v>
      </c>
      <c r="E573" s="53" t="n">
        <f aca="false" ca="false" dt2D="false" dtr="false" t="normal">HEX2DEC(E571)</f>
        <v>0</v>
      </c>
      <c r="F573" s="53" t="n">
        <f aca="false" ca="false" dt2D="false" dtr="false" t="normal">HEX2DEC(F571)</f>
        <v>0</v>
      </c>
      <c r="G573" s="53" t="n">
        <f aca="false" ca="false" dt2D="false" dtr="false" t="normal">HEX2DEC(G571)</f>
        <v>0</v>
      </c>
      <c r="H573" s="53" t="n">
        <f aca="false" ca="false" dt2D="false" dtr="false" t="normal">HEX2DEC(H571)</f>
        <v>0</v>
      </c>
      <c r="I573" s="53" t="n">
        <f aca="false" ca="false" dt2D="false" dtr="false" t="normal">HEX2DEC(I571)</f>
        <v>0</v>
      </c>
      <c r="J573" s="53" t="n">
        <f aca="false" ca="false" dt2D="false" dtr="false" t="normal">HEX2DEC(J571)</f>
        <v>0</v>
      </c>
      <c r="K573" s="53" t="n">
        <f aca="false" ca="false" dt2D="false" dtr="false" t="normal">HEX2DEC(K571)</f>
        <v>0</v>
      </c>
      <c r="L573" s="53" t="n">
        <f aca="false" ca="false" dt2D="false" dtr="false" t="normal">HEX2DEC(L571)</f>
        <v>0</v>
      </c>
      <c r="M573" s="53" t="n">
        <f aca="false" ca="false" dt2D="false" dtr="false" t="normal">SUM(D573:L573)</f>
        <v>0</v>
      </c>
      <c r="N573" s="63" t="n"/>
      <c r="P573" s="136" t="n">
        <f aca="false" ca="false" dt2D="false" dtr="false" t="normal">MID(H567, 7, 1)</f>
        <v>0</v>
      </c>
      <c r="Q573" s="137" t="n">
        <f aca="false" ca="false" dt2D="false" dtr="false" t="normal">P573</f>
        <v>0</v>
      </c>
      <c r="R573" s="120" t="s">
        <v>206</v>
      </c>
      <c r="S573" s="139" t="s">
        <v>2184</v>
      </c>
      <c r="T573" s="136" t="n">
        <f aca="false" ca="false" dt2D="false" dtr="false" t="normal">MID(I567, 7, 1)</f>
        <v>0</v>
      </c>
      <c r="U573" s="137" t="n">
        <f aca="false" ca="false" dt2D="false" dtr="false" t="normal">T573</f>
        <v>0</v>
      </c>
      <c r="V573" s="120" t="s">
        <v>206</v>
      </c>
      <c r="W573" s="139" t="s">
        <v>2185</v>
      </c>
      <c r="X573" s="136" t="n">
        <f aca="false" ca="false" dt2D="false" dtr="false" t="normal">MID(J567, 7, 1)</f>
        <v>0</v>
      </c>
      <c r="Y573" s="137" t="n">
        <f aca="false" ca="false" dt2D="false" dtr="false" t="normal">X573</f>
        <v>0</v>
      </c>
      <c r="Z573" s="120" t="s">
        <v>206</v>
      </c>
      <c r="AA573" s="139" t="s">
        <v>2186</v>
      </c>
      <c r="AB573" s="5812" t="s"/>
      <c r="AC573" s="142" t="s"/>
      <c r="AD573" s="142" t="s"/>
      <c r="AE573" s="5813" t="s"/>
      <c r="AF573" s="5814" t="s"/>
      <c r="AG573" s="142" t="s"/>
      <c r="AH573" s="142" t="s"/>
      <c r="AI573" s="5815" t="s"/>
      <c r="AJ573" s="5816" t="s"/>
      <c r="AK573" s="5817" t="s"/>
      <c r="AL573" s="5818" t="s"/>
    </row>
    <row hidden="false" ht="15.75" outlineLevel="0" r="574">
      <c r="C574" s="180" t="s">
        <v>194</v>
      </c>
      <c r="D574" s="299" t="str">
        <f aca="false" ca="false" dt2D="false" dtr="false" t="normal">D569</f>
        <v/>
      </c>
      <c r="E574" s="299" t="str">
        <f aca="false" ca="false" dt2D="false" dtr="false" t="normal">E569</f>
        <v/>
      </c>
      <c r="F574" s="299" t="str">
        <f aca="false" ca="false" dt2D="false" dtr="false" t="normal">F569</f>
        <v/>
      </c>
      <c r="G574" s="299" t="str">
        <f aca="false" ca="false" dt2D="false" dtr="false" t="normal">G569</f>
        <v/>
      </c>
      <c r="H574" s="45" t="n"/>
      <c r="I574" s="45" t="n"/>
      <c r="J574" s="45" t="n"/>
      <c r="K574" s="45" t="n"/>
      <c r="L574" s="45" t="n"/>
      <c r="M574" s="45" t="n"/>
      <c r="N574" s="49" t="n"/>
      <c r="P574" s="182" t="n">
        <f aca="false" ca="false" dt2D="false" dtr="false" t="normal">MID(H567, 8, 1)</f>
        <v>0</v>
      </c>
      <c r="Q574" s="183" t="n">
        <f aca="false" ca="false" dt2D="false" dtr="false" t="normal">P574</f>
        <v>0</v>
      </c>
      <c r="R574" s="184" t="s">
        <v>208</v>
      </c>
      <c r="S574" s="187" t="s">
        <v>2187</v>
      </c>
      <c r="T574" s="182" t="n">
        <f aca="false" ca="false" dt2D="false" dtr="false" t="normal">MID(I567, 8, 1)</f>
        <v>0</v>
      </c>
      <c r="U574" s="183" t="n">
        <f aca="false" ca="false" dt2D="false" dtr="false" t="normal">T574</f>
        <v>0</v>
      </c>
      <c r="V574" s="184" t="s">
        <v>208</v>
      </c>
      <c r="W574" s="187" t="s">
        <v>2188</v>
      </c>
      <c r="X574" s="182" t="n">
        <f aca="false" ca="false" dt2D="false" dtr="false" t="normal">MID(J567, 8, 1)</f>
        <v>0</v>
      </c>
      <c r="Y574" s="183" t="n">
        <f aca="false" ca="false" dt2D="false" dtr="false" t="normal">X574</f>
        <v>0</v>
      </c>
      <c r="Z574" s="184" t="s">
        <v>208</v>
      </c>
      <c r="AA574" s="187" t="s">
        <v>2189</v>
      </c>
      <c r="AB574" s="5819" t="s"/>
      <c r="AC574" s="5820" t="s"/>
      <c r="AD574" s="5821" t="s"/>
      <c r="AE574" s="5822" t="s"/>
      <c r="AF574" s="5823" t="s"/>
      <c r="AG574" s="5824" t="s"/>
      <c r="AH574" s="5825" t="s"/>
      <c r="AI574" s="5826" t="s"/>
      <c r="AJ574" s="5827" t="s"/>
      <c r="AK574" s="5828" t="s"/>
      <c r="AL574" s="5829" t="s"/>
    </row>
    <row hidden="false" ht="15.75" outlineLevel="0" r="575">
      <c r="C575" s="93" t="n"/>
      <c r="D575" s="94" t="n"/>
      <c r="E575" s="94" t="n"/>
      <c r="F575" s="94" t="n"/>
      <c r="G575" s="94" t="n"/>
      <c r="H575" s="94" t="n"/>
      <c r="I575" s="94" t="n"/>
      <c r="J575" s="94" t="n"/>
      <c r="K575" s="94" t="n"/>
      <c r="L575" s="94" t="n"/>
      <c r="M575" s="94" t="s">
        <v>161</v>
      </c>
      <c r="N575" s="60" t="n"/>
      <c r="P575" s="95" t="str">
        <f aca="false" ca="false" dt2D="false" dtr="false" t="normal">RIGHT(D577, 1)&amp;E577&amp;"-"&amp;F577&amp;"-"&amp;G577</f>
        <v>--</v>
      </c>
      <c r="Q575" s="5830" t="s"/>
      <c r="R575" s="234" t="s">
        <v>2190</v>
      </c>
      <c r="S575" s="5831" t="s"/>
      <c r="T575" s="5832" t="s"/>
      <c r="U575" s="5833" t="s"/>
      <c r="V575" s="5834" t="s"/>
      <c r="W575" s="5835" t="s"/>
      <c r="X575" s="5836" t="s"/>
      <c r="Y575" s="5837" t="s"/>
      <c r="Z575" s="5838" t="s"/>
      <c r="AA575" s="5839" t="s"/>
      <c r="AB575" s="5840" t="s"/>
      <c r="AC575" s="5841" t="s"/>
      <c r="AD575" s="5842" t="s"/>
      <c r="AE575" s="5843" t="s"/>
      <c r="AF575" s="5844" t="s"/>
      <c r="AG575" s="5845" t="s"/>
      <c r="AH575" s="5846" t="s"/>
      <c r="AI575" s="5847" t="s"/>
      <c r="AJ575" s="5848" t="s"/>
      <c r="AK575" s="5849" t="s"/>
      <c r="AL575" s="5850" t="s"/>
    </row>
    <row hidden="false" ht="15.75" outlineLevel="0" r="576">
      <c r="C576" s="98" t="n"/>
      <c r="D576" s="99" t="s">
        <v>2191</v>
      </c>
      <c r="E576" s="5851" t="s"/>
      <c r="F576" s="5852" t="s"/>
      <c r="G576" s="5853" t="s"/>
      <c r="H576" s="53" t="s">
        <v>165</v>
      </c>
      <c r="I576" s="53" t="s">
        <v>166</v>
      </c>
      <c r="J576" s="53" t="s">
        <v>167</v>
      </c>
      <c r="K576" s="53" t="s">
        <v>168</v>
      </c>
      <c r="L576" s="53" t="s">
        <v>169</v>
      </c>
      <c r="M576" s="53" t="s">
        <v>221</v>
      </c>
      <c r="N576" s="63" t="n"/>
      <c r="P576" s="103" t="s">
        <v>2192</v>
      </c>
      <c r="Q576" s="5854" t="s"/>
      <c r="R576" s="5855" t="s"/>
      <c r="S576" s="5856" t="s"/>
      <c r="T576" s="103" t="s">
        <v>2193</v>
      </c>
      <c r="U576" s="5857" t="s"/>
      <c r="V576" s="5858" t="s"/>
      <c r="W576" s="5859" t="s"/>
      <c r="X576" s="103" t="s">
        <v>2194</v>
      </c>
      <c r="Y576" s="5860" t="s"/>
      <c r="Z576" s="5861" t="s"/>
      <c r="AA576" s="5862" t="s"/>
      <c r="AB576" s="103" t="s">
        <v>2195</v>
      </c>
      <c r="AC576" s="5863" t="s"/>
      <c r="AD576" s="5864" t="s"/>
      <c r="AE576" s="5865" t="s"/>
      <c r="AF576" s="103" t="s">
        <v>2196</v>
      </c>
      <c r="AG576" s="5866" t="s"/>
      <c r="AH576" s="5867" t="s"/>
      <c r="AI576" s="5868" t="s"/>
      <c r="AJ576" s="103" t="s">
        <v>2197</v>
      </c>
      <c r="AK576" s="5869" t="s"/>
      <c r="AL576" s="5870" t="s"/>
    </row>
    <row hidden="false" ht="15.75" outlineLevel="0" r="577">
      <c r="C577" s="98" t="s">
        <v>176</v>
      </c>
      <c r="D577" s="122" t="str">
        <f aca="false" ca="false" dt2D="false" dtr="false" t="normal">IF(J412="", "", 7)</f>
        <v/>
      </c>
      <c r="E577" s="123" t="str">
        <f aca="false" ca="false" dt2D="false" dtr="false" t="normal">IF(J412="", "", 20)</f>
        <v/>
      </c>
      <c r="F577" s="123" t="str">
        <f aca="false" ca="false" dt2D="false" dtr="false" t="normal">IF(J412="", "", 4)</f>
        <v/>
      </c>
      <c r="G577" s="124" t="str">
        <f aca="false" ca="false" dt2D="false" dtr="false" t="normal">IF(J412="", "", 43)</f>
        <v/>
      </c>
      <c r="H577" s="1819" t="str">
        <f aca="false" ca="false" dt2D="false" dtr="false" ref="H577:H577" t="array">_XLFN.IFNA(MID(INDEX($A$3:$A$70, IF(ISNA(MATCH("720G4IB*", $A$3:$A$70, 0))=TRUE, MATCH("7200443*", $A$3:$A$70, 0), MATCH("720G4IB*", $A$3:$A$70, 0))), $AU$8, 2), "")</f>
        <v/>
      </c>
      <c r="I577" s="1820" t="str">
        <f aca="false" ca="false" dt2D="false" dtr="false" ref="I577:I577" t="array">_XLFN.IFNA(MID(INDEX($A$3:$A$70, IF(ISNA(MATCH("720G4IB*", $A$3:$A$70, 0))=TRUE, MATCH("7200443*", $A$3:$A$70, 0), MATCH("720G4IB*", $A$3:$A$70, 0))), $AV$8, 2), "")</f>
        <v/>
      </c>
      <c r="J577" s="164" t="str">
        <f aca="false" ca="false" dt2D="false" dtr="false" ref="J577:J577" t="array">_XLFN.IFNA(MID(INDEX($A$3:$A$70, IF(ISNA(MATCH("720G4IB*", $A$3:$A$70, 0))=TRUE, MATCH("7200443*", $A$3:$A$70, 0), MATCH("720G4IB*", $A$3:$A$70, 0))), $AW$8, 2), "")</f>
        <v/>
      </c>
      <c r="K577" s="1820" t="str">
        <f aca="false" ca="false" dt2D="false" dtr="false" ref="K577:K577" t="array">_XLFN.IFNA(MID(INDEX($A$3:$A$70, IF(ISNA(MATCH("720G4IB*", $A$3:$A$70, 0))=TRUE, MATCH("7200443*", $A$3:$A$70, 0), MATCH("720G4IB*", $A$3:$A$70, 0))), $AX$8, 2), "")</f>
        <v/>
      </c>
      <c r="L577" s="1821" t="str">
        <f aca="false" ca="false" dt2D="false" dtr="false" ref="L577:L577" t="array">_XLFN.IFNA(MID(INDEX($A$3:$A$70, IF(ISNA(MATCH("720G4IB*", $A$3:$A$70, 0))=TRUE, MATCH("7200443*", $A$3:$A$70, 0), MATCH("720G4IB*", $A$3:$A$70, 0))), $AY$8, 2), "")</f>
        <v/>
      </c>
      <c r="M577" s="218" t="str">
        <f aca="false" ca="false" dt2D="false" dtr="false" ref="M577:M577" t="array">_XLFN.IFNA(MID(INDEX($A$3:$A$70, IF(ISNA(MATCH("720G4IB*", $A$3:$A$70, 0))=TRUE, MATCH("7200443*", $A$3:$A$70, 0), MATCH("720G4IB*", $A$3:$A$70, 0))), $AZ$8, 2), "")</f>
        <v/>
      </c>
      <c r="N577" s="63" t="s">
        <v>180</v>
      </c>
      <c r="P577" s="129" t="s">
        <v>180</v>
      </c>
      <c r="Q577" s="130" t="s">
        <v>181</v>
      </c>
      <c r="R577" s="121" t="s">
        <v>182</v>
      </c>
      <c r="S577" s="131" t="n"/>
      <c r="T577" s="129" t="s">
        <v>180</v>
      </c>
      <c r="U577" s="130" t="s">
        <v>181</v>
      </c>
      <c r="V577" s="121" t="s">
        <v>182</v>
      </c>
      <c r="W577" s="131" t="n"/>
      <c r="X577" s="129" t="s">
        <v>180</v>
      </c>
      <c r="Y577" s="130" t="s">
        <v>181</v>
      </c>
      <c r="Z577" s="121" t="s">
        <v>182</v>
      </c>
      <c r="AA577" s="131" t="n"/>
      <c r="AB577" s="129" t="s">
        <v>180</v>
      </c>
      <c r="AC577" s="130" t="s">
        <v>181</v>
      </c>
      <c r="AD577" s="121" t="s">
        <v>182</v>
      </c>
      <c r="AE577" s="131" t="n"/>
      <c r="AF577" s="129" t="s">
        <v>180</v>
      </c>
      <c r="AG577" s="130" t="s">
        <v>181</v>
      </c>
      <c r="AH577" s="121" t="s">
        <v>182</v>
      </c>
      <c r="AI577" s="121" t="n"/>
      <c r="AJ577" s="116" t="s">
        <v>183</v>
      </c>
      <c r="AK577" s="5871" t="s"/>
      <c r="AL577" s="5872" t="s"/>
    </row>
    <row hidden="false" ht="15" outlineLevel="0" r="578">
      <c r="C578" s="98" t="s">
        <v>185</v>
      </c>
      <c r="D578" s="53" t="n">
        <f aca="false" ca="false" dt2D="false" dtr="false" t="normal">HEX2BIN(D577, 8)</f>
        <v>0</v>
      </c>
      <c r="E578" s="53" t="n">
        <f aca="false" ca="false" dt2D="false" dtr="false" t="normal">HEX2BIN(E577, 8)</f>
        <v>0</v>
      </c>
      <c r="F578" s="53" t="n">
        <f aca="false" ca="false" dt2D="false" dtr="false" t="normal">HEX2BIN(F577, 8)</f>
        <v>0</v>
      </c>
      <c r="G578" s="53" t="n">
        <f aca="false" ca="false" dt2D="false" dtr="false" t="normal">HEX2BIN(G577, 8)</f>
        <v>0</v>
      </c>
      <c r="H578" s="53" t="n">
        <f aca="false" ca="false" dt2D="false" dtr="false" t="normal">HEX2BIN(H577, 8)</f>
        <v>0</v>
      </c>
      <c r="I578" s="53" t="n">
        <f aca="false" ca="false" dt2D="false" dtr="false" t="normal">HEX2BIN(I577, 8)</f>
        <v>0</v>
      </c>
      <c r="J578" s="53" t="n">
        <f aca="false" ca="false" dt2D="false" dtr="false" t="normal">HEX2BIN(J577, 8)</f>
        <v>0</v>
      </c>
      <c r="K578" s="53" t="n">
        <f aca="false" ca="false" dt2D="false" dtr="false" t="normal">HEX2BIN(K577, 8)</f>
        <v>0</v>
      </c>
      <c r="L578" s="53" t="n">
        <f aca="false" ca="false" dt2D="false" dtr="false" t="normal">HEX2BIN(L577, 8)</f>
        <v>0</v>
      </c>
      <c r="N578" s="63" t="n"/>
      <c r="P578" s="136" t="n">
        <f aca="false" ca="false" dt2D="false" dtr="false" t="normal">MID(H578, 1, 1)</f>
        <v>0</v>
      </c>
      <c r="Q578" s="137" t="n">
        <f aca="false" ca="false" dt2D="false" dtr="false" t="normal">P578</f>
        <v>0</v>
      </c>
      <c r="R578" s="120" t="s">
        <v>186</v>
      </c>
      <c r="S578" s="139" t="s">
        <v>2198</v>
      </c>
      <c r="T578" s="136" t="n">
        <f aca="false" ca="false" dt2D="false" dtr="false" t="normal">MID(I578, 1, 1)</f>
        <v>0</v>
      </c>
      <c r="U578" s="137" t="n">
        <f aca="false" ca="false" dt2D="false" dtr="false" t="normal">T578</f>
        <v>0</v>
      </c>
      <c r="V578" s="120" t="s">
        <v>186</v>
      </c>
      <c r="W578" s="139" t="s">
        <v>2199</v>
      </c>
      <c r="X578" s="136" t="n">
        <f aca="false" ca="false" dt2D="false" dtr="false" t="normal">MID(J578, 1, 1)</f>
        <v>0</v>
      </c>
      <c r="Y578" s="137" t="n">
        <f aca="false" ca="false" dt2D="false" dtr="false" t="normal">X578</f>
        <v>0</v>
      </c>
      <c r="Z578" s="120" t="s">
        <v>186</v>
      </c>
      <c r="AA578" s="139" t="s">
        <v>2200</v>
      </c>
      <c r="AB578" s="136" t="n">
        <f aca="false" ca="false" dt2D="false" dtr="false" t="normal">MID(K578, 1, 1)</f>
        <v>0</v>
      </c>
      <c r="AC578" s="137" t="n">
        <f aca="false" ca="false" dt2D="false" dtr="false" t="normal">AB578</f>
        <v>0</v>
      </c>
      <c r="AD578" s="120" t="s">
        <v>186</v>
      </c>
      <c r="AE578" s="139" t="s">
        <v>1877</v>
      </c>
      <c r="AF578" s="136" t="n">
        <f aca="false" ca="false" dt2D="false" dtr="false" t="normal">MID(L578, 1, 1)</f>
        <v>0</v>
      </c>
      <c r="AG578" s="137" t="n">
        <f aca="false" ca="false" dt2D="false" dtr="false" t="normal">AF578</f>
        <v>0</v>
      </c>
      <c r="AH578" s="120" t="s">
        <v>186</v>
      </c>
      <c r="AI578" s="139" t="s">
        <v>2201</v>
      </c>
      <c r="AJ578" s="5873" t="s"/>
      <c r="AK578" s="5874" t="s"/>
      <c r="AL578" s="5875" t="s"/>
    </row>
    <row hidden="false" ht="15" outlineLevel="0" r="579">
      <c r="C579" s="98" t="s">
        <v>191</v>
      </c>
      <c r="D579" s="53" t="n">
        <f aca="false" ca="false" dt2D="false" dtr="false" t="normal">HEX2DEC(D577)</f>
        <v>0</v>
      </c>
      <c r="E579" s="53" t="n">
        <f aca="false" ca="false" dt2D="false" dtr="false" t="normal">HEX2DEC(E577)</f>
        <v>0</v>
      </c>
      <c r="F579" s="53" t="n">
        <f aca="false" ca="false" dt2D="false" dtr="false" t="normal">HEX2DEC(F577)</f>
        <v>0</v>
      </c>
      <c r="G579" s="53" t="n">
        <f aca="false" ca="false" dt2D="false" dtr="false" t="normal">HEX2DEC(G577)</f>
        <v>0</v>
      </c>
      <c r="H579" s="53" t="n">
        <f aca="false" ca="false" dt2D="false" dtr="false" t="normal">HEX2DEC(H577)</f>
        <v>0</v>
      </c>
      <c r="I579" s="53" t="n">
        <f aca="false" ca="false" dt2D="false" dtr="false" t="normal">HEX2DEC(I577)</f>
        <v>0</v>
      </c>
      <c r="J579" s="53" t="n">
        <f aca="false" ca="false" dt2D="false" dtr="false" t="normal">HEX2DEC(J577)</f>
        <v>0</v>
      </c>
      <c r="K579" s="53" t="n">
        <f aca="false" ca="false" dt2D="false" dtr="false" t="normal">HEX2DEC(K577)</f>
        <v>0</v>
      </c>
      <c r="L579" s="53" t="n">
        <f aca="false" ca="false" dt2D="false" dtr="false" t="normal">HEX2DEC(L577)</f>
        <v>0</v>
      </c>
      <c r="M579" s="53" t="n">
        <f aca="false" ca="false" dt2D="false" dtr="false" t="normal">SUM(D579:L579)</f>
        <v>0</v>
      </c>
      <c r="N579" s="63" t="n"/>
      <c r="P579" s="136" t="n">
        <f aca="false" ca="false" dt2D="false" dtr="false" t="normal">MID(H578, 2, 1)</f>
        <v>0</v>
      </c>
      <c r="Q579" s="137" t="n">
        <f aca="false" ca="false" dt2D="false" dtr="false" t="normal">P579</f>
        <v>0</v>
      </c>
      <c r="R579" s="120" t="s">
        <v>192</v>
      </c>
      <c r="S579" s="139" t="s">
        <v>2202</v>
      </c>
      <c r="T579" s="136" t="n">
        <f aca="false" ca="false" dt2D="false" dtr="false" t="normal">MID(I578, 2, 1)</f>
        <v>0</v>
      </c>
      <c r="U579" s="137" t="n">
        <f aca="false" ca="false" dt2D="false" dtr="false" t="normal">T579</f>
        <v>0</v>
      </c>
      <c r="V579" s="120" t="s">
        <v>192</v>
      </c>
      <c r="W579" s="139" t="s">
        <v>2203</v>
      </c>
      <c r="X579" s="136" t="n">
        <f aca="false" ca="false" dt2D="false" dtr="false" t="normal">MID(J578, 2, 1)</f>
        <v>0</v>
      </c>
      <c r="Y579" s="137" t="n">
        <f aca="false" ca="false" dt2D="false" dtr="false" t="normal">X579</f>
        <v>0</v>
      </c>
      <c r="Z579" s="120" t="s">
        <v>192</v>
      </c>
      <c r="AA579" s="139" t="s">
        <v>2204</v>
      </c>
      <c r="AB579" s="136" t="n">
        <f aca="false" ca="false" dt2D="false" dtr="false" t="normal">MID(K578, 2, 1)</f>
        <v>0</v>
      </c>
      <c r="AC579" s="137" t="n">
        <f aca="false" ca="false" dt2D="false" dtr="false" t="normal">AB579</f>
        <v>0</v>
      </c>
      <c r="AD579" s="120" t="s">
        <v>192</v>
      </c>
      <c r="AE579" s="139" t="s">
        <v>2205</v>
      </c>
      <c r="AF579" s="136" t="n">
        <f aca="false" ca="false" dt2D="false" dtr="false" t="normal">MID(L578, 2, 1)</f>
        <v>0</v>
      </c>
      <c r="AG579" s="137" t="n">
        <f aca="false" ca="false" dt2D="false" dtr="false" t="normal">AF579</f>
        <v>0</v>
      </c>
      <c r="AH579" s="120" t="s">
        <v>192</v>
      </c>
      <c r="AI579" s="139" t="s">
        <v>2206</v>
      </c>
      <c r="AJ579" s="5876" t="s"/>
      <c r="AK579" s="5877" t="s"/>
      <c r="AL579" s="5878" t="s"/>
    </row>
    <row hidden="false" ht="15" outlineLevel="0" r="580">
      <c r="C580" s="98" t="s">
        <v>194</v>
      </c>
      <c r="D580" s="149" t="str">
        <f aca="false" ca="false" dt2D="false" dtr="false" t="normal">D577</f>
        <v/>
      </c>
      <c r="E580" s="149" t="str">
        <f aca="false" ca="false" dt2D="false" dtr="false" t="normal">E577</f>
        <v/>
      </c>
      <c r="F580" s="53" t="str">
        <f aca="false" ca="false" dt2D="false" dtr="false" t="normal">_XLFN.IFNA(MID(INDEX($A$3:$A$70, IF(ISNA(MATCH("720G4IB*", $A$3:$A$70, 0))=TRUE, MATCH("7200443*", $A$3:$A$70, 0), MATCH("720G4IB*", $A$3:$A$70, 0))), $AS$8, 2), "")</f>
        <v/>
      </c>
      <c r="G580" s="53" t="str">
        <f aca="false" ca="false" dt2D="false" dtr="false" t="normal">_XLFN.IFNA(MID(INDEX($A$3:$A$70, IF(ISNA(MATCH("720G4IB*", $A$3:$A$70, 0))=TRUE, MATCH("7200443*", $A$3:$A$70, 0), MATCH("720G4IB*", $A$3:$A$70, 0))), $AT$8, 2), "")</f>
        <v/>
      </c>
      <c r="N580" s="63" t="n"/>
      <c r="P580" s="136" t="n">
        <f aca="false" ca="false" dt2D="false" dtr="false" t="normal">MID(H578, 3, 1)</f>
        <v>0</v>
      </c>
      <c r="Q580" s="137" t="n">
        <f aca="false" ca="false" dt2D="false" dtr="false" t="normal">P580</f>
        <v>0</v>
      </c>
      <c r="R580" s="120" t="s">
        <v>195</v>
      </c>
      <c r="S580" s="139" t="s">
        <v>2207</v>
      </c>
      <c r="T580" s="136" t="n">
        <f aca="false" ca="false" dt2D="false" dtr="false" t="normal">MID(I578, 3, 1)</f>
        <v>0</v>
      </c>
      <c r="U580" s="137" t="n">
        <f aca="false" ca="false" dt2D="false" dtr="false" t="normal">T580</f>
        <v>0</v>
      </c>
      <c r="V580" s="120" t="s">
        <v>195</v>
      </c>
      <c r="W580" s="139" t="s">
        <v>2208</v>
      </c>
      <c r="X580" s="136" t="n">
        <f aca="false" ca="false" dt2D="false" dtr="false" t="normal">MID(J578, 3, 1)</f>
        <v>0</v>
      </c>
      <c r="Y580" s="137" t="n">
        <f aca="false" ca="false" dt2D="false" dtr="false" t="normal">X580</f>
        <v>0</v>
      </c>
      <c r="Z580" s="120" t="s">
        <v>195</v>
      </c>
      <c r="AA580" s="139" t="s">
        <v>2209</v>
      </c>
      <c r="AB580" s="136" t="n">
        <f aca="false" ca="false" dt2D="false" dtr="false" t="normal">MID(K578, 3, 1)</f>
        <v>0</v>
      </c>
      <c r="AC580" s="137" t="n">
        <f aca="false" ca="false" dt2D="false" dtr="false" t="normal">AB580</f>
        <v>0</v>
      </c>
      <c r="AD580" s="120" t="s">
        <v>195</v>
      </c>
      <c r="AE580" s="139" t="s">
        <v>2210</v>
      </c>
      <c r="AF580" s="136" t="n">
        <f aca="false" ca="false" dt2D="false" dtr="false" t="normal">MID(L578, 3, 1)</f>
        <v>0</v>
      </c>
      <c r="AG580" s="137" t="n">
        <f aca="false" ca="false" dt2D="false" dtr="false" t="normal">AF580</f>
        <v>0</v>
      </c>
      <c r="AH580" s="120" t="s">
        <v>195</v>
      </c>
      <c r="AI580" s="139" t="s">
        <v>2211</v>
      </c>
      <c r="AJ580" s="5879" t="s"/>
      <c r="AK580" s="5880" t="s"/>
      <c r="AL580" s="5881" t="s"/>
    </row>
    <row hidden="false" ht="15.75" outlineLevel="0" r="581">
      <c r="C581" s="98" t="n"/>
      <c r="N581" s="63" t="n"/>
      <c r="P581" s="136" t="n">
        <f aca="false" ca="false" dt2D="false" dtr="false" t="normal">MID(H578, 4, 1)</f>
        <v>0</v>
      </c>
      <c r="Q581" s="137" t="n">
        <f aca="false" ca="false" dt2D="false" dtr="false" t="normal">P581</f>
        <v>0</v>
      </c>
      <c r="R581" s="120" t="s">
        <v>197</v>
      </c>
      <c r="S581" s="139" t="s">
        <v>2212</v>
      </c>
      <c r="T581" s="136" t="n">
        <f aca="false" ca="false" dt2D="false" dtr="false" t="normal">MID(I578, 4, 1)</f>
        <v>0</v>
      </c>
      <c r="U581" s="137" t="n">
        <f aca="false" ca="false" dt2D="false" dtr="false" t="normal">T581</f>
        <v>0</v>
      </c>
      <c r="V581" s="120" t="s">
        <v>197</v>
      </c>
      <c r="W581" s="139" t="s">
        <v>2213</v>
      </c>
      <c r="X581" s="136" t="n">
        <f aca="false" ca="false" dt2D="false" dtr="false" t="normal">MID(J578, 4, 1)</f>
        <v>0</v>
      </c>
      <c r="Y581" s="137" t="n">
        <f aca="false" ca="false" dt2D="false" dtr="false" t="normal">X581</f>
        <v>0</v>
      </c>
      <c r="Z581" s="120" t="s">
        <v>197</v>
      </c>
      <c r="AA581" s="139" t="s">
        <v>2214</v>
      </c>
      <c r="AB581" s="136" t="n">
        <f aca="false" ca="false" dt2D="false" dtr="false" t="normal">MID(K578, 4, 1)</f>
        <v>0</v>
      </c>
      <c r="AC581" s="137" t="n">
        <f aca="false" ca="false" dt2D="false" dtr="false" t="normal">AB581</f>
        <v>0</v>
      </c>
      <c r="AD581" s="120" t="s">
        <v>197</v>
      </c>
      <c r="AE581" s="139" t="s">
        <v>2215</v>
      </c>
      <c r="AF581" s="136" t="n">
        <f aca="false" ca="false" dt2D="false" dtr="false" t="normal">MID(L578, 4, 1)</f>
        <v>0</v>
      </c>
      <c r="AG581" s="137" t="n">
        <f aca="false" ca="false" dt2D="false" dtr="false" t="normal">AF581</f>
        <v>0</v>
      </c>
      <c r="AH581" s="120" t="s">
        <v>197</v>
      </c>
      <c r="AI581" s="139" t="s">
        <v>2216</v>
      </c>
      <c r="AJ581" s="5882" t="s"/>
      <c r="AK581" s="5883" t="s"/>
      <c r="AL581" s="5884" t="s"/>
    </row>
    <row hidden="false" ht="15.75" outlineLevel="0" r="582">
      <c r="C582" s="98" t="s">
        <v>176</v>
      </c>
      <c r="D582" s="159" t="str">
        <f aca="false" ca="false" dt2D="false" dtr="false" t="normal">D577</f>
        <v/>
      </c>
      <c r="E582" s="160" t="str">
        <f aca="false" ca="false" dt2D="false" dtr="false" t="normal">E577</f>
        <v/>
      </c>
      <c r="F582" s="160" t="str">
        <f aca="false" ca="false" dt2D="false" dtr="false" t="normal">F577</f>
        <v/>
      </c>
      <c r="G582" s="161" t="str">
        <f aca="false" ca="false" dt2D="false" dtr="false" t="normal">G577</f>
        <v/>
      </c>
      <c r="H582" s="162" t="str">
        <f aca="false" ca="false" dt2D="false" dtr="false" t="normal">IF(J412="", "", BIN2HEX(H583, 2))</f>
        <v/>
      </c>
      <c r="I582" s="163" t="str">
        <f aca="false" ca="false" dt2D="false" dtr="false" t="normal">IF(J412="", "", BIN2HEX(I583, 2))</f>
        <v/>
      </c>
      <c r="J582" s="164" t="str">
        <f aca="false" ca="false" dt2D="false" dtr="false" t="normal">IF(J412="", "", BIN2HEX(J583, 2))</f>
        <v/>
      </c>
      <c r="K582" s="165" t="str">
        <f aca="false" ca="false" dt2D="false" dtr="false" t="normal">IF(J412="", "", BIN2HEX(K583, 2))</f>
        <v/>
      </c>
      <c r="L582" s="288" t="str">
        <f aca="false" ca="false" dt2D="false" dtr="false" t="normal">IF(J412="", "", BIN2HEX(L583, 2))</f>
        <v/>
      </c>
      <c r="M582" s="166" t="str">
        <f aca="false" ca="false" dt2D="false" dtr="false" t="normal">IF(J412="", "", IF(LEN(M583)&gt;2, MID(M583, 2, 2), M583))</f>
        <v/>
      </c>
      <c r="N582" s="63" t="s">
        <v>181</v>
      </c>
      <c r="P582" s="136" t="n">
        <f aca="false" ca="false" dt2D="false" dtr="false" t="normal">MID(H578, 5, 1)</f>
        <v>0</v>
      </c>
      <c r="Q582" s="137" t="n">
        <f aca="false" ca="false" dt2D="false" dtr="false" t="normal">P582</f>
        <v>0</v>
      </c>
      <c r="R582" s="120" t="s">
        <v>200</v>
      </c>
      <c r="S582" s="139" t="s">
        <v>2217</v>
      </c>
      <c r="T582" s="136" t="n">
        <f aca="false" ca="false" dt2D="false" dtr="false" t="normal">MID(I578, 5, 1)</f>
        <v>0</v>
      </c>
      <c r="U582" s="137" t="n">
        <f aca="false" ca="false" dt2D="false" dtr="false" t="normal">T582</f>
        <v>0</v>
      </c>
      <c r="V582" s="120" t="s">
        <v>200</v>
      </c>
      <c r="W582" s="139" t="s">
        <v>2218</v>
      </c>
      <c r="X582" s="136" t="n">
        <f aca="false" ca="false" dt2D="false" dtr="false" t="normal">MID(J578, 5, 1)</f>
        <v>0</v>
      </c>
      <c r="Y582" s="137" t="n">
        <f aca="false" ca="false" dt2D="false" dtr="false" t="normal">X582</f>
        <v>0</v>
      </c>
      <c r="Z582" s="120" t="s">
        <v>200</v>
      </c>
      <c r="AA582" s="139" t="s">
        <v>2219</v>
      </c>
      <c r="AB582" s="136" t="n">
        <f aca="false" ca="false" dt2D="false" dtr="false" t="normal">MID(K578, 5, 1)</f>
        <v>0</v>
      </c>
      <c r="AC582" s="137" t="n">
        <f aca="false" ca="false" dt2D="false" dtr="false" t="normal">AB582</f>
        <v>0</v>
      </c>
      <c r="AD582" s="120" t="s">
        <v>200</v>
      </c>
      <c r="AE582" s="139" t="s">
        <v>2220</v>
      </c>
      <c r="AF582" s="136" t="n">
        <f aca="false" ca="false" dt2D="false" dtr="false" t="normal">MID(L578, 5, 1)</f>
        <v>0</v>
      </c>
      <c r="AG582" s="137" t="n">
        <f aca="false" ca="false" dt2D="false" dtr="false" t="normal">AF582</f>
        <v>0</v>
      </c>
      <c r="AH582" s="120" t="s">
        <v>200</v>
      </c>
      <c r="AI582" s="139" t="s">
        <v>2221</v>
      </c>
      <c r="AJ582" s="5885" t="s"/>
      <c r="AK582" s="5886" t="s"/>
      <c r="AL582" s="5887" t="s"/>
    </row>
    <row hidden="false" ht="15" outlineLevel="0" r="583">
      <c r="C583" s="98" t="s">
        <v>185</v>
      </c>
      <c r="D583" s="53" t="n">
        <f aca="false" ca="false" dt2D="false" dtr="false" t="normal">HEX2BIN(D582, 8)</f>
        <v>0</v>
      </c>
      <c r="E583" s="53" t="n">
        <f aca="false" ca="false" dt2D="false" dtr="false" t="normal">HEX2BIN(E582, 8)</f>
        <v>0</v>
      </c>
      <c r="F583" s="53" t="n">
        <f aca="false" ca="false" dt2D="false" dtr="false" t="normal">HEX2BIN(F582, 8)</f>
        <v>0</v>
      </c>
      <c r="G583" s="53" t="n">
        <f aca="false" ca="false" dt2D="false" dtr="false" t="normal">HEX2BIN(G582, 8)</f>
        <v>0</v>
      </c>
      <c r="H583" s="171" t="n">
        <f aca="false" ca="false" dt2D="false" dtr="false" t="normal">Q578&amp;Q579&amp;Q580&amp;Q581&amp;Q582&amp;Q583&amp;Q584&amp;Q585</f>
        <v>0</v>
      </c>
      <c r="I583" s="53" t="n">
        <f aca="false" ca="false" dt2D="false" dtr="false" t="normal">U578&amp;U579&amp;U580&amp;U581&amp;U582&amp;U583&amp;U584&amp;U585</f>
        <v>0</v>
      </c>
      <c r="J583" s="171" t="n">
        <f aca="false" ca="false" dt2D="false" dtr="false" t="normal">Y578&amp;Y579&amp;Y580&amp;Y581&amp;Y582&amp;Y583&amp;Y584&amp;Y585</f>
        <v>0</v>
      </c>
      <c r="K583" s="171" t="n">
        <f aca="false" ca="false" dt2D="false" dtr="false" t="normal">AC578&amp;AC579&amp;AC580&amp;AC581&amp;AC582&amp;AC583&amp;AC584&amp;AC585</f>
        <v>0</v>
      </c>
      <c r="L583" s="53" t="n">
        <f aca="false" ca="false" dt2D="false" dtr="false" t="normal">AG578&amp;AG579&amp;AG580&amp;AG581&amp;AG582&amp;AG583&amp;AG584&amp;AG585</f>
        <v>0</v>
      </c>
      <c r="M583" s="53" t="n">
        <f aca="false" ca="false" dt2D="false" dtr="false" t="normal">DEC2HEX(M584)</f>
        <v>0</v>
      </c>
      <c r="N583" s="63" t="n"/>
      <c r="P583" s="136" t="n">
        <f aca="false" ca="false" dt2D="false" dtr="false" t="normal">MID(H578, 6, 1)</f>
        <v>0</v>
      </c>
      <c r="Q583" s="137" t="n">
        <f aca="false" ca="false" dt2D="false" dtr="false" t="normal">P583</f>
        <v>0</v>
      </c>
      <c r="R583" s="120" t="s">
        <v>203</v>
      </c>
      <c r="S583" s="139" t="s">
        <v>2222</v>
      </c>
      <c r="T583" s="136" t="n">
        <f aca="false" ca="false" dt2D="false" dtr="false" t="normal">MID(I578, 6, 1)</f>
        <v>0</v>
      </c>
      <c r="U583" s="137" t="n">
        <f aca="false" ca="false" dt2D="false" dtr="false" t="normal">T583</f>
        <v>0</v>
      </c>
      <c r="V583" s="120" t="s">
        <v>203</v>
      </c>
      <c r="W583" s="139" t="s">
        <v>2223</v>
      </c>
      <c r="X583" s="136" t="n">
        <f aca="false" ca="false" dt2D="false" dtr="false" t="normal">MID(J578, 6, 1)</f>
        <v>0</v>
      </c>
      <c r="Y583" s="137" t="n">
        <f aca="false" ca="false" dt2D="false" dtr="false" t="normal">X583</f>
        <v>0</v>
      </c>
      <c r="Z583" s="120" t="s">
        <v>203</v>
      </c>
      <c r="AA583" s="139" t="s">
        <v>2224</v>
      </c>
      <c r="AB583" s="136" t="n">
        <f aca="false" ca="false" dt2D="false" dtr="false" t="normal">MID(K578, 6, 1)</f>
        <v>0</v>
      </c>
      <c r="AC583" s="137" t="n">
        <f aca="false" ca="false" dt2D="false" dtr="false" t="normal">AB583</f>
        <v>0</v>
      </c>
      <c r="AD583" s="120" t="s">
        <v>203</v>
      </c>
      <c r="AE583" s="139" t="s">
        <v>2225</v>
      </c>
      <c r="AF583" s="136" t="n">
        <f aca="false" ca="false" dt2D="false" dtr="false" t="normal">MID(L578, 6, 1)</f>
        <v>0</v>
      </c>
      <c r="AG583" s="137" t="n">
        <f aca="false" ca="false" dt2D="false" dtr="false" t="normal">AF583</f>
        <v>0</v>
      </c>
      <c r="AH583" s="120" t="s">
        <v>203</v>
      </c>
      <c r="AI583" s="139" t="s">
        <v>2226</v>
      </c>
      <c r="AJ583" s="5888" t="s"/>
      <c r="AK583" s="5889" t="s"/>
      <c r="AL583" s="5890" t="s"/>
    </row>
    <row hidden="false" ht="15" outlineLevel="0" r="584">
      <c r="C584" s="98" t="s">
        <v>191</v>
      </c>
      <c r="D584" s="53" t="n">
        <f aca="false" ca="false" dt2D="false" dtr="false" t="normal">HEX2DEC(D582)</f>
        <v>0</v>
      </c>
      <c r="E584" s="53" t="n">
        <f aca="false" ca="false" dt2D="false" dtr="false" t="normal">HEX2DEC(E582)</f>
        <v>0</v>
      </c>
      <c r="F584" s="53" t="n">
        <f aca="false" ca="false" dt2D="false" dtr="false" t="normal">HEX2DEC(F582)</f>
        <v>0</v>
      </c>
      <c r="G584" s="53" t="n">
        <f aca="false" ca="false" dt2D="false" dtr="false" t="normal">HEX2DEC(G582)</f>
        <v>0</v>
      </c>
      <c r="H584" s="53" t="n">
        <f aca="false" ca="false" dt2D="false" dtr="false" t="normal">HEX2DEC(H582)</f>
        <v>0</v>
      </c>
      <c r="I584" s="53" t="n">
        <f aca="false" ca="false" dt2D="false" dtr="false" t="normal">HEX2DEC(I582)</f>
        <v>0</v>
      </c>
      <c r="J584" s="53" t="n">
        <f aca="false" ca="false" dt2D="false" dtr="false" t="normal">HEX2DEC(J582)</f>
        <v>0</v>
      </c>
      <c r="K584" s="53" t="n">
        <f aca="false" ca="false" dt2D="false" dtr="false" t="normal">HEX2DEC(K582)</f>
        <v>0</v>
      </c>
      <c r="L584" s="53" t="n">
        <f aca="false" ca="false" dt2D="false" dtr="false" t="normal">HEX2DEC(L582)</f>
        <v>0</v>
      </c>
      <c r="M584" s="53" t="n">
        <f aca="false" ca="false" dt2D="false" dtr="false" t="normal">SUM(D584:L584)</f>
        <v>0</v>
      </c>
      <c r="N584" s="63" t="n"/>
      <c r="P584" s="136" t="n">
        <f aca="false" ca="false" dt2D="false" dtr="false" t="normal">MID(H578, 7, 1)</f>
        <v>0</v>
      </c>
      <c r="Q584" s="137" t="n">
        <f aca="false" ca="false" dt2D="false" dtr="false" t="normal">P584</f>
        <v>0</v>
      </c>
      <c r="R584" s="120" t="s">
        <v>206</v>
      </c>
      <c r="S584" s="139" t="s">
        <v>2227</v>
      </c>
      <c r="T584" s="136" t="n">
        <f aca="false" ca="false" dt2D="false" dtr="false" t="normal">MID(I578, 7, 1)</f>
        <v>0</v>
      </c>
      <c r="U584" s="137" t="n">
        <f aca="false" ca="false" dt2D="false" dtr="false" t="normal">T584</f>
        <v>0</v>
      </c>
      <c r="V584" s="120" t="s">
        <v>206</v>
      </c>
      <c r="W584" s="139" t="s">
        <v>2228</v>
      </c>
      <c r="X584" s="136" t="n">
        <f aca="false" ca="false" dt2D="false" dtr="false" t="normal">MID(J578, 7, 1)</f>
        <v>0</v>
      </c>
      <c r="Y584" s="137" t="n">
        <f aca="false" ca="false" dt2D="false" dtr="false" t="normal">X584</f>
        <v>0</v>
      </c>
      <c r="Z584" s="120" t="s">
        <v>206</v>
      </c>
      <c r="AA584" s="139" t="s">
        <v>2229</v>
      </c>
      <c r="AB584" s="136" t="n">
        <f aca="false" ca="false" dt2D="false" dtr="false" t="normal">MID(K578, 7, 1)</f>
        <v>0</v>
      </c>
      <c r="AC584" s="137" t="n">
        <f aca="false" ca="false" dt2D="false" dtr="false" t="normal">AB584</f>
        <v>0</v>
      </c>
      <c r="AD584" s="120" t="s">
        <v>206</v>
      </c>
      <c r="AE584" s="139" t="s">
        <v>2230</v>
      </c>
      <c r="AF584" s="136" t="n">
        <f aca="false" ca="false" dt2D="false" dtr="false" t="normal">MID(L578, 7, 1)</f>
        <v>0</v>
      </c>
      <c r="AG584" s="137" t="n">
        <f aca="false" ca="false" dt2D="false" dtr="false" t="normal">AF584</f>
        <v>0</v>
      </c>
      <c r="AH584" s="120" t="s">
        <v>206</v>
      </c>
      <c r="AI584" s="139" t="s">
        <v>2231</v>
      </c>
      <c r="AJ584" s="5891" t="s"/>
      <c r="AK584" s="5892" t="s"/>
      <c r="AL584" s="5893" t="s"/>
    </row>
    <row hidden="false" ht="15.75" outlineLevel="0" r="585">
      <c r="C585" s="180" t="s">
        <v>194</v>
      </c>
      <c r="D585" s="299" t="str">
        <f aca="false" ca="false" dt2D="false" dtr="false" t="normal">D580</f>
        <v/>
      </c>
      <c r="E585" s="299" t="str">
        <f aca="false" ca="false" dt2D="false" dtr="false" t="normal">E580</f>
        <v/>
      </c>
      <c r="F585" s="299" t="str">
        <f aca="false" ca="false" dt2D="false" dtr="false" t="normal">F580</f>
        <v/>
      </c>
      <c r="G585" s="299" t="str">
        <f aca="false" ca="false" dt2D="false" dtr="false" t="normal">G580</f>
        <v/>
      </c>
      <c r="H585" s="45" t="n"/>
      <c r="I585" s="45" t="n"/>
      <c r="J585" s="45" t="n"/>
      <c r="K585" s="45" t="n"/>
      <c r="L585" s="45" t="n"/>
      <c r="M585" s="45" t="n"/>
      <c r="N585" s="49" t="n"/>
      <c r="P585" s="182" t="n">
        <f aca="false" ca="false" dt2D="false" dtr="false" t="normal">MID(H578, 8, 1)</f>
        <v>0</v>
      </c>
      <c r="Q585" s="183" t="n">
        <f aca="false" ca="false" dt2D="false" dtr="false" t="normal">P585</f>
        <v>0</v>
      </c>
      <c r="R585" s="184" t="s">
        <v>208</v>
      </c>
      <c r="S585" s="187" t="s">
        <v>2232</v>
      </c>
      <c r="T585" s="182" t="n">
        <f aca="false" ca="false" dt2D="false" dtr="false" t="normal">MID(I578, 8, 1)</f>
        <v>0</v>
      </c>
      <c r="U585" s="183" t="n">
        <f aca="false" ca="false" dt2D="false" dtr="false" t="normal">T585</f>
        <v>0</v>
      </c>
      <c r="V585" s="184" t="s">
        <v>208</v>
      </c>
      <c r="W585" s="187" t="s">
        <v>2233</v>
      </c>
      <c r="X585" s="182" t="n">
        <f aca="false" ca="false" dt2D="false" dtr="false" t="normal">MID(J578, 8, 1)</f>
        <v>0</v>
      </c>
      <c r="Y585" s="183" t="n">
        <f aca="false" ca="false" dt2D="false" dtr="false" t="normal">X585</f>
        <v>0</v>
      </c>
      <c r="Z585" s="184" t="s">
        <v>208</v>
      </c>
      <c r="AA585" s="187" t="s">
        <v>2234</v>
      </c>
      <c r="AB585" s="182" t="n">
        <f aca="false" ca="false" dt2D="false" dtr="false" t="normal">MID(K578, 8, 1)</f>
        <v>0</v>
      </c>
      <c r="AC585" s="183" t="n">
        <f aca="false" ca="false" dt2D="false" dtr="false" t="normal">AB585</f>
        <v>0</v>
      </c>
      <c r="AD585" s="184" t="s">
        <v>208</v>
      </c>
      <c r="AE585" s="187" t="s">
        <v>2235</v>
      </c>
      <c r="AF585" s="182" t="n">
        <f aca="false" ca="false" dt2D="false" dtr="false" t="normal">MID(L578, 8, 1)</f>
        <v>0</v>
      </c>
      <c r="AG585" s="183" t="n">
        <f aca="false" ca="false" dt2D="false" dtr="false" t="normal">AF585</f>
        <v>0</v>
      </c>
      <c r="AH585" s="184" t="s">
        <v>208</v>
      </c>
      <c r="AI585" s="187" t="s">
        <v>2236</v>
      </c>
      <c r="AJ585" s="5894" t="s"/>
      <c r="AK585" s="5895" t="s"/>
      <c r="AL585" s="5896" t="s"/>
    </row>
    <row hidden="false" ht="15.75" outlineLevel="0" r="586">
      <c r="C586" s="93" t="n"/>
      <c r="D586" s="94" t="n"/>
      <c r="E586" s="94" t="n"/>
      <c r="F586" s="94" t="n"/>
      <c r="G586" s="94" t="n"/>
      <c r="H586" s="94" t="n"/>
      <c r="I586" s="94" t="n"/>
      <c r="J586" s="94" t="n"/>
      <c r="K586" s="94" t="n"/>
      <c r="L586" s="94" t="n"/>
      <c r="M586" s="94" t="s">
        <v>161</v>
      </c>
      <c r="N586" s="60" t="n"/>
      <c r="P586" s="95" t="str">
        <f aca="false" ca="false" dt2D="false" dtr="false" t="normal">RIGHT(D588, 1)&amp;E588&amp;"-"&amp;F588&amp;"-"&amp;G588</f>
        <v>--</v>
      </c>
      <c r="Q586" s="5897" t="s"/>
      <c r="R586" s="234" t="s">
        <v>2237</v>
      </c>
      <c r="S586" s="5898" t="s"/>
      <c r="T586" s="5899" t="s"/>
      <c r="U586" s="5900" t="s"/>
      <c r="V586" s="5901" t="s"/>
      <c r="W586" s="5902" t="s"/>
      <c r="X586" s="5903" t="s"/>
      <c r="Y586" s="5904" t="s"/>
      <c r="Z586" s="5905" t="s"/>
      <c r="AA586" s="5906" t="s"/>
      <c r="AB586" s="5907" t="s"/>
      <c r="AC586" s="5908" t="s"/>
      <c r="AD586" s="5909" t="s"/>
      <c r="AE586" s="5910" t="s"/>
      <c r="AF586" s="5911" t="s"/>
      <c r="AG586" s="5912" t="s"/>
      <c r="AH586" s="5913" t="s"/>
      <c r="AI586" s="5914" t="s"/>
      <c r="AJ586" s="5915" t="s"/>
      <c r="AK586" s="5916" t="s"/>
      <c r="AL586" s="5917" t="s"/>
    </row>
    <row hidden="false" ht="15.75" outlineLevel="0" r="587">
      <c r="C587" s="98" t="n"/>
      <c r="D587" s="99" t="s">
        <v>2238</v>
      </c>
      <c r="E587" s="5918" t="s"/>
      <c r="F587" s="5919" t="s"/>
      <c r="G587" s="5920" t="s"/>
      <c r="H587" s="53" t="s">
        <v>165</v>
      </c>
      <c r="I587" s="53" t="s">
        <v>166</v>
      </c>
      <c r="J587" s="53" t="s">
        <v>167</v>
      </c>
      <c r="K587" s="53" t="s">
        <v>168</v>
      </c>
      <c r="L587" s="53" t="s">
        <v>169</v>
      </c>
      <c r="M587" s="53" t="s">
        <v>221</v>
      </c>
      <c r="N587" s="63" t="n"/>
      <c r="P587" s="103" t="s">
        <v>2239</v>
      </c>
      <c r="Q587" s="5921" t="s"/>
      <c r="R587" s="5922" t="s"/>
      <c r="S587" s="5923" t="s"/>
      <c r="T587" s="103" t="s">
        <v>2240</v>
      </c>
      <c r="U587" s="5924" t="s"/>
      <c r="V587" s="5925" t="s"/>
      <c r="W587" s="5926" t="s"/>
      <c r="X587" s="103" t="s">
        <v>2241</v>
      </c>
      <c r="Y587" s="5927" t="s"/>
      <c r="Z587" s="5928" t="s"/>
      <c r="AA587" s="5929" t="s"/>
      <c r="AB587" s="103" t="s">
        <v>2242</v>
      </c>
      <c r="AC587" s="5930" t="s"/>
      <c r="AD587" s="5931" t="s"/>
      <c r="AE587" s="5932" t="s"/>
      <c r="AF587" s="103" t="s">
        <v>2243</v>
      </c>
      <c r="AG587" s="5933" t="s"/>
      <c r="AH587" s="5934" t="s"/>
      <c r="AI587" s="5935" t="s"/>
      <c r="AJ587" s="103" t="s">
        <v>2244</v>
      </c>
      <c r="AK587" s="5936" t="s"/>
      <c r="AL587" s="5937" t="s"/>
    </row>
    <row hidden="false" ht="15.75" outlineLevel="0" r="588">
      <c r="C588" s="98" t="s">
        <v>176</v>
      </c>
      <c r="D588" s="122" t="str">
        <f aca="false" ca="false" dt2D="false" dtr="false" t="normal">IF(J412="", "", 7)</f>
        <v/>
      </c>
      <c r="E588" s="123" t="str">
        <f aca="false" ca="false" dt2D="false" dtr="false" t="normal">IF(J412="", "", 20)</f>
        <v/>
      </c>
      <c r="F588" s="123" t="str">
        <f aca="false" ca="false" dt2D="false" dtr="false" t="normal">IF(J412="", "", 4)</f>
        <v/>
      </c>
      <c r="G588" s="124" t="str">
        <f aca="false" ca="false" dt2D="false" dtr="false" t="normal">IF(J412="", "", 44)</f>
        <v/>
      </c>
      <c r="H588" s="1819" t="str">
        <f aca="false" ca="false" dt2D="false" dtr="false" ref="H588:H588" t="array">_XLFN.IFNA(MID(INDEX($A$3:$A$70, IF(ISNA(MATCH("720G4IC*", $A$3:$A$70, 0))=TRUE, MATCH("7200444*", $A$3:$A$70, 0), MATCH("720G4IC*", $A$3:$A$70, 0))), $AU$8, 2), "")</f>
        <v/>
      </c>
      <c r="I588" s="1820" t="str">
        <f aca="false" ca="false" dt2D="false" dtr="false" ref="I588:I588" t="array">_XLFN.IFNA(MID(INDEX($A$3:$A$70, IF(ISNA(MATCH("720G4IC*", $A$3:$A$70, 0))=TRUE, MATCH("7200444*", $A$3:$A$70, 0), MATCH("720G4IC*", $A$3:$A$70, 0))), $AV$8, 2), "")</f>
        <v/>
      </c>
      <c r="J588" s="164" t="str">
        <f aca="false" ca="false" dt2D="false" dtr="false" ref="J588:J588" t="array">_XLFN.IFNA(MID(INDEX($A$3:$A$70, IF(ISNA(MATCH("720G4IC*", $A$3:$A$70, 0))=TRUE, MATCH("7200444*", $A$3:$A$70, 0), MATCH("720G4IC*", $A$3:$A$70, 0))), $AW$8, 2), "")</f>
        <v/>
      </c>
      <c r="K588" s="1820" t="str">
        <f aca="false" ca="false" dt2D="false" dtr="false" ref="K588:K588" t="array">_XLFN.IFNA(MID(INDEX($A$3:$A$70, IF(ISNA(MATCH("720G4IC*", $A$3:$A$70, 0))=TRUE, MATCH("7200444*", $A$3:$A$70, 0), MATCH("720G4IC*", $A$3:$A$70, 0))), $AX$8, 2), "")</f>
        <v/>
      </c>
      <c r="L588" s="1821" t="str">
        <f aca="false" ca="false" dt2D="false" dtr="false" ref="L588:L588" t="array">_XLFN.IFNA(MID(INDEX($A$3:$A$70, IF(ISNA(MATCH("720G4IC*", $A$3:$A$70, 0))=TRUE, MATCH("7200444*", $A$3:$A$70, 0), MATCH("720G4IC*", $A$3:$A$70, 0))), $AY$8, 2), "")</f>
        <v/>
      </c>
      <c r="M588" s="218" t="str">
        <f aca="false" ca="false" dt2D="false" dtr="false" ref="M588:M588" t="array">_XLFN.IFNA(MID(INDEX($A$3:$A$70, IF(ISNA(MATCH("720G4IC*", $A$3:$A$70, 0))=TRUE, MATCH("7200444*", $A$3:$A$70, 0), MATCH("720G4IC*", $A$3:$A$70, 0))), $AZ$8, 2), "")</f>
        <v/>
      </c>
      <c r="N588" s="63" t="s">
        <v>180</v>
      </c>
      <c r="P588" s="129" t="s">
        <v>180</v>
      </c>
      <c r="Q588" s="130" t="s">
        <v>181</v>
      </c>
      <c r="R588" s="121" t="s">
        <v>182</v>
      </c>
      <c r="S588" s="131" t="n"/>
      <c r="T588" s="116" t="n"/>
      <c r="U588" s="5938" t="s"/>
      <c r="V588" s="5939" t="s"/>
      <c r="W588" s="5940" t="s"/>
      <c r="X588" s="116" t="n"/>
      <c r="Y588" s="5941" t="s"/>
      <c r="Z588" s="5942" t="s"/>
      <c r="AA588" s="5943" t="s"/>
      <c r="AB588" s="129" t="s">
        <v>180</v>
      </c>
      <c r="AC588" s="130" t="s">
        <v>181</v>
      </c>
      <c r="AD588" s="121" t="s">
        <v>182</v>
      </c>
      <c r="AE588" s="131" t="n"/>
      <c r="AF588" s="129" t="s">
        <v>180</v>
      </c>
      <c r="AG588" s="130" t="s">
        <v>181</v>
      </c>
      <c r="AH588" s="121" t="s">
        <v>182</v>
      </c>
      <c r="AI588" s="121" t="n"/>
      <c r="AJ588" s="116" t="s">
        <v>183</v>
      </c>
      <c r="AK588" s="5944" t="s"/>
      <c r="AL588" s="5945" t="s"/>
    </row>
    <row hidden="false" ht="15" outlineLevel="0" r="589">
      <c r="C589" s="98" t="s">
        <v>185</v>
      </c>
      <c r="D589" s="53" t="n">
        <f aca="false" ca="false" dt2D="false" dtr="false" t="normal">HEX2BIN(D588, 8)</f>
        <v>0</v>
      </c>
      <c r="E589" s="53" t="n">
        <f aca="false" ca="false" dt2D="false" dtr="false" t="normal">HEX2BIN(E588, 8)</f>
        <v>0</v>
      </c>
      <c r="F589" s="53" t="n">
        <f aca="false" ca="false" dt2D="false" dtr="false" t="normal">HEX2BIN(F588, 8)</f>
        <v>0</v>
      </c>
      <c r="G589" s="53" t="n">
        <f aca="false" ca="false" dt2D="false" dtr="false" t="normal">HEX2BIN(G588, 8)</f>
        <v>0</v>
      </c>
      <c r="H589" s="53" t="n">
        <f aca="false" ca="false" dt2D="false" dtr="false" t="normal">HEX2BIN(H588, 8)</f>
        <v>0</v>
      </c>
      <c r="I589" s="53" t="n">
        <f aca="false" ca="false" dt2D="false" dtr="false" t="normal">HEX2BIN(I588, 8)</f>
        <v>0</v>
      </c>
      <c r="J589" s="53" t="n">
        <f aca="false" ca="false" dt2D="false" dtr="false" t="normal">HEX2BIN(J588, 8)</f>
        <v>0</v>
      </c>
      <c r="K589" s="53" t="n">
        <f aca="false" ca="false" dt2D="false" dtr="false" t="normal">HEX2BIN(K588, 8)</f>
        <v>0</v>
      </c>
      <c r="L589" s="53" t="n">
        <f aca="false" ca="false" dt2D="false" dtr="false" t="normal">HEX2BIN(L588, 8)</f>
        <v>0</v>
      </c>
      <c r="N589" s="63" t="n"/>
      <c r="P589" s="136" t="n">
        <f aca="false" ca="false" dt2D="false" dtr="false" t="normal">MID(H589, 1, 1)</f>
        <v>0</v>
      </c>
      <c r="Q589" s="137" t="n">
        <f aca="false" ca="false" dt2D="false" dtr="false" t="normal">P589</f>
        <v>0</v>
      </c>
      <c r="R589" s="120" t="s">
        <v>186</v>
      </c>
      <c r="S589" s="139" t="s">
        <v>2245</v>
      </c>
      <c r="T589" s="5946" t="s"/>
      <c r="U589" s="142" t="s"/>
      <c r="V589" s="142" t="s"/>
      <c r="W589" s="5947" t="s"/>
      <c r="X589" s="5948" t="s"/>
      <c r="Y589" s="142" t="s"/>
      <c r="Z589" s="142" t="s"/>
      <c r="AA589" s="5949" t="s"/>
      <c r="AB589" s="136" t="n">
        <f aca="false" ca="false" dt2D="false" dtr="false" t="normal">MID(K589, 1, 1)</f>
        <v>0</v>
      </c>
      <c r="AC589" s="137" t="n">
        <f aca="false" ca="false" dt2D="false" dtr="false" t="normal">AB589</f>
        <v>0</v>
      </c>
      <c r="AD589" s="120" t="s">
        <v>186</v>
      </c>
      <c r="AE589" s="139" t="s">
        <v>2246</v>
      </c>
      <c r="AF589" s="136" t="n">
        <f aca="false" ca="false" dt2D="false" dtr="false" t="normal">MID(L589, 1, 1)</f>
        <v>0</v>
      </c>
      <c r="AG589" s="137" t="n">
        <f aca="false" ca="false" dt2D="false" dtr="false" t="normal">AF589</f>
        <v>0</v>
      </c>
      <c r="AH589" s="120" t="s">
        <v>186</v>
      </c>
      <c r="AI589" s="139" t="s">
        <v>2247</v>
      </c>
      <c r="AJ589" s="5950" t="s"/>
      <c r="AK589" s="5951" t="s"/>
      <c r="AL589" s="5952" t="s"/>
    </row>
    <row hidden="false" ht="15" outlineLevel="0" r="590">
      <c r="C590" s="98" t="s">
        <v>191</v>
      </c>
      <c r="D590" s="53" t="n">
        <f aca="false" ca="false" dt2D="false" dtr="false" t="normal">HEX2DEC(D588)</f>
        <v>0</v>
      </c>
      <c r="E590" s="53" t="n">
        <f aca="false" ca="false" dt2D="false" dtr="false" t="normal">HEX2DEC(E588)</f>
        <v>0</v>
      </c>
      <c r="F590" s="53" t="n">
        <f aca="false" ca="false" dt2D="false" dtr="false" t="normal">HEX2DEC(F588)</f>
        <v>0</v>
      </c>
      <c r="G590" s="53" t="n">
        <f aca="false" ca="false" dt2D="false" dtr="false" t="normal">HEX2DEC(G588)</f>
        <v>0</v>
      </c>
      <c r="H590" s="53" t="n">
        <f aca="false" ca="false" dt2D="false" dtr="false" t="normal">HEX2DEC(H588)</f>
        <v>0</v>
      </c>
      <c r="I590" s="53" t="n">
        <f aca="false" ca="false" dt2D="false" dtr="false" t="normal">HEX2DEC(I588)</f>
        <v>0</v>
      </c>
      <c r="J590" s="53" t="n">
        <f aca="false" ca="false" dt2D="false" dtr="false" t="normal">HEX2DEC(J588)</f>
        <v>0</v>
      </c>
      <c r="K590" s="53" t="n">
        <f aca="false" ca="false" dt2D="false" dtr="false" t="normal">HEX2DEC(K588)</f>
        <v>0</v>
      </c>
      <c r="L590" s="53" t="n">
        <f aca="false" ca="false" dt2D="false" dtr="false" t="normal">HEX2DEC(L588)</f>
        <v>0</v>
      </c>
      <c r="M590" s="53" t="n">
        <f aca="false" ca="false" dt2D="false" dtr="false" t="normal">SUM(D590:L590)</f>
        <v>0</v>
      </c>
      <c r="N590" s="63" t="n"/>
      <c r="P590" s="136" t="n">
        <f aca="false" ca="false" dt2D="false" dtr="false" t="normal">MID(H589, 2, 1)</f>
        <v>0</v>
      </c>
      <c r="Q590" s="137" t="n">
        <f aca="false" ca="false" dt2D="false" dtr="false" t="normal">P590</f>
        <v>0</v>
      </c>
      <c r="R590" s="120" t="s">
        <v>192</v>
      </c>
      <c r="S590" s="139" t="s">
        <v>2248</v>
      </c>
      <c r="T590" s="5953" t="s"/>
      <c r="U590" s="142" t="s"/>
      <c r="V590" s="142" t="s"/>
      <c r="W590" s="5954" t="s"/>
      <c r="X590" s="5955" t="s"/>
      <c r="Y590" s="142" t="s"/>
      <c r="Z590" s="142" t="s"/>
      <c r="AA590" s="5956" t="s"/>
      <c r="AB590" s="136" t="n">
        <f aca="false" ca="false" dt2D="false" dtr="false" t="normal">MID(K589, 2, 1)</f>
        <v>0</v>
      </c>
      <c r="AC590" s="137" t="n">
        <f aca="false" ca="false" dt2D="false" dtr="false" t="normal">AB590</f>
        <v>0</v>
      </c>
      <c r="AD590" s="120" t="s">
        <v>192</v>
      </c>
      <c r="AE590" s="139" t="s">
        <v>2249</v>
      </c>
      <c r="AF590" s="136" t="n">
        <f aca="false" ca="false" dt2D="false" dtr="false" t="normal">MID(L589, 2, 1)</f>
        <v>0</v>
      </c>
      <c r="AG590" s="137" t="n">
        <f aca="false" ca="false" dt2D="false" dtr="false" t="normal">AF590</f>
        <v>0</v>
      </c>
      <c r="AH590" s="120" t="s">
        <v>192</v>
      </c>
      <c r="AI590" s="139" t="s">
        <v>2250</v>
      </c>
      <c r="AJ590" s="5957" t="s"/>
      <c r="AK590" s="5958" t="s"/>
      <c r="AL590" s="5959" t="s"/>
    </row>
    <row hidden="false" ht="15" outlineLevel="0" r="591">
      <c r="C591" s="98" t="s">
        <v>194</v>
      </c>
      <c r="D591" s="149" t="str">
        <f aca="false" ca="false" dt2D="false" dtr="false" t="normal">D588</f>
        <v/>
      </c>
      <c r="E591" s="149" t="str">
        <f aca="false" ca="false" dt2D="false" dtr="false" t="normal">E588</f>
        <v/>
      </c>
      <c r="F591" s="53" t="str">
        <f aca="false" ca="false" dt2D="false" dtr="false" t="normal">_XLFN.IFNA(MID(INDEX($A$3:$A$70, IF(ISNA(MATCH("720G4IC*", $A$3:$A$70, 0))=TRUE, MATCH("7200444*", $A$3:$A$70, 0), MATCH("720G4IC*", $A$3:$A$70, 0))), $AS$8, 2), "")</f>
        <v/>
      </c>
      <c r="G591" s="53" t="str">
        <f aca="false" ca="false" dt2D="false" dtr="false" t="normal">_XLFN.IFNA(MID(INDEX($A$3:$A$70, IF(ISNA(MATCH("720G4IC*", $A$3:$A$70, 0))=TRUE, MATCH("7200444*", $A$3:$A$70, 0), MATCH("720G4IC*", $A$3:$A$70, 0))), $AT$8, 2), "")</f>
        <v/>
      </c>
      <c r="N591" s="63" t="n"/>
      <c r="P591" s="136" t="n">
        <f aca="false" ca="false" dt2D="false" dtr="false" t="normal">MID(H589, 3, 1)</f>
        <v>0</v>
      </c>
      <c r="Q591" s="137" t="n">
        <f aca="false" ca="false" dt2D="false" dtr="false" t="normal">P591</f>
        <v>0</v>
      </c>
      <c r="R591" s="120" t="s">
        <v>195</v>
      </c>
      <c r="S591" s="139" t="s">
        <v>2251</v>
      </c>
      <c r="T591" s="5960" t="s"/>
      <c r="U591" s="142" t="s"/>
      <c r="V591" s="142" t="s"/>
      <c r="W591" s="5961" t="s"/>
      <c r="X591" s="5962" t="s"/>
      <c r="Y591" s="142" t="s"/>
      <c r="Z591" s="142" t="s"/>
      <c r="AA591" s="5963" t="s"/>
      <c r="AB591" s="136" t="n">
        <f aca="false" ca="false" dt2D="false" dtr="false" t="normal">MID(K589, 3, 1)</f>
        <v>0</v>
      </c>
      <c r="AC591" s="137" t="n">
        <f aca="false" ca="false" dt2D="false" dtr="false" t="normal">AB591</f>
        <v>0</v>
      </c>
      <c r="AD591" s="120" t="s">
        <v>195</v>
      </c>
      <c r="AE591" s="139" t="s">
        <v>2252</v>
      </c>
      <c r="AF591" s="136" t="n">
        <f aca="false" ca="false" dt2D="false" dtr="false" t="normal">MID(L589, 3, 1)</f>
        <v>0</v>
      </c>
      <c r="AG591" s="137" t="n">
        <f aca="false" ca="false" dt2D="false" dtr="false" t="normal">AF591</f>
        <v>0</v>
      </c>
      <c r="AH591" s="120" t="s">
        <v>195</v>
      </c>
      <c r="AI591" s="139" t="s">
        <v>2253</v>
      </c>
      <c r="AJ591" s="5964" t="s"/>
      <c r="AK591" s="5965" t="s"/>
      <c r="AL591" s="5966" t="s"/>
    </row>
    <row hidden="false" ht="15.75" outlineLevel="0" r="592">
      <c r="C592" s="98" t="n"/>
      <c r="N592" s="63" t="n"/>
      <c r="P592" s="136" t="n">
        <f aca="false" ca="false" dt2D="false" dtr="false" t="normal">MID(H589, 4, 1)</f>
        <v>0</v>
      </c>
      <c r="Q592" s="137" t="n">
        <f aca="false" ca="false" dt2D="false" dtr="false" t="normal">P592</f>
        <v>0</v>
      </c>
      <c r="R592" s="120" t="s">
        <v>197</v>
      </c>
      <c r="S592" s="139" t="s">
        <v>2254</v>
      </c>
      <c r="T592" s="5967" t="s"/>
      <c r="U592" s="142" t="s"/>
      <c r="V592" s="142" t="s"/>
      <c r="W592" s="5968" t="s"/>
      <c r="X592" s="5969" t="s"/>
      <c r="Y592" s="142" t="s"/>
      <c r="Z592" s="142" t="s"/>
      <c r="AA592" s="5970" t="s"/>
      <c r="AB592" s="136" t="n">
        <f aca="false" ca="false" dt2D="false" dtr="false" t="normal">MID(K589, 4, 1)</f>
        <v>0</v>
      </c>
      <c r="AC592" s="137" t="n">
        <f aca="false" ca="false" dt2D="false" dtr="false" t="normal">AB592</f>
        <v>0</v>
      </c>
      <c r="AD592" s="120" t="s">
        <v>197</v>
      </c>
      <c r="AE592" s="139" t="s">
        <v>2255</v>
      </c>
      <c r="AF592" s="136" t="n">
        <f aca="false" ca="false" dt2D="false" dtr="false" t="normal">MID(L589, 4, 1)</f>
        <v>0</v>
      </c>
      <c r="AG592" s="137" t="n">
        <f aca="false" ca="false" dt2D="false" dtr="false" t="normal">AF592</f>
        <v>0</v>
      </c>
      <c r="AH592" s="120" t="s">
        <v>197</v>
      </c>
      <c r="AI592" s="139" t="s">
        <v>2256</v>
      </c>
      <c r="AJ592" s="5971" t="s"/>
      <c r="AK592" s="5972" t="s"/>
      <c r="AL592" s="5973" t="s"/>
    </row>
    <row hidden="false" ht="15.75" outlineLevel="0" r="593">
      <c r="C593" s="98" t="s">
        <v>176</v>
      </c>
      <c r="D593" s="159" t="str">
        <f aca="false" ca="false" dt2D="false" dtr="false" t="normal">D588</f>
        <v/>
      </c>
      <c r="E593" s="160" t="str">
        <f aca="false" ca="false" dt2D="false" dtr="false" t="normal">E588</f>
        <v/>
      </c>
      <c r="F593" s="160" t="str">
        <f aca="false" ca="false" dt2D="false" dtr="false" t="normal">F588</f>
        <v/>
      </c>
      <c r="G593" s="161" t="str">
        <f aca="false" ca="false" dt2D="false" dtr="false" t="normal">G588</f>
        <v/>
      </c>
      <c r="H593" s="162" t="str">
        <f aca="false" ca="false" dt2D="false" dtr="false" t="normal">IF(J412="", "", BIN2HEX(H594, 2))</f>
        <v/>
      </c>
      <c r="I593" s="1916" t="str">
        <f aca="false" ca="false" dt2D="false" dtr="false" t="normal">I588</f>
        <v/>
      </c>
      <c r="J593" s="2217" t="str">
        <f aca="false" ca="false" dt2D="false" dtr="false" t="normal">J588</f>
        <v/>
      </c>
      <c r="K593" s="165" t="str">
        <f aca="false" ca="false" dt2D="false" dtr="false" t="normal">IF(J412="", "", BIN2HEX(K594, 2))</f>
        <v/>
      </c>
      <c r="L593" s="288" t="str">
        <f aca="false" ca="false" dt2D="false" dtr="false" t="normal">IF(J412="", "", BIN2HEX(L594, 2))</f>
        <v/>
      </c>
      <c r="M593" s="166" t="str">
        <f aca="false" ca="false" dt2D="false" dtr="false" t="normal">IF(J412="", "", IF(LEN(M594)&gt;2, MID(M594, 2, 2), M594))</f>
        <v/>
      </c>
      <c r="N593" s="63" t="s">
        <v>181</v>
      </c>
      <c r="P593" s="136" t="n">
        <f aca="false" ca="false" dt2D="false" dtr="false" t="normal">MID(H589, 5, 1)</f>
        <v>0</v>
      </c>
      <c r="Q593" s="137" t="n">
        <f aca="false" ca="false" dt2D="false" dtr="false" t="normal">P593</f>
        <v>0</v>
      </c>
      <c r="R593" s="120" t="s">
        <v>200</v>
      </c>
      <c r="S593" s="139" t="s">
        <v>2257</v>
      </c>
      <c r="T593" s="5974" t="s"/>
      <c r="U593" s="142" t="s"/>
      <c r="V593" s="142" t="s"/>
      <c r="W593" s="5975" t="s"/>
      <c r="X593" s="5976" t="s"/>
      <c r="Y593" s="142" t="s"/>
      <c r="Z593" s="142" t="s"/>
      <c r="AA593" s="5977" t="s"/>
      <c r="AB593" s="136" t="n">
        <f aca="false" ca="false" dt2D="false" dtr="false" t="normal">MID(K589, 5, 1)</f>
        <v>0</v>
      </c>
      <c r="AC593" s="137" t="n">
        <f aca="false" ca="false" dt2D="false" dtr="false" t="normal">AB593</f>
        <v>0</v>
      </c>
      <c r="AD593" s="120" t="s">
        <v>200</v>
      </c>
      <c r="AE593" s="139" t="s">
        <v>2258</v>
      </c>
      <c r="AF593" s="136" t="n">
        <f aca="false" ca="false" dt2D="false" dtr="false" t="normal">MID(L589, 5, 1)</f>
        <v>0</v>
      </c>
      <c r="AG593" s="137" t="n">
        <f aca="false" ca="false" dt2D="false" dtr="false" t="normal">AF593</f>
        <v>0</v>
      </c>
      <c r="AH593" s="120" t="s">
        <v>200</v>
      </c>
      <c r="AI593" s="139" t="s">
        <v>2259</v>
      </c>
      <c r="AJ593" s="5978" t="s"/>
      <c r="AK593" s="5979" t="s"/>
      <c r="AL593" s="5980" t="s"/>
    </row>
    <row hidden="false" ht="15" outlineLevel="0" r="594">
      <c r="C594" s="98" t="s">
        <v>185</v>
      </c>
      <c r="D594" s="53" t="n">
        <f aca="false" ca="false" dt2D="false" dtr="false" t="normal">HEX2BIN(D593, 8)</f>
        <v>0</v>
      </c>
      <c r="E594" s="53" t="n">
        <f aca="false" ca="false" dt2D="false" dtr="false" t="normal">HEX2BIN(E593, 8)</f>
        <v>0</v>
      </c>
      <c r="F594" s="53" t="n">
        <f aca="false" ca="false" dt2D="false" dtr="false" t="normal">HEX2BIN(F593, 8)</f>
        <v>0</v>
      </c>
      <c r="G594" s="53" t="n">
        <f aca="false" ca="false" dt2D="false" dtr="false" t="normal">HEX2BIN(G593, 8)</f>
        <v>0</v>
      </c>
      <c r="H594" s="171" t="n">
        <f aca="false" ca="false" dt2D="false" dtr="false" t="normal">Q589&amp;Q590&amp;Q591&amp;Q592&amp;Q593&amp;Q594&amp;Q595&amp;Q596</f>
        <v>0</v>
      </c>
      <c r="I594" s="53" t="n"/>
      <c r="J594" s="171" t="n"/>
      <c r="K594" s="171" t="n">
        <f aca="false" ca="false" dt2D="false" dtr="false" t="normal">AC589&amp;AC590&amp;AC591&amp;AC592&amp;AC593&amp;AC594&amp;AC595&amp;AC596</f>
        <v>0</v>
      </c>
      <c r="L594" s="53" t="n">
        <f aca="false" ca="false" dt2D="false" dtr="false" t="normal">AG589&amp;AG590&amp;AG591&amp;AG592&amp;AG593&amp;AG594&amp;AG595&amp;AG596</f>
        <v>0</v>
      </c>
      <c r="M594" s="53" t="n">
        <f aca="false" ca="false" dt2D="false" dtr="false" t="normal">DEC2HEX(M595)</f>
        <v>0</v>
      </c>
      <c r="N594" s="63" t="n"/>
      <c r="P594" s="136" t="n">
        <f aca="false" ca="false" dt2D="false" dtr="false" t="normal">MID(H589, 6, 1)</f>
        <v>0</v>
      </c>
      <c r="Q594" s="137" t="n">
        <f aca="false" ca="false" dt2D="false" dtr="false" t="normal">P594</f>
        <v>0</v>
      </c>
      <c r="R594" s="120" t="s">
        <v>203</v>
      </c>
      <c r="S594" s="139" t="s">
        <v>2260</v>
      </c>
      <c r="T594" s="5981" t="s"/>
      <c r="U594" s="142" t="s"/>
      <c r="V594" s="142" t="s"/>
      <c r="W594" s="5982" t="s"/>
      <c r="X594" s="5983" t="s"/>
      <c r="Y594" s="142" t="s"/>
      <c r="Z594" s="142" t="s"/>
      <c r="AA594" s="5984" t="s"/>
      <c r="AB594" s="136" t="n">
        <f aca="false" ca="false" dt2D="false" dtr="false" t="normal">MID(K589, 6, 1)</f>
        <v>0</v>
      </c>
      <c r="AC594" s="137" t="n">
        <f aca="false" ca="false" dt2D="false" dtr="false" t="normal">AB594</f>
        <v>0</v>
      </c>
      <c r="AD594" s="120" t="s">
        <v>203</v>
      </c>
      <c r="AE594" s="139" t="s">
        <v>2261</v>
      </c>
      <c r="AF594" s="136" t="n">
        <f aca="false" ca="false" dt2D="false" dtr="false" t="normal">MID(L589, 6, 1)</f>
        <v>0</v>
      </c>
      <c r="AG594" s="137" t="n">
        <f aca="false" ca="false" dt2D="false" dtr="false" t="normal">AF594</f>
        <v>0</v>
      </c>
      <c r="AH594" s="120" t="s">
        <v>203</v>
      </c>
      <c r="AI594" s="139" t="s">
        <v>1140</v>
      </c>
      <c r="AJ594" s="5985" t="s"/>
      <c r="AK594" s="5986" t="s"/>
      <c r="AL594" s="5987" t="s"/>
    </row>
    <row hidden="false" ht="15" outlineLevel="0" r="595">
      <c r="C595" s="98" t="s">
        <v>191</v>
      </c>
      <c r="D595" s="53" t="n">
        <f aca="false" ca="false" dt2D="false" dtr="false" t="normal">HEX2DEC(D593)</f>
        <v>0</v>
      </c>
      <c r="E595" s="53" t="n">
        <f aca="false" ca="false" dt2D="false" dtr="false" t="normal">HEX2DEC(E593)</f>
        <v>0</v>
      </c>
      <c r="F595" s="53" t="n">
        <f aca="false" ca="false" dt2D="false" dtr="false" t="normal">HEX2DEC(F593)</f>
        <v>0</v>
      </c>
      <c r="G595" s="53" t="n">
        <f aca="false" ca="false" dt2D="false" dtr="false" t="normal">HEX2DEC(G593)</f>
        <v>0</v>
      </c>
      <c r="H595" s="53" t="n">
        <f aca="false" ca="false" dt2D="false" dtr="false" t="normal">HEX2DEC(H593)</f>
        <v>0</v>
      </c>
      <c r="I595" s="53" t="n">
        <f aca="false" ca="false" dt2D="false" dtr="false" t="normal">HEX2DEC(I593)</f>
        <v>0</v>
      </c>
      <c r="J595" s="53" t="n">
        <f aca="false" ca="false" dt2D="false" dtr="false" t="normal">HEX2DEC(J593)</f>
        <v>0</v>
      </c>
      <c r="K595" s="53" t="n">
        <f aca="false" ca="false" dt2D="false" dtr="false" t="normal">HEX2DEC(K593)</f>
        <v>0</v>
      </c>
      <c r="L595" s="53" t="n">
        <f aca="false" ca="false" dt2D="false" dtr="false" t="normal">HEX2DEC(L593)</f>
        <v>0</v>
      </c>
      <c r="M595" s="53" t="n">
        <f aca="false" ca="false" dt2D="false" dtr="false" t="normal">SUM(D595:L595)</f>
        <v>0</v>
      </c>
      <c r="N595" s="63" t="n"/>
      <c r="P595" s="136" t="n">
        <f aca="false" ca="false" dt2D="false" dtr="false" t="normal">MID(H589, 7, 1)</f>
        <v>0</v>
      </c>
      <c r="Q595" s="137" t="n">
        <f aca="false" ca="false" dt2D="false" dtr="false" t="normal">P595</f>
        <v>0</v>
      </c>
      <c r="R595" s="120" t="s">
        <v>206</v>
      </c>
      <c r="S595" s="139" t="s">
        <v>2262</v>
      </c>
      <c r="T595" s="5988" t="s"/>
      <c r="U595" s="142" t="s"/>
      <c r="V595" s="142" t="s"/>
      <c r="W595" s="5989" t="s"/>
      <c r="X595" s="5990" t="s"/>
      <c r="Y595" s="142" t="s"/>
      <c r="Z595" s="142" t="s"/>
      <c r="AA595" s="5991" t="s"/>
      <c r="AB595" s="136" t="n">
        <f aca="false" ca="false" dt2D="false" dtr="false" t="normal">MID(K589, 7, 1)</f>
        <v>0</v>
      </c>
      <c r="AC595" s="137" t="n">
        <f aca="false" ca="false" dt2D="false" dtr="false" t="normal">AB595</f>
        <v>0</v>
      </c>
      <c r="AD595" s="120" t="s">
        <v>206</v>
      </c>
      <c r="AE595" s="139" t="s">
        <v>2263</v>
      </c>
      <c r="AF595" s="136" t="n">
        <f aca="false" ca="false" dt2D="false" dtr="false" t="normal">MID(L589, 7, 1)</f>
        <v>0</v>
      </c>
      <c r="AG595" s="137" t="n">
        <f aca="false" ca="false" dt2D="false" dtr="false" t="normal">AF595</f>
        <v>0</v>
      </c>
      <c r="AH595" s="120" t="s">
        <v>206</v>
      </c>
      <c r="AI595" s="139" t="s">
        <v>2264</v>
      </c>
      <c r="AJ595" s="5992" t="s"/>
      <c r="AK595" s="5993" t="s"/>
      <c r="AL595" s="5994" t="s"/>
    </row>
    <row hidden="false" ht="15.75" outlineLevel="0" r="596">
      <c r="C596" s="180" t="s">
        <v>194</v>
      </c>
      <c r="D596" s="299" t="str">
        <f aca="false" ca="false" dt2D="false" dtr="false" t="normal">D591</f>
        <v/>
      </c>
      <c r="E596" s="299" t="str">
        <f aca="false" ca="false" dt2D="false" dtr="false" t="normal">E591</f>
        <v/>
      </c>
      <c r="F596" s="299" t="str">
        <f aca="false" ca="false" dt2D="false" dtr="false" t="normal">F591</f>
        <v/>
      </c>
      <c r="G596" s="299" t="str">
        <f aca="false" ca="false" dt2D="false" dtr="false" t="normal">G591</f>
        <v/>
      </c>
      <c r="H596" s="45" t="n"/>
      <c r="I596" s="45" t="n"/>
      <c r="J596" s="45" t="n"/>
      <c r="K596" s="45" t="n"/>
      <c r="L596" s="45" t="n"/>
      <c r="M596" s="45" t="n"/>
      <c r="N596" s="49" t="n"/>
      <c r="P596" s="182" t="n">
        <f aca="false" ca="false" dt2D="false" dtr="false" t="normal">MID(H589, 8, 1)</f>
        <v>0</v>
      </c>
      <c r="Q596" s="183" t="n">
        <f aca="false" ca="false" dt2D="false" dtr="false" t="normal">P596</f>
        <v>0</v>
      </c>
      <c r="R596" s="184" t="s">
        <v>208</v>
      </c>
      <c r="S596" s="187" t="s">
        <v>2265</v>
      </c>
      <c r="T596" s="5995" t="s"/>
      <c r="U596" s="5996" t="s"/>
      <c r="V596" s="5997" t="s"/>
      <c r="W596" s="5998" t="s"/>
      <c r="X596" s="5999" t="s"/>
      <c r="Y596" s="6000" t="s"/>
      <c r="Z596" s="6001" t="s"/>
      <c r="AA596" s="6002" t="s"/>
      <c r="AB596" s="182" t="n">
        <f aca="false" ca="false" dt2D="false" dtr="false" t="normal">MID(K589, 8, 1)</f>
        <v>0</v>
      </c>
      <c r="AC596" s="183" t="n">
        <f aca="false" ca="false" dt2D="false" dtr="false" t="normal">AB596</f>
        <v>0</v>
      </c>
      <c r="AD596" s="184" t="s">
        <v>208</v>
      </c>
      <c r="AE596" s="187" t="s">
        <v>2266</v>
      </c>
      <c r="AF596" s="182" t="n">
        <f aca="false" ca="false" dt2D="false" dtr="false" t="normal">MID(L589, 8, 1)</f>
        <v>0</v>
      </c>
      <c r="AG596" s="183" t="n">
        <f aca="false" ca="false" dt2D="false" dtr="false" t="normal">AF596</f>
        <v>0</v>
      </c>
      <c r="AH596" s="184" t="s">
        <v>208</v>
      </c>
      <c r="AI596" s="187" t="s">
        <v>2267</v>
      </c>
      <c r="AJ596" s="6003" t="s"/>
      <c r="AK596" s="6004" t="s"/>
      <c r="AL596" s="6005" t="s"/>
    </row>
    <row hidden="false" ht="15.75" outlineLevel="0" r="597">
      <c r="C597" s="93" t="n"/>
      <c r="D597" s="94" t="n"/>
      <c r="E597" s="94" t="n"/>
      <c r="F597" s="94" t="n"/>
      <c r="G597" s="94" t="n"/>
      <c r="H597" s="94" t="n"/>
      <c r="I597" s="94" t="n"/>
      <c r="J597" s="94" t="n"/>
      <c r="K597" s="94" t="n"/>
      <c r="L597" s="94" t="n"/>
      <c r="M597" s="94" t="s">
        <v>161</v>
      </c>
      <c r="N597" s="60" t="n"/>
      <c r="P597" s="95" t="str">
        <f aca="false" ca="false" dt2D="false" dtr="false" t="normal">RIGHT(D599, 1)&amp;E599&amp;"-"&amp;F599&amp;"-"&amp;G599</f>
        <v>--</v>
      </c>
      <c r="Q597" s="6006" t="s"/>
      <c r="R597" s="234" t="s">
        <v>2268</v>
      </c>
      <c r="S597" s="6007" t="s"/>
      <c r="T597" s="6008" t="s"/>
      <c r="U597" s="6009" t="s"/>
      <c r="V597" s="6010" t="s"/>
      <c r="W597" s="6011" t="s"/>
      <c r="X597" s="6012" t="s"/>
      <c r="Y597" s="6013" t="s"/>
      <c r="Z597" s="6014" t="s"/>
      <c r="AA597" s="6015" t="s"/>
      <c r="AB597" s="6016" t="s"/>
      <c r="AC597" s="6017" t="s"/>
      <c r="AD597" s="6018" t="s"/>
      <c r="AE597" s="6019" t="s"/>
      <c r="AF597" s="6020" t="s"/>
      <c r="AG597" s="6021" t="s"/>
      <c r="AH597" s="6022" t="s"/>
      <c r="AI597" s="6023" t="s"/>
      <c r="AJ597" s="6024" t="s"/>
      <c r="AK597" s="6025" t="s"/>
      <c r="AL597" s="6026" t="s"/>
    </row>
    <row hidden="false" ht="15.75" outlineLevel="0" r="598">
      <c r="C598" s="98" t="n"/>
      <c r="D598" s="99" t="s">
        <v>2269</v>
      </c>
      <c r="E598" s="6027" t="s"/>
      <c r="F598" s="6028" t="s"/>
      <c r="G598" s="6029" t="s"/>
      <c r="H598" s="53" t="s">
        <v>165</v>
      </c>
      <c r="I598" s="53" t="s">
        <v>166</v>
      </c>
      <c r="J598" s="53" t="s">
        <v>167</v>
      </c>
      <c r="K598" s="53" t="s">
        <v>168</v>
      </c>
      <c r="L598" s="53" t="s">
        <v>169</v>
      </c>
      <c r="M598" s="53" t="s">
        <v>221</v>
      </c>
      <c r="N598" s="63" t="n"/>
      <c r="P598" s="103" t="s">
        <v>2270</v>
      </c>
      <c r="Q598" s="6030" t="s"/>
      <c r="R598" s="6031" t="s"/>
      <c r="S598" s="6032" t="s"/>
      <c r="T598" s="103" t="s">
        <v>2271</v>
      </c>
      <c r="U598" s="6033" t="s"/>
      <c r="V598" s="6034" t="s"/>
      <c r="W598" s="6035" t="s"/>
      <c r="X598" s="103" t="s">
        <v>2272</v>
      </c>
      <c r="Y598" s="6036" t="s"/>
      <c r="Z598" s="6037" t="s"/>
      <c r="AA598" s="6038" t="s"/>
      <c r="AB598" s="103" t="s">
        <v>2273</v>
      </c>
      <c r="AC598" s="6039" t="s"/>
      <c r="AD598" s="6040" t="s"/>
      <c r="AE598" s="6041" t="s"/>
      <c r="AF598" s="103" t="s">
        <v>2274</v>
      </c>
      <c r="AG598" s="6042" t="s"/>
      <c r="AH598" s="6043" t="s"/>
      <c r="AI598" s="6044" t="s"/>
      <c r="AJ598" s="103" t="s">
        <v>2275</v>
      </c>
      <c r="AK598" s="6045" t="s"/>
      <c r="AL598" s="6046" t="s"/>
    </row>
    <row hidden="false" ht="15.75" outlineLevel="0" r="599">
      <c r="C599" s="98" t="s">
        <v>176</v>
      </c>
      <c r="D599" s="122" t="str">
        <f aca="false" ca="false" dt2D="false" dtr="false" t="normal">IF(J412="", "", 7)</f>
        <v/>
      </c>
      <c r="E599" s="123" t="str">
        <f aca="false" ca="false" dt2D="false" dtr="false" t="normal">IF(J412="", "", 20)</f>
        <v/>
      </c>
      <c r="F599" s="123" t="str">
        <f aca="false" ca="false" dt2D="false" dtr="false" t="normal">IF(J412="", "", 4)</f>
        <v/>
      </c>
      <c r="G599" s="124" t="str">
        <f aca="false" ca="false" dt2D="false" dtr="false" t="normal">IF(J412="", "", 45)</f>
        <v/>
      </c>
      <c r="H599" s="1819" t="str">
        <f aca="false" ca="false" dt2D="false" dtr="false" ref="H599:H599" t="array">_XLFN.IFNA(MID(INDEX($A$3:$A$70, IF(ISNA(MATCH("720G4ID*", $A$3:$A$70, 0))=TRUE, MATCH("7200445*", $A$3:$A$70, 0), MATCH("720G4ID*", $A$3:$A$70, 0))), $AU$8, 2), "")</f>
        <v/>
      </c>
      <c r="I599" s="1820" t="str">
        <f aca="false" ca="false" dt2D="false" dtr="false" ref="I599:I599" t="array">_XLFN.IFNA(MID(INDEX($A$3:$A$70, IF(ISNA(MATCH("720G4ID*", $A$3:$A$70, 0))=TRUE, MATCH("7200445*", $A$3:$A$70, 0), MATCH("720G4ID*", $A$3:$A$70, 0))), $AV$8, 2), "")</f>
        <v/>
      </c>
      <c r="J599" s="164" t="str">
        <f aca="false" ca="false" dt2D="false" dtr="false" ref="J599:J599" t="array">_XLFN.IFNA(MID(INDEX($A$3:$A$70, IF(ISNA(MATCH("720G4ID*", $A$3:$A$70, 0))=TRUE, MATCH("7200445*", $A$3:$A$70, 0), MATCH("720G4ID*", $A$3:$A$70, 0))), $AW$8, 2), "")</f>
        <v/>
      </c>
      <c r="K599" s="1820" t="str">
        <f aca="false" ca="false" dt2D="false" dtr="false" ref="K599:K599" t="array">_XLFN.IFNA(MID(INDEX($A$3:$A$70, IF(ISNA(MATCH("720G4ID*", $A$3:$A$70, 0))=TRUE, MATCH("7200445*", $A$3:$A$70, 0), MATCH("720G4ID*", $A$3:$A$70, 0))), $AX$8, 2), "")</f>
        <v/>
      </c>
      <c r="L599" s="1821" t="str">
        <f aca="false" ca="false" dt2D="false" dtr="false" ref="L599:L599" t="array">_XLFN.IFNA(MID(INDEX($A$3:$A$70, IF(ISNA(MATCH("720G4ID*", $A$3:$A$70, 0))=TRUE, MATCH("7200445*", $A$3:$A$70, 0), MATCH("720G4ID*", $A$3:$A$70, 0))), $AY$8, 2), "")</f>
        <v/>
      </c>
      <c r="M599" s="218" t="str">
        <f aca="false" ca="false" dt2D="false" dtr="false" ref="M599:M599" t="array">_XLFN.IFNA(MID(INDEX($A$3:$A$70, IF(ISNA(MATCH("720G4ID*", $A$3:$A$70, 0))=TRUE, MATCH("7200445*", $A$3:$A$70, 0), MATCH("720G4ID*", $A$3:$A$70, 0))), $AZ$8, 2), "")</f>
        <v/>
      </c>
      <c r="N599" s="63" t="s">
        <v>180</v>
      </c>
      <c r="P599" s="129" t="s">
        <v>180</v>
      </c>
      <c r="Q599" s="130" t="s">
        <v>181</v>
      </c>
      <c r="R599" s="121" t="s">
        <v>182</v>
      </c>
      <c r="S599" s="131" t="n"/>
      <c r="T599" s="129" t="s">
        <v>180</v>
      </c>
      <c r="U599" s="130" t="s">
        <v>181</v>
      </c>
      <c r="V599" s="121" t="s">
        <v>182</v>
      </c>
      <c r="W599" s="131" t="n"/>
      <c r="X599" s="129" t="s">
        <v>180</v>
      </c>
      <c r="Y599" s="130" t="s">
        <v>181</v>
      </c>
      <c r="Z599" s="121" t="s">
        <v>182</v>
      </c>
      <c r="AA599" s="131" t="n"/>
      <c r="AB599" s="129" t="s">
        <v>180</v>
      </c>
      <c r="AC599" s="130" t="s">
        <v>181</v>
      </c>
      <c r="AD599" s="121" t="s">
        <v>182</v>
      </c>
      <c r="AE599" s="131" t="n"/>
      <c r="AF599" s="116" t="n"/>
      <c r="AG599" s="6047" t="s"/>
      <c r="AH599" s="6048" t="s"/>
      <c r="AI599" s="6049" t="s"/>
      <c r="AJ599" s="116" t="s">
        <v>183</v>
      </c>
      <c r="AK599" s="6050" t="s"/>
      <c r="AL599" s="6051" t="s"/>
    </row>
    <row hidden="false" ht="15" outlineLevel="0" r="600">
      <c r="C600" s="98" t="s">
        <v>185</v>
      </c>
      <c r="D600" s="53" t="n">
        <f aca="false" ca="false" dt2D="false" dtr="false" t="normal">HEX2BIN(D599, 8)</f>
        <v>0</v>
      </c>
      <c r="E600" s="53" t="n">
        <f aca="false" ca="false" dt2D="false" dtr="false" t="normal">HEX2BIN(E599, 8)</f>
        <v>0</v>
      </c>
      <c r="F600" s="53" t="n">
        <f aca="false" ca="false" dt2D="false" dtr="false" t="normal">HEX2BIN(F599, 8)</f>
        <v>0</v>
      </c>
      <c r="G600" s="53" t="n">
        <f aca="false" ca="false" dt2D="false" dtr="false" t="normal">HEX2BIN(G599, 8)</f>
        <v>0</v>
      </c>
      <c r="H600" s="53" t="n">
        <f aca="false" ca="false" dt2D="false" dtr="false" t="normal">HEX2BIN(H599, 8)</f>
        <v>0</v>
      </c>
      <c r="I600" s="53" t="n">
        <f aca="false" ca="false" dt2D="false" dtr="false" t="normal">HEX2BIN(I599, 8)</f>
        <v>0</v>
      </c>
      <c r="J600" s="53" t="n">
        <f aca="false" ca="false" dt2D="false" dtr="false" t="normal">HEX2BIN(J599, 8)</f>
        <v>0</v>
      </c>
      <c r="K600" s="53" t="n">
        <f aca="false" ca="false" dt2D="false" dtr="false" t="normal">HEX2BIN(K599, 8)</f>
        <v>0</v>
      </c>
      <c r="L600" s="53" t="n">
        <f aca="false" ca="false" dt2D="false" dtr="false" t="normal">HEX2BIN(L599, 8)</f>
        <v>0</v>
      </c>
      <c r="N600" s="63" t="n"/>
      <c r="P600" s="136" t="n">
        <f aca="false" ca="false" dt2D="false" dtr="false" t="normal">MID(H600, 1, 1)</f>
        <v>0</v>
      </c>
      <c r="Q600" s="137" t="n">
        <f aca="false" ca="false" dt2D="false" dtr="false" t="normal">P600</f>
        <v>0</v>
      </c>
      <c r="R600" s="120" t="s">
        <v>186</v>
      </c>
      <c r="S600" s="139" t="s">
        <v>2276</v>
      </c>
      <c r="T600" s="136" t="n">
        <f aca="false" ca="false" dt2D="false" dtr="false" t="normal">MID(I600, 1, 1)</f>
        <v>0</v>
      </c>
      <c r="U600" s="137" t="n">
        <f aca="false" ca="false" dt2D="false" dtr="false" t="normal">T600</f>
        <v>0</v>
      </c>
      <c r="V600" s="120" t="s">
        <v>186</v>
      </c>
      <c r="W600" s="139" t="s">
        <v>2277</v>
      </c>
      <c r="X600" s="136" t="n">
        <f aca="false" ca="false" dt2D="false" dtr="false" t="normal">MID(J600, 1, 1)</f>
        <v>0</v>
      </c>
      <c r="Y600" s="137" t="n">
        <f aca="false" ca="false" dt2D="false" dtr="false" t="normal">X600</f>
        <v>0</v>
      </c>
      <c r="Z600" s="120" t="s">
        <v>186</v>
      </c>
      <c r="AA600" s="139" t="s">
        <v>2278</v>
      </c>
      <c r="AB600" s="136" t="n">
        <f aca="false" ca="false" dt2D="false" dtr="false" t="normal">MID(K600, 1, 1)</f>
        <v>0</v>
      </c>
      <c r="AC600" s="137" t="n">
        <f aca="false" ca="false" dt2D="false" dtr="false" t="normal">AB600</f>
        <v>0</v>
      </c>
      <c r="AD600" s="120" t="s">
        <v>186</v>
      </c>
      <c r="AE600" s="139" t="s">
        <v>2279</v>
      </c>
      <c r="AF600" s="6052" t="s"/>
      <c r="AG600" s="142" t="s"/>
      <c r="AH600" s="142" t="s"/>
      <c r="AI600" s="6053" t="s"/>
      <c r="AJ600" s="6054" t="s"/>
      <c r="AK600" s="6055" t="s"/>
      <c r="AL600" s="6056" t="s"/>
    </row>
    <row hidden="false" ht="15" outlineLevel="0" r="601">
      <c r="C601" s="98" t="s">
        <v>191</v>
      </c>
      <c r="D601" s="53" t="n">
        <f aca="false" ca="false" dt2D="false" dtr="false" t="normal">HEX2DEC(D599)</f>
        <v>0</v>
      </c>
      <c r="E601" s="53" t="n">
        <f aca="false" ca="false" dt2D="false" dtr="false" t="normal">HEX2DEC(E599)</f>
        <v>0</v>
      </c>
      <c r="F601" s="53" t="n">
        <f aca="false" ca="false" dt2D="false" dtr="false" t="normal">HEX2DEC(F599)</f>
        <v>0</v>
      </c>
      <c r="G601" s="53" t="n">
        <f aca="false" ca="false" dt2D="false" dtr="false" t="normal">HEX2DEC(G599)</f>
        <v>0</v>
      </c>
      <c r="H601" s="53" t="n">
        <f aca="false" ca="false" dt2D="false" dtr="false" t="normal">HEX2DEC(H599)</f>
        <v>0</v>
      </c>
      <c r="I601" s="53" t="n">
        <f aca="false" ca="false" dt2D="false" dtr="false" t="normal">HEX2DEC(I599)</f>
        <v>0</v>
      </c>
      <c r="J601" s="53" t="n">
        <f aca="false" ca="false" dt2D="false" dtr="false" t="normal">HEX2DEC(J599)</f>
        <v>0</v>
      </c>
      <c r="K601" s="53" t="n">
        <f aca="false" ca="false" dt2D="false" dtr="false" t="normal">HEX2DEC(K599)</f>
        <v>0</v>
      </c>
      <c r="L601" s="53" t="n">
        <f aca="false" ca="false" dt2D="false" dtr="false" t="normal">HEX2DEC(L599)</f>
        <v>0</v>
      </c>
      <c r="M601" s="53" t="n">
        <f aca="false" ca="false" dt2D="false" dtr="false" t="normal">SUM(D601:L601)</f>
        <v>0</v>
      </c>
      <c r="N601" s="63" t="n"/>
      <c r="P601" s="136" t="n">
        <f aca="false" ca="false" dt2D="false" dtr="false" t="normal">MID(H600, 2, 1)</f>
        <v>0</v>
      </c>
      <c r="Q601" s="137" t="n">
        <f aca="false" ca="false" dt2D="false" dtr="false" t="normal">P601</f>
        <v>0</v>
      </c>
      <c r="R601" s="120" t="s">
        <v>192</v>
      </c>
      <c r="S601" s="139" t="s">
        <v>2280</v>
      </c>
      <c r="T601" s="136" t="n">
        <f aca="false" ca="false" dt2D="false" dtr="false" t="normal">MID(I600, 2, 1)</f>
        <v>0</v>
      </c>
      <c r="U601" s="137" t="n">
        <f aca="false" ca="false" dt2D="false" dtr="false" t="normal">T601</f>
        <v>0</v>
      </c>
      <c r="V601" s="120" t="s">
        <v>192</v>
      </c>
      <c r="W601" s="139" t="s">
        <v>1142</v>
      </c>
      <c r="X601" s="136" t="n">
        <f aca="false" ca="false" dt2D="false" dtr="false" t="normal">MID(J600, 2, 1)</f>
        <v>0</v>
      </c>
      <c r="Y601" s="137" t="n">
        <f aca="false" ca="false" dt2D="false" dtr="false" t="normal">X601</f>
        <v>0</v>
      </c>
      <c r="Z601" s="120" t="s">
        <v>192</v>
      </c>
      <c r="AA601" s="139" t="s">
        <v>2281</v>
      </c>
      <c r="AB601" s="136" t="n">
        <f aca="false" ca="false" dt2D="false" dtr="false" t="normal">MID(K600, 2, 1)</f>
        <v>0</v>
      </c>
      <c r="AC601" s="137" t="n">
        <f aca="false" ca="false" dt2D="false" dtr="false" t="normal">AB601</f>
        <v>0</v>
      </c>
      <c r="AD601" s="120" t="s">
        <v>192</v>
      </c>
      <c r="AE601" s="139" t="s">
        <v>2282</v>
      </c>
      <c r="AF601" s="6057" t="s"/>
      <c r="AG601" s="142" t="s"/>
      <c r="AH601" s="142" t="s"/>
      <c r="AI601" s="6058" t="s"/>
      <c r="AJ601" s="6059" t="s"/>
      <c r="AK601" s="6060" t="s"/>
      <c r="AL601" s="6061" t="s"/>
    </row>
    <row hidden="false" ht="15" outlineLevel="0" r="602">
      <c r="C602" s="98" t="s">
        <v>194</v>
      </c>
      <c r="D602" s="149" t="str">
        <f aca="false" ca="false" dt2D="false" dtr="false" t="normal">D599</f>
        <v/>
      </c>
      <c r="E602" s="149" t="str">
        <f aca="false" ca="false" dt2D="false" dtr="false" t="normal">E599</f>
        <v/>
      </c>
      <c r="F602" s="53" t="str">
        <f aca="false" ca="false" dt2D="false" dtr="false" t="normal">_XLFN.IFNA(MID(INDEX($A$3:$A$70, IF(ISNA(MATCH("720G4ID*", $A$3:$A$70, 0))=TRUE, MATCH("7200445*", $A$3:$A$70, 0), MATCH("720G4ID*", $A$3:$A$70, 0))), $AS$8, 2), "")</f>
        <v/>
      </c>
      <c r="G602" s="53" t="str">
        <f aca="false" ca="false" dt2D="false" dtr="false" t="normal">_XLFN.IFNA(MID(INDEX($A$3:$A$70, IF(ISNA(MATCH("720G4ID*", $A$3:$A$70, 0))=TRUE, MATCH("7200445*", $A$3:$A$70, 0), MATCH("720G4ID*", $A$3:$A$70, 0))), $AT$8, 2), "")</f>
        <v/>
      </c>
      <c r="N602" s="63" t="n"/>
      <c r="P602" s="136" t="n">
        <f aca="false" ca="false" dt2D="false" dtr="false" t="normal">MID(H600, 3, 1)</f>
        <v>0</v>
      </c>
      <c r="Q602" s="137" t="n">
        <f aca="false" ca="false" dt2D="false" dtr="false" t="normal">P602</f>
        <v>0</v>
      </c>
      <c r="R602" s="120" t="s">
        <v>195</v>
      </c>
      <c r="S602" s="139" t="s">
        <v>2283</v>
      </c>
      <c r="T602" s="136" t="n">
        <f aca="false" ca="false" dt2D="false" dtr="false" t="normal">MID(I600, 3, 1)</f>
        <v>0</v>
      </c>
      <c r="U602" s="137" t="n">
        <f aca="false" ca="false" dt2D="false" dtr="false" t="normal">T602</f>
        <v>0</v>
      </c>
      <c r="V602" s="120" t="s">
        <v>195</v>
      </c>
      <c r="W602" s="139" t="s">
        <v>2284</v>
      </c>
      <c r="X602" s="136" t="n">
        <f aca="false" ca="false" dt2D="false" dtr="false" t="normal">MID(J600, 3, 1)</f>
        <v>0</v>
      </c>
      <c r="Y602" s="137" t="n">
        <f aca="false" ca="false" dt2D="false" dtr="false" t="normal">X602</f>
        <v>0</v>
      </c>
      <c r="Z602" s="120" t="s">
        <v>195</v>
      </c>
      <c r="AA602" s="139" t="s">
        <v>2285</v>
      </c>
      <c r="AB602" s="136" t="n">
        <f aca="false" ca="false" dt2D="false" dtr="false" t="normal">MID(K600, 3, 1)</f>
        <v>0</v>
      </c>
      <c r="AC602" s="137" t="n">
        <f aca="false" ca="false" dt2D="false" dtr="false" t="normal">AB602</f>
        <v>0</v>
      </c>
      <c r="AD602" s="120" t="s">
        <v>195</v>
      </c>
      <c r="AE602" s="139" t="s">
        <v>2286</v>
      </c>
      <c r="AF602" s="6062" t="s"/>
      <c r="AG602" s="142" t="s"/>
      <c r="AH602" s="142" t="s"/>
      <c r="AI602" s="6063" t="s"/>
      <c r="AJ602" s="6064" t="s"/>
      <c r="AK602" s="6065" t="s"/>
      <c r="AL602" s="6066" t="s"/>
    </row>
    <row hidden="false" ht="15.75" outlineLevel="0" r="603">
      <c r="C603" s="98" t="n"/>
      <c r="N603" s="63" t="n"/>
      <c r="P603" s="136" t="n">
        <f aca="false" ca="false" dt2D="false" dtr="false" t="normal">MID(H600, 4, 1)</f>
        <v>0</v>
      </c>
      <c r="Q603" s="137" t="n">
        <f aca="false" ca="false" dt2D="false" dtr="false" t="normal">P603</f>
        <v>0</v>
      </c>
      <c r="R603" s="120" t="s">
        <v>197</v>
      </c>
      <c r="S603" s="139" t="s">
        <v>2287</v>
      </c>
      <c r="T603" s="136" t="n">
        <f aca="false" ca="false" dt2D="false" dtr="false" t="normal">MID(I600, 4, 1)</f>
        <v>0</v>
      </c>
      <c r="U603" s="137" t="n">
        <f aca="false" ca="false" dt2D="false" dtr="false" t="normal">T603</f>
        <v>0</v>
      </c>
      <c r="V603" s="120" t="s">
        <v>197</v>
      </c>
      <c r="W603" s="139" t="s">
        <v>2288</v>
      </c>
      <c r="X603" s="136" t="n">
        <f aca="false" ca="false" dt2D="false" dtr="false" t="normal">MID(J600, 4, 1)</f>
        <v>0</v>
      </c>
      <c r="Y603" s="137" t="n">
        <f aca="false" ca="false" dt2D="false" dtr="false" t="normal">X603</f>
        <v>0</v>
      </c>
      <c r="Z603" s="120" t="s">
        <v>197</v>
      </c>
      <c r="AA603" s="139" t="s">
        <v>2289</v>
      </c>
      <c r="AB603" s="136" t="n">
        <f aca="false" ca="false" dt2D="false" dtr="false" t="normal">MID(K600, 4, 1)</f>
        <v>0</v>
      </c>
      <c r="AC603" s="137" t="n">
        <f aca="false" ca="false" dt2D="false" dtr="false" t="normal">AB603</f>
        <v>0</v>
      </c>
      <c r="AD603" s="120" t="s">
        <v>197</v>
      </c>
      <c r="AE603" s="139" t="s">
        <v>2290</v>
      </c>
      <c r="AF603" s="6067" t="s"/>
      <c r="AG603" s="142" t="s"/>
      <c r="AH603" s="142" t="s"/>
      <c r="AI603" s="6068" t="s"/>
      <c r="AJ603" s="6069" t="s"/>
      <c r="AK603" s="6070" t="s"/>
      <c r="AL603" s="6071" t="s"/>
    </row>
    <row hidden="false" ht="15.75" outlineLevel="0" r="604">
      <c r="C604" s="98" t="s">
        <v>176</v>
      </c>
      <c r="D604" s="159" t="str">
        <f aca="false" ca="false" dt2D="false" dtr="false" t="normal">D599</f>
        <v/>
      </c>
      <c r="E604" s="160" t="str">
        <f aca="false" ca="false" dt2D="false" dtr="false" t="normal">E599</f>
        <v/>
      </c>
      <c r="F604" s="160" t="str">
        <f aca="false" ca="false" dt2D="false" dtr="false" t="normal">F599</f>
        <v/>
      </c>
      <c r="G604" s="161" t="str">
        <f aca="false" ca="false" dt2D="false" dtr="false" t="normal">G599</f>
        <v/>
      </c>
      <c r="H604" s="162" t="str">
        <f aca="false" ca="false" dt2D="false" dtr="false" t="normal">IF(J412="", "", BIN2HEX(H605, 2))</f>
        <v/>
      </c>
      <c r="I604" s="163" t="str">
        <f aca="false" ca="false" dt2D="false" dtr="false" t="normal">IF(J412="", "", BIN2HEX(I605, 2))</f>
        <v/>
      </c>
      <c r="J604" s="164" t="str">
        <f aca="false" ca="false" dt2D="false" dtr="false" t="normal">IF(J412="", "", BIN2HEX(J605, 2))</f>
        <v/>
      </c>
      <c r="K604" s="165" t="str">
        <f aca="false" ca="false" dt2D="false" dtr="false" t="normal">IF(J412="", "", BIN2HEX(K605, 2))</f>
        <v/>
      </c>
      <c r="L604" s="1917" t="str">
        <f aca="false" ca="false" dt2D="false" dtr="false" t="normal">L599</f>
        <v/>
      </c>
      <c r="M604" s="166" t="str">
        <f aca="false" ca="false" dt2D="false" dtr="false" t="normal">IF(J412="", "", IF(LEN(M605)&gt;2, MID(M605, 2, 2), M605))</f>
        <v/>
      </c>
      <c r="N604" s="63" t="s">
        <v>181</v>
      </c>
      <c r="P604" s="136" t="n">
        <f aca="false" ca="false" dt2D="false" dtr="false" t="normal">MID(H600, 5, 1)</f>
        <v>0</v>
      </c>
      <c r="Q604" s="137" t="n">
        <f aca="false" ca="false" dt2D="false" dtr="false" t="normal">P604</f>
        <v>0</v>
      </c>
      <c r="R604" s="120" t="s">
        <v>200</v>
      </c>
      <c r="S604" s="139" t="s">
        <v>2291</v>
      </c>
      <c r="T604" s="136" t="n">
        <f aca="false" ca="false" dt2D="false" dtr="false" t="normal">MID(I600, 5, 1)</f>
        <v>0</v>
      </c>
      <c r="U604" s="137" t="n">
        <f aca="false" ca="false" dt2D="false" dtr="false" t="normal">T604</f>
        <v>0</v>
      </c>
      <c r="V604" s="120" t="s">
        <v>200</v>
      </c>
      <c r="W604" s="139" t="s">
        <v>2292</v>
      </c>
      <c r="X604" s="136" t="n">
        <f aca="false" ca="false" dt2D="false" dtr="false" t="normal">MID(J600, 5, 1)</f>
        <v>0</v>
      </c>
      <c r="Y604" s="137" t="n">
        <f aca="false" ca="false" dt2D="false" dtr="false" t="normal">X604</f>
        <v>0</v>
      </c>
      <c r="Z604" s="120" t="s">
        <v>200</v>
      </c>
      <c r="AA604" s="139" t="s">
        <v>2293</v>
      </c>
      <c r="AB604" s="136" t="n">
        <f aca="false" ca="false" dt2D="false" dtr="false" t="normal">MID(K600, 5, 1)</f>
        <v>0</v>
      </c>
      <c r="AC604" s="137" t="n">
        <f aca="false" ca="false" dt2D="false" dtr="false" t="normal">AB604</f>
        <v>0</v>
      </c>
      <c r="AD604" s="120" t="s">
        <v>200</v>
      </c>
      <c r="AE604" s="139" t="s">
        <v>2294</v>
      </c>
      <c r="AF604" s="6072" t="s"/>
      <c r="AG604" s="142" t="s"/>
      <c r="AH604" s="142" t="s"/>
      <c r="AI604" s="6073" t="s"/>
      <c r="AJ604" s="6074" t="s"/>
      <c r="AK604" s="6075" t="s"/>
      <c r="AL604" s="6076" t="s"/>
    </row>
    <row hidden="false" ht="15" outlineLevel="0" r="605">
      <c r="C605" s="98" t="s">
        <v>185</v>
      </c>
      <c r="D605" s="53" t="n">
        <f aca="false" ca="false" dt2D="false" dtr="false" t="normal">HEX2BIN(D604, 8)</f>
        <v>0</v>
      </c>
      <c r="E605" s="53" t="n">
        <f aca="false" ca="false" dt2D="false" dtr="false" t="normal">HEX2BIN(E604, 8)</f>
        <v>0</v>
      </c>
      <c r="F605" s="53" t="n">
        <f aca="false" ca="false" dt2D="false" dtr="false" t="normal">HEX2BIN(F604, 8)</f>
        <v>0</v>
      </c>
      <c r="G605" s="53" t="n">
        <f aca="false" ca="false" dt2D="false" dtr="false" t="normal">HEX2BIN(G604, 8)</f>
        <v>0</v>
      </c>
      <c r="H605" s="171" t="n">
        <f aca="false" ca="false" dt2D="false" dtr="false" t="normal">Q600&amp;Q601&amp;Q602&amp;Q603&amp;Q604&amp;Q605&amp;Q606&amp;Q607</f>
        <v>0</v>
      </c>
      <c r="I605" s="53" t="n">
        <f aca="false" ca="false" dt2D="false" dtr="false" t="normal">U600&amp;U601&amp;U602&amp;U603&amp;U604&amp;U605&amp;U606&amp;U607</f>
        <v>0</v>
      </c>
      <c r="J605" s="171" t="n">
        <f aca="false" ca="false" dt2D="false" dtr="false" t="normal">Y600&amp;Y601&amp;Y602&amp;Y603&amp;Y604&amp;Y605&amp;Y606&amp;Y607</f>
        <v>0</v>
      </c>
      <c r="K605" s="171" t="n">
        <f aca="false" ca="false" dt2D="false" dtr="false" t="normal">AC600&amp;AC601&amp;AC602&amp;AC603&amp;AC604&amp;AC605&amp;AC606&amp;AC607</f>
        <v>0</v>
      </c>
      <c r="L605" s="53" t="n"/>
      <c r="M605" s="53" t="n">
        <f aca="false" ca="false" dt2D="false" dtr="false" t="normal">DEC2HEX(M606)</f>
        <v>0</v>
      </c>
      <c r="N605" s="63" t="n"/>
      <c r="P605" s="136" t="n">
        <f aca="false" ca="false" dt2D="false" dtr="false" t="normal">MID(H600, 6, 1)</f>
        <v>0</v>
      </c>
      <c r="Q605" s="137" t="n">
        <f aca="false" ca="false" dt2D="false" dtr="false" t="normal">P605</f>
        <v>0</v>
      </c>
      <c r="R605" s="120" t="s">
        <v>203</v>
      </c>
      <c r="S605" s="139" t="s">
        <v>2295</v>
      </c>
      <c r="T605" s="136" t="n">
        <f aca="false" ca="false" dt2D="false" dtr="false" t="normal">MID(I600, 6, 1)</f>
        <v>0</v>
      </c>
      <c r="U605" s="137" t="n">
        <f aca="false" ca="false" dt2D="false" dtr="false" t="normal">T605</f>
        <v>0</v>
      </c>
      <c r="V605" s="120" t="s">
        <v>203</v>
      </c>
      <c r="W605" s="139" t="s">
        <v>2296</v>
      </c>
      <c r="X605" s="136" t="n">
        <f aca="false" ca="false" dt2D="false" dtr="false" t="normal">MID(J600, 6, 1)</f>
        <v>0</v>
      </c>
      <c r="Y605" s="137" t="n">
        <f aca="false" ca="false" dt2D="false" dtr="false" t="normal">X605</f>
        <v>0</v>
      </c>
      <c r="Z605" s="120" t="s">
        <v>203</v>
      </c>
      <c r="AA605" s="139" t="s">
        <v>2297</v>
      </c>
      <c r="AB605" s="136" t="n">
        <f aca="false" ca="false" dt2D="false" dtr="false" t="normal">MID(K600, 6, 1)</f>
        <v>0</v>
      </c>
      <c r="AC605" s="137" t="n">
        <f aca="false" ca="false" dt2D="false" dtr="false" t="normal">AB605</f>
        <v>0</v>
      </c>
      <c r="AD605" s="120" t="s">
        <v>203</v>
      </c>
      <c r="AE605" s="139" t="s">
        <v>2298</v>
      </c>
      <c r="AF605" s="6077" t="s"/>
      <c r="AG605" s="142" t="s"/>
      <c r="AH605" s="142" t="s"/>
      <c r="AI605" s="6078" t="s"/>
      <c r="AJ605" s="6079" t="s"/>
      <c r="AK605" s="6080" t="s"/>
      <c r="AL605" s="6081" t="s"/>
    </row>
    <row hidden="false" ht="15" outlineLevel="0" r="606">
      <c r="C606" s="98" t="s">
        <v>191</v>
      </c>
      <c r="D606" s="53" t="n">
        <f aca="false" ca="false" dt2D="false" dtr="false" t="normal">HEX2DEC(D604)</f>
        <v>0</v>
      </c>
      <c r="E606" s="53" t="n">
        <f aca="false" ca="false" dt2D="false" dtr="false" t="normal">HEX2DEC(E604)</f>
        <v>0</v>
      </c>
      <c r="F606" s="53" t="n">
        <f aca="false" ca="false" dt2D="false" dtr="false" t="normal">HEX2DEC(F604)</f>
        <v>0</v>
      </c>
      <c r="G606" s="53" t="n">
        <f aca="false" ca="false" dt2D="false" dtr="false" t="normal">HEX2DEC(G604)</f>
        <v>0</v>
      </c>
      <c r="H606" s="53" t="n">
        <f aca="false" ca="false" dt2D="false" dtr="false" t="normal">HEX2DEC(H604)</f>
        <v>0</v>
      </c>
      <c r="I606" s="53" t="n">
        <f aca="false" ca="false" dt2D="false" dtr="false" t="normal">HEX2DEC(I604)</f>
        <v>0</v>
      </c>
      <c r="J606" s="53" t="n">
        <f aca="false" ca="false" dt2D="false" dtr="false" t="normal">HEX2DEC(J604)</f>
        <v>0</v>
      </c>
      <c r="K606" s="53" t="n">
        <f aca="false" ca="false" dt2D="false" dtr="false" t="normal">HEX2DEC(K604)</f>
        <v>0</v>
      </c>
      <c r="L606" s="53" t="n">
        <f aca="false" ca="false" dt2D="false" dtr="false" t="normal">HEX2DEC(L604)</f>
        <v>0</v>
      </c>
      <c r="M606" s="53" t="n">
        <f aca="false" ca="false" dt2D="false" dtr="false" t="normal">SUM(D606:L606)</f>
        <v>0</v>
      </c>
      <c r="N606" s="63" t="n"/>
      <c r="P606" s="136" t="n">
        <f aca="false" ca="false" dt2D="false" dtr="false" t="normal">MID(H600, 7, 1)</f>
        <v>0</v>
      </c>
      <c r="Q606" s="137" t="n">
        <f aca="false" ca="false" dt2D="false" dtr="false" t="normal">P606</f>
        <v>0</v>
      </c>
      <c r="R606" s="120" t="s">
        <v>206</v>
      </c>
      <c r="S606" s="139" t="s">
        <v>2299</v>
      </c>
      <c r="T606" s="136" t="n">
        <f aca="false" ca="false" dt2D="false" dtr="false" t="normal">MID(I600, 7, 1)</f>
        <v>0</v>
      </c>
      <c r="U606" s="137" t="n">
        <f aca="false" ca="false" dt2D="false" dtr="false" t="normal">T606</f>
        <v>0</v>
      </c>
      <c r="V606" s="120" t="s">
        <v>206</v>
      </c>
      <c r="W606" s="139" t="s">
        <v>2300</v>
      </c>
      <c r="X606" s="136" t="n">
        <f aca="false" ca="false" dt2D="false" dtr="false" t="normal">MID(J600, 7, 1)</f>
        <v>0</v>
      </c>
      <c r="Y606" s="137" t="n">
        <f aca="false" ca="false" dt2D="false" dtr="false" t="normal">X606</f>
        <v>0</v>
      </c>
      <c r="Z606" s="120" t="s">
        <v>206</v>
      </c>
      <c r="AA606" s="139" t="s">
        <v>2301</v>
      </c>
      <c r="AB606" s="136" t="n">
        <f aca="false" ca="false" dt2D="false" dtr="false" t="normal">MID(K600, 7, 1)</f>
        <v>0</v>
      </c>
      <c r="AC606" s="137" t="n">
        <f aca="false" ca="false" dt2D="false" dtr="false" t="normal">AB606</f>
        <v>0</v>
      </c>
      <c r="AD606" s="120" t="s">
        <v>206</v>
      </c>
      <c r="AE606" s="139" t="s">
        <v>2302</v>
      </c>
      <c r="AF606" s="6082" t="s"/>
      <c r="AG606" s="142" t="s"/>
      <c r="AH606" s="142" t="s"/>
      <c r="AI606" s="6083" t="s"/>
      <c r="AJ606" s="6084" t="s"/>
      <c r="AK606" s="6085" t="s"/>
      <c r="AL606" s="6086" t="s"/>
    </row>
    <row hidden="false" ht="15.75" outlineLevel="0" r="607">
      <c r="C607" s="180" t="s">
        <v>194</v>
      </c>
      <c r="D607" s="299" t="str">
        <f aca="false" ca="false" dt2D="false" dtr="false" t="normal">D602</f>
        <v/>
      </c>
      <c r="E607" s="299" t="str">
        <f aca="false" ca="false" dt2D="false" dtr="false" t="normal">E602</f>
        <v/>
      </c>
      <c r="F607" s="299" t="str">
        <f aca="false" ca="false" dt2D="false" dtr="false" t="normal">F602</f>
        <v/>
      </c>
      <c r="G607" s="299" t="str">
        <f aca="false" ca="false" dt2D="false" dtr="false" t="normal">G602</f>
        <v/>
      </c>
      <c r="H607" s="45" t="n"/>
      <c r="I607" s="45" t="n"/>
      <c r="J607" s="45" t="n"/>
      <c r="K607" s="45" t="n"/>
      <c r="L607" s="45" t="n"/>
      <c r="M607" s="45" t="n"/>
      <c r="N607" s="49" t="n"/>
      <c r="P607" s="182" t="n">
        <f aca="false" ca="false" dt2D="false" dtr="false" t="normal">MID(H600, 8, 1)</f>
        <v>0</v>
      </c>
      <c r="Q607" s="183" t="n">
        <f aca="false" ca="false" dt2D="false" dtr="false" t="normal">P607</f>
        <v>0</v>
      </c>
      <c r="R607" s="184" t="s">
        <v>208</v>
      </c>
      <c r="S607" s="187" t="s">
        <v>2303</v>
      </c>
      <c r="T607" s="182" t="n">
        <f aca="false" ca="false" dt2D="false" dtr="false" t="normal">MID(I600, 8, 1)</f>
        <v>0</v>
      </c>
      <c r="U607" s="183" t="n">
        <f aca="false" ca="false" dt2D="false" dtr="false" t="normal">T607</f>
        <v>0</v>
      </c>
      <c r="V607" s="184" t="s">
        <v>208</v>
      </c>
      <c r="W607" s="187" t="s">
        <v>2304</v>
      </c>
      <c r="X607" s="182" t="n">
        <f aca="false" ca="false" dt2D="false" dtr="false" t="normal">MID(J600, 8, 1)</f>
        <v>0</v>
      </c>
      <c r="Y607" s="183" t="n">
        <f aca="false" ca="false" dt2D="false" dtr="false" t="normal">X607</f>
        <v>0</v>
      </c>
      <c r="Z607" s="184" t="s">
        <v>208</v>
      </c>
      <c r="AA607" s="187" t="s">
        <v>2305</v>
      </c>
      <c r="AB607" s="182" t="n">
        <f aca="false" ca="false" dt2D="false" dtr="false" t="normal">MID(K600, 8, 1)</f>
        <v>0</v>
      </c>
      <c r="AC607" s="183" t="n">
        <f aca="false" ca="false" dt2D="false" dtr="false" t="normal">AB607</f>
        <v>0</v>
      </c>
      <c r="AD607" s="184" t="s">
        <v>208</v>
      </c>
      <c r="AE607" s="187" t="s">
        <v>2306</v>
      </c>
      <c r="AF607" s="6087" t="s"/>
      <c r="AG607" s="6088" t="s"/>
      <c r="AH607" s="6089" t="s"/>
      <c r="AI607" s="6090" t="s"/>
      <c r="AJ607" s="6091" t="s"/>
      <c r="AK607" s="6092" t="s"/>
      <c r="AL607" s="6093" t="s"/>
    </row>
    <row hidden="false" ht="15.75" outlineLevel="0" r="608">
      <c r="C608" s="93" t="n"/>
      <c r="D608" s="94" t="n"/>
      <c r="E608" s="94" t="n"/>
      <c r="F608" s="94" t="n"/>
      <c r="G608" s="94" t="n"/>
      <c r="H608" s="94" t="n"/>
      <c r="I608" s="94" t="n"/>
      <c r="J608" s="94" t="n"/>
      <c r="K608" s="94" t="n"/>
      <c r="L608" s="94" t="n"/>
      <c r="M608" s="94" t="s">
        <v>161</v>
      </c>
      <c r="N608" s="60" t="n"/>
      <c r="P608" s="95" t="str">
        <f aca="false" ca="false" dt2D="false" dtr="false" t="normal">RIGHT(D610, 1)&amp;E610&amp;"-"&amp;F610&amp;"-"&amp;G610</f>
        <v>--</v>
      </c>
      <c r="Q608" s="6094" t="s"/>
      <c r="R608" s="234" t="s">
        <v>2307</v>
      </c>
      <c r="S608" s="6095" t="s"/>
      <c r="T608" s="6096" t="s"/>
      <c r="U608" s="6097" t="s"/>
      <c r="V608" s="6098" t="s"/>
      <c r="W608" s="6099" t="s"/>
      <c r="X608" s="6100" t="s"/>
      <c r="Y608" s="6101" t="s"/>
      <c r="Z608" s="6102" t="s"/>
      <c r="AA608" s="6103" t="s"/>
      <c r="AB608" s="6104" t="s"/>
      <c r="AC608" s="6105" t="s"/>
      <c r="AD608" s="6106" t="s"/>
      <c r="AE608" s="6107" t="s"/>
      <c r="AF608" s="6108" t="s"/>
      <c r="AG608" s="6109" t="s"/>
      <c r="AH608" s="6110" t="s"/>
      <c r="AI608" s="6111" t="s"/>
      <c r="AJ608" s="6112" t="s"/>
      <c r="AK608" s="6113" t="s"/>
      <c r="AL608" s="6114" t="s"/>
    </row>
    <row hidden="false" ht="15.75" outlineLevel="0" r="609">
      <c r="C609" s="98" t="n"/>
      <c r="D609" s="99" t="s">
        <v>2308</v>
      </c>
      <c r="E609" s="6115" t="s"/>
      <c r="F609" s="6116" t="s"/>
      <c r="G609" s="6117" t="s"/>
      <c r="H609" s="53" t="s">
        <v>165</v>
      </c>
      <c r="I609" s="53" t="s">
        <v>166</v>
      </c>
      <c r="J609" s="53" t="s">
        <v>167</v>
      </c>
      <c r="K609" s="53" t="s">
        <v>168</v>
      </c>
      <c r="L609" s="53" t="s">
        <v>169</v>
      </c>
      <c r="M609" s="53" t="s">
        <v>221</v>
      </c>
      <c r="N609" s="63" t="n"/>
      <c r="P609" s="103" t="s">
        <v>2309</v>
      </c>
      <c r="Q609" s="6118" t="s"/>
      <c r="R609" s="6119" t="s"/>
      <c r="S609" s="6120" t="s"/>
      <c r="T609" s="103" t="s">
        <v>2310</v>
      </c>
      <c r="U609" s="6121" t="s"/>
      <c r="V609" s="6122" t="s"/>
      <c r="W609" s="6123" t="s"/>
      <c r="X609" s="103" t="s">
        <v>2311</v>
      </c>
      <c r="Y609" s="6124" t="s"/>
      <c r="Z609" s="6125" t="s"/>
      <c r="AA609" s="6126" t="s"/>
      <c r="AB609" s="103" t="s">
        <v>2312</v>
      </c>
      <c r="AC609" s="6127" t="s"/>
      <c r="AD609" s="6128" t="s"/>
      <c r="AE609" s="6129" t="s"/>
      <c r="AF609" s="103" t="s">
        <v>2313</v>
      </c>
      <c r="AG609" s="6130" t="s"/>
      <c r="AH609" s="6131" t="s"/>
      <c r="AI609" s="6132" t="s"/>
      <c r="AJ609" s="103" t="s">
        <v>2314</v>
      </c>
      <c r="AK609" s="6133" t="s"/>
      <c r="AL609" s="6134" t="s"/>
    </row>
    <row hidden="false" ht="15.75" outlineLevel="0" r="610">
      <c r="C610" s="98" t="s">
        <v>176</v>
      </c>
      <c r="D610" s="122" t="str">
        <f aca="false" ca="false" dt2D="false" dtr="false" t="normal">IF(J412="", "", 7)</f>
        <v/>
      </c>
      <c r="E610" s="123" t="str">
        <f aca="false" ca="false" dt2D="false" dtr="false" t="normal">IF(J412="", "", 20)</f>
        <v/>
      </c>
      <c r="F610" s="123" t="str">
        <f aca="false" ca="false" dt2D="false" dtr="false" t="normal">IF(J412="", "", 4)</f>
        <v/>
      </c>
      <c r="G610" s="124" t="str">
        <f aca="false" ca="false" dt2D="false" dtr="false" t="normal">IF(J412="", "", 46)</f>
        <v/>
      </c>
      <c r="H610" s="1819" t="str">
        <f aca="false" ca="false" dt2D="false" dtr="false" ref="H610:H610" t="array">_XLFN.IFNA(MID(INDEX($A$3:$A$70, IF(ISNA(MATCH("720G4IE*", $A$3:$A$70, 0))=TRUE, MATCH("7200446*", $A$3:$A$70, 0), MATCH("720G4IE*", $A$3:$A$70, 0))), $AU$8, 2), "")</f>
        <v/>
      </c>
      <c r="I610" s="1820" t="str">
        <f aca="false" ca="false" dt2D="false" dtr="false" ref="I610:I610" t="array">_XLFN.IFNA(MID(INDEX($A$3:$A$70, IF(ISNA(MATCH("720G4IE*", $A$3:$A$70, 0))=TRUE, MATCH("7200446*", $A$3:$A$70, 0), MATCH("720G4IE*", $A$3:$A$70, 0))), $AV$8, 2), "")</f>
        <v/>
      </c>
      <c r="J610" s="164" t="str">
        <f aca="false" ca="false" dt2D="false" dtr="false" ref="J610:J610" t="array">_XLFN.IFNA(MID(INDEX($A$3:$A$70, IF(ISNA(MATCH("720G4IE*", $A$3:$A$70, 0))=TRUE, MATCH("7200446*", $A$3:$A$70, 0), MATCH("720G4IE*", $A$3:$A$70, 0))), $AW$8, 2), "")</f>
        <v/>
      </c>
      <c r="K610" s="1820" t="str">
        <f aca="false" ca="false" dt2D="false" dtr="false" ref="K610:K610" t="array">_XLFN.IFNA(MID(INDEX($A$3:$A$70, IF(ISNA(MATCH("720G4IE*", $A$3:$A$70, 0))=TRUE, MATCH("7200446*", $A$3:$A$70, 0), MATCH("720G4IE*", $A$3:$A$70, 0))), $AX$8, 2), "")</f>
        <v/>
      </c>
      <c r="L610" s="1821" t="str">
        <f aca="false" ca="false" dt2D="false" dtr="false" ref="L610:L610" t="array">_XLFN.IFNA(MID(INDEX($A$3:$A$70, IF(ISNA(MATCH("720G4IE*", $A$3:$A$70, 0))=TRUE, MATCH("7200446*", $A$3:$A$70, 0), MATCH("720G4IE*", $A$3:$A$70, 0))), $AY$8, 2), "")</f>
        <v/>
      </c>
      <c r="M610" s="218" t="str">
        <f aca="false" ca="false" dt2D="false" dtr="false" ref="M610:M610" t="array">_XLFN.IFNA(MID(INDEX($A$3:$A$70, IF(ISNA(MATCH("720G4IE*", $A$3:$A$70, 0))=TRUE, MATCH("7200446*", $A$3:$A$70, 0), MATCH("720G4IE*", $A$3:$A$70, 0))), $AZ$8, 2), "")</f>
        <v/>
      </c>
      <c r="N610" s="63" t="s">
        <v>180</v>
      </c>
      <c r="P610" s="116" t="n"/>
      <c r="Q610" s="6135" t="s"/>
      <c r="R610" s="6136" t="s"/>
      <c r="S610" s="6137" t="s"/>
      <c r="T610" s="129" t="s">
        <v>180</v>
      </c>
      <c r="U610" s="130" t="s">
        <v>181</v>
      </c>
      <c r="V610" s="121" t="s">
        <v>182</v>
      </c>
      <c r="W610" s="131" t="n"/>
      <c r="X610" s="129" t="s">
        <v>180</v>
      </c>
      <c r="Y610" s="130" t="s">
        <v>181</v>
      </c>
      <c r="Z610" s="121" t="s">
        <v>182</v>
      </c>
      <c r="AA610" s="131" t="n"/>
      <c r="AB610" s="129" t="s">
        <v>180</v>
      </c>
      <c r="AC610" s="130" t="s">
        <v>181</v>
      </c>
      <c r="AD610" s="121" t="s">
        <v>182</v>
      </c>
      <c r="AE610" s="131" t="n"/>
      <c r="AF610" s="129" t="s">
        <v>180</v>
      </c>
      <c r="AG610" s="130" t="s">
        <v>181</v>
      </c>
      <c r="AH610" s="121" t="s">
        <v>182</v>
      </c>
      <c r="AI610" s="121" t="n"/>
      <c r="AJ610" s="116" t="s">
        <v>183</v>
      </c>
      <c r="AK610" s="6138" t="s"/>
      <c r="AL610" s="6139" t="s"/>
    </row>
    <row hidden="false" ht="15" outlineLevel="0" r="611">
      <c r="C611" s="98" t="s">
        <v>185</v>
      </c>
      <c r="D611" s="53" t="n">
        <f aca="false" ca="false" dt2D="false" dtr="false" t="normal">HEX2BIN(D610, 8)</f>
        <v>0</v>
      </c>
      <c r="E611" s="53" t="n">
        <f aca="false" ca="false" dt2D="false" dtr="false" t="normal">HEX2BIN(E610, 8)</f>
        <v>0</v>
      </c>
      <c r="F611" s="53" t="n">
        <f aca="false" ca="false" dt2D="false" dtr="false" t="normal">HEX2BIN(F610, 8)</f>
        <v>0</v>
      </c>
      <c r="G611" s="53" t="n">
        <f aca="false" ca="false" dt2D="false" dtr="false" t="normal">HEX2BIN(G610, 8)</f>
        <v>0</v>
      </c>
      <c r="H611" s="53" t="n">
        <f aca="false" ca="false" dt2D="false" dtr="false" t="normal">HEX2BIN(H610, 8)</f>
        <v>0</v>
      </c>
      <c r="I611" s="53" t="n">
        <f aca="false" ca="false" dt2D="false" dtr="false" t="normal">HEX2BIN(I610, 8)</f>
        <v>0</v>
      </c>
      <c r="J611" s="53" t="n">
        <f aca="false" ca="false" dt2D="false" dtr="false" t="normal">HEX2BIN(J610, 8)</f>
        <v>0</v>
      </c>
      <c r="K611" s="53" t="n">
        <f aca="false" ca="false" dt2D="false" dtr="false" t="normal">HEX2BIN(K610, 8)</f>
        <v>0</v>
      </c>
      <c r="L611" s="53" t="n">
        <f aca="false" ca="false" dt2D="false" dtr="false" t="normal">HEX2BIN(L610, 8)</f>
        <v>0</v>
      </c>
      <c r="N611" s="63" t="n"/>
      <c r="P611" s="6140" t="s"/>
      <c r="Q611" s="142" t="s"/>
      <c r="R611" s="142" t="s"/>
      <c r="S611" s="6141" t="s"/>
      <c r="T611" s="136" t="n">
        <f aca="false" ca="false" dt2D="false" dtr="false" t="normal">MID(I611, 1, 1)</f>
        <v>0</v>
      </c>
      <c r="U611" s="137" t="n">
        <f aca="false" ca="false" dt2D="false" dtr="false" t="normal">T611</f>
        <v>0</v>
      </c>
      <c r="V611" s="120" t="s">
        <v>186</v>
      </c>
      <c r="W611" s="139" t="s">
        <v>2315</v>
      </c>
      <c r="X611" s="136" t="n">
        <f aca="false" ca="false" dt2D="false" dtr="false" t="normal">MID(J611, 1, 1)</f>
        <v>0</v>
      </c>
      <c r="Y611" s="137" t="n">
        <f aca="false" ca="false" dt2D="false" dtr="false" t="normal">X611</f>
        <v>0</v>
      </c>
      <c r="Z611" s="120" t="s">
        <v>186</v>
      </c>
      <c r="AA611" s="139" t="s">
        <v>2316</v>
      </c>
      <c r="AB611" s="136" t="n">
        <f aca="false" ca="false" dt2D="false" dtr="false" t="normal">MID(K611, 1, 1)</f>
        <v>0</v>
      </c>
      <c r="AC611" s="137" t="n">
        <f aca="false" ca="false" dt2D="false" dtr="false" t="normal">AB611</f>
        <v>0</v>
      </c>
      <c r="AD611" s="120" t="s">
        <v>186</v>
      </c>
      <c r="AE611" s="139" t="s">
        <v>2317</v>
      </c>
      <c r="AF611" s="136" t="n">
        <f aca="false" ca="false" dt2D="false" dtr="false" t="normal">MID(L611, 1, 1)</f>
        <v>0</v>
      </c>
      <c r="AG611" s="137" t="n">
        <f aca="false" ca="false" dt2D="false" dtr="false" t="normal">AF611</f>
        <v>0</v>
      </c>
      <c r="AH611" s="120" t="s">
        <v>186</v>
      </c>
      <c r="AI611" s="139" t="s">
        <v>2318</v>
      </c>
      <c r="AJ611" s="6142" t="s"/>
      <c r="AK611" s="6143" t="s"/>
      <c r="AL611" s="6144" t="s"/>
    </row>
    <row hidden="false" ht="15" outlineLevel="0" r="612">
      <c r="C612" s="98" t="s">
        <v>191</v>
      </c>
      <c r="D612" s="53" t="n">
        <f aca="false" ca="false" dt2D="false" dtr="false" t="normal">HEX2DEC(D610)</f>
        <v>0</v>
      </c>
      <c r="E612" s="53" t="n">
        <f aca="false" ca="false" dt2D="false" dtr="false" t="normal">HEX2DEC(E610)</f>
        <v>0</v>
      </c>
      <c r="F612" s="53" t="n">
        <f aca="false" ca="false" dt2D="false" dtr="false" t="normal">HEX2DEC(F610)</f>
        <v>0</v>
      </c>
      <c r="G612" s="53" t="n">
        <f aca="false" ca="false" dt2D="false" dtr="false" t="normal">HEX2DEC(G610)</f>
        <v>0</v>
      </c>
      <c r="H612" s="53" t="n">
        <f aca="false" ca="false" dt2D="false" dtr="false" t="normal">HEX2DEC(H610)</f>
        <v>0</v>
      </c>
      <c r="I612" s="53" t="n">
        <f aca="false" ca="false" dt2D="false" dtr="false" t="normal">HEX2DEC(I610)</f>
        <v>0</v>
      </c>
      <c r="J612" s="53" t="n">
        <f aca="false" ca="false" dt2D="false" dtr="false" t="normal">HEX2DEC(J610)</f>
        <v>0</v>
      </c>
      <c r="K612" s="53" t="n">
        <f aca="false" ca="false" dt2D="false" dtr="false" t="normal">HEX2DEC(K610)</f>
        <v>0</v>
      </c>
      <c r="L612" s="53" t="n">
        <f aca="false" ca="false" dt2D="false" dtr="false" t="normal">HEX2DEC(L610)</f>
        <v>0</v>
      </c>
      <c r="M612" s="53" t="n">
        <f aca="false" ca="false" dt2D="false" dtr="false" t="normal">SUM(D612:L612)</f>
        <v>0</v>
      </c>
      <c r="N612" s="63" t="n"/>
      <c r="P612" s="6145" t="s"/>
      <c r="Q612" s="142" t="s"/>
      <c r="R612" s="142" t="s"/>
      <c r="S612" s="6146" t="s"/>
      <c r="T612" s="136" t="n">
        <f aca="false" ca="false" dt2D="false" dtr="false" t="normal">MID(I611, 2, 1)</f>
        <v>0</v>
      </c>
      <c r="U612" s="137" t="n">
        <f aca="false" ca="false" dt2D="false" dtr="false" t="normal">T612</f>
        <v>0</v>
      </c>
      <c r="V612" s="120" t="s">
        <v>192</v>
      </c>
      <c r="W612" s="139" t="s">
        <v>2319</v>
      </c>
      <c r="X612" s="136" t="n">
        <f aca="false" ca="false" dt2D="false" dtr="false" t="normal">MID(J611, 2, 1)</f>
        <v>0</v>
      </c>
      <c r="Y612" s="137" t="n">
        <f aca="false" ca="false" dt2D="false" dtr="false" t="normal">X612</f>
        <v>0</v>
      </c>
      <c r="Z612" s="120" t="s">
        <v>192</v>
      </c>
      <c r="AA612" s="139" t="s">
        <v>2320</v>
      </c>
      <c r="AB612" s="136" t="n">
        <f aca="false" ca="false" dt2D="false" dtr="false" t="normal">MID(K611, 2, 1)</f>
        <v>0</v>
      </c>
      <c r="AC612" s="137" t="n">
        <f aca="false" ca="false" dt2D="false" dtr="false" t="normal">AB612</f>
        <v>0</v>
      </c>
      <c r="AD612" s="120" t="s">
        <v>192</v>
      </c>
      <c r="AE612" s="139" t="s">
        <v>2321</v>
      </c>
      <c r="AF612" s="136" t="n">
        <f aca="false" ca="false" dt2D="false" dtr="false" t="normal">MID(L611, 2, 1)</f>
        <v>0</v>
      </c>
      <c r="AG612" s="137" t="n">
        <f aca="false" ca="false" dt2D="false" dtr="false" t="normal">AF612</f>
        <v>0</v>
      </c>
      <c r="AH612" s="120" t="s">
        <v>192</v>
      </c>
      <c r="AI612" s="139" t="s">
        <v>2322</v>
      </c>
      <c r="AJ612" s="6147" t="s"/>
      <c r="AK612" s="6148" t="s"/>
      <c r="AL612" s="6149" t="s"/>
    </row>
    <row hidden="false" ht="15" outlineLevel="0" r="613">
      <c r="C613" s="98" t="s">
        <v>194</v>
      </c>
      <c r="D613" s="149" t="str">
        <f aca="false" ca="false" dt2D="false" dtr="false" t="normal">D610</f>
        <v/>
      </c>
      <c r="E613" s="149" t="str">
        <f aca="false" ca="false" dt2D="false" dtr="false" t="normal">E610</f>
        <v/>
      </c>
      <c r="F613" s="53" t="str">
        <f aca="false" ca="false" dt2D="false" dtr="false" t="normal">_XLFN.IFNA(MID(INDEX($A$3:$A$70, IF(ISNA(MATCH("720G4IE*", $A$3:$A$70, 0))=TRUE, MATCH("7200446*", $A$3:$A$70, 0), MATCH("720G4IE*", $A$3:$A$70, 0))), $AS$8, 2), "")</f>
        <v/>
      </c>
      <c r="G613" s="53" t="str">
        <f aca="false" ca="false" dt2D="false" dtr="false" t="normal">_XLFN.IFNA(MID(INDEX($A$3:$A$70, IF(ISNA(MATCH("720G4IE*", $A$3:$A$70, 0))=TRUE, MATCH("7200446*", $A$3:$A$70, 0), MATCH("720G4IE*", $A$3:$A$70, 0))), $AT$8, 2), "")</f>
        <v/>
      </c>
      <c r="N613" s="63" t="n"/>
      <c r="P613" s="6150" t="s"/>
      <c r="Q613" s="142" t="s"/>
      <c r="R613" s="142" t="s"/>
      <c r="S613" s="6151" t="s"/>
      <c r="T613" s="136" t="n">
        <f aca="false" ca="false" dt2D="false" dtr="false" t="normal">MID(I611, 3, 1)</f>
        <v>0</v>
      </c>
      <c r="U613" s="137" t="n">
        <f aca="false" ca="false" dt2D="false" dtr="false" t="normal">T613</f>
        <v>0</v>
      </c>
      <c r="V613" s="120" t="s">
        <v>195</v>
      </c>
      <c r="W613" s="139" t="s">
        <v>2323</v>
      </c>
      <c r="X613" s="136" t="n">
        <f aca="false" ca="false" dt2D="false" dtr="false" t="normal">MID(J611, 3, 1)</f>
        <v>0</v>
      </c>
      <c r="Y613" s="137" t="n">
        <f aca="false" ca="false" dt2D="false" dtr="false" t="normal">X613</f>
        <v>0</v>
      </c>
      <c r="Z613" s="120" t="s">
        <v>195</v>
      </c>
      <c r="AA613" s="139" t="s">
        <v>2324</v>
      </c>
      <c r="AB613" s="136" t="n">
        <f aca="false" ca="false" dt2D="false" dtr="false" t="normal">MID(K611, 3, 1)</f>
        <v>0</v>
      </c>
      <c r="AC613" s="137" t="n">
        <f aca="false" ca="false" dt2D="false" dtr="false" t="normal">AB613</f>
        <v>0</v>
      </c>
      <c r="AD613" s="120" t="s">
        <v>195</v>
      </c>
      <c r="AE613" s="139" t="s">
        <v>2325</v>
      </c>
      <c r="AF613" s="136" t="n">
        <f aca="false" ca="false" dt2D="false" dtr="false" t="normal">MID(L611, 3, 1)</f>
        <v>0</v>
      </c>
      <c r="AG613" s="137" t="n">
        <f aca="false" ca="false" dt2D="false" dtr="false" t="normal">AF613</f>
        <v>0</v>
      </c>
      <c r="AH613" s="120" t="s">
        <v>195</v>
      </c>
      <c r="AI613" s="139" t="s">
        <v>2326</v>
      </c>
      <c r="AJ613" s="6152" t="s"/>
      <c r="AK613" s="6153" t="s"/>
      <c r="AL613" s="6154" t="s"/>
    </row>
    <row hidden="false" ht="15.75" outlineLevel="0" r="614">
      <c r="C614" s="98" t="n"/>
      <c r="N614" s="63" t="n"/>
      <c r="P614" s="6155" t="s"/>
      <c r="Q614" s="142" t="s"/>
      <c r="R614" s="142" t="s"/>
      <c r="S614" s="6156" t="s"/>
      <c r="T614" s="136" t="n">
        <f aca="false" ca="false" dt2D="false" dtr="false" t="normal">MID(I611, 4, 1)</f>
        <v>0</v>
      </c>
      <c r="U614" s="137" t="n">
        <f aca="false" ca="false" dt2D="false" dtr="false" t="normal">T614</f>
        <v>0</v>
      </c>
      <c r="V614" s="120" t="s">
        <v>197</v>
      </c>
      <c r="W614" s="139" t="s">
        <v>2327</v>
      </c>
      <c r="X614" s="136" t="n">
        <f aca="false" ca="false" dt2D="false" dtr="false" t="normal">MID(J611, 4, 1)</f>
        <v>0</v>
      </c>
      <c r="Y614" s="137" t="n">
        <f aca="false" ca="false" dt2D="false" dtr="false" t="normal">X614</f>
        <v>0</v>
      </c>
      <c r="Z614" s="120" t="s">
        <v>197</v>
      </c>
      <c r="AA614" s="139" t="s">
        <v>2328</v>
      </c>
      <c r="AB614" s="136" t="n">
        <f aca="false" ca="false" dt2D="false" dtr="false" t="normal">MID(K611, 4, 1)</f>
        <v>0</v>
      </c>
      <c r="AC614" s="137" t="n">
        <f aca="false" ca="false" dt2D="false" dtr="false" t="normal">AB614</f>
        <v>0</v>
      </c>
      <c r="AD614" s="120" t="s">
        <v>197</v>
      </c>
      <c r="AE614" s="139" t="s">
        <v>2329</v>
      </c>
      <c r="AF614" s="136" t="n">
        <f aca="false" ca="false" dt2D="false" dtr="false" t="normal">MID(L611, 4, 1)</f>
        <v>0</v>
      </c>
      <c r="AG614" s="137" t="n">
        <f aca="false" ca="false" dt2D="false" dtr="false" t="normal">AF614</f>
        <v>0</v>
      </c>
      <c r="AH614" s="120" t="s">
        <v>197</v>
      </c>
      <c r="AI614" s="139" t="s">
        <v>2330</v>
      </c>
      <c r="AJ614" s="6157" t="s"/>
      <c r="AK614" s="6158" t="s"/>
      <c r="AL614" s="6159" t="s"/>
    </row>
    <row hidden="false" ht="15.75" outlineLevel="0" r="615">
      <c r="C615" s="98" t="s">
        <v>176</v>
      </c>
      <c r="D615" s="159" t="str">
        <f aca="false" ca="false" dt2D="false" dtr="false" t="normal">D610</f>
        <v/>
      </c>
      <c r="E615" s="160" t="str">
        <f aca="false" ca="false" dt2D="false" dtr="false" t="normal">E610</f>
        <v/>
      </c>
      <c r="F615" s="160" t="str">
        <f aca="false" ca="false" dt2D="false" dtr="false" t="normal">F610</f>
        <v/>
      </c>
      <c r="G615" s="161" t="str">
        <f aca="false" ca="false" dt2D="false" dtr="false" t="normal">G610</f>
        <v/>
      </c>
      <c r="H615" s="2540" t="str">
        <f aca="false" ca="false" dt2D="false" dtr="false" t="normal">H610</f>
        <v/>
      </c>
      <c r="I615" s="163" t="str">
        <f aca="false" ca="false" dt2D="false" dtr="false" t="normal">IF(J412="", "", BIN2HEX(I616, 2))</f>
        <v/>
      </c>
      <c r="J615" s="164" t="str">
        <f aca="false" ca="false" dt2D="false" dtr="false" t="normal">IF(J412="", "", BIN2HEX(J616, 2))</f>
        <v/>
      </c>
      <c r="K615" s="165" t="str">
        <f aca="false" ca="false" dt2D="false" dtr="false" t="normal">IF(J412="", "", BIN2HEX(K616, 2))</f>
        <v/>
      </c>
      <c r="L615" s="288" t="str">
        <f aca="false" ca="false" dt2D="false" dtr="false" t="normal">IF(J412="", "", BIN2HEX(L616, 2))</f>
        <v/>
      </c>
      <c r="M615" s="166" t="str">
        <f aca="false" ca="false" dt2D="false" dtr="false" t="normal">IF(J412="", "", IF(LEN(M616)&gt;2, MID(M616, 2, 2), M616))</f>
        <v/>
      </c>
      <c r="N615" s="63" t="s">
        <v>181</v>
      </c>
      <c r="P615" s="6160" t="s"/>
      <c r="Q615" s="142" t="s"/>
      <c r="R615" s="142" t="s"/>
      <c r="S615" s="6161" t="s"/>
      <c r="T615" s="136" t="n">
        <f aca="false" ca="false" dt2D="false" dtr="false" t="normal">MID(I611, 5, 1)</f>
        <v>0</v>
      </c>
      <c r="U615" s="137" t="n">
        <f aca="false" ca="false" dt2D="false" dtr="false" t="normal">T615</f>
        <v>0</v>
      </c>
      <c r="V615" s="120" t="s">
        <v>200</v>
      </c>
      <c r="W615" s="139" t="s">
        <v>2331</v>
      </c>
      <c r="X615" s="136" t="n">
        <f aca="false" ca="false" dt2D="false" dtr="false" t="normal">MID(J611, 5, 1)</f>
        <v>0</v>
      </c>
      <c r="Y615" s="137" t="n">
        <f aca="false" ca="false" dt2D="false" dtr="false" t="normal">X615</f>
        <v>0</v>
      </c>
      <c r="Z615" s="120" t="s">
        <v>200</v>
      </c>
      <c r="AA615" s="139" t="s">
        <v>2332</v>
      </c>
      <c r="AB615" s="136" t="n">
        <f aca="false" ca="false" dt2D="false" dtr="false" t="normal">MID(K611, 5, 1)</f>
        <v>0</v>
      </c>
      <c r="AC615" s="137" t="n">
        <f aca="false" ca="false" dt2D="false" dtr="false" t="normal">AB615</f>
        <v>0</v>
      </c>
      <c r="AD615" s="120" t="s">
        <v>200</v>
      </c>
      <c r="AE615" s="139" t="s">
        <v>2333</v>
      </c>
      <c r="AF615" s="136" t="n">
        <f aca="false" ca="false" dt2D="false" dtr="false" t="normal">MID(L611, 5, 1)</f>
        <v>0</v>
      </c>
      <c r="AG615" s="137" t="n">
        <f aca="false" ca="false" dt2D="false" dtr="false" t="normal">AF615</f>
        <v>0</v>
      </c>
      <c r="AH615" s="120" t="s">
        <v>200</v>
      </c>
      <c r="AI615" s="139" t="s">
        <v>2334</v>
      </c>
      <c r="AJ615" s="6162" t="s"/>
      <c r="AK615" s="6163" t="s"/>
      <c r="AL615" s="6164" t="s"/>
    </row>
    <row hidden="false" ht="15" outlineLevel="0" r="616">
      <c r="C616" s="98" t="s">
        <v>185</v>
      </c>
      <c r="D616" s="53" t="n">
        <f aca="false" ca="false" dt2D="false" dtr="false" t="normal">HEX2BIN(D615, 8)</f>
        <v>0</v>
      </c>
      <c r="E616" s="53" t="n">
        <f aca="false" ca="false" dt2D="false" dtr="false" t="normal">HEX2BIN(E615, 8)</f>
        <v>0</v>
      </c>
      <c r="F616" s="53" t="n">
        <f aca="false" ca="false" dt2D="false" dtr="false" t="normal">HEX2BIN(F615, 8)</f>
        <v>0</v>
      </c>
      <c r="G616" s="53" t="n">
        <f aca="false" ca="false" dt2D="false" dtr="false" t="normal">HEX2BIN(G615, 8)</f>
        <v>0</v>
      </c>
      <c r="H616" s="171" t="n"/>
      <c r="I616" s="53" t="n">
        <f aca="false" ca="false" dt2D="false" dtr="false" t="normal">U611&amp;U612&amp;U613&amp;U614&amp;U615&amp;U616&amp;U617&amp;U618</f>
        <v>0</v>
      </c>
      <c r="J616" s="171" t="n">
        <f aca="false" ca="false" dt2D="false" dtr="false" t="normal">Y611&amp;Y612&amp;Y613&amp;Y614&amp;Y615&amp;Y616&amp;Y617&amp;Y618</f>
        <v>0</v>
      </c>
      <c r="K616" s="171" t="n">
        <f aca="false" ca="false" dt2D="false" dtr="false" t="normal">AC611&amp;AC612&amp;AC613&amp;AC614&amp;AC615&amp;AC616&amp;AC617&amp;AC618</f>
        <v>0</v>
      </c>
      <c r="L616" s="53" t="n">
        <f aca="false" ca="false" dt2D="false" dtr="false" t="normal">AG611&amp;AG612&amp;AG613&amp;AG614&amp;AG615&amp;AG616&amp;AG617&amp;AG618</f>
        <v>0</v>
      </c>
      <c r="M616" s="53" t="n">
        <f aca="false" ca="false" dt2D="false" dtr="false" t="normal">DEC2HEX(M617)</f>
        <v>0</v>
      </c>
      <c r="N616" s="63" t="n"/>
      <c r="P616" s="6165" t="s"/>
      <c r="Q616" s="142" t="s"/>
      <c r="R616" s="142" t="s"/>
      <c r="S616" s="6166" t="s"/>
      <c r="T616" s="136" t="n">
        <f aca="false" ca="false" dt2D="false" dtr="false" t="normal">MID(I611, 6, 1)</f>
        <v>0</v>
      </c>
      <c r="U616" s="137" t="n">
        <f aca="false" ca="false" dt2D="false" dtr="false" t="normal">T616</f>
        <v>0</v>
      </c>
      <c r="V616" s="120" t="s">
        <v>203</v>
      </c>
      <c r="W616" s="139" t="s">
        <v>2335</v>
      </c>
      <c r="X616" s="136" t="n">
        <f aca="false" ca="false" dt2D="false" dtr="false" t="normal">MID(J611, 6, 1)</f>
        <v>0</v>
      </c>
      <c r="Y616" s="137" t="n">
        <f aca="false" ca="false" dt2D="false" dtr="false" t="normal">X616</f>
        <v>0</v>
      </c>
      <c r="Z616" s="120" t="s">
        <v>203</v>
      </c>
      <c r="AA616" s="139" t="s">
        <v>2336</v>
      </c>
      <c r="AB616" s="136" t="n">
        <f aca="false" ca="false" dt2D="false" dtr="false" t="normal">MID(K611, 6, 1)</f>
        <v>0</v>
      </c>
      <c r="AC616" s="137" t="n">
        <f aca="false" ca="false" dt2D="false" dtr="false" t="normal">AB616</f>
        <v>0</v>
      </c>
      <c r="AD616" s="120" t="s">
        <v>203</v>
      </c>
      <c r="AE616" s="139" t="s">
        <v>2337</v>
      </c>
      <c r="AF616" s="136" t="n">
        <f aca="false" ca="false" dt2D="false" dtr="false" t="normal">MID(L611, 6, 1)</f>
        <v>0</v>
      </c>
      <c r="AG616" s="137" t="n">
        <f aca="false" ca="false" dt2D="false" dtr="false" t="normal">AF616</f>
        <v>0</v>
      </c>
      <c r="AH616" s="120" t="s">
        <v>203</v>
      </c>
      <c r="AI616" s="139" t="s">
        <v>2338</v>
      </c>
      <c r="AJ616" s="6167" t="s"/>
      <c r="AK616" s="6168" t="s"/>
      <c r="AL616" s="6169" t="s"/>
    </row>
    <row hidden="false" ht="15" outlineLevel="0" r="617">
      <c r="C617" s="98" t="s">
        <v>191</v>
      </c>
      <c r="D617" s="53" t="n">
        <f aca="false" ca="false" dt2D="false" dtr="false" t="normal">HEX2DEC(D615)</f>
        <v>0</v>
      </c>
      <c r="E617" s="53" t="n">
        <f aca="false" ca="false" dt2D="false" dtr="false" t="normal">HEX2DEC(E615)</f>
        <v>0</v>
      </c>
      <c r="F617" s="53" t="n">
        <f aca="false" ca="false" dt2D="false" dtr="false" t="normal">HEX2DEC(F615)</f>
        <v>0</v>
      </c>
      <c r="G617" s="53" t="n">
        <f aca="false" ca="false" dt2D="false" dtr="false" t="normal">HEX2DEC(G615)</f>
        <v>0</v>
      </c>
      <c r="H617" s="53" t="n">
        <f aca="false" ca="false" dt2D="false" dtr="false" t="normal">HEX2DEC(H615)</f>
        <v>0</v>
      </c>
      <c r="I617" s="53" t="n">
        <f aca="false" ca="false" dt2D="false" dtr="false" t="normal">HEX2DEC(I615)</f>
        <v>0</v>
      </c>
      <c r="J617" s="53" t="n">
        <f aca="false" ca="false" dt2D="false" dtr="false" t="normal">HEX2DEC(J615)</f>
        <v>0</v>
      </c>
      <c r="K617" s="53" t="n">
        <f aca="false" ca="false" dt2D="false" dtr="false" t="normal">HEX2DEC(K615)</f>
        <v>0</v>
      </c>
      <c r="L617" s="53" t="n">
        <f aca="false" ca="false" dt2D="false" dtr="false" t="normal">HEX2DEC(L615)</f>
        <v>0</v>
      </c>
      <c r="M617" s="53" t="n">
        <f aca="false" ca="false" dt2D="false" dtr="false" t="normal">SUM(D617:L617)</f>
        <v>0</v>
      </c>
      <c r="N617" s="63" t="n"/>
      <c r="P617" s="6170" t="s"/>
      <c r="Q617" s="142" t="s"/>
      <c r="R617" s="142" t="s"/>
      <c r="S617" s="6171" t="s"/>
      <c r="T617" s="136" t="n">
        <f aca="false" ca="false" dt2D="false" dtr="false" t="normal">MID(I611, 7, 1)</f>
        <v>0</v>
      </c>
      <c r="U617" s="137" t="n">
        <f aca="false" ca="false" dt2D="false" dtr="false" t="normal">T617</f>
        <v>0</v>
      </c>
      <c r="V617" s="120" t="s">
        <v>206</v>
      </c>
      <c r="W617" s="139" t="s">
        <v>2339</v>
      </c>
      <c r="X617" s="136" t="n">
        <f aca="false" ca="false" dt2D="false" dtr="false" t="normal">MID(J611, 7, 1)</f>
        <v>0</v>
      </c>
      <c r="Y617" s="137" t="n">
        <f aca="false" ca="false" dt2D="false" dtr="false" t="normal">X617</f>
        <v>0</v>
      </c>
      <c r="Z617" s="120" t="s">
        <v>206</v>
      </c>
      <c r="AA617" s="139" t="s">
        <v>2340</v>
      </c>
      <c r="AB617" s="136" t="n">
        <f aca="false" ca="false" dt2D="false" dtr="false" t="normal">MID(K611, 7, 1)</f>
        <v>0</v>
      </c>
      <c r="AC617" s="137" t="n">
        <f aca="false" ca="false" dt2D="false" dtr="false" t="normal">AB617</f>
        <v>0</v>
      </c>
      <c r="AD617" s="120" t="s">
        <v>206</v>
      </c>
      <c r="AE617" s="139" t="s">
        <v>2341</v>
      </c>
      <c r="AF617" s="136" t="n">
        <f aca="false" ca="false" dt2D="false" dtr="false" t="normal">MID(L611, 7, 1)</f>
        <v>0</v>
      </c>
      <c r="AG617" s="137" t="n">
        <f aca="false" ca="false" dt2D="false" dtr="false" t="normal">AF617</f>
        <v>0</v>
      </c>
      <c r="AH617" s="120" t="s">
        <v>206</v>
      </c>
      <c r="AI617" s="139" t="s">
        <v>2342</v>
      </c>
      <c r="AJ617" s="6172" t="s"/>
      <c r="AK617" s="6173" t="s"/>
      <c r="AL617" s="6174" t="s"/>
    </row>
    <row hidden="false" ht="15.75" outlineLevel="0" r="618">
      <c r="C618" s="180" t="s">
        <v>194</v>
      </c>
      <c r="D618" s="299" t="str">
        <f aca="false" ca="false" dt2D="false" dtr="false" t="normal">D613</f>
        <v/>
      </c>
      <c r="E618" s="299" t="str">
        <f aca="false" ca="false" dt2D="false" dtr="false" t="normal">E613</f>
        <v/>
      </c>
      <c r="F618" s="299" t="str">
        <f aca="false" ca="false" dt2D="false" dtr="false" t="normal">F613</f>
        <v/>
      </c>
      <c r="G618" s="299" t="str">
        <f aca="false" ca="false" dt2D="false" dtr="false" t="normal">G613</f>
        <v/>
      </c>
      <c r="H618" s="45" t="n"/>
      <c r="I618" s="45" t="n"/>
      <c r="J618" s="45" t="n"/>
      <c r="K618" s="45" t="n"/>
      <c r="L618" s="45" t="n"/>
      <c r="M618" s="45" t="n"/>
      <c r="N618" s="49" t="n"/>
      <c r="P618" s="6175" t="s"/>
      <c r="Q618" s="6176" t="s"/>
      <c r="R618" s="6177" t="s"/>
      <c r="S618" s="6178" t="s"/>
      <c r="T618" s="182" t="n">
        <f aca="false" ca="false" dt2D="false" dtr="false" t="normal">MID(I611, 8, 1)</f>
        <v>0</v>
      </c>
      <c r="U618" s="183" t="n">
        <f aca="false" ca="false" dt2D="false" dtr="false" t="normal">T618</f>
        <v>0</v>
      </c>
      <c r="V618" s="184" t="s">
        <v>208</v>
      </c>
      <c r="W618" s="187" t="s">
        <v>2343</v>
      </c>
      <c r="X618" s="182" t="n">
        <f aca="false" ca="false" dt2D="false" dtr="false" t="normal">MID(J611, 8, 1)</f>
        <v>0</v>
      </c>
      <c r="Y618" s="183" t="n">
        <f aca="false" ca="false" dt2D="false" dtr="false" t="normal">X618</f>
        <v>0</v>
      </c>
      <c r="Z618" s="184" t="s">
        <v>208</v>
      </c>
      <c r="AA618" s="187" t="s">
        <v>2344</v>
      </c>
      <c r="AB618" s="182" t="n">
        <f aca="false" ca="false" dt2D="false" dtr="false" t="normal">MID(K611, 8, 1)</f>
        <v>0</v>
      </c>
      <c r="AC618" s="183" t="n">
        <f aca="false" ca="false" dt2D="false" dtr="false" t="normal">AB618</f>
        <v>0</v>
      </c>
      <c r="AD618" s="184" t="s">
        <v>208</v>
      </c>
      <c r="AE618" s="187" t="s">
        <v>2345</v>
      </c>
      <c r="AF618" s="182" t="n">
        <f aca="false" ca="false" dt2D="false" dtr="false" t="normal">MID(L611, 8, 1)</f>
        <v>0</v>
      </c>
      <c r="AG618" s="183" t="n">
        <f aca="false" ca="false" dt2D="false" dtr="false" t="normal">AF618</f>
        <v>0</v>
      </c>
      <c r="AH618" s="184" t="s">
        <v>208</v>
      </c>
      <c r="AI618" s="187" t="s">
        <v>2346</v>
      </c>
      <c r="AJ618" s="6179" t="s"/>
      <c r="AK618" s="6180" t="s"/>
      <c r="AL618" s="6181" t="s"/>
    </row>
    <row hidden="false" ht="15.75" outlineLevel="0" r="619">
      <c r="C619" s="93" t="n"/>
      <c r="D619" s="94" t="n"/>
      <c r="E619" s="94" t="n"/>
      <c r="F619" s="94" t="n"/>
      <c r="G619" s="94" t="n"/>
      <c r="H619" s="94" t="n"/>
      <c r="I619" s="94" t="n"/>
      <c r="J619" s="94" t="n"/>
      <c r="K619" s="94" t="n"/>
      <c r="L619" s="94" t="n"/>
      <c r="M619" s="94" t="s">
        <v>161</v>
      </c>
      <c r="N619" s="60" t="n"/>
      <c r="P619" s="95" t="str">
        <f aca="false" ca="false" dt2D="false" dtr="false" t="normal">RIGHT(D621, 1)&amp;E621&amp;"-"&amp;F621&amp;"-"&amp;G621</f>
        <v>--</v>
      </c>
      <c r="Q619" s="6182" t="s"/>
      <c r="R619" s="234" t="s">
        <v>2347</v>
      </c>
      <c r="S619" s="6183" t="s"/>
      <c r="T619" s="6184" t="s"/>
      <c r="U619" s="6185" t="s"/>
      <c r="V619" s="6186" t="s"/>
      <c r="W619" s="6187" t="s"/>
      <c r="X619" s="6188" t="s"/>
      <c r="Y619" s="6189" t="s"/>
      <c r="Z619" s="6190" t="s"/>
      <c r="AA619" s="6191" t="s"/>
      <c r="AB619" s="6192" t="s"/>
      <c r="AC619" s="6193" t="s"/>
      <c r="AD619" s="6194" t="s"/>
      <c r="AE619" s="6195" t="s"/>
      <c r="AF619" s="6196" t="s"/>
      <c r="AG619" s="6197" t="s"/>
      <c r="AH619" s="6198" t="s"/>
      <c r="AI619" s="6199" t="s"/>
      <c r="AJ619" s="6200" t="s"/>
      <c r="AK619" s="6201" t="s"/>
      <c r="AL619" s="6202" t="s"/>
    </row>
    <row hidden="false" ht="15.75" outlineLevel="0" r="620">
      <c r="C620" s="98" t="n"/>
      <c r="D620" s="99" t="s">
        <v>2348</v>
      </c>
      <c r="E620" s="6203" t="s"/>
      <c r="F620" s="6204" t="s"/>
      <c r="G620" s="6205" t="s"/>
      <c r="H620" s="53" t="s">
        <v>165</v>
      </c>
      <c r="I620" s="53" t="s">
        <v>166</v>
      </c>
      <c r="J620" s="53" t="s">
        <v>167</v>
      </c>
      <c r="K620" s="53" t="s">
        <v>168</v>
      </c>
      <c r="L620" s="53" t="s">
        <v>169</v>
      </c>
      <c r="M620" s="53" t="s">
        <v>221</v>
      </c>
      <c r="N620" s="63" t="n"/>
      <c r="P620" s="103" t="s">
        <v>2349</v>
      </c>
      <c r="Q620" s="6206" t="s"/>
      <c r="R620" s="6207" t="s"/>
      <c r="S620" s="6208" t="s"/>
      <c r="T620" s="103" t="s">
        <v>2350</v>
      </c>
      <c r="U620" s="6209" t="s"/>
      <c r="V620" s="6210" t="s"/>
      <c r="W620" s="6211" t="s"/>
      <c r="X620" s="103" t="s">
        <v>2351</v>
      </c>
      <c r="Y620" s="6212" t="s"/>
      <c r="Z620" s="6213" t="s"/>
      <c r="AA620" s="6214" t="s"/>
      <c r="AB620" s="103" t="s">
        <v>2352</v>
      </c>
      <c r="AC620" s="6215" t="s"/>
      <c r="AD620" s="6216" t="s"/>
      <c r="AE620" s="6217" t="s"/>
      <c r="AF620" s="103" t="s">
        <v>2353</v>
      </c>
      <c r="AG620" s="6218" t="s"/>
      <c r="AH620" s="6219" t="s"/>
      <c r="AI620" s="6220" t="s"/>
      <c r="AJ620" s="103" t="s">
        <v>2354</v>
      </c>
      <c r="AK620" s="6221" t="s"/>
      <c r="AL620" s="6222" t="s"/>
    </row>
    <row hidden="false" ht="15.75" outlineLevel="0" r="621">
      <c r="C621" s="98" t="s">
        <v>176</v>
      </c>
      <c r="D621" s="122" t="str">
        <f aca="false" ca="false" dt2D="false" dtr="false" t="normal">IF(J412="", "", 7)</f>
        <v/>
      </c>
      <c r="E621" s="123" t="str">
        <f aca="false" ca="false" dt2D="false" dtr="false" t="normal">IF(J412="", "", 20)</f>
        <v/>
      </c>
      <c r="F621" s="123" t="str">
        <f aca="false" ca="false" dt2D="false" dtr="false" t="normal">IF(J412="", "", 4)</f>
        <v/>
      </c>
      <c r="G621" s="124" t="str">
        <f aca="false" ca="false" dt2D="false" dtr="false" t="normal">IF(J412="", "", 47)</f>
        <v/>
      </c>
      <c r="H621" s="1819" t="str">
        <f aca="false" ca="false" dt2D="false" dtr="false" ref="H621:H621" t="array">_XLFN.IFNA(MID(INDEX($A$3:$A$70, IF(ISNA(MATCH("720G4IF*", $A$3:$A$70, 0))=TRUE, MATCH("7200447*", $A$3:$A$70, 0), MATCH("720G4IF*", $A$3:$A$70, 0))), $AU$8, 2), "")</f>
        <v/>
      </c>
      <c r="I621" s="1820" t="str">
        <f aca="false" ca="false" dt2D="false" dtr="false" ref="I621:I621" t="array">_XLFN.IFNA(MID(INDEX($A$3:$A$70, IF(ISNA(MATCH("720G4IF*", $A$3:$A$70, 0))=TRUE, MATCH("7200447*", $A$3:$A$70, 0), MATCH("720G4IF*", $A$3:$A$70, 0))), $AV$8, 2), "")</f>
        <v/>
      </c>
      <c r="J621" s="164" t="str">
        <f aca="false" ca="false" dt2D="false" dtr="false" ref="J621:J621" t="array">_XLFN.IFNA(MID(INDEX($A$3:$A$70, IF(ISNA(MATCH("720G4IF*", $A$3:$A$70, 0))=TRUE, MATCH("7200447*", $A$3:$A$70, 0), MATCH("720G4IF*", $A$3:$A$70, 0))), $AW$8, 2), "")</f>
        <v/>
      </c>
      <c r="K621" s="1820" t="str">
        <f aca="false" ca="false" dt2D="false" dtr="false" ref="K621:K621" t="array">_XLFN.IFNA(MID(INDEX($A$3:$A$70, IF(ISNA(MATCH("720G4IF*", $A$3:$A$70, 0))=TRUE, MATCH("7200447*", $A$3:$A$70, 0), MATCH("720G4IF*", $A$3:$A$70, 0))), $AX$8, 2), "")</f>
        <v/>
      </c>
      <c r="L621" s="1821" t="str">
        <f aca="false" ca="false" dt2D="false" dtr="false" ref="L621:L621" t="array">_XLFN.IFNA(MID(INDEX($A$3:$A$70, IF(ISNA(MATCH("720G4IF*", $A$3:$A$70, 0))=TRUE, MATCH("7200447*", $A$3:$A$70, 0), MATCH("720G4IF*", $A$3:$A$70, 0))), $AY$8, 2), "")</f>
        <v/>
      </c>
      <c r="M621" s="218" t="str">
        <f aca="false" ca="false" dt2D="false" dtr="false" ref="M621:M621" t="array">_XLFN.IFNA(MID(INDEX($A$3:$A$70, IF(ISNA(MATCH("720G4IF*", $A$3:$A$70, 0))=TRUE, MATCH("7200447*", $A$3:$A$70, 0), MATCH("720G4IF*", $A$3:$A$70, 0))), $AZ$8, 2), "")</f>
        <v/>
      </c>
      <c r="N621" s="63" t="s">
        <v>180</v>
      </c>
      <c r="P621" s="129" t="s">
        <v>180</v>
      </c>
      <c r="Q621" s="130" t="s">
        <v>181</v>
      </c>
      <c r="R621" s="121" t="s">
        <v>182</v>
      </c>
      <c r="S621" s="131" t="n"/>
      <c r="T621" s="129" t="s">
        <v>180</v>
      </c>
      <c r="U621" s="130" t="s">
        <v>181</v>
      </c>
      <c r="V621" s="121" t="s">
        <v>182</v>
      </c>
      <c r="W621" s="131" t="n"/>
      <c r="X621" s="116" t="n"/>
      <c r="Y621" s="6223" t="s"/>
      <c r="Z621" s="6224" t="s"/>
      <c r="AA621" s="6225" t="s"/>
      <c r="AB621" s="116" t="n"/>
      <c r="AC621" s="6226" t="s"/>
      <c r="AD621" s="6227" t="s"/>
      <c r="AE621" s="6228" t="s"/>
      <c r="AF621" s="129" t="s">
        <v>180</v>
      </c>
      <c r="AG621" s="130" t="s">
        <v>181</v>
      </c>
      <c r="AH621" s="121" t="s">
        <v>182</v>
      </c>
      <c r="AI621" s="121" t="n"/>
      <c r="AJ621" s="116" t="s">
        <v>183</v>
      </c>
      <c r="AK621" s="6229" t="s"/>
      <c r="AL621" s="6230" t="s"/>
    </row>
    <row hidden="false" ht="15" outlineLevel="0" r="622">
      <c r="C622" s="98" t="s">
        <v>185</v>
      </c>
      <c r="D622" s="53" t="n">
        <f aca="false" ca="false" dt2D="false" dtr="false" t="normal">HEX2BIN(D621, 8)</f>
        <v>0</v>
      </c>
      <c r="E622" s="53" t="n">
        <f aca="false" ca="false" dt2D="false" dtr="false" t="normal">HEX2BIN(E621, 8)</f>
        <v>0</v>
      </c>
      <c r="F622" s="53" t="n">
        <f aca="false" ca="false" dt2D="false" dtr="false" t="normal">HEX2BIN(F621, 8)</f>
        <v>0</v>
      </c>
      <c r="G622" s="53" t="n">
        <f aca="false" ca="false" dt2D="false" dtr="false" t="normal">HEX2BIN(G621, 8)</f>
        <v>0</v>
      </c>
      <c r="H622" s="53" t="n">
        <f aca="false" ca="false" dt2D="false" dtr="false" t="normal">HEX2BIN(H621, 8)</f>
        <v>0</v>
      </c>
      <c r="I622" s="53" t="n">
        <f aca="false" ca="false" dt2D="false" dtr="false" t="normal">HEX2BIN(I621, 8)</f>
        <v>0</v>
      </c>
      <c r="J622" s="53" t="n">
        <f aca="false" ca="false" dt2D="false" dtr="false" t="normal">HEX2BIN(J621, 8)</f>
        <v>0</v>
      </c>
      <c r="K622" s="53" t="n">
        <f aca="false" ca="false" dt2D="false" dtr="false" t="normal">HEX2BIN(K621, 8)</f>
        <v>0</v>
      </c>
      <c r="L622" s="53" t="n">
        <f aca="false" ca="false" dt2D="false" dtr="false" t="normal">HEX2BIN(L621, 8)</f>
        <v>0</v>
      </c>
      <c r="N622" s="63" t="n"/>
      <c r="P622" s="136" t="n">
        <f aca="false" ca="false" dt2D="false" dtr="false" t="normal">MID(H622, 1, 1)</f>
        <v>0</v>
      </c>
      <c r="Q622" s="137" t="n">
        <f aca="false" ca="false" dt2D="false" dtr="false" t="normal">P622</f>
        <v>0</v>
      </c>
      <c r="R622" s="120" t="s">
        <v>186</v>
      </c>
      <c r="S622" s="139" t="s">
        <v>2355</v>
      </c>
      <c r="T622" s="136" t="n">
        <f aca="false" ca="false" dt2D="false" dtr="false" t="normal">MID(I622, 1, 1)</f>
        <v>0</v>
      </c>
      <c r="U622" s="137" t="n">
        <f aca="false" ca="false" dt2D="false" dtr="false" t="normal">T622</f>
        <v>0</v>
      </c>
      <c r="V622" s="120" t="s">
        <v>186</v>
      </c>
      <c r="W622" s="139" t="s">
        <v>2356</v>
      </c>
      <c r="X622" s="6231" t="s"/>
      <c r="Y622" s="142" t="s"/>
      <c r="Z622" s="142" t="s"/>
      <c r="AA622" s="6232" t="s"/>
      <c r="AB622" s="6233" t="s"/>
      <c r="AC622" s="142" t="s"/>
      <c r="AD622" s="142" t="s"/>
      <c r="AE622" s="6234" t="s"/>
      <c r="AF622" s="136" t="n">
        <f aca="false" ca="false" dt2D="false" dtr="false" t="normal">MID(L622, 1, 1)</f>
        <v>0</v>
      </c>
      <c r="AG622" s="137" t="n">
        <f aca="false" ca="false" dt2D="false" dtr="false" t="normal">AF622</f>
        <v>0</v>
      </c>
      <c r="AH622" s="120" t="s">
        <v>186</v>
      </c>
      <c r="AI622" s="139" t="s">
        <v>2357</v>
      </c>
      <c r="AJ622" s="6235" t="s"/>
      <c r="AK622" s="6236" t="s"/>
      <c r="AL622" s="6237" t="s"/>
    </row>
    <row hidden="false" ht="15" outlineLevel="0" r="623">
      <c r="C623" s="98" t="s">
        <v>191</v>
      </c>
      <c r="D623" s="53" t="n">
        <f aca="false" ca="false" dt2D="false" dtr="false" t="normal">HEX2DEC(D621)</f>
        <v>0</v>
      </c>
      <c r="E623" s="53" t="n">
        <f aca="false" ca="false" dt2D="false" dtr="false" t="normal">HEX2DEC(E621)</f>
        <v>0</v>
      </c>
      <c r="F623" s="53" t="n">
        <f aca="false" ca="false" dt2D="false" dtr="false" t="normal">HEX2DEC(F621)</f>
        <v>0</v>
      </c>
      <c r="G623" s="53" t="n">
        <f aca="false" ca="false" dt2D="false" dtr="false" t="normal">HEX2DEC(G621)</f>
        <v>0</v>
      </c>
      <c r="H623" s="53" t="n">
        <f aca="false" ca="false" dt2D="false" dtr="false" t="normal">HEX2DEC(H621)</f>
        <v>0</v>
      </c>
      <c r="I623" s="53" t="n">
        <f aca="false" ca="false" dt2D="false" dtr="false" t="normal">HEX2DEC(I621)</f>
        <v>0</v>
      </c>
      <c r="J623" s="53" t="n">
        <f aca="false" ca="false" dt2D="false" dtr="false" t="normal">HEX2DEC(J621)</f>
        <v>0</v>
      </c>
      <c r="K623" s="53" t="n">
        <f aca="false" ca="false" dt2D="false" dtr="false" t="normal">HEX2DEC(K621)</f>
        <v>0</v>
      </c>
      <c r="L623" s="53" t="n">
        <f aca="false" ca="false" dt2D="false" dtr="false" t="normal">HEX2DEC(L621)</f>
        <v>0</v>
      </c>
      <c r="M623" s="53" t="n">
        <f aca="false" ca="false" dt2D="false" dtr="false" t="normal">SUM(D623:L623)</f>
        <v>0</v>
      </c>
      <c r="N623" s="63" t="n"/>
      <c r="P623" s="136" t="n">
        <f aca="false" ca="false" dt2D="false" dtr="false" t="normal">MID(H622, 2, 1)</f>
        <v>0</v>
      </c>
      <c r="Q623" s="137" t="n">
        <f aca="false" ca="false" dt2D="false" dtr="false" t="normal">P623</f>
        <v>0</v>
      </c>
      <c r="R623" s="120" t="s">
        <v>192</v>
      </c>
      <c r="S623" s="139" t="s">
        <v>2358</v>
      </c>
      <c r="T623" s="136" t="n">
        <f aca="false" ca="false" dt2D="false" dtr="false" t="normal">MID(I622, 2, 1)</f>
        <v>0</v>
      </c>
      <c r="U623" s="137" t="n">
        <f aca="false" ca="false" dt2D="false" dtr="false" t="normal">T623</f>
        <v>0</v>
      </c>
      <c r="V623" s="120" t="s">
        <v>192</v>
      </c>
      <c r="W623" s="139" t="s">
        <v>2359</v>
      </c>
      <c r="X623" s="6238" t="s"/>
      <c r="Y623" s="142" t="s"/>
      <c r="Z623" s="142" t="s"/>
      <c r="AA623" s="6239" t="s"/>
      <c r="AB623" s="6240" t="s"/>
      <c r="AC623" s="142" t="s"/>
      <c r="AD623" s="142" t="s"/>
      <c r="AE623" s="6241" t="s"/>
      <c r="AF623" s="136" t="n">
        <f aca="false" ca="false" dt2D="false" dtr="false" t="normal">MID(L622, 2, 1)</f>
        <v>0</v>
      </c>
      <c r="AG623" s="137" t="n">
        <f aca="false" ca="false" dt2D="false" dtr="false" t="normal">AF623</f>
        <v>0</v>
      </c>
      <c r="AH623" s="120" t="s">
        <v>192</v>
      </c>
      <c r="AI623" s="139" t="s">
        <v>2360</v>
      </c>
      <c r="AJ623" s="6242" t="s"/>
      <c r="AK623" s="6243" t="s"/>
      <c r="AL623" s="6244" t="s"/>
    </row>
    <row hidden="false" ht="15" outlineLevel="0" r="624">
      <c r="C624" s="98" t="s">
        <v>194</v>
      </c>
      <c r="D624" s="149" t="str">
        <f aca="false" ca="false" dt2D="false" dtr="false" t="normal">D621</f>
        <v/>
      </c>
      <c r="E624" s="149" t="str">
        <f aca="false" ca="false" dt2D="false" dtr="false" t="normal">E621</f>
        <v/>
      </c>
      <c r="F624" s="53" t="str">
        <f aca="false" ca="false" dt2D="false" dtr="false" t="normal">_XLFN.IFNA(MID(INDEX($A$3:$A$70, IF(ISNA(MATCH("720G4IF*", $A$3:$A$70, 0))=TRUE, MATCH("7200447*", $A$3:$A$70, 0), MATCH("720G4IF*", $A$3:$A$70, 0))), $AS$8, 2), "")</f>
        <v/>
      </c>
      <c r="G624" s="53" t="str">
        <f aca="false" ca="false" dt2D="false" dtr="false" t="normal">_XLFN.IFNA(MID(INDEX($A$3:$A$70, IF(ISNA(MATCH("720G4IF*", $A$3:$A$70, 0))=TRUE, MATCH("7200447*", $A$3:$A$70, 0), MATCH("720G4IF*", $A$3:$A$70, 0))), $AT$8, 2), "")</f>
        <v/>
      </c>
      <c r="N624" s="63" t="n"/>
      <c r="P624" s="136" t="n">
        <f aca="false" ca="false" dt2D="false" dtr="false" t="normal">MID(H622, 3, 1)</f>
        <v>0</v>
      </c>
      <c r="Q624" s="137" t="n">
        <f aca="false" ca="false" dt2D="false" dtr="false" t="normal">P624</f>
        <v>0</v>
      </c>
      <c r="R624" s="120" t="s">
        <v>195</v>
      </c>
      <c r="S624" s="139" t="s">
        <v>2361</v>
      </c>
      <c r="T624" s="136" t="n">
        <f aca="false" ca="false" dt2D="false" dtr="false" t="normal">MID(I622, 3, 1)</f>
        <v>0</v>
      </c>
      <c r="U624" s="137" t="n">
        <f aca="false" ca="false" dt2D="false" dtr="false" t="normal">T624</f>
        <v>0</v>
      </c>
      <c r="V624" s="120" t="s">
        <v>195</v>
      </c>
      <c r="W624" s="139" t="s">
        <v>2362</v>
      </c>
      <c r="X624" s="6245" t="s"/>
      <c r="Y624" s="142" t="s"/>
      <c r="Z624" s="142" t="s"/>
      <c r="AA624" s="6246" t="s"/>
      <c r="AB624" s="6247" t="s"/>
      <c r="AC624" s="142" t="s"/>
      <c r="AD624" s="142" t="s"/>
      <c r="AE624" s="6248" t="s"/>
      <c r="AF624" s="136" t="n">
        <f aca="false" ca="false" dt2D="false" dtr="false" t="normal">MID(L622, 3, 1)</f>
        <v>0</v>
      </c>
      <c r="AG624" s="137" t="n">
        <f aca="false" ca="false" dt2D="false" dtr="false" t="normal">AF624</f>
        <v>0</v>
      </c>
      <c r="AH624" s="120" t="s">
        <v>195</v>
      </c>
      <c r="AI624" s="139" t="s">
        <v>2363</v>
      </c>
      <c r="AJ624" s="6249" t="s"/>
      <c r="AK624" s="6250" t="s"/>
      <c r="AL624" s="6251" t="s"/>
    </row>
    <row hidden="false" ht="15.75" outlineLevel="0" r="625">
      <c r="C625" s="98" t="n"/>
      <c r="N625" s="63" t="n"/>
      <c r="P625" s="136" t="n">
        <f aca="false" ca="false" dt2D="false" dtr="false" t="normal">MID(H622, 4, 1)</f>
        <v>0</v>
      </c>
      <c r="Q625" s="137" t="n">
        <f aca="false" ca="false" dt2D="false" dtr="false" t="normal">P625</f>
        <v>0</v>
      </c>
      <c r="R625" s="120" t="s">
        <v>197</v>
      </c>
      <c r="S625" s="139" t="s">
        <v>2364</v>
      </c>
      <c r="T625" s="136" t="n">
        <f aca="false" ca="false" dt2D="false" dtr="false" t="normal">MID(I622, 4, 1)</f>
        <v>0</v>
      </c>
      <c r="U625" s="137" t="n">
        <f aca="false" ca="false" dt2D="false" dtr="false" t="normal">T625</f>
        <v>0</v>
      </c>
      <c r="V625" s="120" t="s">
        <v>197</v>
      </c>
      <c r="W625" s="139" t="s">
        <v>2365</v>
      </c>
      <c r="X625" s="6252" t="s"/>
      <c r="Y625" s="142" t="s"/>
      <c r="Z625" s="142" t="s"/>
      <c r="AA625" s="6253" t="s"/>
      <c r="AB625" s="6254" t="s"/>
      <c r="AC625" s="142" t="s"/>
      <c r="AD625" s="142" t="s"/>
      <c r="AE625" s="6255" t="s"/>
      <c r="AF625" s="136" t="n">
        <f aca="false" ca="false" dt2D="false" dtr="false" t="normal">MID(L622, 4, 1)</f>
        <v>0</v>
      </c>
      <c r="AG625" s="137" t="n">
        <f aca="false" ca="false" dt2D="false" dtr="false" t="normal">AF625</f>
        <v>0</v>
      </c>
      <c r="AH625" s="120" t="s">
        <v>197</v>
      </c>
      <c r="AI625" s="139" t="s">
        <v>2366</v>
      </c>
      <c r="AJ625" s="6256" t="s"/>
      <c r="AK625" s="6257" t="s"/>
      <c r="AL625" s="6258" t="s"/>
    </row>
    <row hidden="false" ht="15.75" outlineLevel="0" r="626">
      <c r="C626" s="98" t="s">
        <v>176</v>
      </c>
      <c r="D626" s="159" t="str">
        <f aca="false" ca="false" dt2D="false" dtr="false" t="normal">D621</f>
        <v/>
      </c>
      <c r="E626" s="160" t="str">
        <f aca="false" ca="false" dt2D="false" dtr="false" t="normal">E621</f>
        <v/>
      </c>
      <c r="F626" s="160" t="str">
        <f aca="false" ca="false" dt2D="false" dtr="false" t="normal">F621</f>
        <v/>
      </c>
      <c r="G626" s="161" t="str">
        <f aca="false" ca="false" dt2D="false" dtr="false" t="normal">G621</f>
        <v/>
      </c>
      <c r="H626" s="162" t="str">
        <f aca="false" ca="false" dt2D="false" dtr="false" t="normal">IF(J412="", "", BIN2HEX(H627, 2))</f>
        <v/>
      </c>
      <c r="I626" s="163" t="str">
        <f aca="false" ca="false" dt2D="false" dtr="false" t="normal">IF(J412="", "", BIN2HEX(I627, 2))</f>
        <v/>
      </c>
      <c r="J626" s="2217" t="str">
        <f aca="false" ca="false" dt2D="false" dtr="false" t="normal">J621</f>
        <v/>
      </c>
      <c r="K626" s="1916" t="str">
        <f aca="false" ca="false" dt2D="false" dtr="false" t="normal">K621</f>
        <v/>
      </c>
      <c r="L626" s="288" t="str">
        <f aca="false" ca="false" dt2D="false" dtr="false" t="normal">IF(J412="", "", BIN2HEX(L627, 2))</f>
        <v/>
      </c>
      <c r="M626" s="166" t="str">
        <f aca="false" ca="false" dt2D="false" dtr="false" t="normal">IF(J412="", "", IF(LEN(M627)&gt;2, MID(M627, 2, 2), M627))</f>
        <v/>
      </c>
      <c r="N626" s="63" t="s">
        <v>181</v>
      </c>
      <c r="P626" s="136" t="n">
        <f aca="false" ca="false" dt2D="false" dtr="false" t="normal">MID(H622, 5, 1)</f>
        <v>0</v>
      </c>
      <c r="Q626" s="137" t="n">
        <f aca="false" ca="false" dt2D="false" dtr="false" t="normal">P626</f>
        <v>0</v>
      </c>
      <c r="R626" s="120" t="s">
        <v>200</v>
      </c>
      <c r="S626" s="139" t="s">
        <v>2367</v>
      </c>
      <c r="T626" s="136" t="n">
        <f aca="false" ca="false" dt2D="false" dtr="false" t="normal">MID(I622, 5, 1)</f>
        <v>0</v>
      </c>
      <c r="U626" s="137" t="n">
        <f aca="false" ca="false" dt2D="false" dtr="false" t="normal">T626</f>
        <v>0</v>
      </c>
      <c r="V626" s="120" t="s">
        <v>200</v>
      </c>
      <c r="W626" s="139" t="s">
        <v>2368</v>
      </c>
      <c r="X626" s="6259" t="s"/>
      <c r="Y626" s="142" t="s"/>
      <c r="Z626" s="142" t="s"/>
      <c r="AA626" s="6260" t="s"/>
      <c r="AB626" s="6261" t="s"/>
      <c r="AC626" s="142" t="s"/>
      <c r="AD626" s="142" t="s"/>
      <c r="AE626" s="6262" t="s"/>
      <c r="AF626" s="136" t="n">
        <f aca="false" ca="false" dt2D="false" dtr="false" t="normal">MID(L622, 5, 1)</f>
        <v>0</v>
      </c>
      <c r="AG626" s="137" t="n">
        <f aca="false" ca="false" dt2D="false" dtr="false" t="normal">AF626</f>
        <v>0</v>
      </c>
      <c r="AH626" s="120" t="s">
        <v>200</v>
      </c>
      <c r="AI626" s="139" t="s">
        <v>2369</v>
      </c>
      <c r="AJ626" s="6263" t="s"/>
      <c r="AK626" s="6264" t="s"/>
      <c r="AL626" s="6265" t="s"/>
    </row>
    <row hidden="false" ht="15" outlineLevel="0" r="627">
      <c r="C627" s="98" t="s">
        <v>185</v>
      </c>
      <c r="D627" s="53" t="n">
        <f aca="false" ca="false" dt2D="false" dtr="false" t="normal">HEX2BIN(D626, 8)</f>
        <v>0</v>
      </c>
      <c r="E627" s="53" t="n">
        <f aca="false" ca="false" dt2D="false" dtr="false" t="normal">HEX2BIN(E626, 8)</f>
        <v>0</v>
      </c>
      <c r="F627" s="53" t="n">
        <f aca="false" ca="false" dt2D="false" dtr="false" t="normal">HEX2BIN(F626, 8)</f>
        <v>0</v>
      </c>
      <c r="G627" s="53" t="n">
        <f aca="false" ca="false" dt2D="false" dtr="false" t="normal">HEX2BIN(G626, 8)</f>
        <v>0</v>
      </c>
      <c r="H627" s="171" t="n">
        <f aca="false" ca="false" dt2D="false" dtr="false" t="normal">Q622&amp;Q623&amp;Q624&amp;Q625&amp;Q626&amp;Q627&amp;Q628&amp;Q629</f>
        <v>0</v>
      </c>
      <c r="I627" s="53" t="n">
        <f aca="false" ca="false" dt2D="false" dtr="false" t="normal">U622&amp;U623&amp;U624&amp;U625&amp;U626&amp;U627&amp;U628&amp;U629</f>
        <v>0</v>
      </c>
      <c r="J627" s="171" t="n"/>
      <c r="K627" s="171" t="n"/>
      <c r="L627" s="53" t="n">
        <f aca="false" ca="false" dt2D="false" dtr="false" t="normal">AG622&amp;AG623&amp;AG624&amp;AG625&amp;AG626&amp;AG627&amp;AG628&amp;AG629</f>
        <v>0</v>
      </c>
      <c r="M627" s="53" t="n">
        <f aca="false" ca="false" dt2D="false" dtr="false" t="normal">DEC2HEX(M628)</f>
        <v>0</v>
      </c>
      <c r="N627" s="63" t="n"/>
      <c r="P627" s="136" t="n">
        <f aca="false" ca="false" dt2D="false" dtr="false" t="normal">MID(H622, 6, 1)</f>
        <v>0</v>
      </c>
      <c r="Q627" s="137" t="n">
        <f aca="false" ca="false" dt2D="false" dtr="false" t="normal">P627</f>
        <v>0</v>
      </c>
      <c r="R627" s="120" t="s">
        <v>203</v>
      </c>
      <c r="S627" s="139" t="s">
        <v>2370</v>
      </c>
      <c r="T627" s="136" t="n">
        <f aca="false" ca="false" dt2D="false" dtr="false" t="normal">MID(I622, 6, 1)</f>
        <v>0</v>
      </c>
      <c r="U627" s="137" t="n">
        <f aca="false" ca="false" dt2D="false" dtr="false" t="normal">T627</f>
        <v>0</v>
      </c>
      <c r="V627" s="120" t="s">
        <v>203</v>
      </c>
      <c r="W627" s="139" t="s">
        <v>2371</v>
      </c>
      <c r="X627" s="6266" t="s"/>
      <c r="Y627" s="142" t="s"/>
      <c r="Z627" s="142" t="s"/>
      <c r="AA627" s="6267" t="s"/>
      <c r="AB627" s="6268" t="s"/>
      <c r="AC627" s="142" t="s"/>
      <c r="AD627" s="142" t="s"/>
      <c r="AE627" s="6269" t="s"/>
      <c r="AF627" s="136" t="n">
        <f aca="false" ca="false" dt2D="false" dtr="false" t="normal">MID(L622, 6, 1)</f>
        <v>0</v>
      </c>
      <c r="AG627" s="137" t="n">
        <f aca="false" ca="false" dt2D="false" dtr="false" t="normal">AF627</f>
        <v>0</v>
      </c>
      <c r="AH627" s="120" t="s">
        <v>203</v>
      </c>
      <c r="AI627" s="139" t="s">
        <v>2372</v>
      </c>
      <c r="AJ627" s="6270" t="s"/>
      <c r="AK627" s="6271" t="s"/>
      <c r="AL627" s="6272" t="s"/>
    </row>
    <row hidden="false" ht="15" outlineLevel="0" r="628">
      <c r="C628" s="98" t="s">
        <v>191</v>
      </c>
      <c r="D628" s="53" t="n">
        <f aca="false" ca="false" dt2D="false" dtr="false" t="normal">HEX2DEC(D626)</f>
        <v>0</v>
      </c>
      <c r="E628" s="53" t="n">
        <f aca="false" ca="false" dt2D="false" dtr="false" t="normal">HEX2DEC(E626)</f>
        <v>0</v>
      </c>
      <c r="F628" s="53" t="n">
        <f aca="false" ca="false" dt2D="false" dtr="false" t="normal">HEX2DEC(F626)</f>
        <v>0</v>
      </c>
      <c r="G628" s="53" t="n">
        <f aca="false" ca="false" dt2D="false" dtr="false" t="normal">HEX2DEC(G626)</f>
        <v>0</v>
      </c>
      <c r="H628" s="53" t="n">
        <f aca="false" ca="false" dt2D="false" dtr="false" t="normal">HEX2DEC(H626)</f>
        <v>0</v>
      </c>
      <c r="I628" s="53" t="n">
        <f aca="false" ca="false" dt2D="false" dtr="false" t="normal">HEX2DEC(I626)</f>
        <v>0</v>
      </c>
      <c r="J628" s="53" t="n">
        <f aca="false" ca="false" dt2D="false" dtr="false" t="normal">HEX2DEC(J626)</f>
        <v>0</v>
      </c>
      <c r="K628" s="53" t="n">
        <f aca="false" ca="false" dt2D="false" dtr="false" t="normal">HEX2DEC(K626)</f>
        <v>0</v>
      </c>
      <c r="L628" s="53" t="n">
        <f aca="false" ca="false" dt2D="false" dtr="false" t="normal">HEX2DEC(L626)</f>
        <v>0</v>
      </c>
      <c r="M628" s="53" t="n">
        <f aca="false" ca="false" dt2D="false" dtr="false" t="normal">SUM(D628:L628)</f>
        <v>0</v>
      </c>
      <c r="N628" s="63" t="n"/>
      <c r="P628" s="136" t="n">
        <f aca="false" ca="false" dt2D="false" dtr="false" t="normal">MID(H622, 7, 1)</f>
        <v>0</v>
      </c>
      <c r="Q628" s="137" t="n">
        <f aca="false" ca="false" dt2D="false" dtr="false" t="normal">P628</f>
        <v>0</v>
      </c>
      <c r="R628" s="120" t="s">
        <v>206</v>
      </c>
      <c r="S628" s="139" t="s">
        <v>2373</v>
      </c>
      <c r="T628" s="136" t="n">
        <f aca="false" ca="false" dt2D="false" dtr="false" t="normal">MID(I622, 7, 1)</f>
        <v>0</v>
      </c>
      <c r="U628" s="137" t="n">
        <f aca="false" ca="false" dt2D="false" dtr="false" t="normal">T628</f>
        <v>0</v>
      </c>
      <c r="V628" s="120" t="s">
        <v>206</v>
      </c>
      <c r="W628" s="139" t="s">
        <v>2374</v>
      </c>
      <c r="X628" s="6273" t="s"/>
      <c r="Y628" s="142" t="s"/>
      <c r="Z628" s="142" t="s"/>
      <c r="AA628" s="6274" t="s"/>
      <c r="AB628" s="6275" t="s"/>
      <c r="AC628" s="142" t="s"/>
      <c r="AD628" s="142" t="s"/>
      <c r="AE628" s="6276" t="s"/>
      <c r="AF628" s="136" t="n">
        <f aca="false" ca="false" dt2D="false" dtr="false" t="normal">MID(L622, 7, 1)</f>
        <v>0</v>
      </c>
      <c r="AG628" s="137" t="n">
        <f aca="false" ca="false" dt2D="false" dtr="false" t="normal">AF628</f>
        <v>0</v>
      </c>
      <c r="AH628" s="120" t="s">
        <v>206</v>
      </c>
      <c r="AI628" s="139" t="s">
        <v>2375</v>
      </c>
      <c r="AJ628" s="6277" t="s"/>
      <c r="AK628" s="6278" t="s"/>
      <c r="AL628" s="6279" t="s"/>
    </row>
    <row hidden="false" ht="15.75" outlineLevel="0" r="629">
      <c r="C629" s="180" t="s">
        <v>194</v>
      </c>
      <c r="D629" s="299" t="str">
        <f aca="false" ca="false" dt2D="false" dtr="false" t="normal">D624</f>
        <v/>
      </c>
      <c r="E629" s="299" t="str">
        <f aca="false" ca="false" dt2D="false" dtr="false" t="normal">E624</f>
        <v/>
      </c>
      <c r="F629" s="299" t="str">
        <f aca="false" ca="false" dt2D="false" dtr="false" t="normal">F624</f>
        <v/>
      </c>
      <c r="G629" s="299" t="str">
        <f aca="false" ca="false" dt2D="false" dtr="false" t="normal">G624</f>
        <v/>
      </c>
      <c r="H629" s="45" t="n"/>
      <c r="I629" s="45" t="n"/>
      <c r="J629" s="45" t="n"/>
      <c r="K629" s="45" t="n"/>
      <c r="L629" s="45" t="n"/>
      <c r="M629" s="45" t="n"/>
      <c r="N629" s="49" t="n"/>
      <c r="P629" s="182" t="n">
        <f aca="false" ca="false" dt2D="false" dtr="false" t="normal">MID(H622, 8, 1)</f>
        <v>0</v>
      </c>
      <c r="Q629" s="183" t="n">
        <f aca="false" ca="false" dt2D="false" dtr="false" t="normal">P629</f>
        <v>0</v>
      </c>
      <c r="R629" s="184" t="s">
        <v>208</v>
      </c>
      <c r="S629" s="187" t="s">
        <v>2376</v>
      </c>
      <c r="T629" s="182" t="n">
        <f aca="false" ca="false" dt2D="false" dtr="false" t="normal">MID(I622, 8, 1)</f>
        <v>0</v>
      </c>
      <c r="U629" s="183" t="n">
        <f aca="false" ca="false" dt2D="false" dtr="false" t="normal">T629</f>
        <v>0</v>
      </c>
      <c r="V629" s="184" t="s">
        <v>208</v>
      </c>
      <c r="W629" s="187" t="s">
        <v>2377</v>
      </c>
      <c r="X629" s="6280" t="s"/>
      <c r="Y629" s="6281" t="s"/>
      <c r="Z629" s="6282" t="s"/>
      <c r="AA629" s="6283" t="s"/>
      <c r="AB629" s="6284" t="s"/>
      <c r="AC629" s="6285" t="s"/>
      <c r="AD629" s="6286" t="s"/>
      <c r="AE629" s="6287" t="s"/>
      <c r="AF629" s="182" t="n">
        <f aca="false" ca="false" dt2D="false" dtr="false" t="normal">MID(L622, 8, 1)</f>
        <v>0</v>
      </c>
      <c r="AG629" s="183" t="n">
        <f aca="false" ca="false" dt2D="false" dtr="false" t="normal">AF629</f>
        <v>0</v>
      </c>
      <c r="AH629" s="184" t="s">
        <v>208</v>
      </c>
      <c r="AI629" s="187" t="s">
        <v>2378</v>
      </c>
      <c r="AJ629" s="6288" t="s"/>
      <c r="AK629" s="6289" t="s"/>
      <c r="AL629" s="6290" t="s"/>
    </row>
    <row hidden="false" ht="15.75" outlineLevel="0" r="630">
      <c r="C630" s="93" t="n"/>
      <c r="D630" s="94" t="n"/>
      <c r="E630" s="94" t="n"/>
      <c r="F630" s="94" t="n"/>
      <c r="G630" s="94" t="n"/>
      <c r="H630" s="94" t="n"/>
      <c r="I630" s="94" t="n"/>
      <c r="J630" s="94" t="n"/>
      <c r="K630" s="94" t="n"/>
      <c r="L630" s="94" t="n"/>
      <c r="M630" s="94" t="s">
        <v>161</v>
      </c>
      <c r="N630" s="60" t="n"/>
      <c r="P630" s="95" t="str">
        <f aca="false" ca="false" dt2D="false" dtr="false" t="normal">RIGHT(D632, 1)&amp;E632&amp;"-"&amp;F632&amp;"-"&amp;G632</f>
        <v>--</v>
      </c>
      <c r="Q630" s="6291" t="s"/>
      <c r="R630" s="234" t="s">
        <v>2379</v>
      </c>
      <c r="S630" s="6292" t="s"/>
      <c r="T630" s="6293" t="s"/>
      <c r="U630" s="6294" t="s"/>
      <c r="V630" s="6295" t="s"/>
      <c r="W630" s="6296" t="s"/>
      <c r="X630" s="6297" t="s"/>
      <c r="Y630" s="6298" t="s"/>
      <c r="Z630" s="6299" t="s"/>
      <c r="AA630" s="6300" t="s"/>
      <c r="AB630" s="6301" t="s"/>
      <c r="AC630" s="6302" t="s"/>
      <c r="AD630" s="6303" t="s"/>
      <c r="AE630" s="6304" t="s"/>
      <c r="AF630" s="6305" t="s"/>
      <c r="AG630" s="6306" t="s"/>
      <c r="AH630" s="6307" t="s"/>
      <c r="AI630" s="6308" t="s"/>
      <c r="AJ630" s="6309" t="s"/>
      <c r="AK630" s="6310" t="s"/>
      <c r="AL630" s="6311" t="s"/>
    </row>
    <row hidden="false" ht="15.75" outlineLevel="0" r="631">
      <c r="C631" s="98" t="n"/>
      <c r="D631" s="99" t="s">
        <v>2380</v>
      </c>
      <c r="E631" s="6312" t="s"/>
      <c r="F631" s="6313" t="s"/>
      <c r="G631" s="6314" t="s"/>
      <c r="H631" s="53" t="s">
        <v>165</v>
      </c>
      <c r="I631" s="53" t="s">
        <v>166</v>
      </c>
      <c r="J631" s="53" t="s">
        <v>167</v>
      </c>
      <c r="K631" s="53" t="s">
        <v>168</v>
      </c>
      <c r="L631" s="53" t="s">
        <v>169</v>
      </c>
      <c r="M631" s="53" t="s">
        <v>221</v>
      </c>
      <c r="N631" s="63" t="n"/>
      <c r="P631" s="103" t="s">
        <v>2381</v>
      </c>
      <c r="Q631" s="6315" t="s"/>
      <c r="R631" s="6316" t="s"/>
      <c r="S631" s="6317" t="s"/>
      <c r="T631" s="103" t="s">
        <v>2382</v>
      </c>
      <c r="U631" s="6318" t="s"/>
      <c r="V631" s="6319" t="s"/>
      <c r="W631" s="6320" t="s"/>
      <c r="X631" s="103" t="s">
        <v>2383</v>
      </c>
      <c r="Y631" s="6321" t="s"/>
      <c r="Z631" s="6322" t="s"/>
      <c r="AA631" s="6323" t="s"/>
      <c r="AB631" s="103" t="s">
        <v>2384</v>
      </c>
      <c r="AC631" s="6324" t="s"/>
      <c r="AD631" s="6325" t="s"/>
      <c r="AE631" s="6326" t="s"/>
      <c r="AF631" s="103" t="s">
        <v>2385</v>
      </c>
      <c r="AG631" s="6327" t="s"/>
      <c r="AH631" s="6328" t="s"/>
      <c r="AI631" s="6329" t="s"/>
      <c r="AJ631" s="103" t="s">
        <v>2386</v>
      </c>
      <c r="AK631" s="6330" t="s"/>
      <c r="AL631" s="6331" t="s"/>
    </row>
    <row hidden="false" ht="15.75" outlineLevel="0" r="632">
      <c r="C632" s="98" t="s">
        <v>176</v>
      </c>
      <c r="D632" s="122" t="str">
        <f aca="false" ca="false" dt2D="false" dtr="false" t="normal">IF(J412="", "", 7)</f>
        <v/>
      </c>
      <c r="E632" s="123" t="str">
        <f aca="false" ca="false" dt2D="false" dtr="false" t="normal">IF(J412="", "", 20)</f>
        <v/>
      </c>
      <c r="F632" s="123" t="str">
        <f aca="false" ca="false" dt2D="false" dtr="false" t="normal">IF(J412="", "", 4)</f>
        <v/>
      </c>
      <c r="G632" s="124" t="str">
        <f aca="false" ca="false" dt2D="false" dtr="false" t="normal">IF(J412="", "", 48)</f>
        <v/>
      </c>
      <c r="H632" s="1819" t="str">
        <f aca="false" ca="false" dt2D="false" dtr="false" ref="H632:H632" t="array">_XLFN.IFNA(MID(INDEX($A$3:$A$70, IF(ISNA(MATCH("720G4J0*", $A$3:$A$70, 0))=TRUE, MATCH("7200448*", $A$3:$A$70, 0), MATCH("720G4J0*", $A$3:$A$70, 0))), $AU$8, 2), "")</f>
        <v/>
      </c>
      <c r="I632" s="1820" t="str">
        <f aca="false" ca="false" dt2D="false" dtr="false" ref="I632:I632" t="array">_XLFN.IFNA(MID(INDEX($A$3:$A$70, IF(ISNA(MATCH("720G4J0*", $A$3:$A$70, 0))=TRUE, MATCH("7200448*", $A$3:$A$70, 0), MATCH("720G4J0*", $A$3:$A$70, 0))), $AV$8, 2), "")</f>
        <v/>
      </c>
      <c r="J632" s="164" t="str">
        <f aca="false" ca="false" dt2D="false" dtr="false" ref="J632:J632" t="array">_XLFN.IFNA(MID(INDEX($A$3:$A$70, IF(ISNA(MATCH("720G4J0*", $A$3:$A$70, 0))=TRUE, MATCH("7200448*", $A$3:$A$70, 0), MATCH("720G4J0*", $A$3:$A$70, 0))), $AW$8, 2), "")</f>
        <v/>
      </c>
      <c r="K632" s="1820" t="str">
        <f aca="false" ca="false" dt2D="false" dtr="false" ref="K632:K632" t="array">_XLFN.IFNA(MID(INDEX($A$3:$A$70, IF(ISNA(MATCH("720G4J0*", $A$3:$A$70, 0))=TRUE, MATCH("7200448*", $A$3:$A$70, 0), MATCH("720G4J0*", $A$3:$A$70, 0))), $AX$8, 2), "")</f>
        <v/>
      </c>
      <c r="L632" s="1821" t="str">
        <f aca="false" ca="false" dt2D="false" dtr="false" ref="L632:L632" t="array">_XLFN.IFNA(MID(INDEX($A$3:$A$70, IF(ISNA(MATCH("720G4J0*", $A$3:$A$70, 0))=TRUE, MATCH("7200448*", $A$3:$A$70, 0), MATCH("720G4J0*", $A$3:$A$70, 0))), $AY$8, 2), "")</f>
        <v/>
      </c>
      <c r="M632" s="218" t="str">
        <f aca="false" ca="false" dt2D="false" dtr="false" ref="M632:M632" t="array">_XLFN.IFNA(MID(INDEX($A$3:$A$70, IF(ISNA(MATCH("720G4J0*", $A$3:$A$70, 0))=TRUE, MATCH("7200448*", $A$3:$A$70, 0), MATCH("720G4J0*", $A$3:$A$70, 0))), $AZ$8, 2), "")</f>
        <v/>
      </c>
      <c r="N632" s="63" t="s">
        <v>180</v>
      </c>
      <c r="P632" s="129" t="s">
        <v>180</v>
      </c>
      <c r="Q632" s="130" t="s">
        <v>181</v>
      </c>
      <c r="R632" s="121" t="s">
        <v>182</v>
      </c>
      <c r="S632" s="131" t="n"/>
      <c r="T632" s="129" t="s">
        <v>180</v>
      </c>
      <c r="U632" s="130" t="s">
        <v>181</v>
      </c>
      <c r="V632" s="121" t="s">
        <v>182</v>
      </c>
      <c r="W632" s="131" t="n"/>
      <c r="X632" s="129" t="s">
        <v>180</v>
      </c>
      <c r="Y632" s="130" t="s">
        <v>181</v>
      </c>
      <c r="Z632" s="121" t="s">
        <v>182</v>
      </c>
      <c r="AA632" s="131" t="n"/>
      <c r="AB632" s="129" t="s">
        <v>180</v>
      </c>
      <c r="AC632" s="130" t="s">
        <v>181</v>
      </c>
      <c r="AD632" s="121" t="s">
        <v>182</v>
      </c>
      <c r="AE632" s="131" t="n"/>
      <c r="AF632" s="129" t="s">
        <v>180</v>
      </c>
      <c r="AG632" s="130" t="s">
        <v>181</v>
      </c>
      <c r="AH632" s="121" t="s">
        <v>182</v>
      </c>
      <c r="AI632" s="121" t="n"/>
      <c r="AJ632" s="116" t="s">
        <v>183</v>
      </c>
      <c r="AK632" s="6332" t="s"/>
      <c r="AL632" s="6333" t="s"/>
    </row>
    <row hidden="false" ht="15" outlineLevel="0" r="633">
      <c r="C633" s="98" t="s">
        <v>185</v>
      </c>
      <c r="D633" s="53" t="n">
        <f aca="false" ca="false" dt2D="false" dtr="false" t="normal">HEX2BIN(D632, 8)</f>
        <v>0</v>
      </c>
      <c r="E633" s="53" t="n">
        <f aca="false" ca="false" dt2D="false" dtr="false" t="normal">HEX2BIN(E632, 8)</f>
        <v>0</v>
      </c>
      <c r="F633" s="53" t="n">
        <f aca="false" ca="false" dt2D="false" dtr="false" t="normal">HEX2BIN(F632, 8)</f>
        <v>0</v>
      </c>
      <c r="G633" s="53" t="n">
        <f aca="false" ca="false" dt2D="false" dtr="false" t="normal">HEX2BIN(G632, 8)</f>
        <v>0</v>
      </c>
      <c r="H633" s="53" t="n">
        <f aca="false" ca="false" dt2D="false" dtr="false" t="normal">HEX2BIN(H632, 8)</f>
        <v>0</v>
      </c>
      <c r="I633" s="53" t="n">
        <f aca="false" ca="false" dt2D="false" dtr="false" t="normal">HEX2BIN(I632, 8)</f>
        <v>0</v>
      </c>
      <c r="J633" s="53" t="n">
        <f aca="false" ca="false" dt2D="false" dtr="false" t="normal">HEX2BIN(J632, 8)</f>
        <v>0</v>
      </c>
      <c r="K633" s="53" t="n">
        <f aca="false" ca="false" dt2D="false" dtr="false" t="normal">HEX2BIN(K632, 8)</f>
        <v>0</v>
      </c>
      <c r="L633" s="53" t="n">
        <f aca="false" ca="false" dt2D="false" dtr="false" t="normal">HEX2BIN(L632, 8)</f>
        <v>0</v>
      </c>
      <c r="N633" s="63" t="n"/>
      <c r="P633" s="136" t="n">
        <f aca="false" ca="false" dt2D="false" dtr="false" t="normal">MID(H633, 1, 1)</f>
        <v>0</v>
      </c>
      <c r="Q633" s="137" t="n">
        <f aca="false" ca="false" dt2D="false" dtr="false" t="normal">P633</f>
        <v>0</v>
      </c>
      <c r="R633" s="120" t="s">
        <v>186</v>
      </c>
      <c r="S633" s="139" t="s">
        <v>2387</v>
      </c>
      <c r="T633" s="136" t="n">
        <f aca="false" ca="false" dt2D="false" dtr="false" t="normal">MID(I633, 1, 1)</f>
        <v>0</v>
      </c>
      <c r="U633" s="137" t="n">
        <f aca="false" ca="false" dt2D="false" dtr="false" t="normal">T633</f>
        <v>0</v>
      </c>
      <c r="V633" s="120" t="s">
        <v>186</v>
      </c>
      <c r="W633" s="139" t="s">
        <v>2388</v>
      </c>
      <c r="X633" s="136" t="n">
        <f aca="false" ca="false" dt2D="false" dtr="false" t="normal">MID(J633, 1, 1)</f>
        <v>0</v>
      </c>
      <c r="Y633" s="137" t="n">
        <f aca="false" ca="false" dt2D="false" dtr="false" t="normal">X633</f>
        <v>0</v>
      </c>
      <c r="Z633" s="120" t="s">
        <v>186</v>
      </c>
      <c r="AA633" s="139" t="s">
        <v>2389</v>
      </c>
      <c r="AB633" s="136" t="n">
        <f aca="false" ca="false" dt2D="false" dtr="false" t="normal">MID(K633, 1, 1)</f>
        <v>0</v>
      </c>
      <c r="AC633" s="137" t="n">
        <f aca="false" ca="false" dt2D="false" dtr="false" t="normal">AB633</f>
        <v>0</v>
      </c>
      <c r="AD633" s="120" t="s">
        <v>186</v>
      </c>
      <c r="AE633" s="139" t="s">
        <v>2390</v>
      </c>
      <c r="AF633" s="136" t="n">
        <f aca="false" ca="false" dt2D="false" dtr="false" t="normal">MID(L633, 1, 1)</f>
        <v>0</v>
      </c>
      <c r="AG633" s="137" t="n">
        <f aca="false" ca="false" dt2D="false" dtr="false" t="normal">AF633</f>
        <v>0</v>
      </c>
      <c r="AH633" s="120" t="s">
        <v>186</v>
      </c>
      <c r="AI633" s="139" t="s">
        <v>2391</v>
      </c>
      <c r="AJ633" s="6334" t="s"/>
      <c r="AK633" s="6335" t="s"/>
      <c r="AL633" s="6336" t="s"/>
    </row>
    <row hidden="false" ht="15" outlineLevel="0" r="634">
      <c r="C634" s="98" t="s">
        <v>191</v>
      </c>
      <c r="D634" s="53" t="n">
        <f aca="false" ca="false" dt2D="false" dtr="false" t="normal">HEX2DEC(D632)</f>
        <v>0</v>
      </c>
      <c r="E634" s="53" t="n">
        <f aca="false" ca="false" dt2D="false" dtr="false" t="normal">HEX2DEC(E632)</f>
        <v>0</v>
      </c>
      <c r="F634" s="53" t="n">
        <f aca="false" ca="false" dt2D="false" dtr="false" t="normal">HEX2DEC(F632)</f>
        <v>0</v>
      </c>
      <c r="G634" s="53" t="n">
        <f aca="false" ca="false" dt2D="false" dtr="false" t="normal">HEX2DEC(G632)</f>
        <v>0</v>
      </c>
      <c r="H634" s="53" t="n">
        <f aca="false" ca="false" dt2D="false" dtr="false" t="normal">HEX2DEC(H632)</f>
        <v>0</v>
      </c>
      <c r="I634" s="53" t="n">
        <f aca="false" ca="false" dt2D="false" dtr="false" t="normal">HEX2DEC(I632)</f>
        <v>0</v>
      </c>
      <c r="J634" s="53" t="n">
        <f aca="false" ca="false" dt2D="false" dtr="false" t="normal">HEX2DEC(J632)</f>
        <v>0</v>
      </c>
      <c r="K634" s="53" t="n">
        <f aca="false" ca="false" dt2D="false" dtr="false" t="normal">HEX2DEC(K632)</f>
        <v>0</v>
      </c>
      <c r="L634" s="53" t="n">
        <f aca="false" ca="false" dt2D="false" dtr="false" t="normal">HEX2DEC(L632)</f>
        <v>0</v>
      </c>
      <c r="M634" s="53" t="n">
        <f aca="false" ca="false" dt2D="false" dtr="false" t="normal">SUM(D634:L634)</f>
        <v>0</v>
      </c>
      <c r="N634" s="63" t="n"/>
      <c r="P634" s="136" t="n">
        <f aca="false" ca="false" dt2D="false" dtr="false" t="normal">MID(H633, 2, 1)</f>
        <v>0</v>
      </c>
      <c r="Q634" s="137" t="n">
        <f aca="false" ca="false" dt2D="false" dtr="false" t="normal">P634</f>
        <v>0</v>
      </c>
      <c r="R634" s="120" t="s">
        <v>192</v>
      </c>
      <c r="S634" s="139" t="s">
        <v>2392</v>
      </c>
      <c r="T634" s="136" t="n">
        <f aca="false" ca="false" dt2D="false" dtr="false" t="normal">MID(I633, 2, 1)</f>
        <v>0</v>
      </c>
      <c r="U634" s="137" t="n">
        <f aca="false" ca="false" dt2D="false" dtr="false" t="normal">T634</f>
        <v>0</v>
      </c>
      <c r="V634" s="120" t="s">
        <v>192</v>
      </c>
      <c r="W634" s="139" t="s">
        <v>2393</v>
      </c>
      <c r="X634" s="136" t="n">
        <f aca="false" ca="false" dt2D="false" dtr="false" t="normal">MID(J633, 2, 1)</f>
        <v>0</v>
      </c>
      <c r="Y634" s="137" t="n">
        <f aca="false" ca="false" dt2D="false" dtr="false" t="normal">X634</f>
        <v>0</v>
      </c>
      <c r="Z634" s="120" t="s">
        <v>192</v>
      </c>
      <c r="AA634" s="139" t="s">
        <v>2394</v>
      </c>
      <c r="AB634" s="136" t="n">
        <f aca="false" ca="false" dt2D="false" dtr="false" t="normal">MID(K633, 2, 1)</f>
        <v>0</v>
      </c>
      <c r="AC634" s="137" t="n">
        <f aca="false" ca="false" dt2D="false" dtr="false" t="normal">AB634</f>
        <v>0</v>
      </c>
      <c r="AD634" s="120" t="s">
        <v>192</v>
      </c>
      <c r="AE634" s="139" t="s">
        <v>2395</v>
      </c>
      <c r="AF634" s="136" t="n">
        <f aca="false" ca="false" dt2D="false" dtr="false" t="normal">MID(L633, 2, 1)</f>
        <v>0</v>
      </c>
      <c r="AG634" s="137" t="n">
        <f aca="false" ca="false" dt2D="false" dtr="false" t="normal">AF634</f>
        <v>0</v>
      </c>
      <c r="AH634" s="120" t="s">
        <v>192</v>
      </c>
      <c r="AI634" s="139" t="s">
        <v>2396</v>
      </c>
      <c r="AJ634" s="6337" t="s"/>
      <c r="AK634" s="6338" t="s"/>
      <c r="AL634" s="6339" t="s"/>
    </row>
    <row hidden="false" ht="15" outlineLevel="0" r="635">
      <c r="C635" s="98" t="s">
        <v>194</v>
      </c>
      <c r="D635" s="149" t="str">
        <f aca="false" ca="false" dt2D="false" dtr="false" t="normal">D632</f>
        <v/>
      </c>
      <c r="E635" s="149" t="str">
        <f aca="false" ca="false" dt2D="false" dtr="false" t="normal">E632</f>
        <v/>
      </c>
      <c r="F635" s="53" t="str">
        <f aca="false" ca="false" dt2D="false" dtr="false" t="normal">_XLFN.IFNA(MID(INDEX($A$3:$A$70, IF(ISNA(MATCH("720G4J0*", $A$3:$A$70, 0))=TRUE, MATCH("7200448*", $A$3:$A$70, 0), MATCH("720G4J0*", $A$3:$A$70, 0))), $AS$8, 2), "")</f>
        <v/>
      </c>
      <c r="G635" s="53" t="str">
        <f aca="false" ca="false" dt2D="false" dtr="false" t="normal">_XLFN.IFNA(MID(INDEX($A$3:$A$70, IF(ISNA(MATCH("720G4J0*", $A$3:$A$70, 0))=TRUE, MATCH("7200448*", $A$3:$A$70, 0), MATCH("720G4J0*", $A$3:$A$70, 0))), $AT$8, 2), "")</f>
        <v/>
      </c>
      <c r="N635" s="63" t="n"/>
      <c r="P635" s="136" t="n">
        <f aca="false" ca="false" dt2D="false" dtr="false" t="normal">MID(H633, 3, 1)</f>
        <v>0</v>
      </c>
      <c r="Q635" s="137" t="n">
        <f aca="false" ca="false" dt2D="false" dtr="false" t="normal">P635</f>
        <v>0</v>
      </c>
      <c r="R635" s="120" t="s">
        <v>195</v>
      </c>
      <c r="S635" s="139" t="s">
        <v>2397</v>
      </c>
      <c r="T635" s="136" t="n">
        <f aca="false" ca="false" dt2D="false" dtr="false" t="normal">MID(I633, 3, 1)</f>
        <v>0</v>
      </c>
      <c r="U635" s="137" t="n">
        <f aca="false" ca="false" dt2D="false" dtr="false" t="normal">T635</f>
        <v>0</v>
      </c>
      <c r="V635" s="120" t="s">
        <v>195</v>
      </c>
      <c r="W635" s="139" t="s">
        <v>2398</v>
      </c>
      <c r="X635" s="136" t="n">
        <f aca="false" ca="false" dt2D="false" dtr="false" t="normal">MID(J633, 3, 1)</f>
        <v>0</v>
      </c>
      <c r="Y635" s="137" t="n">
        <f aca="false" ca="false" dt2D="false" dtr="false" t="normal">X635</f>
        <v>0</v>
      </c>
      <c r="Z635" s="120" t="s">
        <v>195</v>
      </c>
      <c r="AA635" s="139" t="s">
        <v>2399</v>
      </c>
      <c r="AB635" s="136" t="n">
        <f aca="false" ca="false" dt2D="false" dtr="false" t="normal">MID(K633, 3, 1)</f>
        <v>0</v>
      </c>
      <c r="AC635" s="137" t="n">
        <f aca="false" ca="false" dt2D="false" dtr="false" t="normal">AB635</f>
        <v>0</v>
      </c>
      <c r="AD635" s="120" t="s">
        <v>195</v>
      </c>
      <c r="AE635" s="139" t="s">
        <v>2400</v>
      </c>
      <c r="AF635" s="136" t="n">
        <f aca="false" ca="false" dt2D="false" dtr="false" t="normal">MID(L633, 3, 1)</f>
        <v>0</v>
      </c>
      <c r="AG635" s="137" t="n">
        <f aca="false" ca="false" dt2D="false" dtr="false" t="normal">AF635</f>
        <v>0</v>
      </c>
      <c r="AH635" s="120" t="s">
        <v>195</v>
      </c>
      <c r="AI635" s="139" t="s">
        <v>2401</v>
      </c>
      <c r="AJ635" s="6340" t="s"/>
      <c r="AK635" s="6341" t="s"/>
      <c r="AL635" s="6342" t="s"/>
    </row>
    <row hidden="false" ht="15.75" outlineLevel="0" r="636">
      <c r="C636" s="98" t="n"/>
      <c r="N636" s="63" t="n"/>
      <c r="P636" s="136" t="n">
        <f aca="false" ca="false" dt2D="false" dtr="false" t="normal">MID(H633, 4, 1)</f>
        <v>0</v>
      </c>
      <c r="Q636" s="137" t="n">
        <f aca="false" ca="false" dt2D="false" dtr="false" t="normal">P636</f>
        <v>0</v>
      </c>
      <c r="R636" s="120" t="s">
        <v>197</v>
      </c>
      <c r="S636" s="139" t="s">
        <v>2402</v>
      </c>
      <c r="T636" s="136" t="n">
        <f aca="false" ca="false" dt2D="false" dtr="false" t="normal">MID(I633, 4, 1)</f>
        <v>0</v>
      </c>
      <c r="U636" s="137" t="n">
        <f aca="false" ca="false" dt2D="false" dtr="false" t="normal">T636</f>
        <v>0</v>
      </c>
      <c r="V636" s="120" t="s">
        <v>197</v>
      </c>
      <c r="W636" s="139" t="s">
        <v>2403</v>
      </c>
      <c r="X636" s="136" t="n">
        <f aca="false" ca="false" dt2D="false" dtr="false" t="normal">MID(J633, 4, 1)</f>
        <v>0</v>
      </c>
      <c r="Y636" s="137" t="n">
        <f aca="false" ca="false" dt2D="false" dtr="false" t="normal">X636</f>
        <v>0</v>
      </c>
      <c r="Z636" s="120" t="s">
        <v>197</v>
      </c>
      <c r="AA636" s="139" t="s">
        <v>2404</v>
      </c>
      <c r="AB636" s="136" t="n">
        <f aca="false" ca="false" dt2D="false" dtr="false" t="normal">MID(K633, 4, 1)</f>
        <v>0</v>
      </c>
      <c r="AC636" s="137" t="n">
        <f aca="false" ca="false" dt2D="false" dtr="false" t="normal">AB636</f>
        <v>0</v>
      </c>
      <c r="AD636" s="120" t="s">
        <v>197</v>
      </c>
      <c r="AE636" s="139" t="s">
        <v>2405</v>
      </c>
      <c r="AF636" s="136" t="n">
        <f aca="false" ca="false" dt2D="false" dtr="false" t="normal">MID(L633, 4, 1)</f>
        <v>0</v>
      </c>
      <c r="AG636" s="137" t="n">
        <f aca="false" ca="false" dt2D="false" dtr="false" t="normal">AF636</f>
        <v>0</v>
      </c>
      <c r="AH636" s="120" t="s">
        <v>197</v>
      </c>
      <c r="AI636" s="139" t="s">
        <v>2406</v>
      </c>
      <c r="AJ636" s="6343" t="s"/>
      <c r="AK636" s="6344" t="s"/>
      <c r="AL636" s="6345" t="s"/>
    </row>
    <row hidden="false" ht="15.75" outlineLevel="0" r="637">
      <c r="C637" s="98" t="s">
        <v>176</v>
      </c>
      <c r="D637" s="159" t="str">
        <f aca="false" ca="false" dt2D="false" dtr="false" t="normal">D632</f>
        <v/>
      </c>
      <c r="E637" s="160" t="str">
        <f aca="false" ca="false" dt2D="false" dtr="false" t="normal">E632</f>
        <v/>
      </c>
      <c r="F637" s="160" t="str">
        <f aca="false" ca="false" dt2D="false" dtr="false" t="normal">F632</f>
        <v/>
      </c>
      <c r="G637" s="161" t="str">
        <f aca="false" ca="false" dt2D="false" dtr="false" t="normal">G632</f>
        <v/>
      </c>
      <c r="H637" s="162" t="str">
        <f aca="false" ca="false" dt2D="false" dtr="false" t="normal">IF(J412="", "", BIN2HEX(H638, 2))</f>
        <v/>
      </c>
      <c r="I637" s="163" t="str">
        <f aca="false" ca="false" dt2D="false" dtr="false" t="normal">IF(J412="", "", BIN2HEX(I638, 2))</f>
        <v/>
      </c>
      <c r="J637" s="164" t="str">
        <f aca="false" ca="false" dt2D="false" dtr="false" t="normal">IF(J412="", "", BIN2HEX(J638, 2))</f>
        <v/>
      </c>
      <c r="K637" s="165" t="str">
        <f aca="false" ca="false" dt2D="false" dtr="false" t="normal">IF(J412="", "", BIN2HEX(K638, 2))</f>
        <v/>
      </c>
      <c r="L637" s="288" t="str">
        <f aca="false" ca="false" dt2D="false" dtr="false" t="normal">IF(J412="", "", BIN2HEX(L638, 2))</f>
        <v/>
      </c>
      <c r="M637" s="166" t="str">
        <f aca="false" ca="false" dt2D="false" dtr="false" t="normal">IF(J412="", "", IF(LEN(M638)&gt;2, MID(M638, 2, 2), M638))</f>
        <v/>
      </c>
      <c r="N637" s="63" t="s">
        <v>181</v>
      </c>
      <c r="P637" s="136" t="n">
        <f aca="false" ca="false" dt2D="false" dtr="false" t="normal">MID(H633, 5, 1)</f>
        <v>0</v>
      </c>
      <c r="Q637" s="137" t="n">
        <f aca="false" ca="false" dt2D="false" dtr="false" t="normal">P637</f>
        <v>0</v>
      </c>
      <c r="R637" s="120" t="s">
        <v>200</v>
      </c>
      <c r="S637" s="139" t="s">
        <v>2407</v>
      </c>
      <c r="T637" s="136" t="n">
        <f aca="false" ca="false" dt2D="false" dtr="false" t="normal">MID(I633, 5, 1)</f>
        <v>0</v>
      </c>
      <c r="U637" s="137" t="n">
        <f aca="false" ca="false" dt2D="false" dtr="false" t="normal">T637</f>
        <v>0</v>
      </c>
      <c r="V637" s="120" t="s">
        <v>200</v>
      </c>
      <c r="W637" s="139" t="s">
        <v>2408</v>
      </c>
      <c r="X637" s="136" t="n">
        <f aca="false" ca="false" dt2D="false" dtr="false" t="normal">MID(J633, 5, 1)</f>
        <v>0</v>
      </c>
      <c r="Y637" s="137" t="n">
        <f aca="false" ca="false" dt2D="false" dtr="false" t="normal">X637</f>
        <v>0</v>
      </c>
      <c r="Z637" s="120" t="s">
        <v>200</v>
      </c>
      <c r="AA637" s="139" t="s">
        <v>2409</v>
      </c>
      <c r="AB637" s="136" t="n">
        <f aca="false" ca="false" dt2D="false" dtr="false" t="normal">MID(K633, 5, 1)</f>
        <v>0</v>
      </c>
      <c r="AC637" s="137" t="n">
        <f aca="false" ca="false" dt2D="false" dtr="false" t="normal">AB637</f>
        <v>0</v>
      </c>
      <c r="AD637" s="120" t="s">
        <v>200</v>
      </c>
      <c r="AE637" s="139" t="s">
        <v>2410</v>
      </c>
      <c r="AF637" s="136" t="n">
        <f aca="false" ca="false" dt2D="false" dtr="false" t="normal">MID(L633, 5, 1)</f>
        <v>0</v>
      </c>
      <c r="AG637" s="137" t="n">
        <f aca="false" ca="false" dt2D="false" dtr="false" t="normal">AF637</f>
        <v>0</v>
      </c>
      <c r="AH637" s="120" t="s">
        <v>200</v>
      </c>
      <c r="AI637" s="139" t="s">
        <v>2411</v>
      </c>
      <c r="AJ637" s="6346" t="s"/>
      <c r="AK637" s="6347" t="s"/>
      <c r="AL637" s="6348" t="s"/>
    </row>
    <row hidden="false" ht="15" outlineLevel="0" r="638">
      <c r="C638" s="98" t="s">
        <v>185</v>
      </c>
      <c r="D638" s="53" t="n">
        <f aca="false" ca="false" dt2D="false" dtr="false" t="normal">HEX2BIN(D637, 8)</f>
        <v>0</v>
      </c>
      <c r="E638" s="53" t="n">
        <f aca="false" ca="false" dt2D="false" dtr="false" t="normal">HEX2BIN(E637, 8)</f>
        <v>0</v>
      </c>
      <c r="F638" s="53" t="n">
        <f aca="false" ca="false" dt2D="false" dtr="false" t="normal">HEX2BIN(F637, 8)</f>
        <v>0</v>
      </c>
      <c r="G638" s="53" t="n">
        <f aca="false" ca="false" dt2D="false" dtr="false" t="normal">HEX2BIN(G637, 8)</f>
        <v>0</v>
      </c>
      <c r="H638" s="171" t="n">
        <f aca="false" ca="false" dt2D="false" dtr="false" t="normal">Q633&amp;Q634&amp;Q635&amp;Q636&amp;Q637&amp;Q638&amp;Q639&amp;Q640</f>
        <v>0</v>
      </c>
      <c r="I638" s="53" t="n">
        <f aca="false" ca="false" dt2D="false" dtr="false" t="normal">U633&amp;U634&amp;U635&amp;U636&amp;U637&amp;U638&amp;U639&amp;U640</f>
        <v>0</v>
      </c>
      <c r="J638" s="171" t="n">
        <f aca="false" ca="false" dt2D="false" dtr="false" t="normal">Y633&amp;Y634&amp;Y635&amp;Y636&amp;Y637&amp;Y638&amp;Y639&amp;Y640</f>
        <v>0</v>
      </c>
      <c r="K638" s="171" t="n">
        <f aca="false" ca="false" dt2D="false" dtr="false" t="normal">AC633&amp;AC634&amp;AC635&amp;AC636&amp;AC637&amp;AC638&amp;AC639&amp;AC640</f>
        <v>0</v>
      </c>
      <c r="L638" s="53" t="n">
        <f aca="false" ca="false" dt2D="false" dtr="false" t="normal">AG633&amp;AG634&amp;AG635&amp;AG636&amp;AG637&amp;AG638&amp;AG639&amp;AG640</f>
        <v>0</v>
      </c>
      <c r="M638" s="53" t="n">
        <f aca="false" ca="false" dt2D="false" dtr="false" t="normal">DEC2HEX(M639)</f>
        <v>0</v>
      </c>
      <c r="N638" s="63" t="n"/>
      <c r="P638" s="136" t="n">
        <f aca="false" ca="false" dt2D="false" dtr="false" t="normal">MID(H633, 6, 1)</f>
        <v>0</v>
      </c>
      <c r="Q638" s="137" t="n">
        <f aca="false" ca="false" dt2D="false" dtr="false" t="normal">P638</f>
        <v>0</v>
      </c>
      <c r="R638" s="120" t="s">
        <v>203</v>
      </c>
      <c r="S638" s="139" t="s">
        <v>2412</v>
      </c>
      <c r="T638" s="136" t="n">
        <f aca="false" ca="false" dt2D="false" dtr="false" t="normal">MID(I633, 6, 1)</f>
        <v>0</v>
      </c>
      <c r="U638" s="137" t="n">
        <f aca="false" ca="false" dt2D="false" dtr="false" t="normal">T638</f>
        <v>0</v>
      </c>
      <c r="V638" s="120" t="s">
        <v>203</v>
      </c>
      <c r="W638" s="139" t="s">
        <v>2413</v>
      </c>
      <c r="X638" s="136" t="n">
        <f aca="false" ca="false" dt2D="false" dtr="false" t="normal">MID(J633, 6, 1)</f>
        <v>0</v>
      </c>
      <c r="Y638" s="137" t="n">
        <f aca="false" ca="false" dt2D="false" dtr="false" t="normal">X638</f>
        <v>0</v>
      </c>
      <c r="Z638" s="120" t="s">
        <v>203</v>
      </c>
      <c r="AA638" s="139" t="s">
        <v>2414</v>
      </c>
      <c r="AB638" s="136" t="n">
        <f aca="false" ca="false" dt2D="false" dtr="false" t="normal">MID(K633, 6, 1)</f>
        <v>0</v>
      </c>
      <c r="AC638" s="137" t="n">
        <f aca="false" ca="false" dt2D="false" dtr="false" t="normal">AB638</f>
        <v>0</v>
      </c>
      <c r="AD638" s="120" t="s">
        <v>203</v>
      </c>
      <c r="AE638" s="139" t="s">
        <v>2415</v>
      </c>
      <c r="AF638" s="136" t="n">
        <f aca="false" ca="false" dt2D="false" dtr="false" t="normal">MID(L633, 6, 1)</f>
        <v>0</v>
      </c>
      <c r="AG638" s="137" t="n">
        <f aca="false" ca="false" dt2D="false" dtr="false" t="normal">AF638</f>
        <v>0</v>
      </c>
      <c r="AH638" s="120" t="s">
        <v>203</v>
      </c>
      <c r="AI638" s="139" t="s">
        <v>2416</v>
      </c>
      <c r="AJ638" s="6349" t="s"/>
      <c r="AK638" s="6350" t="s"/>
      <c r="AL638" s="6351" t="s"/>
    </row>
    <row hidden="false" ht="15" outlineLevel="0" r="639">
      <c r="C639" s="98" t="s">
        <v>191</v>
      </c>
      <c r="D639" s="53" t="n">
        <f aca="false" ca="false" dt2D="false" dtr="false" t="normal">HEX2DEC(D637)</f>
        <v>0</v>
      </c>
      <c r="E639" s="53" t="n">
        <f aca="false" ca="false" dt2D="false" dtr="false" t="normal">HEX2DEC(E637)</f>
        <v>0</v>
      </c>
      <c r="F639" s="53" t="n">
        <f aca="false" ca="false" dt2D="false" dtr="false" t="normal">HEX2DEC(F637)</f>
        <v>0</v>
      </c>
      <c r="G639" s="53" t="n">
        <f aca="false" ca="false" dt2D="false" dtr="false" t="normal">HEX2DEC(G637)</f>
        <v>0</v>
      </c>
      <c r="H639" s="53" t="n">
        <f aca="false" ca="false" dt2D="false" dtr="false" t="normal">HEX2DEC(H637)</f>
        <v>0</v>
      </c>
      <c r="I639" s="53" t="n">
        <f aca="false" ca="false" dt2D="false" dtr="false" t="normal">HEX2DEC(I637)</f>
        <v>0</v>
      </c>
      <c r="J639" s="53" t="n">
        <f aca="false" ca="false" dt2D="false" dtr="false" t="normal">HEX2DEC(J637)</f>
        <v>0</v>
      </c>
      <c r="K639" s="53" t="n">
        <f aca="false" ca="false" dt2D="false" dtr="false" t="normal">HEX2DEC(K637)</f>
        <v>0</v>
      </c>
      <c r="L639" s="53" t="n">
        <f aca="false" ca="false" dt2D="false" dtr="false" t="normal">HEX2DEC(L637)</f>
        <v>0</v>
      </c>
      <c r="M639" s="53" t="n">
        <f aca="false" ca="false" dt2D="false" dtr="false" t="normal">SUM(D639:L639)</f>
        <v>0</v>
      </c>
      <c r="N639" s="63" t="n"/>
      <c r="P639" s="136" t="n">
        <f aca="false" ca="false" dt2D="false" dtr="false" t="normal">MID(H633, 7, 1)</f>
        <v>0</v>
      </c>
      <c r="Q639" s="137" t="n">
        <f aca="false" ca="false" dt2D="false" dtr="false" t="normal">P639</f>
        <v>0</v>
      </c>
      <c r="R639" s="120" t="s">
        <v>206</v>
      </c>
      <c r="S639" s="139" t="s">
        <v>2417</v>
      </c>
      <c r="T639" s="136" t="n">
        <f aca="false" ca="false" dt2D="false" dtr="false" t="normal">MID(I633, 7, 1)</f>
        <v>0</v>
      </c>
      <c r="U639" s="137" t="n">
        <f aca="false" ca="false" dt2D="false" dtr="false" t="normal">T639</f>
        <v>0</v>
      </c>
      <c r="V639" s="120" t="s">
        <v>206</v>
      </c>
      <c r="W639" s="139" t="s">
        <v>2418</v>
      </c>
      <c r="X639" s="136" t="n">
        <f aca="false" ca="false" dt2D="false" dtr="false" t="normal">MID(J633, 7, 1)</f>
        <v>0</v>
      </c>
      <c r="Y639" s="137" t="n">
        <f aca="false" ca="false" dt2D="false" dtr="false" t="normal">X639</f>
        <v>0</v>
      </c>
      <c r="Z639" s="120" t="s">
        <v>206</v>
      </c>
      <c r="AA639" s="139" t="s">
        <v>2419</v>
      </c>
      <c r="AB639" s="136" t="n">
        <f aca="false" ca="false" dt2D="false" dtr="false" t="normal">MID(K633, 7, 1)</f>
        <v>0</v>
      </c>
      <c r="AC639" s="137" t="n">
        <f aca="false" ca="false" dt2D="false" dtr="false" t="normal">AB639</f>
        <v>0</v>
      </c>
      <c r="AD639" s="120" t="s">
        <v>206</v>
      </c>
      <c r="AE639" s="139" t="s">
        <v>2420</v>
      </c>
      <c r="AF639" s="136" t="n">
        <f aca="false" ca="false" dt2D="false" dtr="false" t="normal">MID(L633, 7, 1)</f>
        <v>0</v>
      </c>
      <c r="AG639" s="137" t="n">
        <f aca="false" ca="false" dt2D="false" dtr="false" t="normal">AF639</f>
        <v>0</v>
      </c>
      <c r="AH639" s="120" t="s">
        <v>206</v>
      </c>
      <c r="AI639" s="139" t="s">
        <v>2421</v>
      </c>
      <c r="AJ639" s="6352" t="s"/>
      <c r="AK639" s="6353" t="s"/>
      <c r="AL639" s="6354" t="s"/>
    </row>
    <row hidden="false" ht="15.75" outlineLevel="0" r="640">
      <c r="C640" s="180" t="s">
        <v>194</v>
      </c>
      <c r="D640" s="299" t="str">
        <f aca="false" ca="false" dt2D="false" dtr="false" t="normal">D635</f>
        <v/>
      </c>
      <c r="E640" s="299" t="str">
        <f aca="false" ca="false" dt2D="false" dtr="false" t="normal">E635</f>
        <v/>
      </c>
      <c r="F640" s="299" t="str">
        <f aca="false" ca="false" dt2D="false" dtr="false" t="normal">F635</f>
        <v/>
      </c>
      <c r="G640" s="299" t="str">
        <f aca="false" ca="false" dt2D="false" dtr="false" t="normal">G635</f>
        <v/>
      </c>
      <c r="H640" s="45" t="n"/>
      <c r="I640" s="45" t="n"/>
      <c r="J640" s="45" t="n"/>
      <c r="K640" s="45" t="n"/>
      <c r="L640" s="45" t="n"/>
      <c r="M640" s="45" t="n"/>
      <c r="N640" s="49" t="n"/>
      <c r="P640" s="182" t="n">
        <f aca="false" ca="false" dt2D="false" dtr="false" t="normal">MID(H633, 8, 1)</f>
        <v>0</v>
      </c>
      <c r="Q640" s="183" t="n">
        <f aca="false" ca="false" dt2D="false" dtr="false" t="normal">P640</f>
        <v>0</v>
      </c>
      <c r="R640" s="184" t="s">
        <v>208</v>
      </c>
      <c r="S640" s="187" t="s">
        <v>2422</v>
      </c>
      <c r="T640" s="182" t="n">
        <f aca="false" ca="false" dt2D="false" dtr="false" t="normal">MID(I633, 8, 1)</f>
        <v>0</v>
      </c>
      <c r="U640" s="183" t="n">
        <f aca="false" ca="false" dt2D="false" dtr="false" t="normal">T640</f>
        <v>0</v>
      </c>
      <c r="V640" s="184" t="s">
        <v>208</v>
      </c>
      <c r="W640" s="187" t="s">
        <v>2423</v>
      </c>
      <c r="X640" s="182" t="n">
        <f aca="false" ca="false" dt2D="false" dtr="false" t="normal">MID(J633, 8, 1)</f>
        <v>0</v>
      </c>
      <c r="Y640" s="183" t="n">
        <f aca="false" ca="false" dt2D="false" dtr="false" t="normal">X640</f>
        <v>0</v>
      </c>
      <c r="Z640" s="184" t="s">
        <v>208</v>
      </c>
      <c r="AA640" s="187" t="s">
        <v>2424</v>
      </c>
      <c r="AB640" s="182" t="n">
        <f aca="false" ca="false" dt2D="false" dtr="false" t="normal">MID(K633, 8, 1)</f>
        <v>0</v>
      </c>
      <c r="AC640" s="183" t="n">
        <f aca="false" ca="false" dt2D="false" dtr="false" t="normal">AB640</f>
        <v>0</v>
      </c>
      <c r="AD640" s="184" t="s">
        <v>208</v>
      </c>
      <c r="AE640" s="187" t="s">
        <v>2425</v>
      </c>
      <c r="AF640" s="182" t="n">
        <f aca="false" ca="false" dt2D="false" dtr="false" t="normal">MID(L633, 8, 1)</f>
        <v>0</v>
      </c>
      <c r="AG640" s="183" t="n">
        <f aca="false" ca="false" dt2D="false" dtr="false" t="normal">AF640</f>
        <v>0</v>
      </c>
      <c r="AH640" s="184" t="s">
        <v>208</v>
      </c>
      <c r="AI640" s="187" t="s">
        <v>2426</v>
      </c>
      <c r="AJ640" s="6355" t="s"/>
      <c r="AK640" s="6356" t="s"/>
      <c r="AL640" s="6357" t="s"/>
    </row>
    <row hidden="false" ht="15.75" outlineLevel="0" r="641">
      <c r="C641" s="93" t="n"/>
      <c r="D641" s="94" t="n"/>
      <c r="E641" s="94" t="n"/>
      <c r="F641" s="94" t="n"/>
      <c r="G641" s="94" t="n"/>
      <c r="H641" s="94" t="n"/>
      <c r="I641" s="94" t="n"/>
      <c r="J641" s="94" t="n"/>
      <c r="K641" s="94" t="n"/>
      <c r="L641" s="94" t="n"/>
      <c r="M641" s="94" t="s">
        <v>161</v>
      </c>
      <c r="N641" s="60" t="n"/>
      <c r="P641" s="95" t="str">
        <f aca="false" ca="false" dt2D="false" dtr="false" t="normal">RIGHT(D643, 1)&amp;E643&amp;"-"&amp;F643&amp;"-"&amp;G643</f>
        <v>--</v>
      </c>
      <c r="Q641" s="6358" t="s"/>
      <c r="R641" s="234" t="s">
        <v>2427</v>
      </c>
      <c r="S641" s="6359" t="s"/>
      <c r="T641" s="6360" t="s"/>
      <c r="U641" s="6361" t="s"/>
      <c r="V641" s="6362" t="s"/>
      <c r="W641" s="6363" t="s"/>
      <c r="X641" s="6364" t="s"/>
      <c r="Y641" s="6365" t="s"/>
      <c r="Z641" s="6366" t="s"/>
      <c r="AA641" s="6367" t="s"/>
      <c r="AB641" s="6368" t="s"/>
      <c r="AC641" s="6369" t="s"/>
      <c r="AD641" s="6370" t="s"/>
      <c r="AE641" s="6371" t="s"/>
      <c r="AF641" s="6372" t="s"/>
      <c r="AG641" s="6373" t="s"/>
      <c r="AH641" s="6374" t="s"/>
      <c r="AI641" s="6375" t="s"/>
      <c r="AJ641" s="6376" t="s"/>
      <c r="AK641" s="6377" t="s"/>
      <c r="AL641" s="6378" t="s"/>
    </row>
    <row hidden="false" ht="15.75" outlineLevel="0" r="642">
      <c r="C642" s="98" t="n"/>
      <c r="D642" s="99" t="s">
        <v>2428</v>
      </c>
      <c r="E642" s="6379" t="s"/>
      <c r="F642" s="6380" t="s"/>
      <c r="G642" s="6381" t="s"/>
      <c r="H642" s="53" t="s">
        <v>165</v>
      </c>
      <c r="I642" s="53" t="s">
        <v>166</v>
      </c>
      <c r="J642" s="53" t="s">
        <v>167</v>
      </c>
      <c r="K642" s="53" t="s">
        <v>168</v>
      </c>
      <c r="L642" s="53" t="s">
        <v>169</v>
      </c>
      <c r="M642" s="53" t="s">
        <v>221</v>
      </c>
      <c r="N642" s="63" t="n"/>
      <c r="P642" s="103" t="s">
        <v>2429</v>
      </c>
      <c r="Q642" s="6382" t="s"/>
      <c r="R642" s="6383" t="s"/>
      <c r="S642" s="6384" t="s"/>
      <c r="T642" s="103" t="s">
        <v>2430</v>
      </c>
      <c r="U642" s="6385" t="s"/>
      <c r="V642" s="6386" t="s"/>
      <c r="W642" s="6387" t="s"/>
      <c r="X642" s="103" t="s">
        <v>2431</v>
      </c>
      <c r="Y642" s="6388" t="s"/>
      <c r="Z642" s="6389" t="s"/>
      <c r="AA642" s="6390" t="s"/>
      <c r="AB642" s="103" t="s">
        <v>2432</v>
      </c>
      <c r="AC642" s="6391" t="s"/>
      <c r="AD642" s="6392" t="s"/>
      <c r="AE642" s="6393" t="s"/>
      <c r="AF642" s="103" t="s">
        <v>2433</v>
      </c>
      <c r="AG642" s="6394" t="s"/>
      <c r="AH642" s="6395" t="s"/>
      <c r="AI642" s="6396" t="s"/>
      <c r="AJ642" s="103" t="s">
        <v>2434</v>
      </c>
      <c r="AK642" s="6397" t="s"/>
      <c r="AL642" s="6398" t="s"/>
    </row>
    <row hidden="false" ht="15.75" outlineLevel="0" r="643">
      <c r="C643" s="98" t="s">
        <v>176</v>
      </c>
      <c r="D643" s="122" t="str">
        <f aca="false" ca="false" dt2D="false" dtr="false" t="normal">IF(J412="", "", 7)</f>
        <v/>
      </c>
      <c r="E643" s="123" t="str">
        <f aca="false" ca="false" dt2D="false" dtr="false" t="normal">IF(J412="", "", 20)</f>
        <v/>
      </c>
      <c r="F643" s="123" t="str">
        <f aca="false" ca="false" dt2D="false" dtr="false" t="normal">IF(J412="", "", 4)</f>
        <v/>
      </c>
      <c r="G643" s="124" t="str">
        <f aca="false" ca="false" dt2D="false" dtr="false" t="normal">IF(J412="", "", 49)</f>
        <v/>
      </c>
      <c r="H643" s="1819" t="str">
        <f aca="false" ca="false" dt2D="false" dtr="false" ref="H643:H643" t="array">_XLFN.IFNA(MID(INDEX($A$3:$A$70, IF(ISNA(MATCH("720G4J1*", $A$3:$A$70, 0))=TRUE, MATCH("7200449*", $A$3:$A$70, 0), MATCH("720G4J1*", $A$3:$A$70, 0))), $AU$8, 2), "")</f>
        <v/>
      </c>
      <c r="I643" s="1820" t="str">
        <f aca="false" ca="false" dt2D="false" dtr="false" ref="I643:I643" t="array">_XLFN.IFNA(MID(INDEX($A$3:$A$70, IF(ISNA(MATCH("720G4J1*", $A$3:$A$70, 0))=TRUE, MATCH("7200449*", $A$3:$A$70, 0), MATCH("720G4J1*", $A$3:$A$70, 0))), $AV$8, 2), "")</f>
        <v/>
      </c>
      <c r="J643" s="164" t="str">
        <f aca="false" ca="false" dt2D="false" dtr="false" ref="J643:J643" t="array">_XLFN.IFNA(MID(INDEX($A$3:$A$70, IF(ISNA(MATCH("720G4J1*", $A$3:$A$70, 0))=TRUE, MATCH("7200449*", $A$3:$A$70, 0), MATCH("720G4J1*", $A$3:$A$70, 0))), $AW$8, 2), "")</f>
        <v/>
      </c>
      <c r="K643" s="1820" t="str">
        <f aca="false" ca="false" dt2D="false" dtr="false" ref="K643:K643" t="array">_XLFN.IFNA(MID(INDEX($A$3:$A$70, IF(ISNA(MATCH("720G4J1*", $A$3:$A$70, 0))=TRUE, MATCH("7200449*", $A$3:$A$70, 0), MATCH("720G4J1*", $A$3:$A$70, 0))), $AX$8, 2), "")</f>
        <v/>
      </c>
      <c r="L643" s="1821" t="str">
        <f aca="false" ca="false" dt2D="false" dtr="false" ref="L643:L643" t="array">_XLFN.IFNA(MID(INDEX($A$3:$A$70, IF(ISNA(MATCH("720G4J1*", $A$3:$A$70, 0))=TRUE, MATCH("7200449*", $A$3:$A$70, 0), MATCH("720G4J1*", $A$3:$A$70, 0))), $AY$8, 2), "")</f>
        <v/>
      </c>
      <c r="M643" s="218" t="str">
        <f aca="false" ca="false" dt2D="false" dtr="false" ref="M643:M643" t="array">_XLFN.IFNA(MID(INDEX($A$3:$A$70, IF(ISNA(MATCH("720G4J1*", $A$3:$A$70, 0))=TRUE, MATCH("7200449*", $A$3:$A$70, 0), MATCH("720G4J1*", $A$3:$A$70, 0))), $AZ$8, 2), "")</f>
        <v/>
      </c>
      <c r="N643" s="63" t="s">
        <v>180</v>
      </c>
      <c r="P643" s="116" t="n"/>
      <c r="Q643" s="6399" t="s"/>
      <c r="R643" s="6400" t="s"/>
      <c r="S643" s="6401" t="s"/>
      <c r="T643" s="116" t="n"/>
      <c r="U643" s="6402" t="s"/>
      <c r="V643" s="6403" t="s"/>
      <c r="W643" s="6404" t="s"/>
      <c r="X643" s="129" t="s">
        <v>180</v>
      </c>
      <c r="Y643" s="130" t="s">
        <v>181</v>
      </c>
      <c r="Z643" s="121" t="s">
        <v>182</v>
      </c>
      <c r="AA643" s="131" t="n"/>
      <c r="AB643" s="129" t="s">
        <v>180</v>
      </c>
      <c r="AC643" s="130" t="s">
        <v>181</v>
      </c>
      <c r="AD643" s="121" t="s">
        <v>182</v>
      </c>
      <c r="AE643" s="131" t="n"/>
      <c r="AF643" s="129" t="s">
        <v>180</v>
      </c>
      <c r="AG643" s="130" t="s">
        <v>181</v>
      </c>
      <c r="AH643" s="121" t="s">
        <v>182</v>
      </c>
      <c r="AI643" s="121" t="n"/>
      <c r="AJ643" s="116" t="s">
        <v>183</v>
      </c>
      <c r="AK643" s="6405" t="s"/>
      <c r="AL643" s="6406" t="s"/>
    </row>
    <row hidden="false" ht="15" outlineLevel="0" r="644">
      <c r="C644" s="98" t="s">
        <v>185</v>
      </c>
      <c r="D644" s="53" t="n">
        <f aca="false" ca="false" dt2D="false" dtr="false" t="normal">HEX2BIN(D643, 8)</f>
        <v>0</v>
      </c>
      <c r="E644" s="53" t="n">
        <f aca="false" ca="false" dt2D="false" dtr="false" t="normal">HEX2BIN(E643, 8)</f>
        <v>0</v>
      </c>
      <c r="F644" s="53" t="n">
        <f aca="false" ca="false" dt2D="false" dtr="false" t="normal">HEX2BIN(F643, 8)</f>
        <v>0</v>
      </c>
      <c r="G644" s="53" t="n">
        <f aca="false" ca="false" dt2D="false" dtr="false" t="normal">HEX2BIN(G643, 8)</f>
        <v>0</v>
      </c>
      <c r="H644" s="53" t="n">
        <f aca="false" ca="false" dt2D="false" dtr="false" t="normal">HEX2BIN(H643, 8)</f>
        <v>0</v>
      </c>
      <c r="I644" s="53" t="n">
        <f aca="false" ca="false" dt2D="false" dtr="false" t="normal">HEX2BIN(I643, 8)</f>
        <v>0</v>
      </c>
      <c r="J644" s="53" t="n">
        <f aca="false" ca="false" dt2D="false" dtr="false" t="normal">HEX2BIN(J643, 8)</f>
        <v>0</v>
      </c>
      <c r="K644" s="53" t="n">
        <f aca="false" ca="false" dt2D="false" dtr="false" t="normal">HEX2BIN(K643, 8)</f>
        <v>0</v>
      </c>
      <c r="L644" s="53" t="n">
        <f aca="false" ca="false" dt2D="false" dtr="false" t="normal">HEX2BIN(L643, 8)</f>
        <v>0</v>
      </c>
      <c r="N644" s="63" t="n"/>
      <c r="P644" s="6407" t="s"/>
      <c r="Q644" s="142" t="s"/>
      <c r="R644" s="142" t="s"/>
      <c r="S644" s="6408" t="s"/>
      <c r="T644" s="6409" t="s"/>
      <c r="U644" s="142" t="s"/>
      <c r="V644" s="142" t="s"/>
      <c r="W644" s="6410" t="s"/>
      <c r="X644" s="136" t="n">
        <f aca="false" ca="false" dt2D="false" dtr="false" t="normal">MID(J644, 1, 1)</f>
        <v>0</v>
      </c>
      <c r="Y644" s="137" t="n">
        <f aca="false" ca="false" dt2D="false" dtr="false" t="normal">X644</f>
        <v>0</v>
      </c>
      <c r="Z644" s="120" t="s">
        <v>186</v>
      </c>
      <c r="AA644" s="139" t="s">
        <v>2435</v>
      </c>
      <c r="AB644" s="136" t="n">
        <f aca="false" ca="false" dt2D="false" dtr="false" t="normal">MID(K644, 1, 1)</f>
        <v>0</v>
      </c>
      <c r="AC644" s="137" t="n">
        <f aca="false" ca="false" dt2D="false" dtr="false" t="normal">AB644</f>
        <v>0</v>
      </c>
      <c r="AD644" s="120" t="s">
        <v>186</v>
      </c>
      <c r="AE644" s="139" t="s">
        <v>2436</v>
      </c>
      <c r="AF644" s="136" t="n">
        <f aca="false" ca="false" dt2D="false" dtr="false" t="normal">MID(L644, 1, 1)</f>
        <v>0</v>
      </c>
      <c r="AG644" s="137" t="n">
        <f aca="false" ca="false" dt2D="false" dtr="false" t="normal">AF644</f>
        <v>0</v>
      </c>
      <c r="AH644" s="120" t="s">
        <v>186</v>
      </c>
      <c r="AI644" s="139" t="s">
        <v>2437</v>
      </c>
      <c r="AJ644" s="6411" t="s"/>
      <c r="AK644" s="6412" t="s"/>
      <c r="AL644" s="6413" t="s"/>
    </row>
    <row hidden="false" ht="15" outlineLevel="0" r="645">
      <c r="C645" s="98" t="s">
        <v>191</v>
      </c>
      <c r="D645" s="53" t="n">
        <f aca="false" ca="false" dt2D="false" dtr="false" t="normal">HEX2DEC(D643)</f>
        <v>0</v>
      </c>
      <c r="E645" s="53" t="n">
        <f aca="false" ca="false" dt2D="false" dtr="false" t="normal">HEX2DEC(E643)</f>
        <v>0</v>
      </c>
      <c r="F645" s="53" t="n">
        <f aca="false" ca="false" dt2D="false" dtr="false" t="normal">HEX2DEC(F643)</f>
        <v>0</v>
      </c>
      <c r="G645" s="53" t="n">
        <f aca="false" ca="false" dt2D="false" dtr="false" t="normal">HEX2DEC(G643)</f>
        <v>0</v>
      </c>
      <c r="H645" s="53" t="n">
        <f aca="false" ca="false" dt2D="false" dtr="false" t="normal">HEX2DEC(H643)</f>
        <v>0</v>
      </c>
      <c r="I645" s="53" t="n">
        <f aca="false" ca="false" dt2D="false" dtr="false" t="normal">HEX2DEC(I643)</f>
        <v>0</v>
      </c>
      <c r="J645" s="53" t="n">
        <f aca="false" ca="false" dt2D="false" dtr="false" t="normal">HEX2DEC(J643)</f>
        <v>0</v>
      </c>
      <c r="K645" s="53" t="n">
        <f aca="false" ca="false" dt2D="false" dtr="false" t="normal">HEX2DEC(K643)</f>
        <v>0</v>
      </c>
      <c r="L645" s="53" t="n">
        <f aca="false" ca="false" dt2D="false" dtr="false" t="normal">HEX2DEC(L643)</f>
        <v>0</v>
      </c>
      <c r="M645" s="53" t="n">
        <f aca="false" ca="false" dt2D="false" dtr="false" t="normal">SUM(D645:L645)</f>
        <v>0</v>
      </c>
      <c r="N645" s="63" t="n"/>
      <c r="P645" s="6414" t="s"/>
      <c r="Q645" s="142" t="s"/>
      <c r="R645" s="142" t="s"/>
      <c r="S645" s="6415" t="s"/>
      <c r="T645" s="6416" t="s"/>
      <c r="U645" s="142" t="s"/>
      <c r="V645" s="142" t="s"/>
      <c r="W645" s="6417" t="s"/>
      <c r="X645" s="136" t="n">
        <f aca="false" ca="false" dt2D="false" dtr="false" t="normal">MID(J644, 2, 1)</f>
        <v>0</v>
      </c>
      <c r="Y645" s="137" t="n">
        <f aca="false" ca="false" dt2D="false" dtr="false" t="normal">X645</f>
        <v>0</v>
      </c>
      <c r="Z645" s="120" t="s">
        <v>192</v>
      </c>
      <c r="AA645" s="139" t="s">
        <v>2438</v>
      </c>
      <c r="AB645" s="136" t="n">
        <f aca="false" ca="false" dt2D="false" dtr="false" t="normal">MID(K644, 2, 1)</f>
        <v>0</v>
      </c>
      <c r="AC645" s="137" t="n">
        <f aca="false" ca="false" dt2D="false" dtr="false" t="normal">AB645</f>
        <v>0</v>
      </c>
      <c r="AD645" s="120" t="s">
        <v>192</v>
      </c>
      <c r="AE645" s="139" t="s">
        <v>2439</v>
      </c>
      <c r="AF645" s="136" t="n">
        <f aca="false" ca="false" dt2D="false" dtr="false" t="normal">MID(L644, 2, 1)</f>
        <v>0</v>
      </c>
      <c r="AG645" s="137" t="n">
        <f aca="false" ca="false" dt2D="false" dtr="false" t="normal">AF645</f>
        <v>0</v>
      </c>
      <c r="AH645" s="120" t="s">
        <v>192</v>
      </c>
      <c r="AI645" s="139" t="s">
        <v>2440</v>
      </c>
      <c r="AJ645" s="6418" t="s"/>
      <c r="AK645" s="6419" t="s"/>
      <c r="AL645" s="6420" t="s"/>
    </row>
    <row hidden="false" ht="15" outlineLevel="0" r="646">
      <c r="C646" s="98" t="s">
        <v>194</v>
      </c>
      <c r="D646" s="149" t="str">
        <f aca="false" ca="false" dt2D="false" dtr="false" t="normal">D643</f>
        <v/>
      </c>
      <c r="E646" s="149" t="str">
        <f aca="false" ca="false" dt2D="false" dtr="false" t="normal">E643</f>
        <v/>
      </c>
      <c r="F646" s="53" t="str">
        <f aca="false" ca="false" dt2D="false" dtr="false" t="normal">_XLFN.IFNA(MID(INDEX($A$3:$A$70, IF(ISNA(MATCH("720G4J1*", $A$3:$A$70, 0))=TRUE, MATCH("7200449*", $A$3:$A$70, 0), MATCH("720G4J1*", $A$3:$A$70, 0))), $AS$8, 2), "")</f>
        <v/>
      </c>
      <c r="G646" s="53" t="str">
        <f aca="false" ca="false" dt2D="false" dtr="false" t="normal">_XLFN.IFNA(MID(INDEX($A$3:$A$70, IF(ISNA(MATCH("720G4J1*", $A$3:$A$70, 0))=TRUE, MATCH("7200449*", $A$3:$A$70, 0), MATCH("720G4J1*", $A$3:$A$70, 0))), $AT$8, 2), "")</f>
        <v/>
      </c>
      <c r="N646" s="63" t="n"/>
      <c r="P646" s="6421" t="s"/>
      <c r="Q646" s="142" t="s"/>
      <c r="R646" s="142" t="s"/>
      <c r="S646" s="6422" t="s"/>
      <c r="T646" s="6423" t="s"/>
      <c r="U646" s="142" t="s"/>
      <c r="V646" s="142" t="s"/>
      <c r="W646" s="6424" t="s"/>
      <c r="X646" s="136" t="n">
        <f aca="false" ca="false" dt2D="false" dtr="false" t="normal">MID(J644, 3, 1)</f>
        <v>0</v>
      </c>
      <c r="Y646" s="137" t="n">
        <f aca="false" ca="false" dt2D="false" dtr="false" t="normal">X646</f>
        <v>0</v>
      </c>
      <c r="Z646" s="120" t="s">
        <v>195</v>
      </c>
      <c r="AA646" s="139" t="s">
        <v>2441</v>
      </c>
      <c r="AB646" s="136" t="n">
        <f aca="false" ca="false" dt2D="false" dtr="false" t="normal">MID(K644, 3, 1)</f>
        <v>0</v>
      </c>
      <c r="AC646" s="137" t="n">
        <f aca="false" ca="false" dt2D="false" dtr="false" t="normal">AB646</f>
        <v>0</v>
      </c>
      <c r="AD646" s="120" t="s">
        <v>195</v>
      </c>
      <c r="AE646" s="139" t="s">
        <v>2442</v>
      </c>
      <c r="AF646" s="136" t="n">
        <f aca="false" ca="false" dt2D="false" dtr="false" t="normal">MID(L644, 3, 1)</f>
        <v>0</v>
      </c>
      <c r="AG646" s="137" t="n">
        <f aca="false" ca="false" dt2D="false" dtr="false" t="normal">AF646</f>
        <v>0</v>
      </c>
      <c r="AH646" s="120" t="s">
        <v>195</v>
      </c>
      <c r="AI646" s="139" t="s">
        <v>2443</v>
      </c>
      <c r="AJ646" s="6425" t="s"/>
      <c r="AK646" s="6426" t="s"/>
      <c r="AL646" s="6427" t="s"/>
    </row>
    <row hidden="false" ht="15.75" outlineLevel="0" r="647">
      <c r="C647" s="98" t="n"/>
      <c r="N647" s="63" t="n"/>
      <c r="P647" s="6428" t="s"/>
      <c r="Q647" s="142" t="s"/>
      <c r="R647" s="142" t="s"/>
      <c r="S647" s="6429" t="s"/>
      <c r="T647" s="6430" t="s"/>
      <c r="U647" s="142" t="s"/>
      <c r="V647" s="142" t="s"/>
      <c r="W647" s="6431" t="s"/>
      <c r="X647" s="136" t="n">
        <f aca="false" ca="false" dt2D="false" dtr="false" t="normal">MID(J644, 4, 1)</f>
        <v>0</v>
      </c>
      <c r="Y647" s="137" t="n">
        <f aca="false" ca="false" dt2D="false" dtr="false" t="normal">X647</f>
        <v>0</v>
      </c>
      <c r="Z647" s="120" t="s">
        <v>197</v>
      </c>
      <c r="AA647" s="139" t="s">
        <v>2444</v>
      </c>
      <c r="AB647" s="136" t="n">
        <f aca="false" ca="false" dt2D="false" dtr="false" t="normal">MID(K644, 4, 1)</f>
        <v>0</v>
      </c>
      <c r="AC647" s="137" t="n">
        <f aca="false" ca="false" dt2D="false" dtr="false" t="normal">AB647</f>
        <v>0</v>
      </c>
      <c r="AD647" s="120" t="s">
        <v>197</v>
      </c>
      <c r="AE647" s="139" t="s">
        <v>2445</v>
      </c>
      <c r="AF647" s="136" t="n">
        <f aca="false" ca="false" dt2D="false" dtr="false" t="normal">MID(L644, 4, 1)</f>
        <v>0</v>
      </c>
      <c r="AG647" s="137" t="n">
        <f aca="false" ca="false" dt2D="false" dtr="false" t="normal">AF647</f>
        <v>0</v>
      </c>
      <c r="AH647" s="120" t="s">
        <v>197</v>
      </c>
      <c r="AI647" s="139" t="s">
        <v>2446</v>
      </c>
      <c r="AJ647" s="6432" t="s"/>
      <c r="AK647" s="6433" t="s"/>
      <c r="AL647" s="6434" t="s"/>
    </row>
    <row hidden="false" ht="15.75" outlineLevel="0" r="648">
      <c r="C648" s="98" t="s">
        <v>176</v>
      </c>
      <c r="D648" s="159" t="str">
        <f aca="false" ca="false" dt2D="false" dtr="false" t="normal">D643</f>
        <v/>
      </c>
      <c r="E648" s="160" t="str">
        <f aca="false" ca="false" dt2D="false" dtr="false" t="normal">E643</f>
        <v/>
      </c>
      <c r="F648" s="160" t="str">
        <f aca="false" ca="false" dt2D="false" dtr="false" t="normal">F643</f>
        <v/>
      </c>
      <c r="G648" s="161" t="str">
        <f aca="false" ca="false" dt2D="false" dtr="false" t="normal">G643</f>
        <v/>
      </c>
      <c r="H648" s="2540" t="str">
        <f aca="false" ca="false" dt2D="false" dtr="false" t="normal">H643</f>
        <v/>
      </c>
      <c r="I648" s="1916" t="str">
        <f aca="false" ca="false" dt2D="false" dtr="false" t="normal">I643</f>
        <v/>
      </c>
      <c r="J648" s="164" t="str">
        <f aca="false" ca="false" dt2D="false" dtr="false" t="normal">IF(J412="", "", BIN2HEX(J649, 2))</f>
        <v/>
      </c>
      <c r="K648" s="165" t="str">
        <f aca="false" ca="false" dt2D="false" dtr="false" t="normal">IF(J412="", "", BIN2HEX(K649, 2))</f>
        <v/>
      </c>
      <c r="L648" s="288" t="str">
        <f aca="false" ca="false" dt2D="false" dtr="false" t="normal">IF(J412="", "", BIN2HEX(L649, 2))</f>
        <v/>
      </c>
      <c r="M648" s="166" t="str">
        <f aca="false" ca="false" dt2D="false" dtr="false" t="normal">IF(J412="", "", IF(LEN(M649)&gt;2, MID(M649, 2, 2), M649))</f>
        <v/>
      </c>
      <c r="N648" s="63" t="s">
        <v>181</v>
      </c>
      <c r="P648" s="6435" t="s"/>
      <c r="Q648" s="142" t="s"/>
      <c r="R648" s="142" t="s"/>
      <c r="S648" s="6436" t="s"/>
      <c r="T648" s="6437" t="s"/>
      <c r="U648" s="142" t="s"/>
      <c r="V648" s="142" t="s"/>
      <c r="W648" s="6438" t="s"/>
      <c r="X648" s="136" t="n">
        <f aca="false" ca="false" dt2D="false" dtr="false" t="normal">MID(J644, 5, 1)</f>
        <v>0</v>
      </c>
      <c r="Y648" s="137" t="n">
        <f aca="false" ca="false" dt2D="false" dtr="false" t="normal">X648</f>
        <v>0</v>
      </c>
      <c r="Z648" s="120" t="s">
        <v>200</v>
      </c>
      <c r="AA648" s="139" t="s">
        <v>2447</v>
      </c>
      <c r="AB648" s="136" t="n">
        <f aca="false" ca="false" dt2D="false" dtr="false" t="normal">MID(K644, 5, 1)</f>
        <v>0</v>
      </c>
      <c r="AC648" s="137" t="n">
        <f aca="false" ca="false" dt2D="false" dtr="false" t="normal">AB648</f>
        <v>0</v>
      </c>
      <c r="AD648" s="120" t="s">
        <v>200</v>
      </c>
      <c r="AE648" s="139" t="s">
        <v>2448</v>
      </c>
      <c r="AF648" s="136" t="n">
        <f aca="false" ca="false" dt2D="false" dtr="false" t="normal">MID(L644, 5, 1)</f>
        <v>0</v>
      </c>
      <c r="AG648" s="137" t="n">
        <f aca="false" ca="false" dt2D="false" dtr="false" t="normal">AF648</f>
        <v>0</v>
      </c>
      <c r="AH648" s="120" t="s">
        <v>200</v>
      </c>
      <c r="AI648" s="139" t="s">
        <v>2449</v>
      </c>
      <c r="AJ648" s="6439" t="s"/>
      <c r="AK648" s="6440" t="s"/>
      <c r="AL648" s="6441" t="s"/>
    </row>
    <row hidden="false" ht="15" outlineLevel="0" r="649">
      <c r="C649" s="98" t="s">
        <v>185</v>
      </c>
      <c r="D649" s="53" t="n">
        <f aca="false" ca="false" dt2D="false" dtr="false" t="normal">HEX2BIN(D648, 8)</f>
        <v>0</v>
      </c>
      <c r="E649" s="53" t="n">
        <f aca="false" ca="false" dt2D="false" dtr="false" t="normal">HEX2BIN(E648, 8)</f>
        <v>0</v>
      </c>
      <c r="F649" s="53" t="n">
        <f aca="false" ca="false" dt2D="false" dtr="false" t="normal">HEX2BIN(F648, 8)</f>
        <v>0</v>
      </c>
      <c r="G649" s="53" t="n">
        <f aca="false" ca="false" dt2D="false" dtr="false" t="normal">HEX2BIN(G648, 8)</f>
        <v>0</v>
      </c>
      <c r="H649" s="171" t="n"/>
      <c r="I649" s="53" t="n"/>
      <c r="J649" s="171" t="n">
        <f aca="false" ca="false" dt2D="false" dtr="false" t="normal">Y644&amp;Y645&amp;Y646&amp;Y647&amp;Y648&amp;Y649&amp;Y650&amp;Y651</f>
        <v>0</v>
      </c>
      <c r="K649" s="171" t="n">
        <f aca="false" ca="false" dt2D="false" dtr="false" t="normal">AC644&amp;AC645&amp;AC646&amp;AC647&amp;AC648&amp;AC649&amp;AC650&amp;AC651</f>
        <v>0</v>
      </c>
      <c r="L649" s="53" t="n">
        <f aca="false" ca="false" dt2D="false" dtr="false" t="normal">AG644&amp;AG645&amp;AG646&amp;AG647&amp;AG648&amp;AG649&amp;AG650&amp;AG651</f>
        <v>0</v>
      </c>
      <c r="M649" s="53" t="n">
        <f aca="false" ca="false" dt2D="false" dtr="false" t="normal">DEC2HEX(M650)</f>
        <v>0</v>
      </c>
      <c r="N649" s="63" t="n"/>
      <c r="P649" s="6442" t="s"/>
      <c r="Q649" s="142" t="s"/>
      <c r="R649" s="142" t="s"/>
      <c r="S649" s="6443" t="s"/>
      <c r="T649" s="6444" t="s"/>
      <c r="U649" s="142" t="s"/>
      <c r="V649" s="142" t="s"/>
      <c r="W649" s="6445" t="s"/>
      <c r="X649" s="136" t="n">
        <f aca="false" ca="false" dt2D="false" dtr="false" t="normal">MID(J644, 6, 1)</f>
        <v>0</v>
      </c>
      <c r="Y649" s="137" t="n">
        <f aca="false" ca="false" dt2D="false" dtr="false" t="normal">X649</f>
        <v>0</v>
      </c>
      <c r="Z649" s="120" t="s">
        <v>203</v>
      </c>
      <c r="AA649" s="139" t="s">
        <v>2450</v>
      </c>
      <c r="AB649" s="136" t="n">
        <f aca="false" ca="false" dt2D="false" dtr="false" t="normal">MID(K644, 6, 1)</f>
        <v>0</v>
      </c>
      <c r="AC649" s="137" t="n">
        <f aca="false" ca="false" dt2D="false" dtr="false" t="normal">AB649</f>
        <v>0</v>
      </c>
      <c r="AD649" s="120" t="s">
        <v>203</v>
      </c>
      <c r="AE649" s="139" t="s">
        <v>2451</v>
      </c>
      <c r="AF649" s="136" t="n">
        <f aca="false" ca="false" dt2D="false" dtr="false" t="normal">MID(L644, 6, 1)</f>
        <v>0</v>
      </c>
      <c r="AG649" s="137" t="n">
        <f aca="false" ca="false" dt2D="false" dtr="false" t="normal">AF649</f>
        <v>0</v>
      </c>
      <c r="AH649" s="120" t="s">
        <v>203</v>
      </c>
      <c r="AI649" s="139" t="s">
        <v>2452</v>
      </c>
      <c r="AJ649" s="6446" t="s"/>
      <c r="AK649" s="6447" t="s"/>
      <c r="AL649" s="6448" t="s"/>
    </row>
    <row hidden="false" ht="15" outlineLevel="0" r="650">
      <c r="C650" s="98" t="s">
        <v>191</v>
      </c>
      <c r="D650" s="53" t="n">
        <f aca="false" ca="false" dt2D="false" dtr="false" t="normal">HEX2DEC(D648)</f>
        <v>0</v>
      </c>
      <c r="E650" s="53" t="n">
        <f aca="false" ca="false" dt2D="false" dtr="false" t="normal">HEX2DEC(E648)</f>
        <v>0</v>
      </c>
      <c r="F650" s="53" t="n">
        <f aca="false" ca="false" dt2D="false" dtr="false" t="normal">HEX2DEC(F648)</f>
        <v>0</v>
      </c>
      <c r="G650" s="53" t="n">
        <f aca="false" ca="false" dt2D="false" dtr="false" t="normal">HEX2DEC(G648)</f>
        <v>0</v>
      </c>
      <c r="H650" s="53" t="n">
        <f aca="false" ca="false" dt2D="false" dtr="false" t="normal">HEX2DEC(H648)</f>
        <v>0</v>
      </c>
      <c r="I650" s="53" t="n">
        <f aca="false" ca="false" dt2D="false" dtr="false" t="normal">HEX2DEC(I648)</f>
        <v>0</v>
      </c>
      <c r="J650" s="53" t="n">
        <f aca="false" ca="false" dt2D="false" dtr="false" t="normal">HEX2DEC(J648)</f>
        <v>0</v>
      </c>
      <c r="K650" s="53" t="n">
        <f aca="false" ca="false" dt2D="false" dtr="false" t="normal">HEX2DEC(K648)</f>
        <v>0</v>
      </c>
      <c r="L650" s="53" t="n">
        <f aca="false" ca="false" dt2D="false" dtr="false" t="normal">HEX2DEC(L648)</f>
        <v>0</v>
      </c>
      <c r="M650" s="53" t="n">
        <f aca="false" ca="false" dt2D="false" dtr="false" t="normal">SUM(D650:L650)</f>
        <v>0</v>
      </c>
      <c r="N650" s="63" t="n"/>
      <c r="P650" s="6449" t="s"/>
      <c r="Q650" s="142" t="s"/>
      <c r="R650" s="142" t="s"/>
      <c r="S650" s="6450" t="s"/>
      <c r="T650" s="6451" t="s"/>
      <c r="U650" s="142" t="s"/>
      <c r="V650" s="142" t="s"/>
      <c r="W650" s="6452" t="s"/>
      <c r="X650" s="136" t="n">
        <f aca="false" ca="false" dt2D="false" dtr="false" t="normal">MID(J644, 7, 1)</f>
        <v>0</v>
      </c>
      <c r="Y650" s="137" t="n">
        <f aca="false" ca="false" dt2D="false" dtr="false" t="normal">X650</f>
        <v>0</v>
      </c>
      <c r="Z650" s="120" t="s">
        <v>206</v>
      </c>
      <c r="AA650" s="139" t="s">
        <v>525</v>
      </c>
      <c r="AB650" s="136" t="n">
        <f aca="false" ca="false" dt2D="false" dtr="false" t="normal">MID(K644, 7, 1)</f>
        <v>0</v>
      </c>
      <c r="AC650" s="137" t="n">
        <f aca="false" ca="false" dt2D="false" dtr="false" t="normal">AB650</f>
        <v>0</v>
      </c>
      <c r="AD650" s="120" t="s">
        <v>206</v>
      </c>
      <c r="AE650" s="139" t="s">
        <v>2453</v>
      </c>
      <c r="AF650" s="136" t="n">
        <f aca="false" ca="false" dt2D="false" dtr="false" t="normal">MID(L644, 7, 1)</f>
        <v>0</v>
      </c>
      <c r="AG650" s="137" t="n">
        <f aca="false" ca="false" dt2D="false" dtr="false" t="normal">AF650</f>
        <v>0</v>
      </c>
      <c r="AH650" s="120" t="s">
        <v>206</v>
      </c>
      <c r="AI650" s="139" t="s">
        <v>2454</v>
      </c>
      <c r="AJ650" s="6453" t="s"/>
      <c r="AK650" s="6454" t="s"/>
      <c r="AL650" s="6455" t="s"/>
    </row>
    <row hidden="false" ht="15.75" outlineLevel="0" r="651">
      <c r="C651" s="180" t="s">
        <v>194</v>
      </c>
      <c r="D651" s="299" t="str">
        <f aca="false" ca="false" dt2D="false" dtr="false" t="normal">D646</f>
        <v/>
      </c>
      <c r="E651" s="299" t="str">
        <f aca="false" ca="false" dt2D="false" dtr="false" t="normal">E646</f>
        <v/>
      </c>
      <c r="F651" s="299" t="str">
        <f aca="false" ca="false" dt2D="false" dtr="false" t="normal">F646</f>
        <v/>
      </c>
      <c r="G651" s="299" t="str">
        <f aca="false" ca="false" dt2D="false" dtr="false" t="normal">G646</f>
        <v/>
      </c>
      <c r="H651" s="45" t="n"/>
      <c r="I651" s="45" t="n"/>
      <c r="J651" s="45" t="n"/>
      <c r="K651" s="45" t="n"/>
      <c r="L651" s="45" t="n"/>
      <c r="M651" s="45" t="n"/>
      <c r="N651" s="49" t="n"/>
      <c r="P651" s="6456" t="s"/>
      <c r="Q651" s="6457" t="s"/>
      <c r="R651" s="6458" t="s"/>
      <c r="S651" s="6459" t="s"/>
      <c r="T651" s="6460" t="s"/>
      <c r="U651" s="6461" t="s"/>
      <c r="V651" s="6462" t="s"/>
      <c r="W651" s="6463" t="s"/>
      <c r="X651" s="182" t="n">
        <f aca="false" ca="false" dt2D="false" dtr="false" t="normal">MID(J644, 8, 1)</f>
        <v>0</v>
      </c>
      <c r="Y651" s="183" t="n">
        <f aca="false" ca="false" dt2D="false" dtr="false" t="normal">X651</f>
        <v>0</v>
      </c>
      <c r="Z651" s="184" t="s">
        <v>208</v>
      </c>
      <c r="AA651" s="187" t="s">
        <v>2455</v>
      </c>
      <c r="AB651" s="182" t="n">
        <f aca="false" ca="false" dt2D="false" dtr="false" t="normal">MID(K644, 8, 1)</f>
        <v>0</v>
      </c>
      <c r="AC651" s="183" t="n">
        <f aca="false" ca="false" dt2D="false" dtr="false" t="normal">AB651</f>
        <v>0</v>
      </c>
      <c r="AD651" s="184" t="s">
        <v>208</v>
      </c>
      <c r="AE651" s="187" t="s">
        <v>2456</v>
      </c>
      <c r="AF651" s="182" t="n">
        <f aca="false" ca="false" dt2D="false" dtr="false" t="normal">MID(L644, 8, 1)</f>
        <v>0</v>
      </c>
      <c r="AG651" s="183" t="n">
        <f aca="false" ca="false" dt2D="false" dtr="false" t="normal">AF651</f>
        <v>0</v>
      </c>
      <c r="AH651" s="184" t="s">
        <v>208</v>
      </c>
      <c r="AI651" s="187" t="s">
        <v>2457</v>
      </c>
      <c r="AJ651" s="6464" t="s"/>
      <c r="AK651" s="6465" t="s"/>
      <c r="AL651" s="6466" t="s"/>
    </row>
    <row hidden="false" ht="15.75" outlineLevel="0" r="652">
      <c r="C652" s="93" t="n"/>
      <c r="D652" s="94" t="n"/>
      <c r="E652" s="94" t="n"/>
      <c r="F652" s="94" t="n"/>
      <c r="G652" s="94" t="n"/>
      <c r="H652" s="94" t="n"/>
      <c r="I652" s="94" t="n"/>
      <c r="J652" s="94" t="n"/>
      <c r="K652" s="94" t="n"/>
      <c r="L652" s="94" t="n"/>
      <c r="M652" s="94" t="s">
        <v>161</v>
      </c>
      <c r="N652" s="60" t="n"/>
      <c r="P652" s="95" t="str">
        <f aca="false" ca="false" dt2D="false" dtr="false" t="normal">RIGHT(D654, 1)&amp;E654&amp;"-"&amp;F654&amp;"-"&amp;G654</f>
        <v>--</v>
      </c>
      <c r="Q652" s="6467" t="s"/>
      <c r="R652" s="234" t="s">
        <v>2458</v>
      </c>
      <c r="S652" s="6468" t="s"/>
      <c r="T652" s="6469" t="s"/>
      <c r="U652" s="6470" t="s"/>
      <c r="V652" s="6471" t="s"/>
      <c r="W652" s="6472" t="s"/>
      <c r="X652" s="6473" t="s"/>
      <c r="Y652" s="6474" t="s"/>
      <c r="Z652" s="6475" t="s"/>
      <c r="AA652" s="6476" t="s"/>
      <c r="AB652" s="6477" t="s"/>
      <c r="AC652" s="6478" t="s"/>
      <c r="AD652" s="6479" t="s"/>
      <c r="AE652" s="6480" t="s"/>
      <c r="AF652" s="6481" t="s"/>
      <c r="AG652" s="6482" t="s"/>
      <c r="AH652" s="6483" t="s"/>
      <c r="AI652" s="6484" t="s"/>
      <c r="AJ652" s="6485" t="s"/>
      <c r="AK652" s="6486" t="s"/>
      <c r="AL652" s="6487" t="s"/>
    </row>
    <row hidden="false" ht="15.75" outlineLevel="0" r="653">
      <c r="C653" s="98" t="n"/>
      <c r="D653" s="99" t="s">
        <v>2459</v>
      </c>
      <c r="E653" s="6488" t="s"/>
      <c r="F653" s="6489" t="s"/>
      <c r="G653" s="6490" t="s"/>
      <c r="H653" s="53" t="s">
        <v>165</v>
      </c>
      <c r="I653" s="53" t="s">
        <v>166</v>
      </c>
      <c r="J653" s="53" t="s">
        <v>167</v>
      </c>
      <c r="K653" s="53" t="s">
        <v>168</v>
      </c>
      <c r="L653" s="53" t="s">
        <v>169</v>
      </c>
      <c r="M653" s="53" t="s">
        <v>221</v>
      </c>
      <c r="N653" s="63" t="n"/>
      <c r="P653" s="103" t="s">
        <v>2460</v>
      </c>
      <c r="Q653" s="6491" t="s"/>
      <c r="R653" s="6492" t="s"/>
      <c r="S653" s="6493" t="s"/>
      <c r="T653" s="103" t="s">
        <v>2461</v>
      </c>
      <c r="U653" s="6494" t="s"/>
      <c r="V653" s="6495" t="s"/>
      <c r="W653" s="6496" t="s"/>
      <c r="X653" s="103" t="s">
        <v>2462</v>
      </c>
      <c r="Y653" s="6497" t="s"/>
      <c r="Z653" s="6498" t="s"/>
      <c r="AA653" s="6499" t="s"/>
      <c r="AB653" s="103" t="s">
        <v>2463</v>
      </c>
      <c r="AC653" s="6500" t="s"/>
      <c r="AD653" s="6501" t="s"/>
      <c r="AE653" s="6502" t="s"/>
      <c r="AF653" s="103" t="s">
        <v>2464</v>
      </c>
      <c r="AG653" s="6503" t="s"/>
      <c r="AH653" s="6504" t="s"/>
      <c r="AI653" s="6505" t="s"/>
      <c r="AJ653" s="103" t="s">
        <v>2465</v>
      </c>
      <c r="AK653" s="6506" t="s"/>
      <c r="AL653" s="6507" t="s"/>
    </row>
    <row hidden="false" ht="15.75" outlineLevel="0" r="654">
      <c r="C654" s="98" t="s">
        <v>176</v>
      </c>
      <c r="D654" s="122" t="str">
        <f aca="false" ca="false" dt2D="false" dtr="false" t="normal">IF(J412="", "", 7)</f>
        <v/>
      </c>
      <c r="E654" s="123" t="str">
        <f aca="false" ca="false" dt2D="false" dtr="false" t="normal">IF(J412="", "", 20)</f>
        <v/>
      </c>
      <c r="F654" s="123" t="str">
        <f aca="false" ca="false" dt2D="false" dtr="false" t="normal">IF(J412="", "", 4)</f>
        <v/>
      </c>
      <c r="G654" s="124" t="str">
        <f aca="false" ca="false" dt2D="false" dtr="false" t="normal">IF(J412="", "", 50)</f>
        <v/>
      </c>
      <c r="H654" s="1819" t="str">
        <f aca="false" ca="false" dt2D="false" dtr="false" ref="H654:H654" t="array">_XLFN.IFNA(MID(INDEX($A$3:$A$70, IF(ISNA(MATCH("720G4J2*", $A$3:$A$70, 0))=TRUE, MATCH("7200450*", $A$3:$A$70, 0), MATCH("720G4J2*", $A$3:$A$70, 0))), $AU$8, 2), "")</f>
        <v/>
      </c>
      <c r="I654" s="1820" t="str">
        <f aca="false" ca="false" dt2D="false" dtr="false" ref="I654:I654" t="array">_XLFN.IFNA(MID(INDEX($A$3:$A$70, IF(ISNA(MATCH("720G4J2*", $A$3:$A$70, 0))=TRUE, MATCH("7200450*", $A$3:$A$70, 0), MATCH("720G4J2*", $A$3:$A$70, 0))), $AV$8, 2), "")</f>
        <v/>
      </c>
      <c r="J654" s="164" t="str">
        <f aca="false" ca="false" dt2D="false" dtr="false" ref="J654:J654" t="array">_XLFN.IFNA(MID(INDEX($A$3:$A$70, IF(ISNA(MATCH("720G4J2*", $A$3:$A$70, 0))=TRUE, MATCH("7200450*", $A$3:$A$70, 0), MATCH("720G4J2*", $A$3:$A$70, 0))), $AW$8, 2), "")</f>
        <v/>
      </c>
      <c r="K654" s="1820" t="str">
        <f aca="false" ca="false" dt2D="false" dtr="false" ref="K654:K654" t="array">_XLFN.IFNA(MID(INDEX($A$3:$A$70, IF(ISNA(MATCH("720G4J2*", $A$3:$A$70, 0))=TRUE, MATCH("7200450*", $A$3:$A$70, 0), MATCH("720G4J2*", $A$3:$A$70, 0))), $AX$8, 2), "")</f>
        <v/>
      </c>
      <c r="L654" s="1821" t="str">
        <f aca="false" ca="false" dt2D="false" dtr="false" ref="L654:L654" t="array">_XLFN.IFNA(MID(INDEX($A$3:$A$70, IF(ISNA(MATCH("720G4J2*", $A$3:$A$70, 0))=TRUE, MATCH("7200450*", $A$3:$A$70, 0), MATCH("720G4J2*", $A$3:$A$70, 0))), $AY$8, 2), "")</f>
        <v/>
      </c>
      <c r="M654" s="218" t="str">
        <f aca="false" ca="false" dt2D="false" dtr="false" ref="M654:M654" t="array">_XLFN.IFNA(MID(INDEX($A$3:$A$70, IF(ISNA(MATCH("720G4J2*", $A$3:$A$70, 0))=TRUE, MATCH("7200450*", $A$3:$A$70, 0), MATCH("720G4J2*", $A$3:$A$70, 0))), $AZ$8, 2), "")</f>
        <v/>
      </c>
      <c r="N654" s="63" t="s">
        <v>180</v>
      </c>
      <c r="P654" s="129" t="s">
        <v>180</v>
      </c>
      <c r="Q654" s="130" t="s">
        <v>181</v>
      </c>
      <c r="R654" s="121" t="s">
        <v>182</v>
      </c>
      <c r="S654" s="131" t="n"/>
      <c r="T654" s="129" t="s">
        <v>180</v>
      </c>
      <c r="U654" s="130" t="s">
        <v>181</v>
      </c>
      <c r="V654" s="121" t="s">
        <v>182</v>
      </c>
      <c r="W654" s="131" t="n"/>
      <c r="X654" s="129" t="s">
        <v>180</v>
      </c>
      <c r="Y654" s="130" t="s">
        <v>181</v>
      </c>
      <c r="Z654" s="121" t="s">
        <v>182</v>
      </c>
      <c r="AA654" s="131" t="n"/>
      <c r="AB654" s="116" t="n"/>
      <c r="AC654" s="6508" t="s"/>
      <c r="AD654" s="6509" t="s"/>
      <c r="AE654" s="6510" t="s"/>
      <c r="AF654" s="116" t="n"/>
      <c r="AG654" s="6511" t="s"/>
      <c r="AH654" s="6512" t="s"/>
      <c r="AI654" s="6513" t="s"/>
      <c r="AJ654" s="116" t="s">
        <v>183</v>
      </c>
      <c r="AK654" s="6514" t="s"/>
      <c r="AL654" s="6515" t="s"/>
    </row>
    <row hidden="false" ht="15" outlineLevel="0" r="655">
      <c r="C655" s="98" t="s">
        <v>185</v>
      </c>
      <c r="D655" s="53" t="n">
        <f aca="false" ca="false" dt2D="false" dtr="false" t="normal">HEX2BIN(D654, 8)</f>
        <v>0</v>
      </c>
      <c r="E655" s="53" t="n">
        <f aca="false" ca="false" dt2D="false" dtr="false" t="normal">HEX2BIN(E654, 8)</f>
        <v>0</v>
      </c>
      <c r="F655" s="53" t="n">
        <f aca="false" ca="false" dt2D="false" dtr="false" t="normal">HEX2BIN(F654, 8)</f>
        <v>0</v>
      </c>
      <c r="G655" s="53" t="n">
        <f aca="false" ca="false" dt2D="false" dtr="false" t="normal">HEX2BIN(G654, 8)</f>
        <v>0</v>
      </c>
      <c r="H655" s="53" t="n">
        <f aca="false" ca="false" dt2D="false" dtr="false" t="normal">HEX2BIN(H654, 8)</f>
        <v>0</v>
      </c>
      <c r="I655" s="53" t="n">
        <f aca="false" ca="false" dt2D="false" dtr="false" t="normal">HEX2BIN(I654, 8)</f>
        <v>0</v>
      </c>
      <c r="J655" s="53" t="n">
        <f aca="false" ca="false" dt2D="false" dtr="false" t="normal">HEX2BIN(J654, 8)</f>
        <v>0</v>
      </c>
      <c r="K655" s="53" t="n">
        <f aca="false" ca="false" dt2D="false" dtr="false" t="normal">HEX2BIN(K654, 8)</f>
        <v>0</v>
      </c>
      <c r="L655" s="53" t="n">
        <f aca="false" ca="false" dt2D="false" dtr="false" t="normal">HEX2BIN(L654, 8)</f>
        <v>0</v>
      </c>
      <c r="N655" s="63" t="n"/>
      <c r="P655" s="136" t="n">
        <f aca="false" ca="false" dt2D="false" dtr="false" t="normal">MID(H655, 1, 1)</f>
        <v>0</v>
      </c>
      <c r="Q655" s="137" t="n">
        <f aca="false" ca="false" dt2D="false" dtr="false" t="normal">P655</f>
        <v>0</v>
      </c>
      <c r="R655" s="120" t="s">
        <v>186</v>
      </c>
      <c r="S655" s="139" t="s">
        <v>2466</v>
      </c>
      <c r="T655" s="136" t="n">
        <f aca="false" ca="false" dt2D="false" dtr="false" t="normal">MID(I655, 1, 1)</f>
        <v>0</v>
      </c>
      <c r="U655" s="137" t="n">
        <f aca="false" ca="false" dt2D="false" dtr="false" t="normal">T655</f>
        <v>0</v>
      </c>
      <c r="V655" s="120" t="s">
        <v>186</v>
      </c>
      <c r="W655" s="139" t="s">
        <v>2467</v>
      </c>
      <c r="X655" s="136" t="n">
        <f aca="false" ca="false" dt2D="false" dtr="false" t="normal">MID(J655, 1, 1)</f>
        <v>0</v>
      </c>
      <c r="Y655" s="137" t="n">
        <f aca="false" ca="false" dt2D="false" dtr="false" t="normal">X655</f>
        <v>0</v>
      </c>
      <c r="Z655" s="120" t="s">
        <v>186</v>
      </c>
      <c r="AA655" s="139" t="s">
        <v>2468</v>
      </c>
      <c r="AB655" s="6516" t="s"/>
      <c r="AC655" s="142" t="s"/>
      <c r="AD655" s="142" t="s"/>
      <c r="AE655" s="6517" t="s"/>
      <c r="AF655" s="6518" t="s"/>
      <c r="AG655" s="142" t="s"/>
      <c r="AH655" s="142" t="s"/>
      <c r="AI655" s="6519" t="s"/>
      <c r="AJ655" s="6520" t="s"/>
      <c r="AK655" s="6521" t="s"/>
      <c r="AL655" s="6522" t="s"/>
    </row>
    <row hidden="false" ht="15" outlineLevel="0" r="656">
      <c r="C656" s="98" t="s">
        <v>191</v>
      </c>
      <c r="D656" s="53" t="n">
        <f aca="false" ca="false" dt2D="false" dtr="false" t="normal">HEX2DEC(D654)</f>
        <v>0</v>
      </c>
      <c r="E656" s="53" t="n">
        <f aca="false" ca="false" dt2D="false" dtr="false" t="normal">HEX2DEC(E654)</f>
        <v>0</v>
      </c>
      <c r="F656" s="53" t="n">
        <f aca="false" ca="false" dt2D="false" dtr="false" t="normal">HEX2DEC(F654)</f>
        <v>0</v>
      </c>
      <c r="G656" s="53" t="n">
        <f aca="false" ca="false" dt2D="false" dtr="false" t="normal">HEX2DEC(G654)</f>
        <v>0</v>
      </c>
      <c r="H656" s="53" t="n">
        <f aca="false" ca="false" dt2D="false" dtr="false" t="normal">HEX2DEC(H654)</f>
        <v>0</v>
      </c>
      <c r="I656" s="53" t="n">
        <f aca="false" ca="false" dt2D="false" dtr="false" t="normal">HEX2DEC(I654)</f>
        <v>0</v>
      </c>
      <c r="J656" s="53" t="n">
        <f aca="false" ca="false" dt2D="false" dtr="false" t="normal">HEX2DEC(J654)</f>
        <v>0</v>
      </c>
      <c r="K656" s="53" t="n">
        <f aca="false" ca="false" dt2D="false" dtr="false" t="normal">HEX2DEC(K654)</f>
        <v>0</v>
      </c>
      <c r="L656" s="53" t="n">
        <f aca="false" ca="false" dt2D="false" dtr="false" t="normal">HEX2DEC(L654)</f>
        <v>0</v>
      </c>
      <c r="M656" s="53" t="n">
        <f aca="false" ca="false" dt2D="false" dtr="false" t="normal">SUM(D656:L656)</f>
        <v>0</v>
      </c>
      <c r="N656" s="63" t="n"/>
      <c r="P656" s="136" t="n">
        <f aca="false" ca="false" dt2D="false" dtr="false" t="normal">MID(H655, 2, 1)</f>
        <v>0</v>
      </c>
      <c r="Q656" s="137" t="n">
        <f aca="false" ca="false" dt2D="false" dtr="false" t="normal">P656</f>
        <v>0</v>
      </c>
      <c r="R656" s="120" t="s">
        <v>192</v>
      </c>
      <c r="S656" s="139" t="s">
        <v>2469</v>
      </c>
      <c r="T656" s="136" t="n">
        <f aca="false" ca="false" dt2D="false" dtr="false" t="normal">MID(I655, 2, 1)</f>
        <v>0</v>
      </c>
      <c r="U656" s="137" t="n">
        <f aca="false" ca="false" dt2D="false" dtr="false" t="normal">T656</f>
        <v>0</v>
      </c>
      <c r="V656" s="120" t="s">
        <v>192</v>
      </c>
      <c r="W656" s="139" t="s">
        <v>2470</v>
      </c>
      <c r="X656" s="136" t="n">
        <f aca="false" ca="false" dt2D="false" dtr="false" t="normal">MID(J655, 2, 1)</f>
        <v>0</v>
      </c>
      <c r="Y656" s="137" t="n">
        <f aca="false" ca="false" dt2D="false" dtr="false" t="normal">X656</f>
        <v>0</v>
      </c>
      <c r="Z656" s="120" t="s">
        <v>192</v>
      </c>
      <c r="AA656" s="139" t="s">
        <v>2471</v>
      </c>
      <c r="AB656" s="6523" t="s"/>
      <c r="AC656" s="142" t="s"/>
      <c r="AD656" s="142" t="s"/>
      <c r="AE656" s="6524" t="s"/>
      <c r="AF656" s="6525" t="s"/>
      <c r="AG656" s="142" t="s"/>
      <c r="AH656" s="142" t="s"/>
      <c r="AI656" s="6526" t="s"/>
      <c r="AJ656" s="6527" t="s"/>
      <c r="AK656" s="6528" t="s"/>
      <c r="AL656" s="6529" t="s"/>
    </row>
    <row hidden="false" ht="15" outlineLevel="0" r="657">
      <c r="C657" s="98" t="s">
        <v>194</v>
      </c>
      <c r="D657" s="149" t="str">
        <f aca="false" ca="false" dt2D="false" dtr="false" t="normal">D654</f>
        <v/>
      </c>
      <c r="E657" s="149" t="str">
        <f aca="false" ca="false" dt2D="false" dtr="false" t="normal">E654</f>
        <v/>
      </c>
      <c r="F657" s="53" t="str">
        <f aca="false" ca="false" dt2D="false" dtr="false" t="normal">_XLFN.IFNA(MID(INDEX($A$3:$A$70, IF(ISNA(MATCH("720G4J2*", $A$3:$A$70, 0))=TRUE, MATCH("7200450*", $A$3:$A$70, 0), MATCH("720G4J2*", $A$3:$A$70, 0))), $AS$8, 2), "")</f>
        <v/>
      </c>
      <c r="G657" s="53" t="str">
        <f aca="false" ca="false" dt2D="false" dtr="false" t="normal">_XLFN.IFNA(MID(INDEX($A$3:$A$70, IF(ISNA(MATCH("720G4J2*", $A$3:$A$70, 0))=TRUE, MATCH("7200450*", $A$3:$A$70, 0), MATCH("720G4J2*", $A$3:$A$70, 0))), $AT$8, 2), "")</f>
        <v/>
      </c>
      <c r="N657" s="63" t="n"/>
      <c r="P657" s="136" t="n">
        <f aca="false" ca="false" dt2D="false" dtr="false" t="normal">MID(H655, 3, 1)</f>
        <v>0</v>
      </c>
      <c r="Q657" s="137" t="n">
        <f aca="false" ca="false" dt2D="false" dtr="false" t="normal">P657</f>
        <v>0</v>
      </c>
      <c r="R657" s="120" t="s">
        <v>195</v>
      </c>
      <c r="S657" s="139" t="s">
        <v>2472</v>
      </c>
      <c r="T657" s="136" t="n">
        <f aca="false" ca="false" dt2D="false" dtr="false" t="normal">MID(I655, 3, 1)</f>
        <v>0</v>
      </c>
      <c r="U657" s="137" t="n">
        <f aca="false" ca="false" dt2D="false" dtr="false" t="normal">T657</f>
        <v>0</v>
      </c>
      <c r="V657" s="120" t="s">
        <v>195</v>
      </c>
      <c r="W657" s="139" t="s">
        <v>2473</v>
      </c>
      <c r="X657" s="136" t="n">
        <f aca="false" ca="false" dt2D="false" dtr="false" t="normal">MID(J655, 3, 1)</f>
        <v>0</v>
      </c>
      <c r="Y657" s="137" t="n">
        <f aca="false" ca="false" dt2D="false" dtr="false" t="normal">X657</f>
        <v>0</v>
      </c>
      <c r="Z657" s="120" t="s">
        <v>195</v>
      </c>
      <c r="AA657" s="139" t="s">
        <v>2474</v>
      </c>
      <c r="AB657" s="6530" t="s"/>
      <c r="AC657" s="142" t="s"/>
      <c r="AD657" s="142" t="s"/>
      <c r="AE657" s="6531" t="s"/>
      <c r="AF657" s="6532" t="s"/>
      <c r="AG657" s="142" t="s"/>
      <c r="AH657" s="142" t="s"/>
      <c r="AI657" s="6533" t="s"/>
      <c r="AJ657" s="6534" t="s"/>
      <c r="AK657" s="6535" t="s"/>
      <c r="AL657" s="6536" t="s"/>
    </row>
    <row hidden="false" ht="15.75" outlineLevel="0" r="658">
      <c r="C658" s="98" t="n"/>
      <c r="N658" s="63" t="n"/>
      <c r="P658" s="136" t="n">
        <f aca="false" ca="false" dt2D="false" dtr="false" t="normal">MID(H655, 4, 1)</f>
        <v>0</v>
      </c>
      <c r="Q658" s="137" t="n">
        <f aca="false" ca="false" dt2D="false" dtr="false" t="normal">P658</f>
        <v>0</v>
      </c>
      <c r="R658" s="120" t="s">
        <v>197</v>
      </c>
      <c r="S658" s="139" t="s">
        <v>2475</v>
      </c>
      <c r="T658" s="136" t="n">
        <f aca="false" ca="false" dt2D="false" dtr="false" t="normal">MID(I655, 4, 1)</f>
        <v>0</v>
      </c>
      <c r="U658" s="137" t="n">
        <f aca="false" ca="false" dt2D="false" dtr="false" t="normal">T658</f>
        <v>0</v>
      </c>
      <c r="V658" s="120" t="s">
        <v>197</v>
      </c>
      <c r="W658" s="139" t="s">
        <v>2476</v>
      </c>
      <c r="X658" s="136" t="n">
        <f aca="false" ca="false" dt2D="false" dtr="false" t="normal">MID(J655, 4, 1)</f>
        <v>0</v>
      </c>
      <c r="Y658" s="137" t="n">
        <f aca="false" ca="false" dt2D="false" dtr="false" t="normal">X658</f>
        <v>0</v>
      </c>
      <c r="Z658" s="120" t="s">
        <v>197</v>
      </c>
      <c r="AA658" s="139" t="s">
        <v>2477</v>
      </c>
      <c r="AB658" s="6537" t="s"/>
      <c r="AC658" s="142" t="s"/>
      <c r="AD658" s="142" t="s"/>
      <c r="AE658" s="6538" t="s"/>
      <c r="AF658" s="6539" t="s"/>
      <c r="AG658" s="142" t="s"/>
      <c r="AH658" s="142" t="s"/>
      <c r="AI658" s="6540" t="s"/>
      <c r="AJ658" s="6541" t="s"/>
      <c r="AK658" s="6542" t="s"/>
      <c r="AL658" s="6543" t="s"/>
    </row>
    <row hidden="false" ht="15.75" outlineLevel="0" r="659">
      <c r="C659" s="98" t="s">
        <v>176</v>
      </c>
      <c r="D659" s="159" t="str">
        <f aca="false" ca="false" dt2D="false" dtr="false" t="normal">D654</f>
        <v/>
      </c>
      <c r="E659" s="160" t="str">
        <f aca="false" ca="false" dt2D="false" dtr="false" t="normal">E654</f>
        <v/>
      </c>
      <c r="F659" s="160" t="str">
        <f aca="false" ca="false" dt2D="false" dtr="false" t="normal">F654</f>
        <v/>
      </c>
      <c r="G659" s="161" t="str">
        <f aca="false" ca="false" dt2D="false" dtr="false" t="normal">G654</f>
        <v/>
      </c>
      <c r="H659" s="162" t="str">
        <f aca="false" ca="false" dt2D="false" dtr="false" t="normal">IF(J412="", "", BIN2HEX(H660, 2))</f>
        <v/>
      </c>
      <c r="I659" s="163" t="str">
        <f aca="false" ca="false" dt2D="false" dtr="false" t="normal">IF(J412="", "", BIN2HEX(I660, 2))</f>
        <v/>
      </c>
      <c r="J659" s="164" t="str">
        <f aca="false" ca="false" dt2D="false" dtr="false" t="normal">IF(J412="", "", BIN2HEX(J660, 2))</f>
        <v/>
      </c>
      <c r="K659" s="1916" t="str">
        <f aca="false" ca="false" dt2D="false" dtr="false" t="normal">K654</f>
        <v/>
      </c>
      <c r="L659" s="1917" t="str">
        <f aca="false" ca="false" dt2D="false" dtr="false" t="normal">L654</f>
        <v/>
      </c>
      <c r="M659" s="166" t="str">
        <f aca="false" ca="false" dt2D="false" dtr="false" t="normal">IF(J412="", "", IF(LEN(M660)&gt;2, MID(M660, 2, 2), M660))</f>
        <v/>
      </c>
      <c r="N659" s="63" t="s">
        <v>181</v>
      </c>
      <c r="P659" s="136" t="n">
        <f aca="false" ca="false" dt2D="false" dtr="false" t="normal">MID(H655, 5, 1)</f>
        <v>0</v>
      </c>
      <c r="Q659" s="137" t="n">
        <f aca="false" ca="false" dt2D="false" dtr="false" t="normal">P659</f>
        <v>0</v>
      </c>
      <c r="R659" s="120" t="s">
        <v>200</v>
      </c>
      <c r="S659" s="139" t="s">
        <v>2478</v>
      </c>
      <c r="T659" s="136" t="n">
        <f aca="false" ca="false" dt2D="false" dtr="false" t="normal">MID(I655, 5, 1)</f>
        <v>0</v>
      </c>
      <c r="U659" s="137" t="n">
        <f aca="false" ca="false" dt2D="false" dtr="false" t="normal">T659</f>
        <v>0</v>
      </c>
      <c r="V659" s="120" t="s">
        <v>200</v>
      </c>
      <c r="W659" s="139" t="s">
        <v>2479</v>
      </c>
      <c r="X659" s="136" t="n">
        <f aca="false" ca="false" dt2D="false" dtr="false" t="normal">MID(J655, 5, 1)</f>
        <v>0</v>
      </c>
      <c r="Y659" s="137" t="n">
        <f aca="false" ca="false" dt2D="false" dtr="false" t="normal">X659</f>
        <v>0</v>
      </c>
      <c r="Z659" s="120" t="s">
        <v>200</v>
      </c>
      <c r="AA659" s="139" t="s">
        <v>2480</v>
      </c>
      <c r="AB659" s="6544" t="s"/>
      <c r="AC659" s="142" t="s"/>
      <c r="AD659" s="142" t="s"/>
      <c r="AE659" s="6545" t="s"/>
      <c r="AF659" s="6546" t="s"/>
      <c r="AG659" s="142" t="s"/>
      <c r="AH659" s="142" t="s"/>
      <c r="AI659" s="6547" t="s"/>
      <c r="AJ659" s="6548" t="s"/>
      <c r="AK659" s="6549" t="s"/>
      <c r="AL659" s="6550" t="s"/>
    </row>
    <row hidden="false" ht="15" outlineLevel="0" r="660">
      <c r="C660" s="98" t="s">
        <v>185</v>
      </c>
      <c r="D660" s="53" t="n">
        <f aca="false" ca="false" dt2D="false" dtr="false" t="normal">HEX2BIN(D659, 8)</f>
        <v>0</v>
      </c>
      <c r="E660" s="53" t="n">
        <f aca="false" ca="false" dt2D="false" dtr="false" t="normal">HEX2BIN(E659, 8)</f>
        <v>0</v>
      </c>
      <c r="F660" s="53" t="n">
        <f aca="false" ca="false" dt2D="false" dtr="false" t="normal">HEX2BIN(F659, 8)</f>
        <v>0</v>
      </c>
      <c r="G660" s="53" t="n">
        <f aca="false" ca="false" dt2D="false" dtr="false" t="normal">HEX2BIN(G659, 8)</f>
        <v>0</v>
      </c>
      <c r="H660" s="171" t="n">
        <f aca="false" ca="false" dt2D="false" dtr="false" t="normal">Q655&amp;Q656&amp;Q657&amp;Q658&amp;Q659&amp;Q660&amp;Q661&amp;Q662</f>
        <v>0</v>
      </c>
      <c r="I660" s="53" t="n">
        <f aca="false" ca="false" dt2D="false" dtr="false" t="normal">U655&amp;U656&amp;U657&amp;U658&amp;U659&amp;U660&amp;U661&amp;U662</f>
        <v>0</v>
      </c>
      <c r="J660" s="171" t="n">
        <f aca="false" ca="false" dt2D="false" dtr="false" t="normal">Y655&amp;Y656&amp;Y657&amp;Y658&amp;Y659&amp;Y660&amp;Y661&amp;Y662</f>
        <v>0</v>
      </c>
      <c r="K660" s="171" t="n"/>
      <c r="L660" s="53" t="n"/>
      <c r="M660" s="53" t="n">
        <f aca="false" ca="false" dt2D="false" dtr="false" t="normal">DEC2HEX(M661)</f>
        <v>0</v>
      </c>
      <c r="N660" s="63" t="n"/>
      <c r="P660" s="136" t="n">
        <f aca="false" ca="false" dt2D="false" dtr="false" t="normal">MID(H655, 6, 1)</f>
        <v>0</v>
      </c>
      <c r="Q660" s="137" t="n">
        <f aca="false" ca="false" dt2D="false" dtr="false" t="normal">P660</f>
        <v>0</v>
      </c>
      <c r="R660" s="120" t="s">
        <v>203</v>
      </c>
      <c r="S660" s="139" t="s">
        <v>2481</v>
      </c>
      <c r="T660" s="136" t="n">
        <f aca="false" ca="false" dt2D="false" dtr="false" t="normal">MID(I655, 6, 1)</f>
        <v>0</v>
      </c>
      <c r="U660" s="137" t="n">
        <f aca="false" ca="false" dt2D="false" dtr="false" t="normal">T660</f>
        <v>0</v>
      </c>
      <c r="V660" s="120" t="s">
        <v>203</v>
      </c>
      <c r="W660" s="139" t="s">
        <v>2482</v>
      </c>
      <c r="X660" s="136" t="n">
        <f aca="false" ca="false" dt2D="false" dtr="false" t="normal">MID(J655, 6, 1)</f>
        <v>0</v>
      </c>
      <c r="Y660" s="137" t="n">
        <f aca="false" ca="false" dt2D="false" dtr="false" t="normal">X660</f>
        <v>0</v>
      </c>
      <c r="Z660" s="120" t="s">
        <v>203</v>
      </c>
      <c r="AA660" s="139" t="s">
        <v>2483</v>
      </c>
      <c r="AB660" s="6551" t="s"/>
      <c r="AC660" s="142" t="s"/>
      <c r="AD660" s="142" t="s"/>
      <c r="AE660" s="6552" t="s"/>
      <c r="AF660" s="6553" t="s"/>
      <c r="AG660" s="142" t="s"/>
      <c r="AH660" s="142" t="s"/>
      <c r="AI660" s="6554" t="s"/>
      <c r="AJ660" s="6555" t="s"/>
      <c r="AK660" s="6556" t="s"/>
      <c r="AL660" s="6557" t="s"/>
    </row>
    <row hidden="false" ht="15" outlineLevel="0" r="661">
      <c r="C661" s="98" t="s">
        <v>191</v>
      </c>
      <c r="D661" s="53" t="n">
        <f aca="false" ca="false" dt2D="false" dtr="false" t="normal">HEX2DEC(D659)</f>
        <v>0</v>
      </c>
      <c r="E661" s="53" t="n">
        <f aca="false" ca="false" dt2D="false" dtr="false" t="normal">HEX2DEC(E659)</f>
        <v>0</v>
      </c>
      <c r="F661" s="53" t="n">
        <f aca="false" ca="false" dt2D="false" dtr="false" t="normal">HEX2DEC(F659)</f>
        <v>0</v>
      </c>
      <c r="G661" s="53" t="n">
        <f aca="false" ca="false" dt2D="false" dtr="false" t="normal">HEX2DEC(G659)</f>
        <v>0</v>
      </c>
      <c r="H661" s="53" t="n">
        <f aca="false" ca="false" dt2D="false" dtr="false" t="normal">HEX2DEC(H659)</f>
        <v>0</v>
      </c>
      <c r="I661" s="53" t="n">
        <f aca="false" ca="false" dt2D="false" dtr="false" t="normal">HEX2DEC(I659)</f>
        <v>0</v>
      </c>
      <c r="J661" s="53" t="n">
        <f aca="false" ca="false" dt2D="false" dtr="false" t="normal">HEX2DEC(J659)</f>
        <v>0</v>
      </c>
      <c r="K661" s="53" t="n">
        <f aca="false" ca="false" dt2D="false" dtr="false" t="normal">HEX2DEC(K659)</f>
        <v>0</v>
      </c>
      <c r="L661" s="53" t="n">
        <f aca="false" ca="false" dt2D="false" dtr="false" t="normal">HEX2DEC(L659)</f>
        <v>0</v>
      </c>
      <c r="M661" s="53" t="n">
        <f aca="false" ca="false" dt2D="false" dtr="false" t="normal">SUM(D661:L661)</f>
        <v>0</v>
      </c>
      <c r="N661" s="63" t="n"/>
      <c r="P661" s="136" t="n">
        <f aca="false" ca="false" dt2D="false" dtr="false" t="normal">MID(H655, 7, 1)</f>
        <v>0</v>
      </c>
      <c r="Q661" s="137" t="n">
        <f aca="false" ca="false" dt2D="false" dtr="false" t="normal">P661</f>
        <v>0</v>
      </c>
      <c r="R661" s="120" t="s">
        <v>206</v>
      </c>
      <c r="S661" s="139" t="s">
        <v>2484</v>
      </c>
      <c r="T661" s="136" t="n">
        <f aca="false" ca="false" dt2D="false" dtr="false" t="normal">MID(I655, 7, 1)</f>
        <v>0</v>
      </c>
      <c r="U661" s="137" t="n">
        <f aca="false" ca="false" dt2D="false" dtr="false" t="normal">T661</f>
        <v>0</v>
      </c>
      <c r="V661" s="120" t="s">
        <v>206</v>
      </c>
      <c r="W661" s="139" t="s">
        <v>2485</v>
      </c>
      <c r="X661" s="136" t="n">
        <f aca="false" ca="false" dt2D="false" dtr="false" t="normal">MID(J655, 7, 1)</f>
        <v>0</v>
      </c>
      <c r="Y661" s="137" t="n">
        <f aca="false" ca="false" dt2D="false" dtr="false" t="normal">X661</f>
        <v>0</v>
      </c>
      <c r="Z661" s="120" t="s">
        <v>206</v>
      </c>
      <c r="AA661" s="139" t="s">
        <v>2486</v>
      </c>
      <c r="AB661" s="6558" t="s"/>
      <c r="AC661" s="142" t="s"/>
      <c r="AD661" s="142" t="s"/>
      <c r="AE661" s="6559" t="s"/>
      <c r="AF661" s="6560" t="s"/>
      <c r="AG661" s="142" t="s"/>
      <c r="AH661" s="142" t="s"/>
      <c r="AI661" s="6561" t="s"/>
      <c r="AJ661" s="6562" t="s"/>
      <c r="AK661" s="6563" t="s"/>
      <c r="AL661" s="6564" t="s"/>
    </row>
    <row hidden="false" ht="15.75" outlineLevel="0" r="662">
      <c r="C662" s="180" t="s">
        <v>194</v>
      </c>
      <c r="D662" s="299" t="str">
        <f aca="false" ca="false" dt2D="false" dtr="false" t="normal">D657</f>
        <v/>
      </c>
      <c r="E662" s="299" t="str">
        <f aca="false" ca="false" dt2D="false" dtr="false" t="normal">E657</f>
        <v/>
      </c>
      <c r="F662" s="299" t="str">
        <f aca="false" ca="false" dt2D="false" dtr="false" t="normal">F657</f>
        <v/>
      </c>
      <c r="G662" s="299" t="str">
        <f aca="false" ca="false" dt2D="false" dtr="false" t="normal">G657</f>
        <v/>
      </c>
      <c r="H662" s="45" t="n"/>
      <c r="I662" s="45" t="n"/>
      <c r="J662" s="45" t="n"/>
      <c r="K662" s="45" t="n"/>
      <c r="L662" s="45" t="n"/>
      <c r="M662" s="45" t="n"/>
      <c r="N662" s="49" t="n"/>
      <c r="P662" s="182" t="n">
        <f aca="false" ca="false" dt2D="false" dtr="false" t="normal">MID(H655, 8, 1)</f>
        <v>0</v>
      </c>
      <c r="Q662" s="183" t="n">
        <f aca="false" ca="false" dt2D="false" dtr="false" t="normal">P662</f>
        <v>0</v>
      </c>
      <c r="R662" s="184" t="s">
        <v>208</v>
      </c>
      <c r="S662" s="187" t="s">
        <v>2487</v>
      </c>
      <c r="T662" s="182" t="n">
        <f aca="false" ca="false" dt2D="false" dtr="false" t="normal">MID(I655, 8, 1)</f>
        <v>0</v>
      </c>
      <c r="U662" s="183" t="n">
        <f aca="false" ca="false" dt2D="false" dtr="false" t="normal">T662</f>
        <v>0</v>
      </c>
      <c r="V662" s="184" t="s">
        <v>208</v>
      </c>
      <c r="W662" s="187" t="s">
        <v>2488</v>
      </c>
      <c r="X662" s="182" t="n">
        <f aca="false" ca="false" dt2D="false" dtr="false" t="normal">MID(J655, 8, 1)</f>
        <v>0</v>
      </c>
      <c r="Y662" s="183" t="n">
        <f aca="false" ca="false" dt2D="false" dtr="false" t="normal">X662</f>
        <v>0</v>
      </c>
      <c r="Z662" s="184" t="s">
        <v>208</v>
      </c>
      <c r="AA662" s="187" t="s">
        <v>2489</v>
      </c>
      <c r="AB662" s="6565" t="s"/>
      <c r="AC662" s="6566" t="s"/>
      <c r="AD662" s="6567" t="s"/>
      <c r="AE662" s="6568" t="s"/>
      <c r="AF662" s="6569" t="s"/>
      <c r="AG662" s="6570" t="s"/>
      <c r="AH662" s="6571" t="s"/>
      <c r="AI662" s="6572" t="s"/>
      <c r="AJ662" s="6573" t="s"/>
      <c r="AK662" s="6574" t="s"/>
      <c r="AL662" s="6575" t="s"/>
    </row>
    <row hidden="false" ht="15.75" outlineLevel="0" r="663">
      <c r="C663" s="93" t="n"/>
      <c r="D663" s="94" t="n"/>
      <c r="E663" s="94" t="n"/>
      <c r="F663" s="94" t="n"/>
      <c r="G663" s="94" t="n"/>
      <c r="H663" s="94" t="n"/>
      <c r="I663" s="94" t="n"/>
      <c r="J663" s="94" t="n"/>
      <c r="K663" s="94" t="n"/>
      <c r="L663" s="94" t="n"/>
      <c r="M663" s="94" t="s">
        <v>161</v>
      </c>
      <c r="N663" s="60" t="n"/>
      <c r="P663" s="95" t="str">
        <f aca="false" ca="false" dt2D="false" dtr="false" t="normal">RIGHT(D665, 1)&amp;E665&amp;"-"&amp;F665&amp;"-"&amp;G665</f>
        <v>--</v>
      </c>
      <c r="Q663" s="6576" t="s"/>
      <c r="R663" s="234" t="s">
        <v>2490</v>
      </c>
      <c r="S663" s="6577" t="s"/>
      <c r="T663" s="6578" t="s"/>
      <c r="U663" s="6579" t="s"/>
      <c r="V663" s="6580" t="s"/>
      <c r="W663" s="6581" t="s"/>
      <c r="X663" s="6582" t="s"/>
      <c r="Y663" s="6583" t="s"/>
      <c r="Z663" s="6584" t="s"/>
      <c r="AA663" s="6585" t="s"/>
      <c r="AB663" s="6586" t="s"/>
      <c r="AC663" s="6587" t="s"/>
      <c r="AD663" s="6588" t="s"/>
      <c r="AE663" s="6589" t="s"/>
      <c r="AF663" s="6590" t="s"/>
      <c r="AG663" s="6591" t="s"/>
      <c r="AH663" s="6592" t="s"/>
      <c r="AI663" s="6593" t="s"/>
      <c r="AJ663" s="6594" t="s"/>
      <c r="AK663" s="6595" t="s"/>
      <c r="AL663" s="6596" t="s"/>
    </row>
    <row hidden="false" ht="15.75" outlineLevel="0" r="664">
      <c r="C664" s="98" t="n"/>
      <c r="D664" s="99" t="s">
        <v>2491</v>
      </c>
      <c r="E664" s="6597" t="s"/>
      <c r="F664" s="6598" t="s"/>
      <c r="G664" s="6599" t="s"/>
      <c r="H664" s="53" t="s">
        <v>165</v>
      </c>
      <c r="I664" s="53" t="s">
        <v>166</v>
      </c>
      <c r="J664" s="53" t="s">
        <v>167</v>
      </c>
      <c r="K664" s="53" t="s">
        <v>168</v>
      </c>
      <c r="L664" s="53" t="s">
        <v>169</v>
      </c>
      <c r="M664" s="53" t="s">
        <v>221</v>
      </c>
      <c r="N664" s="63" t="n"/>
      <c r="P664" s="103" t="s">
        <v>2492</v>
      </c>
      <c r="Q664" s="6600" t="s"/>
      <c r="R664" s="6601" t="s"/>
      <c r="S664" s="6602" t="s"/>
      <c r="T664" s="103" t="s">
        <v>2493</v>
      </c>
      <c r="U664" s="6603" t="s"/>
      <c r="V664" s="6604" t="s"/>
      <c r="W664" s="6605" t="s"/>
      <c r="X664" s="103" t="s">
        <v>2494</v>
      </c>
      <c r="Y664" s="6606" t="s"/>
      <c r="Z664" s="6607" t="s"/>
      <c r="AA664" s="6608" t="s"/>
      <c r="AB664" s="103" t="s">
        <v>2495</v>
      </c>
      <c r="AC664" s="6609" t="s"/>
      <c r="AD664" s="6610" t="s"/>
      <c r="AE664" s="6611" t="s"/>
      <c r="AF664" s="103" t="s">
        <v>2496</v>
      </c>
      <c r="AG664" s="6612" t="s"/>
      <c r="AH664" s="6613" t="s"/>
      <c r="AI664" s="6614" t="s"/>
      <c r="AJ664" s="103" t="s">
        <v>2497</v>
      </c>
      <c r="AK664" s="6615" t="s"/>
      <c r="AL664" s="6616" t="s"/>
    </row>
    <row hidden="false" ht="15.75" outlineLevel="0" r="665">
      <c r="C665" s="98" t="s">
        <v>176</v>
      </c>
      <c r="D665" s="122" t="str">
        <f aca="false" ca="false" dt2D="false" dtr="false" t="normal">IF(J412="", "", 7)</f>
        <v/>
      </c>
      <c r="E665" s="123" t="str">
        <f aca="false" ca="false" dt2D="false" dtr="false" t="normal">IF(J412="", "", 20)</f>
        <v/>
      </c>
      <c r="F665" s="123" t="str">
        <f aca="false" ca="false" dt2D="false" dtr="false" t="normal">IF(J412="", "", 4)</f>
        <v/>
      </c>
      <c r="G665" s="124" t="str">
        <f aca="false" ca="false" dt2D="false" dtr="false" t="normal">IF(J412="", "", 51)</f>
        <v/>
      </c>
      <c r="H665" s="1819" t="str">
        <f aca="false" ca="false" dt2D="false" dtr="false" ref="H665:H665" t="array">_XLFN.IFNA(MID(INDEX($A$3:$A$70, IF(ISNA(MATCH("720G4J3*", $A$3:$A$70, 0))=TRUE, MATCH("7200451*", $A$3:$A$70, 0), MATCH("720G4J3*", $A$3:$A$70, 0))), $AU$8, 2), "")</f>
        <v/>
      </c>
      <c r="I665" s="1820" t="str">
        <f aca="false" ca="false" dt2D="false" dtr="false" ref="I665:I665" t="array">_XLFN.IFNA(MID(INDEX($A$3:$A$70, IF(ISNA(MATCH("720G4J3*", $A$3:$A$70, 0))=TRUE, MATCH("7200451*", $A$3:$A$70, 0), MATCH("720G4J3*", $A$3:$A$70, 0))), $AV$8, 2), "")</f>
        <v/>
      </c>
      <c r="J665" s="164" t="str">
        <f aca="false" ca="false" dt2D="false" dtr="false" ref="J665:J665" t="array">_XLFN.IFNA(MID(INDEX($A$3:$A$70, IF(ISNA(MATCH("720G4J3*", $A$3:$A$70, 0))=TRUE, MATCH("7200451*", $A$3:$A$70, 0), MATCH("720G4J3*", $A$3:$A$70, 0))), $AW$8, 2), "")</f>
        <v/>
      </c>
      <c r="K665" s="1820" t="str">
        <f aca="false" ca="false" dt2D="false" dtr="false" ref="K665:K665" t="array">_XLFN.IFNA(MID(INDEX($A$3:$A$70, IF(ISNA(MATCH("720G4J3*", $A$3:$A$70, 0))=TRUE, MATCH("7200451*", $A$3:$A$70, 0), MATCH("720G4J3*", $A$3:$A$70, 0))), $AX$8, 2), "")</f>
        <v/>
      </c>
      <c r="L665" s="1821" t="str">
        <f aca="false" ca="false" dt2D="false" dtr="false" ref="L665:L665" t="array">_XLFN.IFNA(MID(INDEX($A$3:$A$70, IF(ISNA(MATCH("720G4J3*", $A$3:$A$70, 0))=TRUE, MATCH("7200451*", $A$3:$A$70, 0), MATCH("720G4J3*", $A$3:$A$70, 0))), $AY$8, 2), "")</f>
        <v/>
      </c>
      <c r="M665" s="218" t="str">
        <f aca="false" ca="false" dt2D="false" dtr="false" ref="M665:M665" t="array">_XLFN.IFNA(MID(INDEX($A$3:$A$70, IF(ISNA(MATCH("720G4J3*", $A$3:$A$70, 0))=TRUE, MATCH("7200451*", $A$3:$A$70, 0), MATCH("720G4J3*", $A$3:$A$70, 0))), $AZ$8, 2), "")</f>
        <v/>
      </c>
      <c r="N665" s="63" t="s">
        <v>180</v>
      </c>
      <c r="P665" s="129" t="s">
        <v>180</v>
      </c>
      <c r="Q665" s="130" t="s">
        <v>181</v>
      </c>
      <c r="R665" s="121" t="s">
        <v>182</v>
      </c>
      <c r="S665" s="131" t="n"/>
      <c r="T665" s="129" t="s">
        <v>180</v>
      </c>
      <c r="U665" s="130" t="s">
        <v>181</v>
      </c>
      <c r="V665" s="121" t="s">
        <v>182</v>
      </c>
      <c r="W665" s="131" t="n"/>
      <c r="X665" s="129" t="s">
        <v>180</v>
      </c>
      <c r="Y665" s="130" t="s">
        <v>181</v>
      </c>
      <c r="Z665" s="121" t="s">
        <v>182</v>
      </c>
      <c r="AA665" s="131" t="n"/>
      <c r="AB665" s="129" t="s">
        <v>180</v>
      </c>
      <c r="AC665" s="130" t="s">
        <v>181</v>
      </c>
      <c r="AD665" s="121" t="s">
        <v>182</v>
      </c>
      <c r="AE665" s="131" t="n"/>
      <c r="AF665" s="129" t="s">
        <v>180</v>
      </c>
      <c r="AG665" s="130" t="s">
        <v>181</v>
      </c>
      <c r="AH665" s="121" t="s">
        <v>182</v>
      </c>
      <c r="AI665" s="121" t="n"/>
      <c r="AJ665" s="116" t="s">
        <v>183</v>
      </c>
      <c r="AK665" s="6617" t="s"/>
      <c r="AL665" s="6618" t="s"/>
    </row>
    <row hidden="false" ht="15" outlineLevel="0" r="666">
      <c r="C666" s="98" t="s">
        <v>185</v>
      </c>
      <c r="D666" s="53" t="n">
        <f aca="false" ca="false" dt2D="false" dtr="false" t="normal">HEX2BIN(D665, 8)</f>
        <v>0</v>
      </c>
      <c r="E666" s="53" t="n">
        <f aca="false" ca="false" dt2D="false" dtr="false" t="normal">HEX2BIN(E665, 8)</f>
        <v>0</v>
      </c>
      <c r="F666" s="53" t="n">
        <f aca="false" ca="false" dt2D="false" dtr="false" t="normal">HEX2BIN(F665, 8)</f>
        <v>0</v>
      </c>
      <c r="G666" s="53" t="n">
        <f aca="false" ca="false" dt2D="false" dtr="false" t="normal">HEX2BIN(G665, 8)</f>
        <v>0</v>
      </c>
      <c r="H666" s="53" t="n">
        <f aca="false" ca="false" dt2D="false" dtr="false" t="normal">HEX2BIN(H665, 8)</f>
        <v>0</v>
      </c>
      <c r="I666" s="53" t="n">
        <f aca="false" ca="false" dt2D="false" dtr="false" t="normal">HEX2BIN(I665, 8)</f>
        <v>0</v>
      </c>
      <c r="J666" s="53" t="n">
        <f aca="false" ca="false" dt2D="false" dtr="false" t="normal">HEX2BIN(J665, 8)</f>
        <v>0</v>
      </c>
      <c r="K666" s="53" t="n">
        <f aca="false" ca="false" dt2D="false" dtr="false" t="normal">HEX2BIN(K665, 8)</f>
        <v>0</v>
      </c>
      <c r="L666" s="53" t="n">
        <f aca="false" ca="false" dt2D="false" dtr="false" t="normal">HEX2BIN(L665, 8)</f>
        <v>0</v>
      </c>
      <c r="N666" s="63" t="n"/>
      <c r="P666" s="136" t="n">
        <f aca="false" ca="false" dt2D="false" dtr="false" t="normal">MID(H666, 1, 1)</f>
        <v>0</v>
      </c>
      <c r="Q666" s="137" t="n">
        <f aca="false" ca="false" dt2D="false" dtr="false" t="normal">P666</f>
        <v>0</v>
      </c>
      <c r="R666" s="120" t="s">
        <v>186</v>
      </c>
      <c r="S666" s="139" t="s">
        <v>2498</v>
      </c>
      <c r="T666" s="136" t="n">
        <f aca="false" ca="false" dt2D="false" dtr="false" t="normal">MID(I666, 1, 1)</f>
        <v>0</v>
      </c>
      <c r="U666" s="137" t="n">
        <f aca="false" ca="false" dt2D="false" dtr="false" t="normal">T666</f>
        <v>0</v>
      </c>
      <c r="V666" s="120" t="s">
        <v>186</v>
      </c>
      <c r="W666" s="139" t="s">
        <v>2499</v>
      </c>
      <c r="X666" s="136" t="n">
        <f aca="false" ca="false" dt2D="false" dtr="false" t="normal">MID(J666, 1, 1)</f>
        <v>0</v>
      </c>
      <c r="Y666" s="137" t="n">
        <f aca="false" ca="false" dt2D="false" dtr="false" t="normal">X666</f>
        <v>0</v>
      </c>
      <c r="Z666" s="120" t="s">
        <v>186</v>
      </c>
      <c r="AA666" s="139" t="s">
        <v>2500</v>
      </c>
      <c r="AB666" s="136" t="n">
        <f aca="false" ca="false" dt2D="false" dtr="false" t="normal">MID(K666, 1, 1)</f>
        <v>0</v>
      </c>
      <c r="AC666" s="137" t="n">
        <f aca="false" ca="false" dt2D="false" dtr="false" t="normal">AB666</f>
        <v>0</v>
      </c>
      <c r="AD666" s="120" t="s">
        <v>186</v>
      </c>
      <c r="AE666" s="139" t="s">
        <v>2501</v>
      </c>
      <c r="AF666" s="136" t="n">
        <f aca="false" ca="false" dt2D="false" dtr="false" t="normal">MID(L666, 1, 1)</f>
        <v>0</v>
      </c>
      <c r="AG666" s="137" t="n">
        <f aca="false" ca="false" dt2D="false" dtr="false" t="normal">AF666</f>
        <v>0</v>
      </c>
      <c r="AH666" s="120" t="s">
        <v>186</v>
      </c>
      <c r="AI666" s="139" t="s">
        <v>2502</v>
      </c>
      <c r="AJ666" s="6619" t="s"/>
      <c r="AK666" s="6620" t="s"/>
      <c r="AL666" s="6621" t="s"/>
    </row>
    <row hidden="false" ht="15" outlineLevel="0" r="667">
      <c r="C667" s="98" t="s">
        <v>191</v>
      </c>
      <c r="D667" s="53" t="n">
        <f aca="false" ca="false" dt2D="false" dtr="false" t="normal">HEX2DEC(D665)</f>
        <v>0</v>
      </c>
      <c r="E667" s="53" t="n">
        <f aca="false" ca="false" dt2D="false" dtr="false" t="normal">HEX2DEC(E665)</f>
        <v>0</v>
      </c>
      <c r="F667" s="53" t="n">
        <f aca="false" ca="false" dt2D="false" dtr="false" t="normal">HEX2DEC(F665)</f>
        <v>0</v>
      </c>
      <c r="G667" s="53" t="n">
        <f aca="false" ca="false" dt2D="false" dtr="false" t="normal">HEX2DEC(G665)</f>
        <v>0</v>
      </c>
      <c r="H667" s="53" t="n">
        <f aca="false" ca="false" dt2D="false" dtr="false" t="normal">HEX2DEC(H665)</f>
        <v>0</v>
      </c>
      <c r="I667" s="53" t="n">
        <f aca="false" ca="false" dt2D="false" dtr="false" t="normal">HEX2DEC(I665)</f>
        <v>0</v>
      </c>
      <c r="J667" s="53" t="n">
        <f aca="false" ca="false" dt2D="false" dtr="false" t="normal">HEX2DEC(J665)</f>
        <v>0</v>
      </c>
      <c r="K667" s="53" t="n">
        <f aca="false" ca="false" dt2D="false" dtr="false" t="normal">HEX2DEC(K665)</f>
        <v>0</v>
      </c>
      <c r="L667" s="53" t="n">
        <f aca="false" ca="false" dt2D="false" dtr="false" t="normal">HEX2DEC(L665)</f>
        <v>0</v>
      </c>
      <c r="M667" s="53" t="n">
        <f aca="false" ca="false" dt2D="false" dtr="false" t="normal">SUM(D667:L667)</f>
        <v>0</v>
      </c>
      <c r="N667" s="63" t="n"/>
      <c r="P667" s="136" t="n">
        <f aca="false" ca="false" dt2D="false" dtr="false" t="normal">MID(H666, 2, 1)</f>
        <v>0</v>
      </c>
      <c r="Q667" s="137" t="n">
        <f aca="false" ca="false" dt2D="false" dtr="false" t="normal">P667</f>
        <v>0</v>
      </c>
      <c r="R667" s="120" t="s">
        <v>192</v>
      </c>
      <c r="S667" s="139" t="s">
        <v>2503</v>
      </c>
      <c r="T667" s="136" t="n">
        <f aca="false" ca="false" dt2D="false" dtr="false" t="normal">MID(I666, 2, 1)</f>
        <v>0</v>
      </c>
      <c r="U667" s="137" t="n">
        <f aca="false" ca="false" dt2D="false" dtr="false" t="normal">T667</f>
        <v>0</v>
      </c>
      <c r="V667" s="120" t="s">
        <v>192</v>
      </c>
      <c r="W667" s="139" t="s">
        <v>2504</v>
      </c>
      <c r="X667" s="136" t="n">
        <f aca="false" ca="false" dt2D="false" dtr="false" t="normal">MID(J666, 2, 1)</f>
        <v>0</v>
      </c>
      <c r="Y667" s="137" t="n">
        <f aca="false" ca="false" dt2D="false" dtr="false" t="normal">X667</f>
        <v>0</v>
      </c>
      <c r="Z667" s="120" t="s">
        <v>192</v>
      </c>
      <c r="AA667" s="139" t="s">
        <v>2505</v>
      </c>
      <c r="AB667" s="136" t="n">
        <f aca="false" ca="false" dt2D="false" dtr="false" t="normal">MID(K666, 2, 1)</f>
        <v>0</v>
      </c>
      <c r="AC667" s="137" t="n">
        <f aca="false" ca="false" dt2D="false" dtr="false" t="normal">AB667</f>
        <v>0</v>
      </c>
      <c r="AD667" s="120" t="s">
        <v>192</v>
      </c>
      <c r="AE667" s="139" t="s">
        <v>2506</v>
      </c>
      <c r="AF667" s="136" t="n">
        <f aca="false" ca="false" dt2D="false" dtr="false" t="normal">MID(L666, 2, 1)</f>
        <v>0</v>
      </c>
      <c r="AG667" s="137" t="n">
        <f aca="false" ca="false" dt2D="false" dtr="false" t="normal">AF667</f>
        <v>0</v>
      </c>
      <c r="AH667" s="120" t="s">
        <v>192</v>
      </c>
      <c r="AI667" s="139" t="s">
        <v>2326</v>
      </c>
      <c r="AJ667" s="6622" t="s"/>
      <c r="AK667" s="6623" t="s"/>
      <c r="AL667" s="6624" t="s"/>
    </row>
    <row hidden="false" ht="15" outlineLevel="0" r="668">
      <c r="C668" s="98" t="s">
        <v>194</v>
      </c>
      <c r="D668" s="149" t="str">
        <f aca="false" ca="false" dt2D="false" dtr="false" t="normal">D665</f>
        <v/>
      </c>
      <c r="E668" s="149" t="str">
        <f aca="false" ca="false" dt2D="false" dtr="false" t="normal">E665</f>
        <v/>
      </c>
      <c r="F668" s="53" t="str">
        <f aca="false" ca="false" dt2D="false" dtr="false" t="normal">_XLFN.IFNA(MID(INDEX($A$3:$A$70, IF(ISNA(MATCH("720G4J3*", $A$3:$A$70, 0))=TRUE, MATCH("7200451*", $A$3:$A$70, 0), MATCH("720G4J3*", $A$3:$A$70, 0))), $AS$8, 2), "")</f>
        <v/>
      </c>
      <c r="G668" s="53" t="str">
        <f aca="false" ca="false" dt2D="false" dtr="false" t="normal">_XLFN.IFNA(MID(INDEX($A$3:$A$70, IF(ISNA(MATCH("720G4J3*", $A$3:$A$70, 0))=TRUE, MATCH("7200451*", $A$3:$A$70, 0), MATCH("720G4J3*", $A$3:$A$70, 0))), $AT$8, 2), "")</f>
        <v/>
      </c>
      <c r="N668" s="63" t="n"/>
      <c r="P668" s="136" t="n">
        <f aca="false" ca="false" dt2D="false" dtr="false" t="normal">MID(H666, 3, 1)</f>
        <v>0</v>
      </c>
      <c r="Q668" s="137" t="n">
        <f aca="false" ca="false" dt2D="false" dtr="false" t="normal">P668</f>
        <v>0</v>
      </c>
      <c r="R668" s="120" t="s">
        <v>195</v>
      </c>
      <c r="S668" s="139" t="s">
        <v>2507</v>
      </c>
      <c r="T668" s="136" t="n">
        <f aca="false" ca="false" dt2D="false" dtr="false" t="normal">MID(I666, 3, 1)</f>
        <v>0</v>
      </c>
      <c r="U668" s="137" t="n">
        <f aca="false" ca="false" dt2D="false" dtr="false" t="normal">T668</f>
        <v>0</v>
      </c>
      <c r="V668" s="120" t="s">
        <v>195</v>
      </c>
      <c r="W668" s="139" t="s">
        <v>2508</v>
      </c>
      <c r="X668" s="136" t="n">
        <f aca="false" ca="false" dt2D="false" dtr="false" t="normal">MID(J666, 3, 1)</f>
        <v>0</v>
      </c>
      <c r="Y668" s="137" t="n">
        <f aca="false" ca="false" dt2D="false" dtr="false" t="normal">X668</f>
        <v>0</v>
      </c>
      <c r="Z668" s="120" t="s">
        <v>195</v>
      </c>
      <c r="AA668" s="139" t="s">
        <v>2509</v>
      </c>
      <c r="AB668" s="136" t="n">
        <f aca="false" ca="false" dt2D="false" dtr="false" t="normal">MID(K666, 3, 1)</f>
        <v>0</v>
      </c>
      <c r="AC668" s="137" t="n">
        <f aca="false" ca="false" dt2D="false" dtr="false" t="normal">AB668</f>
        <v>0</v>
      </c>
      <c r="AD668" s="120" t="s">
        <v>195</v>
      </c>
      <c r="AE668" s="139" t="s">
        <v>2510</v>
      </c>
      <c r="AF668" s="136" t="n">
        <f aca="false" ca="false" dt2D="false" dtr="false" t="normal">MID(L666, 3, 1)</f>
        <v>0</v>
      </c>
      <c r="AG668" s="137" t="n">
        <f aca="false" ca="false" dt2D="false" dtr="false" t="normal">AF668</f>
        <v>0</v>
      </c>
      <c r="AH668" s="120" t="s">
        <v>195</v>
      </c>
      <c r="AI668" s="139" t="s">
        <v>2511</v>
      </c>
      <c r="AJ668" s="6625" t="s"/>
      <c r="AK668" s="6626" t="s"/>
      <c r="AL668" s="6627" t="s"/>
    </row>
    <row hidden="false" ht="15.75" outlineLevel="0" r="669">
      <c r="C669" s="98" t="n"/>
      <c r="N669" s="63" t="n"/>
      <c r="P669" s="136" t="n">
        <f aca="false" ca="false" dt2D="false" dtr="false" t="normal">MID(H666, 4, 1)</f>
        <v>0</v>
      </c>
      <c r="Q669" s="137" t="n">
        <f aca="false" ca="false" dt2D="false" dtr="false" t="normal">P669</f>
        <v>0</v>
      </c>
      <c r="R669" s="120" t="s">
        <v>197</v>
      </c>
      <c r="S669" s="139" t="s">
        <v>2512</v>
      </c>
      <c r="T669" s="136" t="n">
        <f aca="false" ca="false" dt2D="false" dtr="false" t="normal">MID(I666, 4, 1)</f>
        <v>0</v>
      </c>
      <c r="U669" s="137" t="n">
        <f aca="false" ca="false" dt2D="false" dtr="false" t="normal">T669</f>
        <v>0</v>
      </c>
      <c r="V669" s="120" t="s">
        <v>197</v>
      </c>
      <c r="W669" s="139" t="s">
        <v>2513</v>
      </c>
      <c r="X669" s="136" t="n">
        <f aca="false" ca="false" dt2D="false" dtr="false" t="normal">MID(J666, 4, 1)</f>
        <v>0</v>
      </c>
      <c r="Y669" s="137" t="n">
        <f aca="false" ca="false" dt2D="false" dtr="false" t="normal">X669</f>
        <v>0</v>
      </c>
      <c r="Z669" s="120" t="s">
        <v>197</v>
      </c>
      <c r="AA669" s="139" t="s">
        <v>2514</v>
      </c>
      <c r="AB669" s="136" t="n">
        <f aca="false" ca="false" dt2D="false" dtr="false" t="normal">MID(K666, 4, 1)</f>
        <v>0</v>
      </c>
      <c r="AC669" s="137" t="n">
        <f aca="false" ca="false" dt2D="false" dtr="false" t="normal">AB669</f>
        <v>0</v>
      </c>
      <c r="AD669" s="120" t="s">
        <v>197</v>
      </c>
      <c r="AE669" s="139" t="s">
        <v>2515</v>
      </c>
      <c r="AF669" s="136" t="n">
        <f aca="false" ca="false" dt2D="false" dtr="false" t="normal">MID(L666, 4, 1)</f>
        <v>0</v>
      </c>
      <c r="AG669" s="137" t="n">
        <f aca="false" ca="false" dt2D="false" dtr="false" t="normal">AF669</f>
        <v>0</v>
      </c>
      <c r="AH669" s="120" t="s">
        <v>197</v>
      </c>
      <c r="AI669" s="139" t="s">
        <v>2516</v>
      </c>
      <c r="AJ669" s="6628" t="s"/>
      <c r="AK669" s="6629" t="s"/>
      <c r="AL669" s="6630" t="s"/>
    </row>
    <row hidden="false" ht="15.75" outlineLevel="0" r="670">
      <c r="C670" s="98" t="s">
        <v>176</v>
      </c>
      <c r="D670" s="159" t="str">
        <f aca="false" ca="false" dt2D="false" dtr="false" t="normal">D665</f>
        <v/>
      </c>
      <c r="E670" s="160" t="str">
        <f aca="false" ca="false" dt2D="false" dtr="false" t="normal">E665</f>
        <v/>
      </c>
      <c r="F670" s="160" t="str">
        <f aca="false" ca="false" dt2D="false" dtr="false" t="normal">F665</f>
        <v/>
      </c>
      <c r="G670" s="161" t="str">
        <f aca="false" ca="false" dt2D="false" dtr="false" t="normal">G665</f>
        <v/>
      </c>
      <c r="H670" s="162" t="str">
        <f aca="false" ca="false" dt2D="false" dtr="false" t="normal">IF(J412="", "", BIN2HEX(H671, 2))</f>
        <v/>
      </c>
      <c r="I670" s="163" t="str">
        <f aca="false" ca="false" dt2D="false" dtr="false" t="normal">IF(J412="", "", BIN2HEX(I671, 2))</f>
        <v/>
      </c>
      <c r="J670" s="164" t="str">
        <f aca="false" ca="false" dt2D="false" dtr="false" t="normal">IF(J412="", "", BIN2HEX(J671, 2))</f>
        <v/>
      </c>
      <c r="K670" s="165" t="str">
        <f aca="false" ca="false" dt2D="false" dtr="false" t="normal">IF(J412="", "", BIN2HEX(K671, 2))</f>
        <v/>
      </c>
      <c r="L670" s="288" t="str">
        <f aca="false" ca="false" dt2D="false" dtr="false" t="normal">IF(J412="", "", BIN2HEX(L671, 2))</f>
        <v/>
      </c>
      <c r="M670" s="166" t="str">
        <f aca="false" ca="false" dt2D="false" dtr="false" t="normal">IF(J412="", "", IF(LEN(M671)&gt;2, MID(M671, 2, 2), M671))</f>
        <v/>
      </c>
      <c r="N670" s="63" t="s">
        <v>181</v>
      </c>
      <c r="P670" s="136" t="n">
        <f aca="false" ca="false" dt2D="false" dtr="false" t="normal">MID(H666, 5, 1)</f>
        <v>0</v>
      </c>
      <c r="Q670" s="137" t="n">
        <f aca="false" ca="false" dt2D="false" dtr="false" t="normal">P670</f>
        <v>0</v>
      </c>
      <c r="R670" s="120" t="s">
        <v>200</v>
      </c>
      <c r="S670" s="139" t="s">
        <v>2517</v>
      </c>
      <c r="T670" s="136" t="n">
        <f aca="false" ca="false" dt2D="false" dtr="false" t="normal">MID(I666, 5, 1)</f>
        <v>0</v>
      </c>
      <c r="U670" s="137" t="n">
        <f aca="false" ca="false" dt2D="false" dtr="false" t="normal">T670</f>
        <v>0</v>
      </c>
      <c r="V670" s="120" t="s">
        <v>200</v>
      </c>
      <c r="W670" s="139" t="s">
        <v>2518</v>
      </c>
      <c r="X670" s="136" t="n">
        <f aca="false" ca="false" dt2D="false" dtr="false" t="normal">MID(J666, 5, 1)</f>
        <v>0</v>
      </c>
      <c r="Y670" s="137" t="n">
        <f aca="false" ca="false" dt2D="false" dtr="false" t="normal">X670</f>
        <v>0</v>
      </c>
      <c r="Z670" s="120" t="s">
        <v>200</v>
      </c>
      <c r="AA670" s="139" t="s">
        <v>2519</v>
      </c>
      <c r="AB670" s="136" t="n">
        <f aca="false" ca="false" dt2D="false" dtr="false" t="normal">MID(K666, 5, 1)</f>
        <v>0</v>
      </c>
      <c r="AC670" s="137" t="n">
        <f aca="false" ca="false" dt2D="false" dtr="false" t="normal">AB670</f>
        <v>0</v>
      </c>
      <c r="AD670" s="120" t="s">
        <v>200</v>
      </c>
      <c r="AE670" s="139" t="s">
        <v>2520</v>
      </c>
      <c r="AF670" s="136" t="n">
        <f aca="false" ca="false" dt2D="false" dtr="false" t="normal">MID(L666, 5, 1)</f>
        <v>0</v>
      </c>
      <c r="AG670" s="137" t="n">
        <f aca="false" ca="false" dt2D="false" dtr="false" t="normal">AF670</f>
        <v>0</v>
      </c>
      <c r="AH670" s="120" t="s">
        <v>200</v>
      </c>
      <c r="AI670" s="139" t="s">
        <v>2521</v>
      </c>
      <c r="AJ670" s="6631" t="s"/>
      <c r="AK670" s="6632" t="s"/>
      <c r="AL670" s="6633" t="s"/>
    </row>
    <row hidden="false" ht="15" outlineLevel="0" r="671">
      <c r="C671" s="98" t="s">
        <v>185</v>
      </c>
      <c r="D671" s="53" t="n">
        <f aca="false" ca="false" dt2D="false" dtr="false" t="normal">HEX2BIN(D670, 8)</f>
        <v>0</v>
      </c>
      <c r="E671" s="53" t="n">
        <f aca="false" ca="false" dt2D="false" dtr="false" t="normal">HEX2BIN(E670, 8)</f>
        <v>0</v>
      </c>
      <c r="F671" s="53" t="n">
        <f aca="false" ca="false" dt2D="false" dtr="false" t="normal">HEX2BIN(F670, 8)</f>
        <v>0</v>
      </c>
      <c r="G671" s="53" t="n">
        <f aca="false" ca="false" dt2D="false" dtr="false" t="normal">HEX2BIN(G670, 8)</f>
        <v>0</v>
      </c>
      <c r="H671" s="171" t="n">
        <f aca="false" ca="false" dt2D="false" dtr="false" t="normal">Q666&amp;Q667&amp;Q668&amp;Q669&amp;Q670&amp;Q671&amp;Q672&amp;Q673</f>
        <v>0</v>
      </c>
      <c r="I671" s="53" t="n">
        <f aca="false" ca="false" dt2D="false" dtr="false" t="normal">U666&amp;U667&amp;U668&amp;U669&amp;U670&amp;U671&amp;U672&amp;U673</f>
        <v>0</v>
      </c>
      <c r="J671" s="171" t="n">
        <f aca="false" ca="false" dt2D="false" dtr="false" t="normal">Y666&amp;Y667&amp;Y668&amp;Y669&amp;Y670&amp;Y671&amp;Y672&amp;Y673</f>
        <v>0</v>
      </c>
      <c r="K671" s="171" t="n">
        <f aca="false" ca="false" dt2D="false" dtr="false" t="normal">AC666&amp;AC667&amp;AC668&amp;AC669&amp;AC670&amp;AC671&amp;AC672&amp;AC673</f>
        <v>0</v>
      </c>
      <c r="L671" s="53" t="n">
        <f aca="false" ca="false" dt2D="false" dtr="false" t="normal">AG666&amp;AG667&amp;AG668&amp;AG669&amp;AG670&amp;AG671&amp;AG672&amp;AG673</f>
        <v>0</v>
      </c>
      <c r="M671" s="53" t="n">
        <f aca="false" ca="false" dt2D="false" dtr="false" t="normal">DEC2HEX(M672)</f>
        <v>0</v>
      </c>
      <c r="N671" s="63" t="n"/>
      <c r="P671" s="136" t="n">
        <f aca="false" ca="false" dt2D="false" dtr="false" t="normal">MID(H666, 6, 1)</f>
        <v>0</v>
      </c>
      <c r="Q671" s="137" t="n">
        <f aca="false" ca="false" dt2D="false" dtr="false" t="normal">P671</f>
        <v>0</v>
      </c>
      <c r="R671" s="120" t="s">
        <v>203</v>
      </c>
      <c r="S671" s="139" t="s">
        <v>2522</v>
      </c>
      <c r="T671" s="136" t="n">
        <f aca="false" ca="false" dt2D="false" dtr="false" t="normal">MID(I666, 6, 1)</f>
        <v>0</v>
      </c>
      <c r="U671" s="137" t="n">
        <f aca="false" ca="false" dt2D="false" dtr="false" t="normal">T671</f>
        <v>0</v>
      </c>
      <c r="V671" s="120" t="s">
        <v>203</v>
      </c>
      <c r="W671" s="139" t="s">
        <v>2523</v>
      </c>
      <c r="X671" s="136" t="n">
        <f aca="false" ca="false" dt2D="false" dtr="false" t="normal">MID(J666, 6, 1)</f>
        <v>0</v>
      </c>
      <c r="Y671" s="137" t="n">
        <f aca="false" ca="false" dt2D="false" dtr="false" t="normal">X671</f>
        <v>0</v>
      </c>
      <c r="Z671" s="120" t="s">
        <v>203</v>
      </c>
      <c r="AA671" s="139" t="s">
        <v>2524</v>
      </c>
      <c r="AB671" s="136" t="n">
        <f aca="false" ca="false" dt2D="false" dtr="false" t="normal">MID(K666, 6, 1)</f>
        <v>0</v>
      </c>
      <c r="AC671" s="137" t="n">
        <f aca="false" ca="false" dt2D="false" dtr="false" t="normal">AB671</f>
        <v>0</v>
      </c>
      <c r="AD671" s="120" t="s">
        <v>203</v>
      </c>
      <c r="AE671" s="139" t="s">
        <v>2525</v>
      </c>
      <c r="AF671" s="136" t="n">
        <f aca="false" ca="false" dt2D="false" dtr="false" t="normal">MID(L666, 6, 1)</f>
        <v>0</v>
      </c>
      <c r="AG671" s="137" t="n">
        <f aca="false" ca="false" dt2D="false" dtr="false" t="normal">AF671</f>
        <v>0</v>
      </c>
      <c r="AH671" s="120" t="s">
        <v>203</v>
      </c>
      <c r="AI671" s="139" t="s">
        <v>2526</v>
      </c>
      <c r="AJ671" s="6634" t="s"/>
      <c r="AK671" s="6635" t="s"/>
      <c r="AL671" s="6636" t="s"/>
    </row>
    <row hidden="false" ht="15" outlineLevel="0" r="672">
      <c r="C672" s="98" t="s">
        <v>191</v>
      </c>
      <c r="D672" s="53" t="n">
        <f aca="false" ca="false" dt2D="false" dtr="false" t="normal">HEX2DEC(D670)</f>
        <v>0</v>
      </c>
      <c r="E672" s="53" t="n">
        <f aca="false" ca="false" dt2D="false" dtr="false" t="normal">HEX2DEC(E670)</f>
        <v>0</v>
      </c>
      <c r="F672" s="53" t="n">
        <f aca="false" ca="false" dt2D="false" dtr="false" t="normal">HEX2DEC(F670)</f>
        <v>0</v>
      </c>
      <c r="G672" s="53" t="n">
        <f aca="false" ca="false" dt2D="false" dtr="false" t="normal">HEX2DEC(G670)</f>
        <v>0</v>
      </c>
      <c r="H672" s="53" t="n">
        <f aca="false" ca="false" dt2D="false" dtr="false" t="normal">HEX2DEC(H670)</f>
        <v>0</v>
      </c>
      <c r="I672" s="53" t="n">
        <f aca="false" ca="false" dt2D="false" dtr="false" t="normal">HEX2DEC(I670)</f>
        <v>0</v>
      </c>
      <c r="J672" s="53" t="n">
        <f aca="false" ca="false" dt2D="false" dtr="false" t="normal">HEX2DEC(J670)</f>
        <v>0</v>
      </c>
      <c r="K672" s="53" t="n">
        <f aca="false" ca="false" dt2D="false" dtr="false" t="normal">HEX2DEC(K670)</f>
        <v>0</v>
      </c>
      <c r="L672" s="53" t="n">
        <f aca="false" ca="false" dt2D="false" dtr="false" t="normal">HEX2DEC(L670)</f>
        <v>0</v>
      </c>
      <c r="M672" s="53" t="n">
        <f aca="false" ca="false" dt2D="false" dtr="false" t="normal">SUM(D672:L672)</f>
        <v>0</v>
      </c>
      <c r="N672" s="63" t="n"/>
      <c r="P672" s="136" t="n">
        <f aca="false" ca="false" dt2D="false" dtr="false" t="normal">MID(H666, 7, 1)</f>
        <v>0</v>
      </c>
      <c r="Q672" s="137" t="n">
        <f aca="false" ca="false" dt2D="false" dtr="false" t="normal">P672</f>
        <v>0</v>
      </c>
      <c r="R672" s="120" t="s">
        <v>206</v>
      </c>
      <c r="S672" s="139" t="s">
        <v>2527</v>
      </c>
      <c r="T672" s="136" t="n">
        <f aca="false" ca="false" dt2D="false" dtr="false" t="normal">MID(I666, 7, 1)</f>
        <v>0</v>
      </c>
      <c r="U672" s="137" t="n">
        <f aca="false" ca="false" dt2D="false" dtr="false" t="normal">T672</f>
        <v>0</v>
      </c>
      <c r="V672" s="120" t="s">
        <v>206</v>
      </c>
      <c r="W672" s="139" t="s">
        <v>2528</v>
      </c>
      <c r="X672" s="136" t="n">
        <f aca="false" ca="false" dt2D="false" dtr="false" t="normal">MID(J666, 7, 1)</f>
        <v>0</v>
      </c>
      <c r="Y672" s="137" t="n">
        <f aca="false" ca="false" dt2D="false" dtr="false" t="normal">X672</f>
        <v>0</v>
      </c>
      <c r="Z672" s="120" t="s">
        <v>206</v>
      </c>
      <c r="AA672" s="139" t="s">
        <v>2529</v>
      </c>
      <c r="AB672" s="136" t="n">
        <f aca="false" ca="false" dt2D="false" dtr="false" t="normal">MID(K666, 7, 1)</f>
        <v>0</v>
      </c>
      <c r="AC672" s="137" t="n">
        <f aca="false" ca="false" dt2D="false" dtr="false" t="normal">AB672</f>
        <v>0</v>
      </c>
      <c r="AD672" s="120" t="s">
        <v>206</v>
      </c>
      <c r="AE672" s="139" t="s">
        <v>2530</v>
      </c>
      <c r="AF672" s="136" t="n">
        <f aca="false" ca="false" dt2D="false" dtr="false" t="normal">MID(L666, 7, 1)</f>
        <v>0</v>
      </c>
      <c r="AG672" s="137" t="n">
        <f aca="false" ca="false" dt2D="false" dtr="false" t="normal">AF672</f>
        <v>0</v>
      </c>
      <c r="AH672" s="120" t="s">
        <v>206</v>
      </c>
      <c r="AI672" s="139" t="s">
        <v>2531</v>
      </c>
      <c r="AJ672" s="6637" t="s"/>
      <c r="AK672" s="6638" t="s"/>
      <c r="AL672" s="6639" t="s"/>
    </row>
    <row hidden="false" ht="15.75" outlineLevel="0" r="673">
      <c r="C673" s="180" t="s">
        <v>194</v>
      </c>
      <c r="D673" s="299" t="str">
        <f aca="false" ca="false" dt2D="false" dtr="false" t="normal">D668</f>
        <v/>
      </c>
      <c r="E673" s="299" t="str">
        <f aca="false" ca="false" dt2D="false" dtr="false" t="normal">E668</f>
        <v/>
      </c>
      <c r="F673" s="299" t="str">
        <f aca="false" ca="false" dt2D="false" dtr="false" t="normal">F668</f>
        <v/>
      </c>
      <c r="G673" s="299" t="str">
        <f aca="false" ca="false" dt2D="false" dtr="false" t="normal">G668</f>
        <v/>
      </c>
      <c r="H673" s="45" t="n"/>
      <c r="I673" s="45" t="n"/>
      <c r="J673" s="45" t="n"/>
      <c r="K673" s="45" t="n"/>
      <c r="L673" s="45" t="n"/>
      <c r="M673" s="45" t="n"/>
      <c r="N673" s="49" t="n"/>
      <c r="P673" s="182" t="n">
        <f aca="false" ca="false" dt2D="false" dtr="false" t="normal">MID(H666, 8, 1)</f>
        <v>0</v>
      </c>
      <c r="Q673" s="183" t="n">
        <f aca="false" ca="false" dt2D="false" dtr="false" t="normal">P673</f>
        <v>0</v>
      </c>
      <c r="R673" s="184" t="s">
        <v>208</v>
      </c>
      <c r="S673" s="187" t="s">
        <v>2532</v>
      </c>
      <c r="T673" s="182" t="n">
        <f aca="false" ca="false" dt2D="false" dtr="false" t="normal">MID(I666, 8, 1)</f>
        <v>0</v>
      </c>
      <c r="U673" s="183" t="n">
        <f aca="false" ca="false" dt2D="false" dtr="false" t="normal">T673</f>
        <v>0</v>
      </c>
      <c r="V673" s="184" t="s">
        <v>208</v>
      </c>
      <c r="W673" s="187" t="s">
        <v>2533</v>
      </c>
      <c r="X673" s="182" t="n">
        <f aca="false" ca="false" dt2D="false" dtr="false" t="normal">MID(J666, 8, 1)</f>
        <v>0</v>
      </c>
      <c r="Y673" s="183" t="n">
        <f aca="false" ca="false" dt2D="false" dtr="false" t="normal">X673</f>
        <v>0</v>
      </c>
      <c r="Z673" s="184" t="s">
        <v>208</v>
      </c>
      <c r="AA673" s="187" t="s">
        <v>2534</v>
      </c>
      <c r="AB673" s="182" t="n">
        <f aca="false" ca="false" dt2D="false" dtr="false" t="normal">MID(K666, 8, 1)</f>
        <v>0</v>
      </c>
      <c r="AC673" s="183" t="n">
        <f aca="false" ca="false" dt2D="false" dtr="false" t="normal">AB673</f>
        <v>0</v>
      </c>
      <c r="AD673" s="184" t="s">
        <v>208</v>
      </c>
      <c r="AE673" s="187" t="s">
        <v>2535</v>
      </c>
      <c r="AF673" s="182" t="n">
        <f aca="false" ca="false" dt2D="false" dtr="false" t="normal">MID(L666, 8, 1)</f>
        <v>0</v>
      </c>
      <c r="AG673" s="183" t="n">
        <f aca="false" ca="false" dt2D="false" dtr="false" t="normal">AF673</f>
        <v>0</v>
      </c>
      <c r="AH673" s="184" t="s">
        <v>208</v>
      </c>
      <c r="AI673" s="187" t="s">
        <v>2536</v>
      </c>
      <c r="AJ673" s="6640" t="s"/>
      <c r="AK673" s="6641" t="s"/>
      <c r="AL673" s="6642" t="s"/>
    </row>
    <row hidden="false" ht="15.75" outlineLevel="0" r="674">
      <c r="C674" s="93" t="n"/>
      <c r="D674" s="94" t="n"/>
      <c r="E674" s="94" t="n"/>
      <c r="F674" s="94" t="n"/>
      <c r="G674" s="94" t="n"/>
      <c r="H674" s="94" t="n"/>
      <c r="I674" s="94" t="n"/>
      <c r="J674" s="94" t="n"/>
      <c r="K674" s="94" t="n"/>
      <c r="L674" s="94" t="n"/>
      <c r="M674" s="94" t="s">
        <v>161</v>
      </c>
      <c r="N674" s="60" t="n"/>
      <c r="P674" s="95" t="str">
        <f aca="false" ca="false" dt2D="false" dtr="false" t="normal">RIGHT(D676, 1)&amp;E676&amp;"-"&amp;F676&amp;"-"&amp;G676</f>
        <v>--</v>
      </c>
      <c r="Q674" s="6643" t="s"/>
      <c r="R674" s="234" t="s">
        <v>2537</v>
      </c>
      <c r="S674" s="6644" t="s"/>
      <c r="T674" s="6645" t="s"/>
      <c r="U674" s="6646" t="s"/>
      <c r="V674" s="6647" t="s"/>
      <c r="W674" s="6648" t="s"/>
      <c r="X674" s="6649" t="s"/>
      <c r="Y674" s="6650" t="s"/>
      <c r="Z674" s="6651" t="s"/>
      <c r="AA674" s="6652" t="s"/>
      <c r="AB674" s="6653" t="s"/>
      <c r="AC674" s="6654" t="s"/>
      <c r="AD674" s="6655" t="s"/>
      <c r="AE674" s="6656" t="s"/>
      <c r="AF674" s="6657" t="s"/>
      <c r="AG674" s="6658" t="s"/>
      <c r="AH674" s="6659" t="s"/>
      <c r="AI674" s="6660" t="s"/>
      <c r="AJ674" s="6661" t="s"/>
      <c r="AK674" s="6662" t="s"/>
      <c r="AL674" s="6663" t="s"/>
    </row>
    <row hidden="false" ht="15.75" outlineLevel="0" r="675">
      <c r="C675" s="98" t="n"/>
      <c r="D675" s="99" t="s">
        <v>2538</v>
      </c>
      <c r="E675" s="6664" t="s"/>
      <c r="F675" s="6665" t="s"/>
      <c r="G675" s="6666" t="s"/>
      <c r="H675" s="53" t="s">
        <v>165</v>
      </c>
      <c r="I675" s="53" t="s">
        <v>166</v>
      </c>
      <c r="J675" s="53" t="s">
        <v>167</v>
      </c>
      <c r="K675" s="53" t="s">
        <v>168</v>
      </c>
      <c r="L675" s="53" t="s">
        <v>169</v>
      </c>
      <c r="M675" s="53" t="s">
        <v>221</v>
      </c>
      <c r="N675" s="63" t="n"/>
      <c r="P675" s="103" t="s">
        <v>2539</v>
      </c>
      <c r="Q675" s="6667" t="s"/>
      <c r="R675" s="6668" t="s"/>
      <c r="S675" s="6669" t="s"/>
      <c r="T675" s="103" t="s">
        <v>2540</v>
      </c>
      <c r="U675" s="6670" t="s"/>
      <c r="V675" s="6671" t="s"/>
      <c r="W675" s="6672" t="s"/>
      <c r="X675" s="103" t="s">
        <v>2541</v>
      </c>
      <c r="Y675" s="6673" t="s"/>
      <c r="Z675" s="6674" t="s"/>
      <c r="AA675" s="6675" t="s"/>
      <c r="AB675" s="103" t="s">
        <v>2542</v>
      </c>
      <c r="AC675" s="6676" t="s"/>
      <c r="AD675" s="6677" t="s"/>
      <c r="AE675" s="6678" t="s"/>
      <c r="AF675" s="103" t="s">
        <v>2543</v>
      </c>
      <c r="AG675" s="6679" t="s"/>
      <c r="AH675" s="6680" t="s"/>
      <c r="AI675" s="6681" t="s"/>
      <c r="AJ675" s="103" t="s">
        <v>2544</v>
      </c>
      <c r="AK675" s="6682" t="s"/>
      <c r="AL675" s="6683" t="s"/>
    </row>
    <row hidden="false" ht="15.75" outlineLevel="0" r="676">
      <c r="C676" s="98" t="s">
        <v>176</v>
      </c>
      <c r="D676" s="122" t="str">
        <f aca="false" ca="false" dt2D="false" dtr="false" t="normal">IF(J412="", "", 7)</f>
        <v/>
      </c>
      <c r="E676" s="123" t="str">
        <f aca="false" ca="false" dt2D="false" dtr="false" t="normal">IF(J412="", "", 20)</f>
        <v/>
      </c>
      <c r="F676" s="123" t="str">
        <f aca="false" ca="false" dt2D="false" dtr="false" t="normal">IF(J412="", "", 4)</f>
        <v/>
      </c>
      <c r="G676" s="124" t="str">
        <f aca="false" ca="false" dt2D="false" dtr="false" t="normal">IF(J412="", "", 52)</f>
        <v/>
      </c>
      <c r="H676" s="1819" t="str">
        <f aca="false" ca="false" dt2D="false" dtr="false" ref="H676:H676" t="array">_XLFN.IFNA(MID(INDEX($A$3:$A$70, IF(ISNA(MATCH("720G4J4*", $A$3:$A$70, 0))=TRUE, MATCH("7200452*", $A$3:$A$70, 0), MATCH("720G4J4*", $A$3:$A$70, 0))), $AU$8, 2), "")</f>
        <v/>
      </c>
      <c r="I676" s="1820" t="str">
        <f aca="false" ca="false" dt2D="false" dtr="false" ref="I676:I676" t="array">_XLFN.IFNA(MID(INDEX($A$3:$A$70, IF(ISNA(MATCH("720G4J4*", $A$3:$A$70, 0))=TRUE, MATCH("7200452*", $A$3:$A$70, 0), MATCH("720G4J4*", $A$3:$A$70, 0))), $AV$8, 2), "")</f>
        <v/>
      </c>
      <c r="J676" s="164" t="str">
        <f aca="false" ca="false" dt2D="false" dtr="false" ref="J676:J676" t="array">_XLFN.IFNA(MID(INDEX($A$3:$A$70, IF(ISNA(MATCH("720G4J4*", $A$3:$A$70, 0))=TRUE, MATCH("7200452*", $A$3:$A$70, 0), MATCH("720G4J4*", $A$3:$A$70, 0))), $AW$8, 2), "")</f>
        <v/>
      </c>
      <c r="K676" s="1820" t="str">
        <f aca="false" ca="false" dt2D="false" dtr="false" ref="K676:K676" t="array">_XLFN.IFNA(MID(INDEX($A$3:$A$70, IF(ISNA(MATCH("720G4J4*", $A$3:$A$70, 0))=TRUE, MATCH("7200452*", $A$3:$A$70, 0), MATCH("720G4J4*", $A$3:$A$70, 0))), $AX$8, 2), "")</f>
        <v/>
      </c>
      <c r="L676" s="1821" t="str">
        <f aca="false" ca="false" dt2D="false" dtr="false" ref="L676:L676" t="array">_XLFN.IFNA(MID(INDEX($A$3:$A$70, IF(ISNA(MATCH("720G4J4*", $A$3:$A$70, 0))=TRUE, MATCH("7200452*", $A$3:$A$70, 0), MATCH("720G4J4*", $A$3:$A$70, 0))), $AY$8, 2), "")</f>
        <v/>
      </c>
      <c r="M676" s="218" t="str">
        <f aca="false" ca="false" dt2D="false" dtr="false" ref="M676:M676" t="array">_XLFN.IFNA(MID(INDEX($A$3:$A$70, IF(ISNA(MATCH("720G4J4*", $A$3:$A$70, 0))=TRUE, MATCH("7200452*", $A$3:$A$70, 0), MATCH("720G4J4*", $A$3:$A$70, 0))), $AZ$8, 2), "")</f>
        <v/>
      </c>
      <c r="N676" s="63" t="s">
        <v>180</v>
      </c>
      <c r="P676" s="129" t="s">
        <v>180</v>
      </c>
      <c r="Q676" s="130" t="s">
        <v>181</v>
      </c>
      <c r="R676" s="121" t="s">
        <v>182</v>
      </c>
      <c r="S676" s="131" t="n"/>
      <c r="T676" s="116" t="n"/>
      <c r="U676" s="6684" t="s"/>
      <c r="V676" s="6685" t="s"/>
      <c r="W676" s="6686" t="s"/>
      <c r="X676" s="116" t="n"/>
      <c r="Y676" s="6687" t="s"/>
      <c r="Z676" s="6688" t="s"/>
      <c r="AA676" s="6689" t="s"/>
      <c r="AB676" s="129" t="s">
        <v>180</v>
      </c>
      <c r="AC676" s="130" t="s">
        <v>181</v>
      </c>
      <c r="AD676" s="121" t="s">
        <v>182</v>
      </c>
      <c r="AE676" s="131" t="n"/>
      <c r="AF676" s="129" t="s">
        <v>180</v>
      </c>
      <c r="AG676" s="130" t="s">
        <v>181</v>
      </c>
      <c r="AH676" s="121" t="s">
        <v>182</v>
      </c>
      <c r="AI676" s="121" t="n"/>
      <c r="AJ676" s="116" t="s">
        <v>183</v>
      </c>
      <c r="AK676" s="6690" t="s"/>
      <c r="AL676" s="6691" t="s"/>
    </row>
    <row hidden="false" ht="15" outlineLevel="0" r="677">
      <c r="C677" s="98" t="s">
        <v>185</v>
      </c>
      <c r="D677" s="53" t="n">
        <f aca="false" ca="false" dt2D="false" dtr="false" t="normal">HEX2BIN(D676, 8)</f>
        <v>0</v>
      </c>
      <c r="E677" s="53" t="n">
        <f aca="false" ca="false" dt2D="false" dtr="false" t="normal">HEX2BIN(E676, 8)</f>
        <v>0</v>
      </c>
      <c r="F677" s="53" t="n">
        <f aca="false" ca="false" dt2D="false" dtr="false" t="normal">HEX2BIN(F676, 8)</f>
        <v>0</v>
      </c>
      <c r="G677" s="53" t="n">
        <f aca="false" ca="false" dt2D="false" dtr="false" t="normal">HEX2BIN(G676, 8)</f>
        <v>0</v>
      </c>
      <c r="H677" s="53" t="n">
        <f aca="false" ca="false" dt2D="false" dtr="false" t="normal">HEX2BIN(H676, 8)</f>
        <v>0</v>
      </c>
      <c r="I677" s="53" t="n">
        <f aca="false" ca="false" dt2D="false" dtr="false" t="normal">HEX2BIN(I676, 8)</f>
        <v>0</v>
      </c>
      <c r="J677" s="53" t="n">
        <f aca="false" ca="false" dt2D="false" dtr="false" t="normal">HEX2BIN(J676, 8)</f>
        <v>0</v>
      </c>
      <c r="K677" s="53" t="n">
        <f aca="false" ca="false" dt2D="false" dtr="false" t="normal">HEX2BIN(K676, 8)</f>
        <v>0</v>
      </c>
      <c r="L677" s="53" t="n">
        <f aca="false" ca="false" dt2D="false" dtr="false" t="normal">HEX2BIN(L676, 8)</f>
        <v>0</v>
      </c>
      <c r="N677" s="63" t="n"/>
      <c r="P677" s="136" t="n">
        <f aca="false" ca="false" dt2D="false" dtr="false" t="normal">MID(H677, 1, 1)</f>
        <v>0</v>
      </c>
      <c r="Q677" s="137" t="n">
        <f aca="false" ca="false" dt2D="false" dtr="false" t="normal">P677</f>
        <v>0</v>
      </c>
      <c r="R677" s="120" t="s">
        <v>186</v>
      </c>
      <c r="S677" s="139" t="s">
        <v>2545</v>
      </c>
      <c r="T677" s="6692" t="s"/>
      <c r="U677" s="142" t="s"/>
      <c r="V677" s="142" t="s"/>
      <c r="W677" s="6693" t="s"/>
      <c r="X677" s="6694" t="s"/>
      <c r="Y677" s="142" t="s"/>
      <c r="Z677" s="142" t="s"/>
      <c r="AA677" s="6695" t="s"/>
      <c r="AB677" s="136" t="n">
        <f aca="false" ca="false" dt2D="false" dtr="false" t="normal">MID(K677, 1, 1)</f>
        <v>0</v>
      </c>
      <c r="AC677" s="137" t="n">
        <f aca="false" ca="false" dt2D="false" dtr="false" t="normal">AB677</f>
        <v>0</v>
      </c>
      <c r="AD677" s="120" t="s">
        <v>186</v>
      </c>
      <c r="AE677" s="139" t="s">
        <v>2546</v>
      </c>
      <c r="AF677" s="136" t="n">
        <f aca="false" ca="false" dt2D="false" dtr="false" t="normal">MID(L677, 1, 1)</f>
        <v>0</v>
      </c>
      <c r="AG677" s="137" t="n">
        <f aca="false" ca="false" dt2D="false" dtr="false" t="normal">AF677</f>
        <v>0</v>
      </c>
      <c r="AH677" s="120" t="s">
        <v>186</v>
      </c>
      <c r="AI677" s="139" t="s">
        <v>2547</v>
      </c>
      <c r="AJ677" s="6696" t="s"/>
      <c r="AK677" s="6697" t="s"/>
      <c r="AL677" s="6698" t="s"/>
    </row>
    <row hidden="false" ht="15" outlineLevel="0" r="678">
      <c r="C678" s="98" t="s">
        <v>191</v>
      </c>
      <c r="D678" s="53" t="n">
        <f aca="false" ca="false" dt2D="false" dtr="false" t="normal">HEX2DEC(D676)</f>
        <v>0</v>
      </c>
      <c r="E678" s="53" t="n">
        <f aca="false" ca="false" dt2D="false" dtr="false" t="normal">HEX2DEC(E676)</f>
        <v>0</v>
      </c>
      <c r="F678" s="53" t="n">
        <f aca="false" ca="false" dt2D="false" dtr="false" t="normal">HEX2DEC(F676)</f>
        <v>0</v>
      </c>
      <c r="G678" s="53" t="n">
        <f aca="false" ca="false" dt2D="false" dtr="false" t="normal">HEX2DEC(G676)</f>
        <v>0</v>
      </c>
      <c r="H678" s="53" t="n">
        <f aca="false" ca="false" dt2D="false" dtr="false" t="normal">HEX2DEC(H676)</f>
        <v>0</v>
      </c>
      <c r="I678" s="53" t="n">
        <f aca="false" ca="false" dt2D="false" dtr="false" t="normal">HEX2DEC(I676)</f>
        <v>0</v>
      </c>
      <c r="J678" s="53" t="n">
        <f aca="false" ca="false" dt2D="false" dtr="false" t="normal">HEX2DEC(J676)</f>
        <v>0</v>
      </c>
      <c r="K678" s="53" t="n">
        <f aca="false" ca="false" dt2D="false" dtr="false" t="normal">HEX2DEC(K676)</f>
        <v>0</v>
      </c>
      <c r="L678" s="53" t="n">
        <f aca="false" ca="false" dt2D="false" dtr="false" t="normal">HEX2DEC(L676)</f>
        <v>0</v>
      </c>
      <c r="M678" s="53" t="n">
        <f aca="false" ca="false" dt2D="false" dtr="false" t="normal">SUM(D678:L678)</f>
        <v>0</v>
      </c>
      <c r="N678" s="63" t="n"/>
      <c r="P678" s="136" t="n">
        <f aca="false" ca="false" dt2D="false" dtr="false" t="normal">MID(H677, 2, 1)</f>
        <v>0</v>
      </c>
      <c r="Q678" s="137" t="n">
        <f aca="false" ca="false" dt2D="false" dtr="false" t="normal">P678</f>
        <v>0</v>
      </c>
      <c r="R678" s="120" t="s">
        <v>192</v>
      </c>
      <c r="S678" s="139" t="s">
        <v>2548</v>
      </c>
      <c r="T678" s="6699" t="s"/>
      <c r="U678" s="142" t="s"/>
      <c r="V678" s="142" t="s"/>
      <c r="W678" s="6700" t="s"/>
      <c r="X678" s="6701" t="s"/>
      <c r="Y678" s="142" t="s"/>
      <c r="Z678" s="142" t="s"/>
      <c r="AA678" s="6702" t="s"/>
      <c r="AB678" s="136" t="n">
        <f aca="false" ca="false" dt2D="false" dtr="false" t="normal">MID(K677, 2, 1)</f>
        <v>0</v>
      </c>
      <c r="AC678" s="137" t="n">
        <f aca="false" ca="false" dt2D="false" dtr="false" t="normal">AB678</f>
        <v>0</v>
      </c>
      <c r="AD678" s="120" t="s">
        <v>192</v>
      </c>
      <c r="AE678" s="139" t="s">
        <v>2549</v>
      </c>
      <c r="AF678" s="136" t="n">
        <f aca="false" ca="false" dt2D="false" dtr="false" t="normal">MID(L677, 2, 1)</f>
        <v>0</v>
      </c>
      <c r="AG678" s="137" t="n">
        <f aca="false" ca="false" dt2D="false" dtr="false" t="normal">AF678</f>
        <v>0</v>
      </c>
      <c r="AH678" s="120" t="s">
        <v>192</v>
      </c>
      <c r="AI678" s="139" t="s">
        <v>2550</v>
      </c>
      <c r="AJ678" s="6703" t="s"/>
      <c r="AK678" s="6704" t="s"/>
      <c r="AL678" s="6705" t="s"/>
    </row>
    <row hidden="false" ht="15" outlineLevel="0" r="679">
      <c r="C679" s="98" t="s">
        <v>194</v>
      </c>
      <c r="D679" s="149" t="str">
        <f aca="false" ca="false" dt2D="false" dtr="false" t="normal">D676</f>
        <v/>
      </c>
      <c r="E679" s="149" t="str">
        <f aca="false" ca="false" dt2D="false" dtr="false" t="normal">E676</f>
        <v/>
      </c>
      <c r="F679" s="53" t="str">
        <f aca="false" ca="false" dt2D="false" dtr="false" t="normal">_XLFN.IFNA(MID(INDEX($A$3:$A$70, IF(ISNA(MATCH("720G4J4*", $A$3:$A$70, 0))=TRUE, MATCH("7200452*", $A$3:$A$70, 0), MATCH("720G4J4*", $A$3:$A$70, 0))), $AS$8, 2), "")</f>
        <v/>
      </c>
      <c r="G679" s="53" t="str">
        <f aca="false" ca="false" dt2D="false" dtr="false" t="normal">_XLFN.IFNA(MID(INDEX($A$3:$A$70, IF(ISNA(MATCH("720G4J4*", $A$3:$A$70, 0))=TRUE, MATCH("7200452*", $A$3:$A$70, 0), MATCH("720G4J4*", $A$3:$A$70, 0))), $AT$8, 2), "")</f>
        <v/>
      </c>
      <c r="N679" s="63" t="n"/>
      <c r="P679" s="136" t="n">
        <f aca="false" ca="false" dt2D="false" dtr="false" t="normal">MID(H677, 3, 1)</f>
        <v>0</v>
      </c>
      <c r="Q679" s="137" t="n">
        <f aca="false" ca="false" dt2D="false" dtr="false" t="normal">P679</f>
        <v>0</v>
      </c>
      <c r="R679" s="120" t="s">
        <v>195</v>
      </c>
      <c r="S679" s="139" t="s">
        <v>2551</v>
      </c>
      <c r="T679" s="6706" t="s"/>
      <c r="U679" s="142" t="s"/>
      <c r="V679" s="142" t="s"/>
      <c r="W679" s="6707" t="s"/>
      <c r="X679" s="6708" t="s"/>
      <c r="Y679" s="142" t="s"/>
      <c r="Z679" s="142" t="s"/>
      <c r="AA679" s="6709" t="s"/>
      <c r="AB679" s="136" t="n">
        <f aca="false" ca="false" dt2D="false" dtr="false" t="normal">MID(K677, 3, 1)</f>
        <v>0</v>
      </c>
      <c r="AC679" s="137" t="n">
        <f aca="false" ca="false" dt2D="false" dtr="false" t="normal">AB679</f>
        <v>0</v>
      </c>
      <c r="AD679" s="120" t="s">
        <v>195</v>
      </c>
      <c r="AE679" s="139" t="s">
        <v>2552</v>
      </c>
      <c r="AF679" s="136" t="n">
        <f aca="false" ca="false" dt2D="false" dtr="false" t="normal">MID(L677, 3, 1)</f>
        <v>0</v>
      </c>
      <c r="AG679" s="137" t="n">
        <f aca="false" ca="false" dt2D="false" dtr="false" t="normal">AF679</f>
        <v>0</v>
      </c>
      <c r="AH679" s="120" t="s">
        <v>195</v>
      </c>
      <c r="AI679" s="139" t="s">
        <v>2553</v>
      </c>
      <c r="AJ679" s="6710" t="s"/>
      <c r="AK679" s="6711" t="s"/>
      <c r="AL679" s="6712" t="s"/>
    </row>
    <row hidden="false" ht="15.75" outlineLevel="0" r="680">
      <c r="C680" s="98" t="n"/>
      <c r="N680" s="63" t="n"/>
      <c r="P680" s="136" t="n">
        <f aca="false" ca="false" dt2D="false" dtr="false" t="normal">MID(H677, 4, 1)</f>
        <v>0</v>
      </c>
      <c r="Q680" s="137" t="n">
        <f aca="false" ca="false" dt2D="false" dtr="false" t="normal">P680</f>
        <v>0</v>
      </c>
      <c r="R680" s="120" t="s">
        <v>197</v>
      </c>
      <c r="S680" s="139" t="s">
        <v>2554</v>
      </c>
      <c r="T680" s="6713" t="s"/>
      <c r="U680" s="142" t="s"/>
      <c r="V680" s="142" t="s"/>
      <c r="W680" s="6714" t="s"/>
      <c r="X680" s="6715" t="s"/>
      <c r="Y680" s="142" t="s"/>
      <c r="Z680" s="142" t="s"/>
      <c r="AA680" s="6716" t="s"/>
      <c r="AB680" s="136" t="n">
        <f aca="false" ca="false" dt2D="false" dtr="false" t="normal">MID(K677, 4, 1)</f>
        <v>0</v>
      </c>
      <c r="AC680" s="137" t="n">
        <f aca="false" ca="false" dt2D="false" dtr="false" t="normal">AB680</f>
        <v>0</v>
      </c>
      <c r="AD680" s="120" t="s">
        <v>197</v>
      </c>
      <c r="AE680" s="139" t="s">
        <v>2555</v>
      </c>
      <c r="AF680" s="136" t="n">
        <f aca="false" ca="false" dt2D="false" dtr="false" t="normal">MID(L677, 4, 1)</f>
        <v>0</v>
      </c>
      <c r="AG680" s="137" t="n">
        <f aca="false" ca="false" dt2D="false" dtr="false" t="normal">AF680</f>
        <v>0</v>
      </c>
      <c r="AH680" s="120" t="s">
        <v>197</v>
      </c>
      <c r="AI680" s="139" t="s">
        <v>2556</v>
      </c>
      <c r="AJ680" s="6717" t="s"/>
      <c r="AK680" s="6718" t="s"/>
      <c r="AL680" s="6719" t="s"/>
    </row>
    <row hidden="false" ht="15.75" outlineLevel="0" r="681">
      <c r="C681" s="98" t="s">
        <v>176</v>
      </c>
      <c r="D681" s="159" t="str">
        <f aca="false" ca="false" dt2D="false" dtr="false" t="normal">D676</f>
        <v/>
      </c>
      <c r="E681" s="160" t="str">
        <f aca="false" ca="false" dt2D="false" dtr="false" t="normal">E676</f>
        <v/>
      </c>
      <c r="F681" s="160" t="str">
        <f aca="false" ca="false" dt2D="false" dtr="false" t="normal">F676</f>
        <v/>
      </c>
      <c r="G681" s="161" t="str">
        <f aca="false" ca="false" dt2D="false" dtr="false" t="normal">G676</f>
        <v/>
      </c>
      <c r="H681" s="162" t="str">
        <f aca="false" ca="false" dt2D="false" dtr="false" t="normal">IF(J412="", "", BIN2HEX(H682, 2))</f>
        <v/>
      </c>
      <c r="I681" s="1916" t="str">
        <f aca="false" ca="false" dt2D="false" dtr="false" t="normal">I676</f>
        <v/>
      </c>
      <c r="J681" s="2217" t="str">
        <f aca="false" ca="false" dt2D="false" dtr="false" t="normal">J676</f>
        <v/>
      </c>
      <c r="K681" s="165" t="str">
        <f aca="false" ca="false" dt2D="false" dtr="false" t="normal">IF(J412="", "", BIN2HEX(K682, 2))</f>
        <v/>
      </c>
      <c r="L681" s="288" t="str">
        <f aca="false" ca="false" dt2D="false" dtr="false" t="normal">IF(J412="", "", BIN2HEX(L682, 2))</f>
        <v/>
      </c>
      <c r="M681" s="166" t="str">
        <f aca="false" ca="false" dt2D="false" dtr="false" t="normal">IF(J412="", "", IF(LEN(M682)&gt;2, MID(M682, 2, 2), M682))</f>
        <v/>
      </c>
      <c r="N681" s="63" t="s">
        <v>181</v>
      </c>
      <c r="P681" s="136" t="n">
        <f aca="false" ca="false" dt2D="false" dtr="false" t="normal">MID(H677, 5, 1)</f>
        <v>0</v>
      </c>
      <c r="Q681" s="137" t="n">
        <f aca="false" ca="false" dt2D="false" dtr="false" t="normal">P681</f>
        <v>0</v>
      </c>
      <c r="R681" s="120" t="s">
        <v>200</v>
      </c>
      <c r="S681" s="139" t="s">
        <v>2557</v>
      </c>
      <c r="T681" s="6720" t="s"/>
      <c r="U681" s="142" t="s"/>
      <c r="V681" s="142" t="s"/>
      <c r="W681" s="6721" t="s"/>
      <c r="X681" s="6722" t="s"/>
      <c r="Y681" s="142" t="s"/>
      <c r="Z681" s="142" t="s"/>
      <c r="AA681" s="6723" t="s"/>
      <c r="AB681" s="136" t="n">
        <f aca="false" ca="false" dt2D="false" dtr="false" t="normal">MID(K677, 5, 1)</f>
        <v>0</v>
      </c>
      <c r="AC681" s="137" t="n">
        <f aca="false" ca="false" dt2D="false" dtr="false" t="normal">AB681</f>
        <v>0</v>
      </c>
      <c r="AD681" s="120" t="s">
        <v>200</v>
      </c>
      <c r="AE681" s="139" t="s">
        <v>2152</v>
      </c>
      <c r="AF681" s="136" t="n">
        <f aca="false" ca="false" dt2D="false" dtr="false" t="normal">MID(L677, 5, 1)</f>
        <v>0</v>
      </c>
      <c r="AG681" s="137" t="n">
        <f aca="false" ca="false" dt2D="false" dtr="false" t="normal">AF681</f>
        <v>0</v>
      </c>
      <c r="AH681" s="120" t="s">
        <v>200</v>
      </c>
      <c r="AI681" s="139" t="s">
        <v>1931</v>
      </c>
      <c r="AJ681" s="6724" t="s"/>
      <c r="AK681" s="6725" t="s"/>
      <c r="AL681" s="6726" t="s"/>
    </row>
    <row hidden="false" ht="15" outlineLevel="0" r="682">
      <c r="C682" s="98" t="s">
        <v>185</v>
      </c>
      <c r="D682" s="53" t="n">
        <f aca="false" ca="false" dt2D="false" dtr="false" t="normal">HEX2BIN(D681, 8)</f>
        <v>0</v>
      </c>
      <c r="E682" s="53" t="n">
        <f aca="false" ca="false" dt2D="false" dtr="false" t="normal">HEX2BIN(E681, 8)</f>
        <v>0</v>
      </c>
      <c r="F682" s="53" t="n">
        <f aca="false" ca="false" dt2D="false" dtr="false" t="normal">HEX2BIN(F681, 8)</f>
        <v>0</v>
      </c>
      <c r="G682" s="53" t="n">
        <f aca="false" ca="false" dt2D="false" dtr="false" t="normal">HEX2BIN(G681, 8)</f>
        <v>0</v>
      </c>
      <c r="H682" s="171" t="n">
        <f aca="false" ca="false" dt2D="false" dtr="false" t="normal">Q677&amp;Q678&amp;Q679&amp;Q680&amp;Q681&amp;Q682&amp;Q683&amp;Q684</f>
        <v>0</v>
      </c>
      <c r="I682" s="53" t="n"/>
      <c r="J682" s="171" t="n"/>
      <c r="K682" s="171" t="n">
        <f aca="false" ca="false" dt2D="false" dtr="false" t="normal">AC677&amp;AC678&amp;AC679&amp;AC680&amp;AC681&amp;AC682&amp;AC683&amp;AC684</f>
        <v>0</v>
      </c>
      <c r="L682" s="53" t="n">
        <f aca="false" ca="false" dt2D="false" dtr="false" t="normal">AG677&amp;AG678&amp;AG679&amp;AG680&amp;AG681&amp;AG682&amp;AG683&amp;AG684</f>
        <v>0</v>
      </c>
      <c r="M682" s="53" t="n">
        <f aca="false" ca="false" dt2D="false" dtr="false" t="normal">DEC2HEX(M683)</f>
        <v>0</v>
      </c>
      <c r="N682" s="63" t="n"/>
      <c r="P682" s="136" t="n">
        <f aca="false" ca="false" dt2D="false" dtr="false" t="normal">MID(H677, 6, 1)</f>
        <v>0</v>
      </c>
      <c r="Q682" s="137" t="n">
        <f aca="false" ca="false" dt2D="false" dtr="false" t="normal">P682</f>
        <v>0</v>
      </c>
      <c r="R682" s="120" t="s">
        <v>203</v>
      </c>
      <c r="S682" s="139" t="s">
        <v>2152</v>
      </c>
      <c r="T682" s="6727" t="s"/>
      <c r="U682" s="142" t="s"/>
      <c r="V682" s="142" t="s"/>
      <c r="W682" s="6728" t="s"/>
      <c r="X682" s="6729" t="s"/>
      <c r="Y682" s="142" t="s"/>
      <c r="Z682" s="142" t="s"/>
      <c r="AA682" s="6730" t="s"/>
      <c r="AB682" s="136" t="n">
        <f aca="false" ca="false" dt2D="false" dtr="false" t="normal">MID(K677, 6, 1)</f>
        <v>0</v>
      </c>
      <c r="AC682" s="137" t="n">
        <f aca="false" ca="false" dt2D="false" dtr="false" t="normal">AB682</f>
        <v>0</v>
      </c>
      <c r="AD682" s="120" t="s">
        <v>203</v>
      </c>
      <c r="AE682" s="139" t="s">
        <v>1931</v>
      </c>
      <c r="AF682" s="136" t="n">
        <f aca="false" ca="false" dt2D="false" dtr="false" t="normal">MID(L677, 6, 1)</f>
        <v>0</v>
      </c>
      <c r="AG682" s="137" t="n">
        <f aca="false" ca="false" dt2D="false" dtr="false" t="normal">AF682</f>
        <v>0</v>
      </c>
      <c r="AH682" s="120" t="s">
        <v>203</v>
      </c>
      <c r="AI682" s="139" t="s">
        <v>2152</v>
      </c>
      <c r="AJ682" s="6731" t="s"/>
      <c r="AK682" s="6732" t="s"/>
      <c r="AL682" s="6733" t="s"/>
    </row>
    <row hidden="false" ht="15" outlineLevel="0" r="683">
      <c r="C683" s="98" t="s">
        <v>191</v>
      </c>
      <c r="D683" s="53" t="n">
        <f aca="false" ca="false" dt2D="false" dtr="false" t="normal">HEX2DEC(D681)</f>
        <v>0</v>
      </c>
      <c r="E683" s="53" t="n">
        <f aca="false" ca="false" dt2D="false" dtr="false" t="normal">HEX2DEC(E681)</f>
        <v>0</v>
      </c>
      <c r="F683" s="53" t="n">
        <f aca="false" ca="false" dt2D="false" dtr="false" t="normal">HEX2DEC(F681)</f>
        <v>0</v>
      </c>
      <c r="G683" s="53" t="n">
        <f aca="false" ca="false" dt2D="false" dtr="false" t="normal">HEX2DEC(G681)</f>
        <v>0</v>
      </c>
      <c r="H683" s="53" t="n">
        <f aca="false" ca="false" dt2D="false" dtr="false" t="normal">HEX2DEC(H681)</f>
        <v>0</v>
      </c>
      <c r="I683" s="53" t="n">
        <f aca="false" ca="false" dt2D="false" dtr="false" t="normal">HEX2DEC(I681)</f>
        <v>0</v>
      </c>
      <c r="J683" s="53" t="n">
        <f aca="false" ca="false" dt2D="false" dtr="false" t="normal">HEX2DEC(J681)</f>
        <v>0</v>
      </c>
      <c r="K683" s="53" t="n">
        <f aca="false" ca="false" dt2D="false" dtr="false" t="normal">HEX2DEC(K681)</f>
        <v>0</v>
      </c>
      <c r="L683" s="53" t="n">
        <f aca="false" ca="false" dt2D="false" dtr="false" t="normal">HEX2DEC(L681)</f>
        <v>0</v>
      </c>
      <c r="M683" s="53" t="n">
        <f aca="false" ca="false" dt2D="false" dtr="false" t="normal">SUM(D683:L683)</f>
        <v>0</v>
      </c>
      <c r="N683" s="63" t="n"/>
      <c r="P683" s="136" t="n">
        <f aca="false" ca="false" dt2D="false" dtr="false" t="normal">MID(H677, 7, 1)</f>
        <v>0</v>
      </c>
      <c r="Q683" s="137" t="n">
        <f aca="false" ca="false" dt2D="false" dtr="false" t="normal">P683</f>
        <v>0</v>
      </c>
      <c r="R683" s="120" t="s">
        <v>206</v>
      </c>
      <c r="S683" s="139" t="s">
        <v>1931</v>
      </c>
      <c r="T683" s="6734" t="s"/>
      <c r="U683" s="142" t="s"/>
      <c r="V683" s="142" t="s"/>
      <c r="W683" s="6735" t="s"/>
      <c r="X683" s="6736" t="s"/>
      <c r="Y683" s="142" t="s"/>
      <c r="Z683" s="142" t="s"/>
      <c r="AA683" s="6737" t="s"/>
      <c r="AB683" s="136" t="n">
        <f aca="false" ca="false" dt2D="false" dtr="false" t="normal">MID(K677, 7, 1)</f>
        <v>0</v>
      </c>
      <c r="AC683" s="137" t="n">
        <f aca="false" ca="false" dt2D="false" dtr="false" t="normal">AB683</f>
        <v>0</v>
      </c>
      <c r="AD683" s="120" t="s">
        <v>206</v>
      </c>
      <c r="AE683" s="139" t="s">
        <v>2152</v>
      </c>
      <c r="AF683" s="136" t="n">
        <f aca="false" ca="false" dt2D="false" dtr="false" t="normal">MID(L677, 7, 1)</f>
        <v>0</v>
      </c>
      <c r="AG683" s="137" t="n">
        <f aca="false" ca="false" dt2D="false" dtr="false" t="normal">AF683</f>
        <v>0</v>
      </c>
      <c r="AH683" s="120" t="s">
        <v>206</v>
      </c>
      <c r="AI683" s="139" t="s">
        <v>1931</v>
      </c>
      <c r="AJ683" s="6738" t="s"/>
      <c r="AK683" s="6739" t="s"/>
      <c r="AL683" s="6740" t="s"/>
    </row>
    <row hidden="false" ht="15.75" outlineLevel="0" r="684">
      <c r="C684" s="180" t="s">
        <v>194</v>
      </c>
      <c r="D684" s="299" t="str">
        <f aca="false" ca="false" dt2D="false" dtr="false" t="normal">D679</f>
        <v/>
      </c>
      <c r="E684" s="299" t="str">
        <f aca="false" ca="false" dt2D="false" dtr="false" t="normal">E679</f>
        <v/>
      </c>
      <c r="F684" s="299" t="str">
        <f aca="false" ca="false" dt2D="false" dtr="false" t="normal">F679</f>
        <v/>
      </c>
      <c r="G684" s="299" t="str">
        <f aca="false" ca="false" dt2D="false" dtr="false" t="normal">G679</f>
        <v/>
      </c>
      <c r="H684" s="45" t="n"/>
      <c r="I684" s="45" t="n"/>
      <c r="J684" s="45" t="n"/>
      <c r="K684" s="45" t="n"/>
      <c r="L684" s="45" t="n"/>
      <c r="M684" s="45" t="n"/>
      <c r="N684" s="49" t="n"/>
      <c r="P684" s="182" t="n">
        <f aca="false" ca="false" dt2D="false" dtr="false" t="normal">MID(H677, 8, 1)</f>
        <v>0</v>
      </c>
      <c r="Q684" s="183" t="n">
        <f aca="false" ca="false" dt2D="false" dtr="false" t="normal">P684</f>
        <v>0</v>
      </c>
      <c r="R684" s="184" t="s">
        <v>208</v>
      </c>
      <c r="S684" s="187" t="s">
        <v>2152</v>
      </c>
      <c r="T684" s="6741" t="s"/>
      <c r="U684" s="6742" t="s"/>
      <c r="V684" s="6743" t="s"/>
      <c r="W684" s="6744" t="s"/>
      <c r="X684" s="6745" t="s"/>
      <c r="Y684" s="6746" t="s"/>
      <c r="Z684" s="6747" t="s"/>
      <c r="AA684" s="6748" t="s"/>
      <c r="AB684" s="182" t="n">
        <f aca="false" ca="false" dt2D="false" dtr="false" t="normal">MID(K677, 8, 1)</f>
        <v>0</v>
      </c>
      <c r="AC684" s="183" t="n">
        <f aca="false" ca="false" dt2D="false" dtr="false" t="normal">AB684</f>
        <v>0</v>
      </c>
      <c r="AD684" s="184" t="s">
        <v>208</v>
      </c>
      <c r="AE684" s="187" t="s">
        <v>1931</v>
      </c>
      <c r="AF684" s="182" t="n">
        <f aca="false" ca="false" dt2D="false" dtr="false" t="normal">MID(L677, 8, 1)</f>
        <v>0</v>
      </c>
      <c r="AG684" s="183" t="n">
        <f aca="false" ca="false" dt2D="false" dtr="false" t="normal">AF684</f>
        <v>0</v>
      </c>
      <c r="AH684" s="184" t="s">
        <v>208</v>
      </c>
      <c r="AI684" s="187" t="s">
        <v>2152</v>
      </c>
      <c r="AJ684" s="6749" t="s"/>
      <c r="AK684" s="6750" t="s"/>
      <c r="AL684" s="6751" t="s"/>
    </row>
    <row hidden="false" ht="15.75" outlineLevel="0" r="685">
      <c r="C685" s="93" t="n"/>
      <c r="D685" s="94" t="n"/>
      <c r="E685" s="94" t="n"/>
      <c r="F685" s="94" t="n"/>
      <c r="G685" s="94" t="n"/>
      <c r="H685" s="94" t="n"/>
      <c r="I685" s="94" t="n"/>
      <c r="J685" s="94" t="n"/>
      <c r="K685" s="94" t="n"/>
      <c r="L685" s="94" t="s">
        <v>161</v>
      </c>
      <c r="N685" s="60" t="n"/>
      <c r="P685" s="95" t="str">
        <f aca="false" ca="false" dt2D="false" dtr="false" t="normal">RIGHT(D687, 1)&amp;E687&amp;"-"&amp;F687&amp;"-"&amp;G687</f>
        <v>--</v>
      </c>
      <c r="Q685" s="6752" t="s"/>
      <c r="R685" s="97" t="s">
        <v>2558</v>
      </c>
      <c r="S685" s="97" t="s"/>
      <c r="T685" s="97" t="s"/>
      <c r="U685" s="97" t="s"/>
      <c r="V685" s="97" t="s"/>
      <c r="W685" s="97" t="s"/>
      <c r="X685" s="97" t="s"/>
      <c r="Y685" s="97" t="s"/>
      <c r="Z685" s="97" t="s"/>
      <c r="AA685" s="97" t="s"/>
      <c r="AB685" s="97" t="s"/>
      <c r="AC685" s="97" t="s"/>
      <c r="AD685" s="97" t="s"/>
      <c r="AE685" s="97" t="s"/>
      <c r="AF685" s="97" t="s"/>
      <c r="AG685" s="97" t="s"/>
      <c r="AH685" s="97" t="s"/>
      <c r="AI685" s="97" t="s"/>
      <c r="AJ685" s="97" t="s"/>
      <c r="AK685" s="97" t="s"/>
      <c r="AL685" s="6753" t="s"/>
    </row>
    <row hidden="false" ht="15.75" outlineLevel="0" r="686">
      <c r="C686" s="98" t="n"/>
      <c r="D686" s="99" t="s">
        <v>2559</v>
      </c>
      <c r="E686" s="6754" t="s"/>
      <c r="F686" s="6755" t="s"/>
      <c r="G686" s="6756" t="s"/>
      <c r="H686" s="53" t="s">
        <v>165</v>
      </c>
      <c r="I686" s="53" t="s">
        <v>166</v>
      </c>
      <c r="J686" s="53" t="s">
        <v>167</v>
      </c>
      <c r="K686" s="53" t="s">
        <v>168</v>
      </c>
      <c r="L686" s="53" t="s">
        <v>169</v>
      </c>
      <c r="M686" s="53" t="n"/>
      <c r="N686" s="63" t="n"/>
      <c r="P686" s="103" t="s">
        <v>2560</v>
      </c>
      <c r="Q686" s="6757" t="s"/>
      <c r="R686" s="6758" t="s"/>
      <c r="S686" s="6759" t="s"/>
      <c r="T686" s="103" t="s">
        <v>2561</v>
      </c>
      <c r="U686" s="6760" t="s"/>
      <c r="V686" s="6761" t="s"/>
      <c r="W686" s="6762" t="s"/>
      <c r="X686" s="103" t="s">
        <v>2562</v>
      </c>
      <c r="Y686" s="6763" t="s"/>
      <c r="Z686" s="6764" t="s"/>
      <c r="AA686" s="6765" t="s"/>
      <c r="AB686" s="103" t="s">
        <v>2563</v>
      </c>
      <c r="AC686" s="6766" t="s"/>
      <c r="AD686" s="6767" t="s"/>
      <c r="AE686" s="6768" t="s"/>
      <c r="AF686" s="103" t="s">
        <v>2564</v>
      </c>
      <c r="AG686" s="6769" t="s"/>
      <c r="AH686" s="6770" t="s"/>
      <c r="AI686" s="6771" t="s"/>
      <c r="AJ686" s="120" t="n"/>
      <c r="AK686" s="6772" t="n"/>
      <c r="AL686" s="6773" t="s"/>
    </row>
    <row hidden="false" ht="15.75" outlineLevel="0" r="687">
      <c r="C687" s="98" t="s">
        <v>176</v>
      </c>
      <c r="D687" s="122" t="str">
        <f aca="false" ca="false" dt2D="false" dtr="false" t="normal">IF(J412="", "", 7)</f>
        <v/>
      </c>
      <c r="E687" s="123" t="str">
        <f aca="false" ca="false" dt2D="false" dtr="false" t="normal">IF(J412="", "", 20)</f>
        <v/>
      </c>
      <c r="F687" s="123" t="str">
        <f aca="false" ca="false" dt2D="false" dtr="false" t="normal">IF(J412="", "", 4)</f>
        <v/>
      </c>
      <c r="G687" s="124" t="str">
        <f aca="false" ca="false" dt2D="false" dtr="false" t="normal">IF(J412="", "", 53)</f>
        <v/>
      </c>
      <c r="H687" s="1819" t="str">
        <f aca="false" ca="false" dt2D="false" dtr="false" ref="H687:H687" t="array">_XLFN.IFNA(MID(INDEX($A$3:$A$70, IF(ISNA(MATCH("720G4J5*", $A$3:$A$70, 0))=TRUE, MATCH("7200453*", $A$3:$A$70, 0), MATCH("720G4J5*", $A$3:$A$70, 0))), $AU$8, 2), "")</f>
        <v/>
      </c>
      <c r="I687" s="1820" t="str">
        <f aca="false" ca="false" dt2D="false" dtr="false" ref="I687:I687" t="array">_XLFN.IFNA(MID(INDEX($A$3:$A$70, IF(ISNA(MATCH("720G4J5*", $A$3:$A$70, 0))=TRUE, MATCH("7200453*", $A$3:$A$70, 0), MATCH("720G4J5*", $A$3:$A$70, 0))), $AV$8, 2), "")</f>
        <v/>
      </c>
      <c r="J687" s="164" t="str">
        <f aca="false" ca="false" dt2D="false" dtr="false" ref="J687:J687" t="array">_XLFN.IFNA(MID(INDEX($A$3:$A$70, IF(ISNA(MATCH("720G4J5*", $A$3:$A$70, 0))=TRUE, MATCH("7200453*", $A$3:$A$70, 0), MATCH("720G4J5*", $A$3:$A$70, 0))), $AW$8, 2), "")</f>
        <v/>
      </c>
      <c r="K687" s="1821" t="str">
        <f aca="false" ca="false" dt2D="false" dtr="false" ref="K687:K687" t="array">_XLFN.IFNA(MID(INDEX($A$3:$A$70, IF(ISNA(MATCH("720G4J5*", $A$3:$A$70, 0))=TRUE, MATCH("7200453*", $A$3:$A$70, 0), MATCH("720G4J5*", $A$3:$A$70, 0))), $AX$8, 2), "")</f>
        <v/>
      </c>
      <c r="L687" s="218" t="str">
        <f aca="false" ca="false" dt2D="false" dtr="false" ref="L687:L687" t="array">_XLFN.IFNA(MID(INDEX($A$3:$A$70, IF(ISNA(MATCH("720G4J5*", $A$3:$A$70, 0))=TRUE, MATCH("7200453*", $A$3:$A$70, 0), MATCH("720G4J5*", $A$3:$A$70, 0))), $AY$8, 2), "")</f>
        <v/>
      </c>
      <c r="N687" s="63" t="s">
        <v>180</v>
      </c>
      <c r="P687" s="129" t="s">
        <v>180</v>
      </c>
      <c r="Q687" s="130" t="s">
        <v>181</v>
      </c>
      <c r="R687" s="121" t="s">
        <v>182</v>
      </c>
      <c r="S687" s="131" t="n"/>
      <c r="T687" s="129" t="s">
        <v>180</v>
      </c>
      <c r="U687" s="130" t="s">
        <v>181</v>
      </c>
      <c r="V687" s="121" t="s">
        <v>182</v>
      </c>
      <c r="W687" s="131" t="n"/>
      <c r="X687" s="129" t="s">
        <v>180</v>
      </c>
      <c r="Y687" s="130" t="s">
        <v>181</v>
      </c>
      <c r="Z687" s="121" t="s">
        <v>182</v>
      </c>
      <c r="AA687" s="131" t="n"/>
      <c r="AB687" s="129" t="s">
        <v>180</v>
      </c>
      <c r="AC687" s="130" t="s">
        <v>181</v>
      </c>
      <c r="AD687" s="121" t="s">
        <v>182</v>
      </c>
      <c r="AE687" s="131" t="n"/>
      <c r="AF687" s="116" t="n"/>
      <c r="AG687" s="6774" t="s"/>
      <c r="AH687" s="6775" t="s"/>
      <c r="AI687" s="6776" t="s"/>
      <c r="AJ687" s="120" t="n"/>
      <c r="AK687" s="6772" t="n"/>
      <c r="AL687" s="6777" t="s"/>
    </row>
    <row hidden="false" ht="15" outlineLevel="0" r="688">
      <c r="C688" s="98" t="s">
        <v>185</v>
      </c>
      <c r="D688" s="53" t="n">
        <f aca="false" ca="false" dt2D="false" dtr="false" t="normal">HEX2BIN(D687, 8)</f>
        <v>0</v>
      </c>
      <c r="E688" s="53" t="n">
        <f aca="false" ca="false" dt2D="false" dtr="false" t="normal">HEX2BIN(E687, 8)</f>
        <v>0</v>
      </c>
      <c r="F688" s="53" t="n">
        <f aca="false" ca="false" dt2D="false" dtr="false" t="normal">HEX2BIN(F687, 8)</f>
        <v>0</v>
      </c>
      <c r="G688" s="53" t="n">
        <f aca="false" ca="false" dt2D="false" dtr="false" t="normal">HEX2BIN(G687, 8)</f>
        <v>0</v>
      </c>
      <c r="H688" s="53" t="n">
        <f aca="false" ca="false" dt2D="false" dtr="false" t="normal">HEX2BIN(H687, 8)</f>
        <v>0</v>
      </c>
      <c r="I688" s="53" t="n">
        <f aca="false" ca="false" dt2D="false" dtr="false" t="normal">HEX2BIN(I687, 8)</f>
        <v>0</v>
      </c>
      <c r="J688" s="53" t="n">
        <f aca="false" ca="false" dt2D="false" dtr="false" t="normal">HEX2BIN(J687, 8)</f>
        <v>0</v>
      </c>
      <c r="K688" s="53" t="n">
        <f aca="false" ca="false" dt2D="false" dtr="false" t="normal">HEX2BIN(K687, 8)</f>
        <v>0</v>
      </c>
      <c r="N688" s="63" t="n"/>
      <c r="P688" s="136" t="n">
        <f aca="false" ca="false" dt2D="false" dtr="false" t="normal">MID(H688, 1, 1)</f>
        <v>0</v>
      </c>
      <c r="Q688" s="137" t="n">
        <f aca="false" ca="false" dt2D="false" dtr="false" t="normal">P688</f>
        <v>0</v>
      </c>
      <c r="R688" s="120" t="s">
        <v>186</v>
      </c>
      <c r="S688" s="139" t="s">
        <v>2565</v>
      </c>
      <c r="T688" s="136" t="n">
        <f aca="false" ca="false" dt2D="false" dtr="false" t="normal">MID(I688, 1, 1)</f>
        <v>0</v>
      </c>
      <c r="U688" s="137" t="n">
        <f aca="false" ca="false" dt2D="false" dtr="false" t="normal">T688</f>
        <v>0</v>
      </c>
      <c r="V688" s="120" t="s">
        <v>186</v>
      </c>
      <c r="W688" s="139" t="s">
        <v>2566</v>
      </c>
      <c r="X688" s="136" t="n">
        <f aca="false" ca="false" dt2D="false" dtr="false" t="normal">MID(J688, 1, 1)</f>
        <v>0</v>
      </c>
      <c r="Y688" s="137" t="n">
        <f aca="false" ca="false" dt2D="false" dtr="false" t="normal">X688</f>
        <v>0</v>
      </c>
      <c r="Z688" s="120" t="s">
        <v>186</v>
      </c>
      <c r="AA688" s="139" t="s">
        <v>2567</v>
      </c>
      <c r="AB688" s="136" t="n">
        <f aca="false" ca="false" dt2D="false" dtr="false" t="normal">MID(K688, 1, 1)</f>
        <v>0</v>
      </c>
      <c r="AC688" s="137" t="n">
        <f aca="false" ca="false" dt2D="false" dtr="false" t="normal">AB688</f>
        <v>0</v>
      </c>
      <c r="AD688" s="120" t="s">
        <v>186</v>
      </c>
      <c r="AE688" s="139" t="s">
        <v>2568</v>
      </c>
      <c r="AF688" s="6778" t="s"/>
      <c r="AG688" s="142" t="s"/>
      <c r="AH688" s="142" t="s"/>
      <c r="AI688" s="6779" t="s"/>
      <c r="AJ688" s="121" t="n"/>
      <c r="AK688" s="121" t="n"/>
      <c r="AL688" s="6780" t="s"/>
    </row>
    <row hidden="false" ht="15" outlineLevel="0" r="689">
      <c r="C689" s="98" t="s">
        <v>191</v>
      </c>
      <c r="D689" s="53" t="n">
        <f aca="false" ca="false" dt2D="false" dtr="false" t="normal">HEX2DEC(D687)</f>
        <v>0</v>
      </c>
      <c r="E689" s="53" t="n">
        <f aca="false" ca="false" dt2D="false" dtr="false" t="normal">HEX2DEC(E687)</f>
        <v>0</v>
      </c>
      <c r="F689" s="53" t="n">
        <f aca="false" ca="false" dt2D="false" dtr="false" t="normal">HEX2DEC(F687)</f>
        <v>0</v>
      </c>
      <c r="G689" s="53" t="n">
        <f aca="false" ca="false" dt2D="false" dtr="false" t="normal">HEX2DEC(G687)</f>
        <v>0</v>
      </c>
      <c r="H689" s="53" t="n">
        <f aca="false" ca="false" dt2D="false" dtr="false" t="normal">HEX2DEC(H687)</f>
        <v>0</v>
      </c>
      <c r="I689" s="53" t="n">
        <f aca="false" ca="false" dt2D="false" dtr="false" t="normal">HEX2DEC(I687)</f>
        <v>0</v>
      </c>
      <c r="J689" s="53" t="n">
        <f aca="false" ca="false" dt2D="false" dtr="false" t="normal">HEX2DEC(J687)</f>
        <v>0</v>
      </c>
      <c r="K689" s="53" t="n">
        <f aca="false" ca="false" dt2D="false" dtr="false" t="normal">HEX2DEC(K687)</f>
        <v>0</v>
      </c>
      <c r="L689" s="53" t="n">
        <f aca="false" ca="false" dt2D="false" dtr="false" t="normal">SUM(D689:K689)</f>
        <v>0</v>
      </c>
      <c r="N689" s="63" t="n"/>
      <c r="P689" s="136" t="n">
        <f aca="false" ca="false" dt2D="false" dtr="false" t="normal">MID(H688, 2, 1)</f>
        <v>0</v>
      </c>
      <c r="Q689" s="137" t="n">
        <f aca="false" ca="false" dt2D="false" dtr="false" t="normal">P689</f>
        <v>0</v>
      </c>
      <c r="R689" s="120" t="s">
        <v>192</v>
      </c>
      <c r="S689" s="139" t="s">
        <v>2569</v>
      </c>
      <c r="T689" s="136" t="n">
        <f aca="false" ca="false" dt2D="false" dtr="false" t="normal">MID(I688, 2, 1)</f>
        <v>0</v>
      </c>
      <c r="U689" s="137" t="n">
        <f aca="false" ca="false" dt2D="false" dtr="false" t="normal">T689</f>
        <v>0</v>
      </c>
      <c r="V689" s="120" t="s">
        <v>192</v>
      </c>
      <c r="W689" s="139" t="s">
        <v>2570</v>
      </c>
      <c r="X689" s="136" t="n">
        <f aca="false" ca="false" dt2D="false" dtr="false" t="normal">MID(J688, 2, 1)</f>
        <v>0</v>
      </c>
      <c r="Y689" s="137" t="n">
        <f aca="false" ca="false" dt2D="false" dtr="false" t="normal">X689</f>
        <v>0</v>
      </c>
      <c r="Z689" s="120" t="s">
        <v>192</v>
      </c>
      <c r="AA689" s="139" t="s">
        <v>317</v>
      </c>
      <c r="AB689" s="136" t="n">
        <f aca="false" ca="false" dt2D="false" dtr="false" t="normal">MID(K688, 2, 1)</f>
        <v>0</v>
      </c>
      <c r="AC689" s="137" t="n">
        <f aca="false" ca="false" dt2D="false" dtr="false" t="normal">AB689</f>
        <v>0</v>
      </c>
      <c r="AD689" s="120" t="s">
        <v>192</v>
      </c>
      <c r="AE689" s="139" t="s">
        <v>2292</v>
      </c>
      <c r="AF689" s="6781" t="s"/>
      <c r="AG689" s="142" t="s"/>
      <c r="AH689" s="142" t="s"/>
      <c r="AI689" s="6782" t="s"/>
      <c r="AJ689" s="121" t="n"/>
      <c r="AK689" s="121" t="n"/>
      <c r="AL689" s="6783" t="s"/>
    </row>
    <row hidden="false" ht="15" outlineLevel="0" r="690">
      <c r="C690" s="98" t="s">
        <v>194</v>
      </c>
      <c r="D690" s="149" t="str">
        <f aca="false" ca="false" dt2D="false" dtr="false" t="normal">D687</f>
        <v/>
      </c>
      <c r="E690" s="149" t="str">
        <f aca="false" ca="false" dt2D="false" dtr="false" t="normal">E687</f>
        <v/>
      </c>
      <c r="F690" s="53" t="str">
        <f aca="false" ca="false" dt2D="false" dtr="false" t="normal">_XLFN.IFNA(MID(INDEX($A$3:$A$70, IF(ISNA(MATCH("720G4J5*", $A$3:$A$70, 0))=TRUE, MATCH("7200453*", $A$3:$A$70, 0), MATCH("720G4J5*", $A$3:$A$70, 0))), $AS$8, 2), "")</f>
        <v/>
      </c>
      <c r="G690" s="53" t="str">
        <f aca="false" ca="false" dt2D="false" dtr="false" t="normal">_XLFN.IFNA(MID(INDEX($A$3:$A$70, IF(ISNA(MATCH("720G4J5*", $A$3:$A$70, 0))=TRUE, MATCH("7200453*", $A$3:$A$70, 0), MATCH("720G4J5*", $A$3:$A$70, 0))), $AT$8, 2), "")</f>
        <v/>
      </c>
      <c r="N690" s="63" t="n"/>
      <c r="P690" s="136" t="n">
        <f aca="false" ca="false" dt2D="false" dtr="false" t="normal">MID(H688, 3, 1)</f>
        <v>0</v>
      </c>
      <c r="Q690" s="137" t="n">
        <f aca="false" ca="false" dt2D="false" dtr="false" t="normal">P690</f>
        <v>0</v>
      </c>
      <c r="R690" s="120" t="s">
        <v>195</v>
      </c>
      <c r="S690" s="139" t="s">
        <v>2571</v>
      </c>
      <c r="T690" s="136" t="n">
        <f aca="false" ca="false" dt2D="false" dtr="false" t="normal">MID(I688, 3, 1)</f>
        <v>0</v>
      </c>
      <c r="U690" s="137" t="n">
        <f aca="false" ca="false" dt2D="false" dtr="false" t="normal">T690</f>
        <v>0</v>
      </c>
      <c r="V690" s="120" t="s">
        <v>195</v>
      </c>
      <c r="W690" s="139" t="s">
        <v>2572</v>
      </c>
      <c r="X690" s="136" t="n">
        <f aca="false" ca="false" dt2D="false" dtr="false" t="normal">MID(J688, 3, 1)</f>
        <v>0</v>
      </c>
      <c r="Y690" s="137" t="n">
        <f aca="false" ca="false" dt2D="false" dtr="false" t="normal">X690</f>
        <v>0</v>
      </c>
      <c r="Z690" s="120" t="s">
        <v>195</v>
      </c>
      <c r="AA690" s="139" t="s">
        <v>2573</v>
      </c>
      <c r="AB690" s="136" t="n">
        <f aca="false" ca="false" dt2D="false" dtr="false" t="normal">MID(K688, 3, 1)</f>
        <v>0</v>
      </c>
      <c r="AC690" s="137" t="n">
        <f aca="false" ca="false" dt2D="false" dtr="false" t="normal">AB690</f>
        <v>0</v>
      </c>
      <c r="AD690" s="120" t="s">
        <v>195</v>
      </c>
      <c r="AE690" s="139" t="s">
        <v>2574</v>
      </c>
      <c r="AF690" s="6784" t="s"/>
      <c r="AG690" s="142" t="s"/>
      <c r="AH690" s="142" t="s"/>
      <c r="AI690" s="6785" t="s"/>
      <c r="AJ690" s="121" t="n"/>
      <c r="AK690" s="121" t="n"/>
      <c r="AL690" s="6786" t="s"/>
    </row>
    <row hidden="false" ht="15.75" outlineLevel="0" r="691">
      <c r="C691" s="98" t="n"/>
      <c r="N691" s="63" t="n"/>
      <c r="P691" s="136" t="n">
        <f aca="false" ca="false" dt2D="false" dtr="false" t="normal">MID(H688, 4, 1)</f>
        <v>0</v>
      </c>
      <c r="Q691" s="137" t="n">
        <f aca="false" ca="false" dt2D="false" dtr="false" t="normal">P691</f>
        <v>0</v>
      </c>
      <c r="R691" s="120" t="s">
        <v>197</v>
      </c>
      <c r="S691" s="139" t="s">
        <v>2575</v>
      </c>
      <c r="T691" s="136" t="n">
        <f aca="false" ca="false" dt2D="false" dtr="false" t="normal">MID(I688, 4, 1)</f>
        <v>0</v>
      </c>
      <c r="U691" s="137" t="n">
        <f aca="false" ca="false" dt2D="false" dtr="false" t="normal">T691</f>
        <v>0</v>
      </c>
      <c r="V691" s="120" t="s">
        <v>197</v>
      </c>
      <c r="W691" s="139" t="s">
        <v>2576</v>
      </c>
      <c r="X691" s="136" t="n">
        <f aca="false" ca="false" dt2D="false" dtr="false" t="normal">MID(J688, 4, 1)</f>
        <v>0</v>
      </c>
      <c r="Y691" s="137" t="n">
        <f aca="false" ca="false" dt2D="false" dtr="false" t="normal">X691</f>
        <v>0</v>
      </c>
      <c r="Z691" s="120" t="s">
        <v>197</v>
      </c>
      <c r="AA691" s="139" t="s">
        <v>2577</v>
      </c>
      <c r="AB691" s="136" t="n">
        <f aca="false" ca="false" dt2D="false" dtr="false" t="normal">MID(K688, 4, 1)</f>
        <v>0</v>
      </c>
      <c r="AC691" s="137" t="n">
        <f aca="false" ca="false" dt2D="false" dtr="false" t="normal">AB691</f>
        <v>0</v>
      </c>
      <c r="AD691" s="120" t="s">
        <v>197</v>
      </c>
      <c r="AE691" s="139" t="s">
        <v>2578</v>
      </c>
      <c r="AF691" s="6787" t="s"/>
      <c r="AG691" s="142" t="s"/>
      <c r="AH691" s="142" t="s"/>
      <c r="AI691" s="6788" t="s"/>
      <c r="AJ691" s="121" t="n"/>
      <c r="AK691" s="121" t="n"/>
      <c r="AL691" s="6789" t="s"/>
    </row>
    <row hidden="false" ht="15.75" outlineLevel="0" r="692">
      <c r="C692" s="98" t="s">
        <v>176</v>
      </c>
      <c r="D692" s="159" t="str">
        <f aca="false" ca="false" dt2D="false" dtr="false" t="normal">D687</f>
        <v/>
      </c>
      <c r="E692" s="160" t="str">
        <f aca="false" ca="false" dt2D="false" dtr="false" t="normal">E687</f>
        <v/>
      </c>
      <c r="F692" s="160" t="str">
        <f aca="false" ca="false" dt2D="false" dtr="false" t="normal">F687</f>
        <v/>
      </c>
      <c r="G692" s="161" t="str">
        <f aca="false" ca="false" dt2D="false" dtr="false" t="normal">G687</f>
        <v/>
      </c>
      <c r="H692" s="162" t="str">
        <f aca="false" ca="false" dt2D="false" dtr="false" t="normal">IF(J412="", "", BIN2HEX(H693, 2))</f>
        <v/>
      </c>
      <c r="I692" s="163" t="str">
        <f aca="false" ca="false" dt2D="false" dtr="false" t="normal">IF(J412="", "", BIN2HEX(I693, 2))</f>
        <v/>
      </c>
      <c r="J692" s="164" t="str">
        <f aca="false" ca="false" dt2D="false" dtr="false" t="normal">IF(J412="", "", BIN2HEX(J693, 2))</f>
        <v/>
      </c>
      <c r="K692" s="165" t="str">
        <f aca="false" ca="false" dt2D="false" dtr="false" t="normal">IF(J412="", "", BIN2HEX(K693, 2))</f>
        <v/>
      </c>
      <c r="L692" s="166" t="str">
        <f aca="false" ca="false" dt2D="false" dtr="false" t="normal">IF(J412="", "", IF(LEN(L693)&gt;2, MID(L693, 2, 2), L693))</f>
        <v/>
      </c>
      <c r="N692" s="63" t="s">
        <v>181</v>
      </c>
      <c r="P692" s="136" t="n">
        <f aca="false" ca="false" dt2D="false" dtr="false" t="normal">MID(H688, 5, 1)</f>
        <v>0</v>
      </c>
      <c r="Q692" s="137" t="n">
        <f aca="false" ca="false" dt2D="false" dtr="false" t="normal">P692</f>
        <v>0</v>
      </c>
      <c r="R692" s="120" t="s">
        <v>200</v>
      </c>
      <c r="S692" s="139" t="s">
        <v>2579</v>
      </c>
      <c r="T692" s="136" t="n">
        <f aca="false" ca="false" dt2D="false" dtr="false" t="normal">MID(I688, 5, 1)</f>
        <v>0</v>
      </c>
      <c r="U692" s="137" t="n">
        <f aca="false" ca="false" dt2D="false" dtr="false" t="normal">T692</f>
        <v>0</v>
      </c>
      <c r="V692" s="120" t="s">
        <v>200</v>
      </c>
      <c r="W692" s="139" t="s">
        <v>2580</v>
      </c>
      <c r="X692" s="136" t="n">
        <f aca="false" ca="false" dt2D="false" dtr="false" t="normal">MID(J688, 5, 1)</f>
        <v>0</v>
      </c>
      <c r="Y692" s="137" t="n">
        <f aca="false" ca="false" dt2D="false" dtr="false" t="normal">X692</f>
        <v>0</v>
      </c>
      <c r="Z692" s="120" t="s">
        <v>200</v>
      </c>
      <c r="AA692" s="139" t="s">
        <v>2581</v>
      </c>
      <c r="AB692" s="136" t="n">
        <f aca="false" ca="false" dt2D="false" dtr="false" t="normal">MID(K688, 5, 1)</f>
        <v>0</v>
      </c>
      <c r="AC692" s="137" t="n">
        <f aca="false" ca="false" dt2D="false" dtr="false" t="normal">AB692</f>
        <v>0</v>
      </c>
      <c r="AD692" s="120" t="s">
        <v>200</v>
      </c>
      <c r="AE692" s="139" t="s">
        <v>2582</v>
      </c>
      <c r="AF692" s="6790" t="s"/>
      <c r="AG692" s="142" t="s"/>
      <c r="AH692" s="142" t="s"/>
      <c r="AI692" s="6791" t="s"/>
      <c r="AJ692" s="121" t="n"/>
      <c r="AK692" s="121" t="n"/>
      <c r="AL692" s="6792" t="s"/>
    </row>
    <row hidden="false" ht="15" outlineLevel="0" r="693">
      <c r="C693" s="98" t="s">
        <v>185</v>
      </c>
      <c r="D693" s="53" t="n">
        <f aca="false" ca="false" dt2D="false" dtr="false" t="normal">HEX2BIN(D692, 8)</f>
        <v>0</v>
      </c>
      <c r="E693" s="53" t="n">
        <f aca="false" ca="false" dt2D="false" dtr="false" t="normal">HEX2BIN(E692, 8)</f>
        <v>0</v>
      </c>
      <c r="F693" s="53" t="n">
        <f aca="false" ca="false" dt2D="false" dtr="false" t="normal">HEX2BIN(F692, 8)</f>
        <v>0</v>
      </c>
      <c r="G693" s="53" t="n">
        <f aca="false" ca="false" dt2D="false" dtr="false" t="normal">HEX2BIN(G692, 8)</f>
        <v>0</v>
      </c>
      <c r="H693" s="171" t="n">
        <f aca="false" ca="false" dt2D="false" dtr="false" t="normal">Q688&amp;Q689&amp;Q690&amp;Q691&amp;Q692&amp;Q693&amp;Q694&amp;Q695</f>
        <v>0</v>
      </c>
      <c r="I693" s="53" t="n">
        <f aca="false" ca="false" dt2D="false" dtr="false" t="normal">U688&amp;U689&amp;U690&amp;U691&amp;U692&amp;U693&amp;U694&amp;U695</f>
        <v>0</v>
      </c>
      <c r="J693" s="171" t="n">
        <f aca="false" ca="false" dt2D="false" dtr="false" t="normal">Y688&amp;Y689&amp;Y690&amp;Y691&amp;Y692&amp;Y693&amp;Y694&amp;Y695</f>
        <v>0</v>
      </c>
      <c r="K693" s="171" t="n">
        <f aca="false" ca="false" dt2D="false" dtr="false" t="normal">AC688&amp;AC689&amp;AC690&amp;AC691&amp;AC692&amp;AC693&amp;AC694&amp;AC695</f>
        <v>0</v>
      </c>
      <c r="L693" s="53" t="n">
        <f aca="false" ca="false" dt2D="false" dtr="false" t="normal">DEC2HEX(L694)</f>
        <v>0</v>
      </c>
      <c r="N693" s="63" t="n"/>
      <c r="P693" s="136" t="n">
        <f aca="false" ca="false" dt2D="false" dtr="false" t="normal">MID(H688, 6, 1)</f>
        <v>0</v>
      </c>
      <c r="Q693" s="137" t="n">
        <f aca="false" ca="false" dt2D="false" dtr="false" t="normal">P693</f>
        <v>0</v>
      </c>
      <c r="R693" s="120" t="s">
        <v>203</v>
      </c>
      <c r="S693" s="139" t="s">
        <v>2583</v>
      </c>
      <c r="T693" s="136" t="n">
        <f aca="false" ca="false" dt2D="false" dtr="false" t="normal">MID(I688, 6, 1)</f>
        <v>0</v>
      </c>
      <c r="U693" s="137" t="n">
        <f aca="false" ca="false" dt2D="false" dtr="false" t="normal">T693</f>
        <v>0</v>
      </c>
      <c r="V693" s="120" t="s">
        <v>203</v>
      </c>
      <c r="W693" s="139" t="s">
        <v>2584</v>
      </c>
      <c r="X693" s="136" t="n">
        <f aca="false" ca="false" dt2D="false" dtr="false" t="normal">MID(J688, 6, 1)</f>
        <v>0</v>
      </c>
      <c r="Y693" s="137" t="n">
        <f aca="false" ca="false" dt2D="false" dtr="false" t="normal">X693</f>
        <v>0</v>
      </c>
      <c r="Z693" s="120" t="s">
        <v>203</v>
      </c>
      <c r="AA693" s="139" t="s">
        <v>2585</v>
      </c>
      <c r="AB693" s="136" t="n">
        <f aca="false" ca="false" dt2D="false" dtr="false" t="normal">MID(K688, 6, 1)</f>
        <v>0</v>
      </c>
      <c r="AC693" s="137" t="n">
        <f aca="false" ca="false" dt2D="false" dtr="false" t="normal">AB693</f>
        <v>0</v>
      </c>
      <c r="AD693" s="120" t="s">
        <v>203</v>
      </c>
      <c r="AE693" s="139" t="s">
        <v>2586</v>
      </c>
      <c r="AF693" s="6793" t="s"/>
      <c r="AG693" s="142" t="s"/>
      <c r="AH693" s="142" t="s"/>
      <c r="AI693" s="6794" t="s"/>
      <c r="AJ693" s="121" t="n"/>
      <c r="AK693" s="121" t="n"/>
      <c r="AL693" s="6795" t="s"/>
    </row>
    <row hidden="false" ht="15" outlineLevel="0" r="694">
      <c r="C694" s="98" t="s">
        <v>191</v>
      </c>
      <c r="D694" s="53" t="n">
        <f aca="false" ca="false" dt2D="false" dtr="false" t="normal">HEX2DEC(D692)</f>
        <v>0</v>
      </c>
      <c r="E694" s="53" t="n">
        <f aca="false" ca="false" dt2D="false" dtr="false" t="normal">HEX2DEC(E692)</f>
        <v>0</v>
      </c>
      <c r="F694" s="53" t="n">
        <f aca="false" ca="false" dt2D="false" dtr="false" t="normal">HEX2DEC(F692)</f>
        <v>0</v>
      </c>
      <c r="G694" s="53" t="n">
        <f aca="false" ca="false" dt2D="false" dtr="false" t="normal">HEX2DEC(G692)</f>
        <v>0</v>
      </c>
      <c r="H694" s="53" t="n">
        <f aca="false" ca="false" dt2D="false" dtr="false" t="normal">HEX2DEC(H692)</f>
        <v>0</v>
      </c>
      <c r="I694" s="53" t="n">
        <f aca="false" ca="false" dt2D="false" dtr="false" t="normal">HEX2DEC(I692)</f>
        <v>0</v>
      </c>
      <c r="J694" s="53" t="n">
        <f aca="false" ca="false" dt2D="false" dtr="false" t="normal">HEX2DEC(J692)</f>
        <v>0</v>
      </c>
      <c r="K694" s="53" t="n">
        <f aca="false" ca="false" dt2D="false" dtr="false" t="normal">HEX2DEC(K692)</f>
        <v>0</v>
      </c>
      <c r="L694" s="53" t="n">
        <f aca="false" ca="false" dt2D="false" dtr="false" t="normal">SUM(D694:K694)</f>
        <v>0</v>
      </c>
      <c r="N694" s="63" t="n"/>
      <c r="P694" s="136" t="n">
        <f aca="false" ca="false" dt2D="false" dtr="false" t="normal">MID(H688, 7, 1)</f>
        <v>0</v>
      </c>
      <c r="Q694" s="137" t="n">
        <f aca="false" ca="false" dt2D="false" dtr="false" t="normal">P694</f>
        <v>0</v>
      </c>
      <c r="R694" s="120" t="s">
        <v>206</v>
      </c>
      <c r="S694" s="139" t="s">
        <v>2587</v>
      </c>
      <c r="T694" s="136" t="n">
        <f aca="false" ca="false" dt2D="false" dtr="false" t="normal">MID(I688, 7, 1)</f>
        <v>0</v>
      </c>
      <c r="U694" s="137" t="n">
        <f aca="false" ca="false" dt2D="false" dtr="false" t="normal">T694</f>
        <v>0</v>
      </c>
      <c r="V694" s="120" t="s">
        <v>206</v>
      </c>
      <c r="W694" s="139" t="s">
        <v>2588</v>
      </c>
      <c r="X694" s="136" t="n">
        <f aca="false" ca="false" dt2D="false" dtr="false" t="normal">MID(J688, 7, 1)</f>
        <v>0</v>
      </c>
      <c r="Y694" s="137" t="n">
        <f aca="false" ca="false" dt2D="false" dtr="false" t="normal">X694</f>
        <v>0</v>
      </c>
      <c r="Z694" s="120" t="s">
        <v>206</v>
      </c>
      <c r="AA694" s="139" t="s">
        <v>2589</v>
      </c>
      <c r="AB694" s="136" t="n">
        <f aca="false" ca="false" dt2D="false" dtr="false" t="normal">MID(K688, 7, 1)</f>
        <v>0</v>
      </c>
      <c r="AC694" s="137" t="n">
        <f aca="false" ca="false" dt2D="false" dtr="false" t="normal">AB694</f>
        <v>0</v>
      </c>
      <c r="AD694" s="120" t="s">
        <v>206</v>
      </c>
      <c r="AE694" s="139" t="s">
        <v>2590</v>
      </c>
      <c r="AF694" s="6796" t="s"/>
      <c r="AG694" s="142" t="s"/>
      <c r="AH694" s="142" t="s"/>
      <c r="AI694" s="6797" t="s"/>
      <c r="AJ694" s="121" t="n"/>
      <c r="AK694" s="121" t="n"/>
      <c r="AL694" s="6798" t="s"/>
    </row>
    <row hidden="false" ht="15.75" outlineLevel="0" r="695">
      <c r="C695" s="180" t="s">
        <v>194</v>
      </c>
      <c r="D695" s="299" t="str">
        <f aca="false" ca="false" dt2D="false" dtr="false" t="normal">D690</f>
        <v/>
      </c>
      <c r="E695" s="299" t="str">
        <f aca="false" ca="false" dt2D="false" dtr="false" t="normal">E690</f>
        <v/>
      </c>
      <c r="F695" s="299" t="str">
        <f aca="false" ca="false" dt2D="false" dtr="false" t="normal">F690</f>
        <v/>
      </c>
      <c r="G695" s="299" t="str">
        <f aca="false" ca="false" dt2D="false" dtr="false" t="normal">G690</f>
        <v/>
      </c>
      <c r="H695" s="45" t="n"/>
      <c r="I695" s="45" t="n"/>
      <c r="J695" s="45" t="n"/>
      <c r="K695" s="45" t="n"/>
      <c r="L695" s="45" t="n"/>
      <c r="M695" s="45" t="n"/>
      <c r="N695" s="49" t="n"/>
      <c r="P695" s="182" t="n">
        <f aca="false" ca="false" dt2D="false" dtr="false" t="normal">MID(H688, 8, 1)</f>
        <v>0</v>
      </c>
      <c r="Q695" s="183" t="n">
        <f aca="false" ca="false" dt2D="false" dtr="false" t="normal">P695</f>
        <v>0</v>
      </c>
      <c r="R695" s="184" t="s">
        <v>208</v>
      </c>
      <c r="S695" s="187" t="s">
        <v>2591</v>
      </c>
      <c r="T695" s="182" t="n">
        <f aca="false" ca="false" dt2D="false" dtr="false" t="normal">MID(I688, 8, 1)</f>
        <v>0</v>
      </c>
      <c r="U695" s="183" t="n">
        <f aca="false" ca="false" dt2D="false" dtr="false" t="normal">T695</f>
        <v>0</v>
      </c>
      <c r="V695" s="184" t="s">
        <v>208</v>
      </c>
      <c r="W695" s="187" t="s">
        <v>2592</v>
      </c>
      <c r="X695" s="182" t="n">
        <f aca="false" ca="false" dt2D="false" dtr="false" t="normal">MID(J688, 8, 1)</f>
        <v>0</v>
      </c>
      <c r="Y695" s="183" t="n">
        <f aca="false" ca="false" dt2D="false" dtr="false" t="normal">X695</f>
        <v>0</v>
      </c>
      <c r="Z695" s="184" t="s">
        <v>208</v>
      </c>
      <c r="AA695" s="187" t="s">
        <v>2593</v>
      </c>
      <c r="AB695" s="182" t="n">
        <f aca="false" ca="false" dt2D="false" dtr="false" t="normal">MID(K688, 8, 1)</f>
        <v>0</v>
      </c>
      <c r="AC695" s="183" t="n">
        <f aca="false" ca="false" dt2D="false" dtr="false" t="normal">AB695</f>
        <v>0</v>
      </c>
      <c r="AD695" s="184" t="s">
        <v>208</v>
      </c>
      <c r="AE695" s="187" t="s">
        <v>2594</v>
      </c>
      <c r="AF695" s="6799" t="s"/>
      <c r="AG695" s="6800" t="s"/>
      <c r="AH695" s="6801" t="s"/>
      <c r="AI695" s="6802" t="s"/>
      <c r="AJ695" s="121" t="n"/>
      <c r="AK695" s="121" t="n"/>
      <c r="AL695" s="6803" t="s"/>
    </row>
    <row hidden="false" ht="15" outlineLevel="0" r="696"/>
    <row hidden="false" ht="15" outlineLevel="0" r="697"/>
    <row hidden="false" ht="15" outlineLevel="0" r="698"/>
    <row hidden="false" ht="15" outlineLevel="0" r="699"/>
    <row hidden="false" ht="15" outlineLevel="0" r="700"/>
  </sheetData>
  <mergeCells count="758">
    <mergeCell ref="D686:G686"/>
    <mergeCell ref="D620:G620"/>
    <mergeCell ref="D609:G609"/>
    <mergeCell ref="D598:G598"/>
    <mergeCell ref="D631:G631"/>
    <mergeCell ref="D642:G642"/>
    <mergeCell ref="D653:G653"/>
    <mergeCell ref="D675:G675"/>
    <mergeCell ref="D664:G664"/>
    <mergeCell ref="D433:G433"/>
    <mergeCell ref="D444:G444"/>
    <mergeCell ref="D455:G455"/>
    <mergeCell ref="D466:G466"/>
    <mergeCell ref="D477:G477"/>
    <mergeCell ref="D510:G510"/>
    <mergeCell ref="D521:G521"/>
    <mergeCell ref="D532:G532"/>
    <mergeCell ref="D543:G543"/>
    <mergeCell ref="D554:G554"/>
    <mergeCell ref="D565:G565"/>
    <mergeCell ref="D576:G576"/>
    <mergeCell ref="D587:G587"/>
    <mergeCell ref="P598:S598"/>
    <mergeCell ref="P587:S587"/>
    <mergeCell ref="P586:Q586"/>
    <mergeCell ref="P576:S576"/>
    <mergeCell ref="P575:Q575"/>
    <mergeCell ref="P565:S565"/>
    <mergeCell ref="P564:Q564"/>
    <mergeCell ref="P597:Q597"/>
    <mergeCell ref="P609:S609"/>
    <mergeCell ref="P543:S543"/>
    <mergeCell ref="P553:Q553"/>
    <mergeCell ref="P554:S554"/>
    <mergeCell ref="T488:W488"/>
    <mergeCell ref="X488:AA488"/>
    <mergeCell ref="S490:S492"/>
    <mergeCell ref="P498:Q498"/>
    <mergeCell ref="P499:S499"/>
    <mergeCell ref="X499:AA499"/>
    <mergeCell ref="T499:W499"/>
    <mergeCell ref="AB499:AE499"/>
    <mergeCell ref="AF499:AI499"/>
    <mergeCell ref="R498:AK498"/>
    <mergeCell ref="AJ499:AK499"/>
    <mergeCell ref="D488:G488"/>
    <mergeCell ref="D499:G499"/>
    <mergeCell ref="AJ489:AK497"/>
    <mergeCell ref="R3:AK3"/>
    <mergeCell ref="AJ4:AK4"/>
    <mergeCell ref="AF4:AI4"/>
    <mergeCell ref="AB4:AE4"/>
    <mergeCell ref="X4:AA4"/>
    <mergeCell ref="X1:Z1"/>
    <mergeCell ref="T1:V1"/>
    <mergeCell ref="T4:W4"/>
    <mergeCell ref="A1:B1"/>
    <mergeCell ref="C2:E2"/>
    <mergeCell ref="O1:S1"/>
    <mergeCell ref="G2:M2"/>
    <mergeCell ref="P3:Q3"/>
    <mergeCell ref="D4:G4"/>
    <mergeCell ref="P4:S4"/>
    <mergeCell ref="S10:S12"/>
    <mergeCell ref="D15:G15"/>
    <mergeCell ref="D26:G26"/>
    <mergeCell ref="P26:S26"/>
    <mergeCell ref="T26:W26"/>
    <mergeCell ref="AB26:AE26"/>
    <mergeCell ref="X26:AA26"/>
    <mergeCell ref="AJ27:AK35"/>
    <mergeCell ref="R36:AK36"/>
    <mergeCell ref="AJ37:AK37"/>
    <mergeCell ref="AF37:AI37"/>
    <mergeCell ref="AB37:AE37"/>
    <mergeCell ref="X37:AA37"/>
    <mergeCell ref="T37:W37"/>
    <mergeCell ref="P36:Q36"/>
    <mergeCell ref="P37:S37"/>
    <mergeCell ref="D37:G37"/>
    <mergeCell ref="R47:AK47"/>
    <mergeCell ref="AF48:AI48"/>
    <mergeCell ref="AB48:AE48"/>
    <mergeCell ref="X48:AA48"/>
    <mergeCell ref="T48:W48"/>
    <mergeCell ref="P47:Q47"/>
    <mergeCell ref="P48:S48"/>
    <mergeCell ref="D48:G48"/>
    <mergeCell ref="D59:G59"/>
    <mergeCell ref="R25:AK25"/>
    <mergeCell ref="AJ16:AK24"/>
    <mergeCell ref="AJ15:AK15"/>
    <mergeCell ref="AF15:AI15"/>
    <mergeCell ref="R14:AK14"/>
    <mergeCell ref="AB15:AE15"/>
    <mergeCell ref="W17:W18"/>
    <mergeCell ref="X15:AA15"/>
    <mergeCell ref="P25:Q25"/>
    <mergeCell ref="T15:W15"/>
    <mergeCell ref="P15:S15"/>
    <mergeCell ref="P14:Q14"/>
    <mergeCell ref="AJ5:AK13"/>
    <mergeCell ref="AF26:AI26"/>
    <mergeCell ref="AJ26:AK26"/>
    <mergeCell ref="AA11:AA12"/>
    <mergeCell ref="D70:G70"/>
    <mergeCell ref="D81:G81"/>
    <mergeCell ref="D92:G92"/>
    <mergeCell ref="P81:S81"/>
    <mergeCell ref="T81:W81"/>
    <mergeCell ref="X81:AA81"/>
    <mergeCell ref="AB81:AE81"/>
    <mergeCell ref="AJ81:AK81"/>
    <mergeCell ref="AF81:AI81"/>
    <mergeCell ref="D103:G103"/>
    <mergeCell ref="D114:G114"/>
    <mergeCell ref="H113:I113"/>
    <mergeCell ref="D125:G125"/>
    <mergeCell ref="P113:Q113"/>
    <mergeCell ref="P114:W114"/>
    <mergeCell ref="X114:AA114"/>
    <mergeCell ref="AB114:AE114"/>
    <mergeCell ref="AF114:AI114"/>
    <mergeCell ref="P125:S125"/>
    <mergeCell ref="D136:G136"/>
    <mergeCell ref="AJ147:AK147"/>
    <mergeCell ref="AF147:AI147"/>
    <mergeCell ref="AB147:AE147"/>
    <mergeCell ref="X147:AA147"/>
    <mergeCell ref="T147:W147"/>
    <mergeCell ref="D147:G147"/>
    <mergeCell ref="D158:G158"/>
    <mergeCell ref="D169:G169"/>
    <mergeCell ref="D180:G180"/>
    <mergeCell ref="D191:G191"/>
    <mergeCell ref="D202:G202"/>
    <mergeCell ref="D213:G213"/>
    <mergeCell ref="D224:G224"/>
    <mergeCell ref="D235:G235"/>
    <mergeCell ref="D246:G246"/>
    <mergeCell ref="D257:G257"/>
    <mergeCell ref="D334:G334"/>
    <mergeCell ref="D323:G323"/>
    <mergeCell ref="D312:G312"/>
    <mergeCell ref="D301:G301"/>
    <mergeCell ref="D290:G290"/>
    <mergeCell ref="D279:G279"/>
    <mergeCell ref="D268:G268"/>
    <mergeCell ref="D345:G345"/>
    <mergeCell ref="D356:G356"/>
    <mergeCell ref="D367:G367"/>
    <mergeCell ref="D378:G378"/>
    <mergeCell ref="D389:G389"/>
    <mergeCell ref="D400:G400"/>
    <mergeCell ref="D411:G411"/>
    <mergeCell ref="D422:G422"/>
    <mergeCell ref="AJ38:AK46"/>
    <mergeCell ref="AJ48:AK48"/>
    <mergeCell ref="AJ49:AK57"/>
    <mergeCell ref="AJ59:AK59"/>
    <mergeCell ref="AJ60:AK68"/>
    <mergeCell ref="AJ71:AK79"/>
    <mergeCell ref="AJ103:AK103"/>
    <mergeCell ref="AJ104:AK112"/>
    <mergeCell ref="AJ114:AK114"/>
    <mergeCell ref="AJ115:AK123"/>
    <mergeCell ref="AJ125:AK125"/>
    <mergeCell ref="AJ126:AK134"/>
    <mergeCell ref="AJ136:AK136"/>
    <mergeCell ref="AM69:AM101"/>
    <mergeCell ref="AL58:AL79"/>
    <mergeCell ref="AJ70:AK70"/>
    <mergeCell ref="AJ82:AK90"/>
    <mergeCell ref="AJ202:AK202"/>
    <mergeCell ref="AJ191:AK191"/>
    <mergeCell ref="AJ181:AK189"/>
    <mergeCell ref="AJ137:AK145"/>
    <mergeCell ref="AJ180:AK180"/>
    <mergeCell ref="AJ170:AK178"/>
    <mergeCell ref="AJ169:AK169"/>
    <mergeCell ref="AF180:AI180"/>
    <mergeCell ref="AF170:AI178"/>
    <mergeCell ref="AF169:AI169"/>
    <mergeCell ref="AJ159:AK167"/>
    <mergeCell ref="AJ158:AK158"/>
    <mergeCell ref="AF158:AI158"/>
    <mergeCell ref="AF159:AI167"/>
    <mergeCell ref="AJ148:AK156"/>
    <mergeCell ref="AF148:AI156"/>
    <mergeCell ref="AF202:AI202"/>
    <mergeCell ref="P256:Q256"/>
    <mergeCell ref="R256:AK256"/>
    <mergeCell ref="X257:AA257"/>
    <mergeCell ref="T257:W257"/>
    <mergeCell ref="AJ257:AK257"/>
    <mergeCell ref="P257:S257"/>
    <mergeCell ref="AF257:AI257"/>
    <mergeCell ref="AB257:AE257"/>
    <mergeCell ref="AJ224:AK224"/>
    <mergeCell ref="AB224:AE224"/>
    <mergeCell ref="X224:AA224"/>
    <mergeCell ref="T224:W224"/>
    <mergeCell ref="R223:AK223"/>
    <mergeCell ref="P223:Q223"/>
    <mergeCell ref="AB214:AE222"/>
    <mergeCell ref="AJ214:AK222"/>
    <mergeCell ref="AF214:AI222"/>
    <mergeCell ref="AF224:AI224"/>
    <mergeCell ref="P224:S224"/>
    <mergeCell ref="P212:Q212"/>
    <mergeCell ref="P213:S213"/>
    <mergeCell ref="R212:AK212"/>
    <mergeCell ref="AF213:AI213"/>
    <mergeCell ref="AJ213:AK213"/>
    <mergeCell ref="T213:W213"/>
    <mergeCell ref="X213:AA213"/>
    <mergeCell ref="AB213:AE213"/>
    <mergeCell ref="R234:AK234"/>
    <mergeCell ref="P234:Q234"/>
    <mergeCell ref="T235:W235"/>
    <mergeCell ref="AB235:AE235"/>
    <mergeCell ref="X235:AA235"/>
    <mergeCell ref="P235:S235"/>
    <mergeCell ref="AJ236:AK244"/>
    <mergeCell ref="X236:AA244"/>
    <mergeCell ref="T236:W244"/>
    <mergeCell ref="P246:S246"/>
    <mergeCell ref="X246:AA246"/>
    <mergeCell ref="AB246:AE246"/>
    <mergeCell ref="AF246:AI246"/>
    <mergeCell ref="AJ246:AK246"/>
    <mergeCell ref="T246:W246"/>
    <mergeCell ref="R245:AK245"/>
    <mergeCell ref="P245:Q245"/>
    <mergeCell ref="AF247:AI255"/>
    <mergeCell ref="AJ247:AK255"/>
    <mergeCell ref="P258:S266"/>
    <mergeCell ref="W260:W262"/>
    <mergeCell ref="AJ258:AK266"/>
    <mergeCell ref="AE265:AE266"/>
    <mergeCell ref="P267:Q267"/>
    <mergeCell ref="R267:AK267"/>
    <mergeCell ref="P268:S268"/>
    <mergeCell ref="AF268:AI268"/>
    <mergeCell ref="T268:W268"/>
    <mergeCell ref="AB268:AE268"/>
    <mergeCell ref="X268:AA268"/>
    <mergeCell ref="AJ268:AK268"/>
    <mergeCell ref="AJ279:AK279"/>
    <mergeCell ref="R278:AK278"/>
    <mergeCell ref="AB269:AE277"/>
    <mergeCell ref="AJ269:AK277"/>
    <mergeCell ref="X269:AA277"/>
    <mergeCell ref="AF279:AI279"/>
    <mergeCell ref="AB279:AE279"/>
    <mergeCell ref="X279:AA279"/>
    <mergeCell ref="P278:Q278"/>
    <mergeCell ref="T279:W279"/>
    <mergeCell ref="P279:S279"/>
    <mergeCell ref="R58:AK58"/>
    <mergeCell ref="AB59:AE59"/>
    <mergeCell ref="AF59:AI59"/>
    <mergeCell ref="R80:AK80"/>
    <mergeCell ref="X59:AA59"/>
    <mergeCell ref="P58:Q58"/>
    <mergeCell ref="T59:W59"/>
    <mergeCell ref="P59:S59"/>
    <mergeCell ref="R69:AK69"/>
    <mergeCell ref="AF70:AI70"/>
    <mergeCell ref="AB70:AE70"/>
    <mergeCell ref="X70:AA70"/>
    <mergeCell ref="T70:W70"/>
    <mergeCell ref="P69:Q69"/>
    <mergeCell ref="P70:S70"/>
    <mergeCell ref="P80:Q80"/>
    <mergeCell ref="P91:Q91"/>
    <mergeCell ref="T92:W92"/>
    <mergeCell ref="X92:AA92"/>
    <mergeCell ref="P92:S92"/>
    <mergeCell ref="R91:AK91"/>
    <mergeCell ref="AF92:AI92"/>
    <mergeCell ref="AB92:AE92"/>
    <mergeCell ref="AF93:AI101"/>
    <mergeCell ref="R113:AK113"/>
    <mergeCell ref="W111:W112"/>
    <mergeCell ref="W109:W110"/>
    <mergeCell ref="W107:W108"/>
    <mergeCell ref="AA105:AA106"/>
    <mergeCell ref="W105:W106"/>
    <mergeCell ref="P103:S103"/>
    <mergeCell ref="AF103:AI103"/>
    <mergeCell ref="AB103:AE103"/>
    <mergeCell ref="X103:AA103"/>
    <mergeCell ref="T103:W103"/>
    <mergeCell ref="P102:Q102"/>
    <mergeCell ref="R102:AK102"/>
    <mergeCell ref="S107:S108"/>
    <mergeCell ref="AA107:AA108"/>
    <mergeCell ref="S109:S110"/>
    <mergeCell ref="S111:S112"/>
    <mergeCell ref="P135:Q135"/>
    <mergeCell ref="P124:Q124"/>
    <mergeCell ref="R124:AK124"/>
    <mergeCell ref="T125:W125"/>
    <mergeCell ref="X125:AA125"/>
    <mergeCell ref="AB125:AE125"/>
    <mergeCell ref="AF125:AI125"/>
    <mergeCell ref="AB126:AE134"/>
    <mergeCell ref="AF126:AI134"/>
    <mergeCell ref="R135:AK135"/>
    <mergeCell ref="AF136:AI136"/>
    <mergeCell ref="T136:W136"/>
    <mergeCell ref="X136:AA136"/>
    <mergeCell ref="AB136:AE136"/>
    <mergeCell ref="AB137:AE145"/>
    <mergeCell ref="R168:AK168"/>
    <mergeCell ref="R157:AK157"/>
    <mergeCell ref="AF137:AI145"/>
    <mergeCell ref="R146:AK146"/>
    <mergeCell ref="R179:AK179"/>
    <mergeCell ref="X137:AA145"/>
    <mergeCell ref="X148:AA156"/>
    <mergeCell ref="X158:AA158"/>
    <mergeCell ref="X159:AA167"/>
    <mergeCell ref="X169:AA169"/>
    <mergeCell ref="X170:AA178"/>
    <mergeCell ref="X180:AA180"/>
    <mergeCell ref="X181:AA189"/>
    <mergeCell ref="AB148:AE156"/>
    <mergeCell ref="AB158:AE158"/>
    <mergeCell ref="AB159:AE167"/>
    <mergeCell ref="AB169:AE169"/>
    <mergeCell ref="AB170:AE178"/>
    <mergeCell ref="AB180:AE180"/>
    <mergeCell ref="AB181:AE189"/>
    <mergeCell ref="P180:S180"/>
    <mergeCell ref="P179:Q179"/>
    <mergeCell ref="P170:S178"/>
    <mergeCell ref="P169:S169"/>
    <mergeCell ref="P168:Q168"/>
    <mergeCell ref="P159:S167"/>
    <mergeCell ref="P158:S158"/>
    <mergeCell ref="P157:Q157"/>
    <mergeCell ref="P148:S156"/>
    <mergeCell ref="P147:S147"/>
    <mergeCell ref="P146:Q146"/>
    <mergeCell ref="P137:S145"/>
    <mergeCell ref="P136:S136"/>
    <mergeCell ref="P181:S189"/>
    <mergeCell ref="P203:S211"/>
    <mergeCell ref="S226:S233"/>
    <mergeCell ref="T203:W211"/>
    <mergeCell ref="W226:W233"/>
    <mergeCell ref="T180:W180"/>
    <mergeCell ref="T170:W178"/>
    <mergeCell ref="T169:W169"/>
    <mergeCell ref="T159:W167"/>
    <mergeCell ref="T158:W158"/>
    <mergeCell ref="T148:W156"/>
    <mergeCell ref="T137:W145"/>
    <mergeCell ref="P190:Q190"/>
    <mergeCell ref="P191:S191"/>
    <mergeCell ref="R190:AK190"/>
    <mergeCell ref="T191:W191"/>
    <mergeCell ref="X191:AA191"/>
    <mergeCell ref="P201:Q201"/>
    <mergeCell ref="P202:S202"/>
    <mergeCell ref="R201:AK201"/>
    <mergeCell ref="T202:W202"/>
    <mergeCell ref="X202:AA202"/>
    <mergeCell ref="AB191:AE191"/>
    <mergeCell ref="AB202:AE202"/>
    <mergeCell ref="AE198:AE199"/>
    <mergeCell ref="AA199:AA200"/>
    <mergeCell ref="AJ203:AK211"/>
    <mergeCell ref="AJ192:AK200"/>
    <mergeCell ref="AE195:AE196"/>
    <mergeCell ref="AF191:AI191"/>
    <mergeCell ref="AJ225:AK233"/>
    <mergeCell ref="AJ235:AK235"/>
    <mergeCell ref="AF235:AI235"/>
    <mergeCell ref="AJ280:AK288"/>
    <mergeCell ref="AJ290:AK290"/>
    <mergeCell ref="AJ291:AK299"/>
    <mergeCell ref="AJ301:AK301"/>
    <mergeCell ref="AJ302:AK310"/>
    <mergeCell ref="AJ312:AK312"/>
    <mergeCell ref="AJ313:AK321"/>
    <mergeCell ref="AJ323:AK323"/>
    <mergeCell ref="AJ324:AK332"/>
    <mergeCell ref="AJ334:AK334"/>
    <mergeCell ref="AJ335:AK343"/>
    <mergeCell ref="AJ345:AK345"/>
    <mergeCell ref="AJ346:AK354"/>
    <mergeCell ref="AA282:AA283"/>
    <mergeCell ref="AA285:AA286"/>
    <mergeCell ref="X290:AA290"/>
    <mergeCell ref="T290:W290"/>
    <mergeCell ref="S285:S287"/>
    <mergeCell ref="P289:Q289"/>
    <mergeCell ref="P290:S290"/>
    <mergeCell ref="W353:W354"/>
    <mergeCell ref="W348:W349"/>
    <mergeCell ref="X334:AA334"/>
    <mergeCell ref="X324:AA332"/>
    <mergeCell ref="T334:W334"/>
    <mergeCell ref="T324:W332"/>
    <mergeCell ref="P378:S378"/>
    <mergeCell ref="P379:S387"/>
    <mergeCell ref="P355:Q355"/>
    <mergeCell ref="P377:Q377"/>
    <mergeCell ref="AJ379:AK387"/>
    <mergeCell ref="AJ378:AK378"/>
    <mergeCell ref="AJ357:AK365"/>
    <mergeCell ref="AJ368:AK376"/>
    <mergeCell ref="R289:AK289"/>
    <mergeCell ref="AF290:AI290"/>
    <mergeCell ref="AB290:AE290"/>
    <mergeCell ref="AA292:AA295"/>
    <mergeCell ref="P291:S299"/>
    <mergeCell ref="T291:W299"/>
    <mergeCell ref="P300:Q300"/>
    <mergeCell ref="R300:AK300"/>
    <mergeCell ref="X301:AA301"/>
    <mergeCell ref="T301:W301"/>
    <mergeCell ref="AF301:AI301"/>
    <mergeCell ref="AB301:AE301"/>
    <mergeCell ref="P301:S301"/>
    <mergeCell ref="R311:AK311"/>
    <mergeCell ref="T312:W312"/>
    <mergeCell ref="X312:AA312"/>
    <mergeCell ref="AB302:AE310"/>
    <mergeCell ref="AF302:AI310"/>
    <mergeCell ref="AB312:AE312"/>
    <mergeCell ref="AF312:AI312"/>
    <mergeCell ref="AE316:AE317"/>
    <mergeCell ref="R322:AK322"/>
    <mergeCell ref="AB323:AE323"/>
    <mergeCell ref="T323:W323"/>
    <mergeCell ref="X323:AA323"/>
    <mergeCell ref="AF323:AI323"/>
    <mergeCell ref="P311:Q311"/>
    <mergeCell ref="P312:S312"/>
    <mergeCell ref="P322:Q322"/>
    <mergeCell ref="P323:S323"/>
    <mergeCell ref="S304:S306"/>
    <mergeCell ref="S314:S317"/>
    <mergeCell ref="P333:Q333"/>
    <mergeCell ref="P334:S334"/>
    <mergeCell ref="P345:S345"/>
    <mergeCell ref="P346:S354"/>
    <mergeCell ref="S320:S321"/>
    <mergeCell ref="P344:Q344"/>
    <mergeCell ref="P356:S356"/>
    <mergeCell ref="P366:Q366"/>
    <mergeCell ref="P367:S367"/>
    <mergeCell ref="R333:AK333"/>
    <mergeCell ref="AB334:AE334"/>
    <mergeCell ref="AF334:AI334"/>
    <mergeCell ref="AF335:AI343"/>
    <mergeCell ref="W337:W343"/>
    <mergeCell ref="R344:AK344"/>
    <mergeCell ref="T345:W345"/>
    <mergeCell ref="X345:AA345"/>
    <mergeCell ref="AB345:AE345"/>
    <mergeCell ref="AF345:AI345"/>
    <mergeCell ref="R355:AK355"/>
    <mergeCell ref="AB356:AE356"/>
    <mergeCell ref="AJ356:AK356"/>
    <mergeCell ref="AF356:AI356"/>
    <mergeCell ref="X356:AA356"/>
    <mergeCell ref="T356:W356"/>
    <mergeCell ref="AI359:AI361"/>
    <mergeCell ref="X357:AA365"/>
    <mergeCell ref="AB357:AE365"/>
    <mergeCell ref="AI362:AI365"/>
    <mergeCell ref="AB367:AE367"/>
    <mergeCell ref="X367:AA367"/>
    <mergeCell ref="T367:W367"/>
    <mergeCell ref="AF367:AI367"/>
    <mergeCell ref="AJ367:AK367"/>
    <mergeCell ref="R366:AK366"/>
    <mergeCell ref="R377:AK377"/>
    <mergeCell ref="AF378:AI378"/>
    <mergeCell ref="T378:W378"/>
    <mergeCell ref="AA370:AA372"/>
    <mergeCell ref="T379:W387"/>
    <mergeCell ref="X378:AA378"/>
    <mergeCell ref="AA382:AA383"/>
    <mergeCell ref="AB378:AE378"/>
    <mergeCell ref="R388:AK388"/>
    <mergeCell ref="T389:W389"/>
    <mergeCell ref="AB389:AE389"/>
    <mergeCell ref="AF389:AI389"/>
    <mergeCell ref="AJ389:AK389"/>
    <mergeCell ref="P389:S389"/>
    <mergeCell ref="P388:Q388"/>
    <mergeCell ref="P400:S400"/>
    <mergeCell ref="AB400:AE400"/>
    <mergeCell ref="T400:W400"/>
    <mergeCell ref="AF400:AI400"/>
    <mergeCell ref="AJ400:AK400"/>
    <mergeCell ref="R399:AK399"/>
    <mergeCell ref="AA397:AA398"/>
    <mergeCell ref="AJ390:AK398"/>
    <mergeCell ref="AB390:AE398"/>
    <mergeCell ref="AF390:AI398"/>
    <mergeCell ref="S393:S394"/>
    <mergeCell ref="X412:AA420"/>
    <mergeCell ref="X389:AA389"/>
    <mergeCell ref="AJ401:AK409"/>
    <mergeCell ref="X400:AA400"/>
    <mergeCell ref="X411:AA411"/>
    <mergeCell ref="AB411:AE411"/>
    <mergeCell ref="AF411:AI411"/>
    <mergeCell ref="AJ411:AK411"/>
    <mergeCell ref="R410:AK410"/>
    <mergeCell ref="R421:AK421"/>
    <mergeCell ref="AF422:AI422"/>
    <mergeCell ref="T422:W422"/>
    <mergeCell ref="AJ412:AK420"/>
    <mergeCell ref="P399:Q399"/>
    <mergeCell ref="T411:W411"/>
    <mergeCell ref="T412:W420"/>
    <mergeCell ref="P434:S442"/>
    <mergeCell ref="T433:W433"/>
    <mergeCell ref="P410:Q410"/>
    <mergeCell ref="P411:S411"/>
    <mergeCell ref="P421:Q421"/>
    <mergeCell ref="P422:S422"/>
    <mergeCell ref="P432:Q432"/>
    <mergeCell ref="P433:S433"/>
    <mergeCell ref="P443:Q443"/>
    <mergeCell ref="P444:S444"/>
    <mergeCell ref="AJ422:AK422"/>
    <mergeCell ref="AB422:AE422"/>
    <mergeCell ref="X422:AA422"/>
    <mergeCell ref="AF423:AI431"/>
    <mergeCell ref="AF433:AI433"/>
    <mergeCell ref="AB433:AE433"/>
    <mergeCell ref="X433:AA433"/>
    <mergeCell ref="AJ433:AK433"/>
    <mergeCell ref="R432:AK432"/>
    <mergeCell ref="AJ423:AK431"/>
    <mergeCell ref="AJ434:AK442"/>
    <mergeCell ref="AL421:AL695"/>
    <mergeCell ref="AJ555:AK563"/>
    <mergeCell ref="AJ533:AK541"/>
    <mergeCell ref="AJ676:AK684"/>
    <mergeCell ref="P674:Q674"/>
    <mergeCell ref="R674:AK674"/>
    <mergeCell ref="P675:S675"/>
    <mergeCell ref="T675:W675"/>
    <mergeCell ref="AB675:AE675"/>
    <mergeCell ref="AF675:AI675"/>
    <mergeCell ref="X675:AA675"/>
    <mergeCell ref="X676:AA684"/>
    <mergeCell ref="T676:W684"/>
    <mergeCell ref="R586:AK586"/>
    <mergeCell ref="AF587:AI587"/>
    <mergeCell ref="T587:W587"/>
    <mergeCell ref="X587:AA587"/>
    <mergeCell ref="AB587:AE587"/>
    <mergeCell ref="AJ588:AK596"/>
    <mergeCell ref="T588:W596"/>
    <mergeCell ref="X588:AA596"/>
    <mergeCell ref="R597:AK597"/>
    <mergeCell ref="AF598:AI598"/>
    <mergeCell ref="X598:AA598"/>
    <mergeCell ref="AB598:AE598"/>
    <mergeCell ref="T598:W598"/>
    <mergeCell ref="AJ609:AK609"/>
    <mergeCell ref="X609:AA609"/>
    <mergeCell ref="T609:W609"/>
    <mergeCell ref="X620:AA620"/>
    <mergeCell ref="AF609:AI609"/>
    <mergeCell ref="P641:Q641"/>
    <mergeCell ref="P642:S642"/>
    <mergeCell ref="T642:W642"/>
    <mergeCell ref="X642:AA642"/>
    <mergeCell ref="AB642:AE642"/>
    <mergeCell ref="AF642:AI642"/>
    <mergeCell ref="P643:S651"/>
    <mergeCell ref="T643:W651"/>
    <mergeCell ref="R641:AK641"/>
    <mergeCell ref="P664:S664"/>
    <mergeCell ref="P663:Q663"/>
    <mergeCell ref="T664:W664"/>
    <mergeCell ref="X664:AA664"/>
    <mergeCell ref="AB664:AE664"/>
    <mergeCell ref="AF664:AI664"/>
    <mergeCell ref="R663:AK663"/>
    <mergeCell ref="AJ654:AK662"/>
    <mergeCell ref="AB654:AE662"/>
    <mergeCell ref="AF654:AI662"/>
    <mergeCell ref="AF687:AI695"/>
    <mergeCell ref="AF686:AI686"/>
    <mergeCell ref="AB686:AE686"/>
    <mergeCell ref="X686:AA686"/>
    <mergeCell ref="T686:W686"/>
    <mergeCell ref="P686:S686"/>
    <mergeCell ref="P685:Q685"/>
    <mergeCell ref="R685:AK685"/>
    <mergeCell ref="AJ598:AK598"/>
    <mergeCell ref="AJ587:AK587"/>
    <mergeCell ref="AJ577:AK585"/>
    <mergeCell ref="AJ610:AK618"/>
    <mergeCell ref="AJ621:AK629"/>
    <mergeCell ref="AJ631:AK631"/>
    <mergeCell ref="AJ632:AK640"/>
    <mergeCell ref="AJ642:AK642"/>
    <mergeCell ref="AJ643:AK651"/>
    <mergeCell ref="AJ653:AK653"/>
    <mergeCell ref="AJ664:AK664"/>
    <mergeCell ref="AJ665:AK673"/>
    <mergeCell ref="AJ675:AK675"/>
    <mergeCell ref="R652:AK652"/>
    <mergeCell ref="P652:Q652"/>
    <mergeCell ref="P653:S653"/>
    <mergeCell ref="T653:W653"/>
    <mergeCell ref="AB653:AE653"/>
    <mergeCell ref="X653:AA653"/>
    <mergeCell ref="AF653:AI653"/>
    <mergeCell ref="AJ477:AK477"/>
    <mergeCell ref="AF477:AI477"/>
    <mergeCell ref="T477:W477"/>
    <mergeCell ref="X477:AA477"/>
    <mergeCell ref="P477:S477"/>
    <mergeCell ref="AB477:AE477"/>
    <mergeCell ref="AJ466:AK466"/>
    <mergeCell ref="AF466:AI466"/>
    <mergeCell ref="AB466:AE466"/>
    <mergeCell ref="T466:W466"/>
    <mergeCell ref="X466:AA466"/>
    <mergeCell ref="AA469:AA470"/>
    <mergeCell ref="T467:W475"/>
    <mergeCell ref="P467:S475"/>
    <mergeCell ref="R476:AK476"/>
    <mergeCell ref="P466:S466"/>
    <mergeCell ref="P476:Q476"/>
    <mergeCell ref="AJ467:AK475"/>
    <mergeCell ref="R465:AK465"/>
    <mergeCell ref="AF455:AI455"/>
    <mergeCell ref="AJ456:AK464"/>
    <mergeCell ref="T455:W455"/>
    <mergeCell ref="P465:Q465"/>
    <mergeCell ref="P488:S488"/>
    <mergeCell ref="P487:Q487"/>
    <mergeCell ref="R487:AK487"/>
    <mergeCell ref="AB488:AE488"/>
    <mergeCell ref="AF488:AI488"/>
    <mergeCell ref="AJ488:AK488"/>
    <mergeCell ref="S484:S486"/>
    <mergeCell ref="AB478:AE486"/>
    <mergeCell ref="AF478:AI486"/>
    <mergeCell ref="AJ478:AK486"/>
    <mergeCell ref="S481:S482"/>
    <mergeCell ref="R443:AK443"/>
    <mergeCell ref="AJ444:AK444"/>
    <mergeCell ref="AB444:AE444"/>
    <mergeCell ref="AF444:AI444"/>
    <mergeCell ref="X444:AA444"/>
    <mergeCell ref="T444:W444"/>
    <mergeCell ref="AJ445:AK453"/>
    <mergeCell ref="X445:AA453"/>
    <mergeCell ref="AB445:AE453"/>
    <mergeCell ref="R454:AK454"/>
    <mergeCell ref="X455:AA455"/>
    <mergeCell ref="AB455:AE455"/>
    <mergeCell ref="AJ455:AK455"/>
    <mergeCell ref="P454:Q454"/>
    <mergeCell ref="P455:S455"/>
    <mergeCell ref="X500:AA508"/>
    <mergeCell ref="T500:W508"/>
    <mergeCell ref="T510:W510"/>
    <mergeCell ref="X510:AA510"/>
    <mergeCell ref="AB510:AE510"/>
    <mergeCell ref="AF510:AI510"/>
    <mergeCell ref="R509:AK509"/>
    <mergeCell ref="AJ510:AK510"/>
    <mergeCell ref="AF511:AI519"/>
    <mergeCell ref="AJ511:AK519"/>
    <mergeCell ref="P509:Q509"/>
    <mergeCell ref="P510:S510"/>
    <mergeCell ref="AJ500:AK508"/>
    <mergeCell ref="R520:AK520"/>
    <mergeCell ref="P520:Q520"/>
    <mergeCell ref="P521:S521"/>
    <mergeCell ref="T521:W521"/>
    <mergeCell ref="X521:AA521"/>
    <mergeCell ref="AB521:AE521"/>
    <mergeCell ref="AF521:AI521"/>
    <mergeCell ref="AJ521:AK521"/>
    <mergeCell ref="P522:S530"/>
    <mergeCell ref="P531:Q531"/>
    <mergeCell ref="P532:S532"/>
    <mergeCell ref="AJ522:AK530"/>
    <mergeCell ref="R531:AK531"/>
    <mergeCell ref="AF532:AI532"/>
    <mergeCell ref="AJ532:AK532"/>
    <mergeCell ref="T532:W532"/>
    <mergeCell ref="X532:AA532"/>
    <mergeCell ref="AB532:AE532"/>
    <mergeCell ref="AB543:AE543"/>
    <mergeCell ref="X543:AA543"/>
    <mergeCell ref="T543:W543"/>
    <mergeCell ref="AF543:AI543"/>
    <mergeCell ref="X554:AA554"/>
    <mergeCell ref="T554:W554"/>
    <mergeCell ref="AB554:AE554"/>
    <mergeCell ref="AF554:AI554"/>
    <mergeCell ref="AJ554:AK554"/>
    <mergeCell ref="R553:AK553"/>
    <mergeCell ref="AJ543:AK543"/>
    <mergeCell ref="AJ544:AK552"/>
    <mergeCell ref="R542:AK542"/>
    <mergeCell ref="AB533:AE541"/>
    <mergeCell ref="X533:AA541"/>
    <mergeCell ref="P542:Q542"/>
    <mergeCell ref="P555:S563"/>
    <mergeCell ref="T555:W563"/>
    <mergeCell ref="T565:W565"/>
    <mergeCell ref="X565:AA565"/>
    <mergeCell ref="AJ576:AK576"/>
    <mergeCell ref="R575:AK575"/>
    <mergeCell ref="AF576:AI576"/>
    <mergeCell ref="AB576:AE576"/>
    <mergeCell ref="X576:AA576"/>
    <mergeCell ref="AJ566:AK574"/>
    <mergeCell ref="AF566:AI574"/>
    <mergeCell ref="AB566:AE574"/>
    <mergeCell ref="AJ565:AK565"/>
    <mergeCell ref="R564:AK564"/>
    <mergeCell ref="AF565:AI565"/>
    <mergeCell ref="AB565:AE565"/>
    <mergeCell ref="T576:W576"/>
    <mergeCell ref="P608:Q608"/>
    <mergeCell ref="AB609:AE609"/>
    <mergeCell ref="AJ599:AK607"/>
    <mergeCell ref="AF599:AI607"/>
    <mergeCell ref="R608:AK608"/>
    <mergeCell ref="P610:S618"/>
    <mergeCell ref="P631:S631"/>
    <mergeCell ref="P630:Q630"/>
    <mergeCell ref="T631:W631"/>
    <mergeCell ref="X631:AA631"/>
    <mergeCell ref="AB631:AE631"/>
    <mergeCell ref="AF631:AI631"/>
    <mergeCell ref="X621:AA629"/>
    <mergeCell ref="AB621:AE629"/>
    <mergeCell ref="P620:S620"/>
    <mergeCell ref="P619:Q619"/>
    <mergeCell ref="AF620:AI620"/>
    <mergeCell ref="T620:W620"/>
    <mergeCell ref="AB620:AE620"/>
    <mergeCell ref="R630:AK630"/>
    <mergeCell ref="AJ620:AK620"/>
    <mergeCell ref="R619:AK619"/>
  </mergeCells>
  <conditionalFormatting pivot="false" sqref="Q689:Q695 U689:U695 Y689:Y695 AC689:AC695">
    <cfRule aboveAverage="true" bottom="false" dxfId="0" equalAverage="false" percent="false" priority="230" stopIfTrue="false" type="expression">
      <formula>#REF!&lt;&gt;#REF!</formula>
    </cfRule>
  </conditionalFormatting>
  <conditionalFormatting pivot="false" sqref="Q688 U688 Y688 AC688">
    <cfRule aboveAverage="true" bottom="false" dxfId="0" equalAverage="false" percent="false" priority="229" stopIfTrue="false" type="expression">
      <formula>Q688:Q695&lt;&gt;P688:P695</formula>
    </cfRule>
  </conditionalFormatting>
  <conditionalFormatting pivot="false" sqref="Q413:Q420">
    <cfRule aboveAverage="true" bottom="false" dxfId="0" equalAverage="false" percent="false" priority="228" stopIfTrue="false" type="expression">
      <formula>Q413:Q420&lt;&gt;P413:P420</formula>
    </cfRule>
  </conditionalFormatting>
  <conditionalFormatting pivot="false" sqref="AC413:AC420">
    <cfRule aboveAverage="true" bottom="false" dxfId="0" equalAverage="false" percent="false" priority="227" stopIfTrue="false" type="expression">
      <formula>AC413:AC420&lt;&gt;AB413:AB420</formula>
    </cfRule>
  </conditionalFormatting>
  <conditionalFormatting pivot="false" sqref="AG413:AG420">
    <cfRule aboveAverage="true" bottom="false" dxfId="0" equalAverage="false" percent="false" priority="226" stopIfTrue="false" type="expression">
      <formula>AG413:AG420&lt;&gt;AF413:AF420</formula>
    </cfRule>
  </conditionalFormatting>
  <conditionalFormatting pivot="false" sqref="Q424:Q431">
    <cfRule aboveAverage="true" bottom="false" dxfId="0" equalAverage="false" percent="false" priority="225" stopIfTrue="false" type="expression">
      <formula>Q424:Q431&lt;&gt;P424:P431</formula>
    </cfRule>
  </conditionalFormatting>
  <conditionalFormatting pivot="false" sqref="U424:U431">
    <cfRule aboveAverage="true" bottom="false" dxfId="0" equalAverage="false" percent="false" priority="224" stopIfTrue="false" type="expression">
      <formula>U424:U431&lt;&gt;T424:T431</formula>
    </cfRule>
  </conditionalFormatting>
  <conditionalFormatting pivot="false" sqref="Y424:Y431">
    <cfRule aboveAverage="true" bottom="false" dxfId="0" equalAverage="false" percent="false" priority="223" stopIfTrue="false" type="expression">
      <formula>Y424:Y431&lt;&gt;X424:X431</formula>
    </cfRule>
  </conditionalFormatting>
  <conditionalFormatting pivot="false" sqref="AC424:AC431">
    <cfRule aboveAverage="true" bottom="false" dxfId="0" equalAverage="false" percent="false" priority="222" stopIfTrue="false" type="expression">
      <formula>AC424:AC431&lt;&gt;AB424:AB431</formula>
    </cfRule>
  </conditionalFormatting>
  <conditionalFormatting pivot="false" sqref="U435:U442">
    <cfRule aboveAverage="true" bottom="false" dxfId="0" equalAverage="false" percent="false" priority="221" stopIfTrue="false" type="expression">
      <formula>U435:U442&lt;&gt;T435:T442</formula>
    </cfRule>
  </conditionalFormatting>
  <conditionalFormatting pivot="false" sqref="Y435:Y442">
    <cfRule aboveAverage="true" bottom="false" dxfId="0" equalAverage="false" percent="false" priority="220" stopIfTrue="false" type="expression">
      <formula>Y435:Y442&lt;&gt;X435:X442</formula>
    </cfRule>
  </conditionalFormatting>
  <conditionalFormatting pivot="false" sqref="AC435:AC442">
    <cfRule aboveAverage="true" bottom="false" dxfId="0" equalAverage="false" percent="false" priority="219" stopIfTrue="false" type="expression">
      <formula>AC435:AC442&lt;&gt;AB435:AB442</formula>
    </cfRule>
  </conditionalFormatting>
  <conditionalFormatting pivot="false" sqref="AG435:AG442">
    <cfRule aboveAverage="true" bottom="false" dxfId="0" equalAverage="false" percent="false" priority="218" stopIfTrue="false" type="expression">
      <formula>AG435:AG442&lt;&gt;AF435:AF442</formula>
    </cfRule>
  </conditionalFormatting>
  <conditionalFormatting pivot="false" sqref="Q446:Q453">
    <cfRule aboveAverage="true" bottom="false" dxfId="0" equalAverage="false" percent="false" priority="217" stopIfTrue="false" type="expression">
      <formula>Q446:Q453&lt;&gt;P446:P453</formula>
    </cfRule>
  </conditionalFormatting>
  <conditionalFormatting pivot="false" sqref="U446:U453">
    <cfRule aboveAverage="true" bottom="false" dxfId="0" equalAverage="false" percent="false" priority="216" stopIfTrue="false" type="expression">
      <formula>U446:U453&lt;&gt;T446:T453</formula>
    </cfRule>
  </conditionalFormatting>
  <conditionalFormatting pivot="false" sqref="AG446:AG453">
    <cfRule aboveAverage="true" bottom="false" dxfId="0" equalAverage="false" percent="false" priority="215" stopIfTrue="false" type="expression">
      <formula>AG446:AG453&lt;&gt;AF446:AF453</formula>
    </cfRule>
  </conditionalFormatting>
  <conditionalFormatting pivot="false" sqref="Q457:Q464">
    <cfRule aboveAverage="true" bottom="false" dxfId="0" equalAverage="false" percent="false" priority="214" stopIfTrue="false" type="expression">
      <formula>Q457:Q464&lt;&gt;P457:P464</formula>
    </cfRule>
  </conditionalFormatting>
  <conditionalFormatting pivot="false" sqref="U457:U464">
    <cfRule aboveAverage="true" bottom="false" dxfId="0" equalAverage="false" percent="false" priority="213" stopIfTrue="false" type="expression">
      <formula>U457:U464&lt;&gt;T457:T464</formula>
    </cfRule>
  </conditionalFormatting>
  <conditionalFormatting pivot="false" sqref="Y457:Y464">
    <cfRule aboveAverage="true" bottom="false" dxfId="0" equalAverage="false" percent="false" priority="212" stopIfTrue="false" type="expression">
      <formula>Y457:Y464&lt;&gt;X457:X464</formula>
    </cfRule>
  </conditionalFormatting>
  <conditionalFormatting pivot="false" sqref="AC457:AC464">
    <cfRule aboveAverage="true" bottom="false" dxfId="0" equalAverage="false" percent="false" priority="211" stopIfTrue="false" type="expression">
      <formula>AC457:AC464&lt;&gt;AB457:AB464</formula>
    </cfRule>
  </conditionalFormatting>
  <conditionalFormatting pivot="false" sqref="AG457:AG464">
    <cfRule aboveAverage="true" bottom="false" dxfId="0" equalAverage="false" percent="false" priority="210" stopIfTrue="false" type="expression">
      <formula>AG457:AG464&lt;&gt;AF457:AF464</formula>
    </cfRule>
  </conditionalFormatting>
  <conditionalFormatting pivot="false" sqref="Y468:Y475">
    <cfRule aboveAverage="true" bottom="false" dxfId="0" equalAverage="false" percent="false" priority="209" stopIfTrue="false" type="expression">
      <formula>Y468:Y475&lt;&gt;X468:X475</formula>
    </cfRule>
  </conditionalFormatting>
  <conditionalFormatting pivot="false" sqref="AC468:AC475">
    <cfRule aboveAverage="true" bottom="false" dxfId="0" equalAverage="false" percent="false" priority="208" stopIfTrue="false" type="expression">
      <formula>AC468:AC475&lt;&gt;AB468:AB475</formula>
    </cfRule>
  </conditionalFormatting>
  <conditionalFormatting pivot="false" sqref="AG468:AG475">
    <cfRule aboveAverage="true" bottom="false" dxfId="0" equalAverage="false" percent="false" priority="207" stopIfTrue="false" type="expression">
      <formula>AG468:AG475&lt;&gt;AF468:AF475</formula>
    </cfRule>
  </conditionalFormatting>
  <conditionalFormatting pivot="false" sqref="Q479:Q486">
    <cfRule aboveAverage="true" bottom="false" dxfId="0" equalAverage="false" percent="false" priority="206" stopIfTrue="false" type="expression">
      <formula>Q479:Q486&lt;&gt;P479:P486</formula>
    </cfRule>
  </conditionalFormatting>
  <conditionalFormatting pivot="false" sqref="U479:U486">
    <cfRule aboveAverage="true" bottom="false" dxfId="0" equalAverage="false" percent="false" priority="205" stopIfTrue="false" type="expression">
      <formula>U479:U486&lt;&gt;T479:T486</formula>
    </cfRule>
  </conditionalFormatting>
  <conditionalFormatting pivot="false" sqref="Y479:Y486">
    <cfRule aboveAverage="true" bottom="false" dxfId="0" equalAverage="false" percent="false" priority="204" stopIfTrue="false" type="expression">
      <formula>Y479:Y486&lt;&gt;X479:X486</formula>
    </cfRule>
  </conditionalFormatting>
  <conditionalFormatting pivot="false" sqref="Q490:Q497">
    <cfRule aboveAverage="true" bottom="false" dxfId="0" equalAverage="false" percent="false" priority="203" stopIfTrue="false" type="expression">
      <formula>Q490:Q497&lt;&gt;P490:P497</formula>
    </cfRule>
  </conditionalFormatting>
  <conditionalFormatting pivot="false" sqref="U490:U497">
    <cfRule aboveAverage="true" bottom="false" dxfId="0" equalAverage="false" percent="false" priority="202" stopIfTrue="false" type="expression">
      <formula>U490:U497&lt;&gt;T490:T497</formula>
    </cfRule>
  </conditionalFormatting>
  <conditionalFormatting pivot="false" sqref="Y490:Y497">
    <cfRule aboveAverage="true" bottom="false" dxfId="0" equalAverage="false" percent="false" priority="201" stopIfTrue="false" type="expression">
      <formula>Y490:Y497&lt;&gt;X490:X497</formula>
    </cfRule>
  </conditionalFormatting>
  <conditionalFormatting pivot="false" sqref="AC490:AC497">
    <cfRule aboveAverage="true" bottom="false" dxfId="0" equalAverage="false" percent="false" priority="200" stopIfTrue="false" type="expression">
      <formula>AC490:AC497&lt;&gt;AB490:AB497</formula>
    </cfRule>
  </conditionalFormatting>
  <conditionalFormatting pivot="false" sqref="AG490:AG497">
    <cfRule aboveAverage="true" bottom="false" dxfId="0" equalAverage="false" percent="false" priority="199" stopIfTrue="false" type="expression">
      <formula>AG490:AG497&lt;&gt;AF490:AF497</formula>
    </cfRule>
  </conditionalFormatting>
  <conditionalFormatting pivot="false" sqref="Q501:Q508">
    <cfRule aboveAverage="true" bottom="false" dxfId="0" equalAverage="false" percent="false" priority="198" stopIfTrue="false" type="expression">
      <formula>Q501:Q508&lt;&gt;P501:P508</formula>
    </cfRule>
  </conditionalFormatting>
  <conditionalFormatting pivot="false" sqref="AC501:AC508">
    <cfRule aboveAverage="true" bottom="false" dxfId="0" equalAverage="false" percent="false" priority="197" stopIfTrue="false" type="expression">
      <formula>AC501:AC508&lt;&gt;AB501:AB508</formula>
    </cfRule>
  </conditionalFormatting>
  <conditionalFormatting pivot="false" sqref="AG501:AG508">
    <cfRule aboveAverage="true" bottom="false" dxfId="0" equalAverage="false" percent="false" priority="196" stopIfTrue="false" type="expression">
      <formula>AG501:AG508&lt;&gt;AF501:AF508</formula>
    </cfRule>
  </conditionalFormatting>
  <conditionalFormatting pivot="false" sqref="Q512:Q519">
    <cfRule aboveAverage="true" bottom="false" dxfId="0" equalAverage="false" percent="false" priority="195" stopIfTrue="false" type="expression">
      <formula>Q512:Q519&lt;&gt;P512:P519</formula>
    </cfRule>
  </conditionalFormatting>
  <conditionalFormatting pivot="false" sqref="U512:U519">
    <cfRule aboveAverage="true" bottom="false" dxfId="0" equalAverage="false" percent="false" priority="194" stopIfTrue="false" type="expression">
      <formula>U512:U519&lt;&gt;T512:T519</formula>
    </cfRule>
  </conditionalFormatting>
  <conditionalFormatting pivot="false" sqref="Y512:Y519">
    <cfRule aboveAverage="true" bottom="false" dxfId="0" equalAverage="false" percent="false" priority="193" stopIfTrue="false" type="expression">
      <formula>Y512:Y519&lt;&gt;X512:X519</formula>
    </cfRule>
  </conditionalFormatting>
  <conditionalFormatting pivot="false" sqref="AC512:AC519">
    <cfRule aboveAverage="true" bottom="false" dxfId="0" equalAverage="false" percent="false" priority="192" stopIfTrue="false" type="expression">
      <formula>AC512:AC519&lt;&gt;AB512:AB519</formula>
    </cfRule>
  </conditionalFormatting>
  <conditionalFormatting pivot="false" sqref="U523:U530">
    <cfRule aboveAverage="true" bottom="false" dxfId="0" equalAverage="false" percent="false" priority="191" stopIfTrue="false" type="expression">
      <formula>U523:U530&lt;&gt;T523:T530</formula>
    </cfRule>
  </conditionalFormatting>
  <conditionalFormatting pivot="false" sqref="Y523:Y530">
    <cfRule aboveAverage="true" bottom="false" dxfId="0" equalAverage="false" percent="false" priority="190" stopIfTrue="false" type="expression">
      <formula>Y523:Y530&lt;&gt;X523:X530</formula>
    </cfRule>
  </conditionalFormatting>
  <conditionalFormatting pivot="false" sqref="AC523:AC530">
    <cfRule aboveAverage="true" bottom="false" dxfId="0" equalAverage="false" percent="false" priority="189" stopIfTrue="false" type="expression">
      <formula>AC523:AC530&lt;&gt;AB523:AB530</formula>
    </cfRule>
  </conditionalFormatting>
  <conditionalFormatting pivot="false" sqref="AG523:AG530">
    <cfRule aboveAverage="true" bottom="false" dxfId="0" equalAverage="false" percent="false" priority="188" stopIfTrue="false" type="expression">
      <formula>AG523:AG530&lt;&gt;AF523:AF530</formula>
    </cfRule>
  </conditionalFormatting>
  <conditionalFormatting pivot="false" sqref="Q534:Q541">
    <cfRule aboveAverage="true" bottom="false" dxfId="0" equalAverage="false" percent="false" priority="187" stopIfTrue="false" type="expression">
      <formula>Q534:Q541&lt;&gt;P534:P541</formula>
    </cfRule>
  </conditionalFormatting>
  <conditionalFormatting pivot="false" sqref="U534:U541">
    <cfRule aboveAverage="true" bottom="false" dxfId="0" equalAverage="false" percent="false" priority="186" stopIfTrue="false" type="expression">
      <formula>U534:U541&lt;&gt;T534:T541</formula>
    </cfRule>
  </conditionalFormatting>
  <conditionalFormatting pivot="false" sqref="AG534:AG541">
    <cfRule aboveAverage="true" bottom="false" dxfId="0" equalAverage="false" percent="false" priority="185" stopIfTrue="false" type="expression">
      <formula>AG534:AG541&lt;&gt;AF534:AF541</formula>
    </cfRule>
  </conditionalFormatting>
  <conditionalFormatting pivot="false" sqref="Q545:Q552">
    <cfRule aboveAverage="true" bottom="false" dxfId="0" equalAverage="false" percent="false" priority="184" stopIfTrue="false" type="expression">
      <formula>Q545:Q552&lt;&gt;P545:P552</formula>
    </cfRule>
  </conditionalFormatting>
  <conditionalFormatting pivot="false" sqref="U545:U552">
    <cfRule aboveAverage="true" bottom="false" dxfId="0" equalAverage="false" percent="false" priority="183" stopIfTrue="false" type="expression">
      <formula>U545:U552&lt;&gt;T545:T552</formula>
    </cfRule>
  </conditionalFormatting>
  <conditionalFormatting pivot="false" sqref="Y545:Y552">
    <cfRule aboveAverage="true" bottom="false" dxfId="0" equalAverage="false" percent="false" priority="182" stopIfTrue="false" type="expression">
      <formula>Y545:Y552&lt;&gt;X545:X552</formula>
    </cfRule>
  </conditionalFormatting>
  <conditionalFormatting pivot="false" sqref="AC545:AC552">
    <cfRule aboveAverage="true" bottom="false" dxfId="0" equalAverage="false" percent="false" priority="181" stopIfTrue="false" type="expression">
      <formula>AC545:AC552&lt;&gt;AB545:AB552</formula>
    </cfRule>
  </conditionalFormatting>
  <conditionalFormatting pivot="false" sqref="AG545:AG552">
    <cfRule aboveAverage="true" bottom="false" dxfId="0" equalAverage="false" percent="false" priority="180" stopIfTrue="false" type="expression">
      <formula>AG545:AG552&lt;&gt;AF545:AF552</formula>
    </cfRule>
  </conditionalFormatting>
  <conditionalFormatting pivot="false" sqref="Y556:Y563">
    <cfRule aboveAverage="true" bottom="false" dxfId="0" equalAverage="false" percent="false" priority="179" stopIfTrue="false" type="expression">
      <formula>Y556:Y563&lt;&gt;X556:X563</formula>
    </cfRule>
  </conditionalFormatting>
  <conditionalFormatting pivot="false" sqref="AC556:AC563">
    <cfRule aboveAverage="true" bottom="false" dxfId="0" equalAverage="false" percent="false" priority="178" stopIfTrue="false" type="expression">
      <formula>AC556:AC563&lt;&gt;AB556:AB563</formula>
    </cfRule>
  </conditionalFormatting>
  <conditionalFormatting pivot="false" sqref="AG556:AG563">
    <cfRule aboveAverage="true" bottom="false" dxfId="0" equalAverage="false" percent="false" priority="177" stopIfTrue="false" type="expression">
      <formula>AG556:AG563&lt;&gt;AF556:AF563</formula>
    </cfRule>
  </conditionalFormatting>
  <conditionalFormatting pivot="false" sqref="Q567:Q574">
    <cfRule aboveAverage="true" bottom="false" dxfId="0" equalAverage="false" percent="false" priority="176" stopIfTrue="false" type="expression">
      <formula>Q567:Q574&lt;&gt;P567:P574</formula>
    </cfRule>
  </conditionalFormatting>
  <conditionalFormatting pivot="false" sqref="U567:U574">
    <cfRule aboveAverage="true" bottom="false" dxfId="0" equalAverage="false" percent="false" priority="175" stopIfTrue="false" type="expression">
      <formula>U567:U574&lt;&gt;T567:T574</formula>
    </cfRule>
  </conditionalFormatting>
  <conditionalFormatting pivot="false" sqref="Y567:Y574">
    <cfRule aboveAverage="true" bottom="false" dxfId="0" equalAverage="false" percent="false" priority="174" stopIfTrue="false" type="expression">
      <formula>Y567:Y574&lt;&gt;X567:X574</formula>
    </cfRule>
  </conditionalFormatting>
  <conditionalFormatting pivot="false" sqref="Q578:Q585">
    <cfRule aboveAverage="true" bottom="false" dxfId="0" equalAverage="false" percent="false" priority="173" stopIfTrue="false" type="expression">
      <formula>Q578:Q585&lt;&gt;P578:P585</formula>
    </cfRule>
  </conditionalFormatting>
  <conditionalFormatting pivot="false" sqref="U578:U585">
    <cfRule aboveAverage="true" bottom="false" dxfId="0" equalAverage="false" percent="false" priority="172" stopIfTrue="false" type="expression">
      <formula>U578:U585&lt;&gt;T578:T585</formula>
    </cfRule>
  </conditionalFormatting>
  <conditionalFormatting pivot="false" sqref="Y578:Y585">
    <cfRule aboveAverage="true" bottom="false" dxfId="0" equalAverage="false" percent="false" priority="171" stopIfTrue="false" type="expression">
      <formula>Y578:Y585&lt;&gt;X578:X585</formula>
    </cfRule>
  </conditionalFormatting>
  <conditionalFormatting pivot="false" sqref="AC578:AC585">
    <cfRule aboveAverage="true" bottom="false" dxfId="0" equalAverage="false" percent="false" priority="170" stopIfTrue="false" type="expression">
      <formula>AC578:AC585&lt;&gt;AB578:AB585</formula>
    </cfRule>
  </conditionalFormatting>
  <conditionalFormatting pivot="false" sqref="AG578:AG585">
    <cfRule aboveAverage="true" bottom="false" dxfId="0" equalAverage="false" percent="false" priority="169" stopIfTrue="false" type="expression">
      <formula>AG578:AG585&lt;&gt;AF578:AF585</formula>
    </cfRule>
  </conditionalFormatting>
  <conditionalFormatting pivot="false" sqref="Q589:Q596">
    <cfRule aboveAverage="true" bottom="false" dxfId="0" equalAverage="false" percent="false" priority="168" stopIfTrue="false" type="expression">
      <formula>Q589:Q596&lt;&gt;P589:P596</formula>
    </cfRule>
  </conditionalFormatting>
  <conditionalFormatting pivot="false" sqref="AC589:AC596">
    <cfRule aboveAverage="true" bottom="false" dxfId="0" equalAverage="false" percent="false" priority="167" stopIfTrue="false" type="expression">
      <formula>AC589:AC596&lt;&gt;AB589:AB596</formula>
    </cfRule>
  </conditionalFormatting>
  <conditionalFormatting pivot="false" sqref="AG589:AG596">
    <cfRule aboveAverage="true" bottom="false" dxfId="0" equalAverage="false" percent="false" priority="166" stopIfTrue="false" type="expression">
      <formula>AG589:AG596&lt;&gt;AF589:AF596</formula>
    </cfRule>
  </conditionalFormatting>
  <conditionalFormatting pivot="false" sqref="Q600:Q607">
    <cfRule aboveAverage="true" bottom="false" dxfId="0" equalAverage="false" percent="false" priority="165" stopIfTrue="false" type="expression">
      <formula>Q600:Q607&lt;&gt;P600:P607</formula>
    </cfRule>
  </conditionalFormatting>
  <conditionalFormatting pivot="false" sqref="U600:U607">
    <cfRule aboveAverage="true" bottom="false" dxfId="0" equalAverage="false" percent="false" priority="164" stopIfTrue="false" type="expression">
      <formula>U600:U607&lt;&gt;T600:T607</formula>
    </cfRule>
  </conditionalFormatting>
  <conditionalFormatting pivot="false" sqref="Y600:Y607">
    <cfRule aboveAverage="true" bottom="false" dxfId="0" equalAverage="false" percent="false" priority="163" stopIfTrue="false" type="expression">
      <formula>Y600:Y607&lt;&gt;X600:X607</formula>
    </cfRule>
  </conditionalFormatting>
  <conditionalFormatting pivot="false" sqref="AC600:AC607">
    <cfRule aboveAverage="true" bottom="false" dxfId="0" equalAverage="false" percent="false" priority="162" stopIfTrue="false" type="expression">
      <formula>AC600:AC607&lt;&gt;AB600:AB607</formula>
    </cfRule>
  </conditionalFormatting>
  <conditionalFormatting pivot="false" sqref="U611:U618">
    <cfRule aboveAverage="true" bottom="false" dxfId="0" equalAverage="false" percent="false" priority="161" stopIfTrue="false" type="expression">
      <formula>U611:U618&lt;&gt;T611:T618</formula>
    </cfRule>
  </conditionalFormatting>
  <conditionalFormatting pivot="false" sqref="Y611:Y618">
    <cfRule aboveAverage="true" bottom="false" dxfId="0" equalAverage="false" percent="false" priority="160" stopIfTrue="false" type="expression">
      <formula>Y611:Y618&lt;&gt;X611:X618</formula>
    </cfRule>
  </conditionalFormatting>
  <conditionalFormatting pivot="false" sqref="AC611:AC618">
    <cfRule aboveAverage="true" bottom="false" dxfId="0" equalAverage="false" percent="false" priority="159" stopIfTrue="false" type="expression">
      <formula>AC611:AC618&lt;&gt;AB611:AB618</formula>
    </cfRule>
  </conditionalFormatting>
  <conditionalFormatting pivot="false" sqref="AG611:AG618">
    <cfRule aboveAverage="true" bottom="false" dxfId="0" equalAverage="false" percent="false" priority="158" stopIfTrue="false" type="expression">
      <formula>AG611:AG618&lt;&gt;AF611:AF618</formula>
    </cfRule>
  </conditionalFormatting>
  <conditionalFormatting pivot="false" sqref="Q622:Q629">
    <cfRule aboveAverage="true" bottom="false" dxfId="0" equalAverage="false" percent="false" priority="157" stopIfTrue="false" type="expression">
      <formula>Q622:Q629&lt;&gt;P622:P629</formula>
    </cfRule>
  </conditionalFormatting>
  <conditionalFormatting pivot="false" sqref="U622:U629">
    <cfRule aboveAverage="true" bottom="false" dxfId="0" equalAverage="false" percent="false" priority="156" stopIfTrue="false" type="expression">
      <formula>U622:U629&lt;&gt;T622:T629</formula>
    </cfRule>
  </conditionalFormatting>
  <conditionalFormatting pivot="false" sqref="AG622:AG629">
    <cfRule aboveAverage="true" bottom="false" dxfId="0" equalAverage="false" percent="false" priority="155" stopIfTrue="false" type="expression">
      <formula>AG622:AG629&lt;&gt;AF622:AF629</formula>
    </cfRule>
  </conditionalFormatting>
  <conditionalFormatting pivot="false" sqref="Q633:Q640">
    <cfRule aboveAverage="true" bottom="false" dxfId="0" equalAverage="false" percent="false" priority="154" stopIfTrue="false" type="expression">
      <formula>Q633:Q640&lt;&gt;P633:P640</formula>
    </cfRule>
  </conditionalFormatting>
  <conditionalFormatting pivot="false" sqref="U633:U640">
    <cfRule aboveAverage="true" bottom="false" dxfId="0" equalAverage="false" percent="false" priority="153" stopIfTrue="false" type="expression">
      <formula>U633:U640&lt;&gt;T633:T640</formula>
    </cfRule>
  </conditionalFormatting>
  <conditionalFormatting pivot="false" sqref="Y633:Y640">
    <cfRule aboveAverage="true" bottom="false" dxfId="0" equalAverage="false" percent="false" priority="152" stopIfTrue="false" type="expression">
      <formula>Y633:Y640&lt;&gt;X633:X640</formula>
    </cfRule>
  </conditionalFormatting>
  <conditionalFormatting pivot="false" sqref="AC633:AC640">
    <cfRule aboveAverage="true" bottom="false" dxfId="0" equalAverage="false" percent="false" priority="151" stopIfTrue="false" type="expression">
      <formula>AC633:AC640&lt;&gt;AB633:AB640</formula>
    </cfRule>
  </conditionalFormatting>
  <conditionalFormatting pivot="false" sqref="AG633:AG640">
    <cfRule aboveAverage="true" bottom="false" dxfId="0" equalAverage="false" percent="false" priority="150" stopIfTrue="false" type="expression">
      <formula>AG633:AG640&lt;&gt;AF633:AF640</formula>
    </cfRule>
  </conditionalFormatting>
  <conditionalFormatting pivot="false" sqref="Y644:Y651">
    <cfRule aboveAverage="true" bottom="false" dxfId="0" equalAverage="false" percent="false" priority="149" stopIfTrue="false" type="expression">
      <formula>Y644:Y651&lt;&gt;X644:X651</formula>
    </cfRule>
  </conditionalFormatting>
  <conditionalFormatting pivot="false" sqref="AC644:AC651">
    <cfRule aboveAverage="true" bottom="false" dxfId="0" equalAverage="false" percent="false" priority="148" stopIfTrue="false" type="expression">
      <formula>AC644:AC651&lt;&gt;AB644:AB651</formula>
    </cfRule>
  </conditionalFormatting>
  <conditionalFormatting pivot="false" sqref="AG644:AG651">
    <cfRule aboveAverage="true" bottom="false" dxfId="0" equalAverage="false" percent="false" priority="147" stopIfTrue="false" type="expression">
      <formula>AG644:AG651&lt;&gt;AF644:AF651</formula>
    </cfRule>
  </conditionalFormatting>
  <conditionalFormatting pivot="false" sqref="Q655:Q662">
    <cfRule aboveAverage="true" bottom="false" dxfId="0" equalAverage="false" percent="false" priority="146" stopIfTrue="false" type="expression">
      <formula>Q655:Q662&lt;&gt;P655:P662</formula>
    </cfRule>
  </conditionalFormatting>
  <conditionalFormatting pivot="false" sqref="U655:U662">
    <cfRule aboveAverage="true" bottom="false" dxfId="0" equalAverage="false" percent="false" priority="145" stopIfTrue="false" type="expression">
      <formula>U655:U662&lt;&gt;T655:T662</formula>
    </cfRule>
  </conditionalFormatting>
  <conditionalFormatting pivot="false" sqref="Y655:Y662">
    <cfRule aboveAverage="true" bottom="false" dxfId="0" equalAverage="false" percent="false" priority="144" stopIfTrue="false" type="expression">
      <formula>Y655:Y662&lt;&gt;X655:X662</formula>
    </cfRule>
  </conditionalFormatting>
  <conditionalFormatting pivot="false" sqref="Q666:Q673">
    <cfRule aboveAverage="true" bottom="false" dxfId="0" equalAverage="false" percent="false" priority="143" stopIfTrue="false" type="expression">
      <formula>Q666:Q673&lt;&gt;P666:P673</formula>
    </cfRule>
  </conditionalFormatting>
  <conditionalFormatting pivot="false" sqref="U666:U673">
    <cfRule aboveAverage="true" bottom="false" dxfId="0" equalAverage="false" percent="false" priority="142" stopIfTrue="false" type="expression">
      <formula>U666:U673&lt;&gt;T666:T673</formula>
    </cfRule>
  </conditionalFormatting>
  <conditionalFormatting pivot="false" sqref="Y666:Y673">
    <cfRule aboveAverage="true" bottom="false" dxfId="0" equalAverage="false" percent="false" priority="141" stopIfTrue="false" type="expression">
      <formula>Y666:Y673&lt;&gt;X666:X673</formula>
    </cfRule>
  </conditionalFormatting>
  <conditionalFormatting pivot="false" sqref="AC666:AC673">
    <cfRule aboveAverage="true" bottom="false" dxfId="0" equalAverage="false" percent="false" priority="140" stopIfTrue="false" type="expression">
      <formula>AC666:AC673&lt;&gt;AB666:AB673</formula>
    </cfRule>
  </conditionalFormatting>
  <conditionalFormatting pivot="false" sqref="AG666:AG673">
    <cfRule aboveAverage="true" bottom="false" dxfId="0" equalAverage="false" percent="false" priority="139" stopIfTrue="false" type="expression">
      <formula>AG666:AG673&lt;&gt;AF666:AF673</formula>
    </cfRule>
  </conditionalFormatting>
  <conditionalFormatting pivot="false" sqref="Q677:Q684">
    <cfRule aboveAverage="true" bottom="false" dxfId="0" equalAverage="false" percent="false" priority="138" stopIfTrue="false" type="expression">
      <formula>Q677:Q684&lt;&gt;P677:P684</formula>
    </cfRule>
  </conditionalFormatting>
  <conditionalFormatting pivot="false" sqref="AC677:AC684">
    <cfRule aboveAverage="true" bottom="false" dxfId="0" equalAverage="false" percent="false" priority="137" stopIfTrue="false" type="expression">
      <formula>AC677:AC684&lt;&gt;AB677:AB684</formula>
    </cfRule>
  </conditionalFormatting>
  <conditionalFormatting pivot="false" sqref="AG677:AG684">
    <cfRule aboveAverage="true" bottom="false" dxfId="0" equalAverage="false" percent="false" priority="136" stopIfTrue="false" type="expression">
      <formula>AG677:AG684&lt;&gt;AF677:AF684</formula>
    </cfRule>
  </conditionalFormatting>
  <conditionalFormatting pivot="false" sqref="A43:A70">
    <cfRule aboveAverage="true" bottom="false" dxfId="5" equalAverage="false" percent="false" priority="135" stopIfTrue="false" text="Block 3" type="containsText">
      <formula>NOT(ISERROR(SEARCH("Block 3",A43)))</formula>
    </cfRule>
  </conditionalFormatting>
  <conditionalFormatting pivot="false" sqref="A43:A70">
    <cfRule aboveAverage="true" bottom="false" dxfId="5" equalAverage="false" percent="false" priority="134" stopIfTrue="false" text="720G3" type="containsText">
      <formula>NOT(ISERROR(SEARCH("720G3",A43)))</formula>
    </cfRule>
  </conditionalFormatting>
  <conditionalFormatting pivot="false" sqref="B3:B70">
    <cfRule aboveAverage="true" bottom="false" dxfId="1" equalAverage="false" percent="false" priority="133" stopIfTrue="false" text="720G4" type="beginsWith">
      <formula>LEFT(B3,LEN("720G4"))="720G4"</formula>
    </cfRule>
  </conditionalFormatting>
  <conditionalFormatting pivot="false" sqref="B3:B70">
    <cfRule aboveAverage="true" bottom="false" dxfId="1" equalAverage="false" percent="false" priority="132" stopIfTrue="false" text="72004" type="beginsWith">
      <formula>LEFT(B3,LEN("72004"))="72004"</formula>
    </cfRule>
  </conditionalFormatting>
  <conditionalFormatting pivot="false" sqref="B3:B70">
    <cfRule aboveAverage="true" bottom="false" dxfId="1" equalAverage="false" percent="false" priority="131" stopIfTrue="false" text="720G3" type="beginsWith">
      <formula>LEFT(B3,LEN("720G3"))="720G3"</formula>
    </cfRule>
  </conditionalFormatting>
  <conditionalFormatting pivot="false" sqref="B3:B70">
    <cfRule aboveAverage="true" bottom="false" dxfId="1" equalAverage="false" percent="false" priority="130" stopIfTrue="false" text="72003" type="beginsWith">
      <formula>LEFT(B3,LEN("72003"))="72003"</formula>
    </cfRule>
  </conditionalFormatting>
  <conditionalFormatting pivot="false" sqref="B3:B70">
    <cfRule aboveAverage="true" bottom="false" dxfId="1" equalAverage="false" percent="false" priority="129" stopIfTrue="false" text="720G2" type="beginsWith">
      <formula>LEFT(B3,LEN("720G2"))="720G2"</formula>
    </cfRule>
  </conditionalFormatting>
  <conditionalFormatting pivot="false" sqref="B3:B70">
    <cfRule aboveAverage="true" bottom="false" dxfId="1" equalAverage="false" percent="false" priority="128" stopIfTrue="false" text="70202" type="beginsWith">
      <formula>LEFT(B3,LEN("70202"))="70202"</formula>
    </cfRule>
  </conditionalFormatting>
  <conditionalFormatting pivot="false" sqref="B3:B70">
    <cfRule aboveAverage="true" bottom="false" dxfId="2" equalAverage="false" percent="false" priority="127" stopIfTrue="false" text="720G1" type="beginsWith">
      <formula>LEFT(B3,LEN("720G1"))="720G1"</formula>
    </cfRule>
  </conditionalFormatting>
  <conditionalFormatting pivot="false" sqref="B3:B70">
    <cfRule aboveAverage="true" bottom="false" dxfId="1" equalAverage="false" percent="false" priority="126" stopIfTrue="false" text="72001" type="beginsWith">
      <formula>LEFT(B3,LEN("72001"))="72001"</formula>
    </cfRule>
  </conditionalFormatting>
  <conditionalFormatting pivot="false" sqref="B3:B70">
    <cfRule aboveAverage="true" bottom="false" dxfId="3" equalAverage="false" percent="false" priority="125" stopIfTrue="false" text=";Block" type="containsText">
      <formula>NOT(ISERROR(SEARCH(";Block",B3)))</formula>
    </cfRule>
  </conditionalFormatting>
  <conditionalFormatting pivot="false" sqref="B3:B70">
    <cfRule aboveAverage="true" bottom="false" dxfId="4" equalAverage="false" percent="false" priority="124" stopIfTrue="false" type="expression">
      <formula>IF(A3&lt;&gt;B3, 1, 0)</formula>
    </cfRule>
  </conditionalFormatting>
  <conditionalFormatting pivot="false" sqref="Q18:Q24 U18:U24 Y18:Y24 AC18:AC24 AG18:AG24 AG29:AG35 AG40:AG46 AG51:AG57 AG62:AG68 AG73:AG79 AG84:AG90">
    <cfRule aboveAverage="true" bottom="false" dxfId="0" equalAverage="false" percent="false" priority="123" stopIfTrue="false" type="expression">
      <formula>Q18:Q113&lt;&gt;P18:P113</formula>
    </cfRule>
  </conditionalFormatting>
  <conditionalFormatting pivot="false" sqref="U405:U409">
    <cfRule aboveAverage="true" bottom="false" dxfId="0" equalAverage="false" percent="false" priority="122" stopIfTrue="false" type="expression">
      <formula>U405:U411&lt;&gt;T405:T411</formula>
    </cfRule>
  </conditionalFormatting>
  <conditionalFormatting pivot="false" sqref="Q6:Q13 Q17 U17 Y17 AC17 AG17 U402:U404">
    <cfRule aboveAverage="true" bottom="false" dxfId="0" equalAverage="false" percent="false" priority="121" stopIfTrue="false" type="expression">
      <formula>Q6:Q13&lt;&gt;P6:P13</formula>
    </cfRule>
  </conditionalFormatting>
  <conditionalFormatting pivot="false" sqref="U6:U13">
    <cfRule aboveAverage="true" bottom="false" dxfId="0" equalAverage="false" percent="false" priority="120" stopIfTrue="false" type="expression">
      <formula>U6:U13&lt;&gt;T6:T13</formula>
    </cfRule>
  </conditionalFormatting>
  <conditionalFormatting pivot="false" sqref="Y6:Y13">
    <cfRule aboveAverage="true" bottom="false" dxfId="0" equalAverage="false" percent="false" priority="119" stopIfTrue="false" type="expression">
      <formula>Y6:Y13&lt;&gt;X6:X13</formula>
    </cfRule>
  </conditionalFormatting>
  <conditionalFormatting pivot="false" sqref="AC6:AC13">
    <cfRule aboveAverage="true" bottom="false" dxfId="0" equalAverage="false" percent="false" priority="118" stopIfTrue="false" type="expression">
      <formula>AC6:AC13&lt;&gt;AB6:AB13</formula>
    </cfRule>
  </conditionalFormatting>
  <conditionalFormatting pivot="false" sqref="AG6:AG13">
    <cfRule aboveAverage="true" bottom="false" dxfId="0" equalAverage="false" percent="false" priority="117" stopIfTrue="false" type="expression">
      <formula>AG6:AG13&lt;&gt;AF6:AF13</formula>
    </cfRule>
  </conditionalFormatting>
  <conditionalFormatting pivot="false" sqref="Y116:Y123">
    <cfRule aboveAverage="true" bottom="false" dxfId="0" equalAverage="false" percent="false" priority="116" stopIfTrue="false" type="expression">
      <formula>Y116:Y123&lt;&gt;X116:X123</formula>
    </cfRule>
  </conditionalFormatting>
  <conditionalFormatting pivot="false" sqref="AC116:AC123">
    <cfRule aboveAverage="true" bottom="false" dxfId="0" equalAverage="false" percent="false" priority="115" stopIfTrue="false" type="expression">
      <formula>AC116:AC123&lt;&gt;AB116:AB123</formula>
    </cfRule>
  </conditionalFormatting>
  <conditionalFormatting pivot="false" sqref="AG116:AG123">
    <cfRule aboveAverage="true" bottom="false" dxfId="0" equalAverage="false" percent="false" priority="114" stopIfTrue="false" type="expression">
      <formula>AG116:AG123&lt;&gt;AF116:AF123</formula>
    </cfRule>
  </conditionalFormatting>
  <conditionalFormatting pivot="false" sqref="Q127:Q134">
    <cfRule aboveAverage="true" bottom="false" dxfId="0" equalAverage="false" percent="false" priority="113" stopIfTrue="false" type="expression">
      <formula>Q127:Q134&lt;&gt;P127:P134</formula>
    </cfRule>
  </conditionalFormatting>
  <conditionalFormatting pivot="false" sqref="U127:U134">
    <cfRule aboveAverage="true" bottom="false" dxfId="0" equalAverage="false" percent="false" priority="112" stopIfTrue="false" type="expression">
      <formula>U127:U134&lt;&gt;T127:T134</formula>
    </cfRule>
  </conditionalFormatting>
  <conditionalFormatting pivot="false" sqref="Y127:Y134">
    <cfRule aboveAverage="true" bottom="false" dxfId="0" equalAverage="false" percent="false" priority="111" stopIfTrue="false" type="expression">
      <formula>Y127:Y134&lt;&gt;X127:X134</formula>
    </cfRule>
  </conditionalFormatting>
  <conditionalFormatting pivot="false" sqref="U182:U189">
    <cfRule aboveAverage="true" bottom="false" dxfId="0" equalAverage="false" percent="false" priority="110" stopIfTrue="false" type="expression">
      <formula>U182:U189&lt;&gt;T182:T189</formula>
    </cfRule>
  </conditionalFormatting>
  <conditionalFormatting pivot="false" sqref="AG182:AG189">
    <cfRule aboveAverage="true" bottom="false" dxfId="0" equalAverage="false" percent="false" priority="109" stopIfTrue="false" type="expression">
      <formula>AG182:AG189&lt;&gt;AF182:AF189</formula>
    </cfRule>
  </conditionalFormatting>
  <conditionalFormatting pivot="false" sqref="Q193:Q200">
    <cfRule aboveAverage="true" bottom="false" dxfId="0" equalAverage="false" percent="false" priority="108" stopIfTrue="false" type="expression">
      <formula>Q193:Q200&lt;&gt;P193:P200</formula>
    </cfRule>
  </conditionalFormatting>
  <conditionalFormatting pivot="false" sqref="U193:U200">
    <cfRule aboveAverage="true" bottom="false" dxfId="0" equalAverage="false" percent="false" priority="107" stopIfTrue="false" type="expression">
      <formula>U193:U200&lt;&gt;T193:T200</formula>
    </cfRule>
  </conditionalFormatting>
  <conditionalFormatting pivot="false" sqref="Y193:Y200">
    <cfRule aboveAverage="true" bottom="false" dxfId="0" equalAverage="false" percent="false" priority="106" stopIfTrue="false" type="expression">
      <formula>Y193:Y200&lt;&gt;X193:X200</formula>
    </cfRule>
  </conditionalFormatting>
  <conditionalFormatting pivot="false" sqref="AC193:AC200">
    <cfRule aboveAverage="true" bottom="false" dxfId="0" equalAverage="false" percent="false" priority="105" stopIfTrue="false" type="expression">
      <formula>AC193:AC200&lt;&gt;AB193:AB200</formula>
    </cfRule>
  </conditionalFormatting>
  <conditionalFormatting pivot="false" sqref="AG193:AG200">
    <cfRule aboveAverage="true" bottom="false" dxfId="0" equalAverage="false" percent="false" priority="104" stopIfTrue="false" type="expression">
      <formula>AG193:AG200&lt;&gt;AF193:AF200</formula>
    </cfRule>
  </conditionalFormatting>
  <conditionalFormatting pivot="false" sqref="AC204:AC211">
    <cfRule aboveAverage="true" bottom="false" dxfId="0" equalAverage="false" percent="false" priority="103" stopIfTrue="false" type="expression">
      <formula>AC204:AC211&lt;&gt;AB204:AB211</formula>
    </cfRule>
  </conditionalFormatting>
  <conditionalFormatting pivot="false" sqref="Y204:Y211">
    <cfRule aboveAverage="true" bottom="false" dxfId="0" equalAverage="false" percent="false" priority="102" stopIfTrue="false" type="expression">
      <formula>Y204:Y211&lt;&gt;X204:X211</formula>
    </cfRule>
  </conditionalFormatting>
  <conditionalFormatting pivot="false" sqref="Q215:Q222">
    <cfRule aboveAverage="true" bottom="false" dxfId="0" equalAverage="false" percent="false" priority="101" stopIfTrue="false" type="expression">
      <formula>Q215:Q222&lt;&gt;P215:P222</formula>
    </cfRule>
  </conditionalFormatting>
  <conditionalFormatting pivot="false" sqref="Y215:Y222">
    <cfRule aboveAverage="true" bottom="false" dxfId="0" equalAverage="false" percent="false" priority="100" stopIfTrue="false" type="expression">
      <formula>Y215:Y222&lt;&gt;X215:X222</formula>
    </cfRule>
  </conditionalFormatting>
  <conditionalFormatting pivot="false" sqref="AG226:AG233">
    <cfRule aboveAverage="true" bottom="false" dxfId="0" equalAverage="false" percent="false" priority="99" stopIfTrue="false" type="expression">
      <formula>AG226:AG233&lt;&gt;AF226:AF233</formula>
    </cfRule>
  </conditionalFormatting>
  <conditionalFormatting pivot="false" sqref="AC226:AC233">
    <cfRule aboveAverage="true" bottom="false" dxfId="0" equalAverage="false" percent="false" priority="98" stopIfTrue="false" type="expression">
      <formula>AC226:AC233&lt;&gt;AB226:AB233</formula>
    </cfRule>
  </conditionalFormatting>
  <conditionalFormatting pivot="false" sqref="Y226:Y233">
    <cfRule aboveAverage="true" bottom="false" dxfId="0" equalAverage="false" percent="false" priority="97" stopIfTrue="false" type="expression">
      <formula>Y226:Y233&lt;&gt;X226:X233</formula>
    </cfRule>
  </conditionalFormatting>
  <conditionalFormatting pivot="false" sqref="U226:U233">
    <cfRule aboveAverage="true" bottom="false" dxfId="0" equalAverage="false" percent="false" priority="96" stopIfTrue="false" type="expression">
      <formula>U226:U233&lt;&gt;T226:T233</formula>
    </cfRule>
  </conditionalFormatting>
  <conditionalFormatting pivot="false" sqref="Q226:Q233">
    <cfRule aboveAverage="true" bottom="false" dxfId="0" equalAverage="false" percent="false" priority="95" stopIfTrue="false" type="expression">
      <formula>Q226:Q233&lt;&gt;P226:P233</formula>
    </cfRule>
  </conditionalFormatting>
  <conditionalFormatting pivot="false" sqref="Q237:Q244">
    <cfRule aboveAverage="true" bottom="false" dxfId="0" equalAverage="false" percent="false" priority="94" stopIfTrue="false" type="expression">
      <formula>Q237:Q244&lt;&gt;P237:P244</formula>
    </cfRule>
  </conditionalFormatting>
  <conditionalFormatting pivot="false" sqref="AC237:AC244">
    <cfRule aboveAverage="true" bottom="false" dxfId="0" equalAverage="false" percent="false" priority="93" stopIfTrue="false" type="expression">
      <formula>AC237:AC244&lt;&gt;AB237:AB244</formula>
    </cfRule>
  </conditionalFormatting>
  <conditionalFormatting pivot="false" sqref="AG237:AG244">
    <cfRule aboveAverage="true" bottom="false" dxfId="0" equalAverage="false" percent="false" priority="92" stopIfTrue="false" type="expression">
      <formula>AG237:AG244&lt;&gt;AF237:AF244</formula>
    </cfRule>
  </conditionalFormatting>
  <conditionalFormatting pivot="false" sqref="AC248:AC255">
    <cfRule aboveAverage="true" bottom="false" dxfId="0" equalAverage="false" percent="false" priority="91" stopIfTrue="false" type="expression">
      <formula>AC248:AC255&lt;&gt;AB248:AB255</formula>
    </cfRule>
  </conditionalFormatting>
  <conditionalFormatting pivot="false" sqref="Y248:Y255">
    <cfRule aboveAverage="true" bottom="false" dxfId="0" equalAverage="false" percent="false" priority="90" stopIfTrue="false" type="expression">
      <formula>Y248:Y255&lt;&gt;X248:X255</formula>
    </cfRule>
  </conditionalFormatting>
  <conditionalFormatting pivot="false" sqref="U248:U255">
    <cfRule aboveAverage="true" bottom="false" dxfId="0" equalAverage="false" percent="false" priority="89" stopIfTrue="false" type="expression">
      <formula>U248:U255&lt;&gt;T248:T255</formula>
    </cfRule>
  </conditionalFormatting>
  <conditionalFormatting pivot="false" sqref="Q248:Q255">
    <cfRule aboveAverage="true" bottom="false" dxfId="0" equalAverage="false" percent="false" priority="88" stopIfTrue="false" type="expression">
      <formula>Q248:Q255&lt;&gt;P248:P255</formula>
    </cfRule>
  </conditionalFormatting>
  <conditionalFormatting pivot="false" sqref="U259:U266">
    <cfRule aboveAverage="true" bottom="false" dxfId="0" equalAverage="false" percent="false" priority="87" stopIfTrue="false" type="expression">
      <formula>U259:U266&lt;&gt;T259:T266</formula>
    </cfRule>
  </conditionalFormatting>
  <conditionalFormatting pivot="false" sqref="Y259:Y266">
    <cfRule aboveAverage="true" bottom="false" dxfId="0" equalAverage="false" percent="false" priority="86" stopIfTrue="false" type="expression">
      <formula>Y259:Y266&lt;&gt;X259:X266</formula>
    </cfRule>
  </conditionalFormatting>
  <conditionalFormatting pivot="false" sqref="AC259:AC266">
    <cfRule aboveAverage="true" bottom="false" dxfId="0" equalAverage="false" percent="false" priority="85" stopIfTrue="false" type="expression">
      <formula>AC259:AC266&lt;&gt;AB259:AB266</formula>
    </cfRule>
  </conditionalFormatting>
  <conditionalFormatting pivot="false" sqref="AG259:AG266">
    <cfRule aboveAverage="true" bottom="false" dxfId="0" equalAverage="false" percent="false" priority="84" stopIfTrue="false" type="expression">
      <formula>AG259:AG266&lt;&gt;AF259:AF266</formula>
    </cfRule>
  </conditionalFormatting>
  <conditionalFormatting pivot="false" sqref="AG270:AG277">
    <cfRule aboveAverage="true" bottom="false" dxfId="0" equalAverage="false" percent="false" priority="83" stopIfTrue="false" type="expression">
      <formula>AG270:AG277&lt;&gt;AF270:AF277</formula>
    </cfRule>
  </conditionalFormatting>
  <conditionalFormatting pivot="false" sqref="U270:U277">
    <cfRule aboveAverage="true" bottom="false" dxfId="0" equalAverage="false" percent="false" priority="82" stopIfTrue="false" type="expression">
      <formula>U270:U277&lt;&gt;T270:T277</formula>
    </cfRule>
  </conditionalFormatting>
  <conditionalFormatting pivot="false" sqref="Q270:Q277">
    <cfRule aboveAverage="true" bottom="false" dxfId="0" equalAverage="false" percent="false" priority="81" stopIfTrue="false" type="expression">
      <formula>Q270:Q277&lt;&gt;P270:P277</formula>
    </cfRule>
  </conditionalFormatting>
  <conditionalFormatting pivot="false" sqref="Q281:Q288">
    <cfRule aboveAverage="true" bottom="false" dxfId="0" equalAverage="false" percent="false" priority="80" stopIfTrue="false" type="expression">
      <formula>Q281:Q288&lt;&gt;P281:P288</formula>
    </cfRule>
  </conditionalFormatting>
  <conditionalFormatting pivot="false" sqref="U281:U288">
    <cfRule aboveAverage="true" bottom="false" dxfId="0" equalAverage="false" percent="false" priority="79" stopIfTrue="false" type="expression">
      <formula>U281:U288&lt;&gt;T281:T288</formula>
    </cfRule>
  </conditionalFormatting>
  <conditionalFormatting pivot="false" sqref="Y281:Y288">
    <cfRule aboveAverage="true" bottom="false" dxfId="0" equalAverage="false" percent="false" priority="78" stopIfTrue="false" type="expression">
      <formula>Y281:Y288&lt;&gt;X281:X288</formula>
    </cfRule>
  </conditionalFormatting>
  <conditionalFormatting pivot="false" sqref="AC281:AC288">
    <cfRule aboveAverage="true" bottom="false" dxfId="0" equalAverage="false" percent="false" priority="77" stopIfTrue="false" type="expression">
      <formula>AC281:AC288&lt;&gt;AB281:AB288</formula>
    </cfRule>
  </conditionalFormatting>
  <conditionalFormatting pivot="false" sqref="AG281:AG288">
    <cfRule aboveAverage="true" bottom="false" dxfId="0" equalAverage="false" percent="false" priority="76" stopIfTrue="false" type="expression">
      <formula>AG281:AG288&lt;&gt;AF281:AF288</formula>
    </cfRule>
  </conditionalFormatting>
  <conditionalFormatting pivot="false" sqref="AG292:AG299">
    <cfRule aboveAverage="true" bottom="false" dxfId="0" equalAverage="false" percent="false" priority="75" stopIfTrue="false" type="expression">
      <formula>AG292:AG299&lt;&gt;AF292:AF299</formula>
    </cfRule>
  </conditionalFormatting>
  <conditionalFormatting pivot="false" sqref="AC292:AC299">
    <cfRule aboveAverage="true" bottom="false" dxfId="0" equalAverage="false" percent="false" priority="74" stopIfTrue="false" type="expression">
      <formula>AC292:AC299&lt;&gt;AB292:AB299</formula>
    </cfRule>
  </conditionalFormatting>
  <conditionalFormatting pivot="false" sqref="Y292:Y299">
    <cfRule aboveAverage="true" bottom="false" dxfId="0" equalAverage="false" percent="false" priority="73" stopIfTrue="false" type="expression">
      <formula>Y292:Y299&lt;&gt;X292:X299</formula>
    </cfRule>
  </conditionalFormatting>
  <conditionalFormatting pivot="false" sqref="Q303:Q310">
    <cfRule aboveAverage="true" bottom="false" dxfId="0" equalAverage="false" percent="false" priority="72" stopIfTrue="false" type="expression">
      <formula>Q303:Q310&lt;&gt;P303:P310</formula>
    </cfRule>
  </conditionalFormatting>
  <conditionalFormatting pivot="false" sqref="U303:U310">
    <cfRule aboveAverage="true" bottom="false" dxfId="0" equalAverage="false" percent="false" priority="71" stopIfTrue="false" type="expression">
      <formula>U303:U310&lt;&gt;T303:T310</formula>
    </cfRule>
  </conditionalFormatting>
  <conditionalFormatting pivot="false" sqref="Y303:Y310">
    <cfRule aboveAverage="true" bottom="false" dxfId="0" equalAverage="false" percent="false" priority="70" stopIfTrue="false" type="expression">
      <formula>Y303:Y310&lt;&gt;X303:X310</formula>
    </cfRule>
  </conditionalFormatting>
  <conditionalFormatting pivot="false" sqref="AG314:AG321">
    <cfRule aboveAverage="true" bottom="false" dxfId="0" equalAverage="false" percent="false" priority="69" stopIfTrue="false" type="expression">
      <formula>AG314:AG321&lt;&gt;AF314:AF321</formula>
    </cfRule>
  </conditionalFormatting>
  <conditionalFormatting pivot="false" sqref="AC314:AC321">
    <cfRule aboveAverage="true" bottom="false" dxfId="0" equalAverage="false" percent="false" priority="68" stopIfTrue="false" type="expression">
      <formula>AC314:AC321&lt;&gt;AB314:AB321</formula>
    </cfRule>
  </conditionalFormatting>
  <conditionalFormatting pivot="false" sqref="Y314:Y321">
    <cfRule aboveAverage="true" bottom="false" dxfId="0" equalAverage="false" percent="false" priority="67" stopIfTrue="false" type="expression">
      <formula>Y314:Y321&lt;&gt;X314:X321</formula>
    </cfRule>
  </conditionalFormatting>
  <conditionalFormatting pivot="false" sqref="U314:U321">
    <cfRule aboveAverage="true" bottom="false" dxfId="0" equalAverage="false" percent="false" priority="66" stopIfTrue="false" type="expression">
      <formula>U314:U321&lt;&gt;T314:T321</formula>
    </cfRule>
  </conditionalFormatting>
  <conditionalFormatting pivot="false" sqref="Q314:Q321">
    <cfRule aboveAverage="true" bottom="false" dxfId="0" equalAverage="false" percent="false" priority="65" stopIfTrue="false" type="expression">
      <formula>Q314:Q321&lt;&gt;P314:P321</formula>
    </cfRule>
  </conditionalFormatting>
  <conditionalFormatting pivot="false" sqref="Q325:Q332">
    <cfRule aboveAverage="true" bottom="false" dxfId="0" equalAverage="false" percent="false" priority="64" stopIfTrue="false" type="expression">
      <formula>Q325:Q332&lt;&gt;P325:P332</formula>
    </cfRule>
  </conditionalFormatting>
  <conditionalFormatting pivot="false" sqref="AC325:AC332">
    <cfRule aboveAverage="true" bottom="false" dxfId="0" equalAverage="false" percent="false" priority="63" stopIfTrue="false" type="expression">
      <formula>AC325:AC332&lt;&gt;AB325:AB332</formula>
    </cfRule>
  </conditionalFormatting>
  <conditionalFormatting pivot="false" sqref="AG325:AG332">
    <cfRule aboveAverage="true" bottom="false" dxfId="0" equalAverage="false" percent="false" priority="62" stopIfTrue="false" type="expression">
      <formula>AG325:AG332&lt;&gt;AF325:AF332</formula>
    </cfRule>
  </conditionalFormatting>
  <conditionalFormatting pivot="false" sqref="AC336:AC343">
    <cfRule aboveAverage="true" bottom="false" dxfId="0" equalAverage="false" percent="false" priority="61" stopIfTrue="false" type="expression">
      <formula>AC336:AC343&lt;&gt;AB336:AB343</formula>
    </cfRule>
  </conditionalFormatting>
  <conditionalFormatting pivot="false" sqref="Y336:Y343">
    <cfRule aboveAverage="true" bottom="false" dxfId="0" equalAverage="false" percent="false" priority="60" stopIfTrue="false" type="expression">
      <formula>Y336:Y343&lt;&gt;X336:X343</formula>
    </cfRule>
  </conditionalFormatting>
  <conditionalFormatting pivot="false" sqref="U336:U343">
    <cfRule aboveAverage="true" bottom="false" dxfId="0" equalAverage="false" percent="false" priority="59" stopIfTrue="false" type="expression">
      <formula>U336:U343&lt;&gt;T336:T343</formula>
    </cfRule>
  </conditionalFormatting>
  <conditionalFormatting pivot="false" sqref="Q336:Q343">
    <cfRule aboveAverage="true" bottom="false" dxfId="0" equalAverage="false" percent="false" priority="58" stopIfTrue="false" type="expression">
      <formula>Q336:Q343&lt;&gt;P336:P343</formula>
    </cfRule>
  </conditionalFormatting>
  <conditionalFormatting pivot="false" sqref="U347:U354">
    <cfRule aboveAverage="true" bottom="false" dxfId="0" equalAverage="false" percent="false" priority="57" stopIfTrue="false" type="expression">
      <formula>U347:U354&lt;&gt;T347:T354</formula>
    </cfRule>
  </conditionalFormatting>
  <conditionalFormatting pivot="false" sqref="Y347:Y354">
    <cfRule aboveAverage="true" bottom="false" dxfId="0" equalAverage="false" percent="false" priority="56" stopIfTrue="false" type="expression">
      <formula>Y347:Y354&lt;&gt;X347:X354</formula>
    </cfRule>
  </conditionalFormatting>
  <conditionalFormatting pivot="false" sqref="AC347:AC354">
    <cfRule aboveAverage="true" bottom="false" dxfId="0" equalAverage="false" percent="false" priority="55" stopIfTrue="false" type="expression">
      <formula>AC347:AC354&lt;&gt;AB347:AB354</formula>
    </cfRule>
  </conditionalFormatting>
  <conditionalFormatting pivot="false" sqref="AG347:AG354">
    <cfRule aboveAverage="true" bottom="false" dxfId="0" equalAverage="false" percent="false" priority="54" stopIfTrue="false" type="expression">
      <formula>AG347:AG354&lt;&gt;AF347:AF354</formula>
    </cfRule>
  </conditionalFormatting>
  <conditionalFormatting pivot="false" sqref="AG358:AG365">
    <cfRule aboveAverage="true" bottom="false" dxfId="0" equalAverage="false" percent="false" priority="53" stopIfTrue="false" type="expression">
      <formula>AG358:AG365&lt;&gt;AF358:AF365</formula>
    </cfRule>
  </conditionalFormatting>
  <conditionalFormatting pivot="false" sqref="U358:U365">
    <cfRule aboveAverage="true" bottom="false" dxfId="0" equalAverage="false" percent="false" priority="52" stopIfTrue="false" type="expression">
      <formula>U358:U365&lt;&gt;T358:T365</formula>
    </cfRule>
  </conditionalFormatting>
  <conditionalFormatting pivot="false" sqref="Q358:Q365">
    <cfRule aboveAverage="true" bottom="false" dxfId="0" equalAverage="false" percent="false" priority="51" stopIfTrue="false" type="expression">
      <formula>Q358:Q365&lt;&gt;P358:P365</formula>
    </cfRule>
  </conditionalFormatting>
  <conditionalFormatting pivot="false" sqref="Q369:Q376">
    <cfRule aboveAverage="true" bottom="false" dxfId="0" equalAverage="false" percent="false" priority="50" stopIfTrue="false" type="expression">
      <formula>Q369:Q376&lt;&gt;P369:P376</formula>
    </cfRule>
  </conditionalFormatting>
  <conditionalFormatting pivot="false" sqref="U369:U376">
    <cfRule aboveAverage="true" bottom="false" dxfId="0" equalAverage="false" percent="false" priority="49" stopIfTrue="false" type="expression">
      <formula>U369:U376&lt;&gt;T369:T376</formula>
    </cfRule>
  </conditionalFormatting>
  <conditionalFormatting pivot="false" sqref="Y369:Y376">
    <cfRule aboveAverage="true" bottom="false" dxfId="0" equalAverage="false" percent="false" priority="48" stopIfTrue="false" type="expression">
      <formula>Y369:Y376&lt;&gt;X369:X376</formula>
    </cfRule>
  </conditionalFormatting>
  <conditionalFormatting pivot="false" sqref="AC369:AC376">
    <cfRule aboveAverage="true" bottom="false" dxfId="0" equalAverage="false" percent="false" priority="47" stopIfTrue="false" type="expression">
      <formula>AC369:AC376&lt;&gt;AB369:AB376</formula>
    </cfRule>
  </conditionalFormatting>
  <conditionalFormatting pivot="false" sqref="AG369:AG376">
    <cfRule aboveAverage="true" bottom="false" dxfId="0" equalAverage="false" percent="false" priority="46" stopIfTrue="false" type="expression">
      <formula>AG369:AG376&lt;&gt;AF369:AF376</formula>
    </cfRule>
  </conditionalFormatting>
  <conditionalFormatting pivot="false" sqref="AG380:AG387">
    <cfRule aboveAverage="true" bottom="false" dxfId="0" equalAverage="false" percent="false" priority="45" stopIfTrue="false" type="expression">
      <formula>AG380:AG387&lt;&gt;AF380:AF387</formula>
    </cfRule>
  </conditionalFormatting>
  <conditionalFormatting pivot="false" sqref="AC380:AC387">
    <cfRule aboveAverage="true" bottom="false" dxfId="0" equalAverage="false" percent="false" priority="44" stopIfTrue="false" type="expression">
      <formula>AC380:AC387&lt;&gt;AB380:AB387</formula>
    </cfRule>
  </conditionalFormatting>
  <conditionalFormatting pivot="false" sqref="Y380:Y387">
    <cfRule aboveAverage="true" bottom="false" dxfId="0" equalAverage="false" percent="false" priority="43" stopIfTrue="false" type="expression">
      <formula>Y380:Y387&lt;&gt;X380:X387</formula>
    </cfRule>
  </conditionalFormatting>
  <conditionalFormatting pivot="false" sqref="Q391:Q398">
    <cfRule aboveAverage="true" bottom="false" dxfId="0" equalAverage="false" percent="false" priority="42" stopIfTrue="false" type="expression">
      <formula>Q391:Q398&lt;&gt;P391:P398</formula>
    </cfRule>
  </conditionalFormatting>
  <conditionalFormatting pivot="false" sqref="U391:U398">
    <cfRule aboveAverage="true" bottom="false" dxfId="0" equalAverage="false" percent="false" priority="41" stopIfTrue="false" type="expression">
      <formula>U391:U398&lt;&gt;T391:T398</formula>
    </cfRule>
  </conditionalFormatting>
  <conditionalFormatting pivot="false" sqref="Y391:Y398">
    <cfRule aboveAverage="true" bottom="false" dxfId="0" equalAverage="false" percent="false" priority="40" stopIfTrue="false" type="expression">
      <formula>Y391:Y398&lt;&gt;X391:X398</formula>
    </cfRule>
  </conditionalFormatting>
  <conditionalFormatting pivot="false" sqref="AG402:AG409">
    <cfRule aboveAverage="true" bottom="false" dxfId="0" equalAverage="false" percent="false" priority="39" stopIfTrue="false" type="expression">
      <formula>AG402:AG409&lt;&gt;AF402:AF409</formula>
    </cfRule>
  </conditionalFormatting>
  <conditionalFormatting pivot="false" sqref="AC402:AC409">
    <cfRule aboveAverage="true" bottom="false" dxfId="0" equalAverage="false" percent="false" priority="38" stopIfTrue="false" type="expression">
      <formula>AC402:AC409&lt;&gt;AB402:AB409</formula>
    </cfRule>
  </conditionalFormatting>
  <conditionalFormatting pivot="false" sqref="Y402:Y409">
    <cfRule aboveAverage="true" bottom="false" dxfId="0" equalAverage="false" percent="false" priority="37" stopIfTrue="false" type="expression">
      <formula>Y402:Y409&lt;&gt;X402:X409</formula>
    </cfRule>
  </conditionalFormatting>
  <conditionalFormatting pivot="false" sqref="Q402:Q409">
    <cfRule aboveAverage="true" bottom="false" dxfId="0" equalAverage="false" percent="false" priority="36" stopIfTrue="false" type="expression">
      <formula>Q402:Q409&lt;&gt;P402:P409</formula>
    </cfRule>
  </conditionalFormatting>
  <conditionalFormatting pivot="false" sqref="Q106:Q112 U106:U112 Y106:Y112 AC106:AC112 AG106:AG112">
    <cfRule aboveAverage="true" bottom="false" dxfId="0" equalAverage="false" percent="false" priority="35" stopIfTrue="false" type="expression">
      <formula>Q106:Q124&lt;&gt;P106:P124</formula>
    </cfRule>
  </conditionalFormatting>
  <conditionalFormatting pivot="false" sqref="Q105 U105 Y105 AC105 AG105">
    <cfRule aboveAverage="true" bottom="false" dxfId="0" equalAverage="false" percent="false" priority="34" stopIfTrue="false" type="expression">
      <formula>Q105:Q112&lt;&gt;P105:P112</formula>
    </cfRule>
  </conditionalFormatting>
  <conditionalFormatting pivot="false" sqref="AG204:AG211">
    <cfRule aboveAverage="true" bottom="false" dxfId="0" equalAverage="false" percent="false" priority="33" stopIfTrue="false" type="expression">
      <formula>AG204:AG211&lt;&gt;AF204:AF211</formula>
    </cfRule>
  </conditionalFormatting>
  <conditionalFormatting pivot="false" sqref="U215:U222">
    <cfRule aboveAverage="true" bottom="false" dxfId="0" equalAverage="false" percent="false" priority="32" stopIfTrue="false" type="expression">
      <formula>U215:U222&lt;&gt;T215:T222</formula>
    </cfRule>
  </conditionalFormatting>
  <conditionalFormatting pivot="false" sqref="Q29:Q35 U29:U35 Y29:Y35 AC29:AC35">
    <cfRule aboveAverage="true" bottom="false" dxfId="0" equalAverage="false" percent="false" priority="31" stopIfTrue="false" type="expression">
      <formula>Q29:Q124&lt;&gt;P29:P124</formula>
    </cfRule>
  </conditionalFormatting>
  <conditionalFormatting pivot="false" sqref="Q28 U28 Y28 AC28 AG28">
    <cfRule aboveAverage="true" bottom="false" dxfId="0" equalAverage="false" percent="false" priority="30" stopIfTrue="false" type="expression">
      <formula>Q28:Q35&lt;&gt;P28:P35</formula>
    </cfRule>
  </conditionalFormatting>
  <conditionalFormatting pivot="false" sqref="Q40:Q46 U40:U46 Y40:Y46 AC40:AC46">
    <cfRule aboveAverage="true" bottom="false" dxfId="0" equalAverage="false" percent="false" priority="29" stopIfTrue="false" type="expression">
      <formula>Q40:Q135&lt;&gt;P40:P135</formula>
    </cfRule>
  </conditionalFormatting>
  <conditionalFormatting pivot="false" sqref="Q39 U39 Y39 AC39 AG39">
    <cfRule aboveAverage="true" bottom="false" dxfId="0" equalAverage="false" percent="false" priority="28" stopIfTrue="false" type="expression">
      <formula>Q39:Q46&lt;&gt;P39:P46</formula>
    </cfRule>
  </conditionalFormatting>
  <conditionalFormatting pivot="false" sqref="Q51:Q57 U51:U57 Y51:Y57 AC51:AC57">
    <cfRule aboveAverage="true" bottom="false" dxfId="0" equalAverage="false" percent="false" priority="27" stopIfTrue="false" type="expression">
      <formula>Q51:Q146&lt;&gt;P51:P146</formula>
    </cfRule>
  </conditionalFormatting>
  <conditionalFormatting pivot="false" sqref="Q50 U50 Y50 AC50 AG50">
    <cfRule aboveAverage="true" bottom="false" dxfId="0" equalAverage="false" percent="false" priority="26" stopIfTrue="false" type="expression">
      <formula>Q50:Q57&lt;&gt;P50:P57</formula>
    </cfRule>
  </conditionalFormatting>
  <conditionalFormatting pivot="false" sqref="Q62:Q68 U62:U68 Y62:Y68 AC62:AC68">
    <cfRule aboveAverage="true" bottom="false" dxfId="0" equalAverage="false" percent="false" priority="25" stopIfTrue="false" type="expression">
      <formula>Q62:Q157&lt;&gt;P62:P157</formula>
    </cfRule>
  </conditionalFormatting>
  <conditionalFormatting pivot="false" sqref="Q61 U61 Y61 AC61 AG61">
    <cfRule aboveAverage="true" bottom="false" dxfId="0" equalAverage="false" percent="false" priority="24" stopIfTrue="false" type="expression">
      <formula>Q61:Q68&lt;&gt;P61:P68</formula>
    </cfRule>
  </conditionalFormatting>
  <conditionalFormatting pivot="false" sqref="Q73:Q79 U73:U79 Y73:Y79 AC73:AC79">
    <cfRule aboveAverage="true" bottom="false" dxfId="0" equalAverage="false" percent="false" priority="23" stopIfTrue="false" type="expression">
      <formula>Q73:Q168&lt;&gt;P73:P168</formula>
    </cfRule>
  </conditionalFormatting>
  <conditionalFormatting pivot="false" sqref="Q72 U72 Y72 AC72 AG72">
    <cfRule aboveAverage="true" bottom="false" dxfId="0" equalAverage="false" percent="false" priority="22" stopIfTrue="false" type="expression">
      <formula>Q72:Q79&lt;&gt;P72:P79</formula>
    </cfRule>
  </conditionalFormatting>
  <conditionalFormatting pivot="false" sqref="Q84:Q90 U84:U90 Y84:Y90 AC84:AC90">
    <cfRule aboveAverage="true" bottom="false" dxfId="0" equalAverage="false" percent="false" priority="21" stopIfTrue="false" type="expression">
      <formula>Q84:Q179&lt;&gt;P84:P179</formula>
    </cfRule>
  </conditionalFormatting>
  <conditionalFormatting pivot="false" sqref="Q83 U83 Y83 AC83 AG83">
    <cfRule aboveAverage="true" bottom="false" dxfId="0" equalAverage="false" percent="false" priority="20" stopIfTrue="false" type="expression">
      <formula>Q83:Q90&lt;&gt;P83:P90</formula>
    </cfRule>
  </conditionalFormatting>
  <conditionalFormatting pivot="false" sqref="Q95:Q101 U95:U101 Y95:Y101 AC95:AC101">
    <cfRule aboveAverage="true" bottom="false" dxfId="0" equalAverage="false" percent="false" priority="19" stopIfTrue="false" type="expression">
      <formula>Q95:Q190&lt;&gt;P95:P190</formula>
    </cfRule>
  </conditionalFormatting>
  <conditionalFormatting pivot="false" sqref="Q94 U94 Y94 AC94">
    <cfRule aboveAverage="true" bottom="false" dxfId="0" equalAverage="false" percent="false" priority="18" stopIfTrue="false" type="expression">
      <formula>Q94:Q101&lt;&gt;P94:P101</formula>
    </cfRule>
  </conditionalFormatting>
  <conditionalFormatting pivot="false" sqref="I417">
    <cfRule aboveAverage="true" bottom="false" dxfId="6" equalAverage="false" percent="false" priority="17" stopIfTrue="false" type="expression">
      <formula>$J$412=""</formula>
    </cfRule>
  </conditionalFormatting>
  <conditionalFormatting pivot="false" sqref="A9:A10 A12:A14 A42">
    <cfRule aboveAverage="true" bottom="false" dxfId="7" equalAverage="false" percent="false" priority="16" stopIfTrue="false" type="notContainsBlanks">
      <formula>LEN(TRIM(A9))&gt;0</formula>
    </cfRule>
  </conditionalFormatting>
  <conditionalFormatting pivot="false" sqref="A9:A10 A12:A14 A42">
    <cfRule aboveAverage="true" bottom="false" dxfId="5" equalAverage="false" percent="false" priority="15" stopIfTrue="false" text=";Block 3" type="containsText">
      <formula>NOT(ISERROR(SEARCH(";Block 3",A9)))</formula>
    </cfRule>
  </conditionalFormatting>
  <conditionalFormatting pivot="false" sqref="A9:A10 A12:A14 A42">
    <cfRule aboveAverage="true" bottom="false" dxfId="5" equalAverage="false" percent="false" priority="14" stopIfTrue="false" text="720G3" type="beginsWith">
      <formula>LEFT(A9,LEN("720G3"))="720G3"</formula>
    </cfRule>
  </conditionalFormatting>
  <conditionalFormatting pivot="false" sqref="A9:A10 A12:A14 A42">
    <cfRule aboveAverage="true" bottom="false" dxfId="5" equalAverage="false" percent="false" priority="13" stopIfTrue="false" text="72003" type="beginsWith">
      <formula>LEFT(A9,LEN("72003"))="72003"</formula>
    </cfRule>
  </conditionalFormatting>
  <conditionalFormatting pivot="false" sqref="A4:A8">
    <cfRule aboveAverage="true" bottom="false" dxfId="5" equalAverage="false" percent="false" priority="12" stopIfTrue="false" text="Block 3" type="containsText">
      <formula>NOT(ISERROR(SEARCH("Block 3",A4)))</formula>
    </cfRule>
  </conditionalFormatting>
  <conditionalFormatting pivot="false" sqref="A4:A8">
    <cfRule aboveAverage="true" bottom="false" dxfId="5" equalAverage="false" percent="false" priority="11" stopIfTrue="false" text="720G3" type="containsText">
      <formula>NOT(ISERROR(SEARCH("720G3",A4)))</formula>
    </cfRule>
  </conditionalFormatting>
  <conditionalFormatting pivot="false" sqref="A11">
    <cfRule aboveAverage="true" bottom="false" dxfId="5" equalAverage="false" percent="false" priority="10" stopIfTrue="false" text="Block 3" type="containsText">
      <formula>NOT(ISERROR(SEARCH("Block 3",A11)))</formula>
    </cfRule>
  </conditionalFormatting>
  <conditionalFormatting pivot="false" sqref="A11">
    <cfRule aboveAverage="true" bottom="false" dxfId="5" equalAverage="false" percent="false" priority="9" stopIfTrue="false" text="720G3" type="containsText">
      <formula>NOT(ISERROR(SEARCH("720G3",A11)))</formula>
    </cfRule>
  </conditionalFormatting>
  <conditionalFormatting pivot="false" sqref="A15:A41">
    <cfRule aboveAverage="true" bottom="false" dxfId="5" equalAverage="false" percent="false" priority="8" stopIfTrue="false" text="Block 3" type="containsText">
      <formula>NOT(ISERROR(SEARCH("Block 3",A15)))</formula>
    </cfRule>
  </conditionalFormatting>
  <conditionalFormatting pivot="false" sqref="A15:A41">
    <cfRule aboveAverage="true" bottom="false" dxfId="5" equalAverage="false" percent="false" priority="7" stopIfTrue="false" text="720G3" type="containsText">
      <formula>NOT(ISERROR(SEARCH("720G3",A15)))</formula>
    </cfRule>
  </conditionalFormatting>
  <conditionalFormatting pivot="false" sqref="A3">
    <cfRule aboveAverage="true" bottom="false" dxfId="8" equalAverage="false" percent="false" priority="6" stopIfTrue="false" text="720G4" type="containsText">
      <formula>NOT(ISERROR(SEARCH("720G4",A3)))</formula>
    </cfRule>
  </conditionalFormatting>
  <conditionalFormatting pivot="false" sqref="A3">
    <cfRule aboveAverage="true" bottom="false" dxfId="8" equalAverage="false" percent="false" priority="5" stopIfTrue="false" text="720G2" type="containsText">
      <formula>NOT(ISERROR(SEARCH("720G2",A3)))</formula>
    </cfRule>
  </conditionalFormatting>
  <conditionalFormatting pivot="false" sqref="A3">
    <cfRule aboveAverage="true" bottom="false" dxfId="7" equalAverage="false" percent="false" priority="4" stopIfTrue="false" text="720G1" type="containsText">
      <formula>NOT(ISERROR(SEARCH("720G1",A3)))</formula>
    </cfRule>
  </conditionalFormatting>
  <conditionalFormatting pivot="false" sqref="A3">
    <cfRule aboveAverage="true" bottom="false" dxfId="7" equalAverage="false" percent="false" priority="3" stopIfTrue="false" text=";Block 1" type="containsText">
      <formula>NOT(ISERROR(SEARCH(";Block 1",A3)))</formula>
    </cfRule>
  </conditionalFormatting>
  <conditionalFormatting pivot="false" sqref="A3">
    <cfRule aboveAverage="true" bottom="false" dxfId="7" equalAverage="false" percent="false" priority="2" stopIfTrue="false" text=";Block 2" type="containsText">
      <formula>NOT(ISERROR(SEARCH(";Block 2",A3)))</formula>
    </cfRule>
  </conditionalFormatting>
  <conditionalFormatting pivot="false" sqref="A3">
    <cfRule aboveAverage="true" bottom="false" dxfId="7" equalAverage="false" percent="false" priority="1" stopIfTrue="false" text=";Block 4" type="containsText">
      <formula>NOT(ISERROR(SEARCH(";Block 4",A3)))</formula>
    </cfRule>
  </conditionalFormatting>
  <dataValidations>
    <dataValidation allowBlank="false" error="This is a Binary value, which can be either 0 or 1." errorStyle="stop" errorTitle="Wrong Value" imeMode="noControl" operator="between" showDropDown="false" showErrorMessage="false" showInputMessage="true" sqref="AG204:AG211 U215:U222" type="none"/>
    <dataValidation allowBlank="true" error="This is a Binary value, which can be either 0 or 1." errorStyle="stop" errorTitle="Wrong Value" imeMode="noControl" operator="between" showDropDown="false" showErrorMessage="true" showInputMessage="true" sqref="Q655:Q662 U655:U662 Y655:Y662 AC633:AC640 U633:U640 AG644:AG651 Q633:Q640 AC644:AC651 AC688:AC695 Y688:Y695 AG677:AG684 Y644:Y651 AG633:AG640 AG666:AG673 Y666:Y673 Y633:Y640 Y424:Y431 Y347:Y354 Y193:Y200 Y281:Y288 Y523:Y530 Y512:Y519 Y457:Y464 Y259:Y266 Y611:Y618 Y600:Y607 Y578:Y585 Y567:Y574 Y556:Y563 AG611:AG618 AG589:AG596 AG578:AG585 AG556:AG563 AG545:AG552 AG622:AG629 AG534:AG541 Y545:Y552 AC611:AC618 AC369:AC376 AC237:AC244 AC314:AC321 AC292:AC299 AC457:AC464 AC523:AC530 AC281:AC288 AC380:AC387 Q413:Q420 Q39:Q46 Q215:Q222 Q237:Q244 Q391:Q398 Q501:Q508 Q402:Q409 Q314:Q321 Q50:Q57 Q72:Q79 Q83:Q90 Q94:Q101 Q424:Q431 Q490:Q497 Q677:Q684 Q457:Q464 Q589:Q596 Q567:Q574 Q688:Q695 Q512:Q519 Q666:Q673 Q303:Q310 Q226:Q233 Q534:Q541 Q545:Q552 Q578:Q585 Q622:Q629 Q358:Q365 U622:U629 U50:U57 U28:U35 U127:U134 U391:U398 U600:U607 U435:U442 U479:U486 U61:U68 U83:U90 U94:U101 Q193:Q200 Q336:Q343 Q248:Q255 Q270:Q277 Q479:Q486 Q600:Q607 Q6:Q13 Q127:Q134 Q369:Q376 Q28:Q35 Q105:Q112 Q17:Q24 Q281:Q288 Q446:Q453 Q325:Q332 Q61:Q68 U512:U519 U39:U46 U402:U409 U248:U255 U534:U541 U567:U574 U446:U453 U72:U79 AC512:AC519 AC193:AC200 AC6:AC13 AC17:AC24 AC589:AC596 AC435:AC442 AC468:AC475 AC347:AC354 AC94:AC101 AC501:AC508 AC50:AC57 AC28:AC35 AC204:AC211 AC666:AC673 AC545:AC552 AC413:AC420 AC83:AC90 AC600:AC607 AC61:AC68 AC39:AC46 AC105:AC112 AC248:AC255 AC578:AC585 AC424:AC431 AC677:AC684 AC72:AC79 AC259:AC266 AC336:AC343 AC325:AC332 AC402:AC409 AC490:AC497 AC556:AC563 AC116:AC123 AC226:AC233 AG325:AG332 AG50:AG57 AG28:AG35 AG226:AG233 AG358:AG365 AG446:AG453 AG347:AG354 AG83:AG90 AG501:AG508 AG61:AG68 AG39:AG46 AG105:AG112 AG369:AG376 AG468:AG475 AG413:AG420 AG402:AG409 AG72:AG79 AG523:AG530 AG314:AG321 AG281:AG288 AG270:AG277 AG182:AG189 AG435:AG442 AG457:AG464 AG490:AG497 AG193:AG200 AG380:AG387 Y127:Y134 Y50:Y57 Y28:Y35 Y248:Y255 Y215:Y222 Y468:Y475 Y303:Y310 Y83:Y90 Y94:Y101 Y391:Y398 Y61:Y68 Y39:Y46 Y105:Y112 Y204:Y211 Y490:Y497 Y336:Y343 Y369:Y376 Y72:Y79 Y402:Y409 Y380:Y387 Y314:Y321 Y226:Y233 Y435:Y442 Y479:Y486 Y292:Y299 Y116:Y123 U666:U673 U182:U189 U259:U266 U6:U13 U611:U618 U424:U431 U457:U464 U226:U233 U688:U695 U303:U310 U281:U288 U17:U24 U523:U530 U578:U585 U545:U552 U490:U497 U347:U354 U358:U365 U193:U200 U270:U277 U314:U321 U336:U343 U105:U112 U369:U376 AG6:AG13 Y17:Y24 AG17:AG24 AG116:AG123 AG237:AG244 AG259:AG266 AG292:AG299 Y6:Y13" type="whole">
      <formula1>0</formula1>
      <formula2>1</formula2>
    </dataValidation>
    <dataValidation allowBlank="true" error="This is a Binary value, which can be either 0 or 1." errorStyle="stop" errorTitle="Wrong Value" imeMode="noControl" operator="between" showDropDown="false" showErrorMessage="false" showInputMessage="true" sqref="T118:W118 S115:W117 S119:W123" type="none"/>
  </dataValidations>
  <hyperlinks>
    <hyperlink display="https://www.mazda3revolution.com/threads/change-configuration-explore-different-functions-asbuilt.169393/" r:id="rId1" ref="AB1"/>
  </hyperlinks>
  <pageMargins bottom="0.75" footer="0.30000001192092896" header="0.30000001192092896" left="0.70000004768371582" right="0.70000004768371582" top="0.75"/>
  <pageSetup fitToHeight="0" fitToWidth="0" orientation="portrait" paperHeight="279.3998mm" paperSize="1" paperWidth="215.8999mm" scale="100"/>
  <legacyDrawing r:id="rId2"/>
</worksheet>
</file>

<file path=xl/worksheets/sheet8.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XFD49"/>
  <sheetViews>
    <sheetView showZeros="true" workbookViewId="0"/>
  </sheetViews>
  <sheetFormatPr baseColWidth="8" customHeight="false" defaultColWidth="9.1406253092569258" defaultRowHeight="15" zeroHeight="true"/>
  <cols>
    <col bestFit="true" customWidth="true" max="1" min="1" outlineLevel="0" width="21.000000169166182"/>
    <col bestFit="true" customWidth="true" max="2" min="2" outlineLevel="0" width="20.570312654628463"/>
    <col bestFit="true" customWidth="true" max="3" min="3" outlineLevel="0" width="4.5703126546284629"/>
    <col bestFit="true" customWidth="true" max="5" min="4" outlineLevel="0" width="9.0000001691661815"/>
    <col bestFit="true" customWidth="true" max="13" min="6" outlineLevel="0" width="9.1406253092569258"/>
    <col bestFit="true" customWidth="true" max="14" min="14" outlineLevel="0" width="5.4257812982387943"/>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bestFit="true"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bestFit="true"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bestFit="true" customWidth="true" max="40" min="36" outlineLevel="0" width="9.1406253092569258"/>
    <col bestFit="true" customWidth="true" hidden="true" max="16383" min="41" outlineLevel="0" width="9.1406253092569258"/>
    <col bestFit="true" customWidth="true" max="16384" min="16384" outlineLevel="0" width="9.1406253092569258"/>
    <col bestFit="true" customWidth="true" hidden="true" max="16384" min="16385" outlineLevel="0" width="9.1406253092569258"/>
  </cols>
  <sheetData>
    <row hidden="false" ht="15" outlineLevel="0" r="1">
      <c r="A1" s="85" t="s">
        <v>155</v>
      </c>
      <c r="B1" s="6804"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62" t="s"/>
      <c r="AK1" s="62" t="s"/>
    </row>
    <row hidden="false" ht="15.75" outlineLevel="0" r="2">
      <c r="A2" s="88" t="s">
        <v>157</v>
      </c>
      <c r="B2" s="89" t="s">
        <v>158</v>
      </c>
      <c r="C2" s="230" t="s">
        <v>159</v>
      </c>
      <c r="D2" s="6805" t="s"/>
      <c r="E2" s="6806" t="s"/>
      <c r="S2" s="87" t="n"/>
    </row>
    <row hidden="false" ht="15.75" outlineLevel="0" r="3">
      <c r="A3" s="91" t="s">
        <v>160</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7B7-01-01</v>
      </c>
      <c r="Q3" s="6807" t="s"/>
      <c r="R3" s="234" t="s">
        <v>2595</v>
      </c>
      <c r="S3" s="6808" t="s"/>
      <c r="T3" s="6809" t="s"/>
      <c r="U3" s="6810" t="s"/>
      <c r="V3" s="6811" t="s"/>
      <c r="W3" s="6812" t="s"/>
      <c r="X3" s="6813" t="s"/>
      <c r="Y3" s="6814" t="s"/>
      <c r="Z3" s="6815" t="s"/>
      <c r="AA3" s="6816" t="s"/>
      <c r="AB3" s="6817" t="s"/>
      <c r="AC3" s="6818" t="s"/>
      <c r="AD3" s="6819" t="s"/>
      <c r="AE3" s="6820" t="s"/>
      <c r="AF3" s="6821" t="s"/>
      <c r="AG3" s="6822" t="s"/>
      <c r="AH3" s="6823" t="s"/>
      <c r="AI3" s="6824" t="s"/>
      <c r="AJ3" s="6825" t="s"/>
      <c r="AK3" s="6826" t="s"/>
    </row>
    <row hidden="false" ht="15.75" outlineLevel="0" r="4">
      <c r="A4" s="91" t="s">
        <v>2596</v>
      </c>
      <c r="B4" s="92" t="str">
        <f aca="false" ca="false" dt2D="false" dtr="false" t="normal">RIGHT(D13, 1)&amp;E13&amp;F13&amp;G13&amp;H10&amp;I10&amp;J10&amp;K10&amp;L10&amp;M10</f>
        <v>7B7G1G10000000000C0</v>
      </c>
      <c r="C4" s="98" t="n"/>
      <c r="D4" s="99" t="s">
        <v>2597</v>
      </c>
      <c r="E4" s="6827" t="s"/>
      <c r="F4" s="6828" t="s"/>
      <c r="G4" s="6829" t="s"/>
      <c r="H4" s="53" t="s">
        <v>165</v>
      </c>
      <c r="I4" s="53" t="s">
        <v>166</v>
      </c>
      <c r="J4" s="53" t="s">
        <v>167</v>
      </c>
      <c r="K4" s="53" t="s">
        <v>168</v>
      </c>
      <c r="L4" s="53" t="s">
        <v>169</v>
      </c>
      <c r="M4" s="53" t="s">
        <v>221</v>
      </c>
      <c r="N4" s="63" t="n"/>
      <c r="P4" s="103" t="s">
        <v>2598</v>
      </c>
      <c r="Q4" s="6830" t="s"/>
      <c r="R4" s="6831" t="s"/>
      <c r="S4" s="6832" t="s"/>
      <c r="T4" s="103" t="s">
        <v>2599</v>
      </c>
      <c r="U4" s="6833" t="s"/>
      <c r="V4" s="6834" t="s"/>
      <c r="W4" s="6835" t="s"/>
      <c r="X4" s="103" t="s">
        <v>2600</v>
      </c>
      <c r="Y4" s="6836" t="s"/>
      <c r="Z4" s="6837" t="s"/>
      <c r="AA4" s="6838" t="s"/>
      <c r="AB4" s="103" t="s">
        <v>2601</v>
      </c>
      <c r="AC4" s="6839" t="s"/>
      <c r="AD4" s="6840" t="s"/>
      <c r="AE4" s="6841" t="s"/>
      <c r="AF4" s="103" t="s">
        <v>2602</v>
      </c>
      <c r="AG4" s="6842" t="s"/>
      <c r="AH4" s="6843" t="s"/>
      <c r="AI4" s="6844" t="s"/>
      <c r="AJ4" s="103" t="s">
        <v>2603</v>
      </c>
      <c r="AK4" s="6845" t="s"/>
    </row>
    <row hidden="false" ht="15.75" outlineLevel="0" r="5">
      <c r="A5" s="91" t="s">
        <v>2604</v>
      </c>
      <c r="B5" s="92" t="str">
        <f aca="false" ca="false" dt2D="false" dtr="false" t="normal">RIGHT(D24, 1)&amp;E24&amp;F24&amp;G24&amp;H21&amp;I21&amp;J21&amp;K21&amp;L21&amp;M21</f>
        <v>7B7G1G20000000000C1</v>
      </c>
      <c r="C5" s="98" t="s">
        <v>176</v>
      </c>
      <c r="D5" s="122" t="s">
        <v>177</v>
      </c>
      <c r="E5" s="123" t="s">
        <v>2605</v>
      </c>
      <c r="F5" s="123" t="s">
        <v>179</v>
      </c>
      <c r="G5" s="124" t="s">
        <v>179</v>
      </c>
      <c r="H5" s="125" t="n">
        <f aca="false" ca="false" dt2D="false" dtr="false" t="normal">MID($A$4, 8, 2)</f>
        <v>0</v>
      </c>
      <c r="I5" s="126" t="n">
        <f aca="false" ca="false" dt2D="false" dtr="false" t="normal">MID($A$4, 10, 2)</f>
        <v>0</v>
      </c>
      <c r="J5" s="126" t="n">
        <f aca="false" ca="false" dt2D="false" dtr="false" t="normal">MID($A$4, 12, 2)</f>
        <v>0</v>
      </c>
      <c r="K5" s="126" t="n">
        <f aca="false" ca="false" dt2D="false" dtr="false" t="normal">MID($A$4, 14, 2)</f>
        <v>0</v>
      </c>
      <c r="L5" s="274" t="n">
        <f aca="false" ca="false" dt2D="false" dtr="false" t="normal">MID($A$4, 16, 2)</f>
        <v>0</v>
      </c>
      <c r="M5" s="128" t="str">
        <f aca="false" ca="false" dt2D="false" dtr="false" t="normal">MID($A$4, 18, 2)</f>
        <v>C0</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6846" t="s"/>
    </row>
    <row hidden="false" ht="15" outlineLevel="0" r="6">
      <c r="A6" s="91" t="s">
        <v>2606</v>
      </c>
      <c r="B6" s="92" t="str">
        <f aca="false" ca="false" dt2D="false" dtr="false" t="normal">RIGHT(D35, 1)&amp;E35&amp;F35&amp;G35&amp;H32&amp;I32&amp;J32&amp;K32&amp;L32</f>
        <v>7B7G1G300000000C2</v>
      </c>
      <c r="C6" s="98" t="s">
        <v>185</v>
      </c>
      <c r="D6" s="53" t="n">
        <f aca="false" ca="false" dt2D="false" dtr="false" t="normal">HEX2BIN(D5, 8)</f>
        <v>111</v>
      </c>
      <c r="E6" s="53" t="n">
        <f aca="false" ca="false" dt2D="false" dtr="false" t="normal">HEX2BIN(E5, 8)</f>
        <v>10110111</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6847" t="s">
        <v>2607</v>
      </c>
      <c r="T6" s="136" t="n">
        <f aca="false" ca="false" dt2D="false" dtr="false" t="normal">MID(I6, 1, 1)</f>
        <v>0</v>
      </c>
      <c r="U6" s="137" t="n">
        <f aca="false" ca="false" dt2D="false" dtr="false" t="normal">T6</f>
        <v>0</v>
      </c>
      <c r="V6" s="120" t="s">
        <v>186</v>
      </c>
      <c r="W6" s="1193" t="s">
        <v>2608</v>
      </c>
      <c r="X6" s="136" t="n">
        <f aca="false" ca="false" dt2D="false" dtr="false" t="normal">MID(J6, 1, 1)</f>
        <v>0</v>
      </c>
      <c r="Y6" s="137" t="n">
        <f aca="false" ca="false" dt2D="false" dtr="false" t="normal">X6</f>
        <v>0</v>
      </c>
      <c r="Z6" s="120" t="s">
        <v>186</v>
      </c>
      <c r="AA6" s="139" t="s">
        <v>2609</v>
      </c>
      <c r="AB6" s="136" t="n">
        <f aca="false" ca="false" dt2D="false" dtr="false" t="normal">MID(K6, 1, 1)</f>
        <v>0</v>
      </c>
      <c r="AC6" s="137" t="n">
        <f aca="false" ca="false" dt2D="false" dtr="false" t="normal">AB6</f>
        <v>0</v>
      </c>
      <c r="AD6" s="120" t="s">
        <v>186</v>
      </c>
      <c r="AE6" s="139" t="s">
        <v>2610</v>
      </c>
      <c r="AF6" s="136" t="n">
        <f aca="false" ca="false" dt2D="false" dtr="false" t="normal">MID(L6, 1, 1)</f>
        <v>0</v>
      </c>
      <c r="AG6" s="137" t="n">
        <f aca="false" ca="false" dt2D="false" dtr="false" t="normal">AF6</f>
        <v>0</v>
      </c>
      <c r="AH6" s="120" t="s">
        <v>186</v>
      </c>
      <c r="AI6" s="1194" t="s">
        <v>2611</v>
      </c>
      <c r="AJ6" s="6848" t="s"/>
      <c r="AK6" s="6849" t="s"/>
    </row>
    <row hidden="false" ht="15" outlineLevel="0" r="7">
      <c r="A7" s="91" t="s">
        <v>175</v>
      </c>
      <c r="B7" s="92" t="s">
        <v>175</v>
      </c>
      <c r="C7" s="98" t="s">
        <v>191</v>
      </c>
      <c r="D7" s="53" t="n">
        <f aca="false" ca="false" dt2D="false" dtr="false" t="normal">HEX2DEC(D5)</f>
        <v>7</v>
      </c>
      <c r="E7" s="53" t="n">
        <f aca="false" ca="false" dt2D="false" dtr="false" t="normal">HEX2DEC(E5)</f>
        <v>183</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192</v>
      </c>
      <c r="N7" s="63" t="n"/>
      <c r="P7" s="136" t="n">
        <f aca="false" ca="false" dt2D="false" dtr="false" t="normal">MID(H6, 2, 1)</f>
        <v>0</v>
      </c>
      <c r="Q7" s="137" t="n">
        <f aca="false" ca="false" dt2D="false" dtr="false" t="normal">P7</f>
        <v>0</v>
      </c>
      <c r="R7" s="120" t="s">
        <v>192</v>
      </c>
      <c r="S7" s="6850" t="s"/>
      <c r="T7" s="136" t="n">
        <f aca="false" ca="false" dt2D="false" dtr="false" t="normal">MID(I6, 2, 1)</f>
        <v>0</v>
      </c>
      <c r="U7" s="137" t="n">
        <f aca="false" ca="false" dt2D="false" dtr="false" t="normal">T7</f>
        <v>0</v>
      </c>
      <c r="V7" s="120" t="s">
        <v>192</v>
      </c>
      <c r="W7" s="139" t="s">
        <v>2612</v>
      </c>
      <c r="X7" s="136" t="n">
        <f aca="false" ca="false" dt2D="false" dtr="false" t="normal">MID(J6, 2, 1)</f>
        <v>0</v>
      </c>
      <c r="Y7" s="137" t="n">
        <f aca="false" ca="false" dt2D="false" dtr="false" t="normal">X7</f>
        <v>0</v>
      </c>
      <c r="Z7" s="120" t="s">
        <v>192</v>
      </c>
      <c r="AA7" s="139" t="s">
        <v>2613</v>
      </c>
      <c r="AB7" s="136" t="n">
        <f aca="false" ca="false" dt2D="false" dtr="false" t="normal">MID(K6, 2, 1)</f>
        <v>0</v>
      </c>
      <c r="AC7" s="137" t="n">
        <f aca="false" ca="false" dt2D="false" dtr="false" t="normal">AB7</f>
        <v>0</v>
      </c>
      <c r="AD7" s="120" t="s">
        <v>192</v>
      </c>
      <c r="AE7" s="139" t="s">
        <v>2614</v>
      </c>
      <c r="AF7" s="136" t="n">
        <f aca="false" ca="false" dt2D="false" dtr="false" t="normal">MID(L6, 2, 1)</f>
        <v>0</v>
      </c>
      <c r="AG7" s="137" t="n">
        <f aca="false" ca="false" dt2D="false" dtr="false" t="normal">AF7</f>
        <v>0</v>
      </c>
      <c r="AH7" s="120" t="s">
        <v>192</v>
      </c>
      <c r="AI7" s="2958" t="s">
        <v>2615</v>
      </c>
      <c r="AJ7" s="6851" t="s"/>
      <c r="AK7" s="6852" t="s"/>
    </row>
    <row hidden="false" ht="15" outlineLevel="0" r="8">
      <c r="A8" s="91" t="s">
        <v>2616</v>
      </c>
      <c r="B8" s="92" t="str">
        <f aca="false" ca="false" dt2D="false" dtr="false" t="normal">RIGHT(D46, 1)&amp;E46&amp;F46&amp;G46&amp;H43&amp;I43&amp;J43&amp;K43&amp;L43&amp;M43</f>
        <v>7B7G2G10000000000C1</v>
      </c>
      <c r="C8" s="98" t="s">
        <v>194</v>
      </c>
      <c r="D8" s="53" t="n">
        <f aca="false" ca="false" dt2D="false" dtr="false" t="normal">D5</f>
        <v>7</v>
      </c>
      <c r="E8" s="149" t="str">
        <f aca="false" ca="false" dt2D="false" dtr="false" t="normal">E5</f>
        <v>B7</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1193" t="s">
        <v>2617</v>
      </c>
      <c r="T8" s="136" t="n">
        <f aca="false" ca="false" dt2D="false" dtr="false" t="normal">MID(I6, 3, 1)</f>
        <v>0</v>
      </c>
      <c r="U8" s="137" t="n">
        <f aca="false" ca="false" dt2D="false" dtr="false" t="normal">T8</f>
        <v>0</v>
      </c>
      <c r="V8" s="120" t="s">
        <v>195</v>
      </c>
      <c r="W8" s="139" t="s">
        <v>2618</v>
      </c>
      <c r="X8" s="136" t="n">
        <f aca="false" ca="false" dt2D="false" dtr="false" t="normal">MID(J6, 3, 1)</f>
        <v>0</v>
      </c>
      <c r="Y8" s="137" t="n">
        <f aca="false" ca="false" dt2D="false" dtr="false" t="normal">X8</f>
        <v>0</v>
      </c>
      <c r="Z8" s="120" t="s">
        <v>195</v>
      </c>
      <c r="AA8" s="139" t="s">
        <v>2619</v>
      </c>
      <c r="AB8" s="136" t="n">
        <f aca="false" ca="false" dt2D="false" dtr="false" t="normal">MID(K6, 3, 1)</f>
        <v>0</v>
      </c>
      <c r="AC8" s="137" t="n">
        <f aca="false" ca="false" dt2D="false" dtr="false" t="normal">AB8</f>
        <v>0</v>
      </c>
      <c r="AD8" s="120" t="s">
        <v>195</v>
      </c>
      <c r="AE8" s="139" t="s">
        <v>2620</v>
      </c>
      <c r="AF8" s="136" t="n">
        <f aca="false" ca="false" dt2D="false" dtr="false" t="normal">MID(L6, 3, 1)</f>
        <v>0</v>
      </c>
      <c r="AG8" s="137" t="n">
        <f aca="false" ca="false" dt2D="false" dtr="false" t="normal">AF8</f>
        <v>0</v>
      </c>
      <c r="AH8" s="120" t="s">
        <v>195</v>
      </c>
      <c r="AI8" s="139" t="s">
        <v>2621</v>
      </c>
      <c r="AJ8" s="6853" t="s"/>
      <c r="AK8" s="6854" t="s"/>
    </row>
    <row customHeight="true" hidden="false" ht="15" outlineLevel="0" r="9">
      <c r="A9" s="581" t="s">
        <v>242</v>
      </c>
      <c r="B9" s="92" t="s">
        <v>242</v>
      </c>
      <c r="C9" s="98" t="n"/>
      <c r="N9" s="63" t="n"/>
      <c r="P9" s="136" t="n">
        <f aca="false" ca="false" dt2D="false" dtr="false" t="normal">MID(H6, 4, 1)</f>
        <v>0</v>
      </c>
      <c r="Q9" s="137" t="n">
        <f aca="false" ca="false" dt2D="false" dtr="false" t="normal">P9</f>
        <v>0</v>
      </c>
      <c r="R9" s="120" t="s">
        <v>197</v>
      </c>
      <c r="S9" s="6855" t="s">
        <v>2622</v>
      </c>
      <c r="T9" s="136" t="n">
        <f aca="false" ca="false" dt2D="false" dtr="false" t="normal">MID(I6, 4, 1)</f>
        <v>0</v>
      </c>
      <c r="U9" s="137" t="n">
        <f aca="false" ca="false" dt2D="false" dtr="false" t="normal">T9</f>
        <v>0</v>
      </c>
      <c r="V9" s="120" t="s">
        <v>197</v>
      </c>
      <c r="W9" s="921" t="s">
        <v>2623</v>
      </c>
      <c r="X9" s="136" t="n">
        <f aca="false" ca="false" dt2D="false" dtr="false" t="normal">MID(J6, 4, 1)</f>
        <v>0</v>
      </c>
      <c r="Y9" s="137" t="n">
        <f aca="false" ca="false" dt2D="false" dtr="false" t="normal">X9</f>
        <v>0</v>
      </c>
      <c r="Z9" s="120" t="s">
        <v>197</v>
      </c>
      <c r="AA9" s="139" t="s">
        <v>2624</v>
      </c>
      <c r="AB9" s="136" t="n">
        <f aca="false" ca="false" dt2D="false" dtr="false" t="normal">MID(K6, 4, 1)</f>
        <v>0</v>
      </c>
      <c r="AC9" s="137" t="n">
        <f aca="false" ca="false" dt2D="false" dtr="false" t="normal">AB9</f>
        <v>0</v>
      </c>
      <c r="AD9" s="120" t="s">
        <v>197</v>
      </c>
      <c r="AE9" s="139" t="s">
        <v>2625</v>
      </c>
      <c r="AF9" s="136" t="n">
        <f aca="false" ca="false" dt2D="false" dtr="false" t="normal">MID(L6, 4, 1)</f>
        <v>0</v>
      </c>
      <c r="AG9" s="137" t="n">
        <f aca="false" ca="false" dt2D="false" dtr="false" t="normal">AF9</f>
        <v>0</v>
      </c>
      <c r="AH9" s="120" t="s">
        <v>197</v>
      </c>
      <c r="AI9" s="921" t="s">
        <v>2626</v>
      </c>
      <c r="AJ9" s="6856" t="s"/>
      <c r="AK9" s="6857" t="s"/>
    </row>
    <row customHeight="true" hidden="false" ht="15" outlineLevel="0" r="10">
      <c r="A10" s="584" t="s">
        <v>2627</v>
      </c>
      <c r="B10" s="92" t="str">
        <f aca="false" ca="false" dt2D="false" dtr="false" t="normal">A10</f>
        <v>7B7G3G100C2</v>
      </c>
      <c r="C10" s="98" t="s">
        <v>176</v>
      </c>
      <c r="D10" s="159" t="n">
        <f aca="false" ca="false" dt2D="false" dtr="false" t="normal">D5</f>
        <v>7</v>
      </c>
      <c r="E10" s="160" t="str">
        <f aca="false" ca="false" dt2D="false" dtr="false" t="normal">E5</f>
        <v>B7</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C0</v>
      </c>
      <c r="N10" s="63" t="s">
        <v>181</v>
      </c>
      <c r="P10" s="136" t="n">
        <f aca="false" ca="false" dt2D="false" dtr="false" t="normal">MID(H6, 5, 1)</f>
        <v>0</v>
      </c>
      <c r="Q10" s="137" t="n">
        <f aca="false" ca="false" dt2D="false" dtr="false" t="normal">P10</f>
        <v>0</v>
      </c>
      <c r="R10" s="120" t="s">
        <v>200</v>
      </c>
      <c r="S10" s="1083" t="s">
        <v>2628</v>
      </c>
      <c r="T10" s="136" t="n">
        <f aca="false" ca="false" dt2D="false" dtr="false" t="normal">MID(I6, 5, 1)</f>
        <v>0</v>
      </c>
      <c r="U10" s="137" t="n">
        <f aca="false" ca="false" dt2D="false" dtr="false" t="normal">T10</f>
        <v>0</v>
      </c>
      <c r="V10" s="120" t="s">
        <v>200</v>
      </c>
      <c r="W10" s="1193" t="s">
        <v>2629</v>
      </c>
      <c r="X10" s="136" t="n">
        <f aca="false" ca="false" dt2D="false" dtr="false" t="normal">MID(J6, 5, 1)</f>
        <v>0</v>
      </c>
      <c r="Y10" s="137" t="n">
        <f aca="false" ca="false" dt2D="false" dtr="false" t="normal">X10</f>
        <v>0</v>
      </c>
      <c r="Z10" s="120" t="s">
        <v>200</v>
      </c>
      <c r="AA10" s="139" t="s">
        <v>2630</v>
      </c>
      <c r="AB10" s="136" t="n">
        <f aca="false" ca="false" dt2D="false" dtr="false" t="normal">MID(K6, 5, 1)</f>
        <v>0</v>
      </c>
      <c r="AC10" s="137" t="n">
        <f aca="false" ca="false" dt2D="false" dtr="false" t="normal">AB10</f>
        <v>0</v>
      </c>
      <c r="AD10" s="120" t="s">
        <v>200</v>
      </c>
      <c r="AE10" s="121" t="s">
        <v>196</v>
      </c>
      <c r="AF10" s="136" t="n">
        <f aca="false" ca="false" dt2D="false" dtr="false" t="normal">MID(L6, 5, 1)</f>
        <v>0</v>
      </c>
      <c r="AG10" s="137" t="n">
        <f aca="false" ca="false" dt2D="false" dtr="false" t="normal">AF10</f>
        <v>0</v>
      </c>
      <c r="AH10" s="120" t="s">
        <v>200</v>
      </c>
      <c r="AI10" s="2958" t="s">
        <v>2631</v>
      </c>
      <c r="AJ10" s="6858" t="s"/>
      <c r="AK10" s="6859" t="s"/>
    </row>
    <row customHeight="true" hidden="false" ht="15" outlineLevel="0" r="11">
      <c r="C11" s="98" t="s">
        <v>185</v>
      </c>
      <c r="D11" s="53" t="n">
        <f aca="false" ca="false" dt2D="false" dtr="false" t="normal">HEX2BIN(D10, 8)</f>
        <v>111</v>
      </c>
      <c r="E11" s="53" t="n">
        <f aca="false" ca="false" dt2D="false" dtr="false" t="normal">HEX2BIN(E10, 8)</f>
        <v>10110111</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C0</v>
      </c>
      <c r="N11" s="63" t="n"/>
      <c r="P11" s="136" t="n">
        <f aca="false" ca="false" dt2D="false" dtr="false" t="normal">MID(H6, 6, 1)</f>
        <v>0</v>
      </c>
      <c r="Q11" s="137" t="n">
        <f aca="false" ca="false" dt2D="false" dtr="false" t="normal">P11</f>
        <v>0</v>
      </c>
      <c r="R11" s="120" t="s">
        <v>203</v>
      </c>
      <c r="S11" s="1193" t="s">
        <v>2632</v>
      </c>
      <c r="T11" s="136" t="n">
        <f aca="false" ca="false" dt2D="false" dtr="false" t="normal">MID(I6, 6, 1)</f>
        <v>0</v>
      </c>
      <c r="U11" s="137" t="n">
        <f aca="false" ca="false" dt2D="false" dtr="false" t="normal">T11</f>
        <v>0</v>
      </c>
      <c r="V11" s="120" t="s">
        <v>203</v>
      </c>
      <c r="W11" s="208" t="s">
        <v>2633</v>
      </c>
      <c r="X11" s="136" t="n">
        <f aca="false" ca="false" dt2D="false" dtr="false" t="normal">MID(J6, 6, 1)</f>
        <v>0</v>
      </c>
      <c r="Y11" s="137" t="n">
        <f aca="false" ca="false" dt2D="false" dtr="false" t="normal">X11</f>
        <v>0</v>
      </c>
      <c r="Z11" s="120" t="s">
        <v>203</v>
      </c>
      <c r="AA11" s="139" t="s">
        <v>2634</v>
      </c>
      <c r="AB11" s="136" t="n">
        <f aca="false" ca="false" dt2D="false" dtr="false" t="normal">MID(K6, 6, 1)</f>
        <v>0</v>
      </c>
      <c r="AC11" s="137" t="n">
        <f aca="false" ca="false" dt2D="false" dtr="false" t="normal">AB11</f>
        <v>0</v>
      </c>
      <c r="AD11" s="120" t="s">
        <v>203</v>
      </c>
      <c r="AE11" s="139" t="s">
        <v>2635</v>
      </c>
      <c r="AF11" s="136" t="n">
        <f aca="false" ca="false" dt2D="false" dtr="false" t="normal">MID(L6, 6, 1)</f>
        <v>0</v>
      </c>
      <c r="AG11" s="137" t="n">
        <f aca="false" ca="false" dt2D="false" dtr="false" t="normal">AF11</f>
        <v>0</v>
      </c>
      <c r="AH11" s="120" t="s">
        <v>203</v>
      </c>
      <c r="AI11" s="921" t="s">
        <v>2636</v>
      </c>
      <c r="AJ11" s="6860" t="s"/>
      <c r="AK11" s="6861" t="s"/>
    </row>
    <row hidden="false" ht="15" outlineLevel="0" r="12">
      <c r="C12" s="98" t="s">
        <v>191</v>
      </c>
      <c r="D12" s="53" t="n">
        <f aca="false" ca="false" dt2D="false" dtr="false" t="normal">HEX2DEC(D10)</f>
        <v>7</v>
      </c>
      <c r="E12" s="53" t="n">
        <f aca="false" ca="false" dt2D="false" dtr="false" t="normal">HEX2DEC(E10)</f>
        <v>183</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192</v>
      </c>
      <c r="N12" s="63" t="n"/>
      <c r="P12" s="136" t="n">
        <f aca="false" ca="false" dt2D="false" dtr="false" t="normal">MID(H6, 7, 1)</f>
        <v>0</v>
      </c>
      <c r="Q12" s="137" t="n">
        <f aca="false" ca="false" dt2D="false" dtr="false" t="normal">P12</f>
        <v>0</v>
      </c>
      <c r="R12" s="120" t="s">
        <v>206</v>
      </c>
      <c r="S12" s="1194" t="s">
        <v>715</v>
      </c>
      <c r="T12" s="136" t="n">
        <f aca="false" ca="false" dt2D="false" dtr="false" t="normal">MID(I6, 7, 1)</f>
        <v>0</v>
      </c>
      <c r="U12" s="137" t="n">
        <f aca="false" ca="false" dt2D="false" dtr="false" t="normal">T12</f>
        <v>0</v>
      </c>
      <c r="V12" s="120" t="s">
        <v>206</v>
      </c>
      <c r="W12" s="1193" t="s">
        <v>2637</v>
      </c>
      <c r="X12" s="136" t="n">
        <f aca="false" ca="false" dt2D="false" dtr="false" t="normal">MID(J6, 7, 1)</f>
        <v>0</v>
      </c>
      <c r="Y12" s="137" t="n">
        <f aca="false" ca="false" dt2D="false" dtr="false" t="normal">X12</f>
        <v>0</v>
      </c>
      <c r="Z12" s="120" t="s">
        <v>206</v>
      </c>
      <c r="AA12" s="139" t="s">
        <v>2638</v>
      </c>
      <c r="AB12" s="136" t="n">
        <f aca="false" ca="false" dt2D="false" dtr="false" t="normal">MID(K6, 7, 1)</f>
        <v>0</v>
      </c>
      <c r="AC12" s="137" t="n">
        <f aca="false" ca="false" dt2D="false" dtr="false" t="normal">AB12</f>
        <v>0</v>
      </c>
      <c r="AD12" s="120" t="s">
        <v>206</v>
      </c>
      <c r="AE12" s="1770" t="s">
        <v>2639</v>
      </c>
      <c r="AF12" s="136" t="n">
        <f aca="false" ca="false" dt2D="false" dtr="false" t="normal">MID(L6, 7, 1)</f>
        <v>0</v>
      </c>
      <c r="AG12" s="137" t="n">
        <f aca="false" ca="false" dt2D="false" dtr="false" t="normal">AF12</f>
        <v>0</v>
      </c>
      <c r="AH12" s="120" t="s">
        <v>206</v>
      </c>
      <c r="AI12" s="3454" t="s">
        <v>2640</v>
      </c>
      <c r="AJ12" s="6862" t="s"/>
      <c r="AK12" s="6863" t="s"/>
    </row>
    <row hidden="false" ht="15.75" outlineLevel="0" r="13">
      <c r="C13" s="180" t="s">
        <v>194</v>
      </c>
      <c r="D13" s="6864" t="n">
        <f aca="false" ca="false" dt2D="false" dtr="false" t="normal">D8</f>
        <v>7</v>
      </c>
      <c r="E13" s="6864" t="str">
        <f aca="false" ca="false" dt2D="false" dtr="false" t="normal">E8</f>
        <v>B7</v>
      </c>
      <c r="F13" s="6864" t="str">
        <f aca="false" ca="false" dt2D="false" dtr="false" t="normal">F8</f>
        <v>G1</v>
      </c>
      <c r="G13" s="6864"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003" t="s">
        <v>2641</v>
      </c>
      <c r="T13" s="182" t="n">
        <f aca="false" ca="false" dt2D="false" dtr="false" t="normal">MID(I6, 8, 1)</f>
        <v>0</v>
      </c>
      <c r="U13" s="183" t="n">
        <f aca="false" ca="false" dt2D="false" dtr="false" t="normal">T13</f>
        <v>0</v>
      </c>
      <c r="V13" s="184" t="s">
        <v>208</v>
      </c>
      <c r="W13" s="187" t="s">
        <v>2642</v>
      </c>
      <c r="X13" s="182" t="n">
        <f aca="false" ca="false" dt2D="false" dtr="false" t="normal">MID(J6, 8, 1)</f>
        <v>0</v>
      </c>
      <c r="Y13" s="183" t="n">
        <f aca="false" ca="false" dt2D="false" dtr="false" t="normal">X13</f>
        <v>0</v>
      </c>
      <c r="Z13" s="184" t="s">
        <v>208</v>
      </c>
      <c r="AA13" s="187" t="s">
        <v>2643</v>
      </c>
      <c r="AB13" s="182" t="n">
        <f aca="false" ca="false" dt2D="false" dtr="false" t="normal">MID(K6, 8, 1)</f>
        <v>0</v>
      </c>
      <c r="AC13" s="183" t="n">
        <f aca="false" ca="false" dt2D="false" dtr="false" t="normal">AB13</f>
        <v>0</v>
      </c>
      <c r="AD13" s="184" t="s">
        <v>208</v>
      </c>
      <c r="AE13" s="6865" t="s"/>
      <c r="AF13" s="182" t="n">
        <f aca="false" ca="false" dt2D="false" dtr="false" t="normal">MID(L6, 8, 1)</f>
        <v>0</v>
      </c>
      <c r="AG13" s="183" t="n">
        <f aca="false" ca="false" dt2D="false" dtr="false" t="normal">AF13</f>
        <v>0</v>
      </c>
      <c r="AH13" s="184" t="s">
        <v>208</v>
      </c>
      <c r="AI13" s="187" t="s">
        <v>2644</v>
      </c>
      <c r="AJ13" s="6866" t="s"/>
      <c r="AK13" s="6867" t="s"/>
    </row>
    <row hidden="false" ht="15.75" outlineLevel="0" r="14">
      <c r="C14" s="93" t="n"/>
      <c r="D14" s="94" t="n"/>
      <c r="E14" s="94" t="n"/>
      <c r="F14" s="94" t="n"/>
      <c r="G14" s="94" t="n"/>
      <c r="H14" s="94" t="n"/>
      <c r="I14" s="94" t="n"/>
      <c r="J14" s="94" t="n"/>
      <c r="K14" s="94" t="n"/>
      <c r="L14" s="94" t="n"/>
      <c r="M14" s="94" t="s">
        <v>161</v>
      </c>
      <c r="N14" s="60" t="n"/>
      <c r="P14" s="95" t="str">
        <f aca="false" ca="false" dt2D="false" dtr="false" t="normal">RIGHT(D16, 1)&amp;E16&amp;"-"&amp;F16&amp;"-"&amp;G16</f>
        <v>7B7-01-02</v>
      </c>
      <c r="Q14" s="6868" t="s"/>
      <c r="R14" s="234" t="s">
        <v>2645</v>
      </c>
      <c r="S14" s="6869" t="s"/>
      <c r="T14" s="6870" t="s"/>
      <c r="U14" s="6871" t="s"/>
      <c r="V14" s="6872" t="s"/>
      <c r="W14" s="6873" t="s"/>
      <c r="X14" s="6874" t="s"/>
      <c r="Y14" s="6875" t="s"/>
      <c r="Z14" s="6876" t="s"/>
      <c r="AA14" s="6877" t="s"/>
      <c r="AB14" s="6878" t="s"/>
      <c r="AC14" s="6879" t="s"/>
      <c r="AD14" s="6880" t="s"/>
      <c r="AE14" s="6881" t="s"/>
      <c r="AF14" s="6882" t="s"/>
      <c r="AG14" s="6883" t="s"/>
      <c r="AH14" s="6884" t="s"/>
      <c r="AI14" s="6885" t="s"/>
      <c r="AJ14" s="6886" t="s"/>
      <c r="AK14" s="6887" t="s"/>
    </row>
    <row hidden="false" ht="15.75" outlineLevel="0" r="15">
      <c r="C15" s="98" t="n"/>
      <c r="D15" s="99" t="s">
        <v>2646</v>
      </c>
      <c r="E15" s="6888" t="s"/>
      <c r="F15" s="6889" t="s"/>
      <c r="G15" s="6890" t="s"/>
      <c r="H15" s="53" t="s">
        <v>165</v>
      </c>
      <c r="I15" s="53" t="s">
        <v>166</v>
      </c>
      <c r="J15" s="53" t="s">
        <v>167</v>
      </c>
      <c r="K15" s="53" t="s">
        <v>168</v>
      </c>
      <c r="L15" s="53" t="s">
        <v>169</v>
      </c>
      <c r="M15" s="53" t="s">
        <v>221</v>
      </c>
      <c r="N15" s="63" t="n"/>
      <c r="P15" s="103" t="s">
        <v>2647</v>
      </c>
      <c r="Q15" s="6891" t="s"/>
      <c r="R15" s="6892" t="s"/>
      <c r="S15" s="6893" t="s"/>
      <c r="T15" s="103" t="s">
        <v>2648</v>
      </c>
      <c r="U15" s="6894" t="s"/>
      <c r="V15" s="6895" t="s"/>
      <c r="W15" s="6896" t="s"/>
      <c r="X15" s="103" t="s">
        <v>2649</v>
      </c>
      <c r="Y15" s="6897" t="s"/>
      <c r="Z15" s="6898" t="s"/>
      <c r="AA15" s="6899" t="s"/>
      <c r="AB15" s="103" t="s">
        <v>2650</v>
      </c>
      <c r="AC15" s="6900" t="s"/>
      <c r="AD15" s="6901" t="s"/>
      <c r="AE15" s="6902" t="s"/>
      <c r="AF15" s="103" t="s">
        <v>2651</v>
      </c>
      <c r="AG15" s="6903" t="s"/>
      <c r="AH15" s="6904" t="s"/>
      <c r="AI15" s="6905" t="s"/>
      <c r="AJ15" s="103" t="s">
        <v>2652</v>
      </c>
      <c r="AK15" s="6906" t="s"/>
    </row>
    <row hidden="false" ht="15.75" outlineLevel="0" r="16">
      <c r="C16" s="98" t="s">
        <v>176</v>
      </c>
      <c r="D16" s="122" t="s">
        <v>177</v>
      </c>
      <c r="E16" s="123" t="s">
        <v>2605</v>
      </c>
      <c r="F16" s="123" t="s">
        <v>179</v>
      </c>
      <c r="G16" s="124" t="s">
        <v>216</v>
      </c>
      <c r="H16" s="125" t="n">
        <f aca="false" ca="false" dt2D="false" dtr="false" t="normal">MID($A$5, 8, 2)</f>
        <v>0</v>
      </c>
      <c r="I16" s="126" t="n">
        <f aca="false" ca="false" dt2D="false" dtr="false" t="normal">MID($A$5, 10, 2)</f>
        <v>0</v>
      </c>
      <c r="J16" s="126" t="n">
        <f aca="false" ca="false" dt2D="false" dtr="false" t="normal">MID($A$5, 12, 2)</f>
        <v>0</v>
      </c>
      <c r="K16" s="126" t="n">
        <f aca="false" ca="false" dt2D="false" dtr="false" t="normal">MID($A$5, 14, 2)</f>
        <v>0</v>
      </c>
      <c r="L16" s="274" t="n">
        <f aca="false" ca="false" dt2D="false" dtr="false" t="normal">MID($A$5, 16, 2)</f>
        <v>0</v>
      </c>
      <c r="M16" s="128" t="str">
        <f aca="false" ca="false" dt2D="false" dtr="false" t="normal">MID($A$5, 18, 2)</f>
        <v>C1</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6907" t="s"/>
    </row>
    <row customHeight="true" hidden="false" ht="15" outlineLevel="0" r="17">
      <c r="C17" s="98" t="s">
        <v>185</v>
      </c>
      <c r="D17" s="53" t="n">
        <f aca="false" ca="false" dt2D="false" dtr="false" t="normal">HEX2BIN(D16, 8)</f>
        <v>111</v>
      </c>
      <c r="E17" s="53" t="n">
        <f aca="false" ca="false" dt2D="false" dtr="false" t="normal">HEX2BIN(E16, 8)</f>
        <v>10110111</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N17" s="63" t="n"/>
      <c r="P17" s="136" t="n">
        <f aca="false" ca="false" dt2D="false" dtr="false" t="normal">MID(H17, 1, 1)</f>
        <v>0</v>
      </c>
      <c r="Q17" s="137" t="n">
        <f aca="false" ca="false" dt2D="false" dtr="false" t="normal">P17</f>
        <v>0</v>
      </c>
      <c r="R17" s="120" t="s">
        <v>186</v>
      </c>
      <c r="S17" s="139" t="s">
        <v>2653</v>
      </c>
      <c r="T17" s="136" t="n">
        <f aca="false" ca="false" dt2D="false" dtr="false" t="normal">MID(I17, 1, 1)</f>
        <v>0</v>
      </c>
      <c r="U17" s="137" t="n">
        <f aca="false" ca="false" dt2D="false" dtr="false" t="normal">T17</f>
        <v>0</v>
      </c>
      <c r="V17" s="120" t="s">
        <v>186</v>
      </c>
      <c r="W17" s="139" t="s">
        <v>2654</v>
      </c>
      <c r="X17" s="136" t="n">
        <f aca="false" ca="false" dt2D="false" dtr="false" t="normal">MID(J17, 1, 1)</f>
        <v>0</v>
      </c>
      <c r="Y17" s="137" t="n">
        <f aca="false" ca="false" dt2D="false" dtr="false" t="normal">X17</f>
        <v>0</v>
      </c>
      <c r="Z17" s="120" t="s">
        <v>186</v>
      </c>
      <c r="AA17" s="6908" t="s">
        <v>2655</v>
      </c>
      <c r="AB17" s="136" t="n">
        <f aca="false" ca="false" dt2D="false" dtr="false" t="normal">MID(K17, 1, 1)</f>
        <v>0</v>
      </c>
      <c r="AC17" s="137" t="n">
        <f aca="false" ca="false" dt2D="false" dtr="false" t="normal">AB17</f>
        <v>0</v>
      </c>
      <c r="AD17" s="120" t="s">
        <v>186</v>
      </c>
      <c r="AE17" s="921" t="s">
        <v>2656</v>
      </c>
      <c r="AF17" s="136" t="n">
        <f aca="false" ca="false" dt2D="false" dtr="false" t="normal">MID(L17, 1, 1)</f>
        <v>0</v>
      </c>
      <c r="AG17" s="137" t="n">
        <f aca="false" ca="false" dt2D="false" dtr="false" t="normal">AF17</f>
        <v>0</v>
      </c>
      <c r="AH17" s="120" t="s">
        <v>186</v>
      </c>
      <c r="AI17" s="635" t="s">
        <v>2657</v>
      </c>
      <c r="AJ17" s="6909" t="s"/>
      <c r="AK17" s="6910" t="s"/>
    </row>
    <row hidden="false" ht="15" outlineLevel="0" r="18">
      <c r="C18" s="98" t="s">
        <v>191</v>
      </c>
      <c r="D18" s="53" t="n">
        <f aca="false" ca="false" dt2D="false" dtr="false" t="normal">HEX2DEC(D16)</f>
        <v>7</v>
      </c>
      <c r="E18" s="53" t="n">
        <f aca="false" ca="false" dt2D="false" dtr="false" t="normal">HEX2DEC(E16)</f>
        <v>183</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193</v>
      </c>
      <c r="N18" s="63" t="n"/>
      <c r="P18" s="136" t="n">
        <f aca="false" ca="false" dt2D="false" dtr="false" t="normal">MID(H17, 2, 1)</f>
        <v>0</v>
      </c>
      <c r="Q18" s="137" t="n">
        <f aca="false" ca="false" dt2D="false" dtr="false" t="normal">P18</f>
        <v>0</v>
      </c>
      <c r="R18" s="120" t="s">
        <v>192</v>
      </c>
      <c r="S18" s="6911" t="s">
        <v>2658</v>
      </c>
      <c r="T18" s="209" t="n">
        <f aca="false" ca="false" dt2D="false" dtr="false" t="normal">MID(I17, 2, 1)</f>
        <v>0</v>
      </c>
      <c r="U18" s="137" t="n">
        <f aca="false" ca="false" dt2D="false" dtr="false" t="normal">T18</f>
        <v>0</v>
      </c>
      <c r="V18" s="120" t="s">
        <v>192</v>
      </c>
      <c r="W18" s="139" t="s">
        <v>2659</v>
      </c>
      <c r="X18" s="136" t="n">
        <f aca="false" ca="false" dt2D="false" dtr="false" t="normal">MID(J17, 2, 1)</f>
        <v>0</v>
      </c>
      <c r="Y18" s="137" t="n">
        <f aca="false" ca="false" dt2D="false" dtr="false" t="normal">X18</f>
        <v>0</v>
      </c>
      <c r="Z18" s="120" t="s">
        <v>192</v>
      </c>
      <c r="AA18" s="6912" t="s"/>
      <c r="AB18" s="136" t="n">
        <f aca="false" ca="false" dt2D="false" dtr="false" t="normal">MID(K17, 2, 1)</f>
        <v>0</v>
      </c>
      <c r="AC18" s="137" t="n">
        <f aca="false" ca="false" dt2D="false" dtr="false" t="normal">AB18</f>
        <v>0</v>
      </c>
      <c r="AD18" s="120" t="s">
        <v>192</v>
      </c>
      <c r="AE18" s="280" t="s">
        <v>2660</v>
      </c>
      <c r="AF18" s="136" t="n">
        <f aca="false" ca="false" dt2D="false" dtr="false" t="normal">MID(L17, 2, 1)</f>
        <v>0</v>
      </c>
      <c r="AG18" s="137" t="n">
        <f aca="false" ca="false" dt2D="false" dtr="false" t="normal">AF18</f>
        <v>0</v>
      </c>
      <c r="AH18" s="120" t="s">
        <v>192</v>
      </c>
      <c r="AI18" s="6913" t="s"/>
      <c r="AJ18" s="6914" t="s"/>
      <c r="AK18" s="6915" t="s"/>
    </row>
    <row hidden="false" ht="15" outlineLevel="0" r="19">
      <c r="C19" s="98" t="s">
        <v>194</v>
      </c>
      <c r="D19" s="149" t="n">
        <f aca="false" ca="false" dt2D="false" dtr="false" t="normal">D16</f>
        <v>7</v>
      </c>
      <c r="E19" s="149" t="str">
        <f aca="false" ca="false" dt2D="false" dtr="false" t="normal">E16</f>
        <v>B7</v>
      </c>
      <c r="F19" s="53" t="str">
        <f aca="false" ca="false" dt2D="false" dtr="false" t="normal">MID($A$5, 4, 2)</f>
        <v>G1</v>
      </c>
      <c r="G19" s="53" t="str">
        <f aca="false" ca="false" dt2D="false" dtr="false" t="normal">MID($A$5, 6, 2)</f>
        <v>G2</v>
      </c>
      <c r="N19" s="63" t="n"/>
      <c r="P19" s="136" t="n">
        <f aca="false" ca="false" dt2D="false" dtr="false" t="normal">MID(H17, 3, 1)</f>
        <v>0</v>
      </c>
      <c r="Q19" s="137" t="n">
        <f aca="false" ca="false" dt2D="false" dtr="false" t="normal">P19</f>
        <v>0</v>
      </c>
      <c r="R19" s="120" t="s">
        <v>195</v>
      </c>
      <c r="S19" s="1193" t="s">
        <v>2661</v>
      </c>
      <c r="T19" s="136" t="n">
        <f aca="false" ca="false" dt2D="false" dtr="false" t="normal">MID(I17, 3, 1)</f>
        <v>0</v>
      </c>
      <c r="U19" s="137" t="n">
        <f aca="false" ca="false" dt2D="false" dtr="false" t="normal">T19</f>
        <v>0</v>
      </c>
      <c r="V19" s="120" t="s">
        <v>195</v>
      </c>
      <c r="W19" s="139" t="s">
        <v>2662</v>
      </c>
      <c r="X19" s="136" t="n">
        <f aca="false" ca="false" dt2D="false" dtr="false" t="normal">MID(J17, 3, 1)</f>
        <v>0</v>
      </c>
      <c r="Y19" s="137" t="n">
        <f aca="false" ca="false" dt2D="false" dtr="false" t="normal">X19</f>
        <v>0</v>
      </c>
      <c r="Z19" s="120" t="s">
        <v>195</v>
      </c>
      <c r="AA19" s="6916" t="s"/>
      <c r="AB19" s="136" t="n">
        <f aca="false" ca="false" dt2D="false" dtr="false" t="normal">MID(K17, 3, 1)</f>
        <v>0</v>
      </c>
      <c r="AC19" s="137" t="n">
        <f aca="false" ca="false" dt2D="false" dtr="false" t="normal">AB19</f>
        <v>0</v>
      </c>
      <c r="AD19" s="120" t="s">
        <v>195</v>
      </c>
      <c r="AE19" s="208" t="s">
        <v>2663</v>
      </c>
      <c r="AF19" s="136" t="n">
        <f aca="false" ca="false" dt2D="false" dtr="false" t="normal">MID(L17, 3, 1)</f>
        <v>0</v>
      </c>
      <c r="AG19" s="137" t="n">
        <f aca="false" ca="false" dt2D="false" dtr="false" t="normal">AF19</f>
        <v>0</v>
      </c>
      <c r="AH19" s="120" t="s">
        <v>195</v>
      </c>
      <c r="AI19" s="6917" t="s"/>
      <c r="AJ19" s="6918" t="s"/>
      <c r="AK19" s="6919" t="s"/>
    </row>
    <row hidden="false" ht="15.75" outlineLevel="0" r="20">
      <c r="C20" s="98" t="n"/>
      <c r="N20" s="63" t="n"/>
      <c r="P20" s="136" t="n">
        <f aca="false" ca="false" dt2D="false" dtr="false" t="normal">MID(H17, 4, 1)</f>
        <v>0</v>
      </c>
      <c r="Q20" s="137" t="n">
        <f aca="false" ca="false" dt2D="false" dtr="false" t="normal">P20</f>
        <v>0</v>
      </c>
      <c r="R20" s="120" t="s">
        <v>197</v>
      </c>
      <c r="S20" s="139" t="s">
        <v>2664</v>
      </c>
      <c r="T20" s="136" t="n">
        <f aca="false" ca="false" dt2D="false" dtr="false" t="normal">MID(I17, 4, 1)</f>
        <v>0</v>
      </c>
      <c r="U20" s="137" t="n">
        <f aca="false" ca="false" dt2D="false" dtr="false" t="normal">T20</f>
        <v>0</v>
      </c>
      <c r="V20" s="120" t="s">
        <v>197</v>
      </c>
      <c r="W20" s="921" t="s">
        <v>2665</v>
      </c>
      <c r="X20" s="136" t="n">
        <f aca="false" ca="false" dt2D="false" dtr="false" t="normal">MID(J17, 4, 1)</f>
        <v>0</v>
      </c>
      <c r="Y20" s="137" t="n">
        <f aca="false" ca="false" dt2D="false" dtr="false" t="normal">X20</f>
        <v>0</v>
      </c>
      <c r="Z20" s="120" t="s">
        <v>197</v>
      </c>
      <c r="AA20" s="6920" t="s"/>
      <c r="AB20" s="136" t="n">
        <f aca="false" ca="false" dt2D="false" dtr="false" t="normal">MID(K17, 4, 1)</f>
        <v>0</v>
      </c>
      <c r="AC20" s="137" t="n">
        <f aca="false" ca="false" dt2D="false" dtr="false" t="normal">AB20</f>
        <v>0</v>
      </c>
      <c r="AD20" s="120" t="s">
        <v>197</v>
      </c>
      <c r="AE20" s="139" t="s">
        <v>2666</v>
      </c>
      <c r="AF20" s="136" t="n">
        <f aca="false" ca="false" dt2D="false" dtr="false" t="normal">MID(L17, 4, 1)</f>
        <v>0</v>
      </c>
      <c r="AG20" s="137" t="n">
        <f aca="false" ca="false" dt2D="false" dtr="false" t="normal">AF20</f>
        <v>0</v>
      </c>
      <c r="AH20" s="120" t="s">
        <v>197</v>
      </c>
      <c r="AI20" s="6921" t="s"/>
      <c r="AJ20" s="6922" t="s"/>
      <c r="AK20" s="6923" t="s"/>
    </row>
    <row hidden="false" ht="15.75" outlineLevel="0" r="21">
      <c r="C21" s="98" t="s">
        <v>176</v>
      </c>
      <c r="D21" s="159" t="n">
        <f aca="false" ca="false" dt2D="false" dtr="false" t="normal">D16</f>
        <v>7</v>
      </c>
      <c r="E21" s="160" t="str">
        <f aca="false" ca="false" dt2D="false" dtr="false" t="normal">E16</f>
        <v>B7</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str">
        <f aca="false" ca="false" dt2D="false" dtr="false" t="normal">IF(LEN(M22)&gt;2, MID(M22, 2, 2), M22)</f>
        <v>C1</v>
      </c>
      <c r="N21" s="63" t="s">
        <v>181</v>
      </c>
      <c r="P21" s="136" t="n">
        <f aca="false" ca="false" dt2D="false" dtr="false" t="normal">MID(H17, 5, 1)</f>
        <v>0</v>
      </c>
      <c r="Q21" s="137" t="n">
        <f aca="false" ca="false" dt2D="false" dtr="false" t="normal">P21</f>
        <v>0</v>
      </c>
      <c r="R21" s="120" t="s">
        <v>200</v>
      </c>
      <c r="S21" s="139" t="s">
        <v>2667</v>
      </c>
      <c r="T21" s="136" t="n">
        <f aca="false" ca="false" dt2D="false" dtr="false" t="normal">MID(I17, 5, 1)</f>
        <v>0</v>
      </c>
      <c r="U21" s="137" t="n">
        <f aca="false" ca="false" dt2D="false" dtr="false" t="normal">T21</f>
        <v>0</v>
      </c>
      <c r="V21" s="120" t="s">
        <v>200</v>
      </c>
      <c r="W21" s="654" t="s">
        <v>2668</v>
      </c>
      <c r="X21" s="136" t="n">
        <f aca="false" ca="false" dt2D="false" dtr="false" t="normal">MID(J17, 5, 1)</f>
        <v>0</v>
      </c>
      <c r="Y21" s="137" t="n">
        <f aca="false" ca="false" dt2D="false" dtr="false" t="normal">X21</f>
        <v>0</v>
      </c>
      <c r="Z21" s="120" t="s">
        <v>200</v>
      </c>
      <c r="AA21" s="139" t="s">
        <v>2669</v>
      </c>
      <c r="AB21" s="136" t="n">
        <f aca="false" ca="false" dt2D="false" dtr="false" t="normal">MID(K17, 5, 1)</f>
        <v>0</v>
      </c>
      <c r="AC21" s="137" t="n">
        <f aca="false" ca="false" dt2D="false" dtr="false" t="normal">AB21</f>
        <v>0</v>
      </c>
      <c r="AD21" s="120" t="s">
        <v>200</v>
      </c>
      <c r="AE21" s="1194" t="s">
        <v>2670</v>
      </c>
      <c r="AF21" s="136" t="n">
        <f aca="false" ca="false" dt2D="false" dtr="false" t="normal">MID(L17, 5, 1)</f>
        <v>0</v>
      </c>
      <c r="AG21" s="137" t="n">
        <f aca="false" ca="false" dt2D="false" dtr="false" t="normal">AF21</f>
        <v>0</v>
      </c>
      <c r="AH21" s="120" t="s">
        <v>200</v>
      </c>
      <c r="AI21" s="1193" t="s">
        <v>2671</v>
      </c>
      <c r="AJ21" s="6924" t="s"/>
      <c r="AK21" s="6925" t="s"/>
    </row>
    <row hidden="false" ht="15" outlineLevel="0" r="22">
      <c r="C22" s="98" t="s">
        <v>185</v>
      </c>
      <c r="D22" s="53" t="n">
        <f aca="false" ca="false" dt2D="false" dtr="false" t="normal">HEX2BIN(D21, 8)</f>
        <v>111</v>
      </c>
      <c r="E22" s="53" t="n">
        <f aca="false" ca="false" dt2D="false" dtr="false" t="normal">HEX2BIN(E21, 8)</f>
        <v>10110111</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171" t="n">
        <f aca="false" ca="false" dt2D="false" dtr="false" t="normal">AC17&amp;AC18&amp;AC19&amp;AC20&amp;AC21&amp;AC22&amp;AC23&amp;AC24</f>
        <v>0</v>
      </c>
      <c r="L22" s="53" t="n">
        <f aca="false" ca="false" dt2D="false" dtr="false" t="normal">AG17&amp;AG18&amp;AG19&amp;AG20&amp;AG21&amp;AG22&amp;AG23&amp;AG24</f>
        <v>0</v>
      </c>
      <c r="M22" s="53" t="str">
        <f aca="false" ca="false" dt2D="false" dtr="false" t="normal">DEC2HEX(M23)</f>
        <v>C1</v>
      </c>
      <c r="N22" s="63" t="n"/>
      <c r="P22" s="136" t="n">
        <f aca="false" ca="false" dt2D="false" dtr="false" t="normal">MID(H17, 6, 1)</f>
        <v>0</v>
      </c>
      <c r="Q22" s="137" t="n">
        <f aca="false" ca="false" dt2D="false" dtr="false" t="normal">P22</f>
        <v>0</v>
      </c>
      <c r="R22" s="120" t="s">
        <v>203</v>
      </c>
      <c r="S22" s="139" t="s">
        <v>2672</v>
      </c>
      <c r="T22" s="136" t="n">
        <f aca="false" ca="false" dt2D="false" dtr="false" t="normal">MID(I17, 6, 1)</f>
        <v>0</v>
      </c>
      <c r="U22" s="137" t="n">
        <f aca="false" ca="false" dt2D="false" dtr="false" t="normal">T22</f>
        <v>0</v>
      </c>
      <c r="V22" s="120" t="s">
        <v>203</v>
      </c>
      <c r="W22" s="6926" t="s"/>
      <c r="X22" s="136" t="n">
        <f aca="false" ca="false" dt2D="false" dtr="false" t="normal">MID(J17, 6, 1)</f>
        <v>0</v>
      </c>
      <c r="Y22" s="137" t="n">
        <f aca="false" ca="false" dt2D="false" dtr="false" t="normal">X22</f>
        <v>0</v>
      </c>
      <c r="Z22" s="120" t="s">
        <v>203</v>
      </c>
      <c r="AA22" s="139" t="s">
        <v>2673</v>
      </c>
      <c r="AB22" s="136" t="n">
        <f aca="false" ca="false" dt2D="false" dtr="false" t="normal">MID(K17, 6, 1)</f>
        <v>0</v>
      </c>
      <c r="AC22" s="137" t="n">
        <f aca="false" ca="false" dt2D="false" dtr="false" t="normal">AB22</f>
        <v>0</v>
      </c>
      <c r="AD22" s="120" t="s">
        <v>203</v>
      </c>
      <c r="AE22" s="139" t="s">
        <v>2674</v>
      </c>
      <c r="AF22" s="136" t="n">
        <f aca="false" ca="false" dt2D="false" dtr="false" t="normal">MID(L17, 6, 1)</f>
        <v>0</v>
      </c>
      <c r="AG22" s="137" t="n">
        <f aca="false" ca="false" dt2D="false" dtr="false" t="normal">AF22</f>
        <v>0</v>
      </c>
      <c r="AH22" s="120" t="s">
        <v>203</v>
      </c>
      <c r="AI22" s="139" t="s">
        <v>996</v>
      </c>
      <c r="AJ22" s="6927" t="s"/>
      <c r="AK22" s="6928" t="s"/>
    </row>
    <row hidden="false" ht="15" outlineLevel="0" r="23">
      <c r="C23" s="98" t="s">
        <v>191</v>
      </c>
      <c r="D23" s="53" t="n">
        <f aca="false" ca="false" dt2D="false" dtr="false" t="normal">HEX2DEC(D21)</f>
        <v>7</v>
      </c>
      <c r="E23" s="53" t="n">
        <f aca="false" ca="false" dt2D="false" dtr="false" t="normal">HEX2DEC(E21)</f>
        <v>183</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193</v>
      </c>
      <c r="N23" s="63" t="n"/>
      <c r="P23" s="136" t="n">
        <f aca="false" ca="false" dt2D="false" dtr="false" t="normal">MID(H17, 7, 1)</f>
        <v>0</v>
      </c>
      <c r="Q23" s="137" t="n">
        <f aca="false" ca="false" dt2D="false" dtr="false" t="normal">P23</f>
        <v>0</v>
      </c>
      <c r="R23" s="120" t="s">
        <v>206</v>
      </c>
      <c r="S23" s="1194" t="s">
        <v>2675</v>
      </c>
      <c r="T23" s="136" t="n">
        <f aca="false" ca="false" dt2D="false" dtr="false" t="normal">MID(I17, 7, 1)</f>
        <v>0</v>
      </c>
      <c r="U23" s="137" t="n">
        <f aca="false" ca="false" dt2D="false" dtr="false" t="normal">T23</f>
        <v>0</v>
      </c>
      <c r="V23" s="120" t="s">
        <v>206</v>
      </c>
      <c r="W23" s="6929" t="s"/>
      <c r="X23" s="136" t="n">
        <f aca="false" ca="false" dt2D="false" dtr="false" t="normal">MID(J17, 7, 1)</f>
        <v>0</v>
      </c>
      <c r="Y23" s="137" t="n">
        <f aca="false" ca="false" dt2D="false" dtr="false" t="normal">X23</f>
        <v>0</v>
      </c>
      <c r="Z23" s="120" t="s">
        <v>206</v>
      </c>
      <c r="AA23" s="139" t="s">
        <v>2676</v>
      </c>
      <c r="AB23" s="136" t="n">
        <f aca="false" ca="false" dt2D="false" dtr="false" t="normal">MID(K17, 7, 1)</f>
        <v>0</v>
      </c>
      <c r="AC23" s="137" t="n">
        <f aca="false" ca="false" dt2D="false" dtr="false" t="normal">AB23</f>
        <v>0</v>
      </c>
      <c r="AD23" s="120" t="s">
        <v>206</v>
      </c>
      <c r="AE23" s="139" t="s">
        <v>2677</v>
      </c>
      <c r="AF23" s="136" t="n">
        <f aca="false" ca="false" dt2D="false" dtr="false" t="normal">MID(L17, 7, 1)</f>
        <v>0</v>
      </c>
      <c r="AG23" s="137" t="n">
        <f aca="false" ca="false" dt2D="false" dtr="false" t="normal">AF23</f>
        <v>0</v>
      </c>
      <c r="AH23" s="120" t="s">
        <v>206</v>
      </c>
      <c r="AI23" s="139" t="s">
        <v>2678</v>
      </c>
      <c r="AJ23" s="6930" t="s"/>
      <c r="AK23" s="6931" t="s"/>
    </row>
    <row hidden="false" ht="15.75" outlineLevel="0" r="24">
      <c r="C24" s="180" t="s">
        <v>194</v>
      </c>
      <c r="D24" s="181" t="n">
        <f aca="false" ca="false" dt2D="false" dtr="false" t="normal">D19</f>
        <v>7</v>
      </c>
      <c r="E24" s="181" t="str">
        <f aca="false" ca="false" dt2D="false" dtr="false" t="normal">E19</f>
        <v>B7</v>
      </c>
      <c r="F24" s="181" t="str">
        <f aca="false" ca="false" dt2D="false" dtr="false" t="normal">F19</f>
        <v>G1</v>
      </c>
      <c r="G24" s="181"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7" t="s">
        <v>2679</v>
      </c>
      <c r="T24" s="182" t="n">
        <f aca="false" ca="false" dt2D="false" dtr="false" t="normal">MID(I17, 8, 1)</f>
        <v>0</v>
      </c>
      <c r="U24" s="183" t="n">
        <f aca="false" ca="false" dt2D="false" dtr="false" t="normal">T24</f>
        <v>0</v>
      </c>
      <c r="V24" s="184" t="s">
        <v>208</v>
      </c>
      <c r="W24" s="6932" t="s"/>
      <c r="X24" s="182" t="n">
        <f aca="false" ca="false" dt2D="false" dtr="false" t="normal">MID(J17, 8, 1)</f>
        <v>0</v>
      </c>
      <c r="Y24" s="183" t="n">
        <f aca="false" ca="false" dt2D="false" dtr="false" t="normal">X24</f>
        <v>0</v>
      </c>
      <c r="Z24" s="184" t="s">
        <v>208</v>
      </c>
      <c r="AA24" s="187" t="s">
        <v>2680</v>
      </c>
      <c r="AB24" s="182" t="n">
        <f aca="false" ca="false" dt2D="false" dtr="false" t="normal">MID(K17, 8, 1)</f>
        <v>0</v>
      </c>
      <c r="AC24" s="183" t="n">
        <f aca="false" ca="false" dt2D="false" dtr="false" t="normal">AB24</f>
        <v>0</v>
      </c>
      <c r="AD24" s="184" t="s">
        <v>208</v>
      </c>
      <c r="AE24" s="187" t="s">
        <v>2681</v>
      </c>
      <c r="AF24" s="182" t="n">
        <f aca="false" ca="false" dt2D="false" dtr="false" t="normal">MID(L17, 8, 1)</f>
        <v>0</v>
      </c>
      <c r="AG24" s="183" t="n">
        <f aca="false" ca="false" dt2D="false" dtr="false" t="normal">AF24</f>
        <v>0</v>
      </c>
      <c r="AH24" s="184" t="s">
        <v>208</v>
      </c>
      <c r="AI24" s="187" t="s">
        <v>2682</v>
      </c>
      <c r="AJ24" s="6933" t="s"/>
      <c r="AK24" s="6934" t="s"/>
    </row>
    <row hidden="false" ht="15.75" outlineLevel="0" r="25">
      <c r="C25" s="93" t="n"/>
      <c r="D25" s="94" t="n"/>
      <c r="E25" s="94" t="n"/>
      <c r="F25" s="94" t="n"/>
      <c r="G25" s="94" t="n"/>
      <c r="H25" s="94" t="n"/>
      <c r="I25" s="94" t="n"/>
      <c r="J25" s="94" t="n"/>
      <c r="K25" s="94" t="n"/>
      <c r="L25" s="94" t="s">
        <v>161</v>
      </c>
      <c r="N25" s="60" t="n"/>
      <c r="P25" s="95" t="str">
        <f aca="false" ca="false" dt2D="false" dtr="false" t="normal">RIGHT(D27, 1)&amp;E27&amp;"-"&amp;F27&amp;"-"&amp;G27</f>
        <v>7B7-01-03</v>
      </c>
      <c r="Q25" s="6935" t="s"/>
      <c r="R25" s="97" t="s">
        <v>2683</v>
      </c>
      <c r="S25" s="97" t="s"/>
      <c r="T25" s="97" t="s"/>
      <c r="U25" s="97" t="s"/>
      <c r="V25" s="97" t="s"/>
      <c r="W25" s="97" t="s"/>
      <c r="X25" s="97" t="s"/>
      <c r="Y25" s="97" t="s"/>
      <c r="Z25" s="97" t="s"/>
      <c r="AA25" s="97" t="s"/>
      <c r="AB25" s="97" t="s"/>
      <c r="AC25" s="97" t="s"/>
      <c r="AD25" s="97" t="s"/>
      <c r="AE25" s="97" t="s"/>
      <c r="AF25" s="97" t="s"/>
      <c r="AG25" s="97" t="s"/>
      <c r="AH25" s="97" t="s"/>
      <c r="AI25" s="97" t="s"/>
      <c r="AJ25" s="97" t="s"/>
      <c r="AK25" s="97" t="s"/>
    </row>
    <row hidden="false" ht="15.75" outlineLevel="0" r="26">
      <c r="C26" s="98" t="n"/>
      <c r="D26" s="99" t="s">
        <v>2684</v>
      </c>
      <c r="E26" s="6936" t="s"/>
      <c r="F26" s="6937" t="s"/>
      <c r="G26" s="6938" t="s"/>
      <c r="H26" s="53" t="s">
        <v>165</v>
      </c>
      <c r="I26" s="53" t="s">
        <v>166</v>
      </c>
      <c r="J26" s="53" t="s">
        <v>167</v>
      </c>
      <c r="K26" s="53" t="s">
        <v>168</v>
      </c>
      <c r="L26" s="53" t="s">
        <v>169</v>
      </c>
      <c r="N26" s="63" t="n"/>
      <c r="P26" s="103" t="s">
        <v>2685</v>
      </c>
      <c r="Q26" s="6939" t="s"/>
      <c r="R26" s="6940" t="s"/>
      <c r="S26" s="6941" t="s"/>
      <c r="T26" s="103" t="s">
        <v>2686</v>
      </c>
      <c r="U26" s="6942" t="s"/>
      <c r="V26" s="6943" t="s"/>
      <c r="W26" s="6944" t="s"/>
      <c r="X26" s="103" t="s">
        <v>2687</v>
      </c>
      <c r="Y26" s="6945" t="s"/>
      <c r="Z26" s="6946" t="s"/>
      <c r="AA26" s="6947" t="s"/>
      <c r="AB26" s="103" t="s">
        <v>2688</v>
      </c>
      <c r="AC26" s="6948" t="s"/>
      <c r="AD26" s="6949" t="s"/>
      <c r="AE26" s="6950" t="s"/>
      <c r="AF26" s="116" t="s">
        <v>2689</v>
      </c>
      <c r="AG26" s="6951" t="s"/>
      <c r="AH26" s="6952" t="s"/>
      <c r="AI26" s="6953" t="s"/>
      <c r="AJ26" s="120" t="n"/>
      <c r="AK26" s="121" t="n"/>
    </row>
    <row hidden="false" ht="15.75" outlineLevel="0" r="27">
      <c r="C27" s="98" t="s">
        <v>176</v>
      </c>
      <c r="D27" s="122" t="s">
        <v>177</v>
      </c>
      <c r="E27" s="123" t="s">
        <v>2605</v>
      </c>
      <c r="F27" s="123" t="s">
        <v>179</v>
      </c>
      <c r="G27" s="124" t="s">
        <v>307</v>
      </c>
      <c r="H27" s="273" t="n">
        <f aca="false" ca="false" dt2D="false" dtr="false" t="normal">MID($A$6, 8, 2)</f>
        <v>0</v>
      </c>
      <c r="I27" s="126" t="n">
        <f aca="false" ca="false" dt2D="false" dtr="false" t="normal">MID($A$6, 10, 2)</f>
        <v>0</v>
      </c>
      <c r="J27" s="126" t="n">
        <f aca="false" ca="false" dt2D="false" dtr="false" t="normal">MID($A$6, 12, 2)</f>
        <v>0</v>
      </c>
      <c r="K27" s="126" t="n">
        <f aca="false" ca="false" dt2D="false" dtr="false" t="normal">MID($A$6, 14, 2)</f>
        <v>0</v>
      </c>
      <c r="L27" s="128" t="str">
        <f aca="false" ca="false" dt2D="false" dtr="false" t="normal">MID($A$6, 16, 2)</f>
        <v>C2</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29" t="s">
        <v>180</v>
      </c>
      <c r="AC27" s="130" t="s">
        <v>181</v>
      </c>
      <c r="AD27" s="121" t="s">
        <v>182</v>
      </c>
      <c r="AE27" s="131" t="n"/>
      <c r="AF27" s="116" t="n"/>
      <c r="AG27" s="6954" t="s"/>
      <c r="AH27" s="6955" t="s"/>
      <c r="AI27" s="6956" t="s"/>
      <c r="AJ27" s="121" t="n"/>
      <c r="AK27" s="121" t="n"/>
    </row>
    <row hidden="false" ht="15" outlineLevel="0" r="28">
      <c r="C28" s="98" t="s">
        <v>185</v>
      </c>
      <c r="D28" s="53" t="n">
        <f aca="false" ca="false" dt2D="false" dtr="false" t="normal">HEX2BIN(D27, 8)</f>
        <v>111</v>
      </c>
      <c r="E28" s="53" t="n">
        <f aca="false" ca="false" dt2D="false" dtr="false" t="normal">HEX2BIN(E27, 8)</f>
        <v>10110111</v>
      </c>
      <c r="F28" s="53" t="n">
        <f aca="false" ca="false" dt2D="false" dtr="false" t="normal">HEX2BIN(F27, 8)</f>
        <v>1</v>
      </c>
      <c r="G28" s="53"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f aca="false" ca="false" dt2D="false" dtr="false" t="normal">HEX2BIN(K27, 8)</f>
        <v>0</v>
      </c>
      <c r="L28" s="53" t="n"/>
      <c r="N28" s="63" t="n"/>
      <c r="P28" s="136" t="n">
        <f aca="false" ca="false" dt2D="false" dtr="false" t="normal">MID(H28, 1, 1)</f>
        <v>0</v>
      </c>
      <c r="Q28" s="137" t="n">
        <f aca="false" ca="false" dt2D="false" dtr="false" t="normal">P28</f>
        <v>0</v>
      </c>
      <c r="R28" s="120" t="s">
        <v>186</v>
      </c>
      <c r="S28" s="139" t="s">
        <v>2690</v>
      </c>
      <c r="T28" s="136" t="n">
        <f aca="false" ca="false" dt2D="false" dtr="false" t="normal">MID(I28, 1, 1)</f>
        <v>0</v>
      </c>
      <c r="U28" s="137" t="n">
        <f aca="false" ca="false" dt2D="false" dtr="false" t="normal">T28</f>
        <v>0</v>
      </c>
      <c r="V28" s="120" t="s">
        <v>186</v>
      </c>
      <c r="W28" s="635" t="s">
        <v>2691</v>
      </c>
      <c r="X28" s="136" t="n">
        <f aca="false" ca="false" dt2D="false" dtr="false" t="normal">MID(J28, 1, 1)</f>
        <v>0</v>
      </c>
      <c r="Y28" s="137" t="n">
        <f aca="false" ca="false" dt2D="false" dtr="false" t="normal">X28</f>
        <v>0</v>
      </c>
      <c r="Z28" s="120" t="s">
        <v>186</v>
      </c>
      <c r="AA28" s="1193" t="s">
        <v>2692</v>
      </c>
      <c r="AB28" s="136" t="n">
        <f aca="false" ca="false" dt2D="false" dtr="false" t="normal">MID(K28, 1, 1)</f>
        <v>0</v>
      </c>
      <c r="AC28" s="137" t="n">
        <f aca="false" ca="false" dt2D="false" dtr="false" t="normal">AB28</f>
        <v>0</v>
      </c>
      <c r="AD28" s="120" t="s">
        <v>186</v>
      </c>
      <c r="AE28" s="139" t="s">
        <v>2693</v>
      </c>
      <c r="AF28" s="6957" t="s"/>
      <c r="AG28" s="142" t="s"/>
      <c r="AH28" s="142" t="s"/>
      <c r="AI28" s="6958" t="s"/>
      <c r="AJ28" s="121" t="n"/>
      <c r="AK28" s="121" t="n"/>
    </row>
    <row hidden="false" ht="15" outlineLevel="0" r="29">
      <c r="C29" s="98" t="s">
        <v>191</v>
      </c>
      <c r="D29" s="53" t="n">
        <f aca="false" ca="false" dt2D="false" dtr="false" t="normal">HEX2DEC(D27)</f>
        <v>7</v>
      </c>
      <c r="E29" s="53" t="n">
        <f aca="false" ca="false" dt2D="false" dtr="false" t="normal">HEX2DEC(E27)</f>
        <v>183</v>
      </c>
      <c r="F29" s="53" t="n">
        <f aca="false" ca="false" dt2D="false" dtr="false" t="normal">HEX2DEC(F27)</f>
        <v>1</v>
      </c>
      <c r="G29" s="53"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HEX2DEC(K27)</f>
        <v>0</v>
      </c>
      <c r="L29" s="53" t="n">
        <f aca="false" ca="false" dt2D="false" dtr="false" t="normal">SUM(D29:K29)</f>
        <v>194</v>
      </c>
      <c r="N29" s="63" t="n"/>
      <c r="P29" s="136" t="n">
        <f aca="false" ca="false" dt2D="false" dtr="false" t="normal">MID(H28, 2, 1)</f>
        <v>0</v>
      </c>
      <c r="Q29" s="137" t="n">
        <f aca="false" ca="false" dt2D="false" dtr="false" t="normal">P29</f>
        <v>0</v>
      </c>
      <c r="R29" s="120" t="s">
        <v>192</v>
      </c>
      <c r="S29" s="139" t="s">
        <v>2694</v>
      </c>
      <c r="T29" s="136" t="n">
        <f aca="false" ca="false" dt2D="false" dtr="false" t="normal">MID(I28, 2, 1)</f>
        <v>0</v>
      </c>
      <c r="U29" s="137" t="n">
        <f aca="false" ca="false" dt2D="false" dtr="false" t="normal">T29</f>
        <v>0</v>
      </c>
      <c r="V29" s="120" t="s">
        <v>192</v>
      </c>
      <c r="W29" s="6959" t="s"/>
      <c r="X29" s="136" t="n">
        <f aca="false" ca="false" dt2D="false" dtr="false" t="normal">MID(J28, 2, 1)</f>
        <v>0</v>
      </c>
      <c r="Y29" s="137" t="n">
        <f aca="false" ca="false" dt2D="false" dtr="false" t="normal">X29</f>
        <v>0</v>
      </c>
      <c r="Z29" s="120" t="s">
        <v>192</v>
      </c>
      <c r="AA29" s="1193" t="s">
        <v>2695</v>
      </c>
      <c r="AB29" s="136" t="n">
        <f aca="false" ca="false" dt2D="false" dtr="false" t="normal">MID(K28, 2, 1)</f>
        <v>0</v>
      </c>
      <c r="AC29" s="137" t="n">
        <f aca="false" ca="false" dt2D="false" dtr="false" t="normal">AB29</f>
        <v>0</v>
      </c>
      <c r="AD29" s="120" t="s">
        <v>192</v>
      </c>
      <c r="AE29" s="139" t="s">
        <v>2696</v>
      </c>
      <c r="AF29" s="6960" t="s"/>
      <c r="AG29" s="142" t="s"/>
      <c r="AH29" s="142" t="s"/>
      <c r="AI29" s="6961" t="s"/>
      <c r="AJ29" s="121" t="n"/>
      <c r="AK29" s="121" t="n"/>
    </row>
    <row hidden="false" ht="15" outlineLevel="0" r="30">
      <c r="C30" s="98" t="s">
        <v>194</v>
      </c>
      <c r="D30" s="149" t="n">
        <f aca="false" ca="false" dt2D="false" dtr="false" t="normal">D27</f>
        <v>7</v>
      </c>
      <c r="E30" s="149" t="str">
        <f aca="false" ca="false" dt2D="false" dtr="false" t="normal">E27</f>
        <v>B7</v>
      </c>
      <c r="F30" s="53" t="str">
        <f aca="false" ca="false" dt2D="false" dtr="false" t="normal">MID($A$6, 4, 2)</f>
        <v>G1</v>
      </c>
      <c r="G30" s="53" t="str">
        <f aca="false" ca="false" dt2D="false" dtr="false" t="normal">MID($A$6, 6, 2)</f>
        <v>G3</v>
      </c>
      <c r="N30" s="63" t="n"/>
      <c r="P30" s="136" t="n">
        <f aca="false" ca="false" dt2D="false" dtr="false" t="normal">MID(H28, 3, 1)</f>
        <v>0</v>
      </c>
      <c r="Q30" s="137" t="n">
        <f aca="false" ca="false" dt2D="false" dtr="false" t="normal">P30</f>
        <v>0</v>
      </c>
      <c r="R30" s="120" t="s">
        <v>195</v>
      </c>
      <c r="S30" s="139" t="s">
        <v>2697</v>
      </c>
      <c r="T30" s="136" t="n">
        <f aca="false" ca="false" dt2D="false" dtr="false" t="normal">MID(I28, 3, 1)</f>
        <v>0</v>
      </c>
      <c r="U30" s="137" t="n">
        <f aca="false" ca="false" dt2D="false" dtr="false" t="normal">T30</f>
        <v>0</v>
      </c>
      <c r="V30" s="120" t="s">
        <v>195</v>
      </c>
      <c r="W30" s="6962" t="s"/>
      <c r="X30" s="136" t="n">
        <f aca="false" ca="false" dt2D="false" dtr="false" t="normal">MID(J28, 3, 1)</f>
        <v>0</v>
      </c>
      <c r="Y30" s="137" t="n">
        <f aca="false" ca="false" dt2D="false" dtr="false" t="normal">X30</f>
        <v>0</v>
      </c>
      <c r="Z30" s="120" t="s">
        <v>195</v>
      </c>
      <c r="AA30" s="139" t="s">
        <v>2698</v>
      </c>
      <c r="AB30" s="136" t="n">
        <f aca="false" ca="false" dt2D="false" dtr="false" t="normal">MID(K28, 3, 1)</f>
        <v>0</v>
      </c>
      <c r="AC30" s="137" t="n">
        <f aca="false" ca="false" dt2D="false" dtr="false" t="normal">AB30</f>
        <v>0</v>
      </c>
      <c r="AD30" s="120" t="s">
        <v>195</v>
      </c>
      <c r="AE30" s="139" t="s">
        <v>2699</v>
      </c>
      <c r="AF30" s="6963" t="s"/>
      <c r="AG30" s="142" t="s"/>
      <c r="AH30" s="142" t="s"/>
      <c r="AI30" s="6964" t="s"/>
      <c r="AJ30" s="121" t="n"/>
      <c r="AK30" s="121" t="n"/>
    </row>
    <row hidden="false" ht="15.75" outlineLevel="0" r="31">
      <c r="C31" s="98" t="n"/>
      <c r="N31" s="63" t="n"/>
      <c r="P31" s="136" t="n">
        <f aca="false" ca="false" dt2D="false" dtr="false" t="normal">MID(H28, 4, 1)</f>
        <v>0</v>
      </c>
      <c r="Q31" s="137" t="n">
        <f aca="false" ca="false" dt2D="false" dtr="false" t="normal">P31</f>
        <v>0</v>
      </c>
      <c r="R31" s="120" t="s">
        <v>197</v>
      </c>
      <c r="S31" s="131" t="s">
        <v>196</v>
      </c>
      <c r="T31" s="136" t="n">
        <f aca="false" ca="false" dt2D="false" dtr="false" t="normal">MID(I28, 4, 1)</f>
        <v>0</v>
      </c>
      <c r="U31" s="137" t="n">
        <f aca="false" ca="false" dt2D="false" dtr="false" t="normal">T31</f>
        <v>0</v>
      </c>
      <c r="V31" s="120" t="s">
        <v>197</v>
      </c>
      <c r="W31" s="1193" t="s">
        <v>2700</v>
      </c>
      <c r="X31" s="136" t="n">
        <f aca="false" ca="false" dt2D="false" dtr="false" t="normal">MID(J28, 4, 1)</f>
        <v>0</v>
      </c>
      <c r="Y31" s="137" t="n">
        <f aca="false" ca="false" dt2D="false" dtr="false" t="normal">X31</f>
        <v>0</v>
      </c>
      <c r="Z31" s="120" t="s">
        <v>197</v>
      </c>
      <c r="AA31" s="635" t="s">
        <v>2701</v>
      </c>
      <c r="AB31" s="136" t="n">
        <f aca="false" ca="false" dt2D="false" dtr="false" t="normal">MID(K28, 4, 1)</f>
        <v>0</v>
      </c>
      <c r="AC31" s="137" t="n">
        <f aca="false" ca="false" dt2D="false" dtr="false" t="normal">AB31</f>
        <v>0</v>
      </c>
      <c r="AD31" s="120" t="s">
        <v>197</v>
      </c>
      <c r="AE31" s="1193" t="s">
        <v>2702</v>
      </c>
      <c r="AF31" s="6965" t="s"/>
      <c r="AG31" s="142" t="s"/>
      <c r="AH31" s="142" t="s"/>
      <c r="AI31" s="6966" t="s"/>
      <c r="AJ31" s="121" t="n"/>
      <c r="AK31" s="121" t="n"/>
    </row>
    <row hidden="false" ht="15.75" outlineLevel="0" r="32">
      <c r="C32" s="98" t="s">
        <v>176</v>
      </c>
      <c r="D32" s="159" t="n">
        <f aca="false" ca="false" dt2D="false" dtr="false" t="normal">D27</f>
        <v>7</v>
      </c>
      <c r="E32" s="160" t="str">
        <f aca="false" ca="false" dt2D="false" dtr="false" t="normal">E27</f>
        <v>B7</v>
      </c>
      <c r="F32" s="160" t="n">
        <f aca="false" ca="false" dt2D="false" dtr="false" t="normal">F27</f>
        <v>1</v>
      </c>
      <c r="G32" s="161"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165" t="n">
        <f aca="false" ca="false" dt2D="false" dtr="false" t="normal">BIN2HEX(K33, 2)</f>
        <v>0</v>
      </c>
      <c r="L32" s="1696" t="str">
        <f aca="false" ca="false" dt2D="false" dtr="false" t="normal">IF(LEN(L33)&gt;2, MID(L33, 2, 2), L33)</f>
        <v>C2</v>
      </c>
      <c r="N32" s="63" t="s">
        <v>181</v>
      </c>
      <c r="P32" s="136" t="n">
        <f aca="false" ca="false" dt2D="false" dtr="false" t="normal">MID(H28, 5, 1)</f>
        <v>0</v>
      </c>
      <c r="Q32" s="137" t="n">
        <f aca="false" ca="false" dt2D="false" dtr="false" t="normal">P32</f>
        <v>0</v>
      </c>
      <c r="R32" s="120" t="s">
        <v>200</v>
      </c>
      <c r="S32" s="139" t="s">
        <v>2703</v>
      </c>
      <c r="T32" s="136" t="n">
        <f aca="false" ca="false" dt2D="false" dtr="false" t="normal">MID(I28, 5, 1)</f>
        <v>0</v>
      </c>
      <c r="U32" s="137" t="n">
        <f aca="false" ca="false" dt2D="false" dtr="false" t="normal">T32</f>
        <v>0</v>
      </c>
      <c r="V32" s="120" t="s">
        <v>200</v>
      </c>
      <c r="W32" s="1193" t="s">
        <v>2704</v>
      </c>
      <c r="X32" s="136" t="n">
        <f aca="false" ca="false" dt2D="false" dtr="false" t="normal">MID(J28, 5, 1)</f>
        <v>0</v>
      </c>
      <c r="Y32" s="137" t="n">
        <f aca="false" ca="false" dt2D="false" dtr="false" t="normal">X32</f>
        <v>0</v>
      </c>
      <c r="Z32" s="120" t="s">
        <v>200</v>
      </c>
      <c r="AA32" s="6967" t="s"/>
      <c r="AB32" s="136" t="n">
        <f aca="false" ca="false" dt2D="false" dtr="false" t="normal">MID(K28, 5, 1)</f>
        <v>0</v>
      </c>
      <c r="AC32" s="137" t="n">
        <f aca="false" ca="false" dt2D="false" dtr="false" t="normal">AB32</f>
        <v>0</v>
      </c>
      <c r="AD32" s="120" t="s">
        <v>200</v>
      </c>
      <c r="AE32" s="139" t="s">
        <v>2705</v>
      </c>
      <c r="AF32" s="6968" t="s"/>
      <c r="AG32" s="142" t="s"/>
      <c r="AH32" s="142" t="s"/>
      <c r="AI32" s="6969" t="s"/>
      <c r="AJ32" s="121" t="n"/>
      <c r="AK32" s="121" t="n"/>
    </row>
    <row hidden="false" ht="15" outlineLevel="0" r="33">
      <c r="C33" s="98" t="s">
        <v>185</v>
      </c>
      <c r="D33" s="53" t="n">
        <f aca="false" ca="false" dt2D="false" dtr="false" t="normal">HEX2BIN(D32, 8)</f>
        <v>111</v>
      </c>
      <c r="E33" s="53" t="n">
        <f aca="false" ca="false" dt2D="false" dtr="false" t="normal">HEX2BIN(E32, 8)</f>
        <v>10110111</v>
      </c>
      <c r="F33" s="53" t="n">
        <f aca="false" ca="false" dt2D="false" dtr="false" t="normal">HEX2BIN(F32, 8)</f>
        <v>1</v>
      </c>
      <c r="G33" s="53" t="n">
        <f aca="false" ca="false" dt2D="false" dtr="false" t="normal">HEX2BIN(G32, 8)</f>
        <v>11</v>
      </c>
      <c r="H33" s="171" t="n">
        <f aca="false" ca="false" dt2D="false" dtr="false" t="normal">Q28&amp;Q29&amp;Q30&amp;Q31&amp;Q32&amp;Q33&amp;Q34&amp;Q35</f>
        <v>0</v>
      </c>
      <c r="I33" s="53" t="n">
        <f aca="false" ca="false" dt2D="false" dtr="false" t="normal">U28&amp;U29&amp;U30&amp;U31&amp;U32&amp;U33&amp;U34&amp;U35</f>
        <v>0</v>
      </c>
      <c r="J33" s="171" t="n">
        <f aca="false" ca="false" dt2D="false" dtr="false" t="normal">Y28&amp;Y29&amp;Y30&amp;Y31&amp;Y32&amp;Y33&amp;Y34&amp;Y35</f>
        <v>0</v>
      </c>
      <c r="K33" s="171" t="n">
        <f aca="false" ca="false" dt2D="false" dtr="false" t="normal">AC28&amp;AC29&amp;AC30&amp;AC31&amp;AC32&amp;AC33&amp;AC34&amp;AC35</f>
        <v>0</v>
      </c>
      <c r="L33" s="53" t="str">
        <f aca="false" ca="false" dt2D="false" dtr="false" t="normal">DEC2HEX(L34)</f>
        <v>C2</v>
      </c>
      <c r="N33" s="63" t="n"/>
      <c r="P33" s="136" t="n">
        <f aca="false" ca="false" dt2D="false" dtr="false" t="normal">MID(H28, 6, 1)</f>
        <v>0</v>
      </c>
      <c r="Q33" s="137" t="n">
        <f aca="false" ca="false" dt2D="false" dtr="false" t="normal">P33</f>
        <v>0</v>
      </c>
      <c r="R33" s="120" t="s">
        <v>203</v>
      </c>
      <c r="S33" s="139" t="s">
        <v>2706</v>
      </c>
      <c r="T33" s="136" t="n">
        <f aca="false" ca="false" dt2D="false" dtr="false" t="normal">MID(I28, 6, 1)</f>
        <v>0</v>
      </c>
      <c r="U33" s="137" t="n">
        <f aca="false" ca="false" dt2D="false" dtr="false" t="normal">T33</f>
        <v>0</v>
      </c>
      <c r="V33" s="120" t="s">
        <v>203</v>
      </c>
      <c r="W33" s="1193" t="s">
        <v>2707</v>
      </c>
      <c r="X33" s="136" t="n">
        <f aca="false" ca="false" dt2D="false" dtr="false" t="normal">MID(J28, 6, 1)</f>
        <v>0</v>
      </c>
      <c r="Y33" s="137" t="n">
        <f aca="false" ca="false" dt2D="false" dtr="false" t="normal">X33</f>
        <v>0</v>
      </c>
      <c r="Z33" s="120" t="s">
        <v>203</v>
      </c>
      <c r="AA33" s="1193" t="s">
        <v>2708</v>
      </c>
      <c r="AB33" s="136" t="n">
        <f aca="false" ca="false" dt2D="false" dtr="false" t="normal">MID(K28, 6, 1)</f>
        <v>0</v>
      </c>
      <c r="AC33" s="137" t="n">
        <f aca="false" ca="false" dt2D="false" dtr="false" t="normal">AB33</f>
        <v>0</v>
      </c>
      <c r="AD33" s="120" t="s">
        <v>203</v>
      </c>
      <c r="AE33" s="139" t="s">
        <v>2709</v>
      </c>
      <c r="AF33" s="6970" t="s"/>
      <c r="AG33" s="142" t="s"/>
      <c r="AH33" s="142" t="s"/>
      <c r="AI33" s="6971" t="s"/>
      <c r="AJ33" s="121" t="n"/>
      <c r="AK33" s="121" t="n"/>
    </row>
    <row hidden="false" ht="15" outlineLevel="0" r="34">
      <c r="C34" s="98" t="s">
        <v>191</v>
      </c>
      <c r="D34" s="53" t="n">
        <f aca="false" ca="false" dt2D="false" dtr="false" t="normal">HEX2DEC(D32)</f>
        <v>7</v>
      </c>
      <c r="E34" s="53" t="n">
        <f aca="false" ca="false" dt2D="false" dtr="false" t="normal">HEX2DEC(E32)</f>
        <v>183</v>
      </c>
      <c r="F34" s="53" t="n">
        <f aca="false" ca="false" dt2D="false" dtr="false" t="normal">HEX2DEC(F32)</f>
        <v>1</v>
      </c>
      <c r="G34" s="53"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HEX2DEC(K32)</f>
        <v>0</v>
      </c>
      <c r="L34" s="53" t="n">
        <f aca="false" ca="false" dt2D="false" dtr="false" t="normal">SUM(D34:K34)</f>
        <v>194</v>
      </c>
      <c r="N34" s="63" t="n"/>
      <c r="P34" s="136" t="n">
        <f aca="false" ca="false" dt2D="false" dtr="false" t="normal">MID(H28, 7, 1)</f>
        <v>0</v>
      </c>
      <c r="Q34" s="137" t="n">
        <f aca="false" ca="false" dt2D="false" dtr="false" t="normal">P34</f>
        <v>0</v>
      </c>
      <c r="R34" s="120" t="s">
        <v>206</v>
      </c>
      <c r="S34" s="139" t="s">
        <v>2710</v>
      </c>
      <c r="T34" s="136" t="n">
        <f aca="false" ca="false" dt2D="false" dtr="false" t="normal">MID(I28, 7, 1)</f>
        <v>0</v>
      </c>
      <c r="U34" s="137" t="n">
        <f aca="false" ca="false" dt2D="false" dtr="false" t="normal">T34</f>
        <v>0</v>
      </c>
      <c r="V34" s="120" t="s">
        <v>206</v>
      </c>
      <c r="W34" s="208" t="s">
        <v>2711</v>
      </c>
      <c r="X34" s="136" t="n">
        <f aca="false" ca="false" dt2D="false" dtr="false" t="normal">MID(J28, 7, 1)</f>
        <v>0</v>
      </c>
      <c r="Y34" s="137" t="n">
        <f aca="false" ca="false" dt2D="false" dtr="false" t="normal">X34</f>
        <v>0</v>
      </c>
      <c r="Z34" s="120" t="s">
        <v>206</v>
      </c>
      <c r="AA34" s="1193" t="s">
        <v>2712</v>
      </c>
      <c r="AB34" s="136" t="n">
        <f aca="false" ca="false" dt2D="false" dtr="false" t="normal">MID(K28, 7, 1)</f>
        <v>0</v>
      </c>
      <c r="AC34" s="137" t="n">
        <f aca="false" ca="false" dt2D="false" dtr="false" t="normal">AB34</f>
        <v>0</v>
      </c>
      <c r="AD34" s="120" t="s">
        <v>206</v>
      </c>
      <c r="AE34" s="139" t="s">
        <v>2713</v>
      </c>
      <c r="AF34" s="6972" t="s"/>
      <c r="AG34" s="142" t="s"/>
      <c r="AH34" s="142" t="s"/>
      <c r="AI34" s="6973" t="s"/>
      <c r="AJ34" s="121" t="n"/>
      <c r="AK34" s="121" t="n"/>
    </row>
    <row hidden="false" ht="15.75" outlineLevel="0" r="35">
      <c r="C35" s="180" t="s">
        <v>194</v>
      </c>
      <c r="D35" s="181" t="n">
        <f aca="false" ca="false" dt2D="false" dtr="false" t="normal">D30</f>
        <v>7</v>
      </c>
      <c r="E35" s="181" t="str">
        <f aca="false" ca="false" dt2D="false" dtr="false" t="normal">E30</f>
        <v>B7</v>
      </c>
      <c r="F35" s="181" t="str">
        <f aca="false" ca="false" dt2D="false" dtr="false" t="normal">F30</f>
        <v>G1</v>
      </c>
      <c r="G35" s="181"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219" t="s">
        <v>2714</v>
      </c>
      <c r="T35" s="182" t="n">
        <f aca="false" ca="false" dt2D="false" dtr="false" t="normal">MID(I28, 8, 1)</f>
        <v>0</v>
      </c>
      <c r="U35" s="183" t="n">
        <f aca="false" ca="false" dt2D="false" dtr="false" t="normal">T35</f>
        <v>0</v>
      </c>
      <c r="V35" s="184" t="s">
        <v>208</v>
      </c>
      <c r="W35" s="1003" t="s">
        <v>2711</v>
      </c>
      <c r="X35" s="182" t="n">
        <f aca="false" ca="false" dt2D="false" dtr="false" t="normal">MID(J28, 8, 1)</f>
        <v>0</v>
      </c>
      <c r="Y35" s="183" t="n">
        <f aca="false" ca="false" dt2D="false" dtr="false" t="normal">X35</f>
        <v>0</v>
      </c>
      <c r="Z35" s="184" t="s">
        <v>208</v>
      </c>
      <c r="AA35" s="1003" t="s">
        <v>2715</v>
      </c>
      <c r="AB35" s="182" t="n">
        <f aca="false" ca="false" dt2D="false" dtr="false" t="normal">MID(K28, 8, 1)</f>
        <v>0</v>
      </c>
      <c r="AC35" s="183" t="n">
        <f aca="false" ca="false" dt2D="false" dtr="false" t="normal">AB35</f>
        <v>0</v>
      </c>
      <c r="AD35" s="184" t="s">
        <v>208</v>
      </c>
      <c r="AE35" s="187" t="s">
        <v>2716</v>
      </c>
      <c r="AF35" s="6974" t="s"/>
      <c r="AG35" s="6975" t="s"/>
      <c r="AH35" s="6976" t="s"/>
      <c r="AI35" s="6977" t="s"/>
      <c r="AJ35" s="121" t="n"/>
      <c r="AK35" s="121" t="n"/>
    </row>
    <row hidden="false" ht="15.75" outlineLevel="0" r="36">
      <c r="C36" s="93" t="n"/>
      <c r="D36" s="94" t="n"/>
      <c r="E36" s="94" t="n"/>
      <c r="F36" s="94" t="n"/>
      <c r="G36" s="94" t="n"/>
      <c r="H36" s="94" t="n"/>
      <c r="I36" s="94" t="n"/>
      <c r="J36" s="94" t="n"/>
      <c r="K36" s="94" t="n"/>
      <c r="L36" s="94" t="n"/>
      <c r="M36" s="94" t="s">
        <v>161</v>
      </c>
      <c r="N36" s="60" t="n"/>
      <c r="P36" s="95" t="str">
        <f aca="false" ca="false" dt2D="false" dtr="false" t="normal">RIGHT(D38, 1)&amp;E38&amp;"-"&amp;F38&amp;"-"&amp;G38</f>
        <v>7B7-02-01</v>
      </c>
      <c r="Q36" s="6978" t="s"/>
      <c r="R36" s="234" t="s">
        <v>2717</v>
      </c>
      <c r="S36" s="6979" t="s"/>
      <c r="T36" s="6980" t="s"/>
      <c r="U36" s="6981" t="s"/>
      <c r="V36" s="6982" t="s"/>
      <c r="W36" s="6983" t="s"/>
      <c r="X36" s="6984" t="s"/>
      <c r="Y36" s="6985" t="s"/>
      <c r="Z36" s="6986" t="s"/>
      <c r="AA36" s="6987" t="s"/>
      <c r="AB36" s="6988" t="s"/>
      <c r="AC36" s="6989" t="s"/>
      <c r="AD36" s="6990" t="s"/>
      <c r="AE36" s="6991" t="s"/>
      <c r="AF36" s="6992" t="s"/>
      <c r="AG36" s="6993" t="s"/>
      <c r="AH36" s="6994" t="s"/>
      <c r="AI36" s="6995" t="s"/>
      <c r="AJ36" s="6996" t="s"/>
      <c r="AK36" s="6997" t="s"/>
    </row>
    <row hidden="false" ht="15.75" outlineLevel="0" r="37">
      <c r="C37" s="98" t="n"/>
      <c r="D37" s="99" t="s">
        <v>2718</v>
      </c>
      <c r="E37" s="6998" t="s"/>
      <c r="F37" s="6999" t="s"/>
      <c r="G37" s="7000" t="s"/>
      <c r="H37" s="53" t="s">
        <v>165</v>
      </c>
      <c r="I37" s="53" t="s">
        <v>166</v>
      </c>
      <c r="J37" s="53" t="s">
        <v>167</v>
      </c>
      <c r="K37" s="53" t="s">
        <v>168</v>
      </c>
      <c r="L37" s="53" t="s">
        <v>169</v>
      </c>
      <c r="M37" s="53" t="s">
        <v>221</v>
      </c>
      <c r="N37" s="63" t="n"/>
      <c r="P37" s="103" t="s">
        <v>2719</v>
      </c>
      <c r="Q37" s="7001" t="s"/>
      <c r="R37" s="7002" t="s"/>
      <c r="S37" s="7003" t="s"/>
      <c r="T37" s="103" t="s">
        <v>2720</v>
      </c>
      <c r="U37" s="7004" t="s"/>
      <c r="V37" s="7005" t="s"/>
      <c r="W37" s="7006" t="s"/>
      <c r="X37" s="103" t="s">
        <v>2721</v>
      </c>
      <c r="Y37" s="7007" t="s"/>
      <c r="Z37" s="7008" t="s"/>
      <c r="AA37" s="7009" t="s"/>
      <c r="AB37" s="103" t="s">
        <v>2722</v>
      </c>
      <c r="AC37" s="7010" t="s"/>
      <c r="AD37" s="7011" t="s"/>
      <c r="AE37" s="7012" t="s"/>
      <c r="AF37" s="103" t="s">
        <v>2723</v>
      </c>
      <c r="AG37" s="7013" t="s"/>
      <c r="AH37" s="7014" t="s"/>
      <c r="AI37" s="7015" t="s"/>
      <c r="AJ37" s="103" t="s">
        <v>2724</v>
      </c>
      <c r="AK37" s="7016" t="s"/>
    </row>
    <row hidden="false" ht="15.75" outlineLevel="0" r="38">
      <c r="C38" s="98" t="s">
        <v>176</v>
      </c>
      <c r="D38" s="122" t="s">
        <v>177</v>
      </c>
      <c r="E38" s="123" t="s">
        <v>2605</v>
      </c>
      <c r="F38" s="123" t="s">
        <v>216</v>
      </c>
      <c r="G38" s="124" t="s">
        <v>179</v>
      </c>
      <c r="H38" s="125" t="n">
        <f aca="false" ca="false" dt2D="false" dtr="false" t="normal">MID($A$8, 8, 2)</f>
        <v>0</v>
      </c>
      <c r="I38" s="126" t="n">
        <f aca="false" ca="false" dt2D="false" dtr="false" t="normal">MID($A$8, 10, 2)</f>
        <v>0</v>
      </c>
      <c r="J38" s="126" t="n">
        <f aca="false" ca="false" dt2D="false" dtr="false" t="normal">MID($A$8, 12, 2)</f>
        <v>0</v>
      </c>
      <c r="K38" s="126" t="n">
        <f aca="false" ca="false" dt2D="false" dtr="false" t="normal">MID($A$8, 14, 2)</f>
        <v>0</v>
      </c>
      <c r="L38" s="274" t="n">
        <f aca="false" ca="false" dt2D="false" dtr="false" t="normal">MID($A$8, 16, 2)</f>
        <v>0</v>
      </c>
      <c r="M38" s="128" t="str">
        <f aca="false" ca="false" dt2D="false" dtr="false" t="normal">MID($A$8, 18, 2)</f>
        <v>C1</v>
      </c>
      <c r="N38" s="63" t="s">
        <v>180</v>
      </c>
      <c r="P38" s="129" t="s">
        <v>180</v>
      </c>
      <c r="Q38" s="130" t="s">
        <v>181</v>
      </c>
      <c r="R38" s="121" t="s">
        <v>182</v>
      </c>
      <c r="S38" s="131" t="n"/>
      <c r="T38" s="129" t="s">
        <v>180</v>
      </c>
      <c r="U38" s="130" t="s">
        <v>181</v>
      </c>
      <c r="V38" s="121" t="s">
        <v>182</v>
      </c>
      <c r="W38" s="131" t="n"/>
      <c r="X38" s="129" t="s">
        <v>180</v>
      </c>
      <c r="Y38" s="130" t="s">
        <v>181</v>
      </c>
      <c r="Z38" s="121" t="s">
        <v>182</v>
      </c>
      <c r="AA38" s="131" t="n"/>
      <c r="AB38" s="129" t="s">
        <v>180</v>
      </c>
      <c r="AC38" s="130" t="s">
        <v>181</v>
      </c>
      <c r="AD38" s="121" t="s">
        <v>182</v>
      </c>
      <c r="AE38" s="131" t="n"/>
      <c r="AF38" s="129" t="s">
        <v>180</v>
      </c>
      <c r="AG38" s="130" t="s">
        <v>181</v>
      </c>
      <c r="AH38" s="121" t="s">
        <v>182</v>
      </c>
      <c r="AI38" s="121" t="n"/>
      <c r="AJ38" s="116" t="s">
        <v>183</v>
      </c>
      <c r="AK38" s="7017" t="s"/>
    </row>
    <row customHeight="true" hidden="false" ht="15" outlineLevel="0" r="39">
      <c r="C39" s="98" t="s">
        <v>185</v>
      </c>
      <c r="D39" s="53" t="n">
        <f aca="false" ca="false" dt2D="false" dtr="false" t="normal">HEX2BIN(D38, 8)</f>
        <v>111</v>
      </c>
      <c r="E39" s="53" t="n">
        <f aca="false" ca="false" dt2D="false" dtr="false" t="normal">HEX2BIN(E38, 8)</f>
        <v>10110111</v>
      </c>
      <c r="F39" s="53" t="n">
        <f aca="false" ca="false" dt2D="false" dtr="false" t="normal">HEX2BIN(F38, 8)</f>
        <v>10</v>
      </c>
      <c r="G39" s="53" t="n">
        <f aca="false" ca="false" dt2D="false" dtr="false" t="normal">HEX2BIN(G38, 8)</f>
        <v>1</v>
      </c>
      <c r="H39" s="53" t="n">
        <f aca="false" ca="false" dt2D="false" dtr="false" t="normal">HEX2BIN(H38, 8)</f>
        <v>0</v>
      </c>
      <c r="I39" s="53" t="n">
        <f aca="false" ca="false" dt2D="false" dtr="false" t="normal">HEX2BIN(I38, 8)</f>
        <v>0</v>
      </c>
      <c r="J39" s="53" t="n">
        <f aca="false" ca="false" dt2D="false" dtr="false" t="normal">HEX2BIN(J38, 8)</f>
        <v>0</v>
      </c>
      <c r="K39" s="53" t="n">
        <f aca="false" ca="false" dt2D="false" dtr="false" t="normal">HEX2BIN(K38, 8)</f>
        <v>0</v>
      </c>
      <c r="L39" s="53" t="n">
        <f aca="false" ca="false" dt2D="false" dtr="false" t="normal">HEX2BIN(L38, 8)</f>
        <v>0</v>
      </c>
      <c r="N39" s="63" t="n"/>
      <c r="P39" s="136" t="n">
        <f aca="false" ca="false" dt2D="false" dtr="false" t="normal">MID(H39, 1, 1)</f>
        <v>0</v>
      </c>
      <c r="Q39" s="137" t="n">
        <f aca="false" ca="false" dt2D="false" dtr="false" t="normal">P39</f>
        <v>0</v>
      </c>
      <c r="R39" s="120" t="s">
        <v>186</v>
      </c>
      <c r="S39" s="635" t="s">
        <v>2725</v>
      </c>
      <c r="T39" s="136" t="n">
        <f aca="false" ca="false" dt2D="false" dtr="false" t="normal">MID(I39, 1, 1)</f>
        <v>0</v>
      </c>
      <c r="U39" s="137" t="n">
        <f aca="false" ca="false" dt2D="false" dtr="false" t="normal">T39</f>
        <v>0</v>
      </c>
      <c r="V39" s="120" t="s">
        <v>186</v>
      </c>
      <c r="W39" s="635" t="s">
        <v>2726</v>
      </c>
      <c r="X39" s="136" t="n">
        <f aca="false" ca="false" dt2D="false" dtr="false" t="normal">MID(J39, 1, 1)</f>
        <v>0</v>
      </c>
      <c r="Y39" s="137" t="n">
        <f aca="false" ca="false" dt2D="false" dtr="false" t="normal">X39</f>
        <v>0</v>
      </c>
      <c r="Z39" s="120" t="s">
        <v>186</v>
      </c>
      <c r="AA39" s="635" t="s">
        <v>2727</v>
      </c>
      <c r="AB39" s="136" t="n">
        <f aca="false" ca="false" dt2D="false" dtr="false" t="normal">MID(K39, 1, 1)</f>
        <v>0</v>
      </c>
      <c r="AC39" s="137" t="n">
        <f aca="false" ca="false" dt2D="false" dtr="false" t="normal">AB39</f>
        <v>0</v>
      </c>
      <c r="AD39" s="120" t="s">
        <v>186</v>
      </c>
      <c r="AE39" s="635" t="s">
        <v>2728</v>
      </c>
      <c r="AF39" s="136" t="n">
        <f aca="false" ca="false" dt2D="false" dtr="false" t="normal">MID(L39, 1, 1)</f>
        <v>0</v>
      </c>
      <c r="AG39" s="137" t="n">
        <f aca="false" ca="false" dt2D="false" dtr="false" t="normal">AF39</f>
        <v>0</v>
      </c>
      <c r="AH39" s="120" t="s">
        <v>186</v>
      </c>
      <c r="AI39" s="635" t="s">
        <v>2729</v>
      </c>
      <c r="AJ39" s="7018" t="s"/>
      <c r="AK39" s="7019" t="s"/>
    </row>
    <row hidden="false" ht="15" outlineLevel="0" r="40">
      <c r="C40" s="98" t="s">
        <v>191</v>
      </c>
      <c r="D40" s="53" t="n">
        <f aca="false" ca="false" dt2D="false" dtr="false" t="normal">HEX2DEC(D38)</f>
        <v>7</v>
      </c>
      <c r="E40" s="53" t="n">
        <f aca="false" ca="false" dt2D="false" dtr="false" t="normal">HEX2DEC(E38)</f>
        <v>183</v>
      </c>
      <c r="F40" s="53" t="n">
        <f aca="false" ca="false" dt2D="false" dtr="false" t="normal">HEX2DEC(F38)</f>
        <v>2</v>
      </c>
      <c r="G40" s="53" t="n">
        <f aca="false" ca="false" dt2D="false" dtr="false" t="normal">HEX2DEC(G38)</f>
        <v>1</v>
      </c>
      <c r="H40" s="53" t="n">
        <f aca="false" ca="false" dt2D="false" dtr="false" t="normal">HEX2DEC(H38)</f>
        <v>0</v>
      </c>
      <c r="I40" s="53" t="n">
        <f aca="false" ca="false" dt2D="false" dtr="false" t="normal">HEX2DEC(I38)</f>
        <v>0</v>
      </c>
      <c r="J40" s="53" t="n">
        <f aca="false" ca="false" dt2D="false" dtr="false" t="normal">HEX2DEC(J38)</f>
        <v>0</v>
      </c>
      <c r="K40" s="53" t="n">
        <f aca="false" ca="false" dt2D="false" dtr="false" t="normal">HEX2DEC(K38)</f>
        <v>0</v>
      </c>
      <c r="L40" s="53" t="n">
        <f aca="false" ca="false" dt2D="false" dtr="false" t="normal">HEX2DEC(L38)</f>
        <v>0</v>
      </c>
      <c r="M40" s="53" t="n">
        <f aca="false" ca="false" dt2D="false" dtr="false" t="normal">SUM(D40:L40)</f>
        <v>193</v>
      </c>
      <c r="N40" s="63" t="n"/>
      <c r="P40" s="136" t="n">
        <f aca="false" ca="false" dt2D="false" dtr="false" t="normal">MID(H39, 2, 1)</f>
        <v>0</v>
      </c>
      <c r="Q40" s="137" t="n">
        <f aca="false" ca="false" dt2D="false" dtr="false" t="normal">P40</f>
        <v>0</v>
      </c>
      <c r="R40" s="120" t="s">
        <v>192</v>
      </c>
      <c r="S40" s="7020" t="s"/>
      <c r="T40" s="136" t="n">
        <f aca="false" ca="false" dt2D="false" dtr="false" t="normal">MID(I39, 2, 1)</f>
        <v>0</v>
      </c>
      <c r="U40" s="137" t="n">
        <f aca="false" ca="false" dt2D="false" dtr="false" t="normal">T40</f>
        <v>0</v>
      </c>
      <c r="V40" s="120" t="s">
        <v>192</v>
      </c>
      <c r="W40" s="7021" t="s"/>
      <c r="X40" s="136" t="n">
        <f aca="false" ca="false" dt2D="false" dtr="false" t="normal">MID(J39, 2, 1)</f>
        <v>0</v>
      </c>
      <c r="Y40" s="137" t="n">
        <f aca="false" ca="false" dt2D="false" dtr="false" t="normal">X40</f>
        <v>0</v>
      </c>
      <c r="Z40" s="120" t="s">
        <v>192</v>
      </c>
      <c r="AA40" s="7022" t="s"/>
      <c r="AB40" s="136" t="n">
        <f aca="false" ca="false" dt2D="false" dtr="false" t="normal">MID(K39, 2, 1)</f>
        <v>0</v>
      </c>
      <c r="AC40" s="137" t="n">
        <f aca="false" ca="false" dt2D="false" dtr="false" t="normal">AB40</f>
        <v>0</v>
      </c>
      <c r="AD40" s="120" t="s">
        <v>192</v>
      </c>
      <c r="AE40" s="7023" t="s"/>
      <c r="AF40" s="136" t="n">
        <f aca="false" ca="false" dt2D="false" dtr="false" t="normal">MID(L39, 2, 1)</f>
        <v>0</v>
      </c>
      <c r="AG40" s="137" t="n">
        <f aca="false" ca="false" dt2D="false" dtr="false" t="normal">AF40</f>
        <v>0</v>
      </c>
      <c r="AH40" s="120" t="s">
        <v>192</v>
      </c>
      <c r="AI40" s="7024" t="s"/>
      <c r="AJ40" s="7025" t="s"/>
      <c r="AK40" s="7026" t="s"/>
    </row>
    <row hidden="false" ht="15" outlineLevel="0" r="41">
      <c r="C41" s="98" t="s">
        <v>194</v>
      </c>
      <c r="D41" s="149" t="n">
        <f aca="false" ca="false" dt2D="false" dtr="false" t="normal">D38</f>
        <v>7</v>
      </c>
      <c r="E41" s="149" t="str">
        <f aca="false" ca="false" dt2D="false" dtr="false" t="normal">E38</f>
        <v>B7</v>
      </c>
      <c r="F41" s="53" t="str">
        <f aca="false" ca="false" dt2D="false" dtr="false" t="normal">MID($A$8, 4, 2)</f>
        <v>G2</v>
      </c>
      <c r="G41" s="53" t="str">
        <f aca="false" ca="false" dt2D="false" dtr="false" t="normal">MID($A$8, 6, 2)</f>
        <v>G1</v>
      </c>
      <c r="N41" s="63" t="n"/>
      <c r="P41" s="136" t="n">
        <f aca="false" ca="false" dt2D="false" dtr="false" t="normal">MID(H39, 3, 1)</f>
        <v>0</v>
      </c>
      <c r="Q41" s="137" t="n">
        <f aca="false" ca="false" dt2D="false" dtr="false" t="normal">P41</f>
        <v>0</v>
      </c>
      <c r="R41" s="120" t="s">
        <v>195</v>
      </c>
      <c r="S41" s="7027" t="s"/>
      <c r="T41" s="136" t="n">
        <f aca="false" ca="false" dt2D="false" dtr="false" t="normal">MID(I39, 3, 1)</f>
        <v>0</v>
      </c>
      <c r="U41" s="137" t="n">
        <f aca="false" ca="false" dt2D="false" dtr="false" t="normal">T41</f>
        <v>0</v>
      </c>
      <c r="V41" s="120" t="s">
        <v>195</v>
      </c>
      <c r="W41" s="7028" t="s"/>
      <c r="X41" s="136" t="n">
        <f aca="false" ca="false" dt2D="false" dtr="false" t="normal">MID(J39, 3, 1)</f>
        <v>0</v>
      </c>
      <c r="Y41" s="137" t="n">
        <f aca="false" ca="false" dt2D="false" dtr="false" t="normal">X41</f>
        <v>0</v>
      </c>
      <c r="Z41" s="120" t="s">
        <v>195</v>
      </c>
      <c r="AA41" s="7029" t="s"/>
      <c r="AB41" s="136" t="n">
        <f aca="false" ca="false" dt2D="false" dtr="false" t="normal">MID(K39, 3, 1)</f>
        <v>0</v>
      </c>
      <c r="AC41" s="137" t="n">
        <f aca="false" ca="false" dt2D="false" dtr="false" t="normal">AB41</f>
        <v>0</v>
      </c>
      <c r="AD41" s="120" t="s">
        <v>195</v>
      </c>
      <c r="AE41" s="635" t="s">
        <v>2730</v>
      </c>
      <c r="AF41" s="136" t="n">
        <f aca="false" ca="false" dt2D="false" dtr="false" t="normal">MID(L39, 3, 1)</f>
        <v>0</v>
      </c>
      <c r="AG41" s="137" t="n">
        <f aca="false" ca="false" dt2D="false" dtr="false" t="normal">AF41</f>
        <v>0</v>
      </c>
      <c r="AH41" s="120" t="s">
        <v>195</v>
      </c>
      <c r="AI41" s="7030" t="s"/>
      <c r="AJ41" s="7031" t="s"/>
      <c r="AK41" s="7032" t="s"/>
    </row>
    <row customHeight="true" hidden="false" ht="15.75" outlineLevel="0" r="42">
      <c r="C42" s="98" t="n"/>
      <c r="N42" s="63" t="n"/>
      <c r="P42" s="136" t="n">
        <f aca="false" ca="false" dt2D="false" dtr="false" t="normal">MID(H39, 4, 1)</f>
        <v>0</v>
      </c>
      <c r="Q42" s="137" t="n">
        <f aca="false" ca="false" dt2D="false" dtr="false" t="normal">P42</f>
        <v>0</v>
      </c>
      <c r="R42" s="120" t="s">
        <v>197</v>
      </c>
      <c r="S42" s="7033" t="s"/>
      <c r="T42" s="136" t="n">
        <f aca="false" ca="false" dt2D="false" dtr="false" t="normal">MID(I39, 4, 1)</f>
        <v>0</v>
      </c>
      <c r="U42" s="137" t="n">
        <f aca="false" ca="false" dt2D="false" dtr="false" t="normal">T42</f>
        <v>0</v>
      </c>
      <c r="V42" s="120" t="s">
        <v>197</v>
      </c>
      <c r="W42" s="635" t="s">
        <v>2731</v>
      </c>
      <c r="X42" s="136" t="n">
        <f aca="false" ca="false" dt2D="false" dtr="false" t="normal">MID(J39, 4, 1)</f>
        <v>0</v>
      </c>
      <c r="Y42" s="137" t="n">
        <f aca="false" ca="false" dt2D="false" dtr="false" t="normal">X42</f>
        <v>0</v>
      </c>
      <c r="Z42" s="120" t="s">
        <v>197</v>
      </c>
      <c r="AA42" s="635" t="s">
        <v>2732</v>
      </c>
      <c r="AB42" s="136" t="n">
        <f aca="false" ca="false" dt2D="false" dtr="false" t="normal">MID(K39, 4, 1)</f>
        <v>0</v>
      </c>
      <c r="AC42" s="137" t="n">
        <f aca="false" ca="false" dt2D="false" dtr="false" t="normal">AB42</f>
        <v>0</v>
      </c>
      <c r="AD42" s="120" t="s">
        <v>197</v>
      </c>
      <c r="AE42" s="7034" t="s"/>
      <c r="AF42" s="136" t="n">
        <f aca="false" ca="false" dt2D="false" dtr="false" t="normal">MID(L39, 4, 1)</f>
        <v>0</v>
      </c>
      <c r="AG42" s="137" t="n">
        <f aca="false" ca="false" dt2D="false" dtr="false" t="normal">AF42</f>
        <v>0</v>
      </c>
      <c r="AH42" s="120" t="s">
        <v>197</v>
      </c>
      <c r="AI42" s="635" t="s">
        <v>2733</v>
      </c>
      <c r="AJ42" s="7035" t="s"/>
      <c r="AK42" s="7036" t="s"/>
    </row>
    <row hidden="false" ht="15.75" outlineLevel="0" r="43">
      <c r="C43" s="98" t="s">
        <v>176</v>
      </c>
      <c r="D43" s="159" t="n">
        <f aca="false" ca="false" dt2D="false" dtr="false" t="normal">D38</f>
        <v>7</v>
      </c>
      <c r="E43" s="160" t="str">
        <f aca="false" ca="false" dt2D="false" dtr="false" t="normal">E38</f>
        <v>B7</v>
      </c>
      <c r="F43" s="160" t="n">
        <f aca="false" ca="false" dt2D="false" dtr="false" t="normal">F38</f>
        <v>2</v>
      </c>
      <c r="G43" s="161" t="n">
        <f aca="false" ca="false" dt2D="false" dtr="false" t="normal">G38</f>
        <v>1</v>
      </c>
      <c r="H43" s="162" t="n">
        <f aca="false" ca="false" dt2D="false" dtr="false" t="normal">BIN2HEX(H44, 2)</f>
        <v>0</v>
      </c>
      <c r="I43" s="163" t="n">
        <f aca="false" ca="false" dt2D="false" dtr="false" t="normal">BIN2HEX(I44, 2)</f>
        <v>0</v>
      </c>
      <c r="J43" s="164" t="n">
        <f aca="false" ca="false" dt2D="false" dtr="false" t="normal">BIN2HEX(J44, 2)</f>
        <v>0</v>
      </c>
      <c r="K43" s="165" t="n">
        <f aca="false" ca="false" dt2D="false" dtr="false" t="normal">BIN2HEX(K44, 2)</f>
        <v>0</v>
      </c>
      <c r="L43" s="288" t="n">
        <f aca="false" ca="false" dt2D="false" dtr="false" t="normal">BIN2HEX(L44, 2)</f>
        <v>0</v>
      </c>
      <c r="M43" s="166" t="str">
        <f aca="false" ca="false" dt2D="false" dtr="false" t="normal">IF(LEN(M44)&gt;2, MID(M44, 2, 2), M44)</f>
        <v>C1</v>
      </c>
      <c r="N43" s="63" t="s">
        <v>181</v>
      </c>
      <c r="P43" s="136" t="n">
        <f aca="false" ca="false" dt2D="false" dtr="false" t="normal">MID(H39, 5, 1)</f>
        <v>0</v>
      </c>
      <c r="Q43" s="137" t="n">
        <f aca="false" ca="false" dt2D="false" dtr="false" t="normal">P43</f>
        <v>0</v>
      </c>
      <c r="R43" s="120" t="s">
        <v>200</v>
      </c>
      <c r="S43" s="131" t="s">
        <v>196</v>
      </c>
      <c r="T43" s="136" t="n">
        <f aca="false" ca="false" dt2D="false" dtr="false" t="normal">MID(I39, 5, 1)</f>
        <v>0</v>
      </c>
      <c r="U43" s="137" t="n">
        <f aca="false" ca="false" dt2D="false" dtr="false" t="normal">T43</f>
        <v>0</v>
      </c>
      <c r="V43" s="120" t="s">
        <v>200</v>
      </c>
      <c r="W43" s="7037" t="s"/>
      <c r="X43" s="136" t="n">
        <f aca="false" ca="false" dt2D="false" dtr="false" t="normal">MID(J39, 5, 1)</f>
        <v>0</v>
      </c>
      <c r="Y43" s="137" t="n">
        <f aca="false" ca="false" dt2D="false" dtr="false" t="normal">X43</f>
        <v>0</v>
      </c>
      <c r="Z43" s="120" t="s">
        <v>200</v>
      </c>
      <c r="AA43" s="7038" t="s"/>
      <c r="AB43" s="136" t="n">
        <f aca="false" ca="false" dt2D="false" dtr="false" t="normal">MID(K39, 5, 1)</f>
        <v>0</v>
      </c>
      <c r="AC43" s="137" t="n">
        <f aca="false" ca="false" dt2D="false" dtr="false" t="normal">AB43</f>
        <v>0</v>
      </c>
      <c r="AD43" s="120" t="s">
        <v>200</v>
      </c>
      <c r="AE43" s="7039" t="s"/>
      <c r="AF43" s="136" t="n">
        <f aca="false" ca="false" dt2D="false" dtr="false" t="normal">MID(L39, 5, 1)</f>
        <v>0</v>
      </c>
      <c r="AG43" s="137" t="n">
        <f aca="false" ca="false" dt2D="false" dtr="false" t="normal">AF43</f>
        <v>0</v>
      </c>
      <c r="AH43" s="120" t="s">
        <v>200</v>
      </c>
      <c r="AI43" s="7040" t="s"/>
      <c r="AJ43" s="7041" t="s"/>
      <c r="AK43" s="7042" t="s"/>
    </row>
    <row hidden="false" ht="15" outlineLevel="0" r="44">
      <c r="C44" s="98" t="s">
        <v>185</v>
      </c>
      <c r="D44" s="53" t="n">
        <f aca="false" ca="false" dt2D="false" dtr="false" t="normal">HEX2BIN(D43, 8)</f>
        <v>111</v>
      </c>
      <c r="E44" s="53" t="n">
        <f aca="false" ca="false" dt2D="false" dtr="false" t="normal">HEX2BIN(E43, 8)</f>
        <v>10110111</v>
      </c>
      <c r="F44" s="53" t="n">
        <f aca="false" ca="false" dt2D="false" dtr="false" t="normal">HEX2BIN(F43, 8)</f>
        <v>10</v>
      </c>
      <c r="G44" s="53" t="n">
        <f aca="false" ca="false" dt2D="false" dtr="false" t="normal">HEX2BIN(G43, 8)</f>
        <v>1</v>
      </c>
      <c r="H44" s="171" t="n">
        <f aca="false" ca="false" dt2D="false" dtr="false" t="normal">Q39&amp;Q40&amp;Q41&amp;Q42&amp;Q43&amp;Q44&amp;Q45&amp;Q46</f>
        <v>0</v>
      </c>
      <c r="I44" s="53" t="n">
        <f aca="false" ca="false" dt2D="false" dtr="false" t="normal">U39&amp;U40&amp;U41&amp;U42&amp;U43&amp;U44&amp;U45&amp;U46</f>
        <v>0</v>
      </c>
      <c r="J44" s="171" t="n">
        <f aca="false" ca="false" dt2D="false" dtr="false" t="normal">Y39&amp;Y40&amp;Y41&amp;Y42&amp;Y43&amp;Y44&amp;Y45&amp;Y46</f>
        <v>0</v>
      </c>
      <c r="K44" s="171" t="n">
        <f aca="false" ca="false" dt2D="false" dtr="false" t="normal">AC39&amp;AC40&amp;AC41&amp;AC42&amp;AC43&amp;AC44&amp;AC45&amp;AC46</f>
        <v>0</v>
      </c>
      <c r="L44" s="53" t="n">
        <f aca="false" ca="false" dt2D="false" dtr="false" t="normal">AG39&amp;AG40&amp;AG41&amp;AG42&amp;AG43&amp;AG44&amp;AG45&amp;AG46</f>
        <v>0</v>
      </c>
      <c r="M44" s="53" t="str">
        <f aca="false" ca="false" dt2D="false" dtr="false" t="normal">DEC2HEX(M45)</f>
        <v>C1</v>
      </c>
      <c r="N44" s="63" t="n"/>
      <c r="P44" s="136" t="n">
        <f aca="false" ca="false" dt2D="false" dtr="false" t="normal">MID(H39, 6, 1)</f>
        <v>0</v>
      </c>
      <c r="Q44" s="137" t="n">
        <f aca="false" ca="false" dt2D="false" dtr="false" t="normal">P44</f>
        <v>0</v>
      </c>
      <c r="R44" s="120" t="s">
        <v>203</v>
      </c>
      <c r="S44" s="131" t="s">
        <v>196</v>
      </c>
      <c r="T44" s="136" t="n">
        <f aca="false" ca="false" dt2D="false" dtr="false" t="normal">MID(I39, 6, 1)</f>
        <v>0</v>
      </c>
      <c r="U44" s="137" t="n">
        <f aca="false" ca="false" dt2D="false" dtr="false" t="normal">T44</f>
        <v>0</v>
      </c>
      <c r="V44" s="120" t="s">
        <v>203</v>
      </c>
      <c r="W44" s="7043" t="s">
        <v>2734</v>
      </c>
      <c r="X44" s="136" t="n">
        <f aca="false" ca="false" dt2D="false" dtr="false" t="normal">MID(J39, 6, 1)</f>
        <v>0</v>
      </c>
      <c r="Y44" s="137" t="n">
        <f aca="false" ca="false" dt2D="false" dtr="false" t="normal">X44</f>
        <v>0</v>
      </c>
      <c r="Z44" s="120" t="s">
        <v>203</v>
      </c>
      <c r="AA44" s="131" t="s">
        <v>196</v>
      </c>
      <c r="AB44" s="136" t="n">
        <f aca="false" ca="false" dt2D="false" dtr="false" t="normal">MID(K39, 6, 1)</f>
        <v>0</v>
      </c>
      <c r="AC44" s="137" t="n">
        <f aca="false" ca="false" dt2D="false" dtr="false" t="normal">AB44</f>
        <v>0</v>
      </c>
      <c r="AD44" s="120" t="s">
        <v>203</v>
      </c>
      <c r="AE44" s="131" t="s">
        <v>196</v>
      </c>
      <c r="AF44" s="136" t="n">
        <f aca="false" ca="false" dt2D="false" dtr="false" t="normal">MID(L39, 6, 1)</f>
        <v>0</v>
      </c>
      <c r="AG44" s="137" t="n">
        <f aca="false" ca="false" dt2D="false" dtr="false" t="normal">AF44</f>
        <v>0</v>
      </c>
      <c r="AH44" s="120" t="s">
        <v>203</v>
      </c>
      <c r="AI44" s="131" t="s">
        <v>196</v>
      </c>
      <c r="AJ44" s="7044" t="s"/>
      <c r="AK44" s="7045" t="s"/>
    </row>
    <row hidden="false" ht="15" outlineLevel="0" r="45">
      <c r="C45" s="98" t="s">
        <v>191</v>
      </c>
      <c r="D45" s="53" t="n">
        <f aca="false" ca="false" dt2D="false" dtr="false" t="normal">HEX2DEC(D43)</f>
        <v>7</v>
      </c>
      <c r="E45" s="53" t="n">
        <f aca="false" ca="false" dt2D="false" dtr="false" t="normal">HEX2DEC(E43)</f>
        <v>183</v>
      </c>
      <c r="F45" s="53" t="n">
        <f aca="false" ca="false" dt2D="false" dtr="false" t="normal">HEX2DEC(F43)</f>
        <v>2</v>
      </c>
      <c r="G45" s="53" t="n">
        <f aca="false" ca="false" dt2D="false" dtr="false" t="normal">HEX2DEC(G43)</f>
        <v>1</v>
      </c>
      <c r="H45" s="53" t="n">
        <f aca="false" ca="false" dt2D="false" dtr="false" t="normal">HEX2DEC(H43)</f>
        <v>0</v>
      </c>
      <c r="I45" s="53" t="n">
        <f aca="false" ca="false" dt2D="false" dtr="false" t="normal">HEX2DEC(I43)</f>
        <v>0</v>
      </c>
      <c r="J45" s="53" t="n">
        <f aca="false" ca="false" dt2D="false" dtr="false" t="normal">HEX2DEC(J43)</f>
        <v>0</v>
      </c>
      <c r="K45" s="53" t="n">
        <f aca="false" ca="false" dt2D="false" dtr="false" t="normal">HEX2DEC(K43)</f>
        <v>0</v>
      </c>
      <c r="L45" s="53" t="n">
        <f aca="false" ca="false" dt2D="false" dtr="false" t="normal">HEX2DEC(L43)</f>
        <v>0</v>
      </c>
      <c r="M45" s="53" t="n">
        <f aca="false" ca="false" dt2D="false" dtr="false" t="normal">SUM(D45:L45)</f>
        <v>193</v>
      </c>
      <c r="N45" s="63" t="n"/>
      <c r="P45" s="136" t="n">
        <f aca="false" ca="false" dt2D="false" dtr="false" t="normal">MID(H39, 7, 1)</f>
        <v>0</v>
      </c>
      <c r="Q45" s="137" t="n">
        <f aca="false" ca="false" dt2D="false" dtr="false" t="normal">P45</f>
        <v>0</v>
      </c>
      <c r="R45" s="120" t="s">
        <v>206</v>
      </c>
      <c r="S45" s="131" t="s">
        <v>196</v>
      </c>
      <c r="T45" s="136" t="n">
        <f aca="false" ca="false" dt2D="false" dtr="false" t="normal">MID(I39, 7, 1)</f>
        <v>0</v>
      </c>
      <c r="U45" s="137" t="n">
        <f aca="false" ca="false" dt2D="false" dtr="false" t="normal">T45</f>
        <v>0</v>
      </c>
      <c r="V45" s="120" t="s">
        <v>206</v>
      </c>
      <c r="W45" s="7046" t="s"/>
      <c r="X45" s="136" t="n">
        <f aca="false" ca="false" dt2D="false" dtr="false" t="normal">MID(J39, 7, 1)</f>
        <v>0</v>
      </c>
      <c r="Y45" s="137" t="n">
        <f aca="false" ca="false" dt2D="false" dtr="false" t="normal">X45</f>
        <v>0</v>
      </c>
      <c r="Z45" s="120" t="s">
        <v>206</v>
      </c>
      <c r="AA45" s="131" t="s">
        <v>196</v>
      </c>
      <c r="AB45" s="136" t="n">
        <f aca="false" ca="false" dt2D="false" dtr="false" t="normal">MID(K39, 7, 1)</f>
        <v>0</v>
      </c>
      <c r="AC45" s="137" t="n">
        <f aca="false" ca="false" dt2D="false" dtr="false" t="normal">AB45</f>
        <v>0</v>
      </c>
      <c r="AD45" s="120" t="s">
        <v>206</v>
      </c>
      <c r="AE45" s="131" t="s">
        <v>196</v>
      </c>
      <c r="AF45" s="136" t="n">
        <f aca="false" ca="false" dt2D="false" dtr="false" t="normal">MID(L39, 7, 1)</f>
        <v>0</v>
      </c>
      <c r="AG45" s="137" t="n">
        <f aca="false" ca="false" dt2D="false" dtr="false" t="normal">AF45</f>
        <v>0</v>
      </c>
      <c r="AH45" s="120" t="s">
        <v>206</v>
      </c>
      <c r="AI45" s="131" t="s">
        <v>196</v>
      </c>
      <c r="AJ45" s="7047" t="s"/>
      <c r="AK45" s="7048" t="s"/>
    </row>
    <row hidden="false" ht="15.75" outlineLevel="0" r="46">
      <c r="C46" s="180" t="s">
        <v>194</v>
      </c>
      <c r="D46" s="181" t="n">
        <f aca="false" ca="false" dt2D="false" dtr="false" t="normal">D41</f>
        <v>7</v>
      </c>
      <c r="E46" s="181" t="str">
        <f aca="false" ca="false" dt2D="false" dtr="false" t="normal">E41</f>
        <v>B7</v>
      </c>
      <c r="F46" s="181" t="str">
        <f aca="false" ca="false" dt2D="false" dtr="false" t="normal">F41</f>
        <v>G2</v>
      </c>
      <c r="G46" s="181" t="str">
        <f aca="false" ca="false" dt2D="false" dtr="false" t="normal">G41</f>
        <v>G1</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5" t="s">
        <v>196</v>
      </c>
      <c r="T46" s="182" t="n">
        <f aca="false" ca="false" dt2D="false" dtr="false" t="normal">MID(I39, 8, 1)</f>
        <v>0</v>
      </c>
      <c r="U46" s="183" t="n">
        <f aca="false" ca="false" dt2D="false" dtr="false" t="normal">T46</f>
        <v>0</v>
      </c>
      <c r="V46" s="184" t="s">
        <v>208</v>
      </c>
      <c r="W46" s="7049" t="s"/>
      <c r="X46" s="182" t="n">
        <f aca="false" ca="false" dt2D="false" dtr="false" t="normal">MID(J39, 8, 1)</f>
        <v>0</v>
      </c>
      <c r="Y46" s="183" t="n">
        <f aca="false" ca="false" dt2D="false" dtr="false" t="normal">X46</f>
        <v>0</v>
      </c>
      <c r="Z46" s="184" t="s">
        <v>208</v>
      </c>
      <c r="AA46" s="185" t="s">
        <v>196</v>
      </c>
      <c r="AB46" s="182" t="n">
        <f aca="false" ca="false" dt2D="false" dtr="false" t="normal">MID(K39, 8, 1)</f>
        <v>0</v>
      </c>
      <c r="AC46" s="183" t="n">
        <f aca="false" ca="false" dt2D="false" dtr="false" t="normal">AB46</f>
        <v>0</v>
      </c>
      <c r="AD46" s="184" t="s">
        <v>208</v>
      </c>
      <c r="AE46" s="185" t="s">
        <v>196</v>
      </c>
      <c r="AF46" s="182" t="n">
        <f aca="false" ca="false" dt2D="false" dtr="false" t="normal">MID(L39, 8, 1)</f>
        <v>0</v>
      </c>
      <c r="AG46" s="183" t="n">
        <f aca="false" ca="false" dt2D="false" dtr="false" t="normal">AF46</f>
        <v>0</v>
      </c>
      <c r="AH46" s="184" t="s">
        <v>208</v>
      </c>
      <c r="AI46" s="185" t="s">
        <v>196</v>
      </c>
      <c r="AJ46" s="7050" t="s"/>
      <c r="AK46" s="7051" t="s"/>
    </row>
    <row hidden="false" ht="15" outlineLevel="0" r="47"/>
    <row hidden="false" ht="15" outlineLevel="0" r="48"/>
    <row hidden="false" ht="15" outlineLevel="0" r="49"/>
  </sheetData>
  <sortState caseSensitive="false" columnSort="false" ref="C1:D51">
    <sortCondition descending="false" iconSet="3Arrows" ref="C1:C51" sortBy="value"/>
  </sortState>
  <mergeCells count="59">
    <mergeCell ref="A1:B1"/>
    <mergeCell ref="C1:AK1"/>
    <mergeCell ref="C2:E2"/>
    <mergeCell ref="P3:Q3"/>
    <mergeCell ref="R3:AK3"/>
    <mergeCell ref="P4:S4"/>
    <mergeCell ref="D4:G4"/>
    <mergeCell ref="X4:AA4"/>
    <mergeCell ref="T4:W4"/>
    <mergeCell ref="AF4:AI4"/>
    <mergeCell ref="AJ4:AK4"/>
    <mergeCell ref="AB4:AE4"/>
    <mergeCell ref="D15:G15"/>
    <mergeCell ref="P14:Q14"/>
    <mergeCell ref="P15:S15"/>
    <mergeCell ref="T15:W15"/>
    <mergeCell ref="AB15:AE15"/>
    <mergeCell ref="AA17:AA20"/>
    <mergeCell ref="AI17:AI20"/>
    <mergeCell ref="AJ16:AK24"/>
    <mergeCell ref="W21:W24"/>
    <mergeCell ref="X15:AA15"/>
    <mergeCell ref="AF15:AI15"/>
    <mergeCell ref="R14:AK14"/>
    <mergeCell ref="AE12:AE13"/>
    <mergeCell ref="AJ5:AK13"/>
    <mergeCell ref="AJ15:AK15"/>
    <mergeCell ref="S6:S7"/>
    <mergeCell ref="R25:AK25"/>
    <mergeCell ref="AF26:AI26"/>
    <mergeCell ref="AB26:AE26"/>
    <mergeCell ref="X26:AA26"/>
    <mergeCell ref="P25:Q25"/>
    <mergeCell ref="P26:S26"/>
    <mergeCell ref="T26:W26"/>
    <mergeCell ref="D26:G26"/>
    <mergeCell ref="AF27:AI35"/>
    <mergeCell ref="W28:W30"/>
    <mergeCell ref="AA31:AA32"/>
    <mergeCell ref="D37:G37"/>
    <mergeCell ref="P36:Q36"/>
    <mergeCell ref="P37:S37"/>
    <mergeCell ref="R36:AK36"/>
    <mergeCell ref="AB37:AE37"/>
    <mergeCell ref="AJ37:AK37"/>
    <mergeCell ref="T37:W37"/>
    <mergeCell ref="AF37:AI37"/>
    <mergeCell ref="X37:AA37"/>
    <mergeCell ref="AJ38:AK46"/>
    <mergeCell ref="AI42:AI43"/>
    <mergeCell ref="AE41:AE43"/>
    <mergeCell ref="AA42:AA43"/>
    <mergeCell ref="W42:W43"/>
    <mergeCell ref="S39:S42"/>
    <mergeCell ref="W39:W41"/>
    <mergeCell ref="AA39:AA41"/>
    <mergeCell ref="AE39:AE40"/>
    <mergeCell ref="AI39:AI41"/>
    <mergeCell ref="W44:W46"/>
  </mergeCells>
  <conditionalFormatting pivot="false" sqref="Q6:Q13">
    <cfRule aboveAverage="true" bottom="false" dxfId="0" equalAverage="false" percent="false" priority="27" stopIfTrue="false" type="expression">
      <formula>Q6:Q13&lt;&gt;P6:P13</formula>
    </cfRule>
  </conditionalFormatting>
  <conditionalFormatting pivot="false" sqref="U6:U13">
    <cfRule aboveAverage="true" bottom="false" dxfId="0" equalAverage="false" percent="false" priority="26" stopIfTrue="false" type="expression">
      <formula>U6:U13&lt;&gt;T6:T13</formula>
    </cfRule>
  </conditionalFormatting>
  <conditionalFormatting pivot="false" sqref="Y6:Y13">
    <cfRule aboveAverage="true" bottom="false" dxfId="0" equalAverage="false" percent="false" priority="25" stopIfTrue="false" type="expression">
      <formula>Y6:Y13&lt;&gt;X6:X13</formula>
    </cfRule>
  </conditionalFormatting>
  <conditionalFormatting pivot="false" sqref="AC6:AC13">
    <cfRule aboveAverage="true" bottom="false" dxfId="0" equalAverage="false" percent="false" priority="24" stopIfTrue="false" type="expression">
      <formula>AC6:AC13&lt;&gt;AB6:AB13</formula>
    </cfRule>
  </conditionalFormatting>
  <conditionalFormatting pivot="false" sqref="AG6:AG13">
    <cfRule aboveAverage="true" bottom="false" dxfId="0" equalAverage="false" percent="false" priority="23" stopIfTrue="false" type="expression">
      <formula>AG6:AG13&lt;&gt;AF6:AF13</formula>
    </cfRule>
  </conditionalFormatting>
  <conditionalFormatting pivot="false" sqref="Q17:Q24">
    <cfRule aboveAverage="true" bottom="false" dxfId="0" equalAverage="false" percent="false" priority="22" stopIfTrue="false" type="expression">
      <formula>Q17:Q24&lt;&gt;P17:P24</formula>
    </cfRule>
  </conditionalFormatting>
  <conditionalFormatting pivot="false" sqref="U17:U24">
    <cfRule aboveAverage="true" bottom="false" dxfId="0" equalAverage="false" percent="false" priority="21" stopIfTrue="false" type="expression">
      <formula>U17:U24&lt;&gt;T17:T24</formula>
    </cfRule>
  </conditionalFormatting>
  <conditionalFormatting pivot="false" sqref="Y17:Y24">
    <cfRule aboveAverage="true" bottom="false" dxfId="0" equalAverage="false" percent="false" priority="20" stopIfTrue="false" type="expression">
      <formula>Y17:Y24&lt;&gt;X17:X24</formula>
    </cfRule>
  </conditionalFormatting>
  <conditionalFormatting pivot="false" sqref="AC17:AC24">
    <cfRule aboveAverage="true" bottom="false" dxfId="0" equalAverage="false" percent="false" priority="19" stopIfTrue="false" type="expression">
      <formula>AC17:AC24&lt;&gt;AB17:AB24</formula>
    </cfRule>
  </conditionalFormatting>
  <conditionalFormatting pivot="false" sqref="AG17:AG24">
    <cfRule aboveAverage="true" bottom="false" dxfId="0" equalAverage="false" percent="false" priority="18" stopIfTrue="false" type="expression">
      <formula>AG17:AG24&lt;&gt;AF17:AF24</formula>
    </cfRule>
  </conditionalFormatting>
  <conditionalFormatting pivot="false" sqref="AC28:AC35">
    <cfRule aboveAverage="true" bottom="false" dxfId="0" equalAverage="false" percent="false" priority="17" stopIfTrue="false" type="expression">
      <formula>AC28:AC35&lt;&gt;AB28:AB35</formula>
    </cfRule>
  </conditionalFormatting>
  <conditionalFormatting pivot="false" sqref="Y28:Y35">
    <cfRule aboveAverage="true" bottom="false" dxfId="0" equalAverage="false" percent="false" priority="16" stopIfTrue="false" type="expression">
      <formula>Y28:Y35&lt;&gt;X28:X35</formula>
    </cfRule>
  </conditionalFormatting>
  <conditionalFormatting pivot="false" sqref="U28:U35">
    <cfRule aboveAverage="true" bottom="false" dxfId="0" equalAverage="false" percent="false" priority="15" stopIfTrue="false" type="expression">
      <formula>U28:U35&lt;&gt;T28:T35</formula>
    </cfRule>
  </conditionalFormatting>
  <conditionalFormatting pivot="false" sqref="Q28:Q35">
    <cfRule aboveAverage="true" bottom="false" dxfId="0" equalAverage="false" percent="false" priority="14" stopIfTrue="false" type="expression">
      <formula>Q28:Q35&lt;&gt;P28:P35</formula>
    </cfRule>
  </conditionalFormatting>
  <conditionalFormatting pivot="false" sqref="Q39:Q46">
    <cfRule aboveAverage="true" bottom="false" dxfId="0" equalAverage="false" percent="false" priority="13" stopIfTrue="false" type="expression">
      <formula>Q39:Q46&lt;&gt;P39:P46</formula>
    </cfRule>
  </conditionalFormatting>
  <conditionalFormatting pivot="false" sqref="U39:U46">
    <cfRule aboveAverage="true" bottom="false" dxfId="0" equalAverage="false" percent="false" priority="12" stopIfTrue="false" type="expression">
      <formula>U39:U46&lt;&gt;T39:T46</formula>
    </cfRule>
  </conditionalFormatting>
  <conditionalFormatting pivot="false" sqref="Y39:Y46">
    <cfRule aboveAverage="true" bottom="false" dxfId="0" equalAverage="false" percent="false" priority="11" stopIfTrue="false" type="expression">
      <formula>Y39:Y46&lt;&gt;X39:X46</formula>
    </cfRule>
  </conditionalFormatting>
  <conditionalFormatting pivot="false" sqref="AC39:AC46">
    <cfRule aboveAverage="true" bottom="false" dxfId="0" equalAverage="false" percent="false" priority="10" stopIfTrue="false" type="expression">
      <formula>AC39:AC46&lt;&gt;AB39:AB46</formula>
    </cfRule>
  </conditionalFormatting>
  <conditionalFormatting pivot="false" sqref="AG39:AG46">
    <cfRule aboveAverage="true" bottom="false" dxfId="0" equalAverage="false" percent="false" priority="9" stopIfTrue="false" type="expression">
      <formula>AG39:AG46&lt;&gt;AF39:AF46</formula>
    </cfRule>
  </conditionalFormatting>
  <conditionalFormatting pivot="false" sqref="B3:B10">
    <cfRule aboveAverage="true" bottom="false" dxfId="1" equalAverage="false" percent="false" priority="8" stopIfTrue="false" text="7B7G3" type="beginsWith">
      <formula>LEFT(B3,LEN("7B7G3"))="7B7G3"</formula>
    </cfRule>
  </conditionalFormatting>
  <conditionalFormatting pivot="false" sqref="B3:B10">
    <cfRule aboveAverage="true" bottom="false" dxfId="1" equalAverage="false" percent="false" priority="7" stopIfTrue="false" text="7B703" type="beginsWith">
      <formula>LEFT(B3,LEN("7B703"))="7B703"</formula>
    </cfRule>
  </conditionalFormatting>
  <conditionalFormatting pivot="false" sqref="B3:B10">
    <cfRule aboveAverage="true" bottom="false" dxfId="1" equalAverage="false" percent="false" priority="6" stopIfTrue="false" text="7B7G2" type="beginsWith">
      <formula>LEFT(B3,LEN("7B7G2"))="7B7G2"</formula>
    </cfRule>
  </conditionalFormatting>
  <conditionalFormatting pivot="false" sqref="B3:B10">
    <cfRule aboveAverage="true" bottom="false" dxfId="1" equalAverage="false" percent="false" priority="5" stopIfTrue="false" text="7B702" type="beginsWith">
      <formula>LEFT(B3,LEN("7B702"))="7B702"</formula>
    </cfRule>
  </conditionalFormatting>
  <conditionalFormatting pivot="false" sqref="B3:B10">
    <cfRule aboveAverage="true" bottom="false" dxfId="2" equalAverage="false" percent="false" priority="4" stopIfTrue="false" text="7B7G1" type="beginsWith">
      <formula>LEFT(B3,LEN("7B7G1"))="7B7G1"</formula>
    </cfRule>
  </conditionalFormatting>
  <conditionalFormatting pivot="false" sqref="B3:B10">
    <cfRule aboveAverage="true" bottom="false" dxfId="1" equalAverage="false" percent="false" priority="3" stopIfTrue="false" text="7B701" type="beginsWith">
      <formula>LEFT(B3,LEN("7B701"))="7B701"</formula>
    </cfRule>
  </conditionalFormatting>
  <conditionalFormatting pivot="false" sqref="B3:B10">
    <cfRule aboveAverage="true" bottom="false" dxfId="3" equalAverage="false" percent="false" priority="2" stopIfTrue="false" text=";Block" type="containsText">
      <formula>NOT(ISERROR(SEARCH(";Block",B3)))</formula>
    </cfRule>
  </conditionalFormatting>
  <conditionalFormatting pivot="false" sqref="B3:B10">
    <cfRule aboveAverage="true" bottom="false" dxfId="4" equalAverage="false" percent="false" priority="1" stopIfTrue="false" type="expression">
      <formula>IF(A3&lt;&gt;B3, 1, 0)</formula>
    </cfRule>
  </conditionalFormatting>
  <dataValidations>
    <dataValidation allowBlank="true" error="This is a Binary value, which can be either 0 or 1." errorStyle="stop" errorTitle="Wrong Value" imeMode="noControl" operator="between" showDropDown="false" showErrorMessage="true" showInputMessage="true" sqref="AG39:AG46 AC39:AC46 AC28:AC35 AG17:AG24 AG6:AG13 AC6:AC13 AC17:AC24 Q6:Q13 Q17:Q24 U6:U13 U17:U24 Y6:Y13 Y17:Y24 Q28:Q35 U28:U35 Y28:Y35 Y39:Y46 U39:U46 Q39:Q46"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97mm" paperSize="9" paperWidth="210mm" scale="100"/>
  <legacyDrawing r:id="rId2"/>
</worksheet>
</file>

<file path=xl/worksheets/sheet9.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XFD49"/>
  <sheetViews>
    <sheetView showZeros="true" workbookViewId="0"/>
  </sheetViews>
  <sheetFormatPr baseColWidth="8" customHeight="false" defaultColWidth="9.1406253092569258" defaultRowHeight="15" zeroHeight="true"/>
  <cols>
    <col bestFit="true" customWidth="true" max="1" min="1" outlineLevel="0" width="20.85546864361033"/>
    <col bestFit="true" customWidth="true" max="2" min="2" outlineLevel="0" width="20.570312654628463"/>
    <col bestFit="true" customWidth="true" max="3" min="3" outlineLevel="0" width="4.5703126546284629"/>
    <col bestFit="true" customWidth="true" max="5" min="4" outlineLevel="0" width="9.0000001691661815"/>
    <col bestFit="true" customWidth="true" max="13" min="6" outlineLevel="0" width="9.1406253092569258"/>
    <col bestFit="true" customWidth="true" max="14" min="14" outlineLevel="0" width="5.7109372872206619"/>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bestFit="true"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bestFit="true"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bestFit="true" customWidth="true" max="40" min="36" outlineLevel="0" width="9.1406253092569258"/>
    <col bestFit="true" customWidth="true" hidden="true" max="16383" min="41" outlineLevel="0" width="9.1406253092569258"/>
    <col bestFit="true" customWidth="true" max="16384" min="16384" outlineLevel="0" width="9.1406253092569258"/>
    <col bestFit="true" customWidth="true" hidden="true" max="16384" min="16385" outlineLevel="0" width="9.1406253092569258"/>
  </cols>
  <sheetData>
    <row hidden="false" ht="15" outlineLevel="0" r="1">
      <c r="A1" s="85" t="s">
        <v>155</v>
      </c>
      <c r="B1" s="7052"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62" t="s"/>
      <c r="AK1" s="62" t="s"/>
    </row>
    <row hidden="false" ht="15.75" outlineLevel="0" r="2">
      <c r="A2" s="88" t="s">
        <v>157</v>
      </c>
      <c r="B2" s="89" t="s">
        <v>158</v>
      </c>
      <c r="C2" s="230" t="s">
        <v>159</v>
      </c>
      <c r="D2" s="7053" t="s"/>
      <c r="E2" s="7054" t="s"/>
    </row>
    <row hidden="false" ht="15.75" outlineLevel="0" r="3">
      <c r="A3" s="91" t="s">
        <v>160</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731-01-01</v>
      </c>
      <c r="Q3" s="7055" t="s"/>
      <c r="R3" s="234" t="s">
        <v>2735</v>
      </c>
      <c r="S3" s="7056" t="s"/>
      <c r="T3" s="7057" t="s"/>
      <c r="U3" s="7058" t="s"/>
      <c r="V3" s="7059" t="s"/>
      <c r="W3" s="7060" t="s"/>
      <c r="X3" s="7061" t="s"/>
      <c r="Y3" s="7062" t="s"/>
      <c r="Z3" s="7063" t="s"/>
      <c r="AA3" s="7064" t="s"/>
      <c r="AB3" s="7065" t="s"/>
      <c r="AC3" s="7066" t="s"/>
      <c r="AD3" s="7067" t="s"/>
      <c r="AE3" s="7068" t="s"/>
      <c r="AF3" s="7069" t="s"/>
      <c r="AG3" s="7070" t="s"/>
      <c r="AH3" s="7071" t="s"/>
      <c r="AI3" s="7072" t="s"/>
      <c r="AJ3" s="7073" t="s"/>
      <c r="AK3" s="7074" t="s"/>
    </row>
    <row hidden="false" ht="15.75" outlineLevel="0" r="4">
      <c r="A4" s="91" t="s">
        <v>2736</v>
      </c>
      <c r="B4" s="92" t="str">
        <f aca="false" ca="false" dt2D="false" dtr="false" t="normal">RIGHT(D13, 1)&amp;E13&amp;F13&amp;G13&amp;H10&amp;I10&amp;J10&amp;K10&amp;L10&amp;M10</f>
        <v>731G1G100000000003A</v>
      </c>
      <c r="C4" s="98" t="n"/>
      <c r="D4" s="99" t="s">
        <v>2737</v>
      </c>
      <c r="E4" s="7075" t="s"/>
      <c r="F4" s="7076" t="s"/>
      <c r="G4" s="7077" t="s"/>
      <c r="H4" s="53" t="s">
        <v>165</v>
      </c>
      <c r="I4" s="53" t="s">
        <v>166</v>
      </c>
      <c r="J4" s="53" t="s">
        <v>167</v>
      </c>
      <c r="K4" s="53" t="s">
        <v>168</v>
      </c>
      <c r="L4" s="53" t="s">
        <v>169</v>
      </c>
      <c r="M4" s="53" t="s">
        <v>221</v>
      </c>
      <c r="N4" s="63" t="n"/>
      <c r="P4" s="103" t="s">
        <v>2738</v>
      </c>
      <c r="Q4" s="7078" t="s"/>
      <c r="R4" s="7079" t="s"/>
      <c r="S4" s="7080" t="s"/>
      <c r="T4" s="103" t="s">
        <v>2739</v>
      </c>
      <c r="U4" s="7081" t="s"/>
      <c r="V4" s="7082" t="s"/>
      <c r="W4" s="7083" t="s"/>
      <c r="X4" s="103" t="s">
        <v>2740</v>
      </c>
      <c r="Y4" s="7084" t="s"/>
      <c r="Z4" s="7085" t="s"/>
      <c r="AA4" s="7086" t="s"/>
      <c r="AB4" s="7087" t="s">
        <v>2741</v>
      </c>
      <c r="AC4" s="7088" t="s"/>
      <c r="AD4" s="7089" t="s"/>
      <c r="AE4" s="7090" t="s"/>
      <c r="AF4" s="7091" t="s">
        <v>2742</v>
      </c>
      <c r="AG4" s="7092" t="s"/>
      <c r="AH4" s="7093" t="s"/>
      <c r="AI4" s="7094" t="s"/>
      <c r="AJ4" s="7095" t="s">
        <v>2743</v>
      </c>
      <c r="AK4" s="7096" t="s"/>
    </row>
    <row hidden="false" ht="15.75" outlineLevel="0" r="5">
      <c r="A5" s="91" t="s">
        <v>2744</v>
      </c>
      <c r="B5" s="92" t="str">
        <f aca="false" ca="false" dt2D="false" dtr="false" t="normal">RIGHT(D24, 1)&amp;E24&amp;F24&amp;G24&amp;H21&amp;I21&amp;J21&amp;K21&amp;L21&amp;M21</f>
        <v>731G1G200000000003B</v>
      </c>
      <c r="C5" s="98" t="s">
        <v>176</v>
      </c>
      <c r="D5" s="122" t="s">
        <v>177</v>
      </c>
      <c r="E5" s="123" t="s">
        <v>834</v>
      </c>
      <c r="F5" s="123" t="s">
        <v>179</v>
      </c>
      <c r="G5" s="124" t="s">
        <v>179</v>
      </c>
      <c r="H5" s="273" t="n">
        <f aca="false" ca="false" dt2D="false" dtr="false" t="normal">MID($A$4, 8, 2)</f>
        <v>0</v>
      </c>
      <c r="I5" s="126" t="n">
        <f aca="false" ca="false" dt2D="false" dtr="false" t="normal">MID($A$4, 10, 2)</f>
        <v>0</v>
      </c>
      <c r="J5" s="126" t="n">
        <f aca="false" ca="false" dt2D="false" dtr="false" t="normal">MID($A$4, 12, 2)</f>
        <v>0</v>
      </c>
      <c r="K5" s="126" t="n">
        <f aca="false" ca="false" dt2D="false" dtr="false" t="normal">MID($A$4, 14, 2)</f>
        <v>0</v>
      </c>
      <c r="L5" s="274" t="n">
        <f aca="false" ca="false" dt2D="false" dtr="false" t="normal">MID($A$4, 16, 2)</f>
        <v>0</v>
      </c>
      <c r="M5" s="128" t="str">
        <f aca="false" ca="false" dt2D="false" dtr="false" t="normal">MID($A$4, 18, 2)</f>
        <v>3A</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21" t="n"/>
      <c r="AF5" s="7097" t="s">
        <v>180</v>
      </c>
      <c r="AG5" s="130" t="s">
        <v>181</v>
      </c>
      <c r="AH5" s="121" t="s">
        <v>182</v>
      </c>
      <c r="AI5" s="7098" t="n"/>
      <c r="AJ5" s="7099" t="s">
        <v>183</v>
      </c>
      <c r="AK5" s="7100" t="s"/>
    </row>
    <row customHeight="true" hidden="false" ht="15" outlineLevel="0" r="6">
      <c r="A6" s="91" t="s">
        <v>2745</v>
      </c>
      <c r="B6" s="92" t="str">
        <f aca="false" ca="false" dt2D="false" dtr="false" t="normal">RIGHT(D35, 1)&amp;E35&amp;F35&amp;G35&amp;H32&amp;I32&amp;J32&amp;K32</f>
        <v>731G1G30000003C</v>
      </c>
      <c r="C6" s="98" t="s">
        <v>185</v>
      </c>
      <c r="D6" s="53" t="n">
        <f aca="false" ca="false" dt2D="false" dtr="false" t="normal">HEX2BIN(D5, 8)</f>
        <v>111</v>
      </c>
      <c r="E6" s="53" t="n">
        <f aca="false" ca="false" dt2D="false" dtr="false" t="normal">HEX2BIN(E5, 8)</f>
        <v>110001</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140" t="s">
        <v>2746</v>
      </c>
      <c r="T6" s="136" t="n">
        <f aca="false" ca="false" dt2D="false" dtr="false" t="normal">MID(I6, 1, 1)</f>
        <v>0</v>
      </c>
      <c r="U6" s="137" t="n">
        <f aca="false" ca="false" dt2D="false" dtr="false" t="normal">T6</f>
        <v>0</v>
      </c>
      <c r="V6" s="120" t="s">
        <v>186</v>
      </c>
      <c r="W6" s="139" t="s">
        <v>2747</v>
      </c>
      <c r="X6" s="136" t="n">
        <f aca="false" ca="false" dt2D="false" dtr="false" t="normal">MID(J6, 1, 1)</f>
        <v>0</v>
      </c>
      <c r="Y6" s="137" t="n">
        <f aca="false" ca="false" dt2D="false" dtr="false" t="normal">X6</f>
        <v>0</v>
      </c>
      <c r="Z6" s="120" t="s">
        <v>186</v>
      </c>
      <c r="AA6" s="1193" t="s">
        <v>2748</v>
      </c>
      <c r="AB6" s="136" t="n">
        <f aca="false" ca="false" dt2D="false" dtr="false" t="normal">MID(K6, 1, 1)</f>
        <v>0</v>
      </c>
      <c r="AC6" s="137" t="n">
        <f aca="false" ca="false" dt2D="false" dtr="false" t="normal">AB6</f>
        <v>0</v>
      </c>
      <c r="AD6" s="120" t="s">
        <v>186</v>
      </c>
      <c r="AE6" s="1194" t="s">
        <v>2749</v>
      </c>
      <c r="AF6" s="7101" t="n">
        <f aca="false" ca="false" dt2D="false" dtr="false" t="normal">MID(L6, 1, 1)</f>
        <v>0</v>
      </c>
      <c r="AG6" s="137" t="n">
        <f aca="false" ca="false" dt2D="false" dtr="false" t="normal">AF6</f>
        <v>0</v>
      </c>
      <c r="AH6" s="120" t="s">
        <v>186</v>
      </c>
      <c r="AI6" s="7102" t="s">
        <v>2750</v>
      </c>
      <c r="AJ6" s="142" t="s"/>
      <c r="AK6" s="7103" t="s"/>
    </row>
    <row customHeight="true" hidden="false" ht="15.75" outlineLevel="0" r="7">
      <c r="A7" s="91" t="s">
        <v>175</v>
      </c>
      <c r="B7" s="92" t="s">
        <v>175</v>
      </c>
      <c r="C7" s="98" t="s">
        <v>191</v>
      </c>
      <c r="D7" s="53" t="n">
        <f aca="false" ca="false" dt2D="false" dtr="false" t="normal">HEX2DEC(D5)</f>
        <v>7</v>
      </c>
      <c r="E7" s="53" t="n">
        <f aca="false" ca="false" dt2D="false" dtr="false" t="normal">HEX2DEC(E5)</f>
        <v>49</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58</v>
      </c>
      <c r="N7" s="63" t="n"/>
      <c r="P7" s="136" t="n">
        <f aca="false" ca="false" dt2D="false" dtr="false" t="normal">MID(H6, 2, 1)</f>
        <v>0</v>
      </c>
      <c r="Q7" s="137" t="n">
        <f aca="false" ca="false" dt2D="false" dtr="false" t="normal">P7</f>
        <v>0</v>
      </c>
      <c r="R7" s="120" t="s">
        <v>192</v>
      </c>
      <c r="S7" s="7104" t="s"/>
      <c r="T7" s="136" t="n">
        <f aca="false" ca="false" dt2D="false" dtr="false" t="normal">MID(I6, 2, 1)</f>
        <v>0</v>
      </c>
      <c r="U7" s="137" t="n">
        <f aca="false" ca="false" dt2D="false" dtr="false" t="normal">T7</f>
        <v>0</v>
      </c>
      <c r="V7" s="120" t="s">
        <v>192</v>
      </c>
      <c r="W7" s="7105" t="s">
        <v>2751</v>
      </c>
      <c r="X7" s="136" t="n">
        <f aca="false" ca="false" dt2D="false" dtr="false" t="normal">MID(J6, 2, 1)</f>
        <v>0</v>
      </c>
      <c r="Y7" s="137" t="n">
        <f aca="false" ca="false" dt2D="false" dtr="false" t="normal">X7</f>
        <v>0</v>
      </c>
      <c r="Z7" s="120" t="s">
        <v>192</v>
      </c>
      <c r="AA7" s="139" t="s">
        <v>2752</v>
      </c>
      <c r="AB7" s="136" t="n">
        <f aca="false" ca="false" dt2D="false" dtr="false" t="normal">MID(K6, 2, 1)</f>
        <v>0</v>
      </c>
      <c r="AC7" s="137" t="n">
        <f aca="false" ca="false" dt2D="false" dtr="false" t="normal">AB7</f>
        <v>0</v>
      </c>
      <c r="AD7" s="120" t="s">
        <v>192</v>
      </c>
      <c r="AE7" s="7106" t="s">
        <v>2753</v>
      </c>
      <c r="AF7" s="7101" t="n">
        <f aca="false" ca="false" dt2D="false" dtr="false" t="normal">MID(L6, 2, 1)</f>
        <v>0</v>
      </c>
      <c r="AG7" s="137" t="n">
        <f aca="false" ca="false" dt2D="false" dtr="false" t="normal">AF7</f>
        <v>0</v>
      </c>
      <c r="AH7" s="120" t="s">
        <v>192</v>
      </c>
      <c r="AI7" s="7107" t="s">
        <v>2754</v>
      </c>
      <c r="AJ7" s="142" t="s"/>
      <c r="AK7" s="7108" t="s"/>
    </row>
    <row customHeight="true" hidden="false" ht="15.75" outlineLevel="0" r="8">
      <c r="A8" s="135" t="s">
        <v>2755</v>
      </c>
      <c r="B8" s="92" t="str">
        <f aca="false" ca="false" dt2D="false" dtr="false" t="normal">RIGHT(D46, 1)&amp;E46&amp;F46&amp;G46&amp;H43&amp;I43&amp;J43&amp;K43</f>
        <v>731G2G10000003B</v>
      </c>
      <c r="C8" s="98" t="s">
        <v>194</v>
      </c>
      <c r="D8" s="149" t="n">
        <f aca="false" ca="false" dt2D="false" dtr="false" t="normal">D5</f>
        <v>7</v>
      </c>
      <c r="E8" s="149" t="n">
        <f aca="false" ca="false" dt2D="false" dtr="false" t="normal">E5</f>
        <v>31</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7109" t="s"/>
      <c r="T8" s="136" t="n">
        <f aca="false" ca="false" dt2D="false" dtr="false" t="normal">MID(I6, 3, 1)</f>
        <v>0</v>
      </c>
      <c r="U8" s="137" t="n">
        <f aca="false" ca="false" dt2D="false" dtr="false" t="normal">T8</f>
        <v>0</v>
      </c>
      <c r="V8" s="120" t="s">
        <v>195</v>
      </c>
      <c r="W8" s="7110" t="s">
        <v>2756</v>
      </c>
      <c r="X8" s="136" t="n">
        <f aca="false" ca="false" dt2D="false" dtr="false" t="normal">MID(J6, 3, 1)</f>
        <v>0</v>
      </c>
      <c r="Y8" s="137" t="n">
        <f aca="false" ca="false" dt2D="false" dtr="false" t="normal">X8</f>
        <v>0</v>
      </c>
      <c r="Z8" s="120" t="s">
        <v>195</v>
      </c>
      <c r="AA8" s="1194" t="s">
        <v>2757</v>
      </c>
      <c r="AB8" s="136" t="n">
        <f aca="false" ca="false" dt2D="false" dtr="false" t="normal">MID(K6, 3, 1)</f>
        <v>0</v>
      </c>
      <c r="AC8" s="137" t="n">
        <f aca="false" ca="false" dt2D="false" dtr="false" t="normal">AB8</f>
        <v>0</v>
      </c>
      <c r="AD8" s="120" t="s">
        <v>195</v>
      </c>
      <c r="AE8" s="7111" t="s">
        <v>2758</v>
      </c>
      <c r="AF8" s="7101" t="n">
        <f aca="false" ca="false" dt2D="false" dtr="false" t="normal">MID(L6, 3, 1)</f>
        <v>0</v>
      </c>
      <c r="AG8" s="137" t="n">
        <f aca="false" ca="false" dt2D="false" dtr="false" t="normal">AF8</f>
        <v>0</v>
      </c>
      <c r="AH8" s="120" t="s">
        <v>195</v>
      </c>
      <c r="AI8" s="7098" t="s">
        <v>196</v>
      </c>
      <c r="AJ8" s="142" t="s"/>
      <c r="AK8" s="7112" t="s"/>
    </row>
    <row customHeight="true" hidden="false" ht="15.75" outlineLevel="0" r="9">
      <c r="C9" s="98" t="n"/>
      <c r="N9" s="63" t="n"/>
      <c r="P9" s="136" t="n">
        <f aca="false" ca="false" dt2D="false" dtr="false" t="normal">MID(H6, 4, 1)</f>
        <v>0</v>
      </c>
      <c r="Q9" s="137" t="n">
        <f aca="false" ca="false" dt2D="false" dtr="false" t="normal">P9</f>
        <v>0</v>
      </c>
      <c r="R9" s="120" t="s">
        <v>197</v>
      </c>
      <c r="S9" s="7113" t="s"/>
      <c r="T9" s="136" t="n">
        <f aca="false" ca="false" dt2D="false" dtr="false" t="normal">MID(I6, 4, 1)</f>
        <v>0</v>
      </c>
      <c r="U9" s="137" t="n">
        <f aca="false" ca="false" dt2D="false" dtr="false" t="normal">T9</f>
        <v>0</v>
      </c>
      <c r="V9" s="120" t="s">
        <v>197</v>
      </c>
      <c r="W9" s="208" t="s">
        <v>2759</v>
      </c>
      <c r="X9" s="136" t="n">
        <f aca="false" ca="false" dt2D="false" dtr="false" t="normal">MID(J6, 4, 1)</f>
        <v>0</v>
      </c>
      <c r="Y9" s="137" t="n">
        <f aca="false" ca="false" dt2D="false" dtr="false" t="normal">X9</f>
        <v>0</v>
      </c>
      <c r="Z9" s="120" t="s">
        <v>197</v>
      </c>
      <c r="AA9" s="1193" t="s">
        <v>2760</v>
      </c>
      <c r="AB9" s="136" t="n">
        <f aca="false" ca="false" dt2D="false" dtr="false" t="normal">MID(K6, 4, 1)</f>
        <v>0</v>
      </c>
      <c r="AC9" s="137" t="n">
        <f aca="false" ca="false" dt2D="false" dtr="false" t="normal">AB9</f>
        <v>0</v>
      </c>
      <c r="AD9" s="120" t="s">
        <v>197</v>
      </c>
      <c r="AE9" s="7114" t="s">
        <v>2761</v>
      </c>
      <c r="AF9" s="7101" t="n">
        <f aca="false" ca="false" dt2D="false" dtr="false" t="normal">MID(L6, 4, 1)</f>
        <v>0</v>
      </c>
      <c r="AG9" s="137" t="n">
        <f aca="false" ca="false" dt2D="false" dtr="false" t="normal">AF9</f>
        <v>0</v>
      </c>
      <c r="AH9" s="120" t="s">
        <v>197</v>
      </c>
      <c r="AI9" s="7107" t="s">
        <v>2762</v>
      </c>
      <c r="AJ9" s="142" t="s"/>
      <c r="AK9" s="7115" t="s"/>
    </row>
    <row customHeight="true" hidden="false" ht="15.75" outlineLevel="0" r="10">
      <c r="C10" s="98" t="s">
        <v>176</v>
      </c>
      <c r="D10" s="159" t="n">
        <f aca="false" ca="false" dt2D="false" dtr="false" t="normal">D5</f>
        <v>7</v>
      </c>
      <c r="E10" s="160" t="n">
        <f aca="false" ca="false" dt2D="false" dtr="false" t="normal">E5</f>
        <v>31</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3A</v>
      </c>
      <c r="N10" s="63" t="s">
        <v>181</v>
      </c>
      <c r="P10" s="136" t="n">
        <f aca="false" ca="false" dt2D="false" dtr="false" t="normal">MID(H6, 5, 1)</f>
        <v>0</v>
      </c>
      <c r="Q10" s="137" t="n">
        <f aca="false" ca="false" dt2D="false" dtr="false" t="normal">P10</f>
        <v>0</v>
      </c>
      <c r="R10" s="120" t="s">
        <v>200</v>
      </c>
      <c r="S10" s="7116" t="s">
        <v>2763</v>
      </c>
      <c r="T10" s="136" t="n">
        <f aca="false" ca="false" dt2D="false" dtr="false" t="normal">MID(I6, 5, 1)</f>
        <v>0</v>
      </c>
      <c r="U10" s="137" t="n">
        <f aca="false" ca="false" dt2D="false" dtr="false" t="normal">T10</f>
        <v>0</v>
      </c>
      <c r="V10" s="120" t="s">
        <v>200</v>
      </c>
      <c r="W10" s="6908" t="s">
        <v>2764</v>
      </c>
      <c r="X10" s="209" t="n">
        <f aca="false" ca="false" dt2D="false" dtr="false" t="normal">MID(J6, 5, 1)</f>
        <v>0</v>
      </c>
      <c r="Y10" s="137" t="n">
        <f aca="false" ca="false" dt2D="false" dtr="false" t="normal">X10</f>
        <v>0</v>
      </c>
      <c r="Z10" s="120" t="s">
        <v>200</v>
      </c>
      <c r="AA10" s="1194" t="s">
        <v>2765</v>
      </c>
      <c r="AB10" s="136" t="n">
        <f aca="false" ca="false" dt2D="false" dtr="false" t="normal">MID(K6, 5, 1)</f>
        <v>0</v>
      </c>
      <c r="AC10" s="137" t="n">
        <f aca="false" ca="false" dt2D="false" dtr="false" t="normal">AB10</f>
        <v>0</v>
      </c>
      <c r="AD10" s="120" t="s">
        <v>200</v>
      </c>
      <c r="AE10" s="7106" t="s">
        <v>2766</v>
      </c>
      <c r="AF10" s="7101" t="n">
        <f aca="false" ca="false" dt2D="false" dtr="false" t="normal">MID(L6, 5, 1)</f>
        <v>0</v>
      </c>
      <c r="AG10" s="137" t="n">
        <f aca="false" ca="false" dt2D="false" dtr="false" t="normal">AF10</f>
        <v>0</v>
      </c>
      <c r="AH10" s="120" t="s">
        <v>200</v>
      </c>
      <c r="AI10" s="7117" t="s">
        <v>2767</v>
      </c>
      <c r="AJ10" s="142" t="s"/>
      <c r="AK10" s="7118" t="s"/>
    </row>
    <row hidden="false" ht="15" outlineLevel="0" r="11">
      <c r="C11" s="98" t="s">
        <v>185</v>
      </c>
      <c r="D11" s="53" t="n">
        <f aca="false" ca="false" dt2D="false" dtr="false" t="normal">HEX2BIN(D10, 8)</f>
        <v>111</v>
      </c>
      <c r="E11" s="53" t="n">
        <f aca="false" ca="false" dt2D="false" dtr="false" t="normal">HEX2BIN(E10, 8)</f>
        <v>110001</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3A</v>
      </c>
      <c r="N11" s="63" t="n"/>
      <c r="P11" s="136" t="n">
        <f aca="false" ca="false" dt2D="false" dtr="false" t="normal">MID(H6, 6, 1)</f>
        <v>0</v>
      </c>
      <c r="Q11" s="137" t="n">
        <f aca="false" ca="false" dt2D="false" dtr="false" t="normal">P11</f>
        <v>0</v>
      </c>
      <c r="R11" s="120" t="s">
        <v>203</v>
      </c>
      <c r="S11" s="7116" t="s">
        <v>2768</v>
      </c>
      <c r="T11" s="136" t="n">
        <f aca="false" ca="false" dt2D="false" dtr="false" t="normal">MID(I6, 6, 1)</f>
        <v>0</v>
      </c>
      <c r="U11" s="137" t="n">
        <f aca="false" ca="false" dt2D="false" dtr="false" t="normal">T11</f>
        <v>0</v>
      </c>
      <c r="V11" s="120" t="s">
        <v>203</v>
      </c>
      <c r="W11" s="7119" t="s"/>
      <c r="X11" s="209" t="n">
        <f aca="false" ca="false" dt2D="false" dtr="false" t="normal">MID(J6, 6, 1)</f>
        <v>0</v>
      </c>
      <c r="Y11" s="137" t="n">
        <f aca="false" ca="false" dt2D="false" dtr="false" t="normal">X11</f>
        <v>0</v>
      </c>
      <c r="Z11" s="120" t="s">
        <v>203</v>
      </c>
      <c r="AA11" s="1193" t="s">
        <v>2769</v>
      </c>
      <c r="AB11" s="136" t="n">
        <f aca="false" ca="false" dt2D="false" dtr="false" t="normal">MID(K6, 6, 1)</f>
        <v>0</v>
      </c>
      <c r="AC11" s="137" t="n">
        <f aca="false" ca="false" dt2D="false" dtr="false" t="normal">AB11</f>
        <v>0</v>
      </c>
      <c r="AD11" s="120" t="s">
        <v>203</v>
      </c>
      <c r="AE11" s="7106" t="s">
        <v>2770</v>
      </c>
      <c r="AF11" s="7101" t="n">
        <f aca="false" ca="false" dt2D="false" dtr="false" t="normal">MID(L6, 6, 1)</f>
        <v>0</v>
      </c>
      <c r="AG11" s="137" t="n">
        <f aca="false" ca="false" dt2D="false" dtr="false" t="normal">AF11</f>
        <v>0</v>
      </c>
      <c r="AH11" s="120" t="s">
        <v>203</v>
      </c>
      <c r="AI11" s="7117" t="s">
        <v>2771</v>
      </c>
      <c r="AJ11" s="142" t="s"/>
      <c r="AK11" s="7120" t="s"/>
    </row>
    <row customHeight="true" hidden="false" ht="15" outlineLevel="0" r="12">
      <c r="C12" s="98" t="s">
        <v>191</v>
      </c>
      <c r="D12" s="53" t="n">
        <f aca="false" ca="false" dt2D="false" dtr="false" t="normal">HEX2DEC(D10)</f>
        <v>7</v>
      </c>
      <c r="E12" s="53" t="n">
        <f aca="false" ca="false" dt2D="false" dtr="false" t="normal">HEX2DEC(E10)</f>
        <v>49</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58</v>
      </c>
      <c r="N12" s="63" t="n"/>
      <c r="P12" s="136" t="n">
        <f aca="false" ca="false" dt2D="false" dtr="false" t="normal">MID(H6, 7, 1)</f>
        <v>0</v>
      </c>
      <c r="Q12" s="137" t="n">
        <f aca="false" ca="false" dt2D="false" dtr="false" t="normal">P12</f>
        <v>0</v>
      </c>
      <c r="R12" s="120" t="s">
        <v>206</v>
      </c>
      <c r="S12" s="1194" t="s">
        <v>2772</v>
      </c>
      <c r="T12" s="136" t="n">
        <f aca="false" ca="false" dt2D="false" dtr="false" t="normal">MID(I6, 7, 1)</f>
        <v>0</v>
      </c>
      <c r="U12" s="137" t="n">
        <f aca="false" ca="false" dt2D="false" dtr="false" t="normal">T12</f>
        <v>0</v>
      </c>
      <c r="V12" s="120" t="s">
        <v>206</v>
      </c>
      <c r="W12" s="139" t="s">
        <v>2773</v>
      </c>
      <c r="X12" s="136" t="n">
        <f aca="false" ca="false" dt2D="false" dtr="false" t="normal">MID(J6, 7, 1)</f>
        <v>0</v>
      </c>
      <c r="Y12" s="137" t="n">
        <f aca="false" ca="false" dt2D="false" dtr="false" t="normal">X12</f>
        <v>0</v>
      </c>
      <c r="Z12" s="120" t="s">
        <v>206</v>
      </c>
      <c r="AA12" s="7111" t="s">
        <v>2774</v>
      </c>
      <c r="AB12" s="136" t="n">
        <f aca="false" ca="false" dt2D="false" dtr="false" t="normal">MID(K6, 7, 1)</f>
        <v>0</v>
      </c>
      <c r="AC12" s="137" t="n">
        <f aca="false" ca="false" dt2D="false" dtr="false" t="normal">AB12</f>
        <v>0</v>
      </c>
      <c r="AD12" s="120" t="s">
        <v>206</v>
      </c>
      <c r="AE12" s="7106" t="s">
        <v>2775</v>
      </c>
      <c r="AF12" s="7101" t="n">
        <f aca="false" ca="false" dt2D="false" dtr="false" t="normal">MID(L6, 7, 1)</f>
        <v>0</v>
      </c>
      <c r="AG12" s="137" t="n">
        <f aca="false" ca="false" dt2D="false" dtr="false" t="normal">AF12</f>
        <v>0</v>
      </c>
      <c r="AH12" s="120" t="s">
        <v>206</v>
      </c>
      <c r="AI12" s="7117" t="s">
        <v>2776</v>
      </c>
      <c r="AJ12" s="142" t="s"/>
      <c r="AK12" s="7121" t="s"/>
    </row>
    <row hidden="false" ht="15.75" outlineLevel="0" r="13">
      <c r="C13" s="180" t="s">
        <v>194</v>
      </c>
      <c r="D13" s="181" t="n">
        <f aca="false" ca="false" dt2D="false" dtr="false" t="normal">D8</f>
        <v>7</v>
      </c>
      <c r="E13" s="181" t="n">
        <f aca="false" ca="false" dt2D="false" dtr="false" t="normal">E8</f>
        <v>31</v>
      </c>
      <c r="F13" s="181" t="str">
        <f aca="false" ca="false" dt2D="false" dtr="false" t="normal">F8</f>
        <v>G1</v>
      </c>
      <c r="G13" s="181"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219" t="s">
        <v>2772</v>
      </c>
      <c r="T13" s="182" t="n">
        <f aca="false" ca="false" dt2D="false" dtr="false" t="normal">MID(I6, 8, 1)</f>
        <v>0</v>
      </c>
      <c r="U13" s="183" t="n">
        <f aca="false" ca="false" dt2D="false" dtr="false" t="normal">T13</f>
        <v>0</v>
      </c>
      <c r="V13" s="184" t="s">
        <v>208</v>
      </c>
      <c r="W13" s="185" t="s">
        <v>196</v>
      </c>
      <c r="X13" s="182" t="n">
        <f aca="false" ca="false" dt2D="false" dtr="false" t="normal">MID(J6, 8, 1)</f>
        <v>0</v>
      </c>
      <c r="Y13" s="183" t="n">
        <f aca="false" ca="false" dt2D="false" dtr="false" t="normal">X13</f>
        <v>0</v>
      </c>
      <c r="Z13" s="184" t="s">
        <v>208</v>
      </c>
      <c r="AA13" s="187" t="s">
        <v>2777</v>
      </c>
      <c r="AB13" s="182" t="n">
        <f aca="false" ca="false" dt2D="false" dtr="false" t="normal">MID(K6, 8, 1)</f>
        <v>0</v>
      </c>
      <c r="AC13" s="183" t="n">
        <f aca="false" ca="false" dt2D="false" dtr="false" t="normal">AB13</f>
        <v>0</v>
      </c>
      <c r="AD13" s="184" t="s">
        <v>208</v>
      </c>
      <c r="AE13" s="7122" t="s">
        <v>2778</v>
      </c>
      <c r="AF13" s="7123" t="n">
        <f aca="false" ca="false" dt2D="false" dtr="false" t="normal">MID(L6, 8, 1)</f>
        <v>0</v>
      </c>
      <c r="AG13" s="7124" t="n">
        <f aca="false" ca="false" dt2D="false" dtr="false" t="normal">AF13</f>
        <v>0</v>
      </c>
      <c r="AH13" s="7125" t="s">
        <v>208</v>
      </c>
      <c r="AI13" s="7126" t="s">
        <v>2779</v>
      </c>
      <c r="AJ13" s="7127" t="s"/>
      <c r="AK13" s="7128" t="s"/>
    </row>
    <row hidden="false" ht="15.75" outlineLevel="0" r="14">
      <c r="C14" s="93" t="n"/>
      <c r="D14" s="94" t="n"/>
      <c r="E14" s="94" t="n"/>
      <c r="F14" s="94" t="n"/>
      <c r="G14" s="94" t="n"/>
      <c r="H14" s="94" t="n"/>
      <c r="I14" s="94" t="n"/>
      <c r="J14" s="94" t="n"/>
      <c r="K14" s="94" t="n"/>
      <c r="L14" s="94" t="n"/>
      <c r="M14" s="94" t="s">
        <v>161</v>
      </c>
      <c r="N14" s="60" t="n"/>
      <c r="P14" s="95" t="str">
        <f aca="false" ca="false" dt2D="false" dtr="false" t="normal">RIGHT(D16, 1)&amp;E16&amp;"-"&amp;F16&amp;"-"&amp;G16</f>
        <v>731-01-02</v>
      </c>
      <c r="Q14" s="7129" t="s"/>
      <c r="R14" s="234" t="s">
        <v>2780</v>
      </c>
      <c r="S14" s="7130" t="s"/>
      <c r="T14" s="7131" t="s"/>
      <c r="U14" s="7132" t="s"/>
      <c r="V14" s="7133" t="s"/>
      <c r="W14" s="7134" t="s"/>
      <c r="X14" s="7135" t="s"/>
      <c r="Y14" s="7136" t="s"/>
      <c r="Z14" s="7137" t="s"/>
      <c r="AA14" s="7138" t="s"/>
      <c r="AB14" s="7139" t="s"/>
      <c r="AC14" s="7140" t="s"/>
      <c r="AD14" s="7141" t="s"/>
      <c r="AE14" s="7142" t="s"/>
      <c r="AF14" s="7143" t="s"/>
      <c r="AG14" s="7144" t="s"/>
      <c r="AH14" s="7145" t="s"/>
      <c r="AI14" s="7146" t="s"/>
      <c r="AJ14" s="7147" t="s"/>
      <c r="AK14" s="7148" t="s"/>
    </row>
    <row hidden="false" ht="15.75" outlineLevel="0" r="15">
      <c r="C15" s="98" t="n"/>
      <c r="D15" s="99" t="s">
        <v>2781</v>
      </c>
      <c r="E15" s="7149" t="s"/>
      <c r="F15" s="7150" t="s"/>
      <c r="G15" s="7151" t="s"/>
      <c r="H15" s="53" t="s">
        <v>165</v>
      </c>
      <c r="I15" s="53" t="s">
        <v>166</v>
      </c>
      <c r="J15" s="53" t="s">
        <v>167</v>
      </c>
      <c r="K15" s="53" t="s">
        <v>168</v>
      </c>
      <c r="L15" s="53" t="s">
        <v>169</v>
      </c>
      <c r="M15" s="53" t="s">
        <v>221</v>
      </c>
      <c r="N15" s="63" t="n"/>
      <c r="P15" s="103" t="s">
        <v>2782</v>
      </c>
      <c r="Q15" s="7152" t="s"/>
      <c r="R15" s="7153" t="s"/>
      <c r="S15" s="7154" t="s"/>
      <c r="T15" s="103" t="s">
        <v>2783</v>
      </c>
      <c r="U15" s="7155" t="s"/>
      <c r="V15" s="7156" t="s"/>
      <c r="W15" s="7157" t="s"/>
      <c r="X15" s="103" t="s">
        <v>2784</v>
      </c>
      <c r="Y15" s="7158" t="s"/>
      <c r="Z15" s="7159" t="s"/>
      <c r="AA15" s="7160" t="s"/>
      <c r="AB15" s="103" t="s">
        <v>2785</v>
      </c>
      <c r="AC15" s="7161" t="s"/>
      <c r="AD15" s="7162" t="s"/>
      <c r="AE15" s="7163" t="s"/>
      <c r="AF15" s="103" t="s">
        <v>2786</v>
      </c>
      <c r="AG15" s="7164" t="s"/>
      <c r="AH15" s="7165" t="s"/>
      <c r="AI15" s="7166" t="s"/>
      <c r="AJ15" s="103" t="s">
        <v>2787</v>
      </c>
      <c r="AK15" s="7167" t="s"/>
    </row>
    <row hidden="false" ht="15.75" outlineLevel="0" r="16">
      <c r="C16" s="98" t="s">
        <v>176</v>
      </c>
      <c r="D16" s="122" t="s">
        <v>177</v>
      </c>
      <c r="E16" s="123" t="s">
        <v>834</v>
      </c>
      <c r="F16" s="123" t="s">
        <v>179</v>
      </c>
      <c r="G16" s="124" t="s">
        <v>216</v>
      </c>
      <c r="H16" s="125" t="n">
        <f aca="false" ca="false" dt2D="false" dtr="false" t="normal">MID($A$5, 8, 2)</f>
        <v>0</v>
      </c>
      <c r="I16" s="126" t="n">
        <f aca="false" ca="false" dt2D="false" dtr="false" t="normal">MID($A$5, 10, 2)</f>
        <v>0</v>
      </c>
      <c r="J16" s="126" t="n">
        <f aca="false" ca="false" dt2D="false" dtr="false" t="normal">MID($A$5, 12, 2)</f>
        <v>0</v>
      </c>
      <c r="K16" s="126" t="n">
        <f aca="false" ca="false" dt2D="false" dtr="false" t="normal">MID($A$5, 14, 2)</f>
        <v>0</v>
      </c>
      <c r="L16" s="274" t="n">
        <f aca="false" ca="false" dt2D="false" dtr="false" t="normal">MID($A$5, 16, 2)</f>
        <v>0</v>
      </c>
      <c r="M16" s="128" t="str">
        <f aca="false" ca="false" dt2D="false" dtr="false" t="normal">MID($A$5, 18, 2)</f>
        <v>3B</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7168" t="s"/>
    </row>
    <row hidden="false" ht="15" outlineLevel="0" r="17">
      <c r="C17" s="98" t="s">
        <v>185</v>
      </c>
      <c r="D17" s="53" t="n">
        <f aca="false" ca="false" dt2D="false" dtr="false" t="normal">HEX2BIN(D16, 8)</f>
        <v>111</v>
      </c>
      <c r="E17" s="53" t="n">
        <f aca="false" ca="false" dt2D="false" dtr="false" t="normal">HEX2BIN(E16, 8)</f>
        <v>110001</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N17" s="63" t="n"/>
      <c r="P17" s="136" t="n">
        <f aca="false" ca="false" dt2D="false" dtr="false" t="normal">MID(H17, 1, 1)</f>
        <v>0</v>
      </c>
      <c r="Q17" s="137" t="n">
        <f aca="false" ca="false" dt2D="false" dtr="false" t="normal">P17</f>
        <v>0</v>
      </c>
      <c r="R17" s="120" t="s">
        <v>186</v>
      </c>
      <c r="S17" s="139" t="s">
        <v>2788</v>
      </c>
      <c r="T17" s="136" t="n">
        <f aca="false" ca="false" dt2D="false" dtr="false" t="normal">MID(I17, 1, 1)</f>
        <v>0</v>
      </c>
      <c r="U17" s="137" t="n">
        <f aca="false" ca="false" dt2D="false" dtr="false" t="normal">T17</f>
        <v>0</v>
      </c>
      <c r="V17" s="120" t="s">
        <v>186</v>
      </c>
      <c r="W17" s="139" t="s">
        <v>2789</v>
      </c>
      <c r="X17" s="136" t="n">
        <f aca="false" ca="false" dt2D="false" dtr="false" t="normal">MID(J17, 1, 1)</f>
        <v>0</v>
      </c>
      <c r="Y17" s="137" t="n">
        <f aca="false" ca="false" dt2D="false" dtr="false" t="normal">X17</f>
        <v>0</v>
      </c>
      <c r="Z17" s="120" t="s">
        <v>186</v>
      </c>
      <c r="AA17" s="139" t="s">
        <v>2790</v>
      </c>
      <c r="AB17" s="136" t="n">
        <f aca="false" ca="false" dt2D="false" dtr="false" t="normal">MID(K17, 1, 1)</f>
        <v>0</v>
      </c>
      <c r="AC17" s="137" t="n">
        <f aca="false" ca="false" dt2D="false" dtr="false" t="normal">AB17</f>
        <v>0</v>
      </c>
      <c r="AD17" s="120" t="s">
        <v>186</v>
      </c>
      <c r="AE17" s="139" t="s">
        <v>2791</v>
      </c>
      <c r="AF17" s="136" t="n">
        <f aca="false" ca="false" dt2D="false" dtr="false" t="normal">MID(L17, 1, 1)</f>
        <v>0</v>
      </c>
      <c r="AG17" s="137" t="n">
        <f aca="false" ca="false" dt2D="false" dtr="false" t="normal">AF17</f>
        <v>0</v>
      </c>
      <c r="AH17" s="120" t="s">
        <v>186</v>
      </c>
      <c r="AI17" s="6908" t="s">
        <v>2792</v>
      </c>
      <c r="AJ17" s="7169" t="s"/>
      <c r="AK17" s="7170" t="s"/>
    </row>
    <row hidden="false" ht="15" outlineLevel="0" r="18">
      <c r="C18" s="98" t="s">
        <v>191</v>
      </c>
      <c r="D18" s="53" t="n">
        <f aca="false" ca="false" dt2D="false" dtr="false" t="normal">HEX2DEC(D16)</f>
        <v>7</v>
      </c>
      <c r="E18" s="53" t="n">
        <f aca="false" ca="false" dt2D="false" dtr="false" t="normal">HEX2DEC(E16)</f>
        <v>49</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59</v>
      </c>
      <c r="N18" s="63" t="n"/>
      <c r="P18" s="136" t="n">
        <f aca="false" ca="false" dt2D="false" dtr="false" t="normal">MID(H17, 2, 1)</f>
        <v>0</v>
      </c>
      <c r="Q18" s="137" t="n">
        <f aca="false" ca="false" dt2D="false" dtr="false" t="normal">P18</f>
        <v>0</v>
      </c>
      <c r="R18" s="120" t="s">
        <v>192</v>
      </c>
      <c r="S18" s="1194" t="s">
        <v>2793</v>
      </c>
      <c r="T18" s="136" t="n">
        <f aca="false" ca="false" dt2D="false" dtr="false" t="normal">MID(I17, 2, 1)</f>
        <v>0</v>
      </c>
      <c r="U18" s="137" t="n">
        <f aca="false" ca="false" dt2D="false" dtr="false" t="normal">T18</f>
        <v>0</v>
      </c>
      <c r="V18" s="120" t="s">
        <v>192</v>
      </c>
      <c r="W18" s="139" t="s">
        <v>2794</v>
      </c>
      <c r="X18" s="136" t="n">
        <f aca="false" ca="false" dt2D="false" dtr="false" t="normal">MID(J17, 2, 1)</f>
        <v>0</v>
      </c>
      <c r="Y18" s="137" t="n">
        <f aca="false" ca="false" dt2D="false" dtr="false" t="normal">X18</f>
        <v>0</v>
      </c>
      <c r="Z18" s="120" t="s">
        <v>192</v>
      </c>
      <c r="AA18" s="139" t="s">
        <v>2795</v>
      </c>
      <c r="AB18" s="136" t="n">
        <f aca="false" ca="false" dt2D="false" dtr="false" t="normal">MID(K17, 2, 1)</f>
        <v>0</v>
      </c>
      <c r="AC18" s="137" t="n">
        <f aca="false" ca="false" dt2D="false" dtr="false" t="normal">AB18</f>
        <v>0</v>
      </c>
      <c r="AD18" s="120" t="s">
        <v>192</v>
      </c>
      <c r="AE18" s="654" t="s">
        <v>2796</v>
      </c>
      <c r="AF18" s="136" t="n">
        <f aca="false" ca="false" dt2D="false" dtr="false" t="normal">MID(L17, 2, 1)</f>
        <v>0</v>
      </c>
      <c r="AG18" s="137" t="n">
        <f aca="false" ca="false" dt2D="false" dtr="false" t="normal">AF18</f>
        <v>0</v>
      </c>
      <c r="AH18" s="120" t="s">
        <v>192</v>
      </c>
      <c r="AI18" s="7171" t="s"/>
      <c r="AJ18" s="7172" t="s"/>
      <c r="AK18" s="7173" t="s"/>
    </row>
    <row hidden="false" ht="15" outlineLevel="0" r="19">
      <c r="C19" s="98" t="s">
        <v>194</v>
      </c>
      <c r="D19" s="149" t="n">
        <f aca="false" ca="false" dt2D="false" dtr="false" t="normal">D16</f>
        <v>7</v>
      </c>
      <c r="E19" s="149" t="n">
        <f aca="false" ca="false" dt2D="false" dtr="false" t="normal">E16</f>
        <v>31</v>
      </c>
      <c r="F19" s="53" t="str">
        <f aca="false" ca="false" dt2D="false" dtr="false" t="normal">MID($A$5, 4, 2)</f>
        <v>G1</v>
      </c>
      <c r="G19" s="53" t="str">
        <f aca="false" ca="false" dt2D="false" dtr="false" t="normal">MID($A$5, 6, 2)</f>
        <v>G2</v>
      </c>
      <c r="N19" s="63" t="n"/>
      <c r="P19" s="136" t="n">
        <f aca="false" ca="false" dt2D="false" dtr="false" t="normal">MID(H17, 3, 1)</f>
        <v>0</v>
      </c>
      <c r="Q19" s="137" t="n">
        <f aca="false" ca="false" dt2D="false" dtr="false" t="normal">P19</f>
        <v>0</v>
      </c>
      <c r="R19" s="120" t="s">
        <v>195</v>
      </c>
      <c r="S19" s="139" t="s">
        <v>2797</v>
      </c>
      <c r="T19" s="136" t="n">
        <f aca="false" ca="false" dt2D="false" dtr="false" t="normal">MID(I17, 3, 1)</f>
        <v>0</v>
      </c>
      <c r="U19" s="137" t="n">
        <f aca="false" ca="false" dt2D="false" dtr="false" t="normal">T19</f>
        <v>0</v>
      </c>
      <c r="V19" s="120" t="s">
        <v>195</v>
      </c>
      <c r="W19" s="139" t="s">
        <v>2798</v>
      </c>
      <c r="X19" s="136" t="n">
        <f aca="false" ca="false" dt2D="false" dtr="false" t="normal">MID(J17, 3, 1)</f>
        <v>0</v>
      </c>
      <c r="Y19" s="137" t="n">
        <f aca="false" ca="false" dt2D="false" dtr="false" t="normal">X19</f>
        <v>0</v>
      </c>
      <c r="Z19" s="120" t="s">
        <v>195</v>
      </c>
      <c r="AA19" s="654" t="s">
        <v>2799</v>
      </c>
      <c r="AB19" s="136" t="n">
        <f aca="false" ca="false" dt2D="false" dtr="false" t="normal">MID(K17, 3, 1)</f>
        <v>0</v>
      </c>
      <c r="AC19" s="137" t="n">
        <f aca="false" ca="false" dt2D="false" dtr="false" t="normal">AB19</f>
        <v>0</v>
      </c>
      <c r="AD19" s="120" t="s">
        <v>195</v>
      </c>
      <c r="AE19" s="7174" t="s"/>
      <c r="AF19" s="136" t="n">
        <f aca="false" ca="false" dt2D="false" dtr="false" t="normal">MID(L17, 3, 1)</f>
        <v>0</v>
      </c>
      <c r="AG19" s="137" t="n">
        <f aca="false" ca="false" dt2D="false" dtr="false" t="normal">AF19</f>
        <v>0</v>
      </c>
      <c r="AH19" s="120" t="s">
        <v>195</v>
      </c>
      <c r="AI19" s="7175" t="s"/>
      <c r="AJ19" s="7176" t="s"/>
      <c r="AK19" s="7177" t="s"/>
    </row>
    <row hidden="false" ht="15.75" outlineLevel="0" r="20">
      <c r="C20" s="98" t="n"/>
      <c r="N20" s="63" t="n"/>
      <c r="P20" s="136" t="n">
        <f aca="false" ca="false" dt2D="false" dtr="false" t="normal">MID(H17, 4, 1)</f>
        <v>0</v>
      </c>
      <c r="Q20" s="137" t="n">
        <f aca="false" ca="false" dt2D="false" dtr="false" t="normal">P20</f>
        <v>0</v>
      </c>
      <c r="R20" s="120" t="s">
        <v>197</v>
      </c>
      <c r="S20" s="208" t="s">
        <v>2800</v>
      </c>
      <c r="T20" s="136" t="n">
        <f aca="false" ca="false" dt2D="false" dtr="false" t="normal">MID(I17, 4, 1)</f>
        <v>0</v>
      </c>
      <c r="U20" s="137" t="n">
        <f aca="false" ca="false" dt2D="false" dtr="false" t="normal">T20</f>
        <v>0</v>
      </c>
      <c r="V20" s="120" t="s">
        <v>197</v>
      </c>
      <c r="W20" s="139" t="s">
        <v>2801</v>
      </c>
      <c r="X20" s="136" t="n">
        <f aca="false" ca="false" dt2D="false" dtr="false" t="normal">MID(J17, 4, 1)</f>
        <v>0</v>
      </c>
      <c r="Y20" s="137" t="n">
        <f aca="false" ca="false" dt2D="false" dtr="false" t="normal">X20</f>
        <v>0</v>
      </c>
      <c r="Z20" s="120" t="s">
        <v>197</v>
      </c>
      <c r="AA20" s="7178" t="s"/>
      <c r="AB20" s="136" t="n">
        <f aca="false" ca="false" dt2D="false" dtr="false" t="normal">MID(K17, 4, 1)</f>
        <v>0</v>
      </c>
      <c r="AC20" s="137" t="n">
        <f aca="false" ca="false" dt2D="false" dtr="false" t="normal">AB20</f>
        <v>0</v>
      </c>
      <c r="AD20" s="120" t="s">
        <v>197</v>
      </c>
      <c r="AE20" s="7179" t="s"/>
      <c r="AF20" s="136" t="n">
        <f aca="false" ca="false" dt2D="false" dtr="false" t="normal">MID(L17, 4, 1)</f>
        <v>0</v>
      </c>
      <c r="AG20" s="137" t="n">
        <f aca="false" ca="false" dt2D="false" dtr="false" t="normal">AF20</f>
        <v>0</v>
      </c>
      <c r="AH20" s="120" t="s">
        <v>197</v>
      </c>
      <c r="AI20" s="7180" t="s"/>
      <c r="AJ20" s="7181" t="s"/>
      <c r="AK20" s="7182" t="s"/>
    </row>
    <row customHeight="true" hidden="false" ht="15.75" outlineLevel="0" r="21">
      <c r="C21" s="98" t="s">
        <v>176</v>
      </c>
      <c r="D21" s="159" t="n">
        <f aca="false" ca="false" dt2D="false" dtr="false" t="normal">D16</f>
        <v>7</v>
      </c>
      <c r="E21" s="160" t="n">
        <f aca="false" ca="false" dt2D="false" dtr="false" t="normal">E16</f>
        <v>31</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str">
        <f aca="false" ca="false" dt2D="false" dtr="false" t="normal">IF(LEN(M22)&gt;2, MID(M22, 2, 2), M22)</f>
        <v>3B</v>
      </c>
      <c r="N21" s="63" t="s">
        <v>181</v>
      </c>
      <c r="P21" s="136" t="n">
        <f aca="false" ca="false" dt2D="false" dtr="false" t="normal">MID(H17, 5, 1)</f>
        <v>0</v>
      </c>
      <c r="Q21" s="137" t="n">
        <f aca="false" ca="false" dt2D="false" dtr="false" t="normal">P21</f>
        <v>0</v>
      </c>
      <c r="R21" s="120" t="s">
        <v>200</v>
      </c>
      <c r="S21" s="1770" t="s">
        <v>2802</v>
      </c>
      <c r="T21" s="136" t="n">
        <f aca="false" ca="false" dt2D="false" dtr="false" t="normal">MID(I17, 5, 1)</f>
        <v>0</v>
      </c>
      <c r="U21" s="137" t="n">
        <f aca="false" ca="false" dt2D="false" dtr="false" t="normal">T21</f>
        <v>0</v>
      </c>
      <c r="V21" s="120" t="s">
        <v>200</v>
      </c>
      <c r="W21" s="131" t="s">
        <v>196</v>
      </c>
      <c r="X21" s="136" t="n">
        <f aca="false" ca="false" dt2D="false" dtr="false" t="normal">MID(J17, 5, 1)</f>
        <v>0</v>
      </c>
      <c r="Y21" s="137" t="n">
        <f aca="false" ca="false" dt2D="false" dtr="false" t="normal">X21</f>
        <v>0</v>
      </c>
      <c r="Z21" s="120" t="s">
        <v>200</v>
      </c>
      <c r="AA21" s="7183" t="s"/>
      <c r="AB21" s="136" t="n">
        <f aca="false" ca="false" dt2D="false" dtr="false" t="normal">MID(K17, 5, 1)</f>
        <v>0</v>
      </c>
      <c r="AC21" s="137" t="n">
        <f aca="false" ca="false" dt2D="false" dtr="false" t="normal">AB21</f>
        <v>0</v>
      </c>
      <c r="AD21" s="120" t="s">
        <v>200</v>
      </c>
      <c r="AE21" s="7184" t="s"/>
      <c r="AF21" s="136" t="n">
        <f aca="false" ca="false" dt2D="false" dtr="false" t="normal">MID(L17, 5, 1)</f>
        <v>0</v>
      </c>
      <c r="AG21" s="137" t="n">
        <f aca="false" ca="false" dt2D="false" dtr="false" t="normal">AF21</f>
        <v>0</v>
      </c>
      <c r="AH21" s="120" t="s">
        <v>200</v>
      </c>
      <c r="AI21" s="7117" t="s">
        <v>2803</v>
      </c>
      <c r="AJ21" s="7185" t="s"/>
      <c r="AK21" s="7186" t="s"/>
    </row>
    <row hidden="false" ht="15" outlineLevel="0" r="22">
      <c r="C22" s="98" t="s">
        <v>185</v>
      </c>
      <c r="D22" s="53" t="n">
        <f aca="false" ca="false" dt2D="false" dtr="false" t="normal">HEX2BIN(D21, 8)</f>
        <v>111</v>
      </c>
      <c r="E22" s="53" t="n">
        <f aca="false" ca="false" dt2D="false" dtr="false" t="normal">HEX2BIN(E21, 8)</f>
        <v>110001</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171" t="n">
        <f aca="false" ca="false" dt2D="false" dtr="false" t="normal">AC17&amp;AC18&amp;AC19&amp;AC20&amp;AC21&amp;AC22&amp;AC23&amp;AC24</f>
        <v>0</v>
      </c>
      <c r="L22" s="53" t="n">
        <f aca="false" ca="false" dt2D="false" dtr="false" t="normal">AG17&amp;AG18&amp;AG19&amp;AG20&amp;AG21&amp;AG22&amp;AG23&amp;AG24</f>
        <v>0</v>
      </c>
      <c r="M22" s="53" t="str">
        <f aca="false" ca="false" dt2D="false" dtr="false" t="normal">DEC2HEX(M23)</f>
        <v>3B</v>
      </c>
      <c r="N22" s="63" t="n"/>
      <c r="P22" s="136" t="n">
        <f aca="false" ca="false" dt2D="false" dtr="false" t="normal">MID(H17, 6, 1)</f>
        <v>0</v>
      </c>
      <c r="Q22" s="137" t="n">
        <f aca="false" ca="false" dt2D="false" dtr="false" t="normal">P22</f>
        <v>0</v>
      </c>
      <c r="R22" s="120" t="s">
        <v>203</v>
      </c>
      <c r="S22" s="7187" t="s"/>
      <c r="T22" s="136" t="n">
        <f aca="false" ca="false" dt2D="false" dtr="false" t="normal">MID(I17, 6, 1)</f>
        <v>0</v>
      </c>
      <c r="U22" s="137" t="n">
        <f aca="false" ca="false" dt2D="false" dtr="false" t="normal">T22</f>
        <v>0</v>
      </c>
      <c r="V22" s="120" t="s">
        <v>203</v>
      </c>
      <c r="W22" s="1194" t="s">
        <v>2804</v>
      </c>
      <c r="X22" s="136" t="n">
        <f aca="false" ca="false" dt2D="false" dtr="false" t="normal">MID(J17, 6, 1)</f>
        <v>0</v>
      </c>
      <c r="Y22" s="137" t="n">
        <f aca="false" ca="false" dt2D="false" dtr="false" t="normal">X22</f>
        <v>0</v>
      </c>
      <c r="Z22" s="120" t="s">
        <v>203</v>
      </c>
      <c r="AA22" s="7188" t="s"/>
      <c r="AB22" s="136" t="n">
        <f aca="false" ca="false" dt2D="false" dtr="false" t="normal">MID(K17, 6, 1)</f>
        <v>0</v>
      </c>
      <c r="AC22" s="137" t="n">
        <f aca="false" ca="false" dt2D="false" dtr="false" t="normal">AB22</f>
        <v>0</v>
      </c>
      <c r="AD22" s="120" t="s">
        <v>203</v>
      </c>
      <c r="AE22" s="7189" t="s"/>
      <c r="AF22" s="136" t="n">
        <f aca="false" ca="false" dt2D="false" dtr="false" t="normal">MID(L17, 6, 1)</f>
        <v>0</v>
      </c>
      <c r="AG22" s="137" t="n">
        <f aca="false" ca="false" dt2D="false" dtr="false" t="normal">AF22</f>
        <v>0</v>
      </c>
      <c r="AH22" s="120" t="s">
        <v>203</v>
      </c>
      <c r="AI22" s="7117" t="s">
        <v>2805</v>
      </c>
      <c r="AJ22" s="7190" t="s"/>
      <c r="AK22" s="7191" t="s"/>
    </row>
    <row hidden="false" ht="15" outlineLevel="0" r="23">
      <c r="C23" s="98" t="s">
        <v>191</v>
      </c>
      <c r="D23" s="53" t="n">
        <f aca="false" ca="false" dt2D="false" dtr="false" t="normal">HEX2DEC(D21)</f>
        <v>7</v>
      </c>
      <c r="E23" s="53" t="n">
        <f aca="false" ca="false" dt2D="false" dtr="false" t="normal">HEX2DEC(E21)</f>
        <v>49</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59</v>
      </c>
      <c r="N23" s="63" t="n"/>
      <c r="P23" s="136" t="n">
        <f aca="false" ca="false" dt2D="false" dtr="false" t="normal">MID(H17, 7, 1)</f>
        <v>0</v>
      </c>
      <c r="Q23" s="137" t="n">
        <f aca="false" ca="false" dt2D="false" dtr="false" t="normal">P23</f>
        <v>0</v>
      </c>
      <c r="R23" s="120" t="s">
        <v>206</v>
      </c>
      <c r="S23" s="7192" t="s"/>
      <c r="T23" s="136" t="n">
        <f aca="false" ca="false" dt2D="false" dtr="false" t="normal">MID(I17, 7, 1)</f>
        <v>0</v>
      </c>
      <c r="U23" s="137" t="n">
        <f aca="false" ca="false" dt2D="false" dtr="false" t="normal">T23</f>
        <v>0</v>
      </c>
      <c r="V23" s="120" t="s">
        <v>206</v>
      </c>
      <c r="W23" s="139" t="s">
        <v>2806</v>
      </c>
      <c r="X23" s="136" t="n">
        <f aca="false" ca="false" dt2D="false" dtr="false" t="normal">MID(J17, 7, 1)</f>
        <v>0</v>
      </c>
      <c r="Y23" s="137" t="n">
        <f aca="false" ca="false" dt2D="false" dtr="false" t="normal">X23</f>
        <v>0</v>
      </c>
      <c r="Z23" s="120" t="s">
        <v>206</v>
      </c>
      <c r="AA23" s="7193" t="s"/>
      <c r="AB23" s="136" t="n">
        <f aca="false" ca="false" dt2D="false" dtr="false" t="normal">MID(K17, 7, 1)</f>
        <v>0</v>
      </c>
      <c r="AC23" s="137" t="n">
        <f aca="false" ca="false" dt2D="false" dtr="false" t="normal">AB23</f>
        <v>0</v>
      </c>
      <c r="AD23" s="120" t="s">
        <v>206</v>
      </c>
      <c r="AE23" s="7194" t="s"/>
      <c r="AF23" s="136" t="n">
        <f aca="false" ca="false" dt2D="false" dtr="false" t="normal">MID(L17, 7, 1)</f>
        <v>0</v>
      </c>
      <c r="AG23" s="137" t="n">
        <f aca="false" ca="false" dt2D="false" dtr="false" t="normal">AF23</f>
        <v>0</v>
      </c>
      <c r="AH23" s="120" t="s">
        <v>206</v>
      </c>
      <c r="AI23" s="7117" t="s">
        <v>2807</v>
      </c>
      <c r="AJ23" s="7195" t="s"/>
      <c r="AK23" s="7196" t="s"/>
    </row>
    <row hidden="false" ht="15.75" outlineLevel="0" r="24">
      <c r="C24" s="180" t="s">
        <v>194</v>
      </c>
      <c r="D24" s="181" t="n">
        <f aca="false" ca="false" dt2D="false" dtr="false" t="normal">D19</f>
        <v>7</v>
      </c>
      <c r="E24" s="181" t="n">
        <f aca="false" ca="false" dt2D="false" dtr="false" t="normal">E19</f>
        <v>31</v>
      </c>
      <c r="F24" s="181" t="str">
        <f aca="false" ca="false" dt2D="false" dtr="false" t="normal">F19</f>
        <v>G1</v>
      </c>
      <c r="G24" s="181"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7197" t="s"/>
      <c r="T24" s="182" t="n">
        <f aca="false" ca="false" dt2D="false" dtr="false" t="normal">MID(I17, 8, 1)</f>
        <v>0</v>
      </c>
      <c r="U24" s="183" t="n">
        <f aca="false" ca="false" dt2D="false" dtr="false" t="normal">T24</f>
        <v>0</v>
      </c>
      <c r="V24" s="184" t="s">
        <v>208</v>
      </c>
      <c r="W24" s="185" t="s">
        <v>196</v>
      </c>
      <c r="X24" s="182" t="n">
        <f aca="false" ca="false" dt2D="false" dtr="false" t="normal">MID(J17, 8, 1)</f>
        <v>0</v>
      </c>
      <c r="Y24" s="183" t="n">
        <f aca="false" ca="false" dt2D="false" dtr="false" t="normal">X24</f>
        <v>0</v>
      </c>
      <c r="Z24" s="184" t="s">
        <v>208</v>
      </c>
      <c r="AA24" s="7198" t="s"/>
      <c r="AB24" s="182" t="n">
        <f aca="false" ca="false" dt2D="false" dtr="false" t="normal">MID(K17, 8, 1)</f>
        <v>0</v>
      </c>
      <c r="AC24" s="183" t="n">
        <f aca="false" ca="false" dt2D="false" dtr="false" t="normal">AB24</f>
        <v>0</v>
      </c>
      <c r="AD24" s="184" t="s">
        <v>208</v>
      </c>
      <c r="AE24" s="7199" t="s"/>
      <c r="AF24" s="182" t="n">
        <f aca="false" ca="false" dt2D="false" dtr="false" t="normal">MID(L17, 8, 1)</f>
        <v>0</v>
      </c>
      <c r="AG24" s="183" t="n">
        <f aca="false" ca="false" dt2D="false" dtr="false" t="normal">AF24</f>
        <v>0</v>
      </c>
      <c r="AH24" s="184" t="s">
        <v>208</v>
      </c>
      <c r="AI24" s="187" t="s">
        <v>2808</v>
      </c>
      <c r="AJ24" s="7200" t="s"/>
      <c r="AK24" s="7201" t="s"/>
    </row>
    <row hidden="false" ht="15.75" outlineLevel="0" r="25">
      <c r="C25" s="93" t="n"/>
      <c r="D25" s="94" t="n"/>
      <c r="E25" s="94" t="n"/>
      <c r="F25" s="94" t="n"/>
      <c r="G25" s="94" t="n"/>
      <c r="H25" s="94" t="n"/>
      <c r="I25" s="94" t="n"/>
      <c r="J25" s="94" t="n"/>
      <c r="K25" s="94" t="s">
        <v>161</v>
      </c>
      <c r="N25" s="60" t="n"/>
      <c r="P25" s="95" t="str">
        <f aca="false" ca="false" dt2D="false" dtr="false" t="normal">RIGHT(D27, 1)&amp;E27&amp;"-"&amp;F27&amp;"-"&amp;G27</f>
        <v>731-01-03</v>
      </c>
      <c r="Q25" s="7202" t="s"/>
      <c r="R25" s="97" t="s">
        <v>2809</v>
      </c>
      <c r="S25" s="97" t="s"/>
      <c r="T25" s="97" t="s"/>
      <c r="U25" s="97" t="s"/>
      <c r="V25" s="97" t="s"/>
      <c r="W25" s="97" t="s"/>
      <c r="X25" s="97" t="s"/>
      <c r="Y25" s="97" t="s"/>
      <c r="Z25" s="97" t="s"/>
      <c r="AA25" s="97" t="s"/>
      <c r="AB25" s="97" t="s"/>
      <c r="AC25" s="97" t="s"/>
      <c r="AD25" s="97" t="s"/>
      <c r="AE25" s="97" t="s"/>
      <c r="AF25" s="97" t="s"/>
      <c r="AG25" s="97" t="s"/>
      <c r="AH25" s="97" t="s"/>
      <c r="AI25" s="97" t="s"/>
      <c r="AJ25" s="97" t="s"/>
      <c r="AK25" s="97" t="s"/>
    </row>
    <row hidden="false" ht="15.75" outlineLevel="0" r="26">
      <c r="C26" s="98" t="n"/>
      <c r="D26" s="99" t="s">
        <v>2810</v>
      </c>
      <c r="E26" s="7203" t="s"/>
      <c r="F26" s="7204" t="s"/>
      <c r="G26" s="7205" t="s"/>
      <c r="H26" s="53" t="s">
        <v>165</v>
      </c>
      <c r="I26" s="53" t="s">
        <v>166</v>
      </c>
      <c r="J26" s="53" t="s">
        <v>167</v>
      </c>
      <c r="K26" s="53" t="s">
        <v>168</v>
      </c>
      <c r="N26" s="63" t="n"/>
      <c r="P26" s="103" t="s">
        <v>2811</v>
      </c>
      <c r="Q26" s="7206" t="s"/>
      <c r="R26" s="7207" t="s"/>
      <c r="S26" s="7208" t="s"/>
      <c r="T26" s="103" t="s">
        <v>2812</v>
      </c>
      <c r="U26" s="7209" t="s"/>
      <c r="V26" s="7210" t="s"/>
      <c r="W26" s="7211" t="s"/>
      <c r="X26" s="103" t="s">
        <v>2813</v>
      </c>
      <c r="Y26" s="7212" t="s"/>
      <c r="Z26" s="7213" t="s"/>
      <c r="AA26" s="7214" t="s"/>
      <c r="AB26" s="116" t="s">
        <v>2814</v>
      </c>
      <c r="AC26" s="7215" t="s"/>
      <c r="AD26" s="7216" t="s"/>
      <c r="AE26" s="7217" t="s"/>
      <c r="AF26" s="120" t="n"/>
      <c r="AG26" s="121" t="n"/>
      <c r="AH26" s="121" t="n"/>
      <c r="AI26" s="121" t="n"/>
      <c r="AJ26" s="121" t="n"/>
      <c r="AK26" s="121" t="n"/>
    </row>
    <row hidden="false" ht="15.75" outlineLevel="0" r="27">
      <c r="C27" s="98" t="s">
        <v>176</v>
      </c>
      <c r="D27" s="122" t="s">
        <v>177</v>
      </c>
      <c r="E27" s="123" t="s">
        <v>834</v>
      </c>
      <c r="F27" s="123" t="s">
        <v>179</v>
      </c>
      <c r="G27" s="124" t="s">
        <v>307</v>
      </c>
      <c r="H27" s="125" t="n">
        <f aca="false" ca="false" dt2D="false" dtr="false" t="normal">MID($A$6, 8, 2)</f>
        <v>0</v>
      </c>
      <c r="I27" s="126" t="n">
        <f aca="false" ca="false" dt2D="false" dtr="false" t="normal">MID($A$6, 10, 2)</f>
        <v>0</v>
      </c>
      <c r="J27" s="127" t="n">
        <f aca="false" ca="false" dt2D="false" dtr="false" t="normal">MID($A$6, 12, 2)</f>
        <v>0</v>
      </c>
      <c r="K27" s="128" t="str">
        <f aca="false" ca="false" dt2D="false" dtr="false" t="normal">MID($A$6, 14, 2)</f>
        <v>3C</v>
      </c>
      <c r="N27" s="63" t="s">
        <v>180</v>
      </c>
      <c r="P27" s="129" t="s">
        <v>180</v>
      </c>
      <c r="Q27" s="130" t="s">
        <v>181</v>
      </c>
      <c r="R27" s="121" t="s">
        <v>182</v>
      </c>
      <c r="S27" s="729" t="s">
        <v>2815</v>
      </c>
      <c r="T27" s="129" t="s">
        <v>180</v>
      </c>
      <c r="U27" s="130" t="s">
        <v>181</v>
      </c>
      <c r="V27" s="121" t="s">
        <v>182</v>
      </c>
      <c r="W27" s="131" t="n"/>
      <c r="X27" s="129" t="s">
        <v>180</v>
      </c>
      <c r="Y27" s="130" t="s">
        <v>181</v>
      </c>
      <c r="Z27" s="121" t="s">
        <v>182</v>
      </c>
      <c r="AA27" s="131" t="n"/>
      <c r="AB27" s="116" t="n"/>
      <c r="AC27" s="7218" t="s"/>
      <c r="AD27" s="7219" t="s"/>
      <c r="AE27" s="7220" t="s"/>
      <c r="AF27" s="121" t="n"/>
      <c r="AG27" s="121" t="n"/>
      <c r="AH27" s="121" t="n"/>
      <c r="AI27" s="121" t="n"/>
      <c r="AJ27" s="121" t="n"/>
      <c r="AK27" s="121" t="n"/>
    </row>
    <row hidden="false" ht="15" outlineLevel="0" r="28">
      <c r="C28" s="98" t="s">
        <v>185</v>
      </c>
      <c r="D28" s="53" t="n">
        <f aca="false" ca="false" dt2D="false" dtr="false" t="normal">HEX2BIN(D27, 8)</f>
        <v>111</v>
      </c>
      <c r="E28" s="53" t="n">
        <f aca="false" ca="false" dt2D="false" dtr="false" t="normal">HEX2BIN(E27, 8)</f>
        <v>110001</v>
      </c>
      <c r="F28" s="53" t="n">
        <f aca="false" ca="false" dt2D="false" dtr="false" t="normal">HEX2BIN(F27, 8)</f>
        <v>1</v>
      </c>
      <c r="G28" s="53"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c r="N28" s="63" t="n"/>
      <c r="P28" s="136" t="n">
        <f aca="false" ca="false" dt2D="false" dtr="false" t="normal">MID(H28, 1, 1)</f>
        <v>0</v>
      </c>
      <c r="Q28" s="137" t="n">
        <f aca="false" ca="false" dt2D="false" dtr="false" t="normal">P28</f>
        <v>0</v>
      </c>
      <c r="R28" s="120" t="s">
        <v>186</v>
      </c>
      <c r="S28" s="139" t="s">
        <v>2816</v>
      </c>
      <c r="T28" s="136" t="n">
        <f aca="false" ca="false" dt2D="false" dtr="false" t="normal">MID(I28, 1, 1)</f>
        <v>0</v>
      </c>
      <c r="U28" s="137" t="n">
        <f aca="false" ca="false" dt2D="false" dtr="false" t="normal">T28</f>
        <v>0</v>
      </c>
      <c r="V28" s="120" t="s">
        <v>186</v>
      </c>
      <c r="W28" s="139" t="s">
        <v>2817</v>
      </c>
      <c r="X28" s="136" t="n">
        <f aca="false" ca="false" dt2D="false" dtr="false" t="normal">MID(J28, 1, 1)</f>
        <v>0</v>
      </c>
      <c r="Y28" s="137" t="n">
        <f aca="false" ca="false" dt2D="false" dtr="false" t="normal">X28</f>
        <v>0</v>
      </c>
      <c r="Z28" s="120" t="s">
        <v>186</v>
      </c>
      <c r="AA28" s="7117" t="s">
        <v>2818</v>
      </c>
      <c r="AB28" s="7221" t="s"/>
      <c r="AC28" s="142" t="s"/>
      <c r="AD28" s="142" t="s"/>
      <c r="AE28" s="7222" t="s"/>
      <c r="AF28" s="121" t="n"/>
      <c r="AG28" s="121" t="n"/>
      <c r="AH28" s="121" t="n"/>
      <c r="AI28" s="121" t="n"/>
      <c r="AJ28" s="121" t="n"/>
      <c r="AK28" s="121" t="n"/>
    </row>
    <row hidden="false" ht="15" outlineLevel="0" r="29">
      <c r="C29" s="98" t="s">
        <v>191</v>
      </c>
      <c r="D29" s="53" t="n">
        <f aca="false" ca="false" dt2D="false" dtr="false" t="normal">HEX2DEC(D27)</f>
        <v>7</v>
      </c>
      <c r="E29" s="53" t="n">
        <f aca="false" ca="false" dt2D="false" dtr="false" t="normal">HEX2DEC(E27)</f>
        <v>49</v>
      </c>
      <c r="F29" s="53" t="n">
        <f aca="false" ca="false" dt2D="false" dtr="false" t="normal">HEX2DEC(F27)</f>
        <v>1</v>
      </c>
      <c r="G29" s="53"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SUM(D29:J29)</f>
        <v>60</v>
      </c>
      <c r="N29" s="63" t="n"/>
      <c r="P29" s="136" t="n">
        <f aca="false" ca="false" dt2D="false" dtr="false" t="normal">MID(H28, 2, 1)</f>
        <v>0</v>
      </c>
      <c r="Q29" s="137" t="n">
        <f aca="false" ca="false" dt2D="false" dtr="false" t="normal">P29</f>
        <v>0</v>
      </c>
      <c r="R29" s="120" t="s">
        <v>192</v>
      </c>
      <c r="S29" s="1193" t="s">
        <v>2819</v>
      </c>
      <c r="T29" s="136" t="n">
        <f aca="false" ca="false" dt2D="false" dtr="false" t="normal">MID(I28, 2, 1)</f>
        <v>0</v>
      </c>
      <c r="U29" s="137" t="n">
        <f aca="false" ca="false" dt2D="false" dtr="false" t="normal">T29</f>
        <v>0</v>
      </c>
      <c r="V29" s="120" t="s">
        <v>192</v>
      </c>
      <c r="W29" s="139" t="s">
        <v>2820</v>
      </c>
      <c r="X29" s="136" t="n">
        <f aca="false" ca="false" dt2D="false" dtr="false" t="normal">MID(J28, 2, 1)</f>
        <v>0</v>
      </c>
      <c r="Y29" s="137" t="n">
        <f aca="false" ca="false" dt2D="false" dtr="false" t="normal">X29</f>
        <v>0</v>
      </c>
      <c r="Z29" s="120" t="s">
        <v>192</v>
      </c>
      <c r="AA29" s="7117" t="s">
        <v>2821</v>
      </c>
      <c r="AB29" s="7223" t="s"/>
      <c r="AC29" s="142" t="s"/>
      <c r="AD29" s="142" t="s"/>
      <c r="AE29" s="7224" t="s"/>
      <c r="AF29" s="121" t="n"/>
      <c r="AG29" s="121" t="n"/>
      <c r="AH29" s="121" t="n"/>
      <c r="AI29" s="121" t="n"/>
      <c r="AJ29" s="121" t="n"/>
      <c r="AK29" s="121" t="n"/>
    </row>
    <row hidden="false" ht="15" outlineLevel="0" r="30">
      <c r="C30" s="98" t="s">
        <v>194</v>
      </c>
      <c r="D30" s="149" t="n">
        <f aca="false" ca="false" dt2D="false" dtr="false" t="normal">D27</f>
        <v>7</v>
      </c>
      <c r="E30" s="149" t="n">
        <f aca="false" ca="false" dt2D="false" dtr="false" t="normal">E27</f>
        <v>31</v>
      </c>
      <c r="F30" s="53" t="str">
        <f aca="false" ca="false" dt2D="false" dtr="false" t="normal">MID($A$6, 4, 2)</f>
        <v>G1</v>
      </c>
      <c r="G30" s="53" t="str">
        <f aca="false" ca="false" dt2D="false" dtr="false" t="normal">MID($A$6, 6, 2)</f>
        <v>G3</v>
      </c>
      <c r="N30" s="63" t="n"/>
      <c r="P30" s="136" t="n">
        <f aca="false" ca="false" dt2D="false" dtr="false" t="normal">MID(H28, 3, 1)</f>
        <v>0</v>
      </c>
      <c r="Q30" s="137" t="n">
        <f aca="false" ca="false" dt2D="false" dtr="false" t="normal">P30</f>
        <v>0</v>
      </c>
      <c r="R30" s="120" t="s">
        <v>195</v>
      </c>
      <c r="S30" s="139" t="s">
        <v>2822</v>
      </c>
      <c r="T30" s="136" t="n">
        <f aca="false" ca="false" dt2D="false" dtr="false" t="normal">MID(I28, 3, 1)</f>
        <v>0</v>
      </c>
      <c r="U30" s="137" t="n">
        <f aca="false" ca="false" dt2D="false" dtr="false" t="normal">T30</f>
        <v>0</v>
      </c>
      <c r="V30" s="120" t="s">
        <v>195</v>
      </c>
      <c r="W30" s="139" t="s">
        <v>2823</v>
      </c>
      <c r="X30" s="136" t="n">
        <f aca="false" ca="false" dt2D="false" dtr="false" t="normal">MID(J28, 3, 1)</f>
        <v>0</v>
      </c>
      <c r="Y30" s="137" t="n">
        <f aca="false" ca="false" dt2D="false" dtr="false" t="normal">X30</f>
        <v>0</v>
      </c>
      <c r="Z30" s="120" t="s">
        <v>195</v>
      </c>
      <c r="AA30" s="7117" t="s">
        <v>2824</v>
      </c>
      <c r="AB30" s="7225" t="s"/>
      <c r="AC30" s="142" t="s"/>
      <c r="AD30" s="142" t="s"/>
      <c r="AE30" s="7226" t="s"/>
      <c r="AF30" s="121" t="n"/>
      <c r="AG30" s="121" t="n"/>
      <c r="AH30" s="121" t="n"/>
      <c r="AI30" s="121" t="n"/>
      <c r="AJ30" s="121" t="n"/>
      <c r="AK30" s="121" t="n"/>
    </row>
    <row hidden="false" ht="15.75" outlineLevel="0" r="31">
      <c r="C31" s="98" t="n"/>
      <c r="N31" s="63" t="n"/>
      <c r="P31" s="136" t="n">
        <f aca="false" ca="false" dt2D="false" dtr="false" t="normal">MID(H28, 4, 1)</f>
        <v>0</v>
      </c>
      <c r="Q31" s="137" t="n">
        <f aca="false" ca="false" dt2D="false" dtr="false" t="normal">P31</f>
        <v>0</v>
      </c>
      <c r="R31" s="120" t="s">
        <v>197</v>
      </c>
      <c r="S31" s="3454" t="s">
        <v>2825</v>
      </c>
      <c r="T31" s="136" t="n">
        <f aca="false" ca="false" dt2D="false" dtr="false" t="normal">MID(I28, 4, 1)</f>
        <v>0</v>
      </c>
      <c r="U31" s="137" t="n">
        <f aca="false" ca="false" dt2D="false" dtr="false" t="normal">T31</f>
        <v>0</v>
      </c>
      <c r="V31" s="120" t="s">
        <v>197</v>
      </c>
      <c r="W31" s="139" t="s">
        <v>2826</v>
      </c>
      <c r="X31" s="136" t="n">
        <f aca="false" ca="false" dt2D="false" dtr="false" t="normal">MID(J28, 4, 1)</f>
        <v>0</v>
      </c>
      <c r="Y31" s="137" t="n">
        <f aca="false" ca="false" dt2D="false" dtr="false" t="normal">X31</f>
        <v>0</v>
      </c>
      <c r="Z31" s="120" t="s">
        <v>197</v>
      </c>
      <c r="AA31" s="7117" t="s">
        <v>2326</v>
      </c>
      <c r="AB31" s="7227" t="s"/>
      <c r="AC31" s="142" t="s"/>
      <c r="AD31" s="142" t="s"/>
      <c r="AE31" s="7228" t="s"/>
      <c r="AF31" s="121" t="n"/>
      <c r="AG31" s="121" t="n"/>
      <c r="AH31" s="121" t="n"/>
      <c r="AI31" s="121" t="n"/>
      <c r="AJ31" s="121" t="n"/>
      <c r="AK31" s="121" t="n"/>
    </row>
    <row hidden="false" ht="15.75" outlineLevel="0" r="32">
      <c r="C32" s="98" t="s">
        <v>176</v>
      </c>
      <c r="D32" s="159" t="n">
        <f aca="false" ca="false" dt2D="false" dtr="false" t="normal">D27</f>
        <v>7</v>
      </c>
      <c r="E32" s="160" t="n">
        <f aca="false" ca="false" dt2D="false" dtr="false" t="normal">E27</f>
        <v>31</v>
      </c>
      <c r="F32" s="160" t="n">
        <f aca="false" ca="false" dt2D="false" dtr="false" t="normal">F27</f>
        <v>1</v>
      </c>
      <c r="G32" s="161"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7229" t="str">
        <f aca="false" ca="false" dt2D="false" dtr="false" t="normal">IF(LEN(K33)&gt;2, MID(K33, 2, 2), K33)</f>
        <v>3C</v>
      </c>
      <c r="N32" s="63" t="s">
        <v>181</v>
      </c>
      <c r="P32" s="136" t="n">
        <f aca="false" ca="false" dt2D="false" dtr="false" t="normal">MID(H28, 5, 1)</f>
        <v>0</v>
      </c>
      <c r="Q32" s="137" t="n">
        <f aca="false" ca="false" dt2D="false" dtr="false" t="normal">P32</f>
        <v>0</v>
      </c>
      <c r="R32" s="120" t="s">
        <v>200</v>
      </c>
      <c r="S32" s="139" t="s">
        <v>2827</v>
      </c>
      <c r="T32" s="136" t="n">
        <f aca="false" ca="false" dt2D="false" dtr="false" t="normal">MID(I28, 5, 1)</f>
        <v>0</v>
      </c>
      <c r="U32" s="137" t="n">
        <f aca="false" ca="false" dt2D="false" dtr="false" t="normal">T32</f>
        <v>0</v>
      </c>
      <c r="V32" s="120" t="s">
        <v>200</v>
      </c>
      <c r="W32" s="139" t="s">
        <v>2828</v>
      </c>
      <c r="X32" s="136" t="n">
        <f aca="false" ca="false" dt2D="false" dtr="false" t="normal">MID(J28, 5, 1)</f>
        <v>0</v>
      </c>
      <c r="Y32" s="137" t="n">
        <f aca="false" ca="false" dt2D="false" dtr="false" t="normal">X32</f>
        <v>0</v>
      </c>
      <c r="Z32" s="120" t="s">
        <v>200</v>
      </c>
      <c r="AA32" s="7117" t="s">
        <v>2829</v>
      </c>
      <c r="AB32" s="7230" t="s"/>
      <c r="AC32" s="142" t="s"/>
      <c r="AD32" s="142" t="s"/>
      <c r="AE32" s="7231" t="s"/>
      <c r="AF32" s="121" t="n"/>
      <c r="AG32" s="121" t="n"/>
      <c r="AH32" s="121" t="n"/>
      <c r="AI32" s="121" t="n"/>
      <c r="AJ32" s="121" t="n"/>
      <c r="AK32" s="121" t="n"/>
    </row>
    <row hidden="false" ht="15" outlineLevel="0" r="33">
      <c r="C33" s="98" t="s">
        <v>185</v>
      </c>
      <c r="D33" s="53" t="n">
        <f aca="false" ca="false" dt2D="false" dtr="false" t="normal">HEX2BIN(D32, 8)</f>
        <v>111</v>
      </c>
      <c r="E33" s="53" t="n">
        <f aca="false" ca="false" dt2D="false" dtr="false" t="normal">HEX2BIN(E32, 8)</f>
        <v>110001</v>
      </c>
      <c r="F33" s="53" t="n">
        <f aca="false" ca="false" dt2D="false" dtr="false" t="normal">HEX2BIN(F32, 8)</f>
        <v>1</v>
      </c>
      <c r="G33" s="53" t="n">
        <f aca="false" ca="false" dt2D="false" dtr="false" t="normal">HEX2BIN(G32, 8)</f>
        <v>11</v>
      </c>
      <c r="H33" s="171" t="n">
        <f aca="false" ca="false" dt2D="false" dtr="false" t="normal">Q28&amp;Q29&amp;Q30&amp;Q31&amp;Q32&amp;Q33&amp;Q34&amp;Q35</f>
        <v>0</v>
      </c>
      <c r="I33" s="53" t="n">
        <f aca="false" ca="false" dt2D="false" dtr="false" t="normal">U28&amp;U29&amp;U30&amp;U31&amp;U32&amp;U33&amp;U34&amp;U35</f>
        <v>0</v>
      </c>
      <c r="J33" s="171" t="n">
        <f aca="false" ca="false" dt2D="false" dtr="false" t="normal">Y28&amp;Y29&amp;Y30&amp;Y31&amp;Y32&amp;Y33&amp;Y34&amp;Y35</f>
        <v>0</v>
      </c>
      <c r="K33" s="53" t="str">
        <f aca="false" ca="false" dt2D="false" dtr="false" t="normal">DEC2HEX(K34)</f>
        <v>3C</v>
      </c>
      <c r="N33" s="63" t="n"/>
      <c r="P33" s="136" t="n">
        <f aca="false" ca="false" dt2D="false" dtr="false" t="normal">MID(H28, 6, 1)</f>
        <v>0</v>
      </c>
      <c r="Q33" s="137" t="n">
        <f aca="false" ca="false" dt2D="false" dtr="false" t="normal">P33</f>
        <v>0</v>
      </c>
      <c r="R33" s="120" t="s">
        <v>203</v>
      </c>
      <c r="S33" s="3454" t="s">
        <v>2825</v>
      </c>
      <c r="T33" s="136" t="n">
        <f aca="false" ca="false" dt2D="false" dtr="false" t="normal">MID(I28, 6, 1)</f>
        <v>0</v>
      </c>
      <c r="U33" s="137" t="n">
        <f aca="false" ca="false" dt2D="false" dtr="false" t="normal">T33</f>
        <v>0</v>
      </c>
      <c r="V33" s="120" t="s">
        <v>203</v>
      </c>
      <c r="W33" s="131" t="s">
        <v>196</v>
      </c>
      <c r="X33" s="136" t="n">
        <f aca="false" ca="false" dt2D="false" dtr="false" t="normal">MID(J28, 6, 1)</f>
        <v>0</v>
      </c>
      <c r="Y33" s="137" t="n">
        <f aca="false" ca="false" dt2D="false" dtr="false" t="normal">X33</f>
        <v>0</v>
      </c>
      <c r="Z33" s="120" t="s">
        <v>203</v>
      </c>
      <c r="AA33" s="7117" t="s">
        <v>2830</v>
      </c>
      <c r="AB33" s="7232" t="s"/>
      <c r="AC33" s="142" t="s"/>
      <c r="AD33" s="142" t="s"/>
      <c r="AE33" s="7233" t="s"/>
      <c r="AF33" s="121" t="n"/>
      <c r="AG33" s="121" t="n"/>
      <c r="AH33" s="121" t="n"/>
      <c r="AI33" s="121" t="n"/>
      <c r="AJ33" s="121" t="n"/>
      <c r="AK33" s="121" t="n"/>
    </row>
    <row hidden="false" ht="15" outlineLevel="0" r="34">
      <c r="C34" s="98" t="s">
        <v>191</v>
      </c>
      <c r="D34" s="53" t="n">
        <f aca="false" ca="false" dt2D="false" dtr="false" t="normal">HEX2DEC(D32)</f>
        <v>7</v>
      </c>
      <c r="E34" s="53" t="n">
        <f aca="false" ca="false" dt2D="false" dtr="false" t="normal">HEX2DEC(E32)</f>
        <v>49</v>
      </c>
      <c r="F34" s="53" t="n">
        <f aca="false" ca="false" dt2D="false" dtr="false" t="normal">HEX2DEC(F32)</f>
        <v>1</v>
      </c>
      <c r="G34" s="53"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SUM(D34:J34)</f>
        <v>60</v>
      </c>
      <c r="N34" s="63" t="n"/>
      <c r="P34" s="136" t="n">
        <f aca="false" ca="false" dt2D="false" dtr="false" t="normal">MID(H28, 7, 1)</f>
        <v>0</v>
      </c>
      <c r="Q34" s="137" t="n">
        <f aca="false" ca="false" dt2D="false" dtr="false" t="normal">P34</f>
        <v>0</v>
      </c>
      <c r="R34" s="120" t="s">
        <v>206</v>
      </c>
      <c r="S34" s="1193" t="s">
        <v>2831</v>
      </c>
      <c r="T34" s="136" t="n">
        <f aca="false" ca="false" dt2D="false" dtr="false" t="normal">MID(I28, 7, 1)</f>
        <v>0</v>
      </c>
      <c r="U34" s="137" t="n">
        <f aca="false" ca="false" dt2D="false" dtr="false" t="normal">T34</f>
        <v>0</v>
      </c>
      <c r="V34" s="120" t="s">
        <v>206</v>
      </c>
      <c r="W34" s="139" t="s">
        <v>2832</v>
      </c>
      <c r="X34" s="136" t="n">
        <f aca="false" ca="false" dt2D="false" dtr="false" t="normal">MID(J28, 7, 1)</f>
        <v>0</v>
      </c>
      <c r="Y34" s="137" t="n">
        <f aca="false" ca="false" dt2D="false" dtr="false" t="normal">X34</f>
        <v>0</v>
      </c>
      <c r="Z34" s="120" t="s">
        <v>206</v>
      </c>
      <c r="AA34" s="7117" t="s">
        <v>2833</v>
      </c>
      <c r="AB34" s="7234" t="s"/>
      <c r="AC34" s="142" t="s"/>
      <c r="AD34" s="142" t="s"/>
      <c r="AE34" s="7235" t="s"/>
      <c r="AF34" s="121" t="n"/>
      <c r="AG34" s="121" t="n"/>
      <c r="AH34" s="121" t="n"/>
      <c r="AI34" s="121" t="n"/>
      <c r="AJ34" s="121" t="n"/>
      <c r="AK34" s="121" t="n"/>
    </row>
    <row hidden="false" ht="15.75" outlineLevel="0" r="35">
      <c r="C35" s="180" t="s">
        <v>194</v>
      </c>
      <c r="D35" s="181" t="n">
        <f aca="false" ca="false" dt2D="false" dtr="false" t="normal">D30</f>
        <v>7</v>
      </c>
      <c r="E35" s="181" t="n">
        <f aca="false" ca="false" dt2D="false" dtr="false" t="normal">E30</f>
        <v>31</v>
      </c>
      <c r="F35" s="181" t="str">
        <f aca="false" ca="false" dt2D="false" dtr="false" t="normal">F30</f>
        <v>G1</v>
      </c>
      <c r="G35" s="181"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87" t="s">
        <v>2834</v>
      </c>
      <c r="T35" s="182" t="n">
        <f aca="false" ca="false" dt2D="false" dtr="false" t="normal">MID(I28, 8, 1)</f>
        <v>0</v>
      </c>
      <c r="U35" s="183" t="n">
        <f aca="false" ca="false" dt2D="false" dtr="false" t="normal">T35</f>
        <v>0</v>
      </c>
      <c r="V35" s="184" t="s">
        <v>208</v>
      </c>
      <c r="W35" s="1220" t="s">
        <v>2835</v>
      </c>
      <c r="X35" s="182" t="n">
        <f aca="false" ca="false" dt2D="false" dtr="false" t="normal">MID(J28, 8, 1)</f>
        <v>0</v>
      </c>
      <c r="Y35" s="183" t="n">
        <f aca="false" ca="false" dt2D="false" dtr="false" t="normal">X35</f>
        <v>0</v>
      </c>
      <c r="Z35" s="184" t="s">
        <v>208</v>
      </c>
      <c r="AA35" s="187" t="s">
        <v>2836</v>
      </c>
      <c r="AB35" s="7236" t="s"/>
      <c r="AC35" s="7237" t="s"/>
      <c r="AD35" s="7238" t="s"/>
      <c r="AE35" s="7239" t="s"/>
      <c r="AF35" s="121" t="n"/>
      <c r="AG35" s="121" t="n"/>
      <c r="AH35" s="121" t="n"/>
      <c r="AI35" s="121" t="n"/>
      <c r="AJ35" s="121" t="n"/>
      <c r="AK35" s="121" t="n"/>
    </row>
    <row hidden="false" ht="15.75" outlineLevel="0" r="36">
      <c r="C36" s="93" t="n"/>
      <c r="D36" s="94" t="n"/>
      <c r="E36" s="94" t="n"/>
      <c r="F36" s="94" t="n"/>
      <c r="G36" s="94" t="n"/>
      <c r="H36" s="94" t="n"/>
      <c r="I36" s="94" t="n"/>
      <c r="J36" s="94" t="n"/>
      <c r="K36" s="94" t="s">
        <v>161</v>
      </c>
      <c r="N36" s="60" t="n"/>
      <c r="P36" s="95" t="str">
        <f aca="false" ca="false" dt2D="false" dtr="false" t="normal">RIGHT(D38, 1)&amp;E38&amp;"-"&amp;F38&amp;"-"&amp;G38</f>
        <v>731-02-01</v>
      </c>
      <c r="Q36" s="7240" t="s"/>
      <c r="R36" s="97" t="s">
        <v>2837</v>
      </c>
      <c r="S36" s="97" t="s"/>
      <c r="T36" s="97" t="s"/>
      <c r="U36" s="97" t="s"/>
      <c r="V36" s="97" t="s"/>
      <c r="W36" s="97" t="s"/>
      <c r="X36" s="97" t="s"/>
      <c r="Y36" s="97" t="s"/>
      <c r="Z36" s="97" t="s"/>
      <c r="AA36" s="97" t="s"/>
      <c r="AB36" s="97" t="s"/>
      <c r="AC36" s="97" t="s"/>
      <c r="AD36" s="97" t="s"/>
      <c r="AE36" s="97" t="s"/>
      <c r="AF36" s="97" t="s"/>
      <c r="AG36" s="97" t="s"/>
      <c r="AH36" s="97" t="s"/>
      <c r="AI36" s="97" t="s"/>
      <c r="AJ36" s="97" t="s"/>
      <c r="AK36" s="97" t="s"/>
    </row>
    <row hidden="false" ht="15.75" outlineLevel="0" r="37">
      <c r="C37" s="98" t="n"/>
      <c r="D37" s="99" t="s">
        <v>2838</v>
      </c>
      <c r="E37" s="7241" t="s"/>
      <c r="F37" s="7242" t="s"/>
      <c r="G37" s="7243" t="s"/>
      <c r="H37" s="53" t="s">
        <v>165</v>
      </c>
      <c r="I37" s="53" t="s">
        <v>166</v>
      </c>
      <c r="J37" s="53" t="s">
        <v>167</v>
      </c>
      <c r="K37" s="53" t="s">
        <v>168</v>
      </c>
      <c r="N37" s="63" t="n"/>
      <c r="P37" s="103" t="s">
        <v>2839</v>
      </c>
      <c r="Q37" s="7244" t="s"/>
      <c r="R37" s="7245" t="s"/>
      <c r="S37" s="7246" t="s"/>
      <c r="T37" s="103" t="s">
        <v>2840</v>
      </c>
      <c r="U37" s="7247" t="s"/>
      <c r="V37" s="7248" t="s"/>
      <c r="W37" s="7249" t="s"/>
      <c r="X37" s="103" t="s">
        <v>2841</v>
      </c>
      <c r="Y37" s="7250" t="s"/>
      <c r="Z37" s="7251" t="s"/>
      <c r="AA37" s="7252" t="s"/>
      <c r="AB37" s="116" t="s">
        <v>2842</v>
      </c>
      <c r="AC37" s="7253" t="s"/>
      <c r="AD37" s="7254" t="s"/>
      <c r="AE37" s="7255" t="s"/>
      <c r="AF37" s="120" t="n"/>
      <c r="AG37" s="121" t="n"/>
      <c r="AH37" s="121" t="n"/>
      <c r="AI37" s="121" t="n"/>
      <c r="AJ37" s="121" t="n"/>
      <c r="AK37" s="121" t="n"/>
    </row>
    <row hidden="false" ht="15.75" outlineLevel="0" r="38">
      <c r="C38" s="98" t="s">
        <v>176</v>
      </c>
      <c r="D38" s="122" t="s">
        <v>177</v>
      </c>
      <c r="E38" s="123" t="s">
        <v>834</v>
      </c>
      <c r="F38" s="123" t="s">
        <v>216</v>
      </c>
      <c r="G38" s="124" t="s">
        <v>179</v>
      </c>
      <c r="H38" s="125" t="n">
        <f aca="false" ca="false" dt2D="false" dtr="false" t="normal">MID($A$8, 8, 2)</f>
        <v>0</v>
      </c>
      <c r="I38" s="126" t="n">
        <f aca="false" ca="false" dt2D="false" dtr="false" t="normal">MID($A$8, 10, 2)</f>
        <v>0</v>
      </c>
      <c r="J38" s="127" t="n">
        <f aca="false" ca="false" dt2D="false" dtr="false" t="normal">MID($A$8, 12, 2)</f>
        <v>0</v>
      </c>
      <c r="K38" s="128" t="str">
        <f aca="false" ca="false" dt2D="false" dtr="false" t="normal">MID($A$8, 14, 2)</f>
        <v>3B</v>
      </c>
      <c r="N38" s="63" t="s">
        <v>180</v>
      </c>
      <c r="P38" s="129" t="s">
        <v>180</v>
      </c>
      <c r="Q38" s="130" t="s">
        <v>181</v>
      </c>
      <c r="R38" s="121" t="s">
        <v>182</v>
      </c>
      <c r="S38" s="729" t="n"/>
      <c r="T38" s="129" t="s">
        <v>180</v>
      </c>
      <c r="U38" s="130" t="s">
        <v>181</v>
      </c>
      <c r="V38" s="121" t="s">
        <v>182</v>
      </c>
      <c r="W38" s="131" t="n"/>
      <c r="X38" s="129" t="s">
        <v>180</v>
      </c>
      <c r="Y38" s="130" t="s">
        <v>181</v>
      </c>
      <c r="Z38" s="121" t="s">
        <v>182</v>
      </c>
      <c r="AA38" s="131" t="n"/>
      <c r="AB38" s="116" t="n"/>
      <c r="AC38" s="7256" t="s"/>
      <c r="AD38" s="7257" t="s"/>
      <c r="AE38" s="7258" t="s"/>
      <c r="AF38" s="121" t="n"/>
      <c r="AG38" s="121" t="n"/>
      <c r="AH38" s="121" t="n"/>
      <c r="AI38" s="121" t="n"/>
      <c r="AJ38" s="121" t="n"/>
      <c r="AK38" s="121" t="n"/>
    </row>
    <row customHeight="true" hidden="false" ht="15" outlineLevel="0" r="39">
      <c r="C39" s="98" t="s">
        <v>185</v>
      </c>
      <c r="D39" s="53" t="n">
        <f aca="false" ca="false" dt2D="false" dtr="false" t="normal">HEX2BIN(D38, 8)</f>
        <v>111</v>
      </c>
      <c r="E39" s="53" t="n">
        <f aca="false" ca="false" dt2D="false" dtr="false" t="normal">HEX2BIN(E38, 8)</f>
        <v>110001</v>
      </c>
      <c r="F39" s="53" t="n">
        <f aca="false" ca="false" dt2D="false" dtr="false" t="normal">HEX2BIN(F38, 8)</f>
        <v>10</v>
      </c>
      <c r="G39" s="53" t="n">
        <f aca="false" ca="false" dt2D="false" dtr="false" t="normal">HEX2BIN(G38, 8)</f>
        <v>1</v>
      </c>
      <c r="H39" s="53" t="n">
        <f aca="false" ca="false" dt2D="false" dtr="false" t="normal">HEX2BIN(H38, 8)</f>
        <v>0</v>
      </c>
      <c r="I39" s="53" t="n">
        <f aca="false" ca="false" dt2D="false" dtr="false" t="normal">HEX2BIN(I38, 8)</f>
        <v>0</v>
      </c>
      <c r="J39" s="53" t="n">
        <f aca="false" ca="false" dt2D="false" dtr="false" t="normal">HEX2BIN(J38, 8)</f>
        <v>0</v>
      </c>
      <c r="K39" s="53" t="n"/>
      <c r="N39" s="63" t="n"/>
      <c r="P39" s="136" t="n">
        <f aca="false" ca="false" dt2D="false" dtr="false" t="normal">MID(H39, 1, 1)</f>
        <v>0</v>
      </c>
      <c r="Q39" s="137" t="n">
        <f aca="false" ca="false" dt2D="false" dtr="false" t="normal">P39</f>
        <v>0</v>
      </c>
      <c r="R39" s="120" t="s">
        <v>186</v>
      </c>
      <c r="S39" s="635" t="s">
        <v>2843</v>
      </c>
      <c r="T39" s="136" t="n">
        <f aca="false" ca="false" dt2D="false" dtr="false" t="normal">MID(I39, 1, 1)</f>
        <v>0</v>
      </c>
      <c r="U39" s="137" t="n">
        <f aca="false" ca="false" dt2D="false" dtr="false" t="normal">T39</f>
        <v>0</v>
      </c>
      <c r="V39" s="120" t="s">
        <v>186</v>
      </c>
      <c r="W39" s="131" t="s">
        <v>196</v>
      </c>
      <c r="X39" s="136" t="n">
        <f aca="false" ca="false" dt2D="false" dtr="false" t="normal">MID(J39, 1, 1)</f>
        <v>0</v>
      </c>
      <c r="Y39" s="137" t="n">
        <f aca="false" ca="false" dt2D="false" dtr="false" t="normal">X39</f>
        <v>0</v>
      </c>
      <c r="Z39" s="120" t="s">
        <v>186</v>
      </c>
      <c r="AA39" s="131" t="s">
        <v>196</v>
      </c>
      <c r="AB39" s="7259" t="s"/>
      <c r="AC39" s="142" t="s"/>
      <c r="AD39" s="142" t="s"/>
      <c r="AE39" s="7260" t="s"/>
      <c r="AF39" s="121" t="n"/>
      <c r="AG39" s="121" t="n"/>
      <c r="AH39" s="121" t="n"/>
      <c r="AI39" s="121" t="n"/>
      <c r="AJ39" s="121" t="n"/>
      <c r="AK39" s="121" t="n"/>
    </row>
    <row hidden="false" ht="15" outlineLevel="0" r="40">
      <c r="C40" s="98" t="s">
        <v>191</v>
      </c>
      <c r="D40" s="53" t="n">
        <f aca="false" ca="false" dt2D="false" dtr="false" t="normal">HEX2DEC(D38)</f>
        <v>7</v>
      </c>
      <c r="E40" s="53" t="n">
        <f aca="false" ca="false" dt2D="false" dtr="false" t="normal">HEX2DEC(E38)</f>
        <v>49</v>
      </c>
      <c r="F40" s="53" t="n">
        <f aca="false" ca="false" dt2D="false" dtr="false" t="normal">HEX2DEC(F38)</f>
        <v>2</v>
      </c>
      <c r="G40" s="53" t="n">
        <f aca="false" ca="false" dt2D="false" dtr="false" t="normal">HEX2DEC(G38)</f>
        <v>1</v>
      </c>
      <c r="H40" s="53" t="n">
        <f aca="false" ca="false" dt2D="false" dtr="false" t="normal">HEX2DEC(H38)</f>
        <v>0</v>
      </c>
      <c r="I40" s="53" t="n">
        <f aca="false" ca="false" dt2D="false" dtr="false" t="normal">HEX2DEC(I38)</f>
        <v>0</v>
      </c>
      <c r="J40" s="53" t="n">
        <f aca="false" ca="false" dt2D="false" dtr="false" t="normal">HEX2DEC(J38)</f>
        <v>0</v>
      </c>
      <c r="K40" s="53" t="n">
        <f aca="false" ca="false" dt2D="false" dtr="false" t="normal">SUM(D40:J40)</f>
        <v>59</v>
      </c>
      <c r="N40" s="63" t="n"/>
      <c r="P40" s="136" t="n">
        <f aca="false" ca="false" dt2D="false" dtr="false" t="normal">MID(H39, 2, 1)</f>
        <v>0</v>
      </c>
      <c r="Q40" s="137" t="n">
        <f aca="false" ca="false" dt2D="false" dtr="false" t="normal">P40</f>
        <v>0</v>
      </c>
      <c r="R40" s="120" t="s">
        <v>192</v>
      </c>
      <c r="S40" s="7261" t="s"/>
      <c r="T40" s="136" t="n">
        <f aca="false" ca="false" dt2D="false" dtr="false" t="normal">MID(I39, 2, 1)</f>
        <v>0</v>
      </c>
      <c r="U40" s="137" t="n">
        <f aca="false" ca="false" dt2D="false" dtr="false" t="normal">T40</f>
        <v>0</v>
      </c>
      <c r="V40" s="120" t="s">
        <v>192</v>
      </c>
      <c r="W40" s="131" t="s">
        <v>196</v>
      </c>
      <c r="X40" s="136" t="n">
        <f aca="false" ca="false" dt2D="false" dtr="false" t="normal">MID(J39, 2, 1)</f>
        <v>0</v>
      </c>
      <c r="Y40" s="137" t="n">
        <f aca="false" ca="false" dt2D="false" dtr="false" t="normal">X40</f>
        <v>0</v>
      </c>
      <c r="Z40" s="120" t="s">
        <v>192</v>
      </c>
      <c r="AA40" s="131" t="s">
        <v>196</v>
      </c>
      <c r="AB40" s="7262" t="s"/>
      <c r="AC40" s="142" t="s"/>
      <c r="AD40" s="142" t="s"/>
      <c r="AE40" s="7263" t="s"/>
      <c r="AF40" s="121" t="n"/>
      <c r="AG40" s="121" t="n"/>
      <c r="AH40" s="121" t="n"/>
      <c r="AI40" s="121" t="n"/>
      <c r="AJ40" s="121" t="n"/>
      <c r="AK40" s="121" t="n"/>
    </row>
    <row hidden="false" ht="15" outlineLevel="0" r="41">
      <c r="C41" s="98" t="s">
        <v>194</v>
      </c>
      <c r="D41" s="149" t="n">
        <f aca="false" ca="false" dt2D="false" dtr="false" t="normal">D38</f>
        <v>7</v>
      </c>
      <c r="E41" s="149" t="n">
        <f aca="false" ca="false" dt2D="false" dtr="false" t="normal">E38</f>
        <v>31</v>
      </c>
      <c r="F41" s="53" t="str">
        <f aca="false" ca="false" dt2D="false" dtr="false" t="normal">MID($A$8, 4, 2)</f>
        <v>G2</v>
      </c>
      <c r="G41" s="53" t="str">
        <f aca="false" ca="false" dt2D="false" dtr="false" t="normal">MID($A$8, 6, 2)</f>
        <v>G1</v>
      </c>
      <c r="N41" s="63" t="n"/>
      <c r="P41" s="136" t="n">
        <f aca="false" ca="false" dt2D="false" dtr="false" t="normal">MID(H39, 3, 1)</f>
        <v>0</v>
      </c>
      <c r="Q41" s="137" t="n">
        <f aca="false" ca="false" dt2D="false" dtr="false" t="normal">P41</f>
        <v>0</v>
      </c>
      <c r="R41" s="120" t="s">
        <v>195</v>
      </c>
      <c r="S41" s="635" t="s">
        <v>2844</v>
      </c>
      <c r="T41" s="136" t="n">
        <f aca="false" ca="false" dt2D="false" dtr="false" t="normal">MID(I39, 3, 1)</f>
        <v>0</v>
      </c>
      <c r="U41" s="137" t="n">
        <f aca="false" ca="false" dt2D="false" dtr="false" t="normal">T41</f>
        <v>0</v>
      </c>
      <c r="V41" s="120" t="s">
        <v>195</v>
      </c>
      <c r="W41" s="131" t="s">
        <v>196</v>
      </c>
      <c r="X41" s="136" t="n">
        <f aca="false" ca="false" dt2D="false" dtr="false" t="normal">MID(J39, 3, 1)</f>
        <v>0</v>
      </c>
      <c r="Y41" s="137" t="n">
        <f aca="false" ca="false" dt2D="false" dtr="false" t="normal">X41</f>
        <v>0</v>
      </c>
      <c r="Z41" s="120" t="s">
        <v>195</v>
      </c>
      <c r="AA41" s="131" t="s">
        <v>196</v>
      </c>
      <c r="AB41" s="7264" t="s"/>
      <c r="AC41" s="142" t="s"/>
      <c r="AD41" s="142" t="s"/>
      <c r="AE41" s="7265" t="s"/>
      <c r="AF41" s="121" t="n"/>
      <c r="AG41" s="121" t="n"/>
      <c r="AH41" s="121" t="n"/>
      <c r="AI41" s="121" t="n"/>
      <c r="AJ41" s="121" t="n"/>
      <c r="AK41" s="121" t="n"/>
    </row>
    <row hidden="false" ht="15.75" outlineLevel="0" r="42">
      <c r="C42" s="98" t="n"/>
      <c r="N42" s="63" t="n"/>
      <c r="P42" s="136" t="n">
        <f aca="false" ca="false" dt2D="false" dtr="false" t="normal">MID(H39, 4, 1)</f>
        <v>0</v>
      </c>
      <c r="Q42" s="137" t="n">
        <f aca="false" ca="false" dt2D="false" dtr="false" t="normal">P42</f>
        <v>0</v>
      </c>
      <c r="R42" s="120" t="s">
        <v>197</v>
      </c>
      <c r="S42" s="7266" t="s"/>
      <c r="T42" s="136" t="n">
        <f aca="false" ca="false" dt2D="false" dtr="false" t="normal">MID(I39, 4, 1)</f>
        <v>0</v>
      </c>
      <c r="U42" s="137" t="n">
        <f aca="false" ca="false" dt2D="false" dtr="false" t="normal">T42</f>
        <v>0</v>
      </c>
      <c r="V42" s="120" t="s">
        <v>197</v>
      </c>
      <c r="W42" s="131" t="s">
        <v>196</v>
      </c>
      <c r="X42" s="136" t="n">
        <f aca="false" ca="false" dt2D="false" dtr="false" t="normal">MID(J39, 4, 1)</f>
        <v>0</v>
      </c>
      <c r="Y42" s="137" t="n">
        <f aca="false" ca="false" dt2D="false" dtr="false" t="normal">X42</f>
        <v>0</v>
      </c>
      <c r="Z42" s="120" t="s">
        <v>197</v>
      </c>
      <c r="AA42" s="131" t="s">
        <v>196</v>
      </c>
      <c r="AB42" s="7267" t="s"/>
      <c r="AC42" s="142" t="s"/>
      <c r="AD42" s="142" t="s"/>
      <c r="AE42" s="7268" t="s"/>
      <c r="AF42" s="121" t="n"/>
      <c r="AG42" s="121" t="n"/>
      <c r="AH42" s="121" t="n"/>
      <c r="AI42" s="121" t="n"/>
      <c r="AJ42" s="121" t="n"/>
      <c r="AK42" s="121" t="n"/>
    </row>
    <row customHeight="true" hidden="false" ht="15.75" outlineLevel="0" r="43">
      <c r="C43" s="98" t="s">
        <v>176</v>
      </c>
      <c r="D43" s="159" t="n">
        <f aca="false" ca="false" dt2D="false" dtr="false" t="normal">D38</f>
        <v>7</v>
      </c>
      <c r="E43" s="160" t="n">
        <f aca="false" ca="false" dt2D="false" dtr="false" t="normal">E38</f>
        <v>31</v>
      </c>
      <c r="F43" s="160" t="n">
        <f aca="false" ca="false" dt2D="false" dtr="false" t="normal">F38</f>
        <v>2</v>
      </c>
      <c r="G43" s="161" t="n">
        <f aca="false" ca="false" dt2D="false" dtr="false" t="normal">G38</f>
        <v>1</v>
      </c>
      <c r="H43" s="162" t="n">
        <f aca="false" ca="false" dt2D="false" dtr="false" t="normal">BIN2HEX(H44, 2)</f>
        <v>0</v>
      </c>
      <c r="I43" s="163" t="n">
        <f aca="false" ca="false" dt2D="false" dtr="false" t="normal">BIN2HEX(I44, 2)</f>
        <v>0</v>
      </c>
      <c r="J43" s="164" t="n">
        <f aca="false" ca="false" dt2D="false" dtr="false" t="normal">BIN2HEX(J44, 2)</f>
        <v>0</v>
      </c>
      <c r="K43" s="7229" t="str">
        <f aca="false" ca="false" dt2D="false" dtr="false" t="normal">IF(LEN(K44)&gt;2, MID(K44, 2, 2), K44)</f>
        <v>3B</v>
      </c>
      <c r="N43" s="63" t="s">
        <v>181</v>
      </c>
      <c r="P43" s="136" t="n">
        <f aca="false" ca="false" dt2D="false" dtr="false" t="normal">MID(H39, 5, 1)</f>
        <v>0</v>
      </c>
      <c r="Q43" s="137" t="n">
        <f aca="false" ca="false" dt2D="false" dtr="false" t="normal">P43</f>
        <v>0</v>
      </c>
      <c r="R43" s="120" t="s">
        <v>200</v>
      </c>
      <c r="S43" s="635" t="s">
        <v>2845</v>
      </c>
      <c r="T43" s="136" t="n">
        <f aca="false" ca="false" dt2D="false" dtr="false" t="normal">MID(I39, 5, 1)</f>
        <v>0</v>
      </c>
      <c r="U43" s="137" t="n">
        <f aca="false" ca="false" dt2D="false" dtr="false" t="normal">T43</f>
        <v>0</v>
      </c>
      <c r="V43" s="120" t="s">
        <v>200</v>
      </c>
      <c r="W43" s="131" t="s">
        <v>196</v>
      </c>
      <c r="X43" s="136" t="n">
        <f aca="false" ca="false" dt2D="false" dtr="false" t="normal">MID(J39, 5, 1)</f>
        <v>0</v>
      </c>
      <c r="Y43" s="137" t="n">
        <f aca="false" ca="false" dt2D="false" dtr="false" t="normal">X43</f>
        <v>0</v>
      </c>
      <c r="Z43" s="120" t="s">
        <v>200</v>
      </c>
      <c r="AA43" s="131" t="s">
        <v>196</v>
      </c>
      <c r="AB43" s="7269" t="s"/>
      <c r="AC43" s="142" t="s"/>
      <c r="AD43" s="142" t="s"/>
      <c r="AE43" s="7270" t="s"/>
      <c r="AF43" s="121" t="n"/>
      <c r="AG43" s="121" t="n"/>
      <c r="AH43" s="121" t="n"/>
      <c r="AI43" s="121" t="n"/>
      <c r="AJ43" s="121" t="n"/>
      <c r="AK43" s="121" t="n"/>
    </row>
    <row customHeight="true" hidden="false" ht="15" outlineLevel="0" r="44">
      <c r="C44" s="98" t="s">
        <v>185</v>
      </c>
      <c r="D44" s="53" t="n">
        <f aca="false" ca="false" dt2D="false" dtr="false" t="normal">HEX2BIN(D43, 8)</f>
        <v>111</v>
      </c>
      <c r="E44" s="53" t="n">
        <f aca="false" ca="false" dt2D="false" dtr="false" t="normal">HEX2BIN(E43, 8)</f>
        <v>110001</v>
      </c>
      <c r="F44" s="53" t="n">
        <f aca="false" ca="false" dt2D="false" dtr="false" t="normal">HEX2BIN(F43, 8)</f>
        <v>10</v>
      </c>
      <c r="G44" s="53" t="n">
        <f aca="false" ca="false" dt2D="false" dtr="false" t="normal">HEX2BIN(G43, 8)</f>
        <v>1</v>
      </c>
      <c r="H44" s="171" t="n">
        <f aca="false" ca="false" dt2D="false" dtr="false" t="normal">Q39&amp;Q40&amp;Q41&amp;Q42&amp;Q43&amp;Q44&amp;Q45&amp;Q46</f>
        <v>0</v>
      </c>
      <c r="I44" s="53" t="n">
        <f aca="false" ca="false" dt2D="false" dtr="false" t="normal">U39&amp;U40&amp;U41&amp;U42&amp;U43&amp;U44&amp;U45&amp;U46</f>
        <v>0</v>
      </c>
      <c r="J44" s="171" t="n">
        <f aca="false" ca="false" dt2D="false" dtr="false" t="normal">Y39&amp;Y40&amp;Y41&amp;Y42&amp;Y43&amp;Y44&amp;Y45&amp;Y46</f>
        <v>0</v>
      </c>
      <c r="K44" s="53" t="str">
        <f aca="false" ca="false" dt2D="false" dtr="false" t="normal">DEC2HEX(K45)</f>
        <v>3B</v>
      </c>
      <c r="N44" s="63" t="n"/>
      <c r="P44" s="136" t="n">
        <f aca="false" ca="false" dt2D="false" dtr="false" t="normal">MID(H39, 6, 1)</f>
        <v>0</v>
      </c>
      <c r="Q44" s="137" t="n">
        <f aca="false" ca="false" dt2D="false" dtr="false" t="normal">P44</f>
        <v>0</v>
      </c>
      <c r="R44" s="120" t="s">
        <v>203</v>
      </c>
      <c r="S44" s="7271" t="s"/>
      <c r="T44" s="136" t="n">
        <f aca="false" ca="false" dt2D="false" dtr="false" t="normal">MID(I39, 6, 1)</f>
        <v>0</v>
      </c>
      <c r="U44" s="137" t="n">
        <f aca="false" ca="false" dt2D="false" dtr="false" t="normal">T44</f>
        <v>0</v>
      </c>
      <c r="V44" s="120" t="s">
        <v>203</v>
      </c>
      <c r="W44" s="1770" t="s">
        <v>2846</v>
      </c>
      <c r="X44" s="136" t="n">
        <f aca="false" ca="false" dt2D="false" dtr="false" t="normal">MID(J39, 6, 1)</f>
        <v>0</v>
      </c>
      <c r="Y44" s="137" t="n">
        <f aca="false" ca="false" dt2D="false" dtr="false" t="normal">X44</f>
        <v>0</v>
      </c>
      <c r="Z44" s="120" t="s">
        <v>203</v>
      </c>
      <c r="AA44" s="131" t="s">
        <v>196</v>
      </c>
      <c r="AB44" s="7272" t="s"/>
      <c r="AC44" s="142" t="s"/>
      <c r="AD44" s="142" t="s"/>
      <c r="AE44" s="7273" t="s"/>
      <c r="AF44" s="121" t="n"/>
      <c r="AG44" s="121" t="n"/>
      <c r="AH44" s="121" t="n"/>
      <c r="AI44" s="121" t="n"/>
      <c r="AJ44" s="121" t="n"/>
      <c r="AK44" s="121" t="n"/>
    </row>
    <row hidden="false" ht="15" outlineLevel="0" r="45">
      <c r="C45" s="98" t="s">
        <v>191</v>
      </c>
      <c r="D45" s="53" t="n">
        <f aca="false" ca="false" dt2D="false" dtr="false" t="normal">HEX2DEC(D43)</f>
        <v>7</v>
      </c>
      <c r="E45" s="53" t="n">
        <f aca="false" ca="false" dt2D="false" dtr="false" t="normal">HEX2DEC(E43)</f>
        <v>49</v>
      </c>
      <c r="F45" s="53" t="n">
        <f aca="false" ca="false" dt2D="false" dtr="false" t="normal">HEX2DEC(F43)</f>
        <v>2</v>
      </c>
      <c r="G45" s="53" t="n">
        <f aca="false" ca="false" dt2D="false" dtr="false" t="normal">HEX2DEC(G43)</f>
        <v>1</v>
      </c>
      <c r="H45" s="53" t="n">
        <f aca="false" ca="false" dt2D="false" dtr="false" t="normal">HEX2DEC(H43)</f>
        <v>0</v>
      </c>
      <c r="I45" s="53" t="n">
        <f aca="false" ca="false" dt2D="false" dtr="false" t="normal">HEX2DEC(I43)</f>
        <v>0</v>
      </c>
      <c r="J45" s="53" t="n">
        <f aca="false" ca="false" dt2D="false" dtr="false" t="normal">HEX2DEC(J43)</f>
        <v>0</v>
      </c>
      <c r="K45" s="53" t="n">
        <f aca="false" ca="false" dt2D="false" dtr="false" t="normal">SUM(D45:J45)</f>
        <v>59</v>
      </c>
      <c r="N45" s="63" t="n"/>
      <c r="P45" s="136" t="n">
        <f aca="false" ca="false" dt2D="false" dtr="false" t="normal">MID(H39, 7, 1)</f>
        <v>0</v>
      </c>
      <c r="Q45" s="137" t="n">
        <f aca="false" ca="false" dt2D="false" dtr="false" t="normal">P45</f>
        <v>0</v>
      </c>
      <c r="R45" s="120" t="s">
        <v>206</v>
      </c>
      <c r="S45" s="131" t="s">
        <v>196</v>
      </c>
      <c r="T45" s="136" t="n">
        <f aca="false" ca="false" dt2D="false" dtr="false" t="normal">MID(I39, 7, 1)</f>
        <v>0</v>
      </c>
      <c r="U45" s="137" t="n">
        <f aca="false" ca="false" dt2D="false" dtr="false" t="normal">T45</f>
        <v>0</v>
      </c>
      <c r="V45" s="120" t="s">
        <v>206</v>
      </c>
      <c r="W45" s="7274" t="s"/>
      <c r="X45" s="136" t="n">
        <f aca="false" ca="false" dt2D="false" dtr="false" t="normal">MID(J39, 7, 1)</f>
        <v>0</v>
      </c>
      <c r="Y45" s="137" t="n">
        <f aca="false" ca="false" dt2D="false" dtr="false" t="normal">X45</f>
        <v>0</v>
      </c>
      <c r="Z45" s="120" t="s">
        <v>206</v>
      </c>
      <c r="AA45" s="131" t="s">
        <v>196</v>
      </c>
      <c r="AB45" s="7275" t="s"/>
      <c r="AC45" s="142" t="s"/>
      <c r="AD45" s="142" t="s"/>
      <c r="AE45" s="7276" t="s"/>
      <c r="AF45" s="121" t="n"/>
      <c r="AG45" s="121" t="n"/>
      <c r="AH45" s="121" t="n"/>
      <c r="AI45" s="121" t="n"/>
      <c r="AJ45" s="121" t="n"/>
      <c r="AK45" s="121" t="n"/>
    </row>
    <row hidden="false" ht="15.75" outlineLevel="0" r="46">
      <c r="C46" s="180" t="s">
        <v>194</v>
      </c>
      <c r="D46" s="181" t="n">
        <f aca="false" ca="false" dt2D="false" dtr="false" t="normal">D41</f>
        <v>7</v>
      </c>
      <c r="E46" s="181" t="n">
        <f aca="false" ca="false" dt2D="false" dtr="false" t="normal">E41</f>
        <v>31</v>
      </c>
      <c r="F46" s="181" t="str">
        <f aca="false" ca="false" dt2D="false" dtr="false" t="normal">F41</f>
        <v>G2</v>
      </c>
      <c r="G46" s="181" t="str">
        <f aca="false" ca="false" dt2D="false" dtr="false" t="normal">G41</f>
        <v>G1</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5" t="s">
        <v>196</v>
      </c>
      <c r="T46" s="182" t="n">
        <f aca="false" ca="false" dt2D="false" dtr="false" t="normal">MID(I39, 8, 1)</f>
        <v>0</v>
      </c>
      <c r="U46" s="183" t="n">
        <f aca="false" ca="false" dt2D="false" dtr="false" t="normal">T46</f>
        <v>0</v>
      </c>
      <c r="V46" s="184" t="s">
        <v>208</v>
      </c>
      <c r="W46" s="7277" t="s"/>
      <c r="X46" s="182" t="n">
        <f aca="false" ca="false" dt2D="false" dtr="false" t="normal">MID(J39, 8, 1)</f>
        <v>0</v>
      </c>
      <c r="Y46" s="183" t="n">
        <f aca="false" ca="false" dt2D="false" dtr="false" t="normal">X46</f>
        <v>0</v>
      </c>
      <c r="Z46" s="184" t="s">
        <v>208</v>
      </c>
      <c r="AA46" s="185" t="s">
        <v>196</v>
      </c>
      <c r="AB46" s="7278" t="s"/>
      <c r="AC46" s="7279" t="s"/>
      <c r="AD46" s="7280" t="s"/>
      <c r="AE46" s="7281" t="s"/>
      <c r="AF46" s="121" t="n"/>
      <c r="AG46" s="121" t="n"/>
      <c r="AH46" s="121" t="n"/>
      <c r="AI46" s="121" t="n"/>
      <c r="AJ46" s="121" t="n"/>
      <c r="AK46" s="121" t="n"/>
    </row>
    <row hidden="false" ht="15" outlineLevel="0" r="47"/>
    <row hidden="false" ht="15" outlineLevel="0" r="48"/>
    <row hidden="false" ht="15" outlineLevel="0" r="49"/>
  </sheetData>
  <mergeCells count="49">
    <mergeCell ref="R25:AK25"/>
    <mergeCell ref="AB26:AE26"/>
    <mergeCell ref="X26:AA26"/>
    <mergeCell ref="T26:W26"/>
    <mergeCell ref="P25:Q25"/>
    <mergeCell ref="P26:S26"/>
    <mergeCell ref="AB27:AE35"/>
    <mergeCell ref="D26:G26"/>
    <mergeCell ref="AJ16:AK24"/>
    <mergeCell ref="AE18:AE24"/>
    <mergeCell ref="AA19:AA24"/>
    <mergeCell ref="S21:S24"/>
    <mergeCell ref="AI17:AI20"/>
    <mergeCell ref="AB15:AE15"/>
    <mergeCell ref="AF15:AI15"/>
    <mergeCell ref="AJ15:AK15"/>
    <mergeCell ref="T15:W15"/>
    <mergeCell ref="X15:AA15"/>
    <mergeCell ref="P15:S15"/>
    <mergeCell ref="P14:Q14"/>
    <mergeCell ref="R14:AK14"/>
    <mergeCell ref="D37:G37"/>
    <mergeCell ref="P37:S37"/>
    <mergeCell ref="S41:S42"/>
    <mergeCell ref="S39:S40"/>
    <mergeCell ref="AB38:AE46"/>
    <mergeCell ref="X37:AA37"/>
    <mergeCell ref="T37:W37"/>
    <mergeCell ref="AB37:AE37"/>
    <mergeCell ref="P36:Q36"/>
    <mergeCell ref="R36:AK36"/>
    <mergeCell ref="S43:S44"/>
    <mergeCell ref="W44:W46"/>
    <mergeCell ref="A1:B1"/>
    <mergeCell ref="C2:E2"/>
    <mergeCell ref="P3:Q3"/>
    <mergeCell ref="D15:G15"/>
    <mergeCell ref="D4:G4"/>
    <mergeCell ref="S6:S9"/>
    <mergeCell ref="P4:S4"/>
    <mergeCell ref="R3:AK3"/>
    <mergeCell ref="AB4:AE4"/>
    <mergeCell ref="T4:W4"/>
    <mergeCell ref="X4:AA4"/>
    <mergeCell ref="AF4:AI4"/>
    <mergeCell ref="AJ5:AK13"/>
    <mergeCell ref="W10:W11"/>
    <mergeCell ref="C1:AK1"/>
    <mergeCell ref="AJ4:AK4"/>
  </mergeCells>
  <conditionalFormatting pivot="false" sqref="Q6:Q13">
    <cfRule aboveAverage="true" bottom="false" dxfId="0" equalAverage="false" percent="false" priority="22" stopIfTrue="false" type="expression">
      <formula>Q6:Q13&lt;&gt;P6:P13</formula>
    </cfRule>
  </conditionalFormatting>
  <conditionalFormatting pivot="false" sqref="U6:U13">
    <cfRule aboveAverage="true" bottom="false" dxfId="0" equalAverage="false" percent="false" priority="21" stopIfTrue="false" type="expression">
      <formula>U6:U13&lt;&gt;T6:T13</formula>
    </cfRule>
  </conditionalFormatting>
  <conditionalFormatting pivot="false" sqref="Y6:Y13">
    <cfRule aboveAverage="true" bottom="false" dxfId="0" equalAverage="false" percent="false" priority="20" stopIfTrue="false" type="expression">
      <formula>Y6:Y13&lt;&gt;X6:X13</formula>
    </cfRule>
  </conditionalFormatting>
  <conditionalFormatting pivot="false" sqref="AC6:AC13">
    <cfRule aboveAverage="true" bottom="false" dxfId="0" equalAverage="false" percent="false" priority="19" stopIfTrue="false" type="expression">
      <formula>AC6:AC13&lt;&gt;AB6:AB13</formula>
    </cfRule>
  </conditionalFormatting>
  <conditionalFormatting pivot="false" sqref="AG6:AG13">
    <cfRule aboveAverage="true" bottom="false" dxfId="0" equalAverage="false" percent="false" priority="18" stopIfTrue="false" type="expression">
      <formula>AG6:AG13&lt;&gt;AF6:AF13</formula>
    </cfRule>
  </conditionalFormatting>
  <conditionalFormatting pivot="false" sqref="AG17:AG24">
    <cfRule aboveAverage="true" bottom="false" dxfId="0" equalAverage="false" percent="false" priority="17" stopIfTrue="false" type="expression">
      <formula>AG17:AG24&lt;&gt;AF17:AF24</formula>
    </cfRule>
  </conditionalFormatting>
  <conditionalFormatting pivot="false" sqref="AC17:AC24">
    <cfRule aboveAverage="true" bottom="false" dxfId="0" equalAverage="false" percent="false" priority="16" stopIfTrue="false" type="expression">
      <formula>AC17:AC24&lt;&gt;AB17:AB24</formula>
    </cfRule>
  </conditionalFormatting>
  <conditionalFormatting pivot="false" sqref="Y17:Y24">
    <cfRule aboveAverage="true" bottom="false" dxfId="0" equalAverage="false" percent="false" priority="15" stopIfTrue="false" type="expression">
      <formula>Y17:Y24&lt;&gt;X17:X24</formula>
    </cfRule>
  </conditionalFormatting>
  <conditionalFormatting pivot="false" sqref="U17:U24">
    <cfRule aboveAverage="true" bottom="false" dxfId="0" equalAverage="false" percent="false" priority="14" stopIfTrue="false" type="expression">
      <formula>U17:U24&lt;&gt;T17:T24</formula>
    </cfRule>
  </conditionalFormatting>
  <conditionalFormatting pivot="false" sqref="Q17:Q24">
    <cfRule aboveAverage="true" bottom="false" dxfId="0" equalAverage="false" percent="false" priority="13" stopIfTrue="false" type="expression">
      <formula>Q17:Q24&lt;&gt;P17:P24</formula>
    </cfRule>
  </conditionalFormatting>
  <conditionalFormatting pivot="false" sqref="Q28:Q35">
    <cfRule aboveAverage="true" bottom="false" dxfId="0" equalAverage="false" percent="false" priority="12" stopIfTrue="false" type="expression">
      <formula>Q28:Q35&lt;&gt;P28:P35</formula>
    </cfRule>
  </conditionalFormatting>
  <conditionalFormatting pivot="false" sqref="U28:U35">
    <cfRule aboveAverage="true" bottom="false" dxfId="0" equalAverage="false" percent="false" priority="11" stopIfTrue="false" type="expression">
      <formula>U28:U35&lt;&gt;T28:T35</formula>
    </cfRule>
  </conditionalFormatting>
  <conditionalFormatting pivot="false" sqref="Y28:Y35">
    <cfRule aboveAverage="true" bottom="false" dxfId="0" equalAverage="false" percent="false" priority="10" stopIfTrue="false" type="expression">
      <formula>Y28:Y35&lt;&gt;X28:X35</formula>
    </cfRule>
  </conditionalFormatting>
  <conditionalFormatting pivot="false" sqref="Q39:Q46">
    <cfRule aboveAverage="true" bottom="false" dxfId="0" equalAverage="false" percent="false" priority="9" stopIfTrue="false" type="expression">
      <formula>Q39:Q46&lt;&gt;P39:P46</formula>
    </cfRule>
  </conditionalFormatting>
  <conditionalFormatting pivot="false" sqref="U39:U46">
    <cfRule aboveAverage="true" bottom="false" dxfId="0" equalAverage="false" percent="false" priority="8" stopIfTrue="false" type="expression">
      <formula>U39:U46&lt;&gt;T39:T46</formula>
    </cfRule>
  </conditionalFormatting>
  <conditionalFormatting pivot="false" sqref="Y39:Y46">
    <cfRule aboveAverage="true" bottom="false" dxfId="0" equalAverage="false" percent="false" priority="7" stopIfTrue="false" type="expression">
      <formula>Y39:Y46&lt;&gt;X39:X46</formula>
    </cfRule>
  </conditionalFormatting>
  <conditionalFormatting pivot="false" sqref="B3:B8">
    <cfRule aboveAverage="true" bottom="false" dxfId="1" equalAverage="false" percent="false" priority="6" stopIfTrue="false" text="731G2" type="beginsWith">
      <formula>LEFT(B3,LEN("731G2"))="731G2"</formula>
    </cfRule>
  </conditionalFormatting>
  <conditionalFormatting pivot="false" sqref="B3:B8">
    <cfRule aboveAverage="true" bottom="false" dxfId="1" equalAverage="false" percent="false" priority="5" stopIfTrue="false" text="73102" type="beginsWith">
      <formula>LEFT(B3,LEN("73102"))="73102"</formula>
    </cfRule>
  </conditionalFormatting>
  <conditionalFormatting pivot="false" sqref="B3:B8">
    <cfRule aboveAverage="true" bottom="false" dxfId="2" equalAverage="false" percent="false" priority="4" stopIfTrue="false" text="731G1" type="beginsWith">
      <formula>LEFT(B3,LEN("731G1"))="731G1"</formula>
    </cfRule>
  </conditionalFormatting>
  <conditionalFormatting pivot="false" sqref="B3:B8">
    <cfRule aboveAverage="true" bottom="false" dxfId="1" equalAverage="false" percent="false" priority="3" stopIfTrue="false" text="73101" type="beginsWith">
      <formula>LEFT(B3,LEN("73101"))="73101"</formula>
    </cfRule>
  </conditionalFormatting>
  <conditionalFormatting pivot="false" sqref="B3:B8">
    <cfRule aboveAverage="true" bottom="false" dxfId="3" equalAverage="false" percent="false" priority="2" stopIfTrue="false" text=";Block" type="containsText">
      <formula>NOT(ISERROR(SEARCH(";Block",B3)))</formula>
    </cfRule>
  </conditionalFormatting>
  <conditionalFormatting pivot="false" sqref="B3:B8">
    <cfRule aboveAverage="true" bottom="false" dxfId="4" equalAverage="false" percent="false" priority="1" stopIfTrue="false" type="expression">
      <formula>IF(A3&lt;&gt;B3, 1, 0)</formula>
    </cfRule>
  </conditionalFormatting>
  <dataValidations>
    <dataValidation allowBlank="true" error="This is a Binary value, which can be either 0 or 1." errorStyle="stop" errorTitle="Wrong Value" imeMode="noControl" operator="between" showDropDown="false" showErrorMessage="true" showInputMessage="true" sqref="AG6:AG13 Q28:Q35 Y17:Y24 AC17:AC24 Q6:Q13 Y28:Y35 U17:U24 AG17:AG24 AC6:AC13 Q17:Q24 U6:U13 Y6:Y13 U28:U35 Q39:Q46 Y39:Y46 U39:U46"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79.3998mm" paperSize="1" paperWidth="215.8999mm" scale="100"/>
  <legacyDrawing r:id="rId2"/>
</worksheet>
</file>

<file path=xl/worksheets/sheet10.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E57"/>
  <sheetViews>
    <sheetView showZeros="true" workbookViewId="0"/>
  </sheetViews>
  <sheetFormatPr baseColWidth="8" customHeight="false" defaultColWidth="9.1406253092569258" defaultRowHeight="15" zeroHeight="false"/>
  <cols>
    <col bestFit="true" customWidth="true" max="1" min="1" outlineLevel="0" width="21.570312147129918"/>
    <col customWidth="true" max="2" min="2" outlineLevel="0" width="21.570312147129918"/>
    <col customWidth="true" max="3" min="3" outlineLevel="0" width="25.570312823794644"/>
    <col bestFit="true" customWidth="true" max="4" min="4" outlineLevel="0" width="19.855469151108874"/>
    <col bestFit="true" customWidth="true" max="5" min="5" outlineLevel="0" width="21.710937963885389"/>
    <col bestFit="true" customWidth="true" max="6" min="6" outlineLevel="0" width="22.285155650649504"/>
    <col bestFit="true" customWidth="true" max="7" min="7" outlineLevel="0" width="21.1406246325922"/>
    <col customWidth="true" max="8" min="8" outlineLevel="0" width="5.7109372872206619"/>
    <col customWidth="true" max="9" min="9" outlineLevel="0" width="74.855466951948515"/>
    <col customWidth="true" hidden="true" max="19" min="10" outlineLevel="0" width="9.1406253092569258"/>
    <col bestFit="true" customWidth="true" hidden="true" max="31" min="20" outlineLevel="0" width="0"/>
    <col bestFit="true" customWidth="true" hidden="true" max="16384" min="32" outlineLevel="0" width="9.1406253092569258"/>
  </cols>
  <sheetData>
    <row customHeight="true" ht="24" outlineLevel="0" r="1">
      <c r="A1" s="7282" t="n"/>
      <c r="B1" s="7283" t="s">
        <v>2847</v>
      </c>
      <c r="C1" s="7283" t="s"/>
      <c r="D1" s="7283" t="s"/>
      <c r="E1" s="7283" t="s"/>
      <c r="F1" s="7283" t="s"/>
      <c r="G1" s="7283" t="s"/>
      <c r="H1" s="7283" t="s"/>
      <c r="I1" s="7283" t="s"/>
    </row>
    <row outlineLevel="0" r="2">
      <c r="I2" s="7284" t="s">
        <v>2848</v>
      </c>
    </row>
    <row customHeight="true" ht="15" outlineLevel="0" r="3">
      <c r="A3" s="7285" t="s">
        <v>2849</v>
      </c>
      <c r="B3" s="7285" t="s">
        <v>2850</v>
      </c>
      <c r="C3" s="7285" t="s">
        <v>809</v>
      </c>
      <c r="D3" s="7285" t="s">
        <v>809</v>
      </c>
      <c r="E3" s="7285" t="s">
        <v>2851</v>
      </c>
      <c r="F3" s="7285" t="s">
        <v>2852</v>
      </c>
      <c r="G3" s="7285" t="s">
        <v>2853</v>
      </c>
      <c r="I3" s="7286" t="s">
        <v>2854</v>
      </c>
    </row>
    <row outlineLevel="0" r="4">
      <c r="A4" s="91" t="s">
        <v>160</v>
      </c>
      <c r="B4" s="7287" t="s">
        <v>160</v>
      </c>
      <c r="C4" s="7287" t="s">
        <v>160</v>
      </c>
      <c r="D4" s="7287" t="s">
        <v>249</v>
      </c>
      <c r="E4" s="91" t="s">
        <v>160</v>
      </c>
      <c r="F4" s="91" t="s">
        <v>160</v>
      </c>
      <c r="G4" s="91" t="s">
        <v>160</v>
      </c>
      <c r="I4" s="7286" t="s">
        <v>2855</v>
      </c>
    </row>
    <row outlineLevel="0" r="5">
      <c r="A5" s="0" t="str">
        <f aca="false" ca="false" dt2D="false" dtr="false" t="normal">IFERROR("726G1G1"&amp;MID($A$1, FIND("&lt;CODE&gt;", $A$1, FIND("726-01-01", $A$1))+LEN("&lt;CODE&gt;"), FIND("&lt;/CODE&gt;", $A$1, FIND("726-01-01", $A$1))-(FIND("&lt;CODE&gt;", $A$1, FIND("726-01-01", $A$1))+LEN("&lt;CODE&gt;")))&amp;IF(FIND("&lt;/DATA&gt;", $A$1, FIND("726-01-01", $A$1))&lt;FIND("&lt;CODE&gt;", $A$1, FIND("&lt;CODE&gt;", $A$1, FIND("726-01-01", $A$1))+1)+LEN("&lt;CODE&gt;"), "", ""&amp;MID($A$1, FIND("&lt;CODE&gt;", $A$1, FIND("&lt;CODE&gt;", $A$1, FIND("726-01-01", $A$1))+1)+LEN("&lt;CODE&gt;"), FIND("&lt;/CODE&gt;", $A$1, FIND("&lt;/CODE&gt;", $A$1, FIND("726-01-01", $A$1))+1)-(FIND("&lt;CODE&gt;", $A$1, FIND("&lt;CODE&gt;", $A$1, FIND("726-01-01", $A$1))+1)+LEN("&lt;CODE&gt;"))))&amp;IF(FIND("&lt;/DATA&gt;", $A$1, FIND("726-01-01", $A$1))&lt;FIND("&lt;CODE&gt;", $A$1, FIND("&lt;CODE&gt;", $A$1, FIND("&lt;CODE&gt;", $A$1, FIND("726-01-01", $A$1))+1)+1)+LEN("&lt;CODE&gt;"), "", ""&amp;MID($A$1, FIND("&lt;CODE&gt;", $A$1, FIND("&lt;CODE&gt;", $A$1, FIND("&lt;CODE&gt;", $A$1, FIND("726-01-01", $A$1))+1)+1)+LEN("&lt;CODE&gt;"), FIND("&lt;/CODE&gt;", $A$1, FIND("&lt;/CODE&gt;", $A$1, FIND("&lt;/CODE&gt;", $A$1, FIND("726-01-01", $A$1))+1)+1)-(FIND("&lt;CODE&gt;", $A$1, FIND("&lt;CODE&gt;", $A$1, FIND("&lt;CODE&gt;", $A$1, FIND("726-01-01", $A$1))+1)+1)+LEN("&lt;CODE&gt;")))), "")</f>
        <v/>
      </c>
      <c r="B5" s="1" t="str">
        <f aca="false" ca="false" dt2D="false" dtr="false" t="normal">IFERROR("706G1G1"&amp;MID($A$1, FIND("&lt;CODE&gt;", $A$1, FIND("706-01-01", $A$1))+LEN("&lt;CODE&gt;"), FIND("&lt;/CODE&gt;", $A$1, FIND("706-01-01", $A$1))-(FIND("&lt;CODE&gt;", $A$1, FIND("706-01-01", $A$1))+LEN("&lt;CODE&gt;")))&amp;IF(FIND("&lt;/DATA&gt;", $A$1, FIND("706-01-01", $A$1))&lt;FIND("&lt;CODE&gt;", $A$1, FIND("&lt;CODE&gt;", $A$1, FIND("706-01-01", $A$1))+1)+LEN("&lt;CODE&gt;"), "", ""&amp;MID($A$1, FIND("&lt;CODE&gt;", $A$1, FIND("&lt;CODE&gt;", $A$1, FIND("706-01-01", $A$1))+1)+LEN("&lt;CODE&gt;"), FIND("&lt;/CODE&gt;", $A$1, FIND("&lt;/CODE&gt;", $A$1, FIND("706-01-01", $A$1))+1)-(FIND("&lt;CODE&gt;", $A$1, FIND("&lt;CODE&gt;", $A$1, FIND("706-01-01", $A$1))+1)+LEN("&lt;CODE&gt;"))))&amp;IF(FIND("&lt;/DATA&gt;", $A$1, FIND("706-01-01", $A$1))&lt;FIND("&lt;CODE&gt;", $A$1, FIND("&lt;CODE&gt;", $A$1, FIND("&lt;CODE&gt;", $A$1, FIND("706-01-01", $A$1))+1)+1)+LEN("&lt;CODE&gt;"), "", ""&amp;MID($A$1, FIND("&lt;CODE&gt;", $A$1, FIND("&lt;CODE&gt;", $A$1, FIND("&lt;CODE&gt;", $A$1, FIND("706-01-01", $A$1))+1)+1)+LEN("&lt;CODE&gt;"), FIND("&lt;/CODE&gt;", $A$1, FIND("&lt;/CODE&gt;", $A$1, FIND("&lt;/CODE&gt;", $A$1, FIND("706-01-01", $A$1))+1)+1)-(FIND("&lt;CODE&gt;", $A$1, FIND("&lt;CODE&gt;", $A$1, FIND("&lt;CODE&gt;", $A$1, FIND("706-01-01", $A$1))+1)+1)+LEN("&lt;CODE&gt;")))), "")</f>
        <v/>
      </c>
      <c r="C5" s="0" t="str">
        <f aca="false" ca="false" dt2D="false" dtr="false" t="normal">IFERROR("720G1G1"&amp;MID($A$1, FIND("&lt;CODE&gt;", $A$1, FIND("720-01-01", $A$1))+LEN("&lt;CODE&gt;"), FIND("&lt;/CODE&gt;", $A$1, FIND("720-01-01", $A$1))-(FIND("&lt;CODE&gt;", $A$1, FIND("720-01-01", $A$1))+LEN("&lt;CODE&gt;")))&amp;IF(FIND("&lt;/DATA&gt;", $A$1, FIND("720-01-01", $A$1))&lt;FIND("&lt;CODE&gt;", $A$1, FIND("&lt;CODE&gt;", $A$1, FIND("720-01-01", $A$1))+1)+LEN("&lt;CODE&gt;"), "", ""&amp;MID($A$1, FIND("&lt;CODE&gt;", $A$1, FIND("&lt;CODE&gt;", $A$1, FIND("720-01-01", $A$1))+1)+LEN("&lt;CODE&gt;"), FIND("&lt;/CODE&gt;", $A$1, FIND("&lt;/CODE&gt;", $A$1, FIND("720-01-01", $A$1))+1)-(FIND("&lt;CODE&gt;", $A$1, FIND("&lt;CODE&gt;", $A$1, FIND("720-01-01", $A$1))+1)+LEN("&lt;CODE&gt;"))))&amp;IF(FIND("&lt;/DATA&gt;", $A$1, FIND("720-01-01", $A$1))&lt;FIND("&lt;CODE&gt;", $A$1, FIND("&lt;CODE&gt;", $A$1, FIND("&lt;CODE&gt;", $A$1, FIND("720-01-01", $A$1))+1)+1)+LEN("&lt;CODE&gt;"), "", ""&amp;MID($A$1, FIND("&lt;CODE&gt;", $A$1, FIND("&lt;CODE&gt;", $A$1, FIND("&lt;CODE&gt;", $A$1, FIND("720-01-01", $A$1))+1)+1)+LEN("&lt;CODE&gt;"), FIND("&lt;/CODE&gt;", $A$1, FIND("&lt;/CODE&gt;", $A$1, FIND("&lt;/CODE&gt;", $A$1, FIND("720-01-01", $A$1))+1)+1)-(FIND("&lt;CODE&gt;", $A$1, FIND("&lt;CODE&gt;", $A$1, FIND("&lt;CODE&gt;", $A$1, FIND("720-01-01", $A$1))+1)+1)+LEN("&lt;CODE&gt;")))), "")</f>
        <v/>
      </c>
      <c r="D5" s="0" t="str">
        <f aca="false" ca="false" dt2D="false" dtr="false" t="normal">IFERROR("720G4G1"&amp;MID($A$1, FIND("&lt;CCC_DATA&gt;", $A$1)+LEN("&lt;CCC_DATA&gt;"), 10), "")</f>
        <v/>
      </c>
      <c r="E5" s="0" t="str">
        <f aca="false" ca="false" dt2D="false" dtr="false" t="normal">IFERROR("7B7G1G1"&amp;MID($A$1, FIND("&lt;CODE&gt;", $A$1, FIND("7B7-01-01", $A$1))+LEN("&lt;CODE&gt;"), FIND("&lt;/CODE&gt;", $A$1, FIND("7B7-01-01", $A$1))-(FIND("&lt;CODE&gt;", $A$1, FIND("7B7-01-01", $A$1))+LEN("&lt;CODE&gt;")))&amp;IF(FIND("&lt;/DATA&gt;", $A$1, FIND("7B7-01-01", $A$1))&lt;FIND("&lt;CODE&gt;", $A$1, FIND("&lt;CODE&gt;", $A$1, FIND("7B7-01-01", $A$1))+1)+LEN("&lt;CODE&gt;"), "", ""&amp;MID($A$1, FIND("&lt;CODE&gt;", $A$1, FIND("&lt;CODE&gt;", $A$1, FIND("7B7-01-01", $A$1))+1)+LEN("&lt;CODE&gt;"), FIND("&lt;/CODE&gt;", $A$1, FIND("&lt;/CODE&gt;", $A$1, FIND("7B7-01-01", $A$1))+1)-(FIND("&lt;CODE&gt;", $A$1, FIND("&lt;CODE&gt;", $A$1, FIND("7B7-01-01", $A$1))+1)+LEN("&lt;CODE&gt;"))))&amp;IF(FIND("&lt;/DATA&gt;", $A$1, FIND("7B7-01-01", $A$1))&lt;FIND("&lt;CODE&gt;", $A$1, FIND("&lt;CODE&gt;", $A$1, FIND("&lt;CODE&gt;", $A$1, FIND("7B7-01-01", $A$1))+1)+1)+LEN("&lt;CODE&gt;"), "", ""&amp;MID($A$1, FIND("&lt;CODE&gt;", $A$1, FIND("&lt;CODE&gt;", $A$1, FIND("&lt;CODE&gt;", $A$1, FIND("7B7-01-01", $A$1))+1)+1)+LEN("&lt;CODE&gt;"), FIND("&lt;/CODE&gt;", $A$1, FIND("&lt;/CODE&gt;", $A$1, FIND("&lt;/CODE&gt;", $A$1, FIND("7B7-01-01", $A$1))+1)+1)-(FIND("&lt;CODE&gt;", $A$1, FIND("&lt;CODE&gt;", $A$1, FIND("&lt;CODE&gt;", $A$1, FIND("7B7-01-01", $A$1))+1)+1)+LEN("&lt;CODE&gt;")))), "")</f>
        <v/>
      </c>
      <c r="F5" s="0" t="str">
        <f aca="false" ca="false" dt2D="false" dtr="false" t="normal">IFERROR("737G1G1"&amp;MID($A$1, FIND("&lt;CODE&gt;", $A$1, FIND("737-01-01", $A$1))+LEN("&lt;CODE&gt;"), FIND("&lt;/CODE&gt;", $A$1, FIND("737-01-01", $A$1))-(FIND("&lt;CODE&gt;", $A$1, FIND("737-01-01", $A$1))+LEN("&lt;CODE&gt;")))&amp;IF(FIND("&lt;/DATA&gt;", $A$1, FIND("737-01-01", $A$1))&lt;FIND("&lt;CODE&gt;", $A$1, FIND("&lt;CODE&gt;", $A$1, FIND("737-01-01", $A$1))+1)+LEN("&lt;CODE&gt;"), "", ""&amp;MID($A$1, FIND("&lt;CODE&gt;", $A$1, FIND("&lt;CODE&gt;", $A$1, FIND("737-01-01", $A$1))+1)+LEN("&lt;CODE&gt;"), FIND("&lt;/CODE&gt;", $A$1, FIND("&lt;/CODE&gt;", $A$1, FIND("737-01-01", $A$1))+1)-(FIND("&lt;CODE&gt;", $A$1, FIND("&lt;CODE&gt;", $A$1, FIND("737-01-01", $A$1))+1)+LEN("&lt;CODE&gt;"))))&amp;IF(FIND("&lt;/DATA&gt;", $A$1, FIND("737-01-01", $A$1))&lt;FIND("&lt;CODE&gt;", $A$1, FIND("&lt;CODE&gt;", $A$1, FIND("&lt;CODE&gt;", $A$1, FIND("737-01-01", $A$1))+1)+1)+LEN("&lt;CODE&gt;"), "", ""&amp;MID($A$1, FIND("&lt;CODE&gt;", $A$1, FIND("&lt;CODE&gt;", $A$1, FIND("&lt;CODE&gt;", $A$1, FIND("737-01-01", $A$1))+1)+1)+LEN("&lt;CODE&gt;"), FIND("&lt;/CODE&gt;", $A$1, FIND("&lt;/CODE&gt;", $A$1, FIND("&lt;/CODE&gt;", $A$1, FIND("737-01-01", $A$1))+1)+1)-(FIND("&lt;CODE&gt;", $A$1, FIND("&lt;CODE&gt;", $A$1, FIND("&lt;CODE&gt;", $A$1, FIND("737-01-01", $A$1))+1)+1)+LEN("&lt;CODE&gt;")))), "")</f>
        <v/>
      </c>
      <c r="G5" s="0" t="str">
        <f aca="false" ca="false" dt2D="false" dtr="false" t="normal">IFERROR("731G1G1"&amp;MID($A$1, FIND("&lt;CODE&gt;", $A$1, FIND("731-01-01", $A$1))+LEN("&lt;CODE&gt;"), FIND("&lt;/CODE&gt;", $A$1, FIND("731-01-01", $A$1))-(FIND("&lt;CODE&gt;", $A$1, FIND("731-01-01", $A$1))+LEN("&lt;CODE&gt;")))&amp;IF(FIND("&lt;/DATA&gt;", $A$1, FIND("731-01-01", $A$1))&lt;FIND("&lt;CODE&gt;", $A$1, FIND("&lt;CODE&gt;", $A$1, FIND("731-01-01", $A$1))+1)+LEN("&lt;CODE&gt;"), "", ""&amp;MID($A$1, FIND("&lt;CODE&gt;", $A$1, FIND("&lt;CODE&gt;", $A$1, FIND("731-01-01", $A$1))+1)+LEN("&lt;CODE&gt;"), FIND("&lt;/CODE&gt;", $A$1, FIND("&lt;/CODE&gt;", $A$1, FIND("731-01-01", $A$1))+1)-(FIND("&lt;CODE&gt;", $A$1, FIND("&lt;CODE&gt;", $A$1, FIND("731-01-01", $A$1))+1)+LEN("&lt;CODE&gt;"))))&amp;IF(FIND("&lt;/DATA&gt;", $A$1, FIND("731-01-01", $A$1))&lt;FIND("&lt;CODE&gt;", $A$1, FIND("&lt;CODE&gt;", $A$1, FIND("&lt;CODE&gt;", $A$1, FIND("731-01-01", $A$1))+1)+1)+LEN("&lt;CODE&gt;"), "", ""&amp;MID($A$1, FIND("&lt;CODE&gt;", $A$1, FIND("&lt;CODE&gt;", $A$1, FIND("&lt;CODE&gt;", $A$1, FIND("731-01-01", $A$1))+1)+1)+LEN("&lt;CODE&gt;"), FIND("&lt;/CODE&gt;", $A$1, FIND("&lt;/CODE&gt;", $A$1, FIND("&lt;/CODE&gt;", $A$1, FIND("731-01-01", $A$1))+1)+1)-(FIND("&lt;CODE&gt;", $A$1, FIND("&lt;CODE&gt;", $A$1, FIND("&lt;CODE&gt;", $A$1, FIND("731-01-01", $A$1))+1)+1)+LEN("&lt;CODE&gt;")))), "")</f>
        <v/>
      </c>
      <c r="I5" s="7288" t="s">
        <v>2856</v>
      </c>
    </row>
    <row outlineLevel="0" r="6">
      <c r="A6" s="0" t="str">
        <f aca="false" ca="false" dt2D="false" dtr="false" t="normal">IFERROR("726G1G2"&amp;MID($A$1, FIND("&lt;CODE&gt;", $A$1, FIND("726-01-02", $A$1))+LEN("&lt;CODE&gt;"), FIND("&lt;/CODE&gt;", $A$1, FIND("726-01-02", $A$1))-(FIND("&lt;CODE&gt;", $A$1, FIND("726-01-02", $A$1))+LEN("&lt;CODE&gt;")))&amp;IF(FIND("&lt;/DATA&gt;", $A$1, FIND("726-01-02", $A$1))&lt;FIND("&lt;CODE&gt;", $A$1, FIND("&lt;CODE&gt;", $A$1, FIND("726-01-02", $A$1))+1)+LEN("&lt;CODE&gt;"), "", ""&amp;MID($A$1, FIND("&lt;CODE&gt;", $A$1, FIND("&lt;CODE&gt;", $A$1, FIND("726-01-02", $A$1))+1)+LEN("&lt;CODE&gt;"), FIND("&lt;/CODE&gt;", $A$1, FIND("&lt;/CODE&gt;", $A$1, FIND("726-01-02", $A$1))+1)-(FIND("&lt;CODE&gt;", $A$1, FIND("&lt;CODE&gt;", $A$1, FIND("726-01-02", $A$1))+1)+LEN("&lt;CODE&gt;"))))&amp;IF(FIND("&lt;/DATA&gt;", $A$1, FIND("726-01-02", $A$1))&lt;FIND("&lt;CODE&gt;", $A$1, FIND("&lt;CODE&gt;", $A$1, FIND("&lt;CODE&gt;", $A$1, FIND("726-01-02", $A$1))+1)+1)+LEN("&lt;CODE&gt;"), "", ""&amp;MID($A$1, FIND("&lt;CODE&gt;", $A$1, FIND("&lt;CODE&gt;", $A$1, FIND("&lt;CODE&gt;", $A$1, FIND("726-01-02", $A$1))+1)+1)+LEN("&lt;CODE&gt;"), FIND("&lt;/CODE&gt;", $A$1, FIND("&lt;/CODE&gt;", $A$1, FIND("&lt;/CODE&gt;", $A$1, FIND("726-01-02", $A$1))+1)+1)-(FIND("&lt;CODE&gt;", $A$1, FIND("&lt;CODE&gt;", $A$1, FIND("&lt;CODE&gt;", $A$1, FIND("726-01-02", $A$1))+1)+1)+LEN("&lt;CODE&gt;")))), "")</f>
        <v/>
      </c>
      <c r="B6" s="1" t="str">
        <f aca="false" ca="false" dt2D="false" dtr="false" t="normal">IFERROR("706G1G2"&amp;MID($A$1, FIND("&lt;CODE&gt;", $A$1, FIND("706-01-02", $A$1))+LEN("&lt;CODE&gt;"), FIND("&lt;/CODE&gt;", $A$1, FIND("706-01-02", $A$1))-(FIND("&lt;CODE&gt;", $A$1, FIND("706-01-02", $A$1))+LEN("&lt;CODE&gt;")))&amp;IF(FIND("&lt;/DATA&gt;", $A$1, FIND("706-01-02", $A$1))&lt;FIND("&lt;CODE&gt;", $A$1, FIND("&lt;CODE&gt;", $A$1, FIND("706-01-02", $A$1))+1)+LEN("&lt;CODE&gt;"), "", ""&amp;MID($A$1, FIND("&lt;CODE&gt;", $A$1, FIND("&lt;CODE&gt;", $A$1, FIND("706-01-02", $A$1))+1)+LEN("&lt;CODE&gt;"), FIND("&lt;/CODE&gt;", $A$1, FIND("&lt;/CODE&gt;", $A$1, FIND("706-01-02", $A$1))+1)-(FIND("&lt;CODE&gt;", $A$1, FIND("&lt;CODE&gt;", $A$1, FIND("706-01-02", $A$1))+1)+LEN("&lt;CODE&gt;"))))&amp;IF(FIND("&lt;/DATA&gt;", $A$1, FIND("706-01-02", $A$1))&lt;FIND("&lt;CODE&gt;", $A$1, FIND("&lt;CODE&gt;", $A$1, FIND("&lt;CODE&gt;", $A$1, FIND("706-01-02", $A$1))+1)+1)+LEN("&lt;CODE&gt;"), "", ""&amp;MID($A$1, FIND("&lt;CODE&gt;", $A$1, FIND("&lt;CODE&gt;", $A$1, FIND("&lt;CODE&gt;", $A$1, FIND("706-01-02", $A$1))+1)+1)+LEN("&lt;CODE&gt;"), FIND("&lt;/CODE&gt;", $A$1, FIND("&lt;/CODE&gt;", $A$1, FIND("&lt;/CODE&gt;", $A$1, FIND("706-01-02", $A$1))+1)+1)-(FIND("&lt;CODE&gt;", $A$1, FIND("&lt;CODE&gt;", $A$1, FIND("&lt;CODE&gt;", $A$1, FIND("706-01-02", $A$1))+1)+1)+LEN("&lt;CODE&gt;")))), "")</f>
        <v/>
      </c>
      <c r="C6" s="0" t="str">
        <f aca="false" ca="false" dt2D="false" dtr="false" t="normal">IFERROR("720G1G2"&amp;MID($A$1, FIND("&lt;CODE&gt;", $A$1, FIND("720-01-02", $A$1))+LEN("&lt;CODE&gt;"), FIND("&lt;/CODE&gt;", $A$1, FIND("720-01-02", $A$1))-(FIND("&lt;CODE&gt;", $A$1, FIND("720-01-02", $A$1))+LEN("&lt;CODE&gt;")))&amp;IF(FIND("&lt;/DATA&gt;", $A$1, FIND("720-01-02", $A$1))&lt;FIND("&lt;CODE&gt;", $A$1, FIND("&lt;CODE&gt;", $A$1, FIND("720-01-02", $A$1))+1)+LEN("&lt;CODE&gt;"), "", ""&amp;MID($A$1, FIND("&lt;CODE&gt;", $A$1, FIND("&lt;CODE&gt;", $A$1, FIND("720-01-02", $A$1))+1)+LEN("&lt;CODE&gt;"), FIND("&lt;/CODE&gt;", $A$1, FIND("&lt;/CODE&gt;", $A$1, FIND("720-01-02", $A$1))+1)-(FIND("&lt;CODE&gt;", $A$1, FIND("&lt;CODE&gt;", $A$1, FIND("720-01-02", $A$1))+1)+LEN("&lt;CODE&gt;"))))&amp;IF(FIND("&lt;/DATA&gt;", $A$1, FIND("720-01-02", $A$1))&lt;FIND("&lt;CODE&gt;", $A$1, FIND("&lt;CODE&gt;", $A$1, FIND("&lt;CODE&gt;", $A$1, FIND("720-01-02", $A$1))+1)+1)+LEN("&lt;CODE&gt;"), "", ""&amp;MID($A$1, FIND("&lt;CODE&gt;", $A$1, FIND("&lt;CODE&gt;", $A$1, FIND("&lt;CODE&gt;", $A$1, FIND("720-01-02", $A$1))+1)+1)+LEN("&lt;CODE&gt;"), FIND("&lt;/CODE&gt;", $A$1, FIND("&lt;/CODE&gt;", $A$1, FIND("&lt;/CODE&gt;", $A$1, FIND("720-01-02", $A$1))+1)+1)-(FIND("&lt;CODE&gt;", $A$1, FIND("&lt;CODE&gt;", $A$1, FIND("&lt;CODE&gt;", $A$1, FIND("720-01-02", $A$1))+1)+1)+LEN("&lt;CODE&gt;")))), "")</f>
        <v/>
      </c>
      <c r="D6" s="0" t="str">
        <f aca="false" ca="false" dt2D="false" dtr="false" t="normal">IFERROR("720G4G2"&amp;MID($A$1, FIND("&lt;CCC_DATA&gt;", $A$1)+LEN("&lt;CCC_DATA&gt;")+10, 10), "")</f>
        <v/>
      </c>
      <c r="E6" s="0" t="str">
        <f aca="false" ca="false" dt2D="false" dtr="false" t="normal">IFERROR("7B7G1G2"&amp;MID($A$1, FIND("&lt;CODE&gt;", $A$1, FIND("7B7-01-02", $A$1))+LEN("&lt;CODE&gt;"), FIND("&lt;/CODE&gt;", $A$1, FIND("7B7-01-02", $A$1))-(FIND("&lt;CODE&gt;", $A$1, FIND("7B7-01-02", $A$1))+LEN("&lt;CODE&gt;")))&amp;IF(FIND("&lt;/DATA&gt;", $A$1, FIND("7B7-01-02", $A$1))&lt;FIND("&lt;CODE&gt;", $A$1, FIND("&lt;CODE&gt;", $A$1, FIND("7B7-01-02", $A$1))+1)+LEN("&lt;CODE&gt;"), "", ""&amp;MID($A$1, FIND("&lt;CODE&gt;", $A$1, FIND("&lt;CODE&gt;", $A$1, FIND("7B7-01-02", $A$1))+1)+LEN("&lt;CODE&gt;"), FIND("&lt;/CODE&gt;", $A$1, FIND("&lt;/CODE&gt;", $A$1, FIND("7B7-01-02", $A$1))+1)-(FIND("&lt;CODE&gt;", $A$1, FIND("&lt;CODE&gt;", $A$1, FIND("7B7-01-02", $A$1))+1)+LEN("&lt;CODE&gt;"))))&amp;IF(FIND("&lt;/DATA&gt;", $A$1, FIND("7B7-01-02", $A$1))&lt;FIND("&lt;CODE&gt;", $A$1, FIND("&lt;CODE&gt;", $A$1, FIND("&lt;CODE&gt;", $A$1, FIND("7B7-01-02", $A$1))+1)+1)+LEN("&lt;CODE&gt;"), "", ""&amp;MID($A$1, FIND("&lt;CODE&gt;", $A$1, FIND("&lt;CODE&gt;", $A$1, FIND("&lt;CODE&gt;", $A$1, FIND("7B7-01-02", $A$1))+1)+1)+LEN("&lt;CODE&gt;"), FIND("&lt;/CODE&gt;", $A$1, FIND("&lt;/CODE&gt;", $A$1, FIND("&lt;/CODE&gt;", $A$1, FIND("7B7-01-02", $A$1))+1)+1)-(FIND("&lt;CODE&gt;", $A$1, FIND("&lt;CODE&gt;", $A$1, FIND("&lt;CODE&gt;", $A$1, FIND("7B7-01-02", $A$1))+1)+1)+LEN("&lt;CODE&gt;")))), "")</f>
        <v/>
      </c>
      <c r="F6" s="0" t="str">
        <f aca="false" ca="false" dt2D="false" dtr="false" t="normal">IFERROR("737G1G2"&amp;MID($A$1, FIND("&lt;CODE&gt;", $A$1, FIND("737-01-02", $A$1))+LEN("&lt;CODE&gt;"), FIND("&lt;/CODE&gt;", $A$1, FIND("737-01-02", $A$1))-(FIND("&lt;CODE&gt;", $A$1, FIND("737-01-02", $A$1))+LEN("&lt;CODE&gt;")))&amp;IF(FIND("&lt;/DATA&gt;", $A$1, FIND("737-01-02", $A$1))&lt;FIND("&lt;CODE&gt;", $A$1, FIND("&lt;CODE&gt;", $A$1, FIND("737-01-02", $A$1))+1)+LEN("&lt;CODE&gt;"), "", ""&amp;MID($A$1, FIND("&lt;CODE&gt;", $A$1, FIND("&lt;CODE&gt;", $A$1, FIND("737-01-02", $A$1))+1)+LEN("&lt;CODE&gt;"), FIND("&lt;/CODE&gt;", $A$1, FIND("&lt;/CODE&gt;", $A$1, FIND("737-01-02", $A$1))+1)-(FIND("&lt;CODE&gt;", $A$1, FIND("&lt;CODE&gt;", $A$1, FIND("737-01-02", $A$1))+1)+LEN("&lt;CODE&gt;"))))&amp;IF(FIND("&lt;/DATA&gt;", $A$1, FIND("737-01-02", $A$1))&lt;FIND("&lt;CODE&gt;", $A$1, FIND("&lt;CODE&gt;", $A$1, FIND("&lt;CODE&gt;", $A$1, FIND("737-01-02", $A$1))+1)+1)+LEN("&lt;CODE&gt;"), "", ""&amp;MID($A$1, FIND("&lt;CODE&gt;", $A$1, FIND("&lt;CODE&gt;", $A$1, FIND("&lt;CODE&gt;", $A$1, FIND("737-01-02", $A$1))+1)+1)+LEN("&lt;CODE&gt;"), FIND("&lt;/CODE&gt;", $A$1, FIND("&lt;/CODE&gt;", $A$1, FIND("&lt;/CODE&gt;", $A$1, FIND("737-01-02", $A$1))+1)+1)-(FIND("&lt;CODE&gt;", $A$1, FIND("&lt;CODE&gt;", $A$1, FIND("&lt;CODE&gt;", $A$1, FIND("737-01-02", $A$1))+1)+1)+LEN("&lt;CODE&gt;")))), "")</f>
        <v/>
      </c>
      <c r="G6" s="0" t="str">
        <f aca="false" ca="false" dt2D="false" dtr="false" t="normal">IFERROR("731G1G2"&amp;MID($A$1, FIND("&lt;CODE&gt;", $A$1, FIND("731-01-02", $A$1))+LEN("&lt;CODE&gt;"), FIND("&lt;/CODE&gt;", $A$1, FIND("731-01-02", $A$1))-(FIND("&lt;CODE&gt;", $A$1, FIND("731-01-02", $A$1))+LEN("&lt;CODE&gt;")))&amp;IF(FIND("&lt;/DATA&gt;", $A$1, FIND("731-01-02", $A$1))&lt;FIND("&lt;CODE&gt;", $A$1, FIND("&lt;CODE&gt;", $A$1, FIND("731-01-02", $A$1))+1)+LEN("&lt;CODE&gt;"), "", ""&amp;MID($A$1, FIND("&lt;CODE&gt;", $A$1, FIND("&lt;CODE&gt;", $A$1, FIND("731-01-02", $A$1))+1)+LEN("&lt;CODE&gt;"), FIND("&lt;/CODE&gt;", $A$1, FIND("&lt;/CODE&gt;", $A$1, FIND("731-01-02", $A$1))+1)-(FIND("&lt;CODE&gt;", $A$1, FIND("&lt;CODE&gt;", $A$1, FIND("731-01-02", $A$1))+1)+LEN("&lt;CODE&gt;"))))&amp;IF(FIND("&lt;/DATA&gt;", $A$1, FIND("731-01-02", $A$1))&lt;FIND("&lt;CODE&gt;", $A$1, FIND("&lt;CODE&gt;", $A$1, FIND("&lt;CODE&gt;", $A$1, FIND("731-01-02", $A$1))+1)+1)+LEN("&lt;CODE&gt;"), "", ""&amp;MID($A$1, FIND("&lt;CODE&gt;", $A$1, FIND("&lt;CODE&gt;", $A$1, FIND("&lt;CODE&gt;", $A$1, FIND("731-01-02", $A$1))+1)+1)+LEN("&lt;CODE&gt;"), FIND("&lt;/CODE&gt;", $A$1, FIND("&lt;/CODE&gt;", $A$1, FIND("&lt;/CODE&gt;", $A$1, FIND("731-01-02", $A$1))+1)+1)-(FIND("&lt;CODE&gt;", $A$1, FIND("&lt;CODE&gt;", $A$1, FIND("&lt;CODE&gt;", $A$1, FIND("731-01-02", $A$1))+1)+1)+LEN("&lt;CODE&gt;")))), "")</f>
        <v/>
      </c>
      <c r="I6" s="7288" t="s">
        <v>2857</v>
      </c>
    </row>
    <row outlineLevel="0" r="7">
      <c r="A7" s="0" t="str">
        <f aca="false" ca="false" dt2D="false" dtr="false" t="normal">IFERROR("726G1G3"&amp;MID($A$1, FIND("&lt;CODE&gt;", $A$1, FIND("726-01-03", $A$1))+LEN("&lt;CODE&gt;"), FIND("&lt;/CODE&gt;", $A$1, FIND("726-01-03", $A$1))-(FIND("&lt;CODE&gt;", $A$1, FIND("726-01-03", $A$1))+LEN("&lt;CODE&gt;")))&amp;IF(FIND("&lt;/DATA&gt;", $A$1, FIND("726-01-03", $A$1))&lt;FIND("&lt;CODE&gt;", $A$1, FIND("&lt;CODE&gt;", $A$1, FIND("726-01-03", $A$1))+1)+LEN("&lt;CODE&gt;"), "", ""&amp;MID($A$1, FIND("&lt;CODE&gt;", $A$1, FIND("&lt;CODE&gt;", $A$1, FIND("726-01-03", $A$1))+1)+LEN("&lt;CODE&gt;"), FIND("&lt;/CODE&gt;", $A$1, FIND("&lt;/CODE&gt;", $A$1, FIND("726-01-03", $A$1))+1)-(FIND("&lt;CODE&gt;", $A$1, FIND("&lt;CODE&gt;", $A$1, FIND("726-01-03", $A$1))+1)+LEN("&lt;CODE&gt;"))))&amp;IF(FIND("&lt;/DATA&gt;", $A$1, FIND("726-01-03", $A$1))&lt;FIND("&lt;CODE&gt;", $A$1, FIND("&lt;CODE&gt;", $A$1, FIND("&lt;CODE&gt;", $A$1, FIND("726-01-03", $A$1))+1)+1)+LEN("&lt;CODE&gt;"), "", ""&amp;MID($A$1, FIND("&lt;CODE&gt;", $A$1, FIND("&lt;CODE&gt;", $A$1, FIND("&lt;CODE&gt;", $A$1, FIND("726-01-03", $A$1))+1)+1)+LEN("&lt;CODE&gt;"), FIND("&lt;/CODE&gt;", $A$1, FIND("&lt;/CODE&gt;", $A$1, FIND("&lt;/CODE&gt;", $A$1, FIND("726-01-03", $A$1))+1)+1)-(FIND("&lt;CODE&gt;", $A$1, FIND("&lt;CODE&gt;", $A$1, FIND("&lt;CODE&gt;", $A$1, FIND("726-01-03", $A$1))+1)+1)+LEN("&lt;CODE&gt;")))), "")</f>
        <v/>
      </c>
      <c r="B7" s="0" t="str">
        <f aca="false" ca="false" dt2D="false" dtr="false" t="normal">IFERROR("706G1G3"&amp;MID($A$1, FIND("&lt;CODE&gt;", $A$1, FIND("706-01-03", $A$1))+LEN("&lt;CODE&gt;"), FIND("&lt;/CODE&gt;", $A$1, FIND("706-01-03", $A$1))-(FIND("&lt;CODE&gt;", $A$1, FIND("706-01-03", $A$1))+LEN("&lt;CODE&gt;")))&amp;IF(FIND("&lt;/DATA&gt;", $A$1, FIND("706-01-03", $A$1))&lt;FIND("&lt;CODE&gt;", $A$1, FIND("&lt;CODE&gt;", $A$1, FIND("706-01-03", $A$1))+1)+LEN("&lt;CODE&gt;"), "", ""&amp;MID($A$1, FIND("&lt;CODE&gt;", $A$1, FIND("&lt;CODE&gt;", $A$1, FIND("706-01-03", $A$1))+1)+LEN("&lt;CODE&gt;"), FIND("&lt;/CODE&gt;", $A$1, FIND("&lt;/CODE&gt;", $A$1, FIND("706-01-03", $A$1))+1)-(FIND("&lt;CODE&gt;", $A$1, FIND("&lt;CODE&gt;", $A$1, FIND("706-01-03", $A$1))+1)+LEN("&lt;CODE&gt;"))))&amp;IF(FIND("&lt;/DATA&gt;", $A$1, FIND("706-01-03", $A$1))&lt;FIND("&lt;CODE&gt;", $A$1, FIND("&lt;CODE&gt;", $A$1, FIND("&lt;CODE&gt;", $A$1, FIND("706-01-03", $A$1))+1)+1)+LEN("&lt;CODE&gt;"), "", ""&amp;MID($A$1, FIND("&lt;CODE&gt;", $A$1, FIND("&lt;CODE&gt;", $A$1, FIND("&lt;CODE&gt;", $A$1, FIND("706-01-03", $A$1))+1)+1)+LEN("&lt;CODE&gt;"), FIND("&lt;/CODE&gt;", $A$1, FIND("&lt;/CODE&gt;", $A$1, FIND("&lt;/CODE&gt;", $A$1, FIND("706-01-03", $A$1))+1)+1)-(FIND("&lt;CODE&gt;", $A$1, FIND("&lt;CODE&gt;", $A$1, FIND("&lt;CODE&gt;", $A$1, FIND("706-01-03", $A$1))+1)+1)+LEN("&lt;CODE&gt;")))), "")</f>
        <v/>
      </c>
      <c r="C7" s="0" t="str">
        <f aca="false" ca="false" dt2D="false" dtr="false" t="normal">IFERROR("720G1G3"&amp;MID($A$1, FIND("&lt;CODE&gt;", $A$1, FIND("720-01-03", $A$1))+LEN("&lt;CODE&gt;"), FIND("&lt;/CODE&gt;", $A$1, FIND("720-01-03", $A$1))-(FIND("&lt;CODE&gt;", $A$1, FIND("720-01-03", $A$1))+LEN("&lt;CODE&gt;")))&amp;IF(FIND("&lt;/DATA&gt;", $A$1, FIND("720-01-03", $A$1))&lt;FIND("&lt;CODE&gt;", $A$1, FIND("&lt;CODE&gt;", $A$1, FIND("720-01-03", $A$1))+1)+LEN("&lt;CODE&gt;"), "", ""&amp;MID($A$1, FIND("&lt;CODE&gt;", $A$1, FIND("&lt;CODE&gt;", $A$1, FIND("720-01-03", $A$1))+1)+LEN("&lt;CODE&gt;"), FIND("&lt;/CODE&gt;", $A$1, FIND("&lt;/CODE&gt;", $A$1, FIND("720-01-03", $A$1))+1)-(FIND("&lt;CODE&gt;", $A$1, FIND("&lt;CODE&gt;", $A$1, FIND("720-01-03", $A$1))+1)+LEN("&lt;CODE&gt;"))))&amp;IF(FIND("&lt;/DATA&gt;", $A$1, FIND("720-01-03", $A$1))&lt;FIND("&lt;CODE&gt;", $A$1, FIND("&lt;CODE&gt;", $A$1, FIND("&lt;CODE&gt;", $A$1, FIND("720-01-03", $A$1))+1)+1)+LEN("&lt;CODE&gt;"), "", ""&amp;MID($A$1, FIND("&lt;CODE&gt;", $A$1, FIND("&lt;CODE&gt;", $A$1, FIND("&lt;CODE&gt;", $A$1, FIND("720-01-03", $A$1))+1)+1)+LEN("&lt;CODE&gt;"), FIND("&lt;/CODE&gt;", $A$1, FIND("&lt;/CODE&gt;", $A$1, FIND("&lt;/CODE&gt;", $A$1, FIND("720-01-03", $A$1))+1)+1)-(FIND("&lt;CODE&gt;", $A$1, FIND("&lt;CODE&gt;", $A$1, FIND("&lt;CODE&gt;", $A$1, FIND("720-01-03", $A$1))+1)+1)+LEN("&lt;CODE&gt;")))), "")</f>
        <v/>
      </c>
      <c r="D7" s="0" t="str">
        <f aca="false" ca="false" dt2D="false" dtr="false" t="normal">IFERROR("720G4G3"&amp;MID($A$1, FIND("&lt;CCC_DATA&gt;", $A$1)+LEN("&lt;CCC_DATA&gt;")+20, 10), "")</f>
        <v/>
      </c>
      <c r="E7" s="0" t="str">
        <f aca="false" ca="false" dt2D="false" dtr="false" t="normal">IFERROR("7B7G1G3"&amp;MID($A$1, FIND("&lt;CODE&gt;", $A$1, FIND("7B7-01-03", $A$1))+LEN("&lt;CODE&gt;"), FIND("&lt;/CODE&gt;", $A$1, FIND("7B7-01-03", $A$1))-(FIND("&lt;CODE&gt;", $A$1, FIND("7B7-01-03", $A$1))+LEN("&lt;CODE&gt;")))&amp;IF(FIND("&lt;/DATA&gt;", $A$1, FIND("7B7-01-03", $A$1))&lt;FIND("&lt;CODE&gt;", $A$1, FIND("&lt;CODE&gt;", $A$1, FIND("7B7-01-03", $A$1))+1)+LEN("&lt;CODE&gt;"), "", ""&amp;MID($A$1, FIND("&lt;CODE&gt;", $A$1, FIND("&lt;CODE&gt;", $A$1, FIND("7B7-01-03", $A$1))+1)+LEN("&lt;CODE&gt;"), FIND("&lt;/CODE&gt;", $A$1, FIND("&lt;/CODE&gt;", $A$1, FIND("7B7-01-03", $A$1))+1)-(FIND("&lt;CODE&gt;", $A$1, FIND("&lt;CODE&gt;", $A$1, FIND("7B7-01-03", $A$1))+1)+LEN("&lt;CODE&gt;"))))&amp;IF(FIND("&lt;/DATA&gt;", $A$1, FIND("7B7-01-03", $A$1))&lt;IFERROR(FIND("&lt;CODE&gt;", $A$1, FIND("&lt;CODE&gt;", $A$1, FIND("&lt;CODE&gt;", $A$1, FIND("7B7-01-03", $A$1))+1)+1)+LEN("&lt;CODE&gt;"), 99999999), "", ""&amp;MID($A$1, FIND("&lt;CODE&gt;", $A$1, FIND("&lt;CODE&gt;", $A$1, FIND("&lt;CODE&gt;", $A$1, FIND("7B7-01-03", $A$1))+1)+1)+LEN("&lt;CODE&gt;"), FIND("&lt;/CODE&gt;", $A$1, FIND("&lt;/CODE&gt;", $A$1, FIND("&lt;/CODE&gt;", $A$1, FIND("7B7-01-03", $A$1))+1)+1)-(FIND("&lt;CODE&gt;", $A$1, FIND("&lt;CODE&gt;", $A$1, FIND("&lt;CODE&gt;", $A$1, FIND("7B7-01-03", $A$1))+1)+1)+LEN("&lt;CODE&gt;")))), "")</f>
        <v/>
      </c>
      <c r="F7" s="0" t="str">
        <f aca="false" ca="false" dt2D="false" dtr="false" t="normal">IFERROR("737G1G3"&amp;MID($A$1, FIND("&lt;CODE&gt;", $A$1, FIND("737-01-03", $A$1))+LEN("&lt;CODE&gt;"), FIND("&lt;/CODE&gt;", $A$1, FIND("737-01-03", $A$1))-(FIND("&lt;CODE&gt;", $A$1, FIND("737-01-03", $A$1))+LEN("&lt;CODE&gt;")))&amp;IF(FIND("&lt;/DATA&gt;", $A$1, FIND("737-01-03", $A$1))&lt;FIND("&lt;CODE&gt;", $A$1, FIND("&lt;CODE&gt;", $A$1, FIND("737-01-03", $A$1))+1)+LEN("&lt;CODE&gt;"), "", ""&amp;MID($A$1, FIND("&lt;CODE&gt;", $A$1, FIND("&lt;CODE&gt;", $A$1, FIND("737-01-03", $A$1))+1)+LEN("&lt;CODE&gt;"), FIND("&lt;/CODE&gt;", $A$1, FIND("&lt;/CODE&gt;", $A$1, FIND("737-01-03", $A$1))+1)-(FIND("&lt;CODE&gt;", $A$1, FIND("&lt;CODE&gt;", $A$1, FIND("737-01-03", $A$1))+1)+LEN("&lt;CODE&gt;"))))&amp;IF(FIND("&lt;/DATA&gt;", $A$1, FIND("737-01-03", $A$1))&lt;IFERROR(FIND("&lt;CODE&gt;", $A$1, FIND("&lt;CODE&gt;", $A$1, FIND("&lt;CODE&gt;", $A$1, FIND("737-01-03", $A$1))+1)+1)+LEN("&lt;CODE&gt;"), 99999999), "", ""&amp;MID($A$1, FIND("&lt;CODE&gt;", $A$1, FIND("&lt;CODE&gt;", $A$1, FIND("&lt;CODE&gt;", $A$1, FIND("737-01-03", $A$1))+1)+1)+LEN("&lt;CODE&gt;"), FIND("&lt;/CODE&gt;", $A$1, FIND("&lt;/CODE&gt;", $A$1, FIND("&lt;/CODE&gt;", $A$1, FIND("737-01-03", $A$1))+1)+1)-(FIND("&lt;CODE&gt;", $A$1, FIND("&lt;CODE&gt;", $A$1, FIND("&lt;CODE&gt;", $A$1, FIND("737-01-03", $A$1))+1)+1)+LEN("&lt;CODE&gt;")))), "")</f>
        <v/>
      </c>
      <c r="G7" s="0" t="str">
        <f aca="false" ca="false" dt2D="false" dtr="false" t="normal">IFERROR("731G1G3"&amp;MID($A$1, FIND("&lt;CODE&gt;", $A$1, FIND("731-01-03", $A$1))+LEN("&lt;CODE&gt;"), FIND("&lt;/CODE&gt;", $A$1, FIND("731-01-03", $A$1))-(FIND("&lt;CODE&gt;", $A$1, FIND("731-01-03", $A$1))+LEN("&lt;CODE&gt;")))&amp;IF(FIND("&lt;/DATA&gt;", $A$1, FIND("731-01-03", $A$1))&lt;FIND("&lt;CODE&gt;", $A$1, FIND("&lt;CODE&gt;", $A$1, FIND("731-01-03", $A$1))+1)+LEN("&lt;CODE&gt;"), "", ""&amp;MID($A$1, FIND("&lt;CODE&gt;", $A$1, FIND("&lt;CODE&gt;", $A$1, FIND("731-01-03", $A$1))+1)+LEN("&lt;CODE&gt;"), FIND("&lt;/CODE&gt;", $A$1, FIND("&lt;/CODE&gt;", $A$1, FIND("731-01-03", $A$1))+1)-(FIND("&lt;CODE&gt;", $A$1, FIND("&lt;CODE&gt;", $A$1, FIND("731-01-03", $A$1))+1)+LEN("&lt;CODE&gt;"))))&amp;IF(FIND("&lt;/DATA&gt;", $A$1, FIND("731-01-03", $A$1))&lt;FIND("&lt;CODE&gt;", $A$1, FIND("&lt;CODE&gt;", $A$1, FIND("&lt;CODE&gt;", $A$1, FIND("731-01-03", $A$1))+1)+1)+LEN("&lt;CODE&gt;"), "", ""&amp;MID($A$1, FIND("&lt;CODE&gt;", $A$1, FIND("&lt;CODE&gt;", $A$1, FIND("&lt;CODE&gt;", $A$1, FIND("731-01-03", $A$1))+1)+1)+LEN("&lt;CODE&gt;"), FIND("&lt;/CODE&gt;", $A$1, FIND("&lt;/CODE&gt;", $A$1, FIND("&lt;/CODE&gt;", $A$1, FIND("731-01-03", $A$1))+1)+1)-(FIND("&lt;CODE&gt;", $A$1, FIND("&lt;CODE&gt;", $A$1, FIND("&lt;CODE&gt;", $A$1, FIND("731-01-03", $A$1))+1)+1)+LEN("&lt;CODE&gt;")))), "")</f>
        <v/>
      </c>
      <c r="I7" s="7288" t="s">
        <v>2858</v>
      </c>
    </row>
    <row outlineLevel="0" r="8">
      <c r="B8" s="0" t="str">
        <f aca="false" ca="false" dt2D="false" dtr="false" t="normal">IFERROR("706G1G4"&amp;MID($A$1, FIND("&lt;CODE&gt;", $A$1, FIND("706-01-04", $A$1))+LEN("&lt;CODE&gt;"), FIND("&lt;/CODE&gt;", $A$1, FIND("706-01-04", $A$1))-(FIND("&lt;CODE&gt;", $A$1, FIND("706-01-04", $A$1))+LEN("&lt;CODE&gt;")))&amp;IF(FIND("&lt;/DATA&gt;", $A$1, FIND("706-01-04", $A$1))&lt;FIND("&lt;CODE&gt;", $A$1, FIND("&lt;CODE&gt;", $A$1, FIND("706-01-04", $A$1))+1)+LEN("&lt;CODE&gt;"), "", ""&amp;MID($A$1, FIND("&lt;CODE&gt;", $A$1, FIND("&lt;CODE&gt;", $A$1, FIND("706-01-04", $A$1))+1)+LEN("&lt;CODE&gt;"), FIND("&lt;/CODE&gt;", $A$1, FIND("&lt;/CODE&gt;", $A$1, FIND("706-01-04", $A$1))+1)-(FIND("&lt;CODE&gt;", $A$1, FIND("&lt;CODE&gt;", $A$1, FIND("706-01-04", $A$1))+1)+LEN("&lt;CODE&gt;"))))&amp;IF(FIND("&lt;/DATA&gt;", $A$1, FIND("706-01-04", $A$1))&lt;FIND("&lt;CODE&gt;", $A$1, FIND("&lt;CODE&gt;", $A$1, FIND("&lt;CODE&gt;", $A$1, FIND("706-01-04", $A$1))+1)+1)+LEN("&lt;CODE&gt;"), "", ""&amp;MID($A$1, FIND("&lt;CODE&gt;", $A$1, FIND("&lt;CODE&gt;", $A$1, FIND("&lt;CODE&gt;", $A$1, FIND("706-01-04", $A$1))+1)+1)+LEN("&lt;CODE&gt;"), FIND("&lt;/CODE&gt;", $A$1, FIND("&lt;/CODE&gt;", $A$1, FIND("&lt;/CODE&gt;", $A$1, FIND("706-01-04", $A$1))+1)+1)-(FIND("&lt;CODE&gt;", $A$1, FIND("&lt;CODE&gt;", $A$1, FIND("&lt;CODE&gt;", $A$1, FIND("706-01-04", $A$1))+1)+1)+LEN("&lt;CODE&gt;")))), "")</f>
        <v/>
      </c>
      <c r="C8" s="0" t="str">
        <f aca="false" ca="false" dt2D="false" dtr="false" t="normal">IFERROR("720G1G4"&amp;MID($A$1, FIND("&lt;CODE&gt;", $A$1, FIND("720-01-04", $A$1))+LEN("&lt;CODE&gt;"), FIND("&lt;/CODE&gt;", $A$1, FIND("720-01-04", $A$1))-(FIND("&lt;CODE&gt;", $A$1, FIND("720-01-04", $A$1))+LEN("&lt;CODE&gt;")))&amp;IF(FIND("&lt;/DATA&gt;", $A$1, FIND("720-01-04", $A$1))&lt;FIND("&lt;CODE&gt;", $A$1, FIND("&lt;CODE&gt;", $A$1, FIND("720-01-04", $A$1))+1)+LEN("&lt;CODE&gt;"), "", ""&amp;MID($A$1, FIND("&lt;CODE&gt;", $A$1, FIND("&lt;CODE&gt;", $A$1, FIND("720-01-04", $A$1))+1)+LEN("&lt;CODE&gt;"), FIND("&lt;/CODE&gt;", $A$1, FIND("&lt;/CODE&gt;", $A$1, FIND("720-01-04", $A$1))+1)-(FIND("&lt;CODE&gt;", $A$1, FIND("&lt;CODE&gt;", $A$1, FIND("720-01-04", $A$1))+1)+LEN("&lt;CODE&gt;"))))&amp;IF(FIND("&lt;/DATA&gt;", $A$1, FIND("720-01-04", $A$1))&lt;FIND("&lt;CODE&gt;", $A$1, FIND("&lt;CODE&gt;", $A$1, FIND("&lt;CODE&gt;", $A$1, FIND("720-01-04", $A$1))+1)+1)+LEN("&lt;CODE&gt;"), "", ""&amp;MID($A$1, FIND("&lt;CODE&gt;", $A$1, FIND("&lt;CODE&gt;", $A$1, FIND("&lt;CODE&gt;", $A$1, FIND("720-01-04", $A$1))+1)+1)+LEN("&lt;CODE&gt;"), FIND("&lt;/CODE&gt;", $A$1, FIND("&lt;/CODE&gt;", $A$1, FIND("&lt;/CODE&gt;", $A$1, FIND("720-01-04", $A$1))+1)+1)-(FIND("&lt;CODE&gt;", $A$1, FIND("&lt;CODE&gt;", $A$1, FIND("&lt;CODE&gt;", $A$1, FIND("720-01-04", $A$1))+1)+1)+LEN("&lt;CODE&gt;")))), "")</f>
        <v/>
      </c>
      <c r="D8" s="0" t="str">
        <f aca="false" ca="false" dt2D="false" dtr="false" t="normal">IFERROR("720G4G4"&amp;MID($A$1, FIND("&lt;CCC_DATA&gt;", $A$1)+LEN("&lt;CCC_DATA&gt;")+30, 10), "")</f>
        <v/>
      </c>
      <c r="I8" s="7288" t="s">
        <v>2859</v>
      </c>
    </row>
    <row outlineLevel="0" r="9">
      <c r="C9" s="0" t="str">
        <f aca="false" ca="false" dt2D="false" dtr="false" t="normal">IFERROR("720G1G5"&amp;MID($A$1, FIND("&lt;CODE&gt;", $A$1, FIND("720-01-05", $A$1))+LEN("&lt;CODE&gt;"), FIND("&lt;/CODE&gt;", $A$1, FIND("720-01-05", $A$1))-(FIND("&lt;CODE&gt;", $A$1, FIND("720-01-05", $A$1))+LEN("&lt;CODE&gt;")))&amp;IF(FIND("&lt;/DATA&gt;", $A$1, FIND("720-01-05", $A$1))&lt;FIND("&lt;CODE&gt;", $A$1, FIND("&lt;CODE&gt;", $A$1, FIND("720-01-05", $A$1))+1)+LEN("&lt;CODE&gt;"), "", ""&amp;MID($A$1, FIND("&lt;CODE&gt;", $A$1, FIND("&lt;CODE&gt;", $A$1, FIND("720-01-05", $A$1))+1)+LEN("&lt;CODE&gt;"), FIND("&lt;/CODE&gt;", $A$1, FIND("&lt;/CODE&gt;", $A$1, FIND("720-01-05", $A$1))+1)-(FIND("&lt;CODE&gt;", $A$1, FIND("&lt;CODE&gt;", $A$1, FIND("720-01-05", $A$1))+1)+LEN("&lt;CODE&gt;"))))&amp;IF(FIND("&lt;/DATA&gt;", $A$1, FIND("720-01-05", $A$1))&lt;FIND("&lt;CODE&gt;", $A$1, FIND("&lt;CODE&gt;", $A$1, FIND("&lt;CODE&gt;", $A$1, FIND("720-01-05", $A$1))+1)+1)+LEN("&lt;CODE&gt;"), "", ""&amp;MID($A$1, FIND("&lt;CODE&gt;", $A$1, FIND("&lt;CODE&gt;", $A$1, FIND("&lt;CODE&gt;", $A$1, FIND("720-01-05", $A$1))+1)+1)+LEN("&lt;CODE&gt;"), FIND("&lt;/CODE&gt;", $A$1, FIND("&lt;/CODE&gt;", $A$1, FIND("&lt;/CODE&gt;", $A$1, FIND("720-01-05", $A$1))+1)+1)-(FIND("&lt;CODE&gt;", $A$1, FIND("&lt;CODE&gt;", $A$1, FIND("&lt;CODE&gt;", $A$1, FIND("720-01-05", $A$1))+1)+1)+LEN("&lt;CODE&gt;")))), "")</f>
        <v/>
      </c>
      <c r="D9" s="0" t="str">
        <f aca="false" ca="false" dt2D="false" dtr="false" t="normal">IFERROR("720G4G5"&amp;MID($A$1, FIND("&lt;CCC_DATA&gt;", $A$1)+LEN("&lt;CCC_DATA&gt;")+40, 10), "")</f>
        <v/>
      </c>
      <c r="I9" s="7288" t="s">
        <v>2860</v>
      </c>
    </row>
    <row outlineLevel="0" r="10">
      <c r="C10" s="0" t="str">
        <f aca="false" ca="false" dt2D="false" dtr="false" t="normal">IFERROR("720G1G6"&amp;MID($A$1, FIND("&lt;CODE&gt;", $A$1, FIND("720-01-06", $A$1))+LEN("&lt;CODE&gt;"), FIND("&lt;/CODE&gt;", $A$1, FIND("720-01-06", $A$1))-(FIND("&lt;CODE&gt;", $A$1, FIND("720-01-06", $A$1))+LEN("&lt;CODE&gt;")))&amp;IF(FIND("&lt;/DATA&gt;", $A$1, FIND("720-01-06", $A$1))&lt;FIND("&lt;CODE&gt;", $A$1, FIND("&lt;CODE&gt;", $A$1, FIND("720-01-06", $A$1))+1)+LEN("&lt;CODE&gt;"), "", ""&amp;MID($A$1, FIND("&lt;CODE&gt;", $A$1, FIND("&lt;CODE&gt;", $A$1, FIND("720-01-06", $A$1))+1)+LEN("&lt;CODE&gt;"), FIND("&lt;/CODE&gt;", $A$1, FIND("&lt;/CODE&gt;", $A$1, FIND("720-01-06", $A$1))+1)-(FIND("&lt;CODE&gt;", $A$1, FIND("&lt;CODE&gt;", $A$1, FIND("720-01-06", $A$1))+1)+LEN("&lt;CODE&gt;"))))&amp;IF(FIND("&lt;/DATA&gt;", $A$1, FIND("720-01-06", $A$1))&lt;FIND("&lt;CODE&gt;", $A$1, FIND("&lt;CODE&gt;", $A$1, FIND("&lt;CODE&gt;", $A$1, FIND("720-01-06", $A$1))+1)+1)+LEN("&lt;CODE&gt;"), "", ""&amp;MID($A$1, FIND("&lt;CODE&gt;", $A$1, FIND("&lt;CODE&gt;", $A$1, FIND("&lt;CODE&gt;", $A$1, FIND("720-01-06", $A$1))+1)+1)+LEN("&lt;CODE&gt;"), FIND("&lt;/CODE&gt;", $A$1, FIND("&lt;/CODE&gt;", $A$1, FIND("&lt;/CODE&gt;", $A$1, FIND("720-01-06", $A$1))+1)+1)-(FIND("&lt;CODE&gt;", $A$1, FIND("&lt;CODE&gt;", $A$1, FIND("&lt;CODE&gt;", $A$1, FIND("720-01-06", $A$1))+1)+1)+LEN("&lt;CODE&gt;")))), "")</f>
        <v/>
      </c>
      <c r="D10" s="0" t="str">
        <f aca="false" ca="false" dt2D="false" dtr="false" t="normal">IFERROR("720G4G6"&amp;MID($A$1, FIND("&lt;CCC_DATA&gt;", $A$1)+LEN("&lt;CCC_DATA&gt;")+50, 10), "")</f>
        <v/>
      </c>
      <c r="I10" s="7288" t="s">
        <v>2861</v>
      </c>
    </row>
    <row outlineLevel="0" r="11">
      <c r="C11" s="0" t="str">
        <f aca="false" ca="false" dt2D="false" dtr="false" t="normal">IFERROR("720G1G7"&amp;MID($A$1, FIND("&lt;CODE&gt;", $A$1, FIND("720-01-07", $A$1))+LEN("&lt;CODE&gt;"), FIND("&lt;/CODE&gt;", $A$1, FIND("720-01-07", $A$1))-(FIND("&lt;CODE&gt;", $A$1, FIND("720-01-07", $A$1))+LEN("&lt;CODE&gt;")))&amp;IF(FIND("&lt;/DATA&gt;", $A$1, FIND("720-01-07", $A$1))&lt;FIND("&lt;CODE&gt;", $A$1, FIND("&lt;CODE&gt;", $A$1, FIND("720-01-07", $A$1))+1)+LEN("&lt;CODE&gt;"), "", ""&amp;MID($A$1, FIND("&lt;CODE&gt;", $A$1, FIND("&lt;CODE&gt;", $A$1, FIND("720-01-07", $A$1))+1)+LEN("&lt;CODE&gt;"), FIND("&lt;/CODE&gt;", $A$1, FIND("&lt;/CODE&gt;", $A$1, FIND("720-01-07", $A$1))+1)-(FIND("&lt;CODE&gt;", $A$1, FIND("&lt;CODE&gt;", $A$1, FIND("720-01-07", $A$1))+1)+LEN("&lt;CODE&gt;"))))&amp;IF(FIND("&lt;/DATA&gt;", $A$1, FIND("720-01-07", $A$1))&lt;FIND("&lt;CODE&gt;", $A$1, FIND("&lt;CODE&gt;", $A$1, FIND("&lt;CODE&gt;", $A$1, FIND("720-01-07", $A$1))+1)+1)+LEN("&lt;CODE&gt;"), "", ""&amp;MID($A$1, FIND("&lt;CODE&gt;", $A$1, FIND("&lt;CODE&gt;", $A$1, FIND("&lt;CODE&gt;", $A$1, FIND("720-01-07", $A$1))+1)+1)+LEN("&lt;CODE&gt;"), FIND("&lt;/CODE&gt;", $A$1, FIND("&lt;/CODE&gt;", $A$1, FIND("&lt;/CODE&gt;", $A$1, FIND("720-01-07", $A$1))+1)+1)-(FIND("&lt;CODE&gt;", $A$1, FIND("&lt;CODE&gt;", $A$1, FIND("&lt;CODE&gt;", $A$1, FIND("720-01-07", $A$1))+1)+1)+LEN("&lt;CODE&gt;")))), "")</f>
        <v/>
      </c>
      <c r="D11" s="0" t="str">
        <f aca="false" ca="false" dt2D="false" dtr="false" t="normal">IFERROR("720G4G7"&amp;MID($A$1, FIND("&lt;CCC_DATA&gt;", $A$1)+LEN("&lt;CCC_DATA&gt;")+60, 10), "")</f>
        <v/>
      </c>
      <c r="I11" s="7286" t="s">
        <v>2862</v>
      </c>
    </row>
    <row outlineLevel="0" r="12">
      <c r="C12" s="0" t="str">
        <f aca="false" ca="false" dt2D="false" dtr="false" t="normal">IFERROR("720G1G8"&amp;MID($A$1, FIND("&lt;CODE&gt;", $A$1, FIND("720-01-08", $A$1))+LEN("&lt;CODE&gt;"), FIND("&lt;/CODE&gt;", $A$1, FIND("720-01-08", $A$1))-(FIND("&lt;CODE&gt;", $A$1, FIND("720-01-08", $A$1))+LEN("&lt;CODE&gt;")))&amp;IF(FIND("&lt;/DATA&gt;", $A$1, FIND("720-01-08", $A$1))&lt;FIND("&lt;CODE&gt;", $A$1, FIND("&lt;CODE&gt;", $A$1, FIND("720-01-08", $A$1))+1)+LEN("&lt;CODE&gt;"), "", ""&amp;MID($A$1, FIND("&lt;CODE&gt;", $A$1, FIND("&lt;CODE&gt;", $A$1, FIND("720-01-08", $A$1))+1)+LEN("&lt;CODE&gt;"), FIND("&lt;/CODE&gt;", $A$1, FIND("&lt;/CODE&gt;", $A$1, FIND("720-01-08", $A$1))+1)-(FIND("&lt;CODE&gt;", $A$1, FIND("&lt;CODE&gt;", $A$1, FIND("720-01-08", $A$1))+1)+LEN("&lt;CODE&gt;"))))&amp;IF(FIND("&lt;/DATA&gt;", $A$1, FIND("720-01-08", $A$1))&lt;FIND("&lt;CODE&gt;", $A$1, FIND("&lt;CODE&gt;", $A$1, FIND("&lt;CODE&gt;", $A$1, FIND("720-01-08", $A$1))+1)+1)+LEN("&lt;CODE&gt;"), "", ""&amp;MID($A$1, FIND("&lt;CODE&gt;", $A$1, FIND("&lt;CODE&gt;", $A$1, FIND("&lt;CODE&gt;", $A$1, FIND("720-01-08", $A$1))+1)+1)+LEN("&lt;CODE&gt;"), FIND("&lt;/CODE&gt;", $A$1, FIND("&lt;/CODE&gt;", $A$1, FIND("&lt;/CODE&gt;", $A$1, FIND("720-01-08", $A$1))+1)+1)-(FIND("&lt;CODE&gt;", $A$1, FIND("&lt;CODE&gt;", $A$1, FIND("&lt;CODE&gt;", $A$1, FIND("720-01-08", $A$1))+1)+1)+LEN("&lt;CODE&gt;")))), "")</f>
        <v/>
      </c>
      <c r="D12" s="0" t="str">
        <f aca="false" ca="false" dt2D="false" dtr="false" t="normal">IFERROR("720G4G8"&amp;MID($A$1, FIND("&lt;CCC_DATA&gt;", $A$1)+LEN("&lt;CCC_DATA&gt;")+70, 10), "")</f>
        <v/>
      </c>
      <c r="I12" s="7288" t="s">
        <v>2863</v>
      </c>
    </row>
    <row outlineLevel="0" r="13">
      <c r="C13" s="0" t="str">
        <f aca="false" ca="false" dt2D="false" dtr="false" t="normal">IFERROR("720G1G9"&amp;MID($A$1, FIND("&lt;CODE&gt;", $A$1, FIND("720-01-09", $A$1))+LEN("&lt;CODE&gt;"), FIND("&lt;/CODE&gt;", $A$1, FIND("720-01-09", $A$1))-(FIND("&lt;CODE&gt;", $A$1, FIND("720-01-09", $A$1))+LEN("&lt;CODE&gt;")))&amp;IF(FIND("&lt;/DATA&gt;", $A$1, FIND("720-01-09", $A$1))&lt;FIND("&lt;CODE&gt;", $A$1, FIND("&lt;CODE&gt;", $A$1, FIND("720-01-09", $A$1))+1)+LEN("&lt;CODE&gt;"), "", ""&amp;MID($A$1, FIND("&lt;CODE&gt;", $A$1, FIND("&lt;CODE&gt;", $A$1, FIND("720-01-09", $A$1))+1)+LEN("&lt;CODE&gt;"), FIND("&lt;/CODE&gt;", $A$1, FIND("&lt;/CODE&gt;", $A$1, FIND("720-01-09", $A$1))+1)-(FIND("&lt;CODE&gt;", $A$1, FIND("&lt;CODE&gt;", $A$1, FIND("720-01-09", $A$1))+1)+LEN("&lt;CODE&gt;"))))&amp;IF(FIND("&lt;/DATA&gt;", $A$1, FIND("720-01-09", $A$1))&lt;FIND("&lt;CODE&gt;", $A$1, FIND("&lt;CODE&gt;", $A$1, FIND("&lt;CODE&gt;", $A$1, FIND("720-01-09", $A$1))+1)+1)+LEN("&lt;CODE&gt;"), "", ""&amp;MID($A$1, FIND("&lt;CODE&gt;", $A$1, FIND("&lt;CODE&gt;", $A$1, FIND("&lt;CODE&gt;", $A$1, FIND("720-01-09", $A$1))+1)+1)+LEN("&lt;CODE&gt;"), FIND("&lt;/CODE&gt;", $A$1, FIND("&lt;/CODE&gt;", $A$1, FIND("&lt;/CODE&gt;", $A$1, FIND("720-01-09", $A$1))+1)+1)-(FIND("&lt;CODE&gt;", $A$1, FIND("&lt;CODE&gt;", $A$1, FIND("&lt;CODE&gt;", $A$1, FIND("720-01-09", $A$1))+1)+1)+LEN("&lt;CODE&gt;")))), "")</f>
        <v/>
      </c>
      <c r="D13" s="0" t="str">
        <f aca="false" ca="false" dt2D="false" dtr="false" t="normal">IFERROR("720G4G9"&amp;MID($A$1, FIND("&lt;CCC_DATA&gt;", $A$1)+LEN("&lt;CCC_DATA&gt;")+80, 10), "")</f>
        <v/>
      </c>
      <c r="I13" s="7288" t="s">
        <v>2864</v>
      </c>
    </row>
    <row outlineLevel="0" r="14">
      <c r="D14" s="0" t="str">
        <f aca="false" ca="false" dt2D="false" dtr="false" t="normal">IFERROR("720G4GA"&amp;MID($A$1, FIND("&lt;CCC_DATA&gt;", $A$1)+LEN("&lt;CCC_DATA&gt;")+90, 10), "")</f>
        <v/>
      </c>
    </row>
    <row outlineLevel="0" r="15">
      <c r="D15" s="0" t="str">
        <f aca="false" ca="false" dt2D="false" dtr="false" t="normal">IFERROR("720G4GB"&amp;MID($A$1, FIND("&lt;CCC_DATA&gt;", $A$1)+LEN("&lt;CCC_DATA&gt;")+100, 10), "")</f>
        <v/>
      </c>
    </row>
    <row outlineLevel="0" r="16">
      <c r="D16" s="0" t="str">
        <f aca="false" ca="false" dt2D="false" dtr="false" t="normal">IFERROR("720G4GC"&amp;MID($A$1, FIND("&lt;CCC_DATA&gt;", $A$1)+LEN("&lt;CCC_DATA&gt;")+110, 10), "")</f>
        <v/>
      </c>
    </row>
    <row outlineLevel="0" r="17">
      <c r="D17" s="0" t="str">
        <f aca="false" ca="false" dt2D="false" dtr="false" t="normal">IFERROR("720G4GD"&amp;MID($A$1, FIND("&lt;CCC_DATA&gt;", $A$1)+LEN("&lt;CCC_DATA&gt;")+120, 10), "")</f>
        <v/>
      </c>
    </row>
    <row outlineLevel="0" r="18">
      <c r="D18" s="0" t="str">
        <f aca="false" ca="false" dt2D="false" dtr="false" t="normal">IFERROR("720G4GE"&amp;MID($A$1, FIND("&lt;CCC_DATA&gt;", $A$1)+LEN("&lt;CCC_DATA&gt;")+130, 10), "")</f>
        <v/>
      </c>
    </row>
    <row outlineLevel="0" r="19">
      <c r="D19" s="0" t="str">
        <f aca="false" ca="false" dt2D="false" dtr="false" t="normal">IFERROR("720G4GF"&amp;MID($A$1, FIND("&lt;CCC_DATA&gt;", $A$1)+LEN("&lt;CCC_DATA&gt;")+140, 10), "")</f>
        <v/>
      </c>
    </row>
    <row outlineLevel="0" r="20">
      <c r="D20" s="0" t="str">
        <f aca="false" ca="false" dt2D="false" dtr="false" t="normal">IFERROR("720G4H0"&amp;MID($A$1, FIND("&lt;CCC_DATA&gt;", $A$1)+LEN("&lt;CCC_DATA&gt;")+150, 10), "")</f>
        <v/>
      </c>
    </row>
    <row outlineLevel="0" r="21">
      <c r="D21" s="0" t="str">
        <f aca="false" ca="false" dt2D="false" dtr="false" t="normal">IFERROR("720G4H1"&amp;MID($A$1, FIND("&lt;CCC_DATA&gt;", $A$1)+LEN("&lt;CCC_DATA&gt;")+160, 10), "")</f>
        <v/>
      </c>
    </row>
    <row outlineLevel="0" r="22">
      <c r="D22" s="0" t="str">
        <f aca="false" ca="false" dt2D="false" dtr="false" t="normal">IFERROR("720G4H2"&amp;MID($A$1, FIND("&lt;CCC_DATA&gt;", $A$1)+LEN("&lt;CCC_DATA&gt;")+170, 10), "")</f>
        <v/>
      </c>
    </row>
    <row outlineLevel="0" r="23">
      <c r="D23" s="0" t="str">
        <f aca="false" ca="false" dt2D="false" dtr="false" t="normal">IFERROR("720G4H3"&amp;MID($A$1, FIND("&lt;CCC_DATA&gt;", $A$1)+LEN("&lt;CCC_DATA&gt;")+180, 10), "")</f>
        <v/>
      </c>
    </row>
    <row outlineLevel="0" r="24">
      <c r="D24" s="0" t="str">
        <f aca="false" ca="false" dt2D="false" dtr="false" t="normal">IFERROR("720G4H4"&amp;MID($A$1, FIND("&lt;CCC_DATA&gt;", $A$1)+LEN("&lt;CCC_DATA&gt;")+190, 10), "")</f>
        <v/>
      </c>
    </row>
    <row outlineLevel="0" r="25">
      <c r="D25" s="0" t="str">
        <f aca="false" ca="false" dt2D="false" dtr="false" t="normal">IFERROR("720G4H5"&amp;MID($A$1, FIND("&lt;CCC_DATA&gt;", $A$1)+LEN("&lt;CCC_DATA&gt;")+200, 10), "")</f>
        <v/>
      </c>
    </row>
    <row outlineLevel="0" r="26">
      <c r="D26" s="0" t="str">
        <f aca="false" ca="false" dt2D="false" dtr="false" t="normal">IFERROR("720G4H6"&amp;MID($A$1, FIND("&lt;CCC_DATA&gt;", $A$1)+LEN("&lt;CCC_DATA&gt;")+210, 10), "")</f>
        <v/>
      </c>
    </row>
    <row outlineLevel="0" r="27">
      <c r="D27" s="0" t="str">
        <f aca="false" ca="false" dt2D="false" dtr="false" t="normal">IFERROR("720G4H7"&amp;MID($A$1, FIND("&lt;CCC_DATA&gt;", $A$1)+LEN("&lt;CCC_DATA&gt;")+220, 10), "")</f>
        <v/>
      </c>
    </row>
    <row outlineLevel="0" r="28">
      <c r="D28" s="0" t="str">
        <f aca="false" ca="false" dt2D="false" dtr="false" t="normal">IFERROR("720G4H8"&amp;MID($A$1, FIND("&lt;CCC_DATA&gt;", $A$1)+LEN("&lt;CCC_DATA&gt;")+230, 10), "")</f>
        <v/>
      </c>
    </row>
    <row outlineLevel="0" r="29">
      <c r="D29" s="0" t="str">
        <f aca="false" ca="false" dt2D="false" dtr="false" t="normal">IFERROR("720G4H9"&amp;MID($A$1, FIND("&lt;CCC_DATA&gt;", $A$1)+LEN("&lt;CCC_DATA&gt;")+240, 10), "")</f>
        <v/>
      </c>
    </row>
    <row outlineLevel="0" r="30">
      <c r="D30" s="0" t="str">
        <f aca="false" ca="false" dt2D="false" dtr="false" t="normal">IFERROR("720G4HA"&amp;MID($A$1, FIND("&lt;CCC_DATA&gt;", $A$1)+LEN("&lt;CCC_DATA&gt;")+250, 10), "")</f>
        <v/>
      </c>
    </row>
    <row outlineLevel="0" r="31">
      <c r="D31" s="0" t="str">
        <f aca="false" ca="false" dt2D="false" dtr="false" t="normal">IFERROR("720G4HB"&amp;MID($A$1, FIND("&lt;CCC_DATA&gt;", $A$1)+LEN("&lt;CCC_DATA&gt;")+260, 10), "")</f>
        <v/>
      </c>
    </row>
    <row outlineLevel="0" r="32">
      <c r="D32" s="0" t="str">
        <f aca="false" ca="false" dt2D="false" dtr="false" t="normal">IFERROR("720G4HC"&amp;MID($A$1, FIND("&lt;CCC_DATA&gt;", $A$1)+LEN("&lt;CCC_DATA&gt;")+270, IF(FIND("&lt;/CCC_DATA&gt;", $A$1)-(FIND("&lt;CCC_DATA&gt;", $A$1)+LEN("&lt;CCC_DATA&gt;")+270)&lt;10, 2, 10)), "")</f>
        <v/>
      </c>
    </row>
    <row outlineLevel="0" r="33">
      <c r="D33" s="0" t="str">
        <f aca="false" ca="false" dt2D="false" dtr="false" t="normal">IFERROR(IF(FIND("&lt;/CCC_DATA&gt;", $A$1)-(FIND("&lt;CCC_DATA&gt;", $A$1)+LEN("&lt;CCC_DATA&gt;")+270)&lt;10, "", "720G4HD"&amp;MID($A$1, FIND("&lt;CCC_DATA&gt;", $A$1)+LEN("&lt;CCC_DATA&gt;")+280, 10)), "")</f>
        <v/>
      </c>
    </row>
    <row outlineLevel="0" r="34">
      <c r="D34" s="0" t="str">
        <f aca="false" ca="false" dt2D="false" dtr="false" t="normal">IFERROR(IF(FIND("&lt;/CCC_DATA&gt;", $A$1)-(FIND("&lt;CCC_DATA&gt;", $A$1)+LEN("&lt;CCC_DATA&gt;")+270)&lt;10, "", "720G4HE"&amp;MID($A$1, FIND("&lt;CCC_DATA&gt;", $A$1)+LEN("&lt;CCC_DATA&gt;")+290, 10)), "")</f>
        <v/>
      </c>
    </row>
    <row outlineLevel="0" r="35">
      <c r="D35" s="0" t="str">
        <f aca="false" ca="false" dt2D="false" dtr="false" t="normal">IFERROR(IF(FIND("&lt;/CCC_DATA&gt;", $A$1)-(FIND("&lt;CCC_DATA&gt;", $A$1)+LEN("&lt;CCC_DATA&gt;")+270)&lt;10, "", "720G4HF"&amp;MID($A$1, FIND("&lt;CCC_DATA&gt;", $A$1)+LEN("&lt;CCC_DATA&gt;")+300, 10)), "")</f>
        <v/>
      </c>
    </row>
    <row outlineLevel="0" r="36">
      <c r="D36" s="0" t="str">
        <f aca="false" ca="false" dt2D="false" dtr="false" t="normal">IFERROR(IF(FIND("&lt;/CCC_DATA&gt;", $A$1)-(FIND("&lt;CCC_DATA&gt;", $A$1)+LEN("&lt;CCC_DATA&gt;")+270)&lt;10, "", "720G4I0"&amp;MID($A$1, FIND("&lt;CCC_DATA&gt;", $A$1)+LEN("&lt;CCC_DATA&gt;")+310, 10)), "")</f>
        <v/>
      </c>
    </row>
    <row outlineLevel="0" r="37">
      <c r="D37" s="0" t="str">
        <f aca="false" ca="false" dt2D="false" dtr="false" t="normal">IFERROR(IF(FIND("&lt;/CCC_DATA&gt;", $A$1)-(FIND("&lt;CCC_DATA&gt;", $A$1)+LEN("&lt;CCC_DATA&gt;")+270)&lt;10, "", "720G4I1"&amp;MID($A$1, FIND("&lt;CCC_DATA&gt;", $A$1)+LEN("&lt;CCC_DATA&gt;")+320, 10)), "")</f>
        <v/>
      </c>
    </row>
    <row outlineLevel="0" r="38">
      <c r="D38" s="0" t="str">
        <f aca="false" ca="false" dt2D="false" dtr="false" t="normal">IFERROR(IF(FIND("&lt;/CCC_DATA&gt;", $A$1)-(FIND("&lt;CCC_DATA&gt;", $A$1)+LEN("&lt;CCC_DATA&gt;")+270)&lt;10, "", "720G4I2"&amp;MID($A$1, FIND("&lt;CCC_DATA&gt;", $A$1)+LEN("&lt;CCC_DATA&gt;")+330, 10)), "")</f>
        <v/>
      </c>
    </row>
    <row outlineLevel="0" r="39">
      <c r="D39" s="0" t="str">
        <f aca="false" ca="false" dt2D="false" dtr="false" t="normal">IFERROR(IF(FIND("&lt;/CCC_DATA&gt;", $A$1)-(FIND("&lt;CCC_DATA&gt;", $A$1)+LEN("&lt;CCC_DATA&gt;")+270)&lt;10, "", "720G4I3"&amp;MID($A$1, FIND("&lt;CCC_DATA&gt;", $A$1)+LEN("&lt;CCC_DATA&gt;")+340, 10)), "")</f>
        <v/>
      </c>
    </row>
    <row outlineLevel="0" r="40">
      <c r="D40" s="0" t="str">
        <f aca="false" ca="false" dt2D="false" dtr="false" t="normal">IFERROR(IF(FIND("&lt;/CCC_DATA&gt;", $A$1)-(FIND("&lt;CCC_DATA&gt;", $A$1)+LEN("&lt;CCC_DATA&gt;")+270)&lt;10, "", "720G4I4"&amp;MID($A$1, FIND("&lt;CCC_DATA&gt;", $A$1)+LEN("&lt;CCC_DATA&gt;")+350, 10)), "")</f>
        <v/>
      </c>
    </row>
    <row outlineLevel="0" r="41">
      <c r="D41" s="0" t="str">
        <f aca="false" ca="false" dt2D="false" dtr="false" t="normal">IFERROR(IF(FIND("&lt;/CCC_DATA&gt;", $A$1)-(FIND("&lt;CCC_DATA&gt;", $A$1)+LEN("&lt;CCC_DATA&gt;")+270)&lt;10, "", "720G4I5"&amp;MID($A$1, FIND("&lt;CCC_DATA&gt;", $A$1)+LEN("&lt;CCC_DATA&gt;")+360, 10)), "")</f>
        <v/>
      </c>
    </row>
    <row outlineLevel="0" r="42">
      <c r="D42" s="0" t="str">
        <f aca="false" ca="false" dt2D="false" dtr="false" t="normal">IFERROR(IF(FIND("&lt;/CCC_DATA&gt;", $A$1)-(FIND("&lt;CCC_DATA&gt;", $A$1)+LEN("&lt;CCC_DATA&gt;")+270)&lt;10, "", "720G4I6"&amp;MID($A$1, FIND("&lt;CCC_DATA&gt;", $A$1)+LEN("&lt;CCC_DATA&gt;")+370, 10)), "")</f>
        <v/>
      </c>
    </row>
    <row outlineLevel="0" r="43">
      <c r="D43" s="0" t="str">
        <f aca="false" ca="false" dt2D="false" dtr="false" t="normal">IFERROR(IF(FIND("&lt;/CCC_DATA&gt;", $A$1)-(FIND("&lt;CCC_DATA&gt;", $A$1)+LEN("&lt;CCC_DATA&gt;")+270)&lt;10, "", "720G4I7"&amp;MID($A$1, FIND("&lt;CCC_DATA&gt;", $A$1)+LEN("&lt;CCC_DATA&gt;")+380, 10)), "")</f>
        <v/>
      </c>
    </row>
    <row outlineLevel="0" r="44">
      <c r="D44" s="0" t="str">
        <f aca="false" ca="false" dt2D="false" dtr="false" t="normal">IFERROR(IF(FIND("&lt;/CCC_DATA&gt;", $A$1)-(FIND("&lt;CCC_DATA&gt;", $A$1)+LEN("&lt;CCC_DATA&gt;")+270)&lt;10, "", "720G4I8"&amp;MID($A$1, FIND("&lt;CCC_DATA&gt;", $A$1)+LEN("&lt;CCC_DATA&gt;")+390, 10)), "")</f>
        <v/>
      </c>
    </row>
    <row outlineLevel="0" r="45">
      <c r="D45" s="0" t="str">
        <f aca="false" ca="false" dt2D="false" dtr="false" t="normal">IFERROR(IF(FIND("&lt;/CCC_DATA&gt;", $A$1)-(FIND("&lt;CCC_DATA&gt;", $A$1)+LEN("&lt;CCC_DATA&gt;")+270)&lt;10, "", "720G4I9"&amp;MID($A$1, FIND("&lt;CCC_DATA&gt;", $A$1)+LEN("&lt;CCC_DATA&gt;")+400, 10)), "")</f>
        <v/>
      </c>
    </row>
    <row outlineLevel="0" r="46">
      <c r="D46" s="0" t="str">
        <f aca="false" ca="false" dt2D="false" dtr="false" t="normal">IFERROR(IF(FIND("&lt;/CCC_DATA&gt;", $A$1)-(FIND("&lt;CCC_DATA&gt;", $A$1)+LEN("&lt;CCC_DATA&gt;")+270)&lt;10, "", "720G4IA"&amp;MID($A$1, FIND("&lt;CCC_DATA&gt;", $A$1)+LEN("&lt;CCC_DATA&gt;")+410, 10)), "")</f>
        <v/>
      </c>
    </row>
    <row outlineLevel="0" r="47">
      <c r="D47" s="0" t="str">
        <f aca="false" ca="false" dt2D="false" dtr="false" t="normal">IFERROR(IF(FIND("&lt;/CCC_DATA&gt;", $A$1)-(FIND("&lt;CCC_DATA&gt;", $A$1)+LEN("&lt;CCC_DATA&gt;")+270)&lt;10, "", "720G4IB"&amp;MID($A$1, FIND("&lt;CCC_DATA&gt;", $A$1)+LEN("&lt;CCC_DATA&gt;")+420, 10)), "")</f>
        <v/>
      </c>
    </row>
    <row outlineLevel="0" r="48">
      <c r="D48" s="0" t="str">
        <f aca="false" ca="false" dt2D="false" dtr="false" t="normal">IFERROR(IF(FIND("&lt;/CCC_DATA&gt;", $A$1)-(FIND("&lt;CCC_DATA&gt;", $A$1)+LEN("&lt;CCC_DATA&gt;")+270)&lt;10, "", "720G4IC"&amp;MID($A$1, FIND("&lt;CCC_DATA&gt;", $A$1)+LEN("&lt;CCC_DATA&gt;")+430, 10)), "")</f>
        <v/>
      </c>
    </row>
    <row outlineLevel="0" r="49">
      <c r="D49" s="0" t="str">
        <f aca="false" ca="false" dt2D="false" dtr="false" t="normal">IFERROR(IF(FIND("&lt;/CCC_DATA&gt;", $A$1)-(FIND("&lt;CCC_DATA&gt;", $A$1)+LEN("&lt;CCC_DATA&gt;")+270)&lt;10, "", "720G4ID"&amp;MID($A$1, FIND("&lt;CCC_DATA&gt;", $A$1)+LEN("&lt;CCC_DATA&gt;")+440, 10)), "")</f>
        <v/>
      </c>
    </row>
    <row outlineLevel="0" r="50">
      <c r="D50" s="0" t="str">
        <f aca="false" ca="false" dt2D="false" dtr="false" t="normal">IFERROR(IF(FIND("&lt;/CCC_DATA&gt;", $A$1)-(FIND("&lt;CCC_DATA&gt;", $A$1)+LEN("&lt;CCC_DATA&gt;")+270)&lt;10, "", "720G4IE"&amp;MID($A$1, FIND("&lt;CCC_DATA&gt;", $A$1)+LEN("&lt;CCC_DATA&gt;")+450, 10)), "")</f>
        <v/>
      </c>
    </row>
    <row outlineLevel="0" r="51">
      <c r="D51" s="0" t="str">
        <f aca="false" ca="false" dt2D="false" dtr="false" t="normal">IFERROR(IF(FIND("&lt;/CCC_DATA&gt;", $A$1)-(FIND("&lt;CCC_DATA&gt;", $A$1)+LEN("&lt;CCC_DATA&gt;")+270)&lt;10, "", "720G4IF"&amp;MID($A$1, FIND("&lt;CCC_DATA&gt;", $A$1)+LEN("&lt;CCC_DATA&gt;")+460, 10)), "")</f>
        <v/>
      </c>
    </row>
    <row outlineLevel="0" r="52">
      <c r="D52" s="0" t="str">
        <f aca="false" ca="false" dt2D="false" dtr="false" t="normal">IFERROR(IF(FIND("&lt;/CCC_DATA&gt;", $A$1)-(FIND("&lt;CCC_DATA&gt;", $A$1)+LEN("&lt;CCC_DATA&gt;")+270)&lt;10, "", "720G4J0"&amp;MID($A$1, FIND("&lt;CCC_DATA&gt;", $A$1)+LEN("&lt;CCC_DATA&gt;")+470, 10)), "")</f>
        <v/>
      </c>
    </row>
    <row outlineLevel="0" r="53">
      <c r="D53" s="0" t="str">
        <f aca="false" ca="false" dt2D="false" dtr="false" t="normal">IFERROR(IF(FIND("&lt;/CCC_DATA&gt;", $A$1)-(FIND("&lt;CCC_DATA&gt;", $A$1)+LEN("&lt;CCC_DATA&gt;")+270)&lt;10, "", "720G4J1"&amp;MID($A$1, FIND("&lt;CCC_DATA&gt;", $A$1)+LEN("&lt;CCC_DATA&gt;")+480, 10)), "")</f>
        <v/>
      </c>
    </row>
    <row outlineLevel="0" r="54">
      <c r="D54" s="0" t="str">
        <f aca="false" ca="false" dt2D="false" dtr="false" t="normal">IFERROR(IF(FIND("&lt;/CCC_DATA&gt;", $A$1)-(FIND("&lt;CCC_DATA&gt;", $A$1)+LEN("&lt;CCC_DATA&gt;")+270)&lt;10, "", "720G4J2"&amp;MID($A$1, FIND("&lt;CCC_DATA&gt;", $A$1)+LEN("&lt;CCC_DATA&gt;")+490, 10)), "")</f>
        <v/>
      </c>
    </row>
    <row outlineLevel="0" r="55">
      <c r="D55" s="0" t="str">
        <f aca="false" ca="false" dt2D="false" dtr="false" t="normal">IFERROR(IF(FIND("&lt;/CCC_DATA&gt;", $A$1)-(FIND("&lt;CCC_DATA&gt;", $A$1)+LEN("&lt;CCC_DATA&gt;")+270)&lt;10, "", "720G4J3"&amp;MID($A$1, FIND("&lt;CCC_DATA&gt;", $A$1)+LEN("&lt;CCC_DATA&gt;")+500, 10)), "")</f>
        <v/>
      </c>
    </row>
    <row outlineLevel="0" r="56">
      <c r="D56" s="0" t="str">
        <f aca="false" ca="false" dt2D="false" dtr="false" t="normal">IFERROR(IF(FIND("&lt;/CCC_DATA&gt;", $A$1)-(FIND("&lt;CCC_DATA&gt;", $A$1)+LEN("&lt;CCC_DATA&gt;")+270)&lt;10, "", "720G4J4"&amp;MID($A$1, FIND("&lt;CCC_DATA&gt;", $A$1)+LEN("&lt;CCC_DATA&gt;")+510, 10)), "")</f>
        <v/>
      </c>
    </row>
    <row outlineLevel="0" r="57">
      <c r="D57" s="0" t="str">
        <f aca="false" ca="false" dt2D="false" dtr="false" t="normal">IFERROR(IF(FIND("&lt;/CCC_DATA&gt;", $A$1)-(FIND("&lt;CCC_DATA&gt;", $A$1)+LEN("&lt;CCC_DATA&gt;")+270)&lt;10, "", "720G4J5"&amp;MID($A$1, FIND("&lt;CCC_DATA&gt;", $A$1)+LEN("&lt;CCC_DATA&gt;")+520, 8)), "")</f>
        <v/>
      </c>
    </row>
  </sheetData>
  <mergeCells count="1">
    <mergeCell ref="B1:I1"/>
  </mergeCells>
  <hyperlinks>
    <hyperlink display="https://www6.b2b.mazda.co.jp/AsBuilt/index.htm" r:id="rId1" ref="I3"/>
    <hyperlink display="https://www.motorcraftservice.com/AsBuilt/" r:id="rId2" ref="I4"/>
  </hyperlinks>
  <pageMargins bottom="0.75" footer="0.30000001192092896" header="0.30000001192092896" left="0.70000004768371582" right="0.70000004768371582" top="0.75"/>
  <pageSetup fitToHeight="0" fitToWidth="0" orientation="portrait" paperHeight="297mm" paperSize="9" paperWidth="210mm" scale="100"/>
</worksheet>
</file>

<file path=xl/worksheets/sheet11.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E56"/>
  <sheetViews>
    <sheetView showZeros="true" workbookViewId="0"/>
  </sheetViews>
  <sheetFormatPr baseColWidth="8" customHeight="false" defaultColWidth="9.1406253092569258" defaultRowHeight="15" zeroHeight="false"/>
  <cols>
    <col bestFit="true" customWidth="true" max="1" min="1" outlineLevel="0" width="9.4257812982387943"/>
    <col bestFit="true" customWidth="true" max="2" min="2" outlineLevel="0" width="10.285156327314231"/>
    <col customWidth="true" max="5" min="4" outlineLevel="0" width="5.7109372872206619"/>
    <col bestFit="true" customWidth="true" max="6" min="6" outlineLevel="0" width="22.285155650649504"/>
    <col customWidth="true" max="8" min="7" outlineLevel="0" width="5.7109372872206619"/>
    <col bestFit="true" customWidth="true" max="9" min="9" outlineLevel="0" width="71.710935595558851"/>
    <col customWidth="true" max="12" min="12" outlineLevel="0" width="24.425780452407885"/>
    <col customWidth="true" max="14" min="13" outlineLevel="0" width="5.7109372872206619"/>
    <col customWidth="true" max="15" min="15" outlineLevel="0" width="33.710938640550118"/>
    <col customWidth="true" max="16" min="16" outlineLevel="0" width="5.7109372872206619"/>
    <col bestFit="true" customWidth="true" max="17" min="17" outlineLevel="0" width="21.000000169166182"/>
    <col customWidth="true" max="18" min="18" outlineLevel="0" width="5.7109372872206619"/>
    <col bestFit="true" customWidth="true" max="19" min="19" outlineLevel="0" width="69.710936610555933"/>
  </cols>
  <sheetData>
    <row outlineLevel="0" r="1">
      <c r="A1" s="0" t="s">
        <v>2865</v>
      </c>
      <c r="B1" s="7289" t="s">
        <v>2866</v>
      </c>
      <c r="C1" s="7290" t="n"/>
      <c r="D1" s="7290" t="n"/>
      <c r="E1" s="7290" t="n"/>
      <c r="F1" s="7290" t="n"/>
      <c r="G1" s="7290" t="n"/>
      <c r="H1" s="7290" t="n"/>
      <c r="I1" s="7290" t="n"/>
      <c r="J1" s="7290" t="n"/>
      <c r="K1" s="7290" t="n"/>
      <c r="L1" s="7290" t="n"/>
      <c r="M1" s="7290" t="n"/>
      <c r="N1" s="57" t="n"/>
      <c r="O1" s="7290" t="n"/>
      <c r="P1" s="7290" t="n"/>
      <c r="Q1" s="7290" t="n"/>
      <c r="R1" s="7290" t="n"/>
      <c r="S1" s="7290" t="n"/>
      <c r="T1" s="7290" t="n"/>
      <c r="U1" s="7290" t="n"/>
      <c r="V1" s="7290" t="n"/>
      <c r="W1" s="7290" t="n"/>
      <c r="X1" s="7290" t="n"/>
      <c r="Y1" s="7290" t="n"/>
      <c r="Z1" s="7290" t="n"/>
      <c r="AA1" s="7290" t="n"/>
      <c r="AB1" s="7290" t="n"/>
      <c r="AC1" s="7290" t="n"/>
      <c r="AD1" s="7290" t="n"/>
      <c r="AE1" s="7290" t="n"/>
    </row>
    <row ht="15.75" outlineLevel="0" r="2">
      <c r="F2" s="0" t="s">
        <v>2867</v>
      </c>
      <c r="I2" s="7284" t="s">
        <v>2848</v>
      </c>
      <c r="J2" s="7291" t="n"/>
      <c r="O2" s="0" t="s">
        <v>2868</v>
      </c>
      <c r="S2" s="7284" t="s">
        <v>2848</v>
      </c>
    </row>
    <row customHeight="true" ht="15" outlineLevel="0" r="3">
      <c r="A3" s="0" t="n">
        <v>720</v>
      </c>
      <c r="B3" s="293" t="s">
        <v>342</v>
      </c>
      <c r="C3" s="56" t="s">
        <v>179</v>
      </c>
      <c r="D3" s="0" t="str">
        <f aca="false" ca="false" dt2D="false" dtr="false" t="normal">IF(MID(B1, 1, 10)="Paste here", "", MID(B1, 1, 10))</f>
        <v/>
      </c>
      <c r="F3" s="56" t="n">
        <f aca="false" ca="false" dt2D="false" dtr="false" t="normal">A3&amp;B3&amp;C3&amp;D3</f>
        <v>7200401</v>
      </c>
      <c r="I3" s="7286" t="s">
        <v>2854</v>
      </c>
      <c r="J3" s="7291" t="n"/>
      <c r="K3" s="7292" t="s">
        <v>2869</v>
      </c>
      <c r="L3" s="7293" t="str">
        <f aca="false" ca="false" dt2D="false" dtr="false" t="normal">IF(MID(B1, 1, 96)="Paste here", "", MID(B1, 1, 96))</f>
        <v/>
      </c>
      <c r="M3" s="0" t="s">
        <v>183</v>
      </c>
      <c r="N3" s="0" t="s">
        <v>183</v>
      </c>
      <c r="O3" s="7294" t="n"/>
      <c r="Q3" s="7295" t="s">
        <v>2870</v>
      </c>
      <c r="S3" s="7286" t="s">
        <v>2854</v>
      </c>
    </row>
    <row outlineLevel="0" r="4">
      <c r="A4" s="0" t="n">
        <v>720</v>
      </c>
      <c r="B4" s="56" t="n">
        <f aca="false" ca="false" dt2D="false" dtr="false" t="normal">$B$3</f>
        <v>4</v>
      </c>
      <c r="C4" s="56" t="s">
        <v>216</v>
      </c>
      <c r="D4" s="0" t="str">
        <f aca="false" ca="false" dt2D="false" dtr="false" t="normal">MID(B1, 11, 10)</f>
        <v/>
      </c>
      <c r="F4" s="56" t="n">
        <f aca="false" ca="false" dt2D="false" dtr="false" t="normal">A4&amp;B4&amp;C4&amp;D4</f>
        <v>7200402</v>
      </c>
      <c r="I4" s="7286" t="s">
        <v>2855</v>
      </c>
      <c r="J4" s="7291" t="n"/>
      <c r="K4" s="7292" t="s">
        <v>2871</v>
      </c>
      <c r="L4" s="7296" t="str">
        <f aca="false" ca="false" dt2D="false" dtr="false" t="normal">MID(B1, 69, 12)</f>
        <v/>
      </c>
      <c r="O4" s="7297" t="n"/>
      <c r="Q4" s="7298" t="s">
        <v>2872</v>
      </c>
      <c r="S4" s="7286" t="s">
        <v>2855</v>
      </c>
    </row>
    <row outlineLevel="0" r="5">
      <c r="A5" s="0" t="n">
        <v>720</v>
      </c>
      <c r="B5" s="56" t="n">
        <f aca="false" ca="false" dt2D="false" dtr="false" t="normal">$B$3</f>
        <v>4</v>
      </c>
      <c r="C5" s="56" t="s">
        <v>307</v>
      </c>
      <c r="D5" s="0" t="str">
        <f aca="false" ca="false" dt2D="false" dtr="false" t="normal">MID(B1, 21, 10)</f>
        <v/>
      </c>
      <c r="F5" s="56" t="n">
        <f aca="false" ca="false" dt2D="false" dtr="false" t="normal">A5&amp;B5&amp;C5&amp;D5</f>
        <v>7200403</v>
      </c>
      <c r="I5" s="7288" t="s">
        <v>2856</v>
      </c>
      <c r="J5" s="7291" t="n"/>
      <c r="K5" s="7292" t="s">
        <v>2873</v>
      </c>
      <c r="L5" s="7296" t="str">
        <f aca="false" ca="false" dt2D="false" dtr="false" t="normal">MID(B1, 85, 12)</f>
        <v/>
      </c>
      <c r="O5" s="7297" t="n"/>
      <c r="Q5" s="7298" t="s">
        <v>2874</v>
      </c>
      <c r="S5" s="7288" t="s">
        <v>2856</v>
      </c>
    </row>
    <row outlineLevel="0" r="6">
      <c r="A6" s="0" t="n">
        <v>720</v>
      </c>
      <c r="B6" s="56" t="n">
        <f aca="false" ca="false" dt2D="false" dtr="false" t="normal">$B$3</f>
        <v>4</v>
      </c>
      <c r="C6" s="56" t="s">
        <v>342</v>
      </c>
      <c r="D6" s="0" t="str">
        <f aca="false" ca="false" dt2D="false" dtr="false" t="normal">MID(B1, 31, 10)</f>
        <v/>
      </c>
      <c r="F6" s="56" t="n">
        <f aca="false" ca="false" dt2D="false" dtr="false" t="normal">A6&amp;B6&amp;C6&amp;D6</f>
        <v>7200404</v>
      </c>
      <c r="I6" s="7288" t="s">
        <v>2857</v>
      </c>
      <c r="J6" s="7291" t="n"/>
      <c r="K6" s="7292" t="s">
        <v>2875</v>
      </c>
      <c r="L6" s="7296" t="str">
        <f aca="false" ca="false" dt2D="false" dtr="false" t="normal">MID(B1, 101, 12)</f>
        <v/>
      </c>
      <c r="O6" s="7297" t="n"/>
      <c r="Q6" s="7298" t="s">
        <v>2876</v>
      </c>
      <c r="S6" s="7288" t="s">
        <v>2857</v>
      </c>
    </row>
    <row outlineLevel="0" r="7">
      <c r="A7" s="0" t="n">
        <v>720</v>
      </c>
      <c r="B7" s="56" t="n">
        <f aca="false" ca="false" dt2D="false" dtr="false" t="normal">$B$3</f>
        <v>4</v>
      </c>
      <c r="C7" s="56" t="s">
        <v>347</v>
      </c>
      <c r="D7" s="0" t="str">
        <f aca="false" ca="false" dt2D="false" dtr="false" t="normal">MID(B1, 41, 10)</f>
        <v/>
      </c>
      <c r="F7" s="56" t="n">
        <f aca="false" ca="false" dt2D="false" dtr="false" t="normal">A7&amp;B7&amp;C7&amp;D7</f>
        <v>7200405</v>
      </c>
      <c r="I7" s="7288" t="s">
        <v>2858</v>
      </c>
      <c r="J7" s="7291" t="n"/>
      <c r="K7" s="7292" t="s">
        <v>2877</v>
      </c>
      <c r="L7" s="7296" t="str">
        <f aca="false" ca="false" dt2D="false" dtr="false" t="normal">MID(B1, 117, 12)</f>
        <v/>
      </c>
      <c r="O7" s="7297" t="n"/>
      <c r="Q7" s="7299" t="s">
        <v>2878</v>
      </c>
      <c r="S7" s="7288" t="s">
        <v>2858</v>
      </c>
    </row>
    <row outlineLevel="0" r="8">
      <c r="A8" s="0" t="n">
        <v>720</v>
      </c>
      <c r="B8" s="56" t="n">
        <f aca="false" ca="false" dt2D="false" dtr="false" t="normal">$B$3</f>
        <v>4</v>
      </c>
      <c r="C8" s="56" t="s">
        <v>358</v>
      </c>
      <c r="D8" s="0" t="str">
        <f aca="false" ca="false" dt2D="false" dtr="false" t="normal">MID(B1, 51, 10)</f>
        <v/>
      </c>
      <c r="F8" s="56" t="n">
        <f aca="false" ca="false" dt2D="false" dtr="false" t="normal">A8&amp;B8&amp;C8&amp;D8</f>
        <v>7200406</v>
      </c>
      <c r="I8" s="7288" t="s">
        <v>2859</v>
      </c>
      <c r="J8" s="7291" t="n"/>
      <c r="K8" s="7292" t="s">
        <v>2879</v>
      </c>
      <c r="L8" s="7296" t="str">
        <f aca="false" ca="false" dt2D="false" dtr="false" t="normal">MID(B1, 133, 12)</f>
        <v/>
      </c>
      <c r="O8" s="7297" t="n"/>
      <c r="Q8" s="7299" t="s">
        <v>2880</v>
      </c>
      <c r="S8" s="7288" t="s">
        <v>2859</v>
      </c>
    </row>
    <row outlineLevel="0" r="9">
      <c r="A9" s="0" t="n">
        <v>720</v>
      </c>
      <c r="B9" s="56" t="n">
        <f aca="false" ca="false" dt2D="false" dtr="false" t="normal">$B$3</f>
        <v>4</v>
      </c>
      <c r="C9" s="56" t="s">
        <v>177</v>
      </c>
      <c r="D9" s="0" t="str">
        <f aca="false" ca="false" dt2D="false" dtr="false" t="normal">MID(B1, 61, 10)</f>
        <v/>
      </c>
      <c r="F9" s="56" t="n">
        <f aca="false" ca="false" dt2D="false" dtr="false" t="normal">A9&amp;B9&amp;C9&amp;D9</f>
        <v>7200407</v>
      </c>
      <c r="I9" s="7288" t="s">
        <v>2860</v>
      </c>
      <c r="J9" s="7291" t="n"/>
      <c r="K9" s="7292" t="s">
        <v>2881</v>
      </c>
      <c r="L9" s="7296" t="str">
        <f aca="false" ca="false" dt2D="false" dtr="false" t="normal">MID(B1, 149, 12)</f>
        <v/>
      </c>
      <c r="O9" s="7297" t="n"/>
      <c r="Q9" s="7299" t="s">
        <v>2882</v>
      </c>
      <c r="S9" s="7288" t="s">
        <v>2860</v>
      </c>
    </row>
    <row outlineLevel="0" r="10">
      <c r="A10" s="0" t="n">
        <v>720</v>
      </c>
      <c r="B10" s="56" t="n">
        <f aca="false" ca="false" dt2D="false" dtr="false" t="normal">$B$3</f>
        <v>4</v>
      </c>
      <c r="C10" s="56" t="s">
        <v>983</v>
      </c>
      <c r="D10" s="0" t="str">
        <f aca="false" ca="false" dt2D="false" dtr="false" t="normal">MID(B1, 71, 10)</f>
        <v/>
      </c>
      <c r="F10" s="56" t="n">
        <f aca="false" ca="false" dt2D="false" dtr="false" t="normal">A10&amp;B10&amp;C10&amp;D10</f>
        <v>7200408</v>
      </c>
      <c r="I10" s="7288" t="s">
        <v>2883</v>
      </c>
      <c r="J10" s="7291" t="n"/>
      <c r="K10" s="7292" t="s">
        <v>2884</v>
      </c>
      <c r="L10" s="7296" t="str">
        <f aca="false" ca="false" dt2D="false" dtr="false" t="normal">MID(B1, 165, 12)</f>
        <v/>
      </c>
      <c r="O10" s="7297" t="n"/>
      <c r="Q10" s="7299" t="s">
        <v>2885</v>
      </c>
      <c r="S10" s="7288" t="s">
        <v>2883</v>
      </c>
    </row>
    <row outlineLevel="0" r="11">
      <c r="A11" s="0" t="n">
        <v>720</v>
      </c>
      <c r="B11" s="56" t="n">
        <f aca="false" ca="false" dt2D="false" dtr="false" t="normal">$B$3</f>
        <v>4</v>
      </c>
      <c r="C11" s="56" t="s">
        <v>1010</v>
      </c>
      <c r="D11" s="0" t="str">
        <f aca="false" ca="false" dt2D="false" dtr="false" t="normal">MID(B1, 81, 10)</f>
        <v/>
      </c>
      <c r="F11" s="56" t="n">
        <f aca="false" ca="false" dt2D="false" dtr="false" t="normal">A11&amp;B11&amp;C11&amp;D11</f>
        <v>7200409</v>
      </c>
      <c r="I11" s="7286" t="s">
        <v>2886</v>
      </c>
      <c r="J11" s="7291" t="n"/>
      <c r="K11" s="7292" t="s">
        <v>2887</v>
      </c>
      <c r="L11" s="7296" t="str">
        <f aca="false" ca="false" dt2D="false" dtr="false" t="normal">MID(B1, 181, 12)</f>
        <v/>
      </c>
      <c r="O11" s="7297" t="n"/>
      <c r="Q11" s="7299" t="s">
        <v>2888</v>
      </c>
      <c r="S11" s="7286" t="s">
        <v>2886</v>
      </c>
    </row>
    <row outlineLevel="0" r="12">
      <c r="A12" s="0" t="n">
        <v>720</v>
      </c>
      <c r="B12" s="56" t="n">
        <f aca="false" ca="false" dt2D="false" dtr="false" t="normal">$B$3</f>
        <v>4</v>
      </c>
      <c r="C12" s="56" t="s">
        <v>1184</v>
      </c>
      <c r="D12" s="0" t="str">
        <f aca="false" ca="false" dt2D="false" dtr="false" t="normal">MID(B1, 91, 10)</f>
        <v/>
      </c>
      <c r="F12" s="56" t="n">
        <f aca="false" ca="false" dt2D="false" dtr="false" t="normal">A12&amp;B12&amp;C12&amp;D12</f>
        <v>7200410</v>
      </c>
      <c r="I12" s="7288" t="s">
        <v>2889</v>
      </c>
      <c r="J12" s="7291" t="n"/>
      <c r="K12" s="7292" t="s">
        <v>2890</v>
      </c>
      <c r="L12" s="7296" t="str">
        <f aca="false" ca="false" dt2D="false" dtr="false" t="normal">MID(B1, 197, 12)</f>
        <v/>
      </c>
      <c r="O12" s="7297" t="n"/>
      <c r="Q12" s="7299" t="s">
        <v>2891</v>
      </c>
      <c r="S12" s="7288" t="s">
        <v>2892</v>
      </c>
    </row>
    <row outlineLevel="0" r="13">
      <c r="A13" s="0" t="n">
        <v>720</v>
      </c>
      <c r="B13" s="56" t="n">
        <f aca="false" ca="false" dt2D="false" dtr="false" t="normal">$B$3</f>
        <v>4</v>
      </c>
      <c r="C13" s="56" t="s">
        <v>1205</v>
      </c>
      <c r="D13" s="0" t="str">
        <f aca="false" ca="false" dt2D="false" dtr="false" t="normal">MID(B1, 101, 10)</f>
        <v/>
      </c>
      <c r="F13" s="56" t="n">
        <f aca="false" ca="false" dt2D="false" dtr="false" t="normal">A13&amp;B13&amp;C13&amp;D13</f>
        <v>7200411</v>
      </c>
      <c r="I13" s="7286" t="s">
        <v>2893</v>
      </c>
      <c r="J13" s="7291" t="n"/>
      <c r="K13" s="7292" t="s">
        <v>2894</v>
      </c>
      <c r="L13" s="7296" t="str">
        <f aca="false" ca="false" dt2D="false" dtr="false" t="normal">MID(B1, 213, 12)</f>
        <v/>
      </c>
      <c r="O13" s="7297" t="n"/>
      <c r="Q13" s="7299" t="s">
        <v>2895</v>
      </c>
      <c r="S13" s="7288" t="s">
        <v>2896</v>
      </c>
    </row>
    <row outlineLevel="0" r="14">
      <c r="A14" s="0" t="n">
        <v>720</v>
      </c>
      <c r="B14" s="56" t="n">
        <f aca="false" ca="false" dt2D="false" dtr="false" t="normal">$B$3</f>
        <v>4</v>
      </c>
      <c r="C14" s="56" t="s">
        <v>1238</v>
      </c>
      <c r="D14" s="0" t="str">
        <f aca="false" ca="false" dt2D="false" dtr="false" t="normal">MID(B1, 111, 10)</f>
        <v/>
      </c>
      <c r="F14" s="56" t="n">
        <f aca="false" ca="false" dt2D="false" dtr="false" t="normal">A14&amp;B14&amp;C14&amp;D14</f>
        <v>7200412</v>
      </c>
      <c r="J14" s="7291" t="n"/>
      <c r="K14" s="7292" t="s">
        <v>2897</v>
      </c>
      <c r="L14" s="7296" t="str">
        <f aca="false" ca="false" dt2D="false" dtr="false" t="normal">MID(B1, 229, 12)</f>
        <v/>
      </c>
      <c r="O14" s="7297" t="n"/>
      <c r="Q14" s="7299" t="s">
        <v>2898</v>
      </c>
      <c r="S14" s="7288" t="s">
        <v>2899</v>
      </c>
    </row>
    <row outlineLevel="0" r="15">
      <c r="A15" s="0" t="n">
        <v>720</v>
      </c>
      <c r="B15" s="56" t="n">
        <f aca="false" ca="false" dt2D="false" dtr="false" t="normal">$B$3</f>
        <v>4</v>
      </c>
      <c r="C15" s="56" t="s">
        <v>1267</v>
      </c>
      <c r="D15" s="0" t="str">
        <f aca="false" ca="false" dt2D="false" dtr="false" t="normal">MID(B1, 121, 10)</f>
        <v/>
      </c>
      <c r="F15" s="56" t="n">
        <f aca="false" ca="false" dt2D="false" dtr="false" t="normal">A15&amp;B15&amp;C15&amp;D15</f>
        <v>7200413</v>
      </c>
      <c r="J15" s="7291" t="n"/>
      <c r="K15" s="7292" t="s">
        <v>2900</v>
      </c>
      <c r="L15" s="7296" t="str">
        <f aca="false" ca="false" dt2D="false" dtr="false" t="normal">MID(B1, 245, 12)</f>
        <v/>
      </c>
      <c r="O15" s="7297" t="n"/>
      <c r="Q15" s="7299" t="s">
        <v>2901</v>
      </c>
      <c r="S15" s="7286" t="s">
        <v>2902</v>
      </c>
    </row>
    <row outlineLevel="0" r="16">
      <c r="A16" s="0" t="n">
        <v>720</v>
      </c>
      <c r="B16" s="56" t="n">
        <f aca="false" ca="false" dt2D="false" dtr="false" t="normal">$B$3</f>
        <v>4</v>
      </c>
      <c r="C16" s="56" t="s">
        <v>1298</v>
      </c>
      <c r="D16" s="0" t="str">
        <f aca="false" ca="false" dt2D="false" dtr="false" t="normal">MID(B1, 131, 10)</f>
        <v/>
      </c>
      <c r="F16" s="56" t="n">
        <f aca="false" ca="false" dt2D="false" dtr="false" t="normal">A16&amp;B16&amp;C16&amp;D16</f>
        <v>7200414</v>
      </c>
      <c r="J16" s="7291" t="n"/>
      <c r="K16" s="7292" t="s">
        <v>2903</v>
      </c>
      <c r="L16" s="7296" t="str">
        <f aca="false" ca="false" dt2D="false" dtr="false" t="normal">MID(B1, 261, 12)</f>
        <v/>
      </c>
      <c r="O16" s="7297" t="n"/>
      <c r="Q16" s="7299" t="s">
        <v>2904</v>
      </c>
    </row>
    <row outlineLevel="0" r="17">
      <c r="A17" s="0" t="n">
        <v>720</v>
      </c>
      <c r="B17" s="56" t="n">
        <f aca="false" ca="false" dt2D="false" dtr="false" t="normal">$B$3</f>
        <v>4</v>
      </c>
      <c r="C17" s="56" t="s">
        <v>1336</v>
      </c>
      <c r="D17" s="0" t="str">
        <f aca="false" ca="false" dt2D="false" dtr="false" t="normal">MID(B1, 141, 10)</f>
        <v/>
      </c>
      <c r="F17" s="56" t="n">
        <f aca="false" ca="false" dt2D="false" dtr="false" t="normal">A17&amp;B17&amp;C17&amp;D17</f>
        <v>7200415</v>
      </c>
      <c r="J17" s="7291" t="n"/>
      <c r="K17" s="7292" t="s">
        <v>2905</v>
      </c>
      <c r="L17" s="7300" t="str">
        <f aca="false" ca="false" dt2D="false" dtr="false" t="normal">MID(B1, 277, 12)</f>
        <v/>
      </c>
      <c r="O17" s="7301" t="s">
        <v>2906</v>
      </c>
      <c r="Q17" s="7302" t="s">
        <v>2907</v>
      </c>
      <c r="S17" s="7286" t="s">
        <v>2908</v>
      </c>
    </row>
    <row outlineLevel="0" r="18">
      <c r="A18" s="0" t="n">
        <v>720</v>
      </c>
      <c r="B18" s="56" t="n">
        <f aca="false" ca="false" dt2D="false" dtr="false" t="normal">$B$3</f>
        <v>4</v>
      </c>
      <c r="C18" s="56" t="s">
        <v>1366</v>
      </c>
      <c r="D18" s="0" t="str">
        <f aca="false" ca="false" dt2D="false" dtr="false" t="normal">MID(B1, 151, 10)</f>
        <v/>
      </c>
      <c r="F18" s="56" t="n">
        <f aca="false" ca="false" dt2D="false" dtr="false" t="normal">A18&amp;B18&amp;C18&amp;D18</f>
        <v>7200416</v>
      </c>
      <c r="J18" s="7291" t="n"/>
      <c r="K18" s="7292" t="s">
        <v>2909</v>
      </c>
      <c r="L18" s="7296" t="str">
        <f aca="false" ca="false" dt2D="false" dtr="false" t="normal">MID(B1, 293, 12)</f>
        <v/>
      </c>
      <c r="O18" s="7297" t="s">
        <v>2906</v>
      </c>
      <c r="Q18" s="7299" t="s">
        <v>2910</v>
      </c>
    </row>
    <row outlineLevel="0" r="19">
      <c r="A19" s="0" t="n">
        <v>720</v>
      </c>
      <c r="B19" s="56" t="n">
        <f aca="false" ca="false" dt2D="false" dtr="false" t="normal">$B$3</f>
        <v>4</v>
      </c>
      <c r="C19" s="56" t="s">
        <v>1396</v>
      </c>
      <c r="D19" s="0" t="str">
        <f aca="false" ca="false" dt2D="false" dtr="false" t="normal">MID(B1, 161, 10)</f>
        <v/>
      </c>
      <c r="F19" s="56" t="n">
        <f aca="false" ca="false" dt2D="false" dtr="false" t="normal">A19&amp;B19&amp;C19&amp;D19</f>
        <v>7200417</v>
      </c>
      <c r="J19" s="7291" t="n"/>
      <c r="K19" s="7292" t="s">
        <v>2911</v>
      </c>
      <c r="L19" s="7296" t="str">
        <f aca="false" ca="false" dt2D="false" dtr="false" t="normal">MID(B1, 309, 12)</f>
        <v/>
      </c>
      <c r="O19" s="7297" t="s">
        <v>2906</v>
      </c>
      <c r="Q19" s="7299" t="s">
        <v>2912</v>
      </c>
    </row>
    <row outlineLevel="0" r="20">
      <c r="A20" s="0" t="n">
        <v>720</v>
      </c>
      <c r="B20" s="56" t="n">
        <f aca="false" ca="false" dt2D="false" dtr="false" t="normal">$B$3</f>
        <v>4</v>
      </c>
      <c r="C20" s="56" t="s">
        <v>1420</v>
      </c>
      <c r="D20" s="0" t="str">
        <f aca="false" ca="false" dt2D="false" dtr="false" t="normal">MID(B1, 171, 10)</f>
        <v/>
      </c>
      <c r="F20" s="56" t="n">
        <f aca="false" ca="false" dt2D="false" dtr="false" t="normal">A20&amp;B20&amp;C20&amp;D20</f>
        <v>7200418</v>
      </c>
      <c r="J20" s="7291" t="n"/>
      <c r="K20" s="7292" t="s">
        <v>2913</v>
      </c>
      <c r="L20" s="7296" t="str">
        <f aca="false" ca="false" dt2D="false" dtr="false" t="normal">MID(B1, 325, 12)</f>
        <v/>
      </c>
      <c r="O20" s="7297" t="s">
        <v>2906</v>
      </c>
      <c r="Q20" s="7299" t="s">
        <v>2914</v>
      </c>
    </row>
    <row outlineLevel="0" r="21">
      <c r="A21" s="0" t="n">
        <v>720</v>
      </c>
      <c r="B21" s="56" t="n">
        <f aca="false" ca="false" dt2D="false" dtr="false" t="normal">$B$3</f>
        <v>4</v>
      </c>
      <c r="C21" s="56" t="s">
        <v>1439</v>
      </c>
      <c r="D21" s="0" t="str">
        <f aca="false" ca="false" dt2D="false" dtr="false" t="normal">MID(B1, 181, 10)</f>
        <v/>
      </c>
      <c r="F21" s="56" t="n">
        <f aca="false" ca="false" dt2D="false" dtr="false" t="normal">A21&amp;B21&amp;C21&amp;D21</f>
        <v>7200419</v>
      </c>
      <c r="J21" s="7291" t="n"/>
      <c r="K21" s="7292" t="s">
        <v>2915</v>
      </c>
      <c r="L21" s="7296" t="str">
        <f aca="false" ca="false" dt2D="false" dtr="false" t="normal">MID(B1, 341, 12)</f>
        <v/>
      </c>
      <c r="O21" s="7297" t="s">
        <v>2906</v>
      </c>
      <c r="Q21" s="7299" t="s">
        <v>2916</v>
      </c>
    </row>
    <row outlineLevel="0" r="22">
      <c r="A22" s="0" t="n">
        <v>720</v>
      </c>
      <c r="B22" s="56" t="n">
        <f aca="false" ca="false" dt2D="false" dtr="false" t="normal">$B$3</f>
        <v>4</v>
      </c>
      <c r="C22" s="56" t="s">
        <v>693</v>
      </c>
      <c r="D22" s="0" t="str">
        <f aca="false" ca="false" dt2D="false" dtr="false" t="normal">MID(B1, 191, 10)</f>
        <v/>
      </c>
      <c r="F22" s="56" t="n">
        <f aca="false" ca="false" dt2D="false" dtr="false" t="normal">A22&amp;B22&amp;C22&amp;D22</f>
        <v>7200420</v>
      </c>
      <c r="J22" s="7291" t="n"/>
      <c r="K22" s="7292" t="s">
        <v>2917</v>
      </c>
      <c r="L22" s="7303" t="str">
        <f aca="false" ca="false" dt2D="false" dtr="false" t="normal">MID(B1, 357, 12)</f>
        <v/>
      </c>
      <c r="O22" s="7304" t="s">
        <v>2906</v>
      </c>
      <c r="Q22" s="7299" t="s">
        <v>2918</v>
      </c>
    </row>
    <row outlineLevel="0" r="23">
      <c r="A23" s="0" t="n">
        <v>720</v>
      </c>
      <c r="B23" s="56" t="n">
        <f aca="false" ca="false" dt2D="false" dtr="false" t="normal">$B$3</f>
        <v>4</v>
      </c>
      <c r="C23" s="56" t="s">
        <v>1511</v>
      </c>
      <c r="D23" s="0" t="str">
        <f aca="false" ca="false" dt2D="false" dtr="false" t="normal">MID(B1, 201, 10)</f>
        <v/>
      </c>
      <c r="F23" s="56" t="n">
        <f aca="false" ca="false" dt2D="false" dtr="false" t="normal">A23&amp;B23&amp;C23&amp;D23</f>
        <v>7200421</v>
      </c>
      <c r="J23" s="7291" t="n"/>
      <c r="K23" s="7292" t="s">
        <v>2919</v>
      </c>
      <c r="L23" s="7296" t="str">
        <f aca="false" ca="false" dt2D="false" dtr="false" t="normal">MID(B1, 373, 12)</f>
        <v/>
      </c>
      <c r="O23" s="7297" t="s">
        <v>2906</v>
      </c>
      <c r="Q23" s="7299" t="s">
        <v>2920</v>
      </c>
    </row>
    <row outlineLevel="0" r="24">
      <c r="A24" s="0" t="n">
        <v>720</v>
      </c>
      <c r="B24" s="56" t="n">
        <f aca="false" ca="false" dt2D="false" dtr="false" t="normal">$B$3</f>
        <v>4</v>
      </c>
      <c r="C24" s="56" t="s">
        <v>1543</v>
      </c>
      <c r="D24" s="0" t="str">
        <f aca="false" ca="false" dt2D="false" dtr="false" t="normal">MID(B1, 211, 10)</f>
        <v/>
      </c>
      <c r="F24" s="56" t="n">
        <f aca="false" ca="false" dt2D="false" dtr="false" t="normal">A24&amp;B24&amp;C24&amp;D24</f>
        <v>7200422</v>
      </c>
      <c r="J24" s="7291" t="n"/>
      <c r="K24" s="7292" t="s">
        <v>2921</v>
      </c>
      <c r="L24" s="7296" t="str">
        <f aca="false" ca="false" dt2D="false" dtr="false" t="normal">MID(B1, 389, 12)</f>
        <v/>
      </c>
      <c r="O24" s="7297" t="s">
        <v>2906</v>
      </c>
      <c r="Q24" s="7299" t="s">
        <v>2922</v>
      </c>
    </row>
    <row outlineLevel="0" r="25">
      <c r="A25" s="0" t="n">
        <v>720</v>
      </c>
      <c r="B25" s="56" t="n">
        <f aca="false" ca="false" dt2D="false" dtr="false" t="normal">$B$3</f>
        <v>4</v>
      </c>
      <c r="C25" s="56" t="s">
        <v>1564</v>
      </c>
      <c r="D25" s="0" t="str">
        <f aca="false" ca="false" dt2D="false" dtr="false" t="normal">MID(B1, 221, 10)</f>
        <v/>
      </c>
      <c r="F25" s="56" t="n">
        <f aca="false" ca="false" dt2D="false" dtr="false" t="normal">A25&amp;B25&amp;C25&amp;D25</f>
        <v>7200423</v>
      </c>
      <c r="J25" s="7291" t="n"/>
      <c r="K25" s="7292" t="s">
        <v>2923</v>
      </c>
      <c r="L25" s="7296" t="str">
        <f aca="false" ca="false" dt2D="false" dtr="false" t="normal">MID(B1, 405, 12)</f>
        <v/>
      </c>
      <c r="O25" s="7297" t="s">
        <v>2906</v>
      </c>
      <c r="Q25" s="7299" t="s">
        <v>2924</v>
      </c>
    </row>
    <row outlineLevel="0" r="26">
      <c r="A26" s="0" t="n">
        <v>720</v>
      </c>
      <c r="B26" s="56" t="n">
        <f aca="false" ca="false" dt2D="false" dtr="false" t="normal">$B$3</f>
        <v>4</v>
      </c>
      <c r="C26" s="56" t="s">
        <v>1586</v>
      </c>
      <c r="D26" s="0" t="str">
        <f aca="false" ca="false" dt2D="false" dtr="false" t="normal">MID(B1, 231, 10)</f>
        <v/>
      </c>
      <c r="F26" s="56" t="n">
        <f aca="false" ca="false" dt2D="false" dtr="false" t="normal">A26&amp;B26&amp;C26&amp;D26</f>
        <v>7200424</v>
      </c>
      <c r="J26" s="7291" t="n"/>
      <c r="K26" s="7292" t="s">
        <v>2925</v>
      </c>
      <c r="L26" s="7296" t="str">
        <f aca="false" ca="false" dt2D="false" dtr="false" t="normal">MID(B1, 421, 12)</f>
        <v/>
      </c>
      <c r="O26" s="7297" t="s">
        <v>2906</v>
      </c>
      <c r="Q26" s="0" t="n"/>
    </row>
    <row outlineLevel="0" r="27">
      <c r="A27" s="0" t="n">
        <v>720</v>
      </c>
      <c r="B27" s="56" t="n">
        <f aca="false" ca="false" dt2D="false" dtr="false" t="normal">$B$3</f>
        <v>4</v>
      </c>
      <c r="C27" s="56" t="s">
        <v>1615</v>
      </c>
      <c r="D27" s="0" t="str">
        <f aca="false" ca="false" dt2D="false" dtr="false" t="normal">MID(B1, 241, 10)</f>
        <v/>
      </c>
      <c r="F27" s="56" t="n">
        <f aca="false" ca="false" dt2D="false" dtr="false" t="normal">A27&amp;B27&amp;C27&amp;D27</f>
        <v>7200425</v>
      </c>
      <c r="J27" s="7291" t="n"/>
      <c r="K27" s="7292" t="s">
        <v>2926</v>
      </c>
      <c r="L27" s="7296" t="str">
        <f aca="false" ca="false" dt2D="false" dtr="false" t="normal">MID(B1, 437, 12)</f>
        <v/>
      </c>
      <c r="O27" s="7297" t="s">
        <v>2906</v>
      </c>
    </row>
    <row outlineLevel="0" r="28">
      <c r="A28" s="0" t="n">
        <v>720</v>
      </c>
      <c r="B28" s="56" t="n">
        <f aca="false" ca="false" dt2D="false" dtr="false" t="normal">$B$3</f>
        <v>4</v>
      </c>
      <c r="C28" s="56" t="s">
        <v>178</v>
      </c>
      <c r="D28" s="0" t="str">
        <f aca="false" ca="false" dt2D="false" dtr="false" t="normal">MID(B1, 251, 10)</f>
        <v/>
      </c>
      <c r="F28" s="56" t="n">
        <f aca="false" ca="false" dt2D="false" dtr="false" t="normal">A28&amp;B28&amp;C28&amp;D28</f>
        <v>7200426</v>
      </c>
      <c r="J28" s="7291" t="n"/>
      <c r="K28" s="7292" t="s">
        <v>2927</v>
      </c>
      <c r="L28" s="7296" t="str">
        <f aca="false" ca="false" dt2D="false" dtr="false" t="normal">MID(B1, 453, 12)</f>
        <v/>
      </c>
      <c r="O28" s="7297" t="s">
        <v>2906</v>
      </c>
    </row>
    <row outlineLevel="0" r="29">
      <c r="A29" s="0" t="n">
        <v>720</v>
      </c>
      <c r="B29" s="56" t="n">
        <f aca="false" ca="false" dt2D="false" dtr="false" t="normal">$B$3</f>
        <v>4</v>
      </c>
      <c r="C29" s="56" t="s">
        <v>1667</v>
      </c>
      <c r="D29" s="0" t="str">
        <f aca="false" ca="false" dt2D="false" dtr="false" t="normal">MID(B1, 261, 10)</f>
        <v/>
      </c>
      <c r="F29" s="56" t="n">
        <f aca="false" ca="false" dt2D="false" dtr="false" t="normal">A29&amp;B29&amp;C29&amp;D29</f>
        <v>7200427</v>
      </c>
      <c r="J29" s="7291" t="n"/>
      <c r="K29" s="7292" t="s">
        <v>2928</v>
      </c>
      <c r="L29" s="7296" t="str">
        <f aca="false" ca="false" dt2D="false" dtr="false" t="normal">MID(B1, 469, 12)</f>
        <v/>
      </c>
      <c r="O29" s="7297" t="s">
        <v>2906</v>
      </c>
    </row>
    <row outlineLevel="0" r="30">
      <c r="A30" s="0" t="n">
        <v>720</v>
      </c>
      <c r="B30" s="56" t="n">
        <f aca="false" ca="false" dt2D="false" dtr="false" t="normal">$B$3</f>
        <v>4</v>
      </c>
      <c r="C30" s="56" t="s">
        <v>1700</v>
      </c>
      <c r="D30" s="0" t="str">
        <f aca="false" ca="false" dt2D="false" dtr="false" t="normal">MID(B1, 271, 10)</f>
        <v/>
      </c>
      <c r="F30" s="56" t="n">
        <f aca="false" ca="false" dt2D="false" dtr="false" t="normal">A30&amp;B30&amp;C30&amp;D30</f>
        <v>7200428</v>
      </c>
      <c r="J30" s="7291" t="n"/>
      <c r="K30" s="7292" t="s">
        <v>2929</v>
      </c>
      <c r="L30" s="7296" t="str">
        <f aca="false" ca="false" dt2D="false" dtr="false" t="normal">MID(B1, 485, 12)</f>
        <v/>
      </c>
      <c r="O30" s="7297" t="s">
        <v>2906</v>
      </c>
    </row>
    <row outlineLevel="0" r="31">
      <c r="A31" s="0" t="n">
        <v>720</v>
      </c>
      <c r="B31" s="56" t="n">
        <f aca="false" ca="false" dt2D="false" dtr="false" t="normal">$B$3</f>
        <v>4</v>
      </c>
      <c r="C31" s="56" t="s">
        <v>2930</v>
      </c>
      <c r="D31" s="0" t="str">
        <f aca="false" ca="false" dt2D="false" dtr="false" t="normal">MID(B1, 281, 10)</f>
        <v/>
      </c>
      <c r="F31" s="0" t="str">
        <f aca="false" ca="false" dt2D="false" dtr="false" t="normal">IF(D31="", "", A31&amp;B31&amp;C31&amp;D31)</f>
        <v/>
      </c>
      <c r="J31" s="7291" t="n"/>
      <c r="K31" s="7292" t="s">
        <v>2931</v>
      </c>
      <c r="L31" s="7296" t="str">
        <f aca="false" ca="false" dt2D="false" dtr="false" t="normal">MID(B1, 501, 12)</f>
        <v/>
      </c>
      <c r="O31" s="7297" t="s">
        <v>2906</v>
      </c>
    </row>
    <row outlineLevel="0" r="32">
      <c r="A32" s="0" t="n">
        <v>720</v>
      </c>
      <c r="B32" s="56" t="n">
        <f aca="false" ca="false" dt2D="false" dtr="false" t="normal">$B$3</f>
        <v>4</v>
      </c>
      <c r="C32" s="56" t="s">
        <v>824</v>
      </c>
      <c r="D32" s="0" t="str">
        <f aca="false" ca="false" dt2D="false" dtr="false" t="normal">MID(B1, 291, 10)</f>
        <v/>
      </c>
      <c r="F32" s="0" t="str">
        <f aca="false" ca="false" dt2D="false" dtr="false" t="normal">IF(D32="", "", A32&amp;B32&amp;C32&amp;D32)</f>
        <v/>
      </c>
      <c r="J32" s="7291" t="n"/>
      <c r="K32" s="7292" t="s">
        <v>2932</v>
      </c>
      <c r="L32" s="7296" t="str">
        <f aca="false" ca="false" dt2D="false" dtr="false" t="normal">MID(B1, 421, 12)</f>
        <v/>
      </c>
      <c r="O32" s="7297" t="s">
        <v>2906</v>
      </c>
    </row>
    <row outlineLevel="0" r="33">
      <c r="A33" s="0" t="n">
        <v>720</v>
      </c>
      <c r="B33" s="56" t="n">
        <f aca="false" ca="false" dt2D="false" dtr="false" t="normal">$B$3</f>
        <v>4</v>
      </c>
      <c r="C33" s="56" t="s">
        <v>834</v>
      </c>
      <c r="D33" s="0" t="str">
        <f aca="false" ca="false" dt2D="false" dtr="false" t="normal">MID(B1, 301, 10)</f>
        <v/>
      </c>
      <c r="F33" s="0" t="str">
        <f aca="false" ca="false" dt2D="false" dtr="false" t="normal">IF(D33="", "", A33&amp;B33&amp;C33&amp;D33)</f>
        <v/>
      </c>
      <c r="J33" s="7291" t="n"/>
      <c r="K33" s="56" t="n"/>
    </row>
    <row outlineLevel="0" r="34">
      <c r="A34" s="0" t="n">
        <v>720</v>
      </c>
      <c r="B34" s="56" t="n">
        <f aca="false" ca="false" dt2D="false" dtr="false" t="normal">$B$3</f>
        <v>4</v>
      </c>
      <c r="C34" s="56" t="s">
        <v>837</v>
      </c>
      <c r="D34" s="0" t="str">
        <f aca="false" ca="false" dt2D="false" dtr="false" t="normal">MID(B1, 311, 10)</f>
        <v/>
      </c>
      <c r="F34" s="0" t="str">
        <f aca="false" ca="false" dt2D="false" dtr="false" t="normal">IF(D34="", "", A34&amp;B34&amp;C34&amp;D34)</f>
        <v/>
      </c>
      <c r="J34" s="7291" t="n"/>
      <c r="K34" s="56" t="n"/>
    </row>
    <row outlineLevel="0" r="35">
      <c r="A35" s="0" t="n">
        <v>720</v>
      </c>
      <c r="B35" s="56" t="n">
        <f aca="false" ca="false" dt2D="false" dtr="false" t="normal">$B$3</f>
        <v>4</v>
      </c>
      <c r="C35" s="56" t="s">
        <v>840</v>
      </c>
      <c r="D35" s="0" t="str">
        <f aca="false" ca="false" dt2D="false" dtr="false" t="normal">MID(B1, 321, 10)</f>
        <v/>
      </c>
      <c r="F35" s="0" t="str">
        <f aca="false" ca="false" dt2D="false" dtr="false" t="normal">IF(D35="", "", A35&amp;B35&amp;C35&amp;D35)</f>
        <v/>
      </c>
      <c r="J35" s="7291" t="n"/>
      <c r="K35" s="56" t="n"/>
    </row>
    <row outlineLevel="0" r="36">
      <c r="A36" s="0" t="n">
        <v>720</v>
      </c>
      <c r="B36" s="56" t="n">
        <f aca="false" ca="false" dt2D="false" dtr="false" t="normal">$B$3</f>
        <v>4</v>
      </c>
      <c r="C36" s="56" t="s">
        <v>843</v>
      </c>
      <c r="D36" s="0" t="str">
        <f aca="false" ca="false" dt2D="false" dtr="false" t="normal">MID(B1, 331, 10)</f>
        <v/>
      </c>
      <c r="F36" s="0" t="str">
        <f aca="false" ca="false" dt2D="false" dtr="false" t="normal">IF(D36="", "", A36&amp;B36&amp;C36&amp;D36)</f>
        <v/>
      </c>
      <c r="J36" s="7291" t="n"/>
      <c r="K36" s="56" t="n"/>
    </row>
    <row outlineLevel="0" r="37">
      <c r="A37" s="0" t="n">
        <v>720</v>
      </c>
      <c r="B37" s="56" t="n">
        <f aca="false" ca="false" dt2D="false" dtr="false" t="normal">$B$3</f>
        <v>4</v>
      </c>
      <c r="C37" s="56" t="s">
        <v>846</v>
      </c>
      <c r="D37" s="0" t="str">
        <f aca="false" ca="false" dt2D="false" dtr="false" t="normal">MID(B1, 341, 10)</f>
        <v/>
      </c>
      <c r="F37" s="0" t="str">
        <f aca="false" ca="false" dt2D="false" dtr="false" t="normal">IF(D37="", "", A37&amp;B37&amp;C37&amp;D37)</f>
        <v/>
      </c>
      <c r="J37" s="7291" t="n"/>
      <c r="K37" s="56" t="n"/>
    </row>
    <row outlineLevel="0" r="38">
      <c r="A38" s="0" t="n">
        <v>720</v>
      </c>
      <c r="B38" s="56" t="n">
        <f aca="false" ca="false" dt2D="false" dtr="false" t="normal">$B$3</f>
        <v>4</v>
      </c>
      <c r="C38" s="56" t="s">
        <v>849</v>
      </c>
      <c r="D38" s="0" t="str">
        <f aca="false" ca="false" dt2D="false" dtr="false" t="normal">MID(B1, 351, 10)</f>
        <v/>
      </c>
      <c r="F38" s="0" t="str">
        <f aca="false" ca="false" dt2D="false" dtr="false" t="normal">IF(D38="", "", A38&amp;B38&amp;C38&amp;D38)</f>
        <v/>
      </c>
      <c r="J38" s="7291" t="n"/>
      <c r="K38" s="56" t="n"/>
    </row>
    <row outlineLevel="0" r="39">
      <c r="A39" s="0" t="n">
        <v>720</v>
      </c>
      <c r="B39" s="56" t="n">
        <f aca="false" ca="false" dt2D="false" dtr="false" t="normal">$B$3</f>
        <v>4</v>
      </c>
      <c r="C39" s="56" t="s">
        <v>851</v>
      </c>
      <c r="D39" s="0" t="str">
        <f aca="false" ca="false" dt2D="false" dtr="false" t="normal">MID(B1, 361, 10)</f>
        <v/>
      </c>
      <c r="F39" s="0" t="str">
        <f aca="false" ca="false" dt2D="false" dtr="false" t="normal">IF(D39="", "", A39&amp;B39&amp;C39&amp;D39)</f>
        <v/>
      </c>
      <c r="J39" s="7291" t="n"/>
      <c r="K39" s="56" t="n"/>
    </row>
    <row outlineLevel="0" r="40">
      <c r="A40" s="0" t="n">
        <v>720</v>
      </c>
      <c r="B40" s="56" t="n">
        <f aca="false" ca="false" dt2D="false" dtr="false" t="normal">$B$3</f>
        <v>4</v>
      </c>
      <c r="C40" s="56" t="s">
        <v>853</v>
      </c>
      <c r="D40" s="0" t="str">
        <f aca="false" ca="false" dt2D="false" dtr="false" t="normal">MID(B1, 371, 10)</f>
        <v/>
      </c>
      <c r="F40" s="0" t="str">
        <f aca="false" ca="false" dt2D="false" dtr="false" t="normal">IF(D40="", "", A40&amp;B40&amp;C40&amp;D40)</f>
        <v/>
      </c>
      <c r="J40" s="7291" t="n"/>
      <c r="K40" s="56" t="n"/>
    </row>
    <row outlineLevel="0" r="41">
      <c r="A41" s="0" t="n">
        <v>720</v>
      </c>
      <c r="B41" s="56" t="n">
        <f aca="false" ca="false" dt2D="false" dtr="false" t="normal">$B$3</f>
        <v>4</v>
      </c>
      <c r="C41" s="56" t="s">
        <v>855</v>
      </c>
      <c r="D41" s="0" t="str">
        <f aca="false" ca="false" dt2D="false" dtr="false" t="normal">MID(B1, 381, 10)</f>
        <v/>
      </c>
      <c r="F41" s="0" t="str">
        <f aca="false" ca="false" dt2D="false" dtr="false" t="normal">IF(D41="", "", A41&amp;B41&amp;C41&amp;D41)</f>
        <v/>
      </c>
      <c r="J41" s="7291" t="n"/>
      <c r="K41" s="56" t="n"/>
    </row>
    <row outlineLevel="0" r="42">
      <c r="A42" s="0" t="n">
        <v>720</v>
      </c>
      <c r="B42" s="56" t="n">
        <f aca="false" ca="false" dt2D="false" dtr="false" t="normal">$B$3</f>
        <v>4</v>
      </c>
      <c r="C42" s="56" t="s">
        <v>2933</v>
      </c>
      <c r="D42" s="0" t="str">
        <f aca="false" ca="false" dt2D="false" dtr="false" t="normal">MID(B1, 391, 10)</f>
        <v/>
      </c>
      <c r="F42" s="0" t="str">
        <f aca="false" ca="false" dt2D="false" dtr="false" t="normal">IF(D42="", "", A42&amp;B42&amp;C42&amp;D42)</f>
        <v/>
      </c>
      <c r="J42" s="7291" t="n"/>
      <c r="K42" s="56" t="n"/>
    </row>
    <row outlineLevel="0" r="43">
      <c r="A43" s="0" t="n">
        <v>720</v>
      </c>
      <c r="B43" s="56" t="n">
        <f aca="false" ca="false" dt2D="false" dtr="false" t="normal">$B$3</f>
        <v>4</v>
      </c>
      <c r="C43" s="56" t="s">
        <v>856</v>
      </c>
      <c r="D43" s="0" t="str">
        <f aca="false" ca="false" dt2D="false" dtr="false" t="normal">MID(B1, 401, 10)</f>
        <v/>
      </c>
      <c r="F43" s="0" t="str">
        <f aca="false" ca="false" dt2D="false" dtr="false" t="normal">IF(D43="", "", A43&amp;B43&amp;C43&amp;D43)</f>
        <v/>
      </c>
      <c r="J43" s="7291" t="n"/>
      <c r="K43" s="56" t="n"/>
    </row>
    <row outlineLevel="0" r="44">
      <c r="A44" s="0" t="n">
        <v>720</v>
      </c>
      <c r="B44" s="56" t="n">
        <f aca="false" ca="false" dt2D="false" dtr="false" t="normal">$B$3</f>
        <v>4</v>
      </c>
      <c r="C44" s="56" t="s">
        <v>859</v>
      </c>
      <c r="D44" s="0" t="str">
        <f aca="false" ca="false" dt2D="false" dtr="false" t="normal">MID(B1, 411, 10)</f>
        <v/>
      </c>
      <c r="F44" s="0" t="str">
        <f aca="false" ca="false" dt2D="false" dtr="false" t="normal">IF(D44="", "", A44&amp;B44&amp;C44&amp;D44)</f>
        <v/>
      </c>
      <c r="J44" s="7291" t="n"/>
      <c r="K44" s="56" t="n"/>
    </row>
    <row outlineLevel="0" r="45">
      <c r="A45" s="0" t="n">
        <v>720</v>
      </c>
      <c r="B45" s="56" t="n">
        <f aca="false" ca="false" dt2D="false" dtr="false" t="normal">$B$3</f>
        <v>4</v>
      </c>
      <c r="C45" s="56" t="s">
        <v>868</v>
      </c>
      <c r="D45" s="0" t="str">
        <f aca="false" ca="false" dt2D="false" dtr="false" t="normal">MID(B1, 421, 10)</f>
        <v/>
      </c>
      <c r="F45" s="0" t="str">
        <f aca="false" ca="false" dt2D="false" dtr="false" t="normal">IF(D45="", "", A45&amp;B45&amp;C45&amp;D45)</f>
        <v/>
      </c>
      <c r="J45" s="7291" t="n"/>
      <c r="K45" s="56" t="n"/>
    </row>
    <row outlineLevel="0" r="46">
      <c r="A46" s="0" t="n">
        <v>720</v>
      </c>
      <c r="B46" s="56" t="n">
        <f aca="false" ca="false" dt2D="false" dtr="false" t="normal">$B$3</f>
        <v>4</v>
      </c>
      <c r="C46" s="56" t="s">
        <v>870</v>
      </c>
      <c r="D46" s="0" t="str">
        <f aca="false" ca="false" dt2D="false" dtr="false" t="normal">MID(B1, 431, 10)</f>
        <v/>
      </c>
      <c r="F46" s="0" t="str">
        <f aca="false" ca="false" dt2D="false" dtr="false" t="normal">IF(D46="", "", A46&amp;B46&amp;C46&amp;D46)</f>
        <v/>
      </c>
      <c r="J46" s="7291" t="n"/>
      <c r="K46" s="56" t="n"/>
    </row>
    <row outlineLevel="0" r="47">
      <c r="A47" s="0" t="n">
        <v>720</v>
      </c>
      <c r="B47" s="56" t="n">
        <f aca="false" ca="false" dt2D="false" dtr="false" t="normal">$B$3</f>
        <v>4</v>
      </c>
      <c r="C47" s="56" t="s">
        <v>872</v>
      </c>
      <c r="D47" s="0" t="str">
        <f aca="false" ca="false" dt2D="false" dtr="false" t="normal">MID(B1, 441, 10)</f>
        <v/>
      </c>
      <c r="F47" s="0" t="str">
        <f aca="false" ca="false" dt2D="false" dtr="false" t="normal">IF(D47="", "", A47&amp;B47&amp;C47&amp;D47)</f>
        <v/>
      </c>
      <c r="J47" s="7291" t="n"/>
      <c r="K47" s="56" t="n"/>
    </row>
    <row outlineLevel="0" r="48">
      <c r="A48" s="0" t="n">
        <v>720</v>
      </c>
      <c r="B48" s="56" t="n">
        <f aca="false" ca="false" dt2D="false" dtr="false" t="normal">$B$3</f>
        <v>4</v>
      </c>
      <c r="C48" s="56" t="s">
        <v>874</v>
      </c>
      <c r="D48" s="0" t="str">
        <f aca="false" ca="false" dt2D="false" dtr="false" t="normal">MID(B1, 451, 10)</f>
        <v/>
      </c>
      <c r="F48" s="0" t="str">
        <f aca="false" ca="false" dt2D="false" dtr="false" t="normal">IF(D48="", "", A48&amp;B48&amp;C48&amp;D48)</f>
        <v/>
      </c>
      <c r="J48" s="7291" t="n"/>
      <c r="K48" s="56" t="n"/>
    </row>
    <row outlineLevel="0" r="49">
      <c r="A49" s="0" t="n">
        <v>720</v>
      </c>
      <c r="B49" s="56" t="n">
        <f aca="false" ca="false" dt2D="false" dtr="false" t="normal">$B$3</f>
        <v>4</v>
      </c>
      <c r="C49" s="56" t="s">
        <v>876</v>
      </c>
      <c r="D49" s="0" t="str">
        <f aca="false" ca="false" dt2D="false" dtr="false" t="normal">MID(B1, 461, 10)</f>
        <v/>
      </c>
      <c r="F49" s="0" t="str">
        <f aca="false" ca="false" dt2D="false" dtr="false" t="normal">IF(D49="", "", A49&amp;B49&amp;C49&amp;D49)</f>
        <v/>
      </c>
      <c r="J49" s="7291" t="n"/>
      <c r="K49" s="56" t="n"/>
    </row>
    <row outlineLevel="0" r="50">
      <c r="A50" s="0" t="n">
        <v>720</v>
      </c>
      <c r="B50" s="56" t="n">
        <f aca="false" ca="false" dt2D="false" dtr="false" t="normal">$B$3</f>
        <v>4</v>
      </c>
      <c r="C50" s="56" t="s">
        <v>878</v>
      </c>
      <c r="D50" s="0" t="str">
        <f aca="false" ca="false" dt2D="false" dtr="false" t="normal">MID(B1, 471, 10)</f>
        <v/>
      </c>
      <c r="F50" s="0" t="str">
        <f aca="false" ca="false" dt2D="false" dtr="false" t="normal">IF(D50="", "", A50&amp;B50&amp;C50&amp;D50)</f>
        <v/>
      </c>
      <c r="J50" s="7291" t="n"/>
      <c r="K50" s="56" t="n"/>
    </row>
    <row outlineLevel="0" r="51">
      <c r="A51" s="0" t="n">
        <v>720</v>
      </c>
      <c r="B51" s="56" t="n">
        <f aca="false" ca="false" dt2D="false" dtr="false" t="normal">$B$3</f>
        <v>4</v>
      </c>
      <c r="C51" s="56" t="s">
        <v>880</v>
      </c>
      <c r="D51" s="0" t="str">
        <f aca="false" ca="false" dt2D="false" dtr="false" t="normal">MID(B1, 481, 10)</f>
        <v/>
      </c>
      <c r="F51" s="0" t="str">
        <f aca="false" ca="false" dt2D="false" dtr="false" t="normal">IF(D51="", "", A51&amp;B51&amp;C51&amp;D51)</f>
        <v/>
      </c>
      <c r="J51" s="7291" t="n"/>
      <c r="K51" s="56" t="n"/>
    </row>
    <row outlineLevel="0" r="52">
      <c r="A52" s="0" t="n">
        <v>720</v>
      </c>
      <c r="B52" s="56" t="n">
        <f aca="false" ca="false" dt2D="false" dtr="false" t="normal">$B$3</f>
        <v>4</v>
      </c>
      <c r="C52" s="56" t="s">
        <v>905</v>
      </c>
      <c r="D52" s="0" t="str">
        <f aca="false" ca="false" dt2D="false" dtr="false" t="normal">MID(B1, 491, 10)</f>
        <v/>
      </c>
      <c r="F52" s="0" t="str">
        <f aca="false" ca="false" dt2D="false" dtr="false" t="normal">IF(D52="", "", A52&amp;B52&amp;C52&amp;D52)</f>
        <v/>
      </c>
      <c r="J52" s="7291" t="n"/>
      <c r="K52" s="56" t="n"/>
    </row>
    <row outlineLevel="0" r="53">
      <c r="A53" s="0" t="n">
        <v>720</v>
      </c>
      <c r="B53" s="56" t="n">
        <f aca="false" ca="false" dt2D="false" dtr="false" t="normal">$B$3</f>
        <v>4</v>
      </c>
      <c r="C53" s="56" t="s">
        <v>908</v>
      </c>
      <c r="D53" s="0" t="str">
        <f aca="false" ca="false" dt2D="false" dtr="false" t="normal">MID(B1, 501, 10)</f>
        <v/>
      </c>
      <c r="F53" s="0" t="str">
        <f aca="false" ca="false" dt2D="false" dtr="false" t="normal">IF(D53="", "", A53&amp;B53&amp;C53&amp;D53)</f>
        <v/>
      </c>
      <c r="J53" s="7291" t="n"/>
      <c r="K53" s="56" t="n"/>
    </row>
    <row outlineLevel="0" r="54">
      <c r="A54" s="0" t="n">
        <v>720</v>
      </c>
      <c r="B54" s="56" t="n">
        <f aca="false" ca="false" dt2D="false" dtr="false" t="normal">$B$3</f>
        <v>4</v>
      </c>
      <c r="C54" s="56" t="s">
        <v>911</v>
      </c>
      <c r="D54" s="0" t="str">
        <f aca="false" ca="false" dt2D="false" dtr="false" t="normal">MID(B1, 511, 10)</f>
        <v/>
      </c>
      <c r="F54" s="0" t="str">
        <f aca="false" ca="false" dt2D="false" dtr="false" t="normal">IF(D54="", "", A54&amp;B54&amp;C54&amp;D54)</f>
        <v/>
      </c>
      <c r="J54" s="7291" t="n"/>
      <c r="K54" s="56" t="n"/>
    </row>
    <row outlineLevel="0" r="55">
      <c r="A55" s="0" t="n">
        <v>720</v>
      </c>
      <c r="B55" s="56" t="n">
        <f aca="false" ca="false" dt2D="false" dtr="false" t="normal">$B$3</f>
        <v>4</v>
      </c>
      <c r="C55" s="56" t="s">
        <v>914</v>
      </c>
      <c r="D55" s="0" t="str">
        <f aca="false" ca="false" dt2D="false" dtr="false" t="normal">MID(B1, 521, 10)</f>
        <v/>
      </c>
      <c r="F55" s="0" t="str">
        <f aca="false" ca="false" dt2D="false" dtr="false" t="normal">IF(D55="", "", A55&amp;B55&amp;C55&amp;D55)</f>
        <v/>
      </c>
      <c r="J55" s="7291" t="n"/>
      <c r="K55" s="56" t="n"/>
    </row>
    <row outlineLevel="0" r="56">
      <c r="J56" s="7291" t="n"/>
    </row>
  </sheetData>
  <hyperlinks>
    <hyperlink location="CCC Converter!B1" ref="I11"/>
    <hyperlink location="IC!A15" ref="I13"/>
    <hyperlink display="https://www6.b2b.mazda.co.jp/AsBuilt/index.htm" r:id="rId1" ref="I3"/>
    <hyperlink display="https://www.motorcraftservice.com/AsBuilt/" r:id="rId2" ref="I4"/>
    <hyperlink location="CCC Converter!B1" ref="S11"/>
    <hyperlink location="CCC Research!C1" ref="S15"/>
    <hyperlink display="https://www.mazda3revolution.com/members/nikodim.292537/" r:id="rId3" ref="S17"/>
    <hyperlink display="https://www6.b2b.mazda.co.jp/AsBuilt/index.htm" r:id="rId1" ref="S3"/>
    <hyperlink display="https://www.motorcraftservice.com/AsBuilt/" r:id="rId2" ref="S4"/>
  </hyperlinks>
  <pageMargins bottom="0.75" footer="0.30000001192092896" header="0.30000001192092896" left="0.70000004768371582" right="0.70000004768371582" top="0.75"/>
  <pageSetup fitToHeight="0" fitToWidth="0" orientation="portrait" paperHeight="297mm" paperSize="9" paperWidth="210mm" scale="100"/>
  <legacyDrawing r:id="rId4"/>
</worksheet>
</file>

<file path=xl/worksheets/sheet12.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V681"/>
  <sheetViews>
    <sheetView showZeros="true" workbookViewId="0">
      <pane activePane="bottomRight" state="frozen" topLeftCell="C3" xSplit="2" ySplit="2"/>
    </sheetView>
  </sheetViews>
  <sheetFormatPr baseColWidth="8" customHeight="false" defaultColWidth="9.1406253092569258" defaultRowHeight="15" zeroHeight="false"/>
  <cols>
    <col customWidth="true" max="1" min="1" outlineLevel="0" style="7305" width="30.570312992960826"/>
    <col customWidth="true" max="2" min="2" outlineLevel="0" style="7305" width="18.71093813305157"/>
    <col customWidth="true" max="3" min="3" outlineLevel="0" style="7306" width="25.42577994490934"/>
    <col customWidth="true" max="4" min="4" outlineLevel="0" style="7307" width="16.285155988981867"/>
    <col customWidth="true" max="5" min="5" outlineLevel="0" style="7308" width="16.285155988981867"/>
    <col customWidth="true" max="6" min="6" outlineLevel="0" style="7309" width="16.285155988981867"/>
    <col customWidth="true" max="15" min="7" outlineLevel="0" style="7298" width="16.285155988981867"/>
    <col customWidth="true" max="16" min="16" outlineLevel="0" style="7310" width="16.285155988981867"/>
    <col customWidth="true" max="17" min="17" outlineLevel="0" style="7311" width="16.285155988981867"/>
    <col customWidth="true" hidden="true" max="18" min="18" outlineLevel="0" style="7298" width="16.285155988981867"/>
    <col customWidth="true" max="21" min="19" outlineLevel="0" style="7298" width="16.285155988981867"/>
    <col customWidth="true" max="22" min="22" outlineLevel="0" style="7312" width="16.285155988981867"/>
    <col customWidth="true" hidden="true" max="32" min="23" outlineLevel="0" width="6.7109374563868442"/>
    <col customWidth="true" max="33" min="33" outlineLevel="0" style="7313" width="2.2851563273142315"/>
    <col customWidth="true" max="34" min="34" outlineLevel="0" style="7314" width="15.7109369488883"/>
    <col customWidth="true" max="35" min="35" outlineLevel="0" style="7315" width="15.7109369488883"/>
    <col customWidth="true" max="36" min="36" outlineLevel="0" style="7316" width="11.999999323335274"/>
    <col customWidth="true" max="37" min="37" outlineLevel="0" style="7290" width="2.2851563273142315"/>
    <col customWidth="true" max="38" min="38" outlineLevel="0" style="7314" width="15.7109369488883"/>
    <col customWidth="true" max="39" min="39" outlineLevel="0" style="7316" width="15.7109369488883"/>
    <col customWidth="true" max="40" min="40" outlineLevel="0" style="7290" width="2.2851563273142315"/>
    <col customWidth="true" max="41" min="41" outlineLevel="0" style="7307" width="15.140624970924563"/>
    <col customWidth="true" max="42" min="42" outlineLevel="0" style="1916" width="15.140624970924563"/>
    <col customWidth="true" max="43" min="43" outlineLevel="0" style="7308" width="14.425781467404976"/>
    <col customWidth="true" max="44" min="44" outlineLevel="0" style="7290" width="2.2851563273142315"/>
    <col customWidth="true" max="45" min="45" outlineLevel="0" style="7307" width="15.140624970924563"/>
    <col customWidth="true" max="46" min="46" outlineLevel="0" style="2540" width="15.140624970924563"/>
    <col customWidth="true" max="47" min="47" outlineLevel="0" style="7308" width="12.855468643610331"/>
    <col customWidth="true" max="48" min="48" outlineLevel="0" style="7317" width="2.2851563273142315"/>
  </cols>
  <sheetData>
    <row ht="15.75" outlineLevel="0" r="1">
      <c r="A1" s="7318" t="s">
        <v>2934</v>
      </c>
      <c r="B1" s="7319" t="s">
        <v>2935</v>
      </c>
      <c r="C1" s="7320" t="n"/>
      <c r="D1" s="7321" t="s">
        <v>2936</v>
      </c>
      <c r="E1" s="7322" t="n"/>
      <c r="F1" s="7323" t="s">
        <v>2937</v>
      </c>
      <c r="G1" s="7324" t="s">
        <v>2938</v>
      </c>
      <c r="H1" s="7324" t="s">
        <v>2939</v>
      </c>
      <c r="I1" s="7324" t="s">
        <v>2940</v>
      </c>
      <c r="J1" s="7324" t="s">
        <v>2941</v>
      </c>
      <c r="K1" s="7324" t="s">
        <v>2942</v>
      </c>
      <c r="L1" s="7324" t="s">
        <v>2943</v>
      </c>
      <c r="M1" s="7324" t="n"/>
      <c r="N1" s="7324" t="s">
        <v>2944</v>
      </c>
      <c r="O1" s="7325" t="s">
        <v>2945</v>
      </c>
      <c r="P1" s="7326" t="s">
        <v>2946</v>
      </c>
      <c r="Q1" s="7327" t="s">
        <v>2947</v>
      </c>
      <c r="R1" s="7325" t="n"/>
      <c r="S1" s="7324" t="n"/>
      <c r="T1" s="7324" t="n"/>
      <c r="U1" s="7324" t="s">
        <v>2948</v>
      </c>
      <c r="V1" s="7328" t="s">
        <v>2949</v>
      </c>
      <c r="W1" s="53" t="n"/>
      <c r="X1" s="53" t="n"/>
      <c r="Y1" s="53" t="n"/>
      <c r="Z1" s="53" t="n"/>
      <c r="AA1" s="53" t="n"/>
      <c r="AB1" s="53" t="n"/>
      <c r="AC1" s="53" t="n"/>
      <c r="AD1" s="53" t="n"/>
      <c r="AE1" s="53" t="n"/>
      <c r="AF1" s="53" t="n"/>
      <c r="AG1" s="7329" t="n"/>
      <c r="AH1" s="7330" t="s">
        <v>2853</v>
      </c>
      <c r="AI1" s="7331" t="s"/>
      <c r="AJ1" s="7332" t="s"/>
      <c r="AK1" s="57" t="n"/>
      <c r="AL1" s="7333" t="s">
        <v>2850</v>
      </c>
      <c r="AM1" s="7334" t="s"/>
      <c r="AN1" s="57" t="n"/>
      <c r="AO1" s="7335" t="s">
        <v>2950</v>
      </c>
      <c r="AP1" s="7336" t="s"/>
      <c r="AQ1" s="7337" t="s"/>
      <c r="AR1" s="57" t="n"/>
      <c r="AS1" s="7338" t="s">
        <v>2851</v>
      </c>
      <c r="AT1" s="7339" t="s"/>
      <c r="AU1" s="7340" t="s"/>
      <c r="AV1" s="7341" t="n"/>
    </row>
    <row ht="16.5" outlineLevel="0" r="2">
      <c r="A2" s="7342" t="s">
        <v>2951</v>
      </c>
      <c r="B2" s="7342" t="s">
        <v>2935</v>
      </c>
      <c r="C2" s="7343" t="s">
        <v>2952</v>
      </c>
      <c r="D2" s="7344" t="s">
        <v>2871</v>
      </c>
      <c r="E2" s="7345" t="s">
        <v>2873</v>
      </c>
      <c r="F2" s="7346" t="s">
        <v>2953</v>
      </c>
      <c r="G2" s="7347" t="s">
        <v>2954</v>
      </c>
      <c r="H2" s="7347" t="s">
        <v>2955</v>
      </c>
      <c r="I2" s="7347" t="s">
        <v>2956</v>
      </c>
      <c r="J2" s="7347" t="s">
        <v>2884</v>
      </c>
      <c r="K2" s="7347" t="s">
        <v>2957</v>
      </c>
      <c r="L2" s="7347" t="s">
        <v>2958</v>
      </c>
      <c r="M2" s="7347" t="s">
        <v>2959</v>
      </c>
      <c r="N2" s="7347" t="s">
        <v>2960</v>
      </c>
      <c r="O2" s="7347" t="s">
        <v>2900</v>
      </c>
      <c r="P2" s="7348" t="s">
        <v>2903</v>
      </c>
      <c r="Q2" s="7349" t="s">
        <v>2905</v>
      </c>
      <c r="R2" s="7347" t="s">
        <v>2909</v>
      </c>
      <c r="S2" s="7347" t="s">
        <v>2911</v>
      </c>
      <c r="T2" s="7347" t="s">
        <v>2913</v>
      </c>
      <c r="U2" s="7347" t="s">
        <v>2915</v>
      </c>
      <c r="V2" s="7350" t="s">
        <v>2917</v>
      </c>
      <c r="W2" s="7351" t="s">
        <v>2919</v>
      </c>
      <c r="X2" s="7352" t="s">
        <v>2921</v>
      </c>
      <c r="Y2" s="7352" t="s">
        <v>2923</v>
      </c>
      <c r="Z2" s="7352" t="s">
        <v>2925</v>
      </c>
      <c r="AA2" s="7352" t="s">
        <v>2926</v>
      </c>
      <c r="AB2" s="7352" t="s">
        <v>2927</v>
      </c>
      <c r="AC2" s="7352" t="s">
        <v>2928</v>
      </c>
      <c r="AD2" s="7352" t="s">
        <v>2929</v>
      </c>
      <c r="AE2" s="7352" t="s">
        <v>2931</v>
      </c>
      <c r="AF2" s="7352" t="s">
        <v>2932</v>
      </c>
      <c r="AG2" s="7353" t="n"/>
      <c r="AH2" s="7354" t="s">
        <v>2961</v>
      </c>
      <c r="AI2" s="7355" t="s">
        <v>2962</v>
      </c>
      <c r="AJ2" s="7356" t="s">
        <v>2963</v>
      </c>
      <c r="AK2" s="7357" t="n"/>
      <c r="AL2" s="7358" t="s">
        <v>2964</v>
      </c>
      <c r="AM2" s="7359" t="s">
        <v>2965</v>
      </c>
      <c r="AN2" s="7357" t="n"/>
      <c r="AO2" s="7349" t="s">
        <v>2966</v>
      </c>
      <c r="AP2" s="7347" t="s">
        <v>2967</v>
      </c>
      <c r="AQ2" s="7350" t="s">
        <v>2968</v>
      </c>
      <c r="AR2" s="7357" t="n"/>
      <c r="AS2" s="7349" t="s">
        <v>2969</v>
      </c>
      <c r="AT2" s="7360" t="s">
        <v>2970</v>
      </c>
      <c r="AU2" s="7350" t="s">
        <v>2971</v>
      </c>
      <c r="AV2" s="7361" t="n"/>
    </row>
    <row customHeight="true" ht="15" outlineLevel="0" r="3">
      <c r="A3" s="7362" t="s">
        <v>2972</v>
      </c>
      <c r="B3" s="7363" t="s">
        <v>2973</v>
      </c>
      <c r="C3" s="7364" t="s">
        <v>2974</v>
      </c>
      <c r="D3" s="7365" t="s">
        <v>2975</v>
      </c>
      <c r="E3" s="7366" t="s">
        <v>2976</v>
      </c>
      <c r="F3" s="7367" t="s">
        <v>2977</v>
      </c>
      <c r="G3" s="7297" t="s">
        <v>2978</v>
      </c>
      <c r="H3" s="7297" t="s">
        <v>2979</v>
      </c>
      <c r="I3" s="7297" t="s">
        <v>2980</v>
      </c>
      <c r="J3" s="7297" t="s">
        <v>2979</v>
      </c>
      <c r="K3" s="7297" t="s">
        <v>2981</v>
      </c>
      <c r="L3" s="7297" t="s">
        <v>2982</v>
      </c>
      <c r="M3" s="7297" t="s">
        <v>2983</v>
      </c>
      <c r="N3" s="7297" t="s">
        <v>2984</v>
      </c>
      <c r="O3" s="7297" t="s">
        <v>2979</v>
      </c>
      <c r="P3" s="7368" t="s">
        <v>2985</v>
      </c>
      <c r="Q3" s="7369" t="s">
        <v>2986</v>
      </c>
      <c r="R3" s="7297" t="s">
        <v>2987</v>
      </c>
      <c r="S3" s="7297" t="s">
        <v>2988</v>
      </c>
      <c r="T3" s="7297" t="s">
        <v>2989</v>
      </c>
      <c r="U3" s="7297" t="s">
        <v>2990</v>
      </c>
      <c r="V3" s="7370" t="s">
        <v>2991</v>
      </c>
      <c r="W3" s="7371" t="s">
        <v>2987</v>
      </c>
      <c r="X3" s="7372" t="s">
        <v>2987</v>
      </c>
      <c r="Y3" s="7372" t="s">
        <v>2987</v>
      </c>
      <c r="Z3" s="7372" t="s">
        <v>2987</v>
      </c>
      <c r="AA3" s="7372" t="s">
        <v>2987</v>
      </c>
      <c r="AB3" s="7372" t="s">
        <v>2987</v>
      </c>
      <c r="AC3" s="7372" t="s">
        <v>2987</v>
      </c>
      <c r="AD3" s="7372" t="s">
        <v>2987</v>
      </c>
      <c r="AE3" s="7372" t="s">
        <v>2987</v>
      </c>
      <c r="AF3" s="7372" t="s">
        <v>2987</v>
      </c>
      <c r="AH3" s="7314" t="s">
        <v>2992</v>
      </c>
      <c r="AI3" s="7315" t="s">
        <v>2993</v>
      </c>
      <c r="AJ3" s="7316" t="s">
        <v>2994</v>
      </c>
      <c r="AL3" s="7314" t="s">
        <v>2995</v>
      </c>
      <c r="AM3" s="7316" t="s">
        <v>2996</v>
      </c>
      <c r="AO3" s="7314" t="s">
        <v>2997</v>
      </c>
      <c r="AP3" s="7315" t="s">
        <v>2998</v>
      </c>
      <c r="AQ3" s="7373" t="n"/>
    </row>
    <row customHeight="true" ht="15" outlineLevel="0" r="4">
      <c r="A4" s="7362" t="s">
        <v>2999</v>
      </c>
      <c r="B4" s="7363" t="s">
        <v>3000</v>
      </c>
      <c r="C4" s="7364" t="s">
        <v>3001</v>
      </c>
      <c r="D4" s="7374" t="s">
        <v>2975</v>
      </c>
      <c r="E4" s="7366" t="s">
        <v>3002</v>
      </c>
      <c r="F4" s="7367" t="s">
        <v>2977</v>
      </c>
      <c r="G4" s="7297" t="s">
        <v>2978</v>
      </c>
      <c r="H4" s="7297" t="s">
        <v>3003</v>
      </c>
      <c r="I4" s="7297" t="s">
        <v>3004</v>
      </c>
      <c r="J4" s="7297" t="s">
        <v>2979</v>
      </c>
      <c r="K4" s="7297" t="s">
        <v>3005</v>
      </c>
      <c r="L4" s="7297" t="s">
        <v>3006</v>
      </c>
      <c r="M4" s="7297" t="s">
        <v>3007</v>
      </c>
      <c r="N4" s="7297" t="s">
        <v>3008</v>
      </c>
      <c r="O4" s="7297" t="s">
        <v>2979</v>
      </c>
      <c r="P4" s="7368" t="s">
        <v>2985</v>
      </c>
      <c r="Q4" s="7369" t="s">
        <v>2986</v>
      </c>
      <c r="R4" s="7297" t="s">
        <v>2987</v>
      </c>
      <c r="S4" s="7297" t="s">
        <v>3009</v>
      </c>
      <c r="T4" s="7301" t="s">
        <v>3010</v>
      </c>
      <c r="U4" s="7297" t="s">
        <v>3011</v>
      </c>
      <c r="V4" s="7370" t="s">
        <v>2991</v>
      </c>
      <c r="W4" s="7367" t="s">
        <v>2987</v>
      </c>
      <c r="X4" s="7297" t="s">
        <v>2987</v>
      </c>
      <c r="Y4" s="7297" t="s">
        <v>2987</v>
      </c>
      <c r="Z4" s="7297" t="s">
        <v>2987</v>
      </c>
      <c r="AA4" s="7297" t="s">
        <v>2987</v>
      </c>
      <c r="AB4" s="7297" t="s">
        <v>2987</v>
      </c>
      <c r="AC4" s="7297" t="s">
        <v>2987</v>
      </c>
      <c r="AD4" s="7297" t="s">
        <v>2987</v>
      </c>
      <c r="AE4" s="7297" t="s">
        <v>2987</v>
      </c>
      <c r="AF4" s="7297" t="s">
        <v>2987</v>
      </c>
      <c r="AH4" s="7314" t="s">
        <v>3012</v>
      </c>
      <c r="AI4" s="7315" t="s">
        <v>3013</v>
      </c>
      <c r="AJ4" s="7316" t="s">
        <v>3014</v>
      </c>
      <c r="AL4" s="7314" t="s">
        <v>3015</v>
      </c>
      <c r="AM4" s="7316" t="s">
        <v>3016</v>
      </c>
      <c r="AQ4" s="7373" t="n"/>
    </row>
    <row customHeight="true" ht="15" outlineLevel="0" r="5">
      <c r="A5" s="7375" t="s">
        <v>3017</v>
      </c>
      <c r="B5" s="7376" t="s">
        <v>3018</v>
      </c>
      <c r="C5" s="7377" t="s">
        <v>3019</v>
      </c>
      <c r="D5" s="7378" t="s">
        <v>3020</v>
      </c>
      <c r="E5" s="7379" t="s">
        <v>3021</v>
      </c>
      <c r="F5" s="7380" t="s">
        <v>3022</v>
      </c>
      <c r="G5" s="7381" t="s">
        <v>3023</v>
      </c>
      <c r="H5" s="7381" t="s">
        <v>3024</v>
      </c>
      <c r="I5" s="7381" t="s">
        <v>3025</v>
      </c>
      <c r="J5" s="7381" t="s">
        <v>2979</v>
      </c>
      <c r="K5" s="7381" t="s">
        <v>3026</v>
      </c>
      <c r="L5" s="7381" t="s">
        <v>2982</v>
      </c>
      <c r="M5" s="7381" t="s">
        <v>3007</v>
      </c>
      <c r="N5" s="7381" t="s">
        <v>3027</v>
      </c>
      <c r="O5" s="7381" t="s">
        <v>3028</v>
      </c>
      <c r="P5" s="7382" t="s">
        <v>3029</v>
      </c>
      <c r="Q5" s="7383" t="s">
        <v>2986</v>
      </c>
      <c r="R5" s="7381" t="s">
        <v>2987</v>
      </c>
      <c r="S5" s="7381" t="s">
        <v>3030</v>
      </c>
      <c r="T5" s="7384" t="s">
        <v>3031</v>
      </c>
      <c r="U5" s="7381" t="s">
        <v>3032</v>
      </c>
      <c r="V5" s="7385" t="s">
        <v>3033</v>
      </c>
      <c r="W5" s="7380" t="s">
        <v>2987</v>
      </c>
      <c r="X5" s="7381" t="s">
        <v>2987</v>
      </c>
      <c r="Y5" s="7381" t="s">
        <v>2987</v>
      </c>
      <c r="Z5" s="7381" t="s">
        <v>2987</v>
      </c>
      <c r="AA5" s="7381" t="s">
        <v>2987</v>
      </c>
      <c r="AB5" s="7381" t="s">
        <v>2987</v>
      </c>
      <c r="AC5" s="7381" t="s">
        <v>2987</v>
      </c>
      <c r="AD5" s="7381" t="s">
        <v>2987</v>
      </c>
      <c r="AE5" s="7381" t="s">
        <v>2987</v>
      </c>
      <c r="AF5" s="7381" t="s">
        <v>2987</v>
      </c>
      <c r="AG5" s="7386" t="n"/>
      <c r="AH5" s="7387" t="s">
        <v>3034</v>
      </c>
      <c r="AI5" s="7388" t="s">
        <v>3035</v>
      </c>
      <c r="AJ5" s="7389" t="s">
        <v>3036</v>
      </c>
      <c r="AK5" s="7390" t="n"/>
      <c r="AQ5" s="7373" t="n"/>
    </row>
    <row customHeight="true" ht="15" outlineLevel="0" r="6">
      <c r="A6" s="7375" t="s">
        <v>3037</v>
      </c>
      <c r="B6" s="7376" t="s">
        <v>3038</v>
      </c>
      <c r="C6" s="7377" t="s">
        <v>3039</v>
      </c>
      <c r="D6" s="7391" t="s">
        <v>2975</v>
      </c>
      <c r="E6" s="7379" t="s">
        <v>3002</v>
      </c>
      <c r="F6" s="7380" t="s">
        <v>3040</v>
      </c>
      <c r="G6" s="7381" t="s">
        <v>3041</v>
      </c>
      <c r="H6" s="7381" t="s">
        <v>3003</v>
      </c>
      <c r="I6" s="7381" t="s">
        <v>3004</v>
      </c>
      <c r="J6" s="7381" t="s">
        <v>2979</v>
      </c>
      <c r="K6" s="7381" t="s">
        <v>3026</v>
      </c>
      <c r="L6" s="7381" t="s">
        <v>2982</v>
      </c>
      <c r="M6" s="7381" t="s">
        <v>3007</v>
      </c>
      <c r="N6" s="7381" t="s">
        <v>3027</v>
      </c>
      <c r="O6" s="7381" t="s">
        <v>2979</v>
      </c>
      <c r="P6" s="7382" t="s">
        <v>3042</v>
      </c>
      <c r="Q6" s="7383" t="s">
        <v>2986</v>
      </c>
      <c r="R6" s="7381" t="s">
        <v>2987</v>
      </c>
      <c r="S6" s="7381" t="s">
        <v>3030</v>
      </c>
      <c r="T6" s="7384" t="s">
        <v>3031</v>
      </c>
      <c r="U6" s="7381" t="s">
        <v>3043</v>
      </c>
      <c r="V6" s="7385" t="s">
        <v>2991</v>
      </c>
      <c r="W6" s="7380" t="s">
        <v>2987</v>
      </c>
      <c r="X6" s="7381" t="s">
        <v>2987</v>
      </c>
      <c r="Y6" s="7381" t="s">
        <v>2987</v>
      </c>
      <c r="Z6" s="7381" t="s">
        <v>2987</v>
      </c>
      <c r="AA6" s="7381" t="s">
        <v>2987</v>
      </c>
      <c r="AB6" s="7381" t="s">
        <v>2987</v>
      </c>
      <c r="AC6" s="7381" t="s">
        <v>2987</v>
      </c>
      <c r="AD6" s="7381" t="s">
        <v>2987</v>
      </c>
      <c r="AE6" s="7381" t="s">
        <v>2987</v>
      </c>
      <c r="AF6" s="7381" t="s">
        <v>2987</v>
      </c>
      <c r="AG6" s="7386" t="n"/>
      <c r="AH6" s="7387" t="s">
        <v>3044</v>
      </c>
      <c r="AI6" s="7388" t="s">
        <v>3013</v>
      </c>
      <c r="AJ6" s="7389" t="s">
        <v>3036</v>
      </c>
      <c r="AK6" s="7390" t="n"/>
      <c r="AO6" s="7387" t="s">
        <v>3045</v>
      </c>
      <c r="AP6" s="7388" t="s">
        <v>2998</v>
      </c>
      <c r="AQ6" s="7373" t="n"/>
    </row>
    <row customHeight="true" ht="15" outlineLevel="0" r="7">
      <c r="A7" s="7375" t="s">
        <v>3046</v>
      </c>
      <c r="B7" s="7376" t="s">
        <v>3047</v>
      </c>
      <c r="C7" s="7377" t="s">
        <v>3048</v>
      </c>
      <c r="D7" s="7391" t="s">
        <v>3049</v>
      </c>
      <c r="E7" s="7379" t="s">
        <v>3050</v>
      </c>
      <c r="F7" s="7380" t="s">
        <v>3051</v>
      </c>
      <c r="G7" s="7381" t="s">
        <v>3052</v>
      </c>
      <c r="H7" s="7381" t="s">
        <v>3053</v>
      </c>
      <c r="I7" s="7381" t="s">
        <v>3054</v>
      </c>
      <c r="J7" s="7381" t="s">
        <v>3055</v>
      </c>
      <c r="K7" s="7381" t="s">
        <v>3056</v>
      </c>
      <c r="L7" s="7381" t="s">
        <v>3057</v>
      </c>
      <c r="M7" s="7381" t="s">
        <v>3058</v>
      </c>
      <c r="N7" s="7381" t="s">
        <v>3059</v>
      </c>
      <c r="O7" s="7381" t="s">
        <v>3060</v>
      </c>
      <c r="P7" s="7382" t="s">
        <v>3061</v>
      </c>
      <c r="Q7" s="7392" t="n"/>
      <c r="R7" s="7393" t="n"/>
      <c r="S7" s="7393" t="n"/>
      <c r="T7" s="7393" t="n"/>
      <c r="U7" s="7393" t="n"/>
      <c r="V7" s="7394" t="n"/>
      <c r="W7" s="7395" t="n"/>
      <c r="X7" s="7395" t="n"/>
      <c r="Y7" s="7395" t="n"/>
      <c r="Z7" s="7395" t="n"/>
      <c r="AA7" s="7395" t="n"/>
      <c r="AB7" s="7395" t="n"/>
      <c r="AC7" s="7395" t="n"/>
      <c r="AD7" s="7395" t="n"/>
      <c r="AE7" s="7395" t="n"/>
      <c r="AF7" s="7395" t="n"/>
      <c r="AG7" s="7386" t="n"/>
      <c r="AH7" s="7387" t="s">
        <v>3062</v>
      </c>
      <c r="AI7" s="7388" t="s">
        <v>3063</v>
      </c>
      <c r="AJ7" s="7389" t="s">
        <v>3064</v>
      </c>
      <c r="AK7" s="7390" t="n"/>
      <c r="AL7" s="7387" t="s">
        <v>3065</v>
      </c>
      <c r="AM7" s="7389" t="s">
        <v>3066</v>
      </c>
      <c r="AN7" s="7390" t="n"/>
      <c r="AO7" s="7396" t="s">
        <v>3067</v>
      </c>
      <c r="AP7" s="7393" t="s">
        <v>3068</v>
      </c>
      <c r="AQ7" s="7394" t="s">
        <v>3069</v>
      </c>
      <c r="AR7" s="7390" t="n"/>
      <c r="AS7" s="7396" t="s">
        <v>3070</v>
      </c>
      <c r="AT7" s="7397" t="s">
        <v>3071</v>
      </c>
      <c r="AU7" s="7394" t="s">
        <v>3072</v>
      </c>
      <c r="AV7" s="7398" t="n"/>
    </row>
    <row customHeight="true" ht="15" outlineLevel="0" r="8">
      <c r="A8" s="7362" t="s">
        <v>3073</v>
      </c>
      <c r="B8" s="7363" t="s">
        <v>3074</v>
      </c>
      <c r="C8" s="7364" t="s">
        <v>3075</v>
      </c>
      <c r="D8" s="7365" t="s">
        <v>3076</v>
      </c>
      <c r="E8" s="7366" t="s">
        <v>3077</v>
      </c>
      <c r="F8" s="7367" t="s">
        <v>2977</v>
      </c>
      <c r="G8" s="7297" t="s">
        <v>3078</v>
      </c>
      <c r="H8" s="7297" t="s">
        <v>3079</v>
      </c>
      <c r="I8" s="7297" t="s">
        <v>3080</v>
      </c>
      <c r="J8" s="7297" t="s">
        <v>2979</v>
      </c>
      <c r="K8" s="7297" t="s">
        <v>3027</v>
      </c>
      <c r="L8" s="7297" t="s">
        <v>2982</v>
      </c>
      <c r="M8" s="7297" t="s">
        <v>3081</v>
      </c>
      <c r="N8" s="7297" t="s">
        <v>3026</v>
      </c>
      <c r="O8" s="7297" t="s">
        <v>3027</v>
      </c>
      <c r="P8" s="7368" t="s">
        <v>3082</v>
      </c>
      <c r="Q8" s="7399" t="n"/>
      <c r="R8" s="1916" t="n"/>
      <c r="S8" s="1916" t="n"/>
      <c r="T8" s="1916" t="n"/>
      <c r="U8" s="1916" t="n"/>
      <c r="V8" s="7308" t="n"/>
      <c r="W8" s="53" t="n"/>
      <c r="X8" s="53" t="n"/>
      <c r="Y8" s="53" t="n"/>
      <c r="Z8" s="53" t="n"/>
      <c r="AA8" s="53" t="n"/>
      <c r="AB8" s="53" t="n"/>
      <c r="AC8" s="53" t="n"/>
      <c r="AD8" s="53" t="n"/>
      <c r="AE8" s="53" t="n"/>
      <c r="AF8" s="53" t="n"/>
      <c r="AH8" s="7314" t="s">
        <v>3083</v>
      </c>
      <c r="AI8" s="7315" t="s">
        <v>3084</v>
      </c>
      <c r="AJ8" s="7316" t="s">
        <v>2994</v>
      </c>
      <c r="AO8" s="7307" t="s">
        <v>3085</v>
      </c>
      <c r="AP8" s="1916" t="s">
        <v>3068</v>
      </c>
      <c r="AQ8" s="7308" t="s">
        <v>3086</v>
      </c>
      <c r="AS8" s="7307" t="s">
        <v>3087</v>
      </c>
      <c r="AT8" s="2540" t="s">
        <v>3088</v>
      </c>
      <c r="AU8" s="7308" t="s">
        <v>3089</v>
      </c>
    </row>
    <row customHeight="true" ht="15" outlineLevel="0" r="9">
      <c r="A9" s="7362" t="s">
        <v>3090</v>
      </c>
      <c r="B9" s="7363" t="s">
        <v>3091</v>
      </c>
      <c r="C9" s="7364" t="s">
        <v>3092</v>
      </c>
      <c r="D9" s="7365" t="s">
        <v>3076</v>
      </c>
      <c r="E9" s="7366" t="s">
        <v>3077</v>
      </c>
      <c r="F9" s="7367" t="s">
        <v>2977</v>
      </c>
      <c r="G9" s="7297" t="s">
        <v>3093</v>
      </c>
      <c r="H9" s="7297" t="s">
        <v>3094</v>
      </c>
      <c r="I9" s="7297" t="s">
        <v>3095</v>
      </c>
      <c r="J9" s="7297" t="s">
        <v>2979</v>
      </c>
      <c r="K9" s="7297" t="s">
        <v>3096</v>
      </c>
      <c r="L9" s="7297" t="s">
        <v>3006</v>
      </c>
      <c r="M9" s="7297" t="s">
        <v>3081</v>
      </c>
      <c r="N9" s="7297" t="s">
        <v>3097</v>
      </c>
      <c r="O9" s="7297" t="s">
        <v>3027</v>
      </c>
      <c r="P9" s="7368" t="s">
        <v>3082</v>
      </c>
      <c r="Q9" s="7399" t="n"/>
      <c r="R9" s="1916" t="n"/>
      <c r="S9" s="1916" t="n"/>
      <c r="T9" s="1916" t="n"/>
      <c r="U9" s="1916" t="n"/>
      <c r="V9" s="7308" t="n"/>
      <c r="W9" s="53" t="n"/>
      <c r="X9" s="53" t="n"/>
      <c r="Y9" s="53" t="n"/>
      <c r="Z9" s="53" t="n"/>
      <c r="AA9" s="53" t="n"/>
      <c r="AB9" s="53" t="n"/>
      <c r="AC9" s="53" t="n"/>
      <c r="AD9" s="53" t="n"/>
      <c r="AE9" s="53" t="n"/>
      <c r="AF9" s="53" t="n"/>
      <c r="AH9" s="7314" t="s">
        <v>3098</v>
      </c>
      <c r="AI9" s="7315" t="s">
        <v>3099</v>
      </c>
      <c r="AJ9" s="7316" t="s">
        <v>2994</v>
      </c>
      <c r="AL9" s="7314" t="s">
        <v>3065</v>
      </c>
      <c r="AM9" s="7316" t="s">
        <v>3100</v>
      </c>
      <c r="AO9" s="7307" t="s">
        <v>3085</v>
      </c>
      <c r="AP9" s="1916" t="s">
        <v>3068</v>
      </c>
      <c r="AQ9" s="7308" t="s">
        <v>3086</v>
      </c>
      <c r="AS9" s="7307" t="s">
        <v>3101</v>
      </c>
      <c r="AT9" s="2540" t="s">
        <v>3088</v>
      </c>
      <c r="AU9" s="7308" t="s">
        <v>3089</v>
      </c>
    </row>
    <row customHeight="true" ht="15" outlineLevel="0" r="10">
      <c r="A10" s="7375" t="s">
        <v>3102</v>
      </c>
      <c r="B10" s="7376" t="s">
        <v>3103</v>
      </c>
      <c r="C10" s="7377" t="s">
        <v>3104</v>
      </c>
      <c r="D10" s="7391" t="s">
        <v>3105</v>
      </c>
      <c r="E10" s="7379" t="s">
        <v>3106</v>
      </c>
      <c r="F10" s="7380" t="s">
        <v>3051</v>
      </c>
      <c r="G10" s="7381" t="s">
        <v>3107</v>
      </c>
      <c r="H10" s="7381" t="s">
        <v>3108</v>
      </c>
      <c r="I10" s="7381" t="s">
        <v>3109</v>
      </c>
      <c r="J10" s="7381" t="s">
        <v>3110</v>
      </c>
      <c r="K10" s="7381" t="s">
        <v>3056</v>
      </c>
      <c r="L10" s="7381" t="s">
        <v>3111</v>
      </c>
      <c r="M10" s="7381" t="s">
        <v>3081</v>
      </c>
      <c r="N10" s="7381" t="s">
        <v>3059</v>
      </c>
      <c r="O10" s="7381" t="s">
        <v>3112</v>
      </c>
      <c r="P10" s="7382" t="s">
        <v>3113</v>
      </c>
      <c r="Q10" s="7392" t="n"/>
      <c r="R10" s="7393" t="n"/>
      <c r="S10" s="7393" t="n"/>
      <c r="T10" s="7393" t="n"/>
      <c r="U10" s="7393" t="n"/>
      <c r="V10" s="7394" t="n"/>
      <c r="W10" s="7395" t="n"/>
      <c r="X10" s="7395" t="n"/>
      <c r="Y10" s="7395" t="n"/>
      <c r="Z10" s="7395" t="n"/>
      <c r="AA10" s="7395" t="n"/>
      <c r="AB10" s="7395" t="n"/>
      <c r="AC10" s="7395" t="n"/>
      <c r="AD10" s="7395" t="n"/>
      <c r="AE10" s="7395" t="n"/>
      <c r="AF10" s="7395" t="n"/>
      <c r="AG10" s="7386" t="n"/>
      <c r="AH10" s="7387" t="s">
        <v>3114</v>
      </c>
      <c r="AI10" s="7388" t="s">
        <v>3115</v>
      </c>
      <c r="AJ10" s="7389" t="s">
        <v>3064</v>
      </c>
      <c r="AK10" s="7390" t="n"/>
      <c r="AL10" s="7387" t="s">
        <v>3065</v>
      </c>
      <c r="AM10" s="7389" t="s">
        <v>3116</v>
      </c>
      <c r="AN10" s="7390" t="n"/>
      <c r="AO10" s="7396" t="s">
        <v>3117</v>
      </c>
      <c r="AP10" s="7393" t="s">
        <v>3118</v>
      </c>
      <c r="AQ10" s="7394" t="s">
        <v>3119</v>
      </c>
      <c r="AR10" s="7390" t="n"/>
      <c r="AS10" s="7396" t="s">
        <v>3120</v>
      </c>
      <c r="AT10" s="7397" t="s">
        <v>3121</v>
      </c>
      <c r="AU10" s="7394" t="s">
        <v>3122</v>
      </c>
      <c r="AV10" s="7398" t="n"/>
    </row>
    <row customHeight="true" ht="15" outlineLevel="0" r="11">
      <c r="A11" s="7362" t="s">
        <v>3123</v>
      </c>
      <c r="B11" s="7363" t="s">
        <v>3124</v>
      </c>
      <c r="C11" s="7364" t="s">
        <v>3125</v>
      </c>
      <c r="D11" s="7365" t="s">
        <v>3020</v>
      </c>
      <c r="E11" s="7366" t="s">
        <v>3021</v>
      </c>
      <c r="F11" s="7367" t="s">
        <v>3126</v>
      </c>
      <c r="G11" s="7297" t="s">
        <v>2978</v>
      </c>
      <c r="H11" s="7297" t="s">
        <v>3127</v>
      </c>
      <c r="I11" s="7297" t="s">
        <v>3128</v>
      </c>
      <c r="J11" s="7297" t="s">
        <v>3055</v>
      </c>
      <c r="K11" s="7297" t="s">
        <v>3005</v>
      </c>
      <c r="L11" s="7297" t="s">
        <v>3006</v>
      </c>
      <c r="M11" s="7297" t="s">
        <v>3007</v>
      </c>
      <c r="N11" s="7297" t="s">
        <v>3129</v>
      </c>
      <c r="O11" s="7297" t="s">
        <v>3028</v>
      </c>
      <c r="P11" s="7368" t="s">
        <v>3029</v>
      </c>
      <c r="Q11" s="7369" t="s">
        <v>3130</v>
      </c>
      <c r="R11" s="7297" t="s">
        <v>2987</v>
      </c>
      <c r="S11" s="7297" t="s">
        <v>3131</v>
      </c>
      <c r="T11" s="7297" t="s">
        <v>3132</v>
      </c>
      <c r="U11" s="7297" t="s">
        <v>3133</v>
      </c>
      <c r="V11" s="7370" t="s">
        <v>2991</v>
      </c>
      <c r="W11" s="7367" t="s">
        <v>2987</v>
      </c>
      <c r="X11" s="7297" t="s">
        <v>2987</v>
      </c>
      <c r="Y11" s="7297" t="s">
        <v>2987</v>
      </c>
      <c r="Z11" s="7297" t="s">
        <v>2987</v>
      </c>
      <c r="AA11" s="7297" t="s">
        <v>2987</v>
      </c>
      <c r="AB11" s="7297" t="s">
        <v>2987</v>
      </c>
      <c r="AC11" s="7297" t="s">
        <v>2987</v>
      </c>
      <c r="AD11" s="7297" t="s">
        <v>2987</v>
      </c>
      <c r="AE11" s="7297" t="s">
        <v>2987</v>
      </c>
      <c r="AF11" s="7297" t="s">
        <v>2987</v>
      </c>
      <c r="AH11" s="7314" t="s">
        <v>3134</v>
      </c>
      <c r="AI11" s="7315" t="s">
        <v>3135</v>
      </c>
      <c r="AJ11" s="7316" t="s">
        <v>3064</v>
      </c>
      <c r="AL11" s="7314" t="s">
        <v>3136</v>
      </c>
      <c r="AM11" s="7316" t="s">
        <v>3137</v>
      </c>
    </row>
    <row outlineLevel="0" r="12">
      <c r="A12" s="7362" t="s">
        <v>3138</v>
      </c>
      <c r="B12" s="7363" t="s">
        <v>3139</v>
      </c>
      <c r="C12" s="7400" t="s">
        <v>3140</v>
      </c>
      <c r="D12" s="7365" t="s">
        <v>3020</v>
      </c>
      <c r="E12" s="7366" t="s">
        <v>3141</v>
      </c>
      <c r="F12" s="7367" t="s">
        <v>3051</v>
      </c>
      <c r="G12" s="7296" t="s">
        <v>3142</v>
      </c>
      <c r="H12" s="7297" t="s">
        <v>3143</v>
      </c>
      <c r="I12" s="7297" t="s">
        <v>3144</v>
      </c>
      <c r="J12" s="7297" t="s">
        <v>3110</v>
      </c>
      <c r="K12" s="7297" t="s">
        <v>3145</v>
      </c>
      <c r="L12" s="7297" t="s">
        <v>3006</v>
      </c>
      <c r="M12" s="7297" t="s">
        <v>3007</v>
      </c>
      <c r="N12" s="7297" t="s">
        <v>3059</v>
      </c>
      <c r="O12" s="7297" t="s">
        <v>3027</v>
      </c>
      <c r="P12" s="7368" t="s">
        <v>3146</v>
      </c>
      <c r="Q12" s="7369" t="s">
        <v>3130</v>
      </c>
      <c r="R12" s="7297" t="s">
        <v>2987</v>
      </c>
      <c r="S12" s="7297" t="s">
        <v>3147</v>
      </c>
      <c r="T12" s="7297" t="s">
        <v>3148</v>
      </c>
      <c r="U12" s="7297" t="s">
        <v>3133</v>
      </c>
      <c r="V12" s="7370" t="s">
        <v>2991</v>
      </c>
      <c r="W12" s="7367" t="s">
        <v>2987</v>
      </c>
      <c r="X12" s="7297" t="s">
        <v>2987</v>
      </c>
      <c r="Y12" s="7297" t="s">
        <v>2987</v>
      </c>
      <c r="Z12" s="7297" t="s">
        <v>2987</v>
      </c>
      <c r="AA12" s="7297" t="s">
        <v>2987</v>
      </c>
      <c r="AB12" s="7297" t="s">
        <v>2987</v>
      </c>
      <c r="AC12" s="7297" t="s">
        <v>2987</v>
      </c>
      <c r="AD12" s="7297" t="s">
        <v>2987</v>
      </c>
      <c r="AE12" s="7297" t="s">
        <v>2987</v>
      </c>
      <c r="AF12" s="7297" t="s">
        <v>2987</v>
      </c>
      <c r="AG12" s="7401" t="n"/>
      <c r="AH12" s="7314" t="s">
        <v>3149</v>
      </c>
      <c r="AI12" s="7315" t="s">
        <v>3150</v>
      </c>
      <c r="AJ12" s="7316" t="s">
        <v>3151</v>
      </c>
      <c r="AK12" s="7402" t="n"/>
      <c r="AL12" s="7314" t="s">
        <v>3152</v>
      </c>
      <c r="AM12" s="7316" t="s">
        <v>3153</v>
      </c>
      <c r="AN12" s="7402" t="n"/>
      <c r="AO12" s="7314" t="n"/>
      <c r="AP12" s="7315" t="n"/>
      <c r="AQ12" s="7316" t="n"/>
      <c r="AR12" s="7402" t="n"/>
      <c r="AS12" s="7314" t="n"/>
      <c r="AT12" s="7403" t="n"/>
      <c r="AU12" s="7316" t="n"/>
      <c r="AV12" s="7404" t="n"/>
    </row>
    <row outlineLevel="0" r="13">
      <c r="A13" s="7405" t="s">
        <v>3154</v>
      </c>
      <c r="B13" s="7363" t="s">
        <v>3155</v>
      </c>
      <c r="C13" s="7400" t="s">
        <v>3156</v>
      </c>
      <c r="D13" s="7406" t="s">
        <v>3157</v>
      </c>
      <c r="E13" s="7407" t="s">
        <v>3002</v>
      </c>
      <c r="F13" s="7367" t="s">
        <v>3158</v>
      </c>
      <c r="G13" s="7297" t="s">
        <v>3023</v>
      </c>
      <c r="H13" s="7297" t="s">
        <v>3079</v>
      </c>
      <c r="I13" s="7297" t="s">
        <v>3004</v>
      </c>
      <c r="J13" s="7297" t="s">
        <v>2979</v>
      </c>
      <c r="K13" s="7297" t="s">
        <v>3026</v>
      </c>
      <c r="L13" s="7297" t="s">
        <v>2982</v>
      </c>
      <c r="M13" s="7297" t="s">
        <v>3007</v>
      </c>
      <c r="N13" s="7297" t="s">
        <v>3008</v>
      </c>
      <c r="O13" s="7297" t="s">
        <v>2979</v>
      </c>
      <c r="P13" s="7368" t="s">
        <v>3042</v>
      </c>
      <c r="Q13" s="7369" t="s">
        <v>2986</v>
      </c>
      <c r="R13" s="7297" t="s">
        <v>2987</v>
      </c>
      <c r="S13" s="7297" t="s">
        <v>3159</v>
      </c>
      <c r="T13" s="7297" t="s">
        <v>3031</v>
      </c>
      <c r="U13" s="7297" t="s">
        <v>3160</v>
      </c>
      <c r="V13" s="7370" t="s">
        <v>3033</v>
      </c>
      <c r="W13" s="7367" t="s">
        <v>2987</v>
      </c>
      <c r="X13" s="7297" t="s">
        <v>2987</v>
      </c>
      <c r="Y13" s="7297" t="s">
        <v>2987</v>
      </c>
      <c r="Z13" s="7297" t="s">
        <v>2987</v>
      </c>
      <c r="AA13" s="7297" t="s">
        <v>2987</v>
      </c>
      <c r="AB13" s="7297" t="s">
        <v>2987</v>
      </c>
      <c r="AC13" s="7297" t="s">
        <v>2987</v>
      </c>
      <c r="AD13" s="7297" t="s">
        <v>2987</v>
      </c>
      <c r="AE13" s="7297" t="s">
        <v>2987</v>
      </c>
      <c r="AF13" s="7297" t="s">
        <v>2987</v>
      </c>
      <c r="AH13" s="7314" t="s">
        <v>3161</v>
      </c>
      <c r="AI13" s="7315" t="s">
        <v>3162</v>
      </c>
      <c r="AJ13" s="7316" t="s">
        <v>2994</v>
      </c>
    </row>
    <row customHeight="true" ht="15.75" outlineLevel="0" r="14">
      <c r="A14" s="7405" t="s">
        <v>3163</v>
      </c>
      <c r="B14" s="7363" t="s">
        <v>3164</v>
      </c>
      <c r="C14" s="7400" t="s">
        <v>3165</v>
      </c>
      <c r="D14" s="7406" t="s">
        <v>3157</v>
      </c>
      <c r="E14" s="7407" t="s">
        <v>3002</v>
      </c>
      <c r="F14" s="7367" t="s">
        <v>3158</v>
      </c>
      <c r="G14" s="7297" t="s">
        <v>2978</v>
      </c>
      <c r="H14" s="7297" t="s">
        <v>3079</v>
      </c>
      <c r="I14" s="7297" t="s">
        <v>3166</v>
      </c>
      <c r="J14" s="7297" t="s">
        <v>2979</v>
      </c>
      <c r="K14" s="7297" t="s">
        <v>3167</v>
      </c>
      <c r="L14" s="7297" t="s">
        <v>3006</v>
      </c>
      <c r="M14" s="7297" t="s">
        <v>3007</v>
      </c>
      <c r="N14" s="7297" t="s">
        <v>3168</v>
      </c>
      <c r="O14" s="7297" t="s">
        <v>2979</v>
      </c>
      <c r="P14" s="7368" t="s">
        <v>3169</v>
      </c>
      <c r="Q14" s="7369" t="s">
        <v>2986</v>
      </c>
      <c r="R14" s="7297" t="s">
        <v>2987</v>
      </c>
      <c r="S14" s="7297" t="s">
        <v>3170</v>
      </c>
      <c r="T14" s="7297" t="s">
        <v>3171</v>
      </c>
      <c r="U14" s="7297" t="s">
        <v>3160</v>
      </c>
      <c r="V14" s="7370" t="s">
        <v>3033</v>
      </c>
      <c r="W14" s="7367" t="s">
        <v>2987</v>
      </c>
      <c r="X14" s="7297" t="s">
        <v>2987</v>
      </c>
      <c r="Y14" s="7297" t="s">
        <v>2987</v>
      </c>
      <c r="Z14" s="7297" t="s">
        <v>2987</v>
      </c>
      <c r="AA14" s="7297" t="s">
        <v>2987</v>
      </c>
      <c r="AB14" s="7297" t="s">
        <v>2987</v>
      </c>
      <c r="AC14" s="7297" t="s">
        <v>2987</v>
      </c>
      <c r="AD14" s="7297" t="s">
        <v>2987</v>
      </c>
      <c r="AE14" s="7297" t="s">
        <v>2987</v>
      </c>
      <c r="AF14" s="7297" t="s">
        <v>2987</v>
      </c>
      <c r="AH14" s="7314" t="s">
        <v>3172</v>
      </c>
      <c r="AI14" s="7315" t="s">
        <v>3162</v>
      </c>
      <c r="AJ14" s="7316" t="s">
        <v>2994</v>
      </c>
      <c r="AL14" s="7314" t="s">
        <v>3173</v>
      </c>
      <c r="AM14" s="7316" t="s">
        <v>3174</v>
      </c>
    </row>
    <row outlineLevel="0" r="15">
      <c r="A15" s="7408" t="s">
        <v>3175</v>
      </c>
      <c r="B15" s="7409" t="s">
        <v>3176</v>
      </c>
      <c r="C15" s="7410" t="s">
        <v>3177</v>
      </c>
      <c r="D15" s="7365" t="s">
        <v>3178</v>
      </c>
      <c r="E15" s="7366" t="s">
        <v>3021</v>
      </c>
      <c r="F15" s="7296" t="s">
        <v>3179</v>
      </c>
      <c r="G15" s="7296" t="s">
        <v>2978</v>
      </c>
      <c r="H15" s="7296" t="s">
        <v>3024</v>
      </c>
      <c r="I15" s="7296" t="s">
        <v>3180</v>
      </c>
      <c r="J15" s="7296" t="s">
        <v>2979</v>
      </c>
      <c r="K15" s="7296" t="s">
        <v>2981</v>
      </c>
      <c r="L15" s="7296" t="s">
        <v>2982</v>
      </c>
      <c r="M15" s="7296" t="s">
        <v>3007</v>
      </c>
      <c r="N15" s="7296" t="s">
        <v>3181</v>
      </c>
      <c r="O15" s="7296" t="s">
        <v>2984</v>
      </c>
      <c r="P15" s="7296" t="s">
        <v>3029</v>
      </c>
      <c r="Q15" s="7300" t="s">
        <v>2986</v>
      </c>
      <c r="R15" s="7296" t="s">
        <v>2987</v>
      </c>
      <c r="S15" s="7296" t="s">
        <v>3159</v>
      </c>
      <c r="T15" s="7296" t="s">
        <v>3010</v>
      </c>
      <c r="U15" s="7296" t="s">
        <v>3182</v>
      </c>
      <c r="V15" s="7303" t="s">
        <v>3033</v>
      </c>
      <c r="W15" s="7296" t="s">
        <v>2987</v>
      </c>
      <c r="X15" s="7296" t="s">
        <v>2987</v>
      </c>
      <c r="Y15" s="7296" t="s">
        <v>2987</v>
      </c>
      <c r="Z15" s="7296" t="s">
        <v>2987</v>
      </c>
      <c r="AA15" s="7296" t="s">
        <v>2987</v>
      </c>
      <c r="AB15" s="7296" t="s">
        <v>2987</v>
      </c>
      <c r="AC15" s="7296" t="s">
        <v>2987</v>
      </c>
      <c r="AD15" s="7296" t="s">
        <v>2987</v>
      </c>
      <c r="AE15" s="7296" t="s">
        <v>2987</v>
      </c>
      <c r="AF15" s="7296" t="s">
        <v>2987</v>
      </c>
      <c r="AH15" s="7314" t="s">
        <v>3183</v>
      </c>
      <c r="AI15" s="7315" t="s">
        <v>3184</v>
      </c>
      <c r="AJ15" s="7316" t="s">
        <v>3014</v>
      </c>
      <c r="AL15" s="7314" t="s">
        <v>3185</v>
      </c>
      <c r="AM15" s="7316" t="s">
        <v>3186</v>
      </c>
    </row>
    <row outlineLevel="0" r="16">
      <c r="A16" s="7408" t="s">
        <v>3187</v>
      </c>
      <c r="B16" s="7409" t="s">
        <v>3188</v>
      </c>
      <c r="C16" s="7293" t="s">
        <v>3189</v>
      </c>
      <c r="D16" s="7365" t="s">
        <v>3178</v>
      </c>
      <c r="E16" s="7366" t="s">
        <v>3021</v>
      </c>
      <c r="F16" s="7296" t="s">
        <v>2977</v>
      </c>
      <c r="G16" s="7296" t="s">
        <v>2978</v>
      </c>
      <c r="H16" s="7296" t="s">
        <v>3143</v>
      </c>
      <c r="I16" s="7296" t="s">
        <v>3190</v>
      </c>
      <c r="J16" s="7296" t="s">
        <v>3191</v>
      </c>
      <c r="K16" s="7296" t="s">
        <v>3145</v>
      </c>
      <c r="L16" s="7296" t="s">
        <v>3006</v>
      </c>
      <c r="M16" s="7296" t="s">
        <v>3007</v>
      </c>
      <c r="N16" s="7296" t="s">
        <v>3192</v>
      </c>
      <c r="O16" s="7296" t="s">
        <v>3028</v>
      </c>
      <c r="P16" s="7296" t="s">
        <v>3193</v>
      </c>
      <c r="Q16" s="7300" t="s">
        <v>2986</v>
      </c>
      <c r="R16" s="7296" t="s">
        <v>2987</v>
      </c>
      <c r="S16" s="7296" t="s">
        <v>3194</v>
      </c>
      <c r="T16" s="7296" t="s">
        <v>3195</v>
      </c>
      <c r="U16" s="7296" t="s">
        <v>3182</v>
      </c>
      <c r="V16" s="7303" t="s">
        <v>3033</v>
      </c>
      <c r="W16" s="7296" t="s">
        <v>2987</v>
      </c>
      <c r="X16" s="7296" t="s">
        <v>2987</v>
      </c>
      <c r="Y16" s="7296" t="s">
        <v>2987</v>
      </c>
      <c r="Z16" s="7296" t="s">
        <v>2987</v>
      </c>
      <c r="AA16" s="7296" t="s">
        <v>2987</v>
      </c>
      <c r="AB16" s="7296" t="s">
        <v>2987</v>
      </c>
      <c r="AC16" s="7296" t="s">
        <v>2987</v>
      </c>
      <c r="AD16" s="7296" t="s">
        <v>2987</v>
      </c>
      <c r="AE16" s="7296" t="s">
        <v>2987</v>
      </c>
      <c r="AF16" s="7296" t="s">
        <v>2987</v>
      </c>
      <c r="AH16" s="7314" t="s">
        <v>3196</v>
      </c>
      <c r="AI16" s="7315" t="s">
        <v>3184</v>
      </c>
      <c r="AJ16" s="7316" t="s">
        <v>3014</v>
      </c>
      <c r="AL16" s="7314" t="s">
        <v>3152</v>
      </c>
      <c r="AM16" s="7316" t="s">
        <v>3197</v>
      </c>
    </row>
    <row outlineLevel="0" r="17">
      <c r="A17" s="7408" t="s">
        <v>3198</v>
      </c>
      <c r="B17" s="7409" t="s">
        <v>3199</v>
      </c>
      <c r="C17" s="7293" t="s">
        <v>3200</v>
      </c>
      <c r="D17" s="7296" t="s">
        <v>3201</v>
      </c>
      <c r="E17" s="7296" t="s">
        <v>3077</v>
      </c>
      <c r="F17" s="7296" t="s">
        <v>3202</v>
      </c>
      <c r="G17" s="7296" t="s">
        <v>3041</v>
      </c>
      <c r="H17" s="7296" t="s">
        <v>3203</v>
      </c>
      <c r="I17" s="7296" t="s">
        <v>3204</v>
      </c>
      <c r="J17" s="7296" t="s">
        <v>3205</v>
      </c>
      <c r="K17" s="7296" t="s">
        <v>3096</v>
      </c>
      <c r="L17" s="7296" t="s">
        <v>3006</v>
      </c>
      <c r="M17" s="7296" t="s">
        <v>3081</v>
      </c>
      <c r="N17" s="7296" t="s">
        <v>3206</v>
      </c>
      <c r="O17" s="7296" t="s">
        <v>3027</v>
      </c>
      <c r="P17" s="7296" t="s">
        <v>3207</v>
      </c>
      <c r="Q17" s="7411" t="n"/>
      <c r="R17" s="7296" t="n"/>
      <c r="S17" s="7296" t="n"/>
      <c r="T17" s="7296" t="n"/>
      <c r="U17" s="7296" t="n"/>
      <c r="V17" s="7366" t="n"/>
      <c r="W17" s="7412" t="n"/>
      <c r="X17" s="7412" t="n"/>
      <c r="Y17" s="7412" t="n"/>
      <c r="Z17" s="7412" t="n"/>
      <c r="AA17" s="7412" t="n"/>
      <c r="AB17" s="7412" t="n"/>
      <c r="AC17" s="7412" t="n"/>
      <c r="AD17" s="7412" t="n"/>
      <c r="AE17" s="7412" t="n"/>
      <c r="AF17" s="7412" t="n"/>
      <c r="AG17" s="7413" t="n"/>
      <c r="AH17" s="7314" t="s">
        <v>3208</v>
      </c>
      <c r="AI17" s="7315" t="s">
        <v>3209</v>
      </c>
      <c r="AJ17" s="7316" t="s">
        <v>3036</v>
      </c>
      <c r="AK17" s="57" t="n"/>
      <c r="AL17" s="7314" t="s">
        <v>3065</v>
      </c>
      <c r="AM17" s="7316" t="s">
        <v>3210</v>
      </c>
      <c r="AN17" s="57" t="n"/>
      <c r="AO17" s="7307" t="s">
        <v>3211</v>
      </c>
      <c r="AP17" s="1916" t="s">
        <v>3068</v>
      </c>
      <c r="AQ17" s="7308" t="s">
        <v>3086</v>
      </c>
      <c r="AR17" s="57" t="n"/>
      <c r="AS17" s="7307" t="s">
        <v>3212</v>
      </c>
      <c r="AT17" s="2540" t="s">
        <v>3088</v>
      </c>
      <c r="AU17" s="7308" t="s">
        <v>3213</v>
      </c>
    </row>
    <row outlineLevel="0" r="18">
      <c r="A18" s="7408" t="s">
        <v>3214</v>
      </c>
      <c r="B18" s="7409" t="s">
        <v>3215</v>
      </c>
      <c r="C18" s="7293" t="s">
        <v>3216</v>
      </c>
      <c r="D18" s="7296" t="s">
        <v>3157</v>
      </c>
      <c r="E18" s="7296" t="s">
        <v>2976</v>
      </c>
      <c r="F18" s="7296" t="s">
        <v>3217</v>
      </c>
      <c r="G18" s="7296" t="s">
        <v>3023</v>
      </c>
      <c r="H18" s="7296" t="s">
        <v>3079</v>
      </c>
      <c r="I18" s="7296" t="s">
        <v>3218</v>
      </c>
      <c r="J18" s="7296" t="s">
        <v>2979</v>
      </c>
      <c r="K18" s="7296" t="s">
        <v>3145</v>
      </c>
      <c r="L18" s="7296" t="s">
        <v>3006</v>
      </c>
      <c r="M18" s="7296" t="s">
        <v>3007</v>
      </c>
      <c r="N18" s="7296" t="s">
        <v>3219</v>
      </c>
      <c r="O18" s="7296" t="s">
        <v>2979</v>
      </c>
      <c r="P18" s="7296" t="s">
        <v>3207</v>
      </c>
      <c r="Q18" s="7300" t="s">
        <v>2986</v>
      </c>
      <c r="R18" s="7296" t="s">
        <v>2987</v>
      </c>
      <c r="S18" s="7296" t="s">
        <v>3220</v>
      </c>
      <c r="T18" s="7296" t="s">
        <v>3221</v>
      </c>
      <c r="U18" s="7296" t="s">
        <v>3160</v>
      </c>
      <c r="V18" s="7303" t="s">
        <v>3222</v>
      </c>
      <c r="W18" s="7296" t="s">
        <v>2987</v>
      </c>
      <c r="X18" s="7296" t="s">
        <v>2987</v>
      </c>
      <c r="Y18" s="7296" t="s">
        <v>2987</v>
      </c>
      <c r="Z18" s="7296" t="s">
        <v>2987</v>
      </c>
      <c r="AA18" s="7296" t="s">
        <v>2987</v>
      </c>
      <c r="AB18" s="7296" t="s">
        <v>2987</v>
      </c>
      <c r="AC18" s="7296" t="s">
        <v>2987</v>
      </c>
      <c r="AD18" s="7296" t="s">
        <v>2987</v>
      </c>
      <c r="AE18" s="7296" t="s">
        <v>2987</v>
      </c>
      <c r="AF18" s="7296" t="s">
        <v>2987</v>
      </c>
      <c r="AG18" s="7413" t="n"/>
      <c r="AH18" s="7314" t="s">
        <v>3223</v>
      </c>
      <c r="AI18" s="7315" t="s">
        <v>3224</v>
      </c>
      <c r="AJ18" s="7316" t="s">
        <v>3036</v>
      </c>
      <c r="AK18" s="57" t="n"/>
      <c r="AL18" s="7314" t="s">
        <v>3152</v>
      </c>
      <c r="AM18" s="7316" t="s">
        <v>3225</v>
      </c>
      <c r="AN18" s="57" t="n"/>
      <c r="AO18" s="7307" t="n"/>
      <c r="AP18" s="1916" t="n"/>
      <c r="AQ18" s="7308" t="n"/>
      <c r="AR18" s="57" t="n"/>
      <c r="AS18" s="7307" t="n"/>
      <c r="AT18" s="2540" t="n"/>
      <c r="AU18" s="7308" t="n"/>
    </row>
    <row outlineLevel="0" r="19">
      <c r="A19" s="7408" t="s">
        <v>3226</v>
      </c>
      <c r="B19" s="7409" t="s">
        <v>3227</v>
      </c>
      <c r="C19" s="7293" t="s">
        <v>3228</v>
      </c>
      <c r="D19" s="7296" t="s">
        <v>3157</v>
      </c>
      <c r="E19" s="7296" t="s">
        <v>2976</v>
      </c>
      <c r="F19" s="7296" t="s">
        <v>3202</v>
      </c>
      <c r="G19" s="7296" t="s">
        <v>3023</v>
      </c>
      <c r="H19" s="7296" t="s">
        <v>3079</v>
      </c>
      <c r="I19" s="7296" t="s">
        <v>3229</v>
      </c>
      <c r="J19" s="7296" t="s">
        <v>2979</v>
      </c>
      <c r="K19" s="7296" t="s">
        <v>3026</v>
      </c>
      <c r="L19" s="7296" t="s">
        <v>3006</v>
      </c>
      <c r="M19" s="7296" t="s">
        <v>3007</v>
      </c>
      <c r="N19" s="7296" t="s">
        <v>3230</v>
      </c>
      <c r="O19" s="7296" t="s">
        <v>2979</v>
      </c>
      <c r="P19" s="7296" t="s">
        <v>3231</v>
      </c>
      <c r="Q19" s="7300" t="s">
        <v>2986</v>
      </c>
      <c r="R19" s="7296" t="s">
        <v>2987</v>
      </c>
      <c r="S19" s="7296" t="s">
        <v>3159</v>
      </c>
      <c r="T19" s="7296" t="s">
        <v>3232</v>
      </c>
      <c r="U19" s="7296" t="s">
        <v>3160</v>
      </c>
      <c r="V19" s="7303" t="s">
        <v>3222</v>
      </c>
      <c r="W19" s="7296" t="s">
        <v>2987</v>
      </c>
      <c r="X19" s="7296" t="s">
        <v>2987</v>
      </c>
      <c r="Y19" s="7296" t="s">
        <v>2987</v>
      </c>
      <c r="Z19" s="7296" t="s">
        <v>2987</v>
      </c>
      <c r="AA19" s="7296" t="s">
        <v>2987</v>
      </c>
      <c r="AB19" s="7296" t="s">
        <v>2987</v>
      </c>
      <c r="AC19" s="7296" t="s">
        <v>2987</v>
      </c>
      <c r="AD19" s="7296" t="s">
        <v>2987</v>
      </c>
      <c r="AE19" s="7296" t="s">
        <v>2987</v>
      </c>
      <c r="AF19" s="7296" t="s">
        <v>2987</v>
      </c>
      <c r="AG19" s="7413" t="n"/>
      <c r="AH19" s="7314" t="s">
        <v>3233</v>
      </c>
      <c r="AI19" s="7315" t="s">
        <v>3224</v>
      </c>
      <c r="AJ19" s="7316" t="s">
        <v>3036</v>
      </c>
      <c r="AK19" s="57" t="n"/>
      <c r="AL19" s="7314" t="n"/>
      <c r="AM19" s="7316" t="n"/>
      <c r="AN19" s="57" t="n"/>
      <c r="AO19" s="7307" t="n"/>
      <c r="AP19" s="1916" t="n"/>
      <c r="AQ19" s="7308" t="n"/>
      <c r="AR19" s="57" t="n"/>
      <c r="AS19" s="7307" t="n"/>
      <c r="AT19" s="2540" t="n"/>
      <c r="AU19" s="7308" t="n"/>
    </row>
    <row outlineLevel="0" r="20">
      <c r="A20" s="7408" t="s">
        <v>3234</v>
      </c>
      <c r="B20" s="7409" t="s">
        <v>3235</v>
      </c>
      <c r="C20" s="7293" t="s">
        <v>3236</v>
      </c>
      <c r="D20" s="7296" t="s">
        <v>3157</v>
      </c>
      <c r="E20" s="7296" t="s">
        <v>3002</v>
      </c>
      <c r="F20" s="7296" t="s">
        <v>3237</v>
      </c>
      <c r="G20" s="7296" t="s">
        <v>3023</v>
      </c>
      <c r="H20" s="7296" t="s">
        <v>3094</v>
      </c>
      <c r="I20" s="7296" t="s">
        <v>3238</v>
      </c>
      <c r="J20" s="7296" t="s">
        <v>3239</v>
      </c>
      <c r="K20" s="7296" t="s">
        <v>3240</v>
      </c>
      <c r="L20" s="7296" t="s">
        <v>3006</v>
      </c>
      <c r="M20" s="7296" t="s">
        <v>3241</v>
      </c>
      <c r="N20" s="7296" t="s">
        <v>3206</v>
      </c>
      <c r="O20" s="7296" t="s">
        <v>2979</v>
      </c>
      <c r="P20" s="7296" t="s">
        <v>3207</v>
      </c>
      <c r="Q20" s="7300" t="s">
        <v>2986</v>
      </c>
      <c r="R20" s="7296" t="s">
        <v>2987</v>
      </c>
      <c r="S20" s="7296" t="s">
        <v>3194</v>
      </c>
      <c r="T20" s="7296" t="s">
        <v>3221</v>
      </c>
      <c r="U20" s="7296" t="s">
        <v>3160</v>
      </c>
      <c r="V20" s="7303" t="s">
        <v>3222</v>
      </c>
      <c r="W20" s="7296" t="s">
        <v>2987</v>
      </c>
      <c r="X20" s="7296" t="s">
        <v>2987</v>
      </c>
      <c r="Y20" s="7296" t="s">
        <v>2987</v>
      </c>
      <c r="Z20" s="7296" t="s">
        <v>2987</v>
      </c>
      <c r="AA20" s="7296" t="s">
        <v>2987</v>
      </c>
      <c r="AB20" s="7296" t="s">
        <v>2987</v>
      </c>
      <c r="AC20" s="7296" t="s">
        <v>2987</v>
      </c>
      <c r="AD20" s="7296" t="s">
        <v>2987</v>
      </c>
      <c r="AE20" s="7296" t="s">
        <v>2987</v>
      </c>
      <c r="AF20" s="7296" t="s">
        <v>2987</v>
      </c>
      <c r="AG20" s="7413" t="n"/>
      <c r="AH20" s="7314" t="s">
        <v>3242</v>
      </c>
      <c r="AI20" s="7315" t="s">
        <v>3224</v>
      </c>
      <c r="AJ20" s="7316" t="s">
        <v>3036</v>
      </c>
      <c r="AK20" s="57" t="n"/>
      <c r="AL20" s="7314" t="s">
        <v>3152</v>
      </c>
      <c r="AM20" s="7316" t="s">
        <v>3243</v>
      </c>
      <c r="AN20" s="57" t="n"/>
      <c r="AO20" s="7307" t="n"/>
      <c r="AP20" s="1916" t="n"/>
      <c r="AQ20" s="7308" t="n"/>
      <c r="AR20" s="57" t="n"/>
      <c r="AS20" s="7307" t="n"/>
      <c r="AT20" s="2540" t="n"/>
      <c r="AU20" s="7308" t="n"/>
    </row>
    <row outlineLevel="0" r="21">
      <c r="A21" s="7408" t="s">
        <v>3244</v>
      </c>
      <c r="B21" s="7409" t="s">
        <v>3245</v>
      </c>
      <c r="C21" s="7293" t="s">
        <v>3246</v>
      </c>
      <c r="D21" s="7296" t="s">
        <v>3247</v>
      </c>
      <c r="E21" s="7296" t="s">
        <v>3021</v>
      </c>
      <c r="F21" s="7296" t="s">
        <v>3202</v>
      </c>
      <c r="G21" s="7296" t="s">
        <v>3023</v>
      </c>
      <c r="H21" s="7296" t="s">
        <v>3127</v>
      </c>
      <c r="I21" s="7296" t="s">
        <v>3248</v>
      </c>
      <c r="J21" s="7296" t="s">
        <v>3205</v>
      </c>
      <c r="K21" s="7296" t="s">
        <v>3005</v>
      </c>
      <c r="L21" s="7296" t="s">
        <v>3006</v>
      </c>
      <c r="M21" s="7296" t="s">
        <v>3241</v>
      </c>
      <c r="N21" s="7296" t="s">
        <v>3249</v>
      </c>
      <c r="O21" s="7296" t="s">
        <v>3027</v>
      </c>
      <c r="P21" s="7296" t="s">
        <v>3250</v>
      </c>
      <c r="Q21" s="7300" t="s">
        <v>2986</v>
      </c>
      <c r="R21" s="7296" t="s">
        <v>2987</v>
      </c>
      <c r="S21" s="7296" t="s">
        <v>3159</v>
      </c>
      <c r="T21" s="7296" t="s">
        <v>3232</v>
      </c>
      <c r="U21" s="7296" t="s">
        <v>3251</v>
      </c>
      <c r="V21" s="7303" t="s">
        <v>3222</v>
      </c>
      <c r="W21" s="7296" t="s">
        <v>2987</v>
      </c>
      <c r="X21" s="7296" t="s">
        <v>2987</v>
      </c>
      <c r="Y21" s="7296" t="s">
        <v>2987</v>
      </c>
      <c r="Z21" s="7296" t="s">
        <v>2987</v>
      </c>
      <c r="AA21" s="7296" t="s">
        <v>2987</v>
      </c>
      <c r="AB21" s="7296" t="s">
        <v>2987</v>
      </c>
      <c r="AC21" s="7296" t="s">
        <v>2987</v>
      </c>
      <c r="AD21" s="7296" t="s">
        <v>2987</v>
      </c>
      <c r="AE21" s="7296" t="s">
        <v>2987</v>
      </c>
      <c r="AF21" s="7296" t="s">
        <v>2987</v>
      </c>
      <c r="AG21" s="7413" t="n"/>
      <c r="AH21" s="7314" t="s">
        <v>3252</v>
      </c>
      <c r="AI21" s="7315" t="s">
        <v>3253</v>
      </c>
      <c r="AJ21" s="7316" t="s">
        <v>3036</v>
      </c>
      <c r="AK21" s="57" t="n"/>
      <c r="AL21" s="7314" t="s">
        <v>3254</v>
      </c>
      <c r="AM21" s="7316" t="s">
        <v>3255</v>
      </c>
      <c r="AN21" s="57" t="n"/>
      <c r="AO21" s="7307" t="n"/>
      <c r="AP21" s="1916" t="n"/>
      <c r="AQ21" s="7308" t="n"/>
      <c r="AR21" s="57" t="n"/>
      <c r="AS21" s="7307" t="n"/>
      <c r="AT21" s="2540" t="n"/>
      <c r="AU21" s="7308" t="n"/>
    </row>
    <row outlineLevel="0" r="22">
      <c r="A22" s="7408" t="s">
        <v>3256</v>
      </c>
      <c r="B22" s="7409" t="s">
        <v>3257</v>
      </c>
      <c r="C22" s="7293" t="s">
        <v>3258</v>
      </c>
      <c r="D22" s="7296" t="s">
        <v>3247</v>
      </c>
      <c r="E22" s="7296" t="s">
        <v>3021</v>
      </c>
      <c r="F22" s="7296" t="s">
        <v>3202</v>
      </c>
      <c r="G22" s="7296" t="s">
        <v>3023</v>
      </c>
      <c r="H22" s="7296" t="s">
        <v>3127</v>
      </c>
      <c r="I22" s="7296" t="s">
        <v>3248</v>
      </c>
      <c r="J22" s="7296" t="s">
        <v>2979</v>
      </c>
      <c r="K22" s="7296" t="s">
        <v>3026</v>
      </c>
      <c r="L22" s="7296" t="s">
        <v>3006</v>
      </c>
      <c r="M22" s="7296" t="s">
        <v>3241</v>
      </c>
      <c r="N22" s="7296" t="s">
        <v>3259</v>
      </c>
      <c r="O22" s="7296" t="s">
        <v>3027</v>
      </c>
      <c r="P22" s="7296" t="s">
        <v>3250</v>
      </c>
      <c r="Q22" s="7300" t="s">
        <v>2986</v>
      </c>
      <c r="R22" s="7296" t="s">
        <v>2987</v>
      </c>
      <c r="S22" s="7296" t="s">
        <v>3159</v>
      </c>
      <c r="T22" s="7296" t="s">
        <v>3232</v>
      </c>
      <c r="U22" s="7296" t="s">
        <v>3251</v>
      </c>
      <c r="V22" s="7303" t="s">
        <v>3222</v>
      </c>
      <c r="W22" s="7296" t="s">
        <v>2987</v>
      </c>
      <c r="X22" s="7296" t="s">
        <v>2987</v>
      </c>
      <c r="Y22" s="7296" t="s">
        <v>2987</v>
      </c>
      <c r="Z22" s="7296" t="s">
        <v>2987</v>
      </c>
      <c r="AA22" s="7296" t="s">
        <v>2987</v>
      </c>
      <c r="AB22" s="7296" t="s">
        <v>2987</v>
      </c>
      <c r="AC22" s="7296" t="s">
        <v>2987</v>
      </c>
      <c r="AD22" s="7296" t="s">
        <v>2987</v>
      </c>
      <c r="AE22" s="7296" t="s">
        <v>2987</v>
      </c>
      <c r="AF22" s="7296" t="s">
        <v>2987</v>
      </c>
      <c r="AG22" s="7413" t="n"/>
      <c r="AH22" s="7314" t="s">
        <v>3252</v>
      </c>
      <c r="AI22" s="7315" t="s">
        <v>3253</v>
      </c>
      <c r="AJ22" s="7316" t="s">
        <v>3036</v>
      </c>
      <c r="AK22" s="57" t="n"/>
      <c r="AL22" s="7314" t="n"/>
      <c r="AM22" s="7316" t="n"/>
      <c r="AN22" s="57" t="n"/>
      <c r="AO22" s="7307" t="n"/>
      <c r="AP22" s="1916" t="n"/>
      <c r="AQ22" s="7308" t="n"/>
      <c r="AR22" s="57" t="n"/>
      <c r="AS22" s="7307" t="n"/>
      <c r="AT22" s="2540" t="n"/>
      <c r="AU22" s="7308" t="n"/>
    </row>
    <row outlineLevel="0" r="23">
      <c r="A23" s="7414" t="s">
        <v>3260</v>
      </c>
      <c r="B23" s="7415" t="s">
        <v>3261</v>
      </c>
      <c r="C23" s="7416" t="s">
        <v>3262</v>
      </c>
      <c r="D23" s="7417" t="s">
        <v>3263</v>
      </c>
      <c r="E23" s="7417" t="s">
        <v>3264</v>
      </c>
      <c r="F23" s="7417" t="s">
        <v>3265</v>
      </c>
      <c r="G23" s="7417" t="s">
        <v>3266</v>
      </c>
      <c r="H23" s="7417" t="s">
        <v>3079</v>
      </c>
      <c r="I23" s="7417" t="s">
        <v>3095</v>
      </c>
      <c r="J23" s="7417" t="s">
        <v>3110</v>
      </c>
      <c r="K23" s="7417" t="s">
        <v>3056</v>
      </c>
      <c r="L23" s="7417" t="s">
        <v>3267</v>
      </c>
      <c r="M23" s="7417" t="s">
        <v>3058</v>
      </c>
      <c r="N23" s="7417" t="s">
        <v>3192</v>
      </c>
      <c r="O23" s="7417" t="s">
        <v>3027</v>
      </c>
      <c r="P23" s="7417" t="s">
        <v>3268</v>
      </c>
      <c r="Q23" s="7418" t="n"/>
      <c r="R23" s="7417" t="n"/>
      <c r="S23" s="7417" t="n"/>
      <c r="T23" s="7417" t="n"/>
      <c r="U23" s="7417" t="n"/>
      <c r="V23" s="7379" t="n"/>
      <c r="W23" s="7419" t="n"/>
      <c r="X23" s="7419" t="n"/>
      <c r="Y23" s="7419" t="n"/>
      <c r="Z23" s="7419" t="n"/>
      <c r="AA23" s="7419" t="n"/>
      <c r="AB23" s="7419" t="n"/>
      <c r="AC23" s="7419" t="n"/>
      <c r="AD23" s="7419" t="n"/>
      <c r="AE23" s="7419" t="n"/>
      <c r="AF23" s="7419" t="n"/>
      <c r="AG23" s="7420" t="n"/>
      <c r="AH23" s="7387" t="s">
        <v>3269</v>
      </c>
      <c r="AI23" s="7388" t="s">
        <v>3270</v>
      </c>
      <c r="AJ23" s="7389" t="s">
        <v>3036</v>
      </c>
      <c r="AK23" s="7421" t="n"/>
      <c r="AL23" s="7387" t="s">
        <v>3065</v>
      </c>
      <c r="AM23" s="7389" t="s">
        <v>3271</v>
      </c>
      <c r="AN23" s="7421" t="n"/>
      <c r="AO23" s="7396" t="s">
        <v>3272</v>
      </c>
      <c r="AP23" s="7393" t="s">
        <v>3273</v>
      </c>
      <c r="AQ23" s="7394" t="s">
        <v>3119</v>
      </c>
      <c r="AR23" s="7421" t="n"/>
      <c r="AS23" s="7396" t="s">
        <v>3274</v>
      </c>
      <c r="AT23" s="7397" t="s">
        <v>3275</v>
      </c>
      <c r="AU23" s="7394" t="s">
        <v>3213</v>
      </c>
      <c r="AV23" s="7398" t="n"/>
    </row>
    <row outlineLevel="0" r="24">
      <c r="A24" s="7414" t="s">
        <v>3276</v>
      </c>
      <c r="B24" s="7415" t="s">
        <v>3277</v>
      </c>
      <c r="C24" s="7416" t="s">
        <v>3278</v>
      </c>
      <c r="D24" s="7417" t="s">
        <v>3263</v>
      </c>
      <c r="E24" s="7417" t="s">
        <v>3279</v>
      </c>
      <c r="F24" s="7417" t="s">
        <v>3280</v>
      </c>
      <c r="G24" s="7417" t="s">
        <v>3266</v>
      </c>
      <c r="H24" s="7417" t="s">
        <v>3281</v>
      </c>
      <c r="I24" s="7417" t="s">
        <v>3095</v>
      </c>
      <c r="J24" s="7417" t="s">
        <v>3110</v>
      </c>
      <c r="K24" s="7417" t="s">
        <v>3096</v>
      </c>
      <c r="L24" s="7417" t="s">
        <v>3267</v>
      </c>
      <c r="M24" s="7417" t="s">
        <v>3058</v>
      </c>
      <c r="N24" s="7417" t="s">
        <v>3192</v>
      </c>
      <c r="O24" s="7417" t="s">
        <v>3282</v>
      </c>
      <c r="P24" s="7417" t="s">
        <v>3283</v>
      </c>
      <c r="Q24" s="7418" t="n"/>
      <c r="R24" s="7417" t="n"/>
      <c r="S24" s="7417" t="n"/>
      <c r="T24" s="7417" t="n"/>
      <c r="U24" s="7417" t="n"/>
      <c r="V24" s="7379" t="n"/>
      <c r="W24" s="7419" t="n"/>
      <c r="X24" s="7419" t="n"/>
      <c r="Y24" s="7419" t="n"/>
      <c r="Z24" s="7419" t="n"/>
      <c r="AA24" s="7419" t="n"/>
      <c r="AB24" s="7419" t="n"/>
      <c r="AC24" s="7419" t="n"/>
      <c r="AD24" s="7419" t="n"/>
      <c r="AE24" s="7419" t="n"/>
      <c r="AF24" s="7419" t="n"/>
      <c r="AG24" s="7420" t="n"/>
      <c r="AH24" s="7387" t="s">
        <v>3284</v>
      </c>
      <c r="AI24" s="7388" t="s">
        <v>3285</v>
      </c>
      <c r="AJ24" s="7389" t="s">
        <v>3036</v>
      </c>
      <c r="AK24" s="7421" t="n"/>
      <c r="AL24" s="7387" t="s">
        <v>3065</v>
      </c>
      <c r="AM24" s="7389" t="s">
        <v>3271</v>
      </c>
      <c r="AN24" s="7421" t="n"/>
      <c r="AO24" s="7396" t="s">
        <v>3286</v>
      </c>
      <c r="AP24" s="7393" t="s">
        <v>3273</v>
      </c>
      <c r="AQ24" s="7394" t="s">
        <v>3119</v>
      </c>
      <c r="AR24" s="7421" t="n"/>
      <c r="AS24" s="7396" t="s">
        <v>3274</v>
      </c>
      <c r="AT24" s="7397" t="s">
        <v>3275</v>
      </c>
      <c r="AU24" s="7394" t="s">
        <v>3287</v>
      </c>
      <c r="AV24" s="7398" t="n"/>
    </row>
    <row outlineLevel="0" r="25">
      <c r="A25" s="7408" t="s">
        <v>3288</v>
      </c>
      <c r="B25" s="7409" t="s">
        <v>3289</v>
      </c>
      <c r="C25" s="7293" t="s">
        <v>3290</v>
      </c>
      <c r="D25" s="7296" t="s">
        <v>3291</v>
      </c>
      <c r="E25" s="7296" t="s">
        <v>3292</v>
      </c>
      <c r="F25" s="7296" t="s">
        <v>3051</v>
      </c>
      <c r="G25" s="7296" t="s">
        <v>3293</v>
      </c>
      <c r="H25" s="7296" t="s">
        <v>3127</v>
      </c>
      <c r="I25" s="7296" t="s">
        <v>3294</v>
      </c>
      <c r="J25" s="7296" t="s">
        <v>2979</v>
      </c>
      <c r="K25" s="7296" t="s">
        <v>3005</v>
      </c>
      <c r="L25" s="7296" t="s">
        <v>3006</v>
      </c>
      <c r="M25" s="7296" t="s">
        <v>3007</v>
      </c>
      <c r="N25" s="7296" t="s">
        <v>3295</v>
      </c>
      <c r="O25" s="7296" t="s">
        <v>3296</v>
      </c>
      <c r="P25" s="7296" t="s">
        <v>2985</v>
      </c>
      <c r="Q25" s="7300" t="s">
        <v>3297</v>
      </c>
      <c r="R25" s="7296" t="s">
        <v>2987</v>
      </c>
      <c r="S25" s="7296" t="s">
        <v>3298</v>
      </c>
      <c r="T25" s="7296" t="s">
        <v>3132</v>
      </c>
      <c r="U25" s="7296" t="s">
        <v>3299</v>
      </c>
      <c r="V25" s="7303" t="s">
        <v>3300</v>
      </c>
      <c r="W25" s="7296" t="s">
        <v>2987</v>
      </c>
      <c r="X25" s="7296" t="s">
        <v>2987</v>
      </c>
      <c r="Y25" s="7296" t="s">
        <v>2987</v>
      </c>
      <c r="Z25" s="7296" t="s">
        <v>2987</v>
      </c>
      <c r="AA25" s="7296" t="s">
        <v>2987</v>
      </c>
      <c r="AB25" s="7296" t="s">
        <v>2987</v>
      </c>
      <c r="AC25" s="7296" t="s">
        <v>2987</v>
      </c>
      <c r="AD25" s="7296" t="s">
        <v>2987</v>
      </c>
      <c r="AE25" s="7296" t="s">
        <v>2987</v>
      </c>
      <c r="AF25" s="7296" t="s">
        <v>2987</v>
      </c>
      <c r="AG25" s="7422" t="n"/>
      <c r="AH25" s="7314" t="s">
        <v>3301</v>
      </c>
      <c r="AI25" s="7315" t="s">
        <v>3302</v>
      </c>
      <c r="AJ25" s="7316" t="s">
        <v>3064</v>
      </c>
      <c r="AK25" s="7290" t="n"/>
      <c r="AL25" s="7314" t="s">
        <v>3303</v>
      </c>
      <c r="AM25" s="7316" t="s">
        <v>3137</v>
      </c>
      <c r="AN25" s="7290" t="n"/>
      <c r="AO25" s="7307" t="n"/>
      <c r="AP25" s="1916" t="n"/>
      <c r="AQ25" s="7308" t="n"/>
      <c r="AR25" s="7290" t="n"/>
      <c r="AS25" s="7307" t="n"/>
      <c r="AT25" s="2540" t="n"/>
      <c r="AU25" s="7308" t="n"/>
    </row>
    <row customHeight="true" ht="15.75" outlineLevel="0" r="26">
      <c r="A26" s="7414" t="s">
        <v>3304</v>
      </c>
      <c r="B26" s="7415" t="s">
        <v>3305</v>
      </c>
      <c r="C26" s="7416" t="s">
        <v>3306</v>
      </c>
      <c r="D26" s="7417" t="s">
        <v>3307</v>
      </c>
      <c r="E26" s="7417" t="s">
        <v>3308</v>
      </c>
      <c r="F26" s="7417" t="s">
        <v>3051</v>
      </c>
      <c r="G26" s="7417" t="s">
        <v>3309</v>
      </c>
      <c r="H26" s="7417" t="s">
        <v>3143</v>
      </c>
      <c r="I26" s="7417" t="s">
        <v>3310</v>
      </c>
      <c r="J26" s="7417" t="s">
        <v>3055</v>
      </c>
      <c r="K26" s="7417" t="s">
        <v>3311</v>
      </c>
      <c r="L26" s="7417" t="s">
        <v>3312</v>
      </c>
      <c r="M26" s="7417" t="s">
        <v>3081</v>
      </c>
      <c r="N26" s="7417" t="s">
        <v>3129</v>
      </c>
      <c r="O26" s="7417" t="s">
        <v>3282</v>
      </c>
      <c r="P26" s="7417" t="s">
        <v>2985</v>
      </c>
      <c r="Q26" s="7418" t="n"/>
      <c r="R26" s="7417" t="n"/>
      <c r="S26" s="7417" t="n"/>
      <c r="T26" s="7417" t="n"/>
      <c r="U26" s="7417" t="n"/>
      <c r="V26" s="7379" t="n"/>
      <c r="W26" s="7419" t="n"/>
      <c r="X26" s="7419" t="n"/>
      <c r="Y26" s="7419" t="n"/>
      <c r="Z26" s="7419" t="n"/>
      <c r="AA26" s="7419" t="n"/>
      <c r="AB26" s="7419" t="n"/>
      <c r="AC26" s="7419" t="n"/>
      <c r="AD26" s="7419" t="n"/>
      <c r="AE26" s="7419" t="n"/>
      <c r="AF26" s="7419" t="n"/>
      <c r="AG26" s="7420" t="n"/>
      <c r="AH26" s="7387" t="s">
        <v>3313</v>
      </c>
      <c r="AI26" s="7388" t="s">
        <v>3314</v>
      </c>
      <c r="AJ26" s="7389" t="s">
        <v>3064</v>
      </c>
      <c r="AK26" s="7421" t="n"/>
      <c r="AL26" s="7387" t="s">
        <v>3315</v>
      </c>
      <c r="AM26" s="7389" t="s">
        <v>3316</v>
      </c>
      <c r="AN26" s="7421" t="n"/>
      <c r="AO26" s="7396" t="s">
        <v>3317</v>
      </c>
      <c r="AP26" s="7393" t="s">
        <v>3318</v>
      </c>
      <c r="AQ26" s="7394" t="s">
        <v>3119</v>
      </c>
      <c r="AR26" s="7421" t="n"/>
      <c r="AS26" s="7396" t="s">
        <v>3120</v>
      </c>
      <c r="AT26" s="7397" t="s">
        <v>3319</v>
      </c>
      <c r="AU26" s="7394" t="s">
        <v>3072</v>
      </c>
      <c r="AV26" s="7398" t="n"/>
    </row>
    <row outlineLevel="0" r="27">
      <c r="A27" s="7414" t="s">
        <v>3320</v>
      </c>
      <c r="B27" s="7415" t="s">
        <v>3321</v>
      </c>
      <c r="C27" s="7416" t="s">
        <v>3322</v>
      </c>
      <c r="D27" s="7417" t="s">
        <v>3105</v>
      </c>
      <c r="E27" s="7417" t="s">
        <v>3106</v>
      </c>
      <c r="F27" s="7417" t="s">
        <v>3126</v>
      </c>
      <c r="G27" s="7417" t="s">
        <v>3323</v>
      </c>
      <c r="H27" s="7417" t="s">
        <v>3108</v>
      </c>
      <c r="I27" s="7417" t="s">
        <v>3324</v>
      </c>
      <c r="J27" s="7417" t="s">
        <v>3055</v>
      </c>
      <c r="K27" s="7417" t="s">
        <v>3056</v>
      </c>
      <c r="L27" s="7417" t="s">
        <v>3111</v>
      </c>
      <c r="M27" s="7417" t="s">
        <v>3081</v>
      </c>
      <c r="N27" s="7417" t="s">
        <v>3325</v>
      </c>
      <c r="O27" s="7417" t="s">
        <v>3112</v>
      </c>
      <c r="P27" s="7423" t="s">
        <v>3326</v>
      </c>
      <c r="Q27" s="7424" t="n"/>
      <c r="R27" s="7425" t="n"/>
      <c r="S27" s="7417" t="n"/>
      <c r="T27" s="7417" t="n"/>
      <c r="U27" s="7417" t="n"/>
      <c r="V27" s="7379" t="n"/>
      <c r="W27" s="7419" t="n"/>
      <c r="X27" s="7419" t="n"/>
      <c r="Y27" s="7419" t="n"/>
      <c r="Z27" s="7419" t="n"/>
      <c r="AA27" s="7419" t="n"/>
      <c r="AB27" s="7419" t="n"/>
      <c r="AC27" s="7419" t="n"/>
      <c r="AD27" s="7419" t="n"/>
      <c r="AE27" s="7419" t="n"/>
      <c r="AF27" s="7419" t="n"/>
      <c r="AG27" s="7420" t="n"/>
      <c r="AH27" s="7387" t="s">
        <v>3327</v>
      </c>
      <c r="AI27" s="7388" t="s">
        <v>3115</v>
      </c>
      <c r="AJ27" s="7389" t="s">
        <v>3064</v>
      </c>
      <c r="AK27" s="7421" t="n"/>
      <c r="AL27" s="7387" t="s">
        <v>3328</v>
      </c>
      <c r="AM27" s="7389" t="s">
        <v>3329</v>
      </c>
      <c r="AN27" s="7421" t="n"/>
      <c r="AO27" s="7396" t="s">
        <v>3330</v>
      </c>
      <c r="AP27" s="7393" t="s">
        <v>3331</v>
      </c>
      <c r="AQ27" s="7394" t="s">
        <v>3119</v>
      </c>
      <c r="AR27" s="7421" t="n"/>
      <c r="AS27" s="7396" t="s">
        <v>3332</v>
      </c>
      <c r="AT27" s="7397" t="s">
        <v>3333</v>
      </c>
      <c r="AU27" s="7394" t="s">
        <v>3122</v>
      </c>
      <c r="AV27" s="7398" t="n"/>
    </row>
    <row outlineLevel="0" r="28">
      <c r="A28" s="7414" t="s">
        <v>3334</v>
      </c>
      <c r="B28" s="7415" t="s">
        <v>3335</v>
      </c>
      <c r="C28" s="7416" t="s">
        <v>3336</v>
      </c>
      <c r="D28" s="7417" t="s">
        <v>3020</v>
      </c>
      <c r="E28" s="7417" t="s">
        <v>3021</v>
      </c>
      <c r="F28" s="7417" t="s">
        <v>3022</v>
      </c>
      <c r="G28" s="7417" t="s">
        <v>3023</v>
      </c>
      <c r="H28" s="7417" t="s">
        <v>3024</v>
      </c>
      <c r="I28" s="7417" t="s">
        <v>3025</v>
      </c>
      <c r="J28" s="7417" t="s">
        <v>2979</v>
      </c>
      <c r="K28" s="7417" t="s">
        <v>3026</v>
      </c>
      <c r="L28" s="7417" t="s">
        <v>2982</v>
      </c>
      <c r="M28" s="7417" t="s">
        <v>3007</v>
      </c>
      <c r="N28" s="7417" t="s">
        <v>3027</v>
      </c>
      <c r="O28" s="7417" t="s">
        <v>3028</v>
      </c>
      <c r="P28" s="7417" t="s">
        <v>3029</v>
      </c>
      <c r="Q28" s="7426" t="s">
        <v>2986</v>
      </c>
      <c r="R28" s="7417" t="s">
        <v>2987</v>
      </c>
      <c r="S28" s="7417" t="s">
        <v>3030</v>
      </c>
      <c r="T28" s="7417" t="s">
        <v>3031</v>
      </c>
      <c r="U28" s="7417" t="s">
        <v>3032</v>
      </c>
      <c r="V28" s="7427" t="s">
        <v>3033</v>
      </c>
      <c r="W28" s="7417" t="s">
        <v>2987</v>
      </c>
      <c r="X28" s="7417" t="s">
        <v>2987</v>
      </c>
      <c r="Y28" s="7417" t="s">
        <v>2987</v>
      </c>
      <c r="Z28" s="7417" t="s">
        <v>2987</v>
      </c>
      <c r="AA28" s="7417" t="s">
        <v>2987</v>
      </c>
      <c r="AB28" s="7417" t="s">
        <v>2987</v>
      </c>
      <c r="AC28" s="7417" t="s">
        <v>2987</v>
      </c>
      <c r="AD28" s="7417" t="s">
        <v>2987</v>
      </c>
      <c r="AE28" s="7417" t="s">
        <v>2987</v>
      </c>
      <c r="AF28" s="7417" t="s">
        <v>2987</v>
      </c>
      <c r="AG28" s="7386" t="n"/>
      <c r="AH28" s="7387" t="s">
        <v>3034</v>
      </c>
      <c r="AI28" s="7388" t="s">
        <v>3035</v>
      </c>
      <c r="AJ28" s="7389" t="s">
        <v>3036</v>
      </c>
      <c r="AK28" s="7290" t="n"/>
      <c r="AL28" s="7314" t="n"/>
      <c r="AM28" s="7316" t="n"/>
      <c r="AN28" s="7290" t="n"/>
      <c r="AO28" s="7307" t="n"/>
      <c r="AP28" s="1916" t="n"/>
      <c r="AQ28" s="7308" t="n"/>
      <c r="AR28" s="7290" t="n"/>
      <c r="AS28" s="7307" t="n"/>
      <c r="AT28" s="2540" t="n"/>
      <c r="AU28" s="7308" t="n"/>
    </row>
    <row customHeight="true" ht="15.75" outlineLevel="0" r="29">
      <c r="A29" s="7408" t="s">
        <v>3337</v>
      </c>
      <c r="B29" s="7409" t="s">
        <v>3338</v>
      </c>
      <c r="C29" s="7293" t="s">
        <v>3339</v>
      </c>
      <c r="D29" s="7365" t="s">
        <v>3178</v>
      </c>
      <c r="E29" s="7366" t="s">
        <v>3021</v>
      </c>
      <c r="F29" s="7296" t="s">
        <v>2977</v>
      </c>
      <c r="G29" s="7296" t="s">
        <v>2978</v>
      </c>
      <c r="H29" s="7296" t="s">
        <v>3143</v>
      </c>
      <c r="I29" s="7296" t="s">
        <v>3340</v>
      </c>
      <c r="J29" s="7296" t="s">
        <v>3191</v>
      </c>
      <c r="K29" s="7296" t="s">
        <v>3145</v>
      </c>
      <c r="L29" s="7296" t="s">
        <v>3006</v>
      </c>
      <c r="M29" s="7296" t="s">
        <v>3007</v>
      </c>
      <c r="N29" s="7296" t="s">
        <v>3192</v>
      </c>
      <c r="O29" s="7296" t="s">
        <v>3028</v>
      </c>
      <c r="P29" s="7296" t="s">
        <v>3193</v>
      </c>
      <c r="Q29" s="7300" t="s">
        <v>2986</v>
      </c>
      <c r="R29" s="7296" t="s">
        <v>2987</v>
      </c>
      <c r="S29" s="7296" t="s">
        <v>3194</v>
      </c>
      <c r="T29" s="7296" t="s">
        <v>3195</v>
      </c>
      <c r="U29" s="7296" t="s">
        <v>3182</v>
      </c>
      <c r="V29" s="7303" t="s">
        <v>3033</v>
      </c>
      <c r="W29" s="7296" t="s">
        <v>2987</v>
      </c>
      <c r="X29" s="7296" t="s">
        <v>2987</v>
      </c>
      <c r="Y29" s="7296" t="s">
        <v>2987</v>
      </c>
      <c r="Z29" s="7296" t="s">
        <v>2987</v>
      </c>
      <c r="AA29" s="7296" t="s">
        <v>2987</v>
      </c>
      <c r="AB29" s="7296" t="s">
        <v>2987</v>
      </c>
      <c r="AC29" s="7296" t="s">
        <v>2987</v>
      </c>
      <c r="AD29" s="7296" t="s">
        <v>2987</v>
      </c>
      <c r="AE29" s="7296" t="s">
        <v>2987</v>
      </c>
      <c r="AF29" s="7296" t="s">
        <v>2987</v>
      </c>
      <c r="AH29" s="7314" t="s">
        <v>3196</v>
      </c>
      <c r="AI29" s="7315" t="s">
        <v>3184</v>
      </c>
      <c r="AJ29" s="7316" t="s">
        <v>3014</v>
      </c>
      <c r="AL29" s="7314" t="s">
        <v>3152</v>
      </c>
      <c r="AM29" s="7316" t="s">
        <v>3197</v>
      </c>
    </row>
    <row outlineLevel="0" r="30">
      <c r="A30" s="7408" t="s">
        <v>3341</v>
      </c>
      <c r="B30" s="7409" t="s">
        <v>3342</v>
      </c>
      <c r="C30" s="7293" t="s">
        <v>3343</v>
      </c>
      <c r="D30" s="7296" t="s">
        <v>3344</v>
      </c>
      <c r="E30" s="7296" t="s">
        <v>3345</v>
      </c>
      <c r="F30" s="7296" t="s">
        <v>3179</v>
      </c>
      <c r="G30" s="7296" t="s">
        <v>2978</v>
      </c>
      <c r="H30" s="7296" t="s">
        <v>3053</v>
      </c>
      <c r="I30" s="7296" t="s">
        <v>3346</v>
      </c>
      <c r="J30" s="7296" t="s">
        <v>2979</v>
      </c>
      <c r="K30" s="7296" t="s">
        <v>3347</v>
      </c>
      <c r="L30" s="7296" t="s">
        <v>2982</v>
      </c>
      <c r="M30" s="7296" t="s">
        <v>3081</v>
      </c>
      <c r="N30" s="7296" t="s">
        <v>3347</v>
      </c>
      <c r="O30" s="7296" t="s">
        <v>2979</v>
      </c>
      <c r="P30" s="7296" t="s">
        <v>2987</v>
      </c>
      <c r="Q30" s="7411" t="n"/>
      <c r="R30" s="7296" t="n"/>
      <c r="S30" s="7296" t="n"/>
      <c r="T30" s="7296" t="n"/>
      <c r="U30" s="7296" t="n"/>
      <c r="V30" s="7366" t="n"/>
      <c r="W30" s="7412" t="n"/>
      <c r="X30" s="7412" t="n"/>
      <c r="Y30" s="7412" t="n"/>
      <c r="Z30" s="7412" t="n"/>
      <c r="AA30" s="7412" t="n"/>
      <c r="AB30" s="7412" t="n"/>
      <c r="AC30" s="7412" t="n"/>
      <c r="AD30" s="7412" t="n"/>
      <c r="AE30" s="7412" t="n"/>
      <c r="AF30" s="7412" t="n"/>
      <c r="AG30" s="7413" t="n"/>
      <c r="AH30" s="7314" t="s">
        <v>3348</v>
      </c>
      <c r="AI30" s="7315" t="s">
        <v>3349</v>
      </c>
      <c r="AJ30" s="7316" t="s">
        <v>3014</v>
      </c>
      <c r="AK30" s="57" t="n"/>
      <c r="AL30" s="7314" t="s">
        <v>3350</v>
      </c>
      <c r="AM30" s="7316" t="s">
        <v>3255</v>
      </c>
      <c r="AN30" s="57" t="n"/>
      <c r="AO30" s="7314" t="s">
        <v>3351</v>
      </c>
      <c r="AP30" s="1916" t="s">
        <v>3352</v>
      </c>
      <c r="AQ30" s="7308" t="s">
        <v>3119</v>
      </c>
      <c r="AR30" s="57" t="n"/>
      <c r="AS30" s="7307" t="s">
        <v>3353</v>
      </c>
      <c r="AT30" s="2540" t="s">
        <v>3354</v>
      </c>
      <c r="AU30" s="7308" t="s">
        <v>3355</v>
      </c>
    </row>
    <row outlineLevel="0" r="31">
      <c r="A31" s="7408" t="s">
        <v>3356</v>
      </c>
      <c r="B31" s="7409" t="s">
        <v>3357</v>
      </c>
      <c r="C31" s="7293" t="s">
        <v>3358</v>
      </c>
      <c r="D31" s="7296" t="s">
        <v>3344</v>
      </c>
      <c r="E31" s="7296" t="s">
        <v>3308</v>
      </c>
      <c r="F31" s="7296" t="s">
        <v>3179</v>
      </c>
      <c r="G31" s="7296" t="s">
        <v>3309</v>
      </c>
      <c r="H31" s="7296" t="s">
        <v>3359</v>
      </c>
      <c r="I31" s="7296" t="s">
        <v>3360</v>
      </c>
      <c r="J31" s="7296" t="s">
        <v>2979</v>
      </c>
      <c r="K31" s="7296" t="s">
        <v>3096</v>
      </c>
      <c r="L31" s="7296" t="s">
        <v>3361</v>
      </c>
      <c r="M31" s="7296" t="s">
        <v>3081</v>
      </c>
      <c r="N31" s="7296" t="s">
        <v>3181</v>
      </c>
      <c r="O31" s="7296" t="s">
        <v>3282</v>
      </c>
      <c r="P31" s="7296" t="s">
        <v>3362</v>
      </c>
      <c r="Q31" s="7411" t="n"/>
      <c r="R31" s="7296" t="n"/>
      <c r="S31" s="7296" t="n"/>
      <c r="T31" s="7296" t="n"/>
      <c r="U31" s="7296" t="n"/>
      <c r="V31" s="7366" t="n"/>
      <c r="W31" s="7412" t="n"/>
      <c r="X31" s="7412" t="n"/>
      <c r="Y31" s="7412" t="n"/>
      <c r="Z31" s="7412" t="n"/>
      <c r="AA31" s="7412" t="n"/>
      <c r="AB31" s="7412" t="n"/>
      <c r="AC31" s="7412" t="n"/>
      <c r="AD31" s="7412" t="n"/>
      <c r="AE31" s="7412" t="n"/>
      <c r="AF31" s="7412" t="n"/>
      <c r="AG31" s="7413" t="n"/>
      <c r="AH31" s="7314" t="s">
        <v>3348</v>
      </c>
      <c r="AI31" s="7315" t="s">
        <v>3363</v>
      </c>
      <c r="AJ31" s="7316" t="s">
        <v>3014</v>
      </c>
      <c r="AK31" s="57" t="n"/>
      <c r="AL31" s="7314" t="s">
        <v>3364</v>
      </c>
      <c r="AM31" s="7316" t="s">
        <v>3365</v>
      </c>
      <c r="AN31" s="57" t="n"/>
      <c r="AO31" s="7307" t="s">
        <v>3366</v>
      </c>
      <c r="AP31" s="1916" t="s">
        <v>3318</v>
      </c>
      <c r="AQ31" s="7308" t="s">
        <v>3119</v>
      </c>
      <c r="AR31" s="57" t="n"/>
      <c r="AS31" s="7307" t="s">
        <v>3353</v>
      </c>
      <c r="AT31" s="2540" t="s">
        <v>3354</v>
      </c>
      <c r="AU31" s="7308" t="s">
        <v>3089</v>
      </c>
    </row>
    <row outlineLevel="0" r="32">
      <c r="A32" s="7414" t="s">
        <v>3367</v>
      </c>
      <c r="B32" s="7415" t="s">
        <v>3368</v>
      </c>
      <c r="C32" s="7416" t="s">
        <v>3369</v>
      </c>
      <c r="D32" s="7417" t="s">
        <v>3370</v>
      </c>
      <c r="E32" s="7417" t="s">
        <v>3308</v>
      </c>
      <c r="F32" s="7417" t="s">
        <v>3371</v>
      </c>
      <c r="G32" s="7417" t="s">
        <v>3266</v>
      </c>
      <c r="H32" s="7417" t="s">
        <v>3281</v>
      </c>
      <c r="I32" s="7417" t="s">
        <v>3360</v>
      </c>
      <c r="J32" s="7417" t="s">
        <v>2979</v>
      </c>
      <c r="K32" s="7417" t="s">
        <v>3096</v>
      </c>
      <c r="L32" s="7417" t="s">
        <v>3267</v>
      </c>
      <c r="M32" s="7417" t="s">
        <v>3058</v>
      </c>
      <c r="N32" s="7417" t="s">
        <v>3168</v>
      </c>
      <c r="O32" s="7417" t="s">
        <v>3282</v>
      </c>
      <c r="P32" s="7417" t="s">
        <v>3082</v>
      </c>
      <c r="Q32" s="7418" t="n"/>
      <c r="R32" s="7417" t="n"/>
      <c r="S32" s="7417" t="n"/>
      <c r="T32" s="7417" t="n"/>
      <c r="U32" s="7417" t="n"/>
      <c r="V32" s="7379" t="n"/>
      <c r="W32" s="7419" t="n"/>
      <c r="X32" s="7419" t="n"/>
      <c r="Y32" s="7419" t="n"/>
      <c r="Z32" s="7419" t="n"/>
      <c r="AA32" s="7419" t="n"/>
      <c r="AB32" s="7419" t="n"/>
      <c r="AC32" s="7419" t="n"/>
      <c r="AD32" s="7419" t="n"/>
      <c r="AE32" s="7419" t="n"/>
      <c r="AF32" s="7419" t="n"/>
      <c r="AG32" s="7420" t="n"/>
      <c r="AH32" s="7387" t="s">
        <v>3372</v>
      </c>
      <c r="AI32" s="7388" t="s">
        <v>3373</v>
      </c>
      <c r="AJ32" s="7389" t="s">
        <v>3014</v>
      </c>
      <c r="AK32" s="7421" t="n"/>
      <c r="AL32" s="7387" t="s">
        <v>3065</v>
      </c>
      <c r="AM32" s="7389" t="s">
        <v>3271</v>
      </c>
      <c r="AN32" s="7421" t="n"/>
      <c r="AO32" s="7396" t="s">
        <v>3374</v>
      </c>
      <c r="AP32" s="7393" t="s">
        <v>3068</v>
      </c>
      <c r="AQ32" s="7394" t="s">
        <v>3119</v>
      </c>
      <c r="AR32" s="7421" t="n"/>
      <c r="AS32" s="7396" t="s">
        <v>3375</v>
      </c>
      <c r="AT32" s="7397" t="s">
        <v>3275</v>
      </c>
      <c r="AU32" s="7394" t="s">
        <v>3089</v>
      </c>
      <c r="AV32" s="7398" t="n"/>
    </row>
    <row outlineLevel="0" r="33">
      <c r="A33" s="7414" t="s">
        <v>3376</v>
      </c>
      <c r="B33" s="7415" t="s">
        <v>3377</v>
      </c>
      <c r="C33" s="7416" t="s">
        <v>3378</v>
      </c>
      <c r="D33" s="7417" t="s">
        <v>3370</v>
      </c>
      <c r="E33" s="7417" t="s">
        <v>3345</v>
      </c>
      <c r="F33" s="7417" t="s">
        <v>3371</v>
      </c>
      <c r="G33" s="7417" t="s">
        <v>3266</v>
      </c>
      <c r="H33" s="7417" t="s">
        <v>3143</v>
      </c>
      <c r="I33" s="7417" t="s">
        <v>3379</v>
      </c>
      <c r="J33" s="7417" t="s">
        <v>2979</v>
      </c>
      <c r="K33" s="7417" t="s">
        <v>3056</v>
      </c>
      <c r="L33" s="7417" t="s">
        <v>3267</v>
      </c>
      <c r="M33" s="7417" t="s">
        <v>3058</v>
      </c>
      <c r="N33" s="7417" t="s">
        <v>3168</v>
      </c>
      <c r="O33" s="7417" t="s">
        <v>3027</v>
      </c>
      <c r="P33" s="7417" t="s">
        <v>3380</v>
      </c>
      <c r="Q33" s="7418" t="n"/>
      <c r="R33" s="7417" t="n"/>
      <c r="S33" s="7417" t="n"/>
      <c r="T33" s="7417" t="n"/>
      <c r="U33" s="7417" t="n"/>
      <c r="V33" s="7379" t="n"/>
      <c r="W33" s="7419" t="n"/>
      <c r="X33" s="7419" t="n"/>
      <c r="Y33" s="7419" t="n"/>
      <c r="Z33" s="7419" t="n"/>
      <c r="AA33" s="7419" t="n"/>
      <c r="AB33" s="7419" t="n"/>
      <c r="AC33" s="7419" t="n"/>
      <c r="AD33" s="7419" t="n"/>
      <c r="AE33" s="7419" t="n"/>
      <c r="AF33" s="7419" t="n"/>
      <c r="AG33" s="7420" t="n"/>
      <c r="AH33" s="7387" t="s">
        <v>3381</v>
      </c>
      <c r="AI33" s="7388" t="s">
        <v>3382</v>
      </c>
      <c r="AJ33" s="7389" t="s">
        <v>2994</v>
      </c>
      <c r="AK33" s="7421" t="n"/>
      <c r="AL33" s="7387" t="s">
        <v>3065</v>
      </c>
      <c r="AM33" s="7389" t="s">
        <v>3271</v>
      </c>
      <c r="AN33" s="7421" t="n"/>
      <c r="AO33" s="7396" t="s">
        <v>3374</v>
      </c>
      <c r="AP33" s="7393" t="s">
        <v>3068</v>
      </c>
      <c r="AQ33" s="7394" t="s">
        <v>3119</v>
      </c>
      <c r="AR33" s="7421" t="n"/>
      <c r="AS33" s="7396" t="s">
        <v>3375</v>
      </c>
      <c r="AT33" s="7397" t="s">
        <v>3275</v>
      </c>
      <c r="AU33" s="7394" t="s">
        <v>3089</v>
      </c>
      <c r="AV33" s="7398" t="n"/>
    </row>
    <row outlineLevel="0" r="34">
      <c r="A34" s="7408" t="s">
        <v>3383</v>
      </c>
      <c r="B34" s="7409" t="s">
        <v>3384</v>
      </c>
      <c r="C34" s="7293" t="s">
        <v>3385</v>
      </c>
      <c r="D34" s="7296" t="s">
        <v>3386</v>
      </c>
      <c r="E34" s="7296" t="s">
        <v>3292</v>
      </c>
      <c r="F34" s="7296" t="s">
        <v>2977</v>
      </c>
      <c r="G34" s="7296" t="s">
        <v>3387</v>
      </c>
      <c r="H34" s="7296" t="s">
        <v>3094</v>
      </c>
      <c r="I34" s="7296" t="s">
        <v>3388</v>
      </c>
      <c r="J34" s="7296" t="s">
        <v>2979</v>
      </c>
      <c r="K34" s="7296" t="s">
        <v>3240</v>
      </c>
      <c r="L34" s="7296" t="s">
        <v>3006</v>
      </c>
      <c r="M34" s="7296" t="s">
        <v>3007</v>
      </c>
      <c r="N34" s="7296" t="s">
        <v>3168</v>
      </c>
      <c r="O34" s="7296" t="s">
        <v>3389</v>
      </c>
      <c r="P34" s="7296" t="s">
        <v>3082</v>
      </c>
      <c r="Q34" s="7300" t="s">
        <v>3390</v>
      </c>
      <c r="R34" s="7296" t="s">
        <v>2987</v>
      </c>
      <c r="S34" s="7296" t="s">
        <v>3391</v>
      </c>
      <c r="T34" s="7296" t="s">
        <v>3392</v>
      </c>
      <c r="U34" s="7296" t="s">
        <v>3393</v>
      </c>
      <c r="V34" s="7303" t="s">
        <v>3394</v>
      </c>
      <c r="W34" s="7296" t="s">
        <v>2987</v>
      </c>
      <c r="X34" s="7296" t="s">
        <v>2987</v>
      </c>
      <c r="Y34" s="7296" t="s">
        <v>2987</v>
      </c>
      <c r="Z34" s="7296" t="s">
        <v>2987</v>
      </c>
      <c r="AA34" s="7296" t="s">
        <v>2987</v>
      </c>
      <c r="AB34" s="7296" t="s">
        <v>2987</v>
      </c>
      <c r="AC34" s="7296" t="s">
        <v>2987</v>
      </c>
      <c r="AD34" s="7296" t="s">
        <v>2987</v>
      </c>
      <c r="AE34" s="7296" t="s">
        <v>2987</v>
      </c>
      <c r="AF34" s="7296" t="s">
        <v>2987</v>
      </c>
      <c r="AG34" s="7422" t="n"/>
      <c r="AH34" s="7314" t="s">
        <v>3395</v>
      </c>
      <c r="AI34" s="7315" t="s">
        <v>3396</v>
      </c>
      <c r="AJ34" s="7316" t="s">
        <v>3014</v>
      </c>
      <c r="AK34" s="7290" t="n"/>
      <c r="AL34" s="7314" t="s">
        <v>3152</v>
      </c>
      <c r="AM34" s="7316" t="s">
        <v>3397</v>
      </c>
      <c r="AN34" s="7290" t="n"/>
      <c r="AO34" s="7307" t="n"/>
      <c r="AP34" s="1916" t="n"/>
      <c r="AQ34" s="7308" t="n"/>
      <c r="AR34" s="7290" t="n"/>
      <c r="AS34" s="7307" t="n"/>
      <c r="AT34" s="2540" t="n"/>
      <c r="AU34" s="7308" t="n"/>
    </row>
    <row outlineLevel="0" r="35">
      <c r="A35" s="7408" t="s">
        <v>3398</v>
      </c>
      <c r="B35" s="7409" t="s">
        <v>3399</v>
      </c>
      <c r="C35" s="7293" t="s">
        <v>3400</v>
      </c>
      <c r="D35" s="7296" t="s">
        <v>3386</v>
      </c>
      <c r="E35" s="7296" t="s">
        <v>3292</v>
      </c>
      <c r="F35" s="7296" t="s">
        <v>2977</v>
      </c>
      <c r="G35" s="7296" t="s">
        <v>3401</v>
      </c>
      <c r="H35" s="7296" t="s">
        <v>3003</v>
      </c>
      <c r="I35" s="7296" t="s">
        <v>3402</v>
      </c>
      <c r="J35" s="7296" t="s">
        <v>2979</v>
      </c>
      <c r="K35" s="7296" t="s">
        <v>2981</v>
      </c>
      <c r="L35" s="7296" t="s">
        <v>2982</v>
      </c>
      <c r="M35" s="7296" t="s">
        <v>3007</v>
      </c>
      <c r="N35" s="7296" t="s">
        <v>2981</v>
      </c>
      <c r="O35" s="7296" t="s">
        <v>3027</v>
      </c>
      <c r="P35" s="7296" t="s">
        <v>2985</v>
      </c>
      <c r="Q35" s="7300" t="s">
        <v>3390</v>
      </c>
      <c r="R35" s="7296" t="s">
        <v>2987</v>
      </c>
      <c r="S35" s="7296" t="s">
        <v>3298</v>
      </c>
      <c r="T35" s="7296" t="s">
        <v>3403</v>
      </c>
      <c r="U35" s="7296" t="s">
        <v>3393</v>
      </c>
      <c r="V35" s="7303" t="s">
        <v>3404</v>
      </c>
      <c r="W35" s="7296" t="s">
        <v>2987</v>
      </c>
      <c r="X35" s="7296" t="s">
        <v>2987</v>
      </c>
      <c r="Y35" s="7296" t="s">
        <v>2987</v>
      </c>
      <c r="Z35" s="7296" t="s">
        <v>2987</v>
      </c>
      <c r="AA35" s="7296" t="s">
        <v>2987</v>
      </c>
      <c r="AB35" s="7296" t="s">
        <v>2987</v>
      </c>
      <c r="AC35" s="7296" t="s">
        <v>2987</v>
      </c>
      <c r="AD35" s="7296" t="s">
        <v>2987</v>
      </c>
      <c r="AE35" s="7296" t="s">
        <v>2987</v>
      </c>
      <c r="AF35" s="7296" t="s">
        <v>2987</v>
      </c>
      <c r="AG35" s="7422" t="n"/>
      <c r="AH35" s="7314" t="s">
        <v>3405</v>
      </c>
      <c r="AI35" s="7315" t="s">
        <v>3406</v>
      </c>
      <c r="AJ35" s="7316" t="s">
        <v>2994</v>
      </c>
      <c r="AK35" s="7290" t="n"/>
      <c r="AL35" s="7314" t="s">
        <v>3407</v>
      </c>
      <c r="AM35" s="7316" t="s">
        <v>3186</v>
      </c>
      <c r="AN35" s="7290" t="n"/>
      <c r="AO35" s="7307" t="n"/>
      <c r="AP35" s="1916" t="n"/>
      <c r="AQ35" s="7308" t="n"/>
      <c r="AR35" s="7290" t="n"/>
      <c r="AS35" s="7307" t="n"/>
      <c r="AT35" s="2540" t="n"/>
      <c r="AU35" s="7308" t="n"/>
    </row>
    <row outlineLevel="0" r="36">
      <c r="A36" s="7408" t="s">
        <v>3408</v>
      </c>
      <c r="B36" s="7409" t="s">
        <v>3409</v>
      </c>
      <c r="C36" s="7293" t="s">
        <v>3410</v>
      </c>
      <c r="D36" s="7296" t="s">
        <v>3386</v>
      </c>
      <c r="E36" s="7296" t="s">
        <v>3292</v>
      </c>
      <c r="F36" s="7296" t="s">
        <v>2977</v>
      </c>
      <c r="G36" s="7296" t="s">
        <v>3401</v>
      </c>
      <c r="H36" s="7296" t="s">
        <v>3053</v>
      </c>
      <c r="I36" s="7296" t="s">
        <v>3402</v>
      </c>
      <c r="J36" s="7296" t="s">
        <v>2979</v>
      </c>
      <c r="K36" s="7296" t="s">
        <v>3005</v>
      </c>
      <c r="L36" s="7296" t="s">
        <v>3006</v>
      </c>
      <c r="M36" s="7296" t="s">
        <v>3007</v>
      </c>
      <c r="N36" s="7296" t="s">
        <v>2981</v>
      </c>
      <c r="O36" s="7296" t="s">
        <v>3411</v>
      </c>
      <c r="P36" s="7296" t="s">
        <v>2985</v>
      </c>
      <c r="Q36" s="7300" t="s">
        <v>3390</v>
      </c>
      <c r="R36" s="7296" t="s">
        <v>2987</v>
      </c>
      <c r="S36" s="7296" t="s">
        <v>3298</v>
      </c>
      <c r="T36" s="7296" t="s">
        <v>3403</v>
      </c>
      <c r="U36" s="7296" t="s">
        <v>3393</v>
      </c>
      <c r="V36" s="7303" t="s">
        <v>3412</v>
      </c>
      <c r="W36" s="7296" t="s">
        <v>2987</v>
      </c>
      <c r="X36" s="7296" t="s">
        <v>2987</v>
      </c>
      <c r="Y36" s="7296" t="s">
        <v>2987</v>
      </c>
      <c r="Z36" s="7296" t="s">
        <v>2987</v>
      </c>
      <c r="AA36" s="7296" t="s">
        <v>2987</v>
      </c>
      <c r="AB36" s="7296" t="s">
        <v>2987</v>
      </c>
      <c r="AC36" s="7296" t="s">
        <v>2987</v>
      </c>
      <c r="AD36" s="7296" t="s">
        <v>2987</v>
      </c>
      <c r="AE36" s="7296" t="s">
        <v>2987</v>
      </c>
      <c r="AF36" s="7296" t="s">
        <v>2987</v>
      </c>
      <c r="AG36" s="7422" t="n"/>
      <c r="AH36" s="7314" t="s">
        <v>3413</v>
      </c>
      <c r="AI36" s="7315" t="s">
        <v>3396</v>
      </c>
      <c r="AJ36" s="7316" t="s">
        <v>3014</v>
      </c>
      <c r="AK36" s="7290" t="n"/>
      <c r="AL36" s="7314" t="s">
        <v>3414</v>
      </c>
      <c r="AM36" s="7316" t="s">
        <v>3016</v>
      </c>
      <c r="AN36" s="7290" t="n"/>
      <c r="AO36" s="7307" t="n"/>
      <c r="AP36" s="1916" t="n"/>
      <c r="AQ36" s="7308" t="n"/>
      <c r="AR36" s="7290" t="n"/>
      <c r="AS36" s="7307" t="n"/>
      <c r="AT36" s="2540" t="n"/>
      <c r="AU36" s="7308" t="n"/>
    </row>
    <row outlineLevel="0" r="37">
      <c r="A37" s="7408" t="s">
        <v>3415</v>
      </c>
      <c r="B37" s="7409" t="s">
        <v>3416</v>
      </c>
      <c r="C37" s="7293" t="s">
        <v>3417</v>
      </c>
      <c r="D37" s="7296" t="s">
        <v>3263</v>
      </c>
      <c r="E37" s="7296" t="s">
        <v>3345</v>
      </c>
      <c r="F37" s="7296" t="s">
        <v>3418</v>
      </c>
      <c r="G37" s="7296" t="s">
        <v>3266</v>
      </c>
      <c r="H37" s="7296" t="s">
        <v>3419</v>
      </c>
      <c r="I37" s="7296" t="s">
        <v>3420</v>
      </c>
      <c r="J37" s="7296" t="s">
        <v>3421</v>
      </c>
      <c r="K37" s="7296" t="s">
        <v>3096</v>
      </c>
      <c r="L37" s="7296" t="s">
        <v>3267</v>
      </c>
      <c r="M37" s="7296" t="s">
        <v>3422</v>
      </c>
      <c r="N37" s="7296" t="s">
        <v>3206</v>
      </c>
      <c r="O37" s="7296" t="s">
        <v>3027</v>
      </c>
      <c r="P37" s="7296" t="s">
        <v>3423</v>
      </c>
      <c r="Q37" s="7411" t="n"/>
      <c r="R37" s="7296" t="n"/>
      <c r="S37" s="7296" t="n"/>
      <c r="T37" s="7296" t="n"/>
      <c r="U37" s="7296" t="n"/>
      <c r="V37" s="7366" t="n"/>
      <c r="W37" s="7412" t="n"/>
      <c r="X37" s="7412" t="n"/>
      <c r="Y37" s="7412" t="n"/>
      <c r="Z37" s="7412" t="n"/>
      <c r="AA37" s="7412" t="n"/>
      <c r="AB37" s="7412" t="n"/>
      <c r="AC37" s="7412" t="n"/>
      <c r="AD37" s="7412" t="n"/>
      <c r="AE37" s="7412" t="n"/>
      <c r="AF37" s="7412" t="n"/>
      <c r="AG37" s="7413" t="n"/>
      <c r="AH37" s="7314" t="s">
        <v>3424</v>
      </c>
      <c r="AI37" s="7315" t="s">
        <v>3425</v>
      </c>
      <c r="AJ37" s="7316" t="s">
        <v>3036</v>
      </c>
      <c r="AK37" s="57" t="n"/>
      <c r="AL37" s="7314" t="s">
        <v>3065</v>
      </c>
      <c r="AM37" s="7316" t="s">
        <v>3271</v>
      </c>
      <c r="AN37" s="57" t="n"/>
      <c r="AO37" s="7307" t="s">
        <v>3272</v>
      </c>
      <c r="AP37" s="1916" t="s">
        <v>3068</v>
      </c>
      <c r="AQ37" s="7308" t="s">
        <v>3119</v>
      </c>
      <c r="AR37" s="57" t="n"/>
      <c r="AS37" s="7307" t="s">
        <v>3426</v>
      </c>
      <c r="AT37" s="2540" t="s">
        <v>3427</v>
      </c>
      <c r="AU37" s="7308" t="s">
        <v>3213</v>
      </c>
    </row>
    <row outlineLevel="0" r="38">
      <c r="A38" s="7408" t="s">
        <v>3428</v>
      </c>
      <c r="B38" s="7409" t="s">
        <v>3429</v>
      </c>
      <c r="C38" s="7293" t="s">
        <v>3430</v>
      </c>
      <c r="D38" s="7296" t="s">
        <v>3157</v>
      </c>
      <c r="E38" s="7296" t="s">
        <v>2976</v>
      </c>
      <c r="F38" s="7296" t="s">
        <v>3158</v>
      </c>
      <c r="G38" s="7296" t="s">
        <v>2978</v>
      </c>
      <c r="H38" s="7296" t="s">
        <v>3079</v>
      </c>
      <c r="I38" s="7296" t="s">
        <v>3166</v>
      </c>
      <c r="J38" s="7296" t="s">
        <v>2979</v>
      </c>
      <c r="K38" s="7296" t="s">
        <v>3167</v>
      </c>
      <c r="L38" s="7296" t="s">
        <v>3006</v>
      </c>
      <c r="M38" s="7296" t="s">
        <v>2983</v>
      </c>
      <c r="N38" s="7296" t="s">
        <v>3168</v>
      </c>
      <c r="O38" s="7296" t="s">
        <v>2979</v>
      </c>
      <c r="P38" s="7296" t="s">
        <v>3169</v>
      </c>
      <c r="Q38" s="7300" t="s">
        <v>2986</v>
      </c>
      <c r="R38" s="7296" t="s">
        <v>2987</v>
      </c>
      <c r="S38" s="7296" t="s">
        <v>3431</v>
      </c>
      <c r="T38" s="7296" t="s">
        <v>3432</v>
      </c>
      <c r="U38" s="7296" t="s">
        <v>3160</v>
      </c>
      <c r="V38" s="7303" t="s">
        <v>3033</v>
      </c>
      <c r="W38" s="7296" t="s">
        <v>2987</v>
      </c>
      <c r="X38" s="7296" t="s">
        <v>2987</v>
      </c>
      <c r="Y38" s="7296" t="s">
        <v>2987</v>
      </c>
      <c r="Z38" s="7296" t="s">
        <v>2987</v>
      </c>
      <c r="AA38" s="7296" t="s">
        <v>2987</v>
      </c>
      <c r="AB38" s="7296" t="s">
        <v>2987</v>
      </c>
      <c r="AC38" s="7296" t="s">
        <v>2987</v>
      </c>
      <c r="AD38" s="7296" t="s">
        <v>2987</v>
      </c>
      <c r="AE38" s="7296" t="s">
        <v>2987</v>
      </c>
      <c r="AF38" s="7296" t="s">
        <v>2987</v>
      </c>
      <c r="AG38" s="7413" t="n"/>
      <c r="AH38" s="7314" t="s">
        <v>3172</v>
      </c>
      <c r="AI38" s="7315" t="s">
        <v>3162</v>
      </c>
      <c r="AJ38" s="7316" t="s">
        <v>2994</v>
      </c>
      <c r="AK38" s="57" t="n"/>
      <c r="AL38" s="7314" t="s">
        <v>3173</v>
      </c>
      <c r="AM38" s="7316" t="s">
        <v>3433</v>
      </c>
      <c r="AN38" s="57" t="n"/>
      <c r="AO38" s="7307" t="n"/>
      <c r="AP38" s="1916" t="n"/>
      <c r="AQ38" s="7308" t="n"/>
      <c r="AR38" s="57" t="n"/>
      <c r="AS38" s="7307" t="n"/>
      <c r="AT38" s="2540" t="n"/>
      <c r="AU38" s="7308" t="n"/>
    </row>
    <row outlineLevel="0" r="39">
      <c r="A39" s="7408" t="s">
        <v>3434</v>
      </c>
      <c r="B39" s="7409" t="s">
        <v>3435</v>
      </c>
      <c r="C39" s="7293" t="s">
        <v>3436</v>
      </c>
      <c r="D39" s="7296" t="s">
        <v>3437</v>
      </c>
      <c r="E39" s="7296" t="s">
        <v>2976</v>
      </c>
      <c r="F39" s="7296" t="s">
        <v>3158</v>
      </c>
      <c r="G39" s="7296" t="s">
        <v>3023</v>
      </c>
      <c r="H39" s="7296" t="s">
        <v>2979</v>
      </c>
      <c r="I39" s="7296" t="s">
        <v>3438</v>
      </c>
      <c r="J39" s="7296" t="s">
        <v>2979</v>
      </c>
      <c r="K39" s="7296" t="s">
        <v>3026</v>
      </c>
      <c r="L39" s="7296" t="s">
        <v>2982</v>
      </c>
      <c r="M39" s="7296" t="s">
        <v>2983</v>
      </c>
      <c r="N39" s="7296" t="s">
        <v>3439</v>
      </c>
      <c r="O39" s="7296" t="s">
        <v>2979</v>
      </c>
      <c r="P39" s="7296" t="s">
        <v>3440</v>
      </c>
      <c r="Q39" s="7300" t="s">
        <v>2986</v>
      </c>
      <c r="R39" s="7296" t="s">
        <v>2987</v>
      </c>
      <c r="S39" s="7296" t="s">
        <v>3431</v>
      </c>
      <c r="T39" s="7296" t="s">
        <v>3441</v>
      </c>
      <c r="U39" s="7296" t="s">
        <v>3442</v>
      </c>
      <c r="V39" s="7303" t="s">
        <v>3033</v>
      </c>
      <c r="W39" s="7296" t="s">
        <v>2987</v>
      </c>
      <c r="X39" s="7296" t="s">
        <v>2987</v>
      </c>
      <c r="Y39" s="7296" t="s">
        <v>2987</v>
      </c>
      <c r="Z39" s="7296" t="s">
        <v>2987</v>
      </c>
      <c r="AA39" s="7296" t="s">
        <v>2987</v>
      </c>
      <c r="AB39" s="7296" t="s">
        <v>2987</v>
      </c>
      <c r="AC39" s="7296" t="s">
        <v>2987</v>
      </c>
      <c r="AD39" s="7296" t="s">
        <v>2987</v>
      </c>
      <c r="AE39" s="7296" t="s">
        <v>2987</v>
      </c>
      <c r="AF39" s="7296" t="s">
        <v>2987</v>
      </c>
      <c r="AG39" s="7413" t="n"/>
      <c r="AH39" s="7314" t="s">
        <v>3443</v>
      </c>
      <c r="AI39" s="7315" t="s">
        <v>3444</v>
      </c>
      <c r="AJ39" s="7316" t="s">
        <v>2994</v>
      </c>
      <c r="AK39" s="57" t="n"/>
      <c r="AL39" s="7314" t="n"/>
      <c r="AM39" s="7316" t="n"/>
      <c r="AN39" s="57" t="n"/>
      <c r="AO39" s="7307" t="n"/>
      <c r="AP39" s="1916" t="n"/>
      <c r="AQ39" s="7308" t="n"/>
      <c r="AR39" s="57" t="n"/>
      <c r="AS39" s="7307" t="n"/>
      <c r="AT39" s="2540" t="n"/>
      <c r="AU39" s="7308" t="n"/>
    </row>
    <row outlineLevel="0" r="40">
      <c r="A40" s="7414" t="s">
        <v>3445</v>
      </c>
      <c r="B40" s="7415" t="s">
        <v>3446</v>
      </c>
      <c r="C40" s="7416" t="s">
        <v>3447</v>
      </c>
      <c r="D40" s="7417" t="s">
        <v>3437</v>
      </c>
      <c r="E40" s="7417" t="s">
        <v>2976</v>
      </c>
      <c r="F40" s="7417" t="s">
        <v>3448</v>
      </c>
      <c r="G40" s="7417" t="s">
        <v>3023</v>
      </c>
      <c r="H40" s="7417" t="s">
        <v>3079</v>
      </c>
      <c r="I40" s="7417" t="s">
        <v>3449</v>
      </c>
      <c r="J40" s="7417" t="s">
        <v>2979</v>
      </c>
      <c r="K40" s="7417" t="s">
        <v>3026</v>
      </c>
      <c r="L40" s="7417" t="s">
        <v>2982</v>
      </c>
      <c r="M40" s="7417" t="s">
        <v>3007</v>
      </c>
      <c r="N40" s="7417" t="s">
        <v>3295</v>
      </c>
      <c r="O40" s="7417" t="s">
        <v>3450</v>
      </c>
      <c r="P40" s="7417" t="s">
        <v>3451</v>
      </c>
      <c r="Q40" s="7426" t="s">
        <v>2986</v>
      </c>
      <c r="R40" s="7417" t="s">
        <v>2987</v>
      </c>
      <c r="S40" s="7417" t="s">
        <v>3452</v>
      </c>
      <c r="T40" s="7417" t="s">
        <v>3453</v>
      </c>
      <c r="U40" s="7417" t="s">
        <v>3454</v>
      </c>
      <c r="V40" s="7427" t="s">
        <v>3455</v>
      </c>
      <c r="W40" s="7417" t="s">
        <v>2987</v>
      </c>
      <c r="X40" s="7417" t="s">
        <v>2987</v>
      </c>
      <c r="Y40" s="7417" t="s">
        <v>2987</v>
      </c>
      <c r="Z40" s="7417" t="s">
        <v>2987</v>
      </c>
      <c r="AA40" s="7417" t="s">
        <v>2987</v>
      </c>
      <c r="AB40" s="7417" t="s">
        <v>2987</v>
      </c>
      <c r="AC40" s="7417" t="s">
        <v>2987</v>
      </c>
      <c r="AD40" s="7417" t="s">
        <v>2987</v>
      </c>
      <c r="AE40" s="7417" t="s">
        <v>2987</v>
      </c>
      <c r="AF40" s="7417" t="s">
        <v>2987</v>
      </c>
      <c r="AG40" s="7420" t="n"/>
      <c r="AH40" s="7387" t="s">
        <v>3456</v>
      </c>
      <c r="AI40" s="7388" t="s">
        <v>3457</v>
      </c>
      <c r="AJ40" s="7389" t="s">
        <v>3036</v>
      </c>
      <c r="AK40" s="7421" t="n"/>
      <c r="AL40" s="7387" t="n"/>
      <c r="AM40" s="7389" t="n"/>
      <c r="AN40" s="7421" t="n"/>
      <c r="AO40" s="7396" t="n"/>
      <c r="AP40" s="7393" t="n"/>
      <c r="AQ40" s="7394" t="n"/>
      <c r="AR40" s="7421" t="n"/>
      <c r="AS40" s="7396" t="n"/>
      <c r="AT40" s="7397" t="n"/>
      <c r="AU40" s="7394" t="n"/>
      <c r="AV40" s="7398" t="n"/>
    </row>
    <row outlineLevel="0" r="41">
      <c r="A41" s="7408" t="s">
        <v>3458</v>
      </c>
      <c r="B41" s="7409" t="s">
        <v>3459</v>
      </c>
      <c r="C41" s="7293" t="s">
        <v>3460</v>
      </c>
      <c r="D41" s="7296" t="s">
        <v>2975</v>
      </c>
      <c r="E41" s="7296" t="s">
        <v>3002</v>
      </c>
      <c r="F41" s="7296" t="s">
        <v>3040</v>
      </c>
      <c r="G41" s="7296" t="s">
        <v>3461</v>
      </c>
      <c r="H41" s="7296" t="s">
        <v>3079</v>
      </c>
      <c r="I41" s="7296" t="s">
        <v>3462</v>
      </c>
      <c r="J41" s="7296" t="s">
        <v>2979</v>
      </c>
      <c r="K41" s="7296" t="s">
        <v>2981</v>
      </c>
      <c r="L41" s="7296" t="s">
        <v>3006</v>
      </c>
      <c r="M41" s="7296" t="s">
        <v>3007</v>
      </c>
      <c r="N41" s="7296" t="s">
        <v>3463</v>
      </c>
      <c r="O41" s="7296" t="s">
        <v>2979</v>
      </c>
      <c r="P41" s="7296" t="s">
        <v>3451</v>
      </c>
      <c r="Q41" s="7300" t="s">
        <v>2986</v>
      </c>
      <c r="R41" s="7296" t="s">
        <v>2987</v>
      </c>
      <c r="S41" s="7296" t="s">
        <v>3170</v>
      </c>
      <c r="T41" s="7296" t="s">
        <v>3464</v>
      </c>
      <c r="U41" s="7296" t="s">
        <v>3160</v>
      </c>
      <c r="V41" s="7303" t="s">
        <v>2991</v>
      </c>
      <c r="W41" s="7296" t="s">
        <v>2987</v>
      </c>
      <c r="X41" s="7296" t="s">
        <v>2987</v>
      </c>
      <c r="Y41" s="7296" t="s">
        <v>2987</v>
      </c>
      <c r="Z41" s="7296" t="s">
        <v>2987</v>
      </c>
      <c r="AA41" s="7296" t="s">
        <v>2987</v>
      </c>
      <c r="AB41" s="7296" t="s">
        <v>2987</v>
      </c>
      <c r="AC41" s="7296" t="s">
        <v>2987</v>
      </c>
      <c r="AD41" s="7296" t="s">
        <v>2987</v>
      </c>
      <c r="AE41" s="7296" t="s">
        <v>2987</v>
      </c>
      <c r="AF41" s="7296" t="s">
        <v>2987</v>
      </c>
      <c r="AG41" s="7413" t="n"/>
      <c r="AH41" s="7314" t="s">
        <v>3465</v>
      </c>
      <c r="AI41" s="7315" t="s">
        <v>2993</v>
      </c>
      <c r="AJ41" s="7316" t="s">
        <v>2994</v>
      </c>
      <c r="AK41" s="57" t="n"/>
      <c r="AL41" s="7314" t="s">
        <v>3466</v>
      </c>
      <c r="AM41" s="7316" t="s">
        <v>3186</v>
      </c>
      <c r="AN41" s="57" t="n"/>
      <c r="AO41" s="7307" t="n"/>
      <c r="AP41" s="1916" t="n"/>
      <c r="AQ41" s="7308" t="n"/>
      <c r="AR41" s="57" t="n"/>
      <c r="AS41" s="7307" t="n"/>
      <c r="AT41" s="2540" t="n"/>
      <c r="AU41" s="7308" t="n"/>
    </row>
    <row outlineLevel="0" r="42">
      <c r="A42" s="7414" t="s">
        <v>3467</v>
      </c>
      <c r="B42" s="7415" t="s">
        <v>3468</v>
      </c>
      <c r="C42" s="7416" t="s">
        <v>3469</v>
      </c>
      <c r="D42" s="7417" t="s">
        <v>2975</v>
      </c>
      <c r="E42" s="7417" t="s">
        <v>3002</v>
      </c>
      <c r="F42" s="7417" t="s">
        <v>3040</v>
      </c>
      <c r="G42" s="7417" t="s">
        <v>3041</v>
      </c>
      <c r="H42" s="7417" t="s">
        <v>3003</v>
      </c>
      <c r="I42" s="7417" t="s">
        <v>3004</v>
      </c>
      <c r="J42" s="7417" t="s">
        <v>2979</v>
      </c>
      <c r="K42" s="7417" t="s">
        <v>3026</v>
      </c>
      <c r="L42" s="7417" t="s">
        <v>2982</v>
      </c>
      <c r="M42" s="7417" t="s">
        <v>3007</v>
      </c>
      <c r="N42" s="7417" t="s">
        <v>3027</v>
      </c>
      <c r="O42" s="7417" t="s">
        <v>2979</v>
      </c>
      <c r="P42" s="7417" t="s">
        <v>3042</v>
      </c>
      <c r="Q42" s="7426" t="s">
        <v>2986</v>
      </c>
      <c r="R42" s="7417" t="s">
        <v>2987</v>
      </c>
      <c r="S42" s="7417" t="s">
        <v>3470</v>
      </c>
      <c r="T42" s="7417" t="s">
        <v>3471</v>
      </c>
      <c r="U42" s="7417" t="s">
        <v>3472</v>
      </c>
      <c r="V42" s="7427" t="s">
        <v>3455</v>
      </c>
      <c r="W42" s="7417" t="s">
        <v>2987</v>
      </c>
      <c r="X42" s="7417" t="s">
        <v>2987</v>
      </c>
      <c r="Y42" s="7417" t="s">
        <v>2987</v>
      </c>
      <c r="Z42" s="7417" t="s">
        <v>2987</v>
      </c>
      <c r="AA42" s="7417" t="s">
        <v>2987</v>
      </c>
      <c r="AB42" s="7417" t="s">
        <v>2987</v>
      </c>
      <c r="AC42" s="7417" t="s">
        <v>2987</v>
      </c>
      <c r="AD42" s="7417" t="s">
        <v>2987</v>
      </c>
      <c r="AE42" s="7417" t="s">
        <v>2987</v>
      </c>
      <c r="AF42" s="7417" t="s">
        <v>2987</v>
      </c>
      <c r="AG42" s="7420" t="n"/>
      <c r="AH42" s="7387" t="s">
        <v>3473</v>
      </c>
      <c r="AI42" s="7388" t="s">
        <v>3013</v>
      </c>
      <c r="AJ42" s="7389" t="s">
        <v>3036</v>
      </c>
      <c r="AK42" s="7421" t="n"/>
      <c r="AL42" s="7387" t="n"/>
      <c r="AM42" s="7389" t="n"/>
      <c r="AN42" s="7421" t="n"/>
      <c r="AO42" s="7396" t="n"/>
      <c r="AP42" s="7393" t="n"/>
      <c r="AQ42" s="7394" t="n"/>
      <c r="AR42" s="7421" t="n"/>
      <c r="AS42" s="7396" t="n"/>
      <c r="AT42" s="7397" t="n"/>
      <c r="AU42" s="7394" t="n"/>
      <c r="AV42" s="7398" t="n"/>
    </row>
    <row outlineLevel="0" r="43">
      <c r="A43" s="7408" t="s">
        <v>3474</v>
      </c>
      <c r="B43" s="7409" t="s">
        <v>3475</v>
      </c>
      <c r="C43" s="7293" t="s">
        <v>3476</v>
      </c>
      <c r="D43" s="7296" t="s">
        <v>3247</v>
      </c>
      <c r="E43" s="7296" t="s">
        <v>3021</v>
      </c>
      <c r="F43" s="7296" t="s">
        <v>3202</v>
      </c>
      <c r="G43" s="7296" t="s">
        <v>3023</v>
      </c>
      <c r="H43" s="7296" t="s">
        <v>3079</v>
      </c>
      <c r="I43" s="7296" t="s">
        <v>3477</v>
      </c>
      <c r="J43" s="7296" t="s">
        <v>2979</v>
      </c>
      <c r="K43" s="7296" t="s">
        <v>3145</v>
      </c>
      <c r="L43" s="7296" t="s">
        <v>3006</v>
      </c>
      <c r="M43" s="7296" t="s">
        <v>3007</v>
      </c>
      <c r="N43" s="7296" t="s">
        <v>3219</v>
      </c>
      <c r="O43" s="7296" t="s">
        <v>3027</v>
      </c>
      <c r="P43" s="7296" t="s">
        <v>3478</v>
      </c>
      <c r="Q43" s="7300" t="s">
        <v>2986</v>
      </c>
      <c r="R43" s="7296" t="s">
        <v>2987</v>
      </c>
      <c r="S43" s="7296" t="s">
        <v>3194</v>
      </c>
      <c r="T43" s="7296" t="s">
        <v>3221</v>
      </c>
      <c r="U43" s="7296" t="s">
        <v>3251</v>
      </c>
      <c r="V43" s="7303" t="s">
        <v>3222</v>
      </c>
      <c r="W43" s="7296" t="n"/>
      <c r="X43" s="7296" t="n"/>
      <c r="Y43" s="7296" t="n"/>
      <c r="Z43" s="7296" t="n"/>
      <c r="AA43" s="7296" t="n"/>
      <c r="AB43" s="7296" t="n"/>
      <c r="AC43" s="7296" t="n"/>
      <c r="AD43" s="7296" t="n"/>
      <c r="AE43" s="7296" t="n"/>
      <c r="AF43" s="7296" t="n"/>
      <c r="AH43" s="7314" t="s">
        <v>3479</v>
      </c>
      <c r="AI43" s="7315" t="s">
        <v>3253</v>
      </c>
      <c r="AJ43" s="7316" t="s">
        <v>3036</v>
      </c>
      <c r="AL43" s="7314" t="s">
        <v>3152</v>
      </c>
      <c r="AM43" s="7316" t="s">
        <v>3480</v>
      </c>
    </row>
    <row outlineLevel="0" r="44">
      <c r="A44" s="7414" t="s">
        <v>3481</v>
      </c>
      <c r="B44" s="7415" t="s">
        <v>3482</v>
      </c>
      <c r="C44" s="7416" t="s">
        <v>3483</v>
      </c>
      <c r="D44" s="7417" t="s">
        <v>3247</v>
      </c>
      <c r="E44" s="7417" t="s">
        <v>3021</v>
      </c>
      <c r="F44" s="7417" t="s">
        <v>3484</v>
      </c>
      <c r="G44" s="7417" t="s">
        <v>3142</v>
      </c>
      <c r="H44" s="7417" t="s">
        <v>3094</v>
      </c>
      <c r="I44" s="7417" t="s">
        <v>3485</v>
      </c>
      <c r="J44" s="7417" t="s">
        <v>3486</v>
      </c>
      <c r="K44" s="7417" t="s">
        <v>3240</v>
      </c>
      <c r="L44" s="7417" t="s">
        <v>3006</v>
      </c>
      <c r="M44" s="7417" t="s">
        <v>3007</v>
      </c>
      <c r="N44" s="7417" t="s">
        <v>3059</v>
      </c>
      <c r="O44" s="7417" t="s">
        <v>2979</v>
      </c>
      <c r="P44" s="7417" t="s">
        <v>3487</v>
      </c>
      <c r="Q44" s="7426" t="s">
        <v>2986</v>
      </c>
      <c r="R44" s="7417" t="s">
        <v>2987</v>
      </c>
      <c r="S44" s="7417" t="s">
        <v>3452</v>
      </c>
      <c r="T44" s="7417" t="s">
        <v>3453</v>
      </c>
      <c r="U44" s="7417" t="s">
        <v>3488</v>
      </c>
      <c r="V44" s="7427" t="s">
        <v>3455</v>
      </c>
      <c r="W44" s="7417" t="s">
        <v>2987</v>
      </c>
      <c r="X44" s="7417" t="s">
        <v>2987</v>
      </c>
      <c r="Y44" s="7417" t="s">
        <v>2987</v>
      </c>
      <c r="Z44" s="7417" t="s">
        <v>2987</v>
      </c>
      <c r="AA44" s="7417" t="s">
        <v>2987</v>
      </c>
      <c r="AB44" s="7417" t="s">
        <v>2987</v>
      </c>
      <c r="AC44" s="7417" t="s">
        <v>2987</v>
      </c>
      <c r="AD44" s="7417" t="s">
        <v>2987</v>
      </c>
      <c r="AE44" s="7417" t="s">
        <v>2987</v>
      </c>
      <c r="AF44" s="7417" t="s">
        <v>2987</v>
      </c>
      <c r="AG44" s="7386" t="n"/>
      <c r="AH44" s="7387" t="s">
        <v>3479</v>
      </c>
      <c r="AI44" s="7388" t="s">
        <v>3253</v>
      </c>
      <c r="AJ44" s="7389" t="s">
        <v>3036</v>
      </c>
      <c r="AK44" s="7390" t="n"/>
      <c r="AL44" s="7387" t="s">
        <v>3152</v>
      </c>
      <c r="AM44" s="7389" t="s">
        <v>3489</v>
      </c>
      <c r="AN44" s="7390" t="n"/>
      <c r="AO44" s="7396" t="n"/>
      <c r="AP44" s="7393" t="n"/>
      <c r="AQ44" s="7394" t="n"/>
      <c r="AR44" s="7390" t="n"/>
      <c r="AS44" s="7396" t="n"/>
      <c r="AT44" s="7397" t="n"/>
      <c r="AU44" s="7394" t="n"/>
      <c r="AV44" s="7398" t="n"/>
    </row>
    <row outlineLevel="0" r="45">
      <c r="A45" s="7414" t="s">
        <v>3490</v>
      </c>
      <c r="B45" s="7415" t="s">
        <v>3491</v>
      </c>
      <c r="C45" s="7416" t="s">
        <v>3492</v>
      </c>
      <c r="D45" s="7417" t="s">
        <v>3247</v>
      </c>
      <c r="E45" s="7417" t="s">
        <v>3141</v>
      </c>
      <c r="F45" s="7417" t="s">
        <v>3448</v>
      </c>
      <c r="G45" s="7417" t="s">
        <v>3142</v>
      </c>
      <c r="H45" s="7417" t="s">
        <v>2979</v>
      </c>
      <c r="I45" s="7417" t="s">
        <v>3493</v>
      </c>
      <c r="J45" s="7417" t="s">
        <v>2979</v>
      </c>
      <c r="K45" s="7417" t="s">
        <v>3026</v>
      </c>
      <c r="L45" s="7417" t="s">
        <v>3006</v>
      </c>
      <c r="M45" s="7417" t="s">
        <v>3007</v>
      </c>
      <c r="N45" s="7417" t="s">
        <v>3295</v>
      </c>
      <c r="O45" s="7417" t="s">
        <v>2979</v>
      </c>
      <c r="P45" s="7417" t="s">
        <v>3193</v>
      </c>
      <c r="Q45" s="7426" t="s">
        <v>2986</v>
      </c>
      <c r="R45" s="7417" t="s">
        <v>2987</v>
      </c>
      <c r="S45" s="7417" t="s">
        <v>3494</v>
      </c>
      <c r="T45" s="7417" t="s">
        <v>3495</v>
      </c>
      <c r="U45" s="7417" t="s">
        <v>3488</v>
      </c>
      <c r="V45" s="7427" t="s">
        <v>3455</v>
      </c>
      <c r="W45" s="7417" t="s">
        <v>2987</v>
      </c>
      <c r="X45" s="7417" t="s">
        <v>2987</v>
      </c>
      <c r="Y45" s="7417" t="s">
        <v>2987</v>
      </c>
      <c r="Z45" s="7417" t="s">
        <v>2987</v>
      </c>
      <c r="AA45" s="7417" t="s">
        <v>2987</v>
      </c>
      <c r="AB45" s="7417" t="s">
        <v>2987</v>
      </c>
      <c r="AC45" s="7417" t="s">
        <v>2987</v>
      </c>
      <c r="AD45" s="7417" t="s">
        <v>2987</v>
      </c>
      <c r="AE45" s="7417" t="s">
        <v>2987</v>
      </c>
      <c r="AF45" s="7417" t="s">
        <v>2987</v>
      </c>
      <c r="AG45" s="7386" t="n"/>
      <c r="AH45" s="7387" t="s">
        <v>3496</v>
      </c>
      <c r="AI45" s="7388" t="s">
        <v>3253</v>
      </c>
      <c r="AJ45" s="7389" t="s">
        <v>3036</v>
      </c>
      <c r="AK45" s="7390" t="n"/>
      <c r="AL45" s="7387" t="n"/>
      <c r="AM45" s="7389" t="n"/>
      <c r="AN45" s="7390" t="n"/>
      <c r="AO45" s="7396" t="n"/>
      <c r="AP45" s="7393" t="n"/>
      <c r="AQ45" s="7394" t="n"/>
      <c r="AR45" s="7390" t="n"/>
      <c r="AS45" s="7396" t="n"/>
      <c r="AT45" s="7397" t="n"/>
      <c r="AU45" s="7394" t="n"/>
      <c r="AV45" s="7398" t="n"/>
    </row>
    <row outlineLevel="0" r="46">
      <c r="A46" s="7408" t="s">
        <v>3497</v>
      </c>
      <c r="B46" s="7409" t="s">
        <v>3498</v>
      </c>
      <c r="C46" s="7293" t="s">
        <v>3499</v>
      </c>
      <c r="D46" s="7296" t="s">
        <v>3157</v>
      </c>
      <c r="E46" s="7296" t="s">
        <v>2976</v>
      </c>
      <c r="F46" s="7296" t="s">
        <v>3500</v>
      </c>
      <c r="G46" s="7296" t="s">
        <v>3023</v>
      </c>
      <c r="H46" s="7296" t="s">
        <v>3094</v>
      </c>
      <c r="I46" s="7296" t="s">
        <v>3501</v>
      </c>
      <c r="J46" s="7296" t="s">
        <v>3205</v>
      </c>
      <c r="K46" s="7296" t="s">
        <v>3240</v>
      </c>
      <c r="L46" s="7296" t="s">
        <v>3006</v>
      </c>
      <c r="M46" s="7296" t="s">
        <v>3007</v>
      </c>
      <c r="N46" s="7296" t="s">
        <v>3502</v>
      </c>
      <c r="O46" s="7296" t="s">
        <v>2979</v>
      </c>
      <c r="P46" s="7296" t="s">
        <v>3207</v>
      </c>
      <c r="Q46" s="7300" t="s">
        <v>2986</v>
      </c>
      <c r="R46" s="7296" t="s">
        <v>2987</v>
      </c>
      <c r="S46" s="7296" t="s">
        <v>3220</v>
      </c>
      <c r="T46" s="7296" t="s">
        <v>3221</v>
      </c>
      <c r="U46" s="7296" t="s">
        <v>3160</v>
      </c>
      <c r="V46" s="7303" t="s">
        <v>3222</v>
      </c>
      <c r="W46" s="7296" t="s">
        <v>2987</v>
      </c>
      <c r="X46" s="7296" t="s">
        <v>2987</v>
      </c>
      <c r="Y46" s="7296" t="s">
        <v>2987</v>
      </c>
      <c r="Z46" s="7296" t="s">
        <v>2987</v>
      </c>
      <c r="AA46" s="7296" t="s">
        <v>2987</v>
      </c>
      <c r="AB46" s="7296" t="s">
        <v>2987</v>
      </c>
      <c r="AC46" s="7296" t="s">
        <v>2987</v>
      </c>
      <c r="AD46" s="7296" t="s">
        <v>2987</v>
      </c>
      <c r="AE46" s="7296" t="s">
        <v>2987</v>
      </c>
      <c r="AF46" s="7296" t="s">
        <v>2987</v>
      </c>
      <c r="AH46" s="7314" t="s">
        <v>3223</v>
      </c>
      <c r="AI46" s="7315" t="s">
        <v>3224</v>
      </c>
      <c r="AJ46" s="7316" t="s">
        <v>3036</v>
      </c>
      <c r="AL46" s="7314" t="s">
        <v>3503</v>
      </c>
      <c r="AM46" s="7316" t="s">
        <v>3255</v>
      </c>
    </row>
    <row outlineLevel="0" r="47">
      <c r="A47" s="7414" t="s">
        <v>3504</v>
      </c>
      <c r="B47" s="7415" t="s">
        <v>3505</v>
      </c>
      <c r="C47" s="7416" t="s">
        <v>3506</v>
      </c>
      <c r="D47" s="7417" t="s">
        <v>3076</v>
      </c>
      <c r="E47" s="7417" t="s">
        <v>3077</v>
      </c>
      <c r="F47" s="7417" t="s">
        <v>3040</v>
      </c>
      <c r="G47" s="7417" t="s">
        <v>3041</v>
      </c>
      <c r="H47" s="7417" t="s">
        <v>2979</v>
      </c>
      <c r="I47" s="7417" t="s">
        <v>3507</v>
      </c>
      <c r="J47" s="7417" t="s">
        <v>2979</v>
      </c>
      <c r="K47" s="7417" t="s">
        <v>3027</v>
      </c>
      <c r="L47" s="7417" t="s">
        <v>2982</v>
      </c>
      <c r="M47" s="7417" t="s">
        <v>3081</v>
      </c>
      <c r="N47" s="7417" t="s">
        <v>3027</v>
      </c>
      <c r="O47" s="7417" t="s">
        <v>3027</v>
      </c>
      <c r="P47" s="7417" t="s">
        <v>2985</v>
      </c>
      <c r="Q47" s="7426" t="s">
        <v>2906</v>
      </c>
      <c r="R47" s="7417" t="s">
        <v>2906</v>
      </c>
      <c r="S47" s="7417" t="s">
        <v>2906</v>
      </c>
      <c r="T47" s="7417" t="s">
        <v>2906</v>
      </c>
      <c r="U47" s="7417" t="s">
        <v>2906</v>
      </c>
      <c r="V47" s="7427" t="s">
        <v>2906</v>
      </c>
      <c r="W47" s="7417" t="s">
        <v>2906</v>
      </c>
      <c r="X47" s="7417" t="s">
        <v>2906</v>
      </c>
      <c r="Y47" s="7417" t="s">
        <v>2906</v>
      </c>
      <c r="Z47" s="7417" t="s">
        <v>2906</v>
      </c>
      <c r="AA47" s="7417" t="s">
        <v>2906</v>
      </c>
      <c r="AB47" s="7417" t="s">
        <v>2906</v>
      </c>
      <c r="AC47" s="7417" t="s">
        <v>2906</v>
      </c>
      <c r="AD47" s="7417" t="s">
        <v>2906</v>
      </c>
      <c r="AE47" s="7417" t="s">
        <v>2906</v>
      </c>
      <c r="AF47" s="7417" t="s">
        <v>2906</v>
      </c>
      <c r="AG47" s="7386" t="n"/>
      <c r="AH47" s="7387" t="s">
        <v>3508</v>
      </c>
      <c r="AI47" s="7388" t="s">
        <v>3509</v>
      </c>
      <c r="AJ47" s="7389" t="s">
        <v>3036</v>
      </c>
      <c r="AK47" s="7390" t="n"/>
      <c r="AL47" s="7387" t="n"/>
      <c r="AM47" s="7389" t="n"/>
      <c r="AN47" s="7390" t="n"/>
      <c r="AO47" s="7396" t="s">
        <v>3510</v>
      </c>
      <c r="AP47" s="7393" t="s">
        <v>3352</v>
      </c>
      <c r="AQ47" s="7394" t="s">
        <v>3086</v>
      </c>
      <c r="AR47" s="7390" t="n"/>
      <c r="AS47" s="7396" t="s">
        <v>3511</v>
      </c>
      <c r="AT47" s="7397" t="s">
        <v>3512</v>
      </c>
      <c r="AU47" s="7394" t="s">
        <v>3513</v>
      </c>
      <c r="AV47" s="7398" t="n"/>
    </row>
    <row outlineLevel="0" r="48">
      <c r="A48" s="7414" t="s">
        <v>3514</v>
      </c>
      <c r="B48" s="7428" t="s">
        <v>3515</v>
      </c>
      <c r="C48" s="7416" t="s">
        <v>3516</v>
      </c>
      <c r="D48" s="7417" t="s">
        <v>3263</v>
      </c>
      <c r="E48" s="7417" t="s">
        <v>3264</v>
      </c>
      <c r="F48" s="7417" t="s">
        <v>3265</v>
      </c>
      <c r="G48" s="7417" t="s">
        <v>3517</v>
      </c>
      <c r="H48" s="7417" t="s">
        <v>3079</v>
      </c>
      <c r="I48" s="7417" t="s">
        <v>3095</v>
      </c>
      <c r="J48" s="7417" t="s">
        <v>3110</v>
      </c>
      <c r="K48" s="7417" t="s">
        <v>3518</v>
      </c>
      <c r="L48" s="7417" t="s">
        <v>3267</v>
      </c>
      <c r="M48" s="7417" t="s">
        <v>3058</v>
      </c>
      <c r="N48" s="7417" t="s">
        <v>3192</v>
      </c>
      <c r="O48" s="7417" t="s">
        <v>3027</v>
      </c>
      <c r="P48" s="7417" t="s">
        <v>3519</v>
      </c>
      <c r="Q48" s="7426" t="s">
        <v>2906</v>
      </c>
      <c r="R48" s="7417" t="s">
        <v>2906</v>
      </c>
      <c r="S48" s="7417" t="s">
        <v>2906</v>
      </c>
      <c r="T48" s="7417" t="s">
        <v>2906</v>
      </c>
      <c r="U48" s="7417" t="s">
        <v>2906</v>
      </c>
      <c r="V48" s="7427" t="s">
        <v>2906</v>
      </c>
      <c r="W48" s="7417" t="s">
        <v>2906</v>
      </c>
      <c r="X48" s="7417" t="s">
        <v>2906</v>
      </c>
      <c r="Y48" s="7417" t="s">
        <v>2906</v>
      </c>
      <c r="Z48" s="7417" t="s">
        <v>2906</v>
      </c>
      <c r="AA48" s="7417" t="s">
        <v>2906</v>
      </c>
      <c r="AB48" s="7417" t="s">
        <v>2906</v>
      </c>
      <c r="AC48" s="7417" t="s">
        <v>2906</v>
      </c>
      <c r="AD48" s="7417" t="s">
        <v>2906</v>
      </c>
      <c r="AE48" s="7417" t="s">
        <v>2906</v>
      </c>
      <c r="AF48" s="7417" t="s">
        <v>2906</v>
      </c>
      <c r="AG48" s="7386" t="n"/>
      <c r="AH48" s="7387" t="s">
        <v>3269</v>
      </c>
      <c r="AI48" s="7388" t="s">
        <v>3270</v>
      </c>
      <c r="AJ48" s="7389" t="s">
        <v>3036</v>
      </c>
      <c r="AK48" s="7390" t="n"/>
      <c r="AL48" s="7387" t="s">
        <v>3065</v>
      </c>
      <c r="AM48" s="7389" t="s">
        <v>3271</v>
      </c>
      <c r="AN48" s="7390" t="n"/>
      <c r="AO48" s="7396" t="s">
        <v>3272</v>
      </c>
      <c r="AP48" s="7393" t="s">
        <v>3273</v>
      </c>
      <c r="AQ48" s="7394" t="s">
        <v>3119</v>
      </c>
      <c r="AR48" s="7390" t="n"/>
      <c r="AS48" s="7396" t="s">
        <v>3274</v>
      </c>
      <c r="AT48" s="7397" t="s">
        <v>3275</v>
      </c>
      <c r="AU48" s="7394" t="s">
        <v>3213</v>
      </c>
      <c r="AV48" s="7398" t="n"/>
    </row>
    <row outlineLevel="0" r="49">
      <c r="A49" s="7408" t="s">
        <v>3520</v>
      </c>
      <c r="B49" s="7319" t="s">
        <v>3521</v>
      </c>
      <c r="C49" s="7293" t="s">
        <v>3522</v>
      </c>
      <c r="D49" s="7296" t="s">
        <v>3523</v>
      </c>
      <c r="E49" s="7296" t="s">
        <v>3345</v>
      </c>
      <c r="F49" s="7296" t="s">
        <v>3265</v>
      </c>
      <c r="G49" s="7296" t="s">
        <v>2978</v>
      </c>
      <c r="H49" s="7296" t="s">
        <v>2979</v>
      </c>
      <c r="I49" s="7296" t="s">
        <v>3346</v>
      </c>
      <c r="J49" s="7296" t="s">
        <v>2979</v>
      </c>
      <c r="K49" s="7296" t="s">
        <v>3027</v>
      </c>
      <c r="L49" s="7296" t="s">
        <v>2982</v>
      </c>
      <c r="M49" s="7296" t="s">
        <v>3081</v>
      </c>
      <c r="N49" s="7296" t="s">
        <v>2984</v>
      </c>
      <c r="O49" s="7296" t="s">
        <v>2979</v>
      </c>
      <c r="P49" s="7296" t="s">
        <v>2987</v>
      </c>
      <c r="Q49" s="7300" t="s">
        <v>2906</v>
      </c>
      <c r="R49" s="7296" t="s">
        <v>2906</v>
      </c>
      <c r="S49" s="7296" t="s">
        <v>2906</v>
      </c>
      <c r="T49" s="7296" t="s">
        <v>2906</v>
      </c>
      <c r="U49" s="7296" t="s">
        <v>2906</v>
      </c>
      <c r="V49" s="7303" t="s">
        <v>2906</v>
      </c>
      <c r="W49" s="7296" t="s">
        <v>2906</v>
      </c>
      <c r="X49" s="7296" t="s">
        <v>2906</v>
      </c>
      <c r="Y49" s="7296" t="s">
        <v>2906</v>
      </c>
      <c r="Z49" s="7296" t="s">
        <v>2906</v>
      </c>
      <c r="AA49" s="7296" t="s">
        <v>2906</v>
      </c>
      <c r="AB49" s="7296" t="s">
        <v>2906</v>
      </c>
      <c r="AC49" s="7296" t="s">
        <v>2906</v>
      </c>
      <c r="AD49" s="7296" t="s">
        <v>2906</v>
      </c>
      <c r="AE49" s="7296" t="s">
        <v>2906</v>
      </c>
      <c r="AF49" s="7296" t="s">
        <v>2906</v>
      </c>
      <c r="AG49" s="7422" t="n"/>
      <c r="AH49" s="7314" t="s">
        <v>3524</v>
      </c>
      <c r="AI49" s="7315" t="s">
        <v>3525</v>
      </c>
      <c r="AJ49" s="7316" t="s">
        <v>2994</v>
      </c>
      <c r="AK49" s="7290" t="n"/>
      <c r="AL49" s="7314" t="n"/>
      <c r="AM49" s="7316" t="n"/>
      <c r="AN49" s="7290" t="n"/>
      <c r="AO49" s="7307" t="s">
        <v>3526</v>
      </c>
      <c r="AP49" s="1916" t="s">
        <v>3352</v>
      </c>
      <c r="AQ49" s="7308" t="s">
        <v>3119</v>
      </c>
      <c r="AR49" s="7290" t="n"/>
      <c r="AS49" s="7307" t="s">
        <v>3527</v>
      </c>
      <c r="AT49" s="2540" t="s">
        <v>3354</v>
      </c>
      <c r="AU49" s="7308" t="s">
        <v>3355</v>
      </c>
    </row>
    <row outlineLevel="0" r="50">
      <c r="A50" s="7414" t="s">
        <v>3528</v>
      </c>
      <c r="B50" s="7428" t="s">
        <v>3529</v>
      </c>
      <c r="C50" s="7416" t="s">
        <v>3530</v>
      </c>
      <c r="D50" s="7417" t="s">
        <v>3263</v>
      </c>
      <c r="E50" s="7417" t="s">
        <v>3308</v>
      </c>
      <c r="F50" s="7417" t="s">
        <v>3531</v>
      </c>
      <c r="G50" s="7417" t="s">
        <v>3532</v>
      </c>
      <c r="H50" s="7417" t="s">
        <v>3281</v>
      </c>
      <c r="I50" s="7417" t="s">
        <v>3533</v>
      </c>
      <c r="J50" s="7417" t="s">
        <v>3110</v>
      </c>
      <c r="K50" s="7417" t="s">
        <v>3096</v>
      </c>
      <c r="L50" s="7417" t="s">
        <v>3267</v>
      </c>
      <c r="M50" s="7417" t="s">
        <v>3058</v>
      </c>
      <c r="N50" s="7417" t="s">
        <v>3192</v>
      </c>
      <c r="O50" s="7417" t="s">
        <v>3282</v>
      </c>
      <c r="P50" s="7417" t="s">
        <v>3534</v>
      </c>
      <c r="Q50" s="7426" t="s">
        <v>2906</v>
      </c>
      <c r="R50" s="7417" t="s">
        <v>2906</v>
      </c>
      <c r="S50" s="7417" t="s">
        <v>2906</v>
      </c>
      <c r="T50" s="7417" t="s">
        <v>2906</v>
      </c>
      <c r="U50" s="7417" t="s">
        <v>2906</v>
      </c>
      <c r="V50" s="7427" t="s">
        <v>2906</v>
      </c>
      <c r="W50" s="7417" t="s">
        <v>2906</v>
      </c>
      <c r="X50" s="7417" t="s">
        <v>2906</v>
      </c>
      <c r="Y50" s="7417" t="s">
        <v>2906</v>
      </c>
      <c r="Z50" s="7417" t="s">
        <v>2906</v>
      </c>
      <c r="AA50" s="7417" t="s">
        <v>2906</v>
      </c>
      <c r="AB50" s="7417" t="s">
        <v>2906</v>
      </c>
      <c r="AC50" s="7417" t="s">
        <v>2906</v>
      </c>
      <c r="AD50" s="7417" t="s">
        <v>2906</v>
      </c>
      <c r="AE50" s="7417" t="s">
        <v>2906</v>
      </c>
      <c r="AF50" s="7417" t="s">
        <v>2906</v>
      </c>
      <c r="AG50" s="7429" t="n"/>
      <c r="AH50" s="7387" t="s">
        <v>3535</v>
      </c>
      <c r="AI50" s="7388" t="s">
        <v>3285</v>
      </c>
      <c r="AJ50" s="7389" t="s">
        <v>3036</v>
      </c>
      <c r="AK50" s="7390" t="n"/>
      <c r="AL50" s="7387" t="s">
        <v>3065</v>
      </c>
      <c r="AM50" s="7389" t="s">
        <v>3271</v>
      </c>
      <c r="AN50" s="7390" t="n"/>
      <c r="AO50" s="7396" t="s">
        <v>3286</v>
      </c>
      <c r="AP50" s="7393" t="s">
        <v>3536</v>
      </c>
      <c r="AQ50" s="7394" t="s">
        <v>3119</v>
      </c>
      <c r="AR50" s="7390" t="n"/>
      <c r="AS50" s="7396" t="s">
        <v>3274</v>
      </c>
      <c r="AT50" s="7397" t="s">
        <v>3275</v>
      </c>
      <c r="AU50" s="7394" t="s">
        <v>3213</v>
      </c>
      <c r="AV50" s="7398" t="n"/>
    </row>
    <row outlineLevel="0" r="51">
      <c r="A51" s="7408" t="s">
        <v>3537</v>
      </c>
      <c r="B51" s="7319" t="s">
        <v>3538</v>
      </c>
      <c r="C51" s="7293" t="s">
        <v>3539</v>
      </c>
      <c r="D51" s="7296" t="s">
        <v>3540</v>
      </c>
      <c r="E51" s="7296" t="s">
        <v>3541</v>
      </c>
      <c r="F51" s="7296" t="s">
        <v>3158</v>
      </c>
      <c r="G51" s="7296" t="s">
        <v>3542</v>
      </c>
      <c r="H51" s="7296" t="s">
        <v>3143</v>
      </c>
      <c r="I51" s="7296" t="s">
        <v>3543</v>
      </c>
      <c r="J51" s="7296" t="s">
        <v>3055</v>
      </c>
      <c r="K51" s="7296" t="s">
        <v>2984</v>
      </c>
      <c r="L51" s="7296" t="s">
        <v>3544</v>
      </c>
      <c r="M51" s="7296" t="s">
        <v>3081</v>
      </c>
      <c r="N51" s="7296" t="s">
        <v>3545</v>
      </c>
      <c r="O51" s="7296" t="s">
        <v>3282</v>
      </c>
      <c r="P51" s="7296" t="s">
        <v>2985</v>
      </c>
      <c r="Q51" s="7300" t="s">
        <v>2906</v>
      </c>
      <c r="R51" s="7296" t="s">
        <v>2906</v>
      </c>
      <c r="S51" s="7296" t="s">
        <v>2906</v>
      </c>
      <c r="T51" s="7296" t="s">
        <v>2906</v>
      </c>
      <c r="U51" s="7296" t="s">
        <v>2906</v>
      </c>
      <c r="V51" s="7303" t="s">
        <v>2906</v>
      </c>
      <c r="W51" s="7296" t="s">
        <v>2906</v>
      </c>
      <c r="X51" s="7296" t="s">
        <v>2906</v>
      </c>
      <c r="Y51" s="7296" t="s">
        <v>2906</v>
      </c>
      <c r="Z51" s="7296" t="s">
        <v>2906</v>
      </c>
      <c r="AA51" s="7296" t="s">
        <v>2906</v>
      </c>
      <c r="AB51" s="7296" t="s">
        <v>2906</v>
      </c>
      <c r="AC51" s="7296" t="s">
        <v>2906</v>
      </c>
      <c r="AD51" s="7296" t="s">
        <v>2906</v>
      </c>
      <c r="AE51" s="7296" t="s">
        <v>2906</v>
      </c>
      <c r="AF51" s="7296" t="s">
        <v>2906</v>
      </c>
      <c r="AH51" s="7314" t="s">
        <v>3546</v>
      </c>
      <c r="AI51" s="7315" t="s">
        <v>3547</v>
      </c>
      <c r="AJ51" s="7316" t="s">
        <v>3036</v>
      </c>
      <c r="AL51" s="7314" t="s">
        <v>3548</v>
      </c>
      <c r="AM51" s="7316" t="s">
        <v>3016</v>
      </c>
      <c r="AO51" s="7307" t="s">
        <v>3549</v>
      </c>
      <c r="AP51" s="1916" t="s">
        <v>3352</v>
      </c>
      <c r="AQ51" s="7308" t="s">
        <v>3086</v>
      </c>
      <c r="AS51" s="7307" t="s">
        <v>3550</v>
      </c>
      <c r="AT51" s="2540" t="s">
        <v>3551</v>
      </c>
      <c r="AU51" s="7308" t="s">
        <v>3355</v>
      </c>
    </row>
    <row outlineLevel="0" r="52">
      <c r="A52" s="7408" t="s">
        <v>3552</v>
      </c>
      <c r="B52" s="7319" t="s">
        <v>3553</v>
      </c>
      <c r="C52" s="7293" t="s">
        <v>3554</v>
      </c>
      <c r="D52" s="7296" t="s">
        <v>3555</v>
      </c>
      <c r="E52" s="7296" t="s">
        <v>3541</v>
      </c>
      <c r="F52" s="7296" t="s">
        <v>3158</v>
      </c>
      <c r="G52" s="7296" t="s">
        <v>3556</v>
      </c>
      <c r="H52" s="7296" t="s">
        <v>3094</v>
      </c>
      <c r="I52" s="7296" t="s">
        <v>3557</v>
      </c>
      <c r="J52" s="7296" t="s">
        <v>3055</v>
      </c>
      <c r="K52" s="7296" t="s">
        <v>3096</v>
      </c>
      <c r="L52" s="7296" t="s">
        <v>3111</v>
      </c>
      <c r="M52" s="7296" t="s">
        <v>3081</v>
      </c>
      <c r="N52" s="7296" t="s">
        <v>3059</v>
      </c>
      <c r="O52" s="7296" t="s">
        <v>3282</v>
      </c>
      <c r="P52" s="7296" t="s">
        <v>3558</v>
      </c>
      <c r="Q52" s="7300" t="s">
        <v>2906</v>
      </c>
      <c r="R52" s="7296" t="s">
        <v>2906</v>
      </c>
      <c r="S52" s="7296" t="s">
        <v>2906</v>
      </c>
      <c r="T52" s="7296" t="s">
        <v>2906</v>
      </c>
      <c r="U52" s="7296" t="s">
        <v>2906</v>
      </c>
      <c r="V52" s="7303" t="s">
        <v>2906</v>
      </c>
      <c r="W52" s="7296" t="s">
        <v>2906</v>
      </c>
      <c r="X52" s="7296" t="s">
        <v>2906</v>
      </c>
      <c r="Y52" s="7296" t="s">
        <v>2906</v>
      </c>
      <c r="Z52" s="7296" t="s">
        <v>2906</v>
      </c>
      <c r="AA52" s="7296" t="s">
        <v>2906</v>
      </c>
      <c r="AB52" s="7296" t="s">
        <v>2906</v>
      </c>
      <c r="AC52" s="7296" t="s">
        <v>2906</v>
      </c>
      <c r="AD52" s="7296" t="s">
        <v>2906</v>
      </c>
      <c r="AE52" s="7296" t="s">
        <v>2906</v>
      </c>
      <c r="AF52" s="7296" t="s">
        <v>2906</v>
      </c>
      <c r="AG52" s="7422" t="n"/>
      <c r="AH52" s="7314" t="s">
        <v>3559</v>
      </c>
      <c r="AI52" s="7315" t="s">
        <v>3560</v>
      </c>
      <c r="AJ52" s="7316" t="s">
        <v>3036</v>
      </c>
      <c r="AK52" s="7290" t="n"/>
      <c r="AL52" s="7314" t="s">
        <v>3065</v>
      </c>
      <c r="AM52" s="7316" t="s">
        <v>3210</v>
      </c>
      <c r="AN52" s="7290" t="n"/>
      <c r="AO52" s="7307" t="s">
        <v>3561</v>
      </c>
      <c r="AP52" s="1916" t="s">
        <v>3536</v>
      </c>
      <c r="AQ52" s="7308" t="s">
        <v>3086</v>
      </c>
      <c r="AR52" s="7290" t="n"/>
      <c r="AS52" s="7307" t="s">
        <v>3562</v>
      </c>
      <c r="AT52" s="2540" t="s">
        <v>3088</v>
      </c>
      <c r="AU52" s="7308" t="s">
        <v>3213</v>
      </c>
    </row>
    <row outlineLevel="0" r="53">
      <c r="A53" s="7414" t="s">
        <v>3563</v>
      </c>
      <c r="B53" s="7428" t="s">
        <v>3564</v>
      </c>
      <c r="C53" s="7416" t="s">
        <v>3565</v>
      </c>
      <c r="D53" s="7417" t="s">
        <v>3566</v>
      </c>
      <c r="E53" s="7417" t="s">
        <v>3050</v>
      </c>
      <c r="F53" s="7417" t="s">
        <v>3158</v>
      </c>
      <c r="G53" s="7417" t="s">
        <v>3567</v>
      </c>
      <c r="H53" s="7417" t="s">
        <v>3143</v>
      </c>
      <c r="I53" s="7417" t="s">
        <v>3568</v>
      </c>
      <c r="J53" s="7417" t="s">
        <v>3110</v>
      </c>
      <c r="K53" s="7417" t="s">
        <v>3056</v>
      </c>
      <c r="L53" s="7417" t="s">
        <v>3057</v>
      </c>
      <c r="M53" s="7417" t="s">
        <v>3058</v>
      </c>
      <c r="N53" s="7417" t="s">
        <v>3569</v>
      </c>
      <c r="O53" s="7417" t="s">
        <v>3060</v>
      </c>
      <c r="P53" s="7417" t="s">
        <v>3558</v>
      </c>
      <c r="Q53" s="7426" t="s">
        <v>2906</v>
      </c>
      <c r="R53" s="7417" t="s">
        <v>2906</v>
      </c>
      <c r="S53" s="7417" t="s">
        <v>2906</v>
      </c>
      <c r="T53" s="7417" t="s">
        <v>2906</v>
      </c>
      <c r="U53" s="7417" t="s">
        <v>2906</v>
      </c>
      <c r="V53" s="7427" t="s">
        <v>2906</v>
      </c>
      <c r="W53" s="7417" t="s">
        <v>2906</v>
      </c>
      <c r="X53" s="7417" t="s">
        <v>2906</v>
      </c>
      <c r="Y53" s="7417" t="s">
        <v>2906</v>
      </c>
      <c r="Z53" s="7417" t="s">
        <v>2906</v>
      </c>
      <c r="AA53" s="7417" t="s">
        <v>2906</v>
      </c>
      <c r="AB53" s="7417" t="s">
        <v>2906</v>
      </c>
      <c r="AC53" s="7417" t="s">
        <v>2906</v>
      </c>
      <c r="AD53" s="7417" t="s">
        <v>2906</v>
      </c>
      <c r="AE53" s="7417" t="s">
        <v>2906</v>
      </c>
      <c r="AF53" s="7417" t="s">
        <v>2906</v>
      </c>
      <c r="AG53" s="7429" t="n"/>
      <c r="AH53" s="7387" t="s">
        <v>3570</v>
      </c>
      <c r="AI53" s="7388" t="s">
        <v>3571</v>
      </c>
      <c r="AJ53" s="7389" t="s">
        <v>3036</v>
      </c>
      <c r="AK53" s="7390" t="n"/>
      <c r="AL53" s="7387" t="s">
        <v>3065</v>
      </c>
      <c r="AM53" s="7389" t="s">
        <v>3572</v>
      </c>
      <c r="AN53" s="7390" t="n"/>
      <c r="AO53" s="7396" t="s">
        <v>3573</v>
      </c>
      <c r="AP53" s="7393" t="s">
        <v>3273</v>
      </c>
      <c r="AQ53" s="7394" t="s">
        <v>3069</v>
      </c>
      <c r="AR53" s="7390" t="n"/>
      <c r="AS53" s="7396" t="s">
        <v>3574</v>
      </c>
      <c r="AT53" s="7397" t="s">
        <v>3575</v>
      </c>
      <c r="AU53" s="7394" t="s">
        <v>3576</v>
      </c>
      <c r="AV53" s="7398" t="n"/>
    </row>
    <row outlineLevel="0" r="54">
      <c r="A54" s="7408" t="s">
        <v>3577</v>
      </c>
      <c r="B54" s="7319" t="s">
        <v>3578</v>
      </c>
      <c r="C54" s="7293" t="s">
        <v>3579</v>
      </c>
      <c r="D54" s="7296" t="s">
        <v>3566</v>
      </c>
      <c r="E54" s="7296" t="s">
        <v>3580</v>
      </c>
      <c r="F54" s="7296" t="s">
        <v>3158</v>
      </c>
      <c r="G54" s="7296" t="s">
        <v>3581</v>
      </c>
      <c r="H54" s="7296" t="s">
        <v>3003</v>
      </c>
      <c r="I54" s="7296" t="s">
        <v>3582</v>
      </c>
      <c r="J54" s="7296" t="s">
        <v>2979</v>
      </c>
      <c r="K54" s="7296" t="s">
        <v>3027</v>
      </c>
      <c r="L54" s="7296" t="s">
        <v>3057</v>
      </c>
      <c r="M54" s="7296" t="s">
        <v>3058</v>
      </c>
      <c r="N54" s="7296" t="s">
        <v>3097</v>
      </c>
      <c r="O54" s="7296" t="s">
        <v>3583</v>
      </c>
      <c r="P54" s="7296" t="s">
        <v>3558</v>
      </c>
      <c r="Q54" s="7300" t="s">
        <v>2906</v>
      </c>
      <c r="R54" s="7296" t="s">
        <v>2906</v>
      </c>
      <c r="S54" s="7296" t="s">
        <v>2906</v>
      </c>
      <c r="T54" s="7296" t="s">
        <v>2906</v>
      </c>
      <c r="U54" s="7296" t="s">
        <v>2906</v>
      </c>
      <c r="V54" s="7303" t="s">
        <v>2906</v>
      </c>
      <c r="W54" s="7296" t="s">
        <v>2906</v>
      </c>
      <c r="X54" s="7296" t="s">
        <v>2906</v>
      </c>
      <c r="Y54" s="7296" t="s">
        <v>2906</v>
      </c>
      <c r="Z54" s="7296" t="s">
        <v>2906</v>
      </c>
      <c r="AA54" s="7296" t="s">
        <v>2906</v>
      </c>
      <c r="AB54" s="7296" t="s">
        <v>2906</v>
      </c>
      <c r="AC54" s="7296" t="s">
        <v>2906</v>
      </c>
      <c r="AD54" s="7296" t="s">
        <v>2906</v>
      </c>
      <c r="AE54" s="7296" t="s">
        <v>2906</v>
      </c>
      <c r="AF54" s="7296" t="s">
        <v>2906</v>
      </c>
      <c r="AG54" s="7422" t="n"/>
      <c r="AH54" s="7314" t="s">
        <v>3584</v>
      </c>
      <c r="AI54" s="7315" t="s">
        <v>3585</v>
      </c>
      <c r="AJ54" s="7316" t="s">
        <v>2994</v>
      </c>
      <c r="AK54" s="7290" t="n"/>
      <c r="AL54" s="7314" t="s">
        <v>3586</v>
      </c>
      <c r="AM54" s="7316" t="s">
        <v>3587</v>
      </c>
      <c r="AN54" s="7290" t="n"/>
      <c r="AO54" s="7307" t="s">
        <v>3588</v>
      </c>
      <c r="AP54" s="1916" t="s">
        <v>3536</v>
      </c>
      <c r="AQ54" s="7308" t="s">
        <v>3069</v>
      </c>
      <c r="AR54" s="7290" t="n"/>
      <c r="AS54" s="7307" t="s">
        <v>3589</v>
      </c>
      <c r="AT54" s="2540" t="s">
        <v>3590</v>
      </c>
      <c r="AU54" s="7308" t="s">
        <v>3213</v>
      </c>
    </row>
    <row outlineLevel="0" r="55">
      <c r="A55" s="7414" t="s">
        <v>3591</v>
      </c>
      <c r="B55" s="7428" t="s">
        <v>3592</v>
      </c>
      <c r="C55" s="7416" t="s">
        <v>3593</v>
      </c>
      <c r="D55" s="7417" t="s">
        <v>3076</v>
      </c>
      <c r="E55" s="7417" t="s">
        <v>3541</v>
      </c>
      <c r="F55" s="7417" t="s">
        <v>3051</v>
      </c>
      <c r="G55" s="7417" t="s">
        <v>3594</v>
      </c>
      <c r="H55" s="7417" t="s">
        <v>3053</v>
      </c>
      <c r="I55" s="7417" t="s">
        <v>3595</v>
      </c>
      <c r="J55" s="7417" t="s">
        <v>3055</v>
      </c>
      <c r="K55" s="7417" t="s">
        <v>3056</v>
      </c>
      <c r="L55" s="7417" t="s">
        <v>3111</v>
      </c>
      <c r="M55" s="7417" t="s">
        <v>3081</v>
      </c>
      <c r="N55" s="7417" t="s">
        <v>3059</v>
      </c>
      <c r="O55" s="7417" t="s">
        <v>3282</v>
      </c>
      <c r="P55" s="7417" t="s">
        <v>3061</v>
      </c>
      <c r="Q55" s="7426" t="s">
        <v>2906</v>
      </c>
      <c r="R55" s="7417" t="s">
        <v>2906</v>
      </c>
      <c r="S55" s="7417" t="s">
        <v>2906</v>
      </c>
      <c r="T55" s="7417" t="s">
        <v>2906</v>
      </c>
      <c r="U55" s="7417" t="s">
        <v>2906</v>
      </c>
      <c r="V55" s="7427" t="s">
        <v>2906</v>
      </c>
      <c r="W55" s="7417" t="s">
        <v>2906</v>
      </c>
      <c r="X55" s="7417" t="s">
        <v>2906</v>
      </c>
      <c r="Y55" s="7417" t="s">
        <v>2906</v>
      </c>
      <c r="Z55" s="7417" t="s">
        <v>2906</v>
      </c>
      <c r="AA55" s="7417" t="s">
        <v>2906</v>
      </c>
      <c r="AB55" s="7417" t="s">
        <v>2906</v>
      </c>
      <c r="AC55" s="7417" t="s">
        <v>2906</v>
      </c>
      <c r="AD55" s="7417" t="s">
        <v>2906</v>
      </c>
      <c r="AE55" s="7417" t="s">
        <v>2906</v>
      </c>
      <c r="AF55" s="7417" t="s">
        <v>2906</v>
      </c>
      <c r="AG55" s="7429" t="n"/>
      <c r="AH55" s="7387" t="s">
        <v>3596</v>
      </c>
      <c r="AI55" s="7388" t="s">
        <v>3597</v>
      </c>
      <c r="AJ55" s="7389" t="s">
        <v>3064</v>
      </c>
      <c r="AK55" s="7390" t="n"/>
      <c r="AL55" s="7387" t="s">
        <v>3065</v>
      </c>
      <c r="AM55" s="7389" t="s">
        <v>3598</v>
      </c>
      <c r="AN55" s="7390" t="n"/>
      <c r="AO55" s="7396" t="s">
        <v>3599</v>
      </c>
      <c r="AP55" s="7393" t="s">
        <v>3068</v>
      </c>
      <c r="AQ55" s="7394" t="s">
        <v>3086</v>
      </c>
      <c r="AR55" s="7390" t="n"/>
      <c r="AS55" s="7396" t="s">
        <v>3600</v>
      </c>
      <c r="AT55" s="7397" t="s">
        <v>3601</v>
      </c>
      <c r="AU55" s="7394" t="s">
        <v>3072</v>
      </c>
      <c r="AV55" s="7398" t="n"/>
    </row>
    <row outlineLevel="0" r="56">
      <c r="A56" s="7414" t="s">
        <v>3602</v>
      </c>
      <c r="B56" s="7428" t="s">
        <v>3603</v>
      </c>
      <c r="C56" s="7416" t="s">
        <v>3604</v>
      </c>
      <c r="D56" s="7417" t="s">
        <v>3605</v>
      </c>
      <c r="E56" s="7417" t="s">
        <v>3279</v>
      </c>
      <c r="F56" s="7417" t="s">
        <v>3126</v>
      </c>
      <c r="G56" s="7417" t="s">
        <v>3266</v>
      </c>
      <c r="H56" s="7417" t="s">
        <v>3108</v>
      </c>
      <c r="I56" s="7417" t="s">
        <v>3606</v>
      </c>
      <c r="J56" s="7417" t="s">
        <v>3110</v>
      </c>
      <c r="K56" s="7417" t="s">
        <v>3056</v>
      </c>
      <c r="L56" s="7417" t="s">
        <v>3267</v>
      </c>
      <c r="M56" s="7417" t="s">
        <v>3058</v>
      </c>
      <c r="N56" s="7417" t="s">
        <v>3059</v>
      </c>
      <c r="O56" s="7417" t="s">
        <v>3282</v>
      </c>
      <c r="P56" s="7417" t="s">
        <v>3607</v>
      </c>
      <c r="Q56" s="7426" t="s">
        <v>2906</v>
      </c>
      <c r="R56" s="7417" t="s">
        <v>2906</v>
      </c>
      <c r="S56" s="7417" t="s">
        <v>2906</v>
      </c>
      <c r="T56" s="7417" t="s">
        <v>2906</v>
      </c>
      <c r="U56" s="7417" t="s">
        <v>2906</v>
      </c>
      <c r="V56" s="7427" t="s">
        <v>2906</v>
      </c>
      <c r="W56" s="7417" t="s">
        <v>2906</v>
      </c>
      <c r="X56" s="7417" t="s">
        <v>2906</v>
      </c>
      <c r="Y56" s="7417" t="s">
        <v>2906</v>
      </c>
      <c r="Z56" s="7417" t="s">
        <v>2906</v>
      </c>
      <c r="AA56" s="7417" t="s">
        <v>2906</v>
      </c>
      <c r="AB56" s="7417" t="s">
        <v>2906</v>
      </c>
      <c r="AC56" s="7417" t="s">
        <v>2906</v>
      </c>
      <c r="AD56" s="7417" t="s">
        <v>2906</v>
      </c>
      <c r="AE56" s="7417" t="s">
        <v>2906</v>
      </c>
      <c r="AF56" s="7417" t="s">
        <v>2906</v>
      </c>
      <c r="AG56" s="7429" t="n"/>
      <c r="AH56" s="7387" t="s">
        <v>3608</v>
      </c>
      <c r="AI56" s="7388" t="s">
        <v>3609</v>
      </c>
      <c r="AJ56" s="7389" t="s">
        <v>3064</v>
      </c>
      <c r="AK56" s="7390" t="n"/>
      <c r="AL56" s="7387" t="s">
        <v>3065</v>
      </c>
      <c r="AM56" s="7389" t="s">
        <v>3610</v>
      </c>
      <c r="AN56" s="7390" t="n"/>
      <c r="AO56" s="7396" t="s">
        <v>3611</v>
      </c>
      <c r="AP56" s="7393" t="s">
        <v>3612</v>
      </c>
      <c r="AQ56" s="7394" t="s">
        <v>3119</v>
      </c>
      <c r="AR56" s="7390" t="n"/>
      <c r="AS56" s="7396" t="s">
        <v>3120</v>
      </c>
      <c r="AT56" s="7397" t="s">
        <v>3613</v>
      </c>
      <c r="AU56" s="7394" t="s">
        <v>3072</v>
      </c>
      <c r="AV56" s="7398" t="n"/>
    </row>
    <row outlineLevel="0" r="57">
      <c r="A57" s="7414" t="s">
        <v>3614</v>
      </c>
      <c r="B57" s="7428" t="s">
        <v>3615</v>
      </c>
      <c r="C57" s="7416" t="s">
        <v>3616</v>
      </c>
      <c r="D57" s="7417" t="s">
        <v>3105</v>
      </c>
      <c r="E57" s="7417" t="s">
        <v>3617</v>
      </c>
      <c r="F57" s="7417" t="s">
        <v>3126</v>
      </c>
      <c r="G57" s="7417" t="s">
        <v>3618</v>
      </c>
      <c r="H57" s="7417" t="s">
        <v>3619</v>
      </c>
      <c r="I57" s="7417" t="s">
        <v>3620</v>
      </c>
      <c r="J57" s="7417" t="s">
        <v>3110</v>
      </c>
      <c r="K57" s="7417" t="s">
        <v>3056</v>
      </c>
      <c r="L57" s="7417" t="s">
        <v>3111</v>
      </c>
      <c r="M57" s="7417" t="s">
        <v>3081</v>
      </c>
      <c r="N57" s="7417" t="s">
        <v>3059</v>
      </c>
      <c r="O57" s="7417" t="s">
        <v>3112</v>
      </c>
      <c r="P57" s="7417" t="s">
        <v>3607</v>
      </c>
      <c r="Q57" s="7426" t="s">
        <v>2906</v>
      </c>
      <c r="R57" s="7417" t="s">
        <v>2906</v>
      </c>
      <c r="S57" s="7417" t="s">
        <v>2906</v>
      </c>
      <c r="T57" s="7417" t="s">
        <v>2906</v>
      </c>
      <c r="U57" s="7417" t="s">
        <v>2906</v>
      </c>
      <c r="V57" s="7427" t="s">
        <v>2906</v>
      </c>
      <c r="W57" s="7417" t="s">
        <v>2906</v>
      </c>
      <c r="X57" s="7417" t="s">
        <v>2906</v>
      </c>
      <c r="Y57" s="7417" t="s">
        <v>2906</v>
      </c>
      <c r="Z57" s="7417" t="s">
        <v>2906</v>
      </c>
      <c r="AA57" s="7417" t="s">
        <v>2906</v>
      </c>
      <c r="AB57" s="7417" t="s">
        <v>2906</v>
      </c>
      <c r="AC57" s="7417" t="s">
        <v>2906</v>
      </c>
      <c r="AD57" s="7417" t="s">
        <v>2906</v>
      </c>
      <c r="AE57" s="7417" t="s">
        <v>2906</v>
      </c>
      <c r="AF57" s="7417" t="s">
        <v>2906</v>
      </c>
      <c r="AG57" s="7429" t="n"/>
      <c r="AH57" s="7387" t="s">
        <v>3114</v>
      </c>
      <c r="AI57" s="7388" t="s">
        <v>3115</v>
      </c>
      <c r="AJ57" s="7389" t="s">
        <v>3064</v>
      </c>
      <c r="AK57" s="7390" t="n"/>
      <c r="AL57" s="7387" t="s">
        <v>3065</v>
      </c>
      <c r="AM57" s="7389" t="s">
        <v>3621</v>
      </c>
      <c r="AN57" s="7390" t="n"/>
      <c r="AO57" s="7396" t="s">
        <v>3117</v>
      </c>
      <c r="AP57" s="7393" t="s">
        <v>3612</v>
      </c>
      <c r="AQ57" s="7394" t="s">
        <v>3119</v>
      </c>
      <c r="AR57" s="7390" t="n"/>
      <c r="AS57" s="7396" t="s">
        <v>3120</v>
      </c>
      <c r="AT57" s="7397" t="s">
        <v>3121</v>
      </c>
      <c r="AU57" s="7394" t="s">
        <v>3072</v>
      </c>
      <c r="AV57" s="7398" t="n"/>
    </row>
    <row outlineLevel="0" r="58">
      <c r="A58" s="7408" t="s">
        <v>3622</v>
      </c>
      <c r="B58" s="7319" t="s">
        <v>3623</v>
      </c>
      <c r="C58" s="7293" t="s">
        <v>3624</v>
      </c>
      <c r="D58" s="7296" t="s">
        <v>3291</v>
      </c>
      <c r="E58" s="7296" t="s">
        <v>3292</v>
      </c>
      <c r="F58" s="7296" t="s">
        <v>3051</v>
      </c>
      <c r="G58" s="7296" t="s">
        <v>3625</v>
      </c>
      <c r="H58" s="7296" t="s">
        <v>3143</v>
      </c>
      <c r="I58" s="7296" t="s">
        <v>3294</v>
      </c>
      <c r="J58" s="7296" t="s">
        <v>2979</v>
      </c>
      <c r="K58" s="7296" t="s">
        <v>3005</v>
      </c>
      <c r="L58" s="7296" t="s">
        <v>3006</v>
      </c>
      <c r="M58" s="7296" t="s">
        <v>3007</v>
      </c>
      <c r="N58" s="7296" t="s">
        <v>3295</v>
      </c>
      <c r="O58" s="7296" t="s">
        <v>3296</v>
      </c>
      <c r="P58" s="7296" t="s">
        <v>3626</v>
      </c>
      <c r="Q58" s="7300" t="s">
        <v>3297</v>
      </c>
      <c r="R58" s="7296" t="s">
        <v>2987</v>
      </c>
      <c r="S58" s="7296" t="s">
        <v>3391</v>
      </c>
      <c r="T58" s="7296" t="s">
        <v>3627</v>
      </c>
      <c r="U58" s="7296" t="s">
        <v>3299</v>
      </c>
      <c r="V58" s="7303" t="s">
        <v>3300</v>
      </c>
      <c r="W58" s="7296" t="s">
        <v>2987</v>
      </c>
      <c r="X58" s="7296" t="s">
        <v>2987</v>
      </c>
      <c r="Y58" s="7296" t="s">
        <v>2987</v>
      </c>
      <c r="Z58" s="7296" t="s">
        <v>2987</v>
      </c>
      <c r="AA58" s="7296" t="s">
        <v>2987</v>
      </c>
      <c r="AB58" s="7296" t="s">
        <v>2987</v>
      </c>
      <c r="AC58" s="7296" t="s">
        <v>2987</v>
      </c>
      <c r="AD58" s="7296" t="s">
        <v>2987</v>
      </c>
      <c r="AE58" s="7296" t="s">
        <v>2987</v>
      </c>
      <c r="AF58" s="7296" t="s">
        <v>2987</v>
      </c>
      <c r="AG58" s="7422" t="n"/>
      <c r="AH58" s="7314" t="s">
        <v>3628</v>
      </c>
      <c r="AI58" s="7315" t="s">
        <v>3302</v>
      </c>
      <c r="AJ58" s="7316" t="s">
        <v>3064</v>
      </c>
      <c r="AK58" s="7290" t="n"/>
      <c r="AL58" s="7314" t="s">
        <v>3303</v>
      </c>
      <c r="AM58" s="7316" t="s">
        <v>3137</v>
      </c>
      <c r="AN58" s="7290" t="n"/>
      <c r="AO58" s="7307" t="n"/>
      <c r="AP58" s="1916" t="n"/>
      <c r="AQ58" s="7308" t="n"/>
      <c r="AR58" s="7290" t="n"/>
      <c r="AS58" s="7307" t="n"/>
      <c r="AT58" s="2540" t="n"/>
      <c r="AU58" s="7308" t="n"/>
    </row>
    <row outlineLevel="0" r="59">
      <c r="A59" s="7414" t="s">
        <v>3629</v>
      </c>
      <c r="B59" s="7428" t="s">
        <v>3630</v>
      </c>
      <c r="C59" s="7416" t="s">
        <v>3631</v>
      </c>
      <c r="D59" s="7417" t="s">
        <v>3632</v>
      </c>
      <c r="E59" s="7417" t="s">
        <v>3617</v>
      </c>
      <c r="F59" s="7417" t="s">
        <v>3158</v>
      </c>
      <c r="G59" s="7417" t="s">
        <v>3618</v>
      </c>
      <c r="H59" s="7417" t="s">
        <v>3079</v>
      </c>
      <c r="I59" s="7417" t="s">
        <v>3633</v>
      </c>
      <c r="J59" s="7417" t="s">
        <v>3110</v>
      </c>
      <c r="K59" s="7417" t="s">
        <v>3056</v>
      </c>
      <c r="L59" s="7417" t="s">
        <v>3111</v>
      </c>
      <c r="M59" s="7417" t="s">
        <v>3081</v>
      </c>
      <c r="N59" s="7417" t="s">
        <v>3059</v>
      </c>
      <c r="O59" s="7417" t="s">
        <v>2984</v>
      </c>
      <c r="P59" s="7417" t="s">
        <v>3268</v>
      </c>
      <c r="Q59" s="7426" t="s">
        <v>2906</v>
      </c>
      <c r="R59" s="7417" t="s">
        <v>2906</v>
      </c>
      <c r="S59" s="7417" t="s">
        <v>2906</v>
      </c>
      <c r="T59" s="7417" t="s">
        <v>2906</v>
      </c>
      <c r="U59" s="7417" t="s">
        <v>2906</v>
      </c>
      <c r="V59" s="7427" t="s">
        <v>2906</v>
      </c>
      <c r="W59" s="7417" t="s">
        <v>2906</v>
      </c>
      <c r="X59" s="7417" t="s">
        <v>2906</v>
      </c>
      <c r="Y59" s="7417" t="s">
        <v>2906</v>
      </c>
      <c r="Z59" s="7417" t="s">
        <v>2906</v>
      </c>
      <c r="AA59" s="7417" t="s">
        <v>2906</v>
      </c>
      <c r="AB59" s="7417" t="s">
        <v>2906</v>
      </c>
      <c r="AC59" s="7417" t="s">
        <v>2906</v>
      </c>
      <c r="AD59" s="7417" t="s">
        <v>2906</v>
      </c>
      <c r="AE59" s="7417" t="s">
        <v>2906</v>
      </c>
      <c r="AF59" s="7417" t="s">
        <v>2906</v>
      </c>
      <c r="AG59" s="7420" t="n"/>
      <c r="AH59" s="7387" t="s">
        <v>3634</v>
      </c>
      <c r="AI59" s="7388" t="s">
        <v>3635</v>
      </c>
      <c r="AJ59" s="7389" t="s">
        <v>3036</v>
      </c>
      <c r="AK59" s="7421" t="n"/>
      <c r="AL59" s="7387" t="s">
        <v>3065</v>
      </c>
      <c r="AM59" s="7389" t="s">
        <v>3636</v>
      </c>
      <c r="AN59" s="7421" t="n"/>
      <c r="AO59" s="7396" t="s">
        <v>3637</v>
      </c>
      <c r="AP59" s="7393" t="s">
        <v>3273</v>
      </c>
      <c r="AQ59" s="7394" t="s">
        <v>3119</v>
      </c>
      <c r="AR59" s="7421" t="n"/>
      <c r="AS59" s="7396" t="s">
        <v>3274</v>
      </c>
      <c r="AT59" s="7397" t="s">
        <v>3638</v>
      </c>
      <c r="AU59" s="7394" t="s">
        <v>3213</v>
      </c>
      <c r="AV59" s="7398" t="n"/>
    </row>
    <row customHeight="true" ht="15.75" outlineLevel="0" r="60">
      <c r="A60" s="7408" t="s">
        <v>3639</v>
      </c>
      <c r="B60" s="7319" t="s">
        <v>3640</v>
      </c>
      <c r="C60" s="7293" t="s">
        <v>3641</v>
      </c>
      <c r="D60" s="7296" t="s">
        <v>3632</v>
      </c>
      <c r="E60" s="7296" t="s">
        <v>3106</v>
      </c>
      <c r="F60" s="7296" t="s">
        <v>3158</v>
      </c>
      <c r="G60" s="7296" t="s">
        <v>3107</v>
      </c>
      <c r="H60" s="7296" t="s">
        <v>3419</v>
      </c>
      <c r="I60" s="7296" t="s">
        <v>3642</v>
      </c>
      <c r="J60" s="7296" t="s">
        <v>3643</v>
      </c>
      <c r="K60" s="7296" t="s">
        <v>3096</v>
      </c>
      <c r="L60" s="7296" t="s">
        <v>3111</v>
      </c>
      <c r="M60" s="7296" t="s">
        <v>3081</v>
      </c>
      <c r="N60" s="7296" t="s">
        <v>3325</v>
      </c>
      <c r="O60" s="7296" t="s">
        <v>3644</v>
      </c>
      <c r="P60" s="7296" t="s">
        <v>3645</v>
      </c>
      <c r="Q60" s="7300" t="s">
        <v>2906</v>
      </c>
      <c r="R60" s="7296" t="s">
        <v>2906</v>
      </c>
      <c r="S60" s="7296" t="s">
        <v>2906</v>
      </c>
      <c r="T60" s="7296" t="s">
        <v>2906</v>
      </c>
      <c r="U60" s="7296" t="s">
        <v>2906</v>
      </c>
      <c r="V60" s="7303" t="s">
        <v>2906</v>
      </c>
      <c r="W60" s="7296" t="s">
        <v>2906</v>
      </c>
      <c r="X60" s="7296" t="s">
        <v>2906</v>
      </c>
      <c r="Y60" s="7296" t="s">
        <v>2906</v>
      </c>
      <c r="Z60" s="7296" t="s">
        <v>2906</v>
      </c>
      <c r="AA60" s="7296" t="s">
        <v>2906</v>
      </c>
      <c r="AB60" s="7296" t="s">
        <v>2906</v>
      </c>
      <c r="AC60" s="7296" t="s">
        <v>2906</v>
      </c>
      <c r="AD60" s="7296" t="s">
        <v>2906</v>
      </c>
      <c r="AE60" s="7296" t="s">
        <v>2906</v>
      </c>
      <c r="AF60" s="7296" t="s">
        <v>2906</v>
      </c>
      <c r="AG60" s="7413" t="n"/>
      <c r="AH60" s="7314" t="s">
        <v>3646</v>
      </c>
      <c r="AI60" s="7315" t="s">
        <v>3647</v>
      </c>
      <c r="AJ60" s="7316" t="s">
        <v>3036</v>
      </c>
      <c r="AK60" s="57" t="n"/>
      <c r="AL60" s="7314" t="s">
        <v>3648</v>
      </c>
      <c r="AM60" s="7316" t="s">
        <v>3649</v>
      </c>
      <c r="AN60" s="57" t="n"/>
      <c r="AO60" s="7307" t="s">
        <v>3650</v>
      </c>
      <c r="AP60" s="1916" t="s">
        <v>3651</v>
      </c>
      <c r="AQ60" s="7308" t="s">
        <v>3119</v>
      </c>
      <c r="AR60" s="57" t="n"/>
      <c r="AS60" s="7307" t="s">
        <v>3652</v>
      </c>
      <c r="AT60" s="2540" t="s">
        <v>3653</v>
      </c>
      <c r="AU60" s="7308" t="s">
        <v>3287</v>
      </c>
    </row>
    <row outlineLevel="0" r="61">
      <c r="A61" s="7414" t="s">
        <v>3654</v>
      </c>
      <c r="B61" s="7428" t="s">
        <v>3655</v>
      </c>
      <c r="C61" s="7416" t="s">
        <v>3656</v>
      </c>
      <c r="D61" s="7417" t="s">
        <v>3657</v>
      </c>
      <c r="E61" s="7417" t="s">
        <v>3292</v>
      </c>
      <c r="F61" s="7417" t="s">
        <v>3448</v>
      </c>
      <c r="G61" s="7417" t="s">
        <v>3625</v>
      </c>
      <c r="H61" s="7417" t="s">
        <v>3053</v>
      </c>
      <c r="I61" s="7417" t="s">
        <v>3294</v>
      </c>
      <c r="J61" s="7417" t="s">
        <v>2979</v>
      </c>
      <c r="K61" s="7417" t="s">
        <v>3005</v>
      </c>
      <c r="L61" s="7417" t="s">
        <v>2982</v>
      </c>
      <c r="M61" s="7417" t="s">
        <v>3007</v>
      </c>
      <c r="N61" s="7417" t="s">
        <v>3295</v>
      </c>
      <c r="O61" s="7417" t="s">
        <v>3389</v>
      </c>
      <c r="P61" s="7417" t="s">
        <v>2985</v>
      </c>
      <c r="Q61" s="7426" t="s">
        <v>3390</v>
      </c>
      <c r="R61" s="7417" t="s">
        <v>2987</v>
      </c>
      <c r="S61" s="7417" t="s">
        <v>3658</v>
      </c>
      <c r="T61" s="7417" t="s">
        <v>3659</v>
      </c>
      <c r="U61" s="7417" t="s">
        <v>3660</v>
      </c>
      <c r="V61" s="7427" t="s">
        <v>3300</v>
      </c>
      <c r="W61" s="7417" t="s">
        <v>2987</v>
      </c>
      <c r="X61" s="7417" t="s">
        <v>2987</v>
      </c>
      <c r="Y61" s="7417" t="s">
        <v>2987</v>
      </c>
      <c r="Z61" s="7417" t="s">
        <v>2987</v>
      </c>
      <c r="AA61" s="7417" t="s">
        <v>2987</v>
      </c>
      <c r="AB61" s="7417" t="s">
        <v>2987</v>
      </c>
      <c r="AC61" s="7417" t="s">
        <v>2987</v>
      </c>
      <c r="AD61" s="7417" t="s">
        <v>2987</v>
      </c>
      <c r="AE61" s="7417" t="s">
        <v>2987</v>
      </c>
      <c r="AF61" s="7417" t="s">
        <v>2987</v>
      </c>
      <c r="AG61" s="7420" t="n"/>
      <c r="AH61" s="7387" t="s">
        <v>3661</v>
      </c>
      <c r="AI61" s="7388" t="s">
        <v>3662</v>
      </c>
      <c r="AJ61" s="7389" t="s">
        <v>3036</v>
      </c>
      <c r="AK61" s="7421" t="n"/>
      <c r="AL61" s="7387" t="s">
        <v>3663</v>
      </c>
      <c r="AM61" s="7389" t="s">
        <v>3016</v>
      </c>
      <c r="AN61" s="7421" t="n"/>
      <c r="AO61" s="7396" t="n"/>
      <c r="AP61" s="7393" t="n"/>
      <c r="AQ61" s="7394" t="n"/>
      <c r="AR61" s="7421" t="n"/>
      <c r="AS61" s="7396" t="n"/>
      <c r="AT61" s="7397" t="n"/>
      <c r="AU61" s="7394" t="n"/>
      <c r="AV61" s="7398" t="n"/>
    </row>
    <row outlineLevel="0" r="62">
      <c r="A62" s="7408" t="n"/>
      <c r="B62" s="7319" t="n"/>
      <c r="C62" s="7293" t="n"/>
      <c r="D62" s="7296" t="n"/>
      <c r="E62" s="7296" t="n"/>
      <c r="F62" s="7296" t="n"/>
      <c r="G62" s="7296" t="n"/>
      <c r="H62" s="7296" t="n"/>
      <c r="I62" s="7296" t="n"/>
      <c r="J62" s="7296" t="n"/>
      <c r="K62" s="7296" t="n"/>
      <c r="L62" s="7296" t="n"/>
      <c r="M62" s="7296" t="n"/>
      <c r="N62" s="7296" t="n"/>
      <c r="O62" s="7296" t="n"/>
      <c r="P62" s="7296" t="n"/>
      <c r="Q62" s="7300" t="n"/>
      <c r="R62" s="7296" t="n"/>
      <c r="S62" s="7296" t="n"/>
      <c r="T62" s="7296" t="n"/>
      <c r="U62" s="7296" t="n"/>
      <c r="V62" s="7303" t="n"/>
      <c r="W62" s="7296" t="n"/>
      <c r="X62" s="7296" t="n"/>
      <c r="Y62" s="7296" t="n"/>
      <c r="Z62" s="7296" t="n"/>
      <c r="AA62" s="7296" t="n"/>
      <c r="AB62" s="7296" t="n"/>
      <c r="AC62" s="7296" t="n"/>
      <c r="AD62" s="7296" t="n"/>
      <c r="AE62" s="7296" t="n"/>
      <c r="AF62" s="7296" t="n"/>
      <c r="AG62" s="7413" t="n"/>
      <c r="AH62" s="7314" t="n"/>
      <c r="AI62" s="7315" t="n"/>
      <c r="AJ62" s="7316" t="n"/>
      <c r="AK62" s="57" t="n"/>
      <c r="AL62" s="7314" t="n"/>
      <c r="AM62" s="7316" t="n"/>
      <c r="AN62" s="57" t="n"/>
      <c r="AO62" s="7307" t="n"/>
      <c r="AP62" s="1916" t="n"/>
      <c r="AQ62" s="7308" t="n"/>
      <c r="AR62" s="57" t="n"/>
      <c r="AS62" s="7307" t="n"/>
      <c r="AT62" s="2540" t="n"/>
      <c r="AU62" s="7308" t="n"/>
    </row>
    <row outlineLevel="0" r="63">
      <c r="A63" s="7408" t="n"/>
      <c r="B63" s="7319" t="n"/>
      <c r="C63" s="7293" t="n"/>
      <c r="D63" s="7296" t="n"/>
      <c r="E63" s="7296" t="n"/>
      <c r="F63" s="7296" t="n"/>
      <c r="G63" s="7296" t="n"/>
      <c r="H63" s="7296" t="n"/>
      <c r="I63" s="7296" t="n"/>
      <c r="J63" s="7296" t="n"/>
      <c r="K63" s="7296" t="n"/>
      <c r="L63" s="7296" t="n"/>
      <c r="M63" s="7296" t="n"/>
      <c r="N63" s="7296" t="n"/>
      <c r="O63" s="7296" t="n"/>
      <c r="P63" s="7430" t="n"/>
      <c r="Q63" s="7431" t="n"/>
      <c r="R63" s="7432" t="n"/>
      <c r="S63" s="7296" t="n"/>
      <c r="T63" s="7296" t="n"/>
      <c r="U63" s="7296" t="n"/>
      <c r="V63" s="7303" t="n"/>
      <c r="W63" s="7296" t="n"/>
      <c r="X63" s="7296" t="n"/>
      <c r="Y63" s="7296" t="n"/>
      <c r="Z63" s="7296" t="n"/>
      <c r="AA63" s="7296" t="n"/>
      <c r="AB63" s="7296" t="n"/>
      <c r="AC63" s="7296" t="n"/>
      <c r="AD63" s="7296" t="n"/>
      <c r="AE63" s="7296" t="n"/>
      <c r="AF63" s="7296" t="n"/>
      <c r="AG63" s="7413" t="n"/>
      <c r="AH63" s="7314" t="n"/>
      <c r="AI63" s="7315" t="n"/>
      <c r="AJ63" s="7316" t="n"/>
      <c r="AK63" s="57" t="n"/>
      <c r="AL63" s="7314" t="n"/>
      <c r="AM63" s="7316" t="n"/>
      <c r="AN63" s="57" t="n"/>
      <c r="AO63" s="7307" t="n"/>
      <c r="AP63" s="1916" t="n"/>
      <c r="AQ63" s="7308" t="n"/>
      <c r="AR63" s="57" t="n"/>
      <c r="AS63" s="7307" t="n"/>
      <c r="AT63" s="2540" t="n"/>
      <c r="AU63" s="7308" t="n"/>
    </row>
    <row outlineLevel="0" r="64">
      <c r="A64" s="7408" t="n"/>
      <c r="B64" s="7319" t="n"/>
      <c r="C64" s="7293" t="n"/>
      <c r="D64" s="7296" t="n"/>
      <c r="E64" s="7296" t="n"/>
      <c r="F64" s="7296" t="n"/>
      <c r="G64" s="7296" t="n"/>
      <c r="H64" s="7296" t="n"/>
      <c r="I64" s="7296" t="n"/>
      <c r="J64" s="7296" t="n"/>
      <c r="K64" s="7296" t="n"/>
      <c r="L64" s="7296" t="n"/>
      <c r="M64" s="7296" t="n"/>
      <c r="N64" s="7296" t="n"/>
      <c r="O64" s="7296" t="n"/>
      <c r="P64" s="7430" t="n"/>
      <c r="Q64" s="7431" t="n"/>
      <c r="R64" s="7432" t="n"/>
      <c r="S64" s="7296" t="n"/>
      <c r="T64" s="7296" t="n"/>
      <c r="U64" s="7296" t="n"/>
      <c r="V64" s="7303" t="n"/>
      <c r="W64" s="7296" t="n"/>
      <c r="X64" s="7296" t="n"/>
      <c r="Y64" s="7296" t="n"/>
      <c r="Z64" s="7296" t="n"/>
      <c r="AA64" s="7296" t="n"/>
      <c r="AB64" s="7296" t="n"/>
      <c r="AC64" s="7296" t="n"/>
      <c r="AD64" s="7296" t="n"/>
      <c r="AE64" s="7296" t="n"/>
      <c r="AF64" s="7296" t="n"/>
      <c r="AG64" s="7413" t="n"/>
      <c r="AH64" s="7314" t="n"/>
      <c r="AI64" s="7315" t="n"/>
      <c r="AJ64" s="7316" t="n"/>
      <c r="AK64" s="57" t="n"/>
      <c r="AL64" s="7314" t="n"/>
      <c r="AM64" s="7316" t="n"/>
      <c r="AN64" s="57" t="n"/>
      <c r="AO64" s="7307" t="n"/>
      <c r="AP64" s="1916" t="n"/>
      <c r="AQ64" s="7308" t="n"/>
      <c r="AR64" s="57" t="n"/>
      <c r="AS64" s="7307" t="n"/>
      <c r="AT64" s="2540" t="n"/>
      <c r="AU64" s="7308" t="n"/>
    </row>
    <row outlineLevel="0" r="65">
      <c r="A65" s="7408" t="n"/>
      <c r="B65" s="7319" t="n"/>
      <c r="C65" s="7293" t="n"/>
      <c r="D65" s="7296" t="n"/>
      <c r="E65" s="7296" t="n"/>
      <c r="F65" s="7296" t="n"/>
      <c r="G65" s="7296" t="n"/>
      <c r="H65" s="7296" t="n"/>
      <c r="I65" s="7296" t="n"/>
      <c r="J65" s="7296" t="n"/>
      <c r="K65" s="7296" t="n"/>
      <c r="L65" s="7296" t="n"/>
      <c r="M65" s="7296" t="n"/>
      <c r="N65" s="7296" t="n"/>
      <c r="O65" s="7296" t="n"/>
      <c r="P65" s="7296" t="n"/>
      <c r="Q65" s="7300" t="n"/>
      <c r="R65" s="7296" t="n"/>
      <c r="S65" s="7296" t="n"/>
      <c r="T65" s="7296" t="n"/>
      <c r="U65" s="7296" t="n"/>
      <c r="V65" s="7303" t="n"/>
      <c r="W65" s="7296" t="n"/>
      <c r="X65" s="7296" t="n"/>
      <c r="Y65" s="7296" t="n"/>
      <c r="Z65" s="7296" t="n"/>
      <c r="AA65" s="7296" t="n"/>
      <c r="AB65" s="7296" t="n"/>
      <c r="AC65" s="7296" t="n"/>
      <c r="AD65" s="7296" t="n"/>
      <c r="AE65" s="7296" t="n"/>
      <c r="AF65" s="7296" t="n"/>
      <c r="AG65" s="7413" t="n"/>
      <c r="AH65" s="7314" t="n"/>
      <c r="AI65" s="7315" t="n"/>
      <c r="AJ65" s="7316" t="n"/>
      <c r="AK65" s="57" t="n"/>
      <c r="AL65" s="7314" t="n"/>
      <c r="AM65" s="7316" t="n"/>
      <c r="AN65" s="57" t="n"/>
      <c r="AO65" s="7307" t="n"/>
      <c r="AP65" s="1916" t="n"/>
      <c r="AQ65" s="7308" t="n"/>
      <c r="AR65" s="57" t="n"/>
      <c r="AS65" s="7307" t="n"/>
      <c r="AT65" s="2540" t="n"/>
      <c r="AU65" s="7308" t="n"/>
    </row>
    <row outlineLevel="0" r="66">
      <c r="A66" s="7408" t="n"/>
      <c r="B66" s="7319" t="n"/>
      <c r="C66" s="7293" t="n"/>
      <c r="D66" s="7296" t="n"/>
      <c r="E66" s="7296" t="n"/>
      <c r="F66" s="7296" t="n"/>
      <c r="G66" s="7296" t="n"/>
      <c r="H66" s="7296" t="n"/>
      <c r="I66" s="7296" t="n"/>
      <c r="J66" s="7296" t="n"/>
      <c r="K66" s="7296" t="n"/>
      <c r="L66" s="7296" t="n"/>
      <c r="M66" s="7296" t="n"/>
      <c r="N66" s="7296" t="n"/>
      <c r="O66" s="7296" t="n"/>
      <c r="P66" s="7296" t="n"/>
      <c r="Q66" s="7300" t="n"/>
      <c r="R66" s="7296" t="n"/>
      <c r="S66" s="7296" t="n"/>
      <c r="T66" s="7296" t="n"/>
      <c r="U66" s="7296" t="n"/>
      <c r="V66" s="7303" t="n"/>
      <c r="W66" s="7296" t="n"/>
      <c r="X66" s="7296" t="n"/>
      <c r="Y66" s="7296" t="n"/>
      <c r="Z66" s="7296" t="n"/>
      <c r="AA66" s="7296" t="n"/>
      <c r="AB66" s="7296" t="n"/>
      <c r="AC66" s="7296" t="n"/>
      <c r="AD66" s="7296" t="n"/>
      <c r="AE66" s="7296" t="n"/>
      <c r="AF66" s="7296" t="n"/>
      <c r="AG66" s="7413" t="n"/>
      <c r="AH66" s="7314" t="n"/>
      <c r="AI66" s="7315" t="n"/>
      <c r="AJ66" s="7316" t="n"/>
      <c r="AK66" s="57" t="n"/>
      <c r="AL66" s="7314" t="n"/>
      <c r="AM66" s="7316" t="n"/>
      <c r="AN66" s="57" t="n"/>
      <c r="AO66" s="7307" t="n"/>
      <c r="AP66" s="1916" t="n"/>
      <c r="AQ66" s="7308" t="n"/>
      <c r="AR66" s="57" t="n"/>
      <c r="AS66" s="7307" t="n"/>
      <c r="AT66" s="2540" t="n"/>
      <c r="AU66" s="7308" t="n"/>
    </row>
    <row outlineLevel="0" r="67">
      <c r="A67" s="7408" t="n"/>
      <c r="B67" s="7319" t="n"/>
      <c r="C67" s="7293" t="n"/>
      <c r="D67" s="7296" t="n"/>
      <c r="E67" s="7296" t="n"/>
      <c r="F67" s="7296" t="n"/>
      <c r="G67" s="7296" t="n"/>
      <c r="H67" s="7296" t="n"/>
      <c r="I67" s="7296" t="n"/>
      <c r="J67" s="7296" t="n"/>
      <c r="K67" s="7296" t="n"/>
      <c r="L67" s="7296" t="n"/>
      <c r="M67" s="7296" t="n"/>
      <c r="N67" s="7296" t="n"/>
      <c r="O67" s="7296" t="n"/>
      <c r="P67" s="7296" t="n"/>
      <c r="Q67" s="7300" t="n"/>
      <c r="R67" s="7296" t="n"/>
      <c r="S67" s="7296" t="n"/>
      <c r="T67" s="7296" t="n"/>
      <c r="U67" s="7296" t="n"/>
      <c r="V67" s="7303" t="n"/>
      <c r="W67" s="7296" t="n"/>
      <c r="X67" s="7296" t="n"/>
      <c r="Y67" s="7296" t="n"/>
      <c r="Z67" s="7296" t="n"/>
      <c r="AA67" s="7296" t="n"/>
      <c r="AB67" s="7296" t="n"/>
      <c r="AC67" s="7296" t="n"/>
      <c r="AD67" s="7296" t="n"/>
      <c r="AE67" s="7296" t="n"/>
      <c r="AF67" s="7296" t="n"/>
      <c r="AG67" s="7413" t="n"/>
      <c r="AH67" s="7314" t="n"/>
      <c r="AI67" s="7315" t="n"/>
      <c r="AJ67" s="7316" t="n"/>
      <c r="AK67" s="57" t="n"/>
      <c r="AL67" s="7314" t="n"/>
      <c r="AM67" s="7316" t="n"/>
      <c r="AN67" s="57" t="n"/>
      <c r="AO67" s="7307" t="n"/>
      <c r="AP67" s="1916" t="n"/>
      <c r="AQ67" s="7308" t="n"/>
      <c r="AR67" s="57" t="n"/>
      <c r="AS67" s="7307" t="n"/>
      <c r="AT67" s="2540" t="n"/>
      <c r="AU67" s="7308" t="n"/>
    </row>
    <row outlineLevel="0" r="68">
      <c r="A68" s="7408" t="n"/>
      <c r="B68" s="7319" t="n"/>
      <c r="C68" s="7293" t="n"/>
      <c r="D68" s="7296" t="n"/>
      <c r="E68" s="7296" t="n"/>
      <c r="F68" s="7296" t="n"/>
      <c r="G68" s="7296" t="n"/>
      <c r="H68" s="7296" t="n"/>
      <c r="I68" s="7296" t="n"/>
      <c r="J68" s="7296" t="n"/>
      <c r="K68" s="7296" t="n"/>
      <c r="L68" s="7296" t="n"/>
      <c r="M68" s="7296" t="n"/>
      <c r="N68" s="7296" t="n"/>
      <c r="O68" s="7296" t="n"/>
      <c r="P68" s="7296" t="n"/>
      <c r="Q68" s="7300" t="n"/>
      <c r="R68" s="7296" t="n"/>
      <c r="S68" s="7296" t="n"/>
      <c r="T68" s="7296" t="n"/>
      <c r="U68" s="7296" t="n"/>
      <c r="V68" s="7303" t="n"/>
      <c r="W68" s="7296" t="n"/>
      <c r="X68" s="7296" t="n"/>
      <c r="Y68" s="7296" t="n"/>
      <c r="Z68" s="7296" t="n"/>
      <c r="AA68" s="7296" t="n"/>
      <c r="AB68" s="7296" t="n"/>
      <c r="AC68" s="7296" t="n"/>
      <c r="AD68" s="7296" t="n"/>
      <c r="AE68" s="7296" t="n"/>
      <c r="AF68" s="7296" t="n"/>
      <c r="AG68" s="7413" t="n"/>
      <c r="AH68" s="7314" t="n"/>
      <c r="AI68" s="7315" t="n"/>
      <c r="AJ68" s="7316" t="n"/>
      <c r="AK68" s="57" t="n"/>
      <c r="AL68" s="7314" t="n"/>
      <c r="AM68" s="7316" t="n"/>
      <c r="AN68" s="57" t="n"/>
      <c r="AO68" s="7307" t="n"/>
      <c r="AP68" s="1916" t="n"/>
      <c r="AQ68" s="7308" t="n"/>
      <c r="AR68" s="57" t="n"/>
      <c r="AS68" s="7307" t="n"/>
      <c r="AT68" s="2540" t="n"/>
      <c r="AU68" s="7308" t="n"/>
    </row>
    <row outlineLevel="0" r="69">
      <c r="A69" s="7408" t="n"/>
      <c r="B69" s="7319" t="n"/>
      <c r="C69" s="7293" t="n"/>
      <c r="D69" s="7296" t="n"/>
      <c r="E69" s="7296" t="n"/>
      <c r="F69" s="7296" t="n"/>
      <c r="G69" s="7296" t="n"/>
      <c r="H69" s="7296" t="n"/>
      <c r="I69" s="7296" t="n"/>
      <c r="J69" s="7296" t="n"/>
      <c r="K69" s="7296" t="n"/>
      <c r="L69" s="7296" t="n"/>
      <c r="M69" s="7296" t="n"/>
      <c r="N69" s="7296" t="n"/>
      <c r="O69" s="7296" t="n"/>
      <c r="P69" s="7296" t="n"/>
      <c r="Q69" s="7300" t="n"/>
      <c r="R69" s="7296" t="n"/>
      <c r="S69" s="7296" t="n"/>
      <c r="T69" s="7296" t="n"/>
      <c r="U69" s="7296" t="n"/>
      <c r="V69" s="7303" t="n"/>
      <c r="W69" s="7296" t="n"/>
      <c r="X69" s="7296" t="n"/>
      <c r="Y69" s="7296" t="n"/>
      <c r="Z69" s="7296" t="n"/>
      <c r="AA69" s="7296" t="n"/>
      <c r="AB69" s="7296" t="n"/>
      <c r="AC69" s="7296" t="n"/>
      <c r="AD69" s="7296" t="n"/>
      <c r="AE69" s="7296" t="n"/>
      <c r="AF69" s="7296" t="n"/>
      <c r="AG69" s="7413" t="n"/>
      <c r="AH69" s="7314" t="n"/>
      <c r="AI69" s="7315" t="n"/>
      <c r="AJ69" s="7316" t="n"/>
      <c r="AK69" s="57" t="n"/>
      <c r="AL69" s="7314" t="n"/>
      <c r="AM69" s="7316" t="n"/>
      <c r="AN69" s="57" t="n"/>
      <c r="AO69" s="7307" t="n"/>
      <c r="AP69" s="1916" t="n"/>
      <c r="AQ69" s="7308" t="n"/>
      <c r="AR69" s="57" t="n"/>
      <c r="AS69" s="7307" t="n"/>
      <c r="AT69" s="2540" t="n"/>
      <c r="AU69" s="7308" t="n"/>
    </row>
    <row outlineLevel="0" r="70">
      <c r="A70" s="7408" t="n"/>
      <c r="B70" s="7319" t="n"/>
      <c r="C70" s="7293" t="n"/>
      <c r="D70" s="7296" t="n"/>
      <c r="E70" s="7296" t="n"/>
      <c r="F70" s="7296" t="n"/>
      <c r="G70" s="7296" t="n"/>
      <c r="H70" s="7296" t="n"/>
      <c r="I70" s="7296" t="n"/>
      <c r="J70" s="7296" t="n"/>
      <c r="K70" s="7296" t="n"/>
      <c r="L70" s="7296" t="n"/>
      <c r="M70" s="7296" t="n"/>
      <c r="N70" s="7296" t="n"/>
      <c r="O70" s="7296" t="n"/>
      <c r="P70" s="7296" t="n"/>
      <c r="Q70" s="7300" t="n"/>
      <c r="R70" s="7296" t="n"/>
      <c r="S70" s="7296" t="n"/>
      <c r="T70" s="7296" t="n"/>
      <c r="U70" s="7296" t="n"/>
      <c r="V70" s="7303" t="n"/>
      <c r="W70" s="7296" t="n"/>
      <c r="X70" s="7296" t="n"/>
      <c r="Y70" s="7296" t="n"/>
      <c r="Z70" s="7296" t="n"/>
      <c r="AA70" s="7296" t="n"/>
      <c r="AB70" s="7296" t="n"/>
      <c r="AC70" s="7296" t="n"/>
      <c r="AD70" s="7296" t="n"/>
      <c r="AE70" s="7296" t="n"/>
      <c r="AF70" s="7296" t="n"/>
      <c r="AG70" s="7413" t="n"/>
      <c r="AH70" s="7314" t="n"/>
      <c r="AI70" s="7315" t="n"/>
      <c r="AJ70" s="7316" t="n"/>
      <c r="AK70" s="57" t="n"/>
      <c r="AL70" s="7314" t="n"/>
      <c r="AM70" s="7316" t="n"/>
      <c r="AN70" s="57" t="n"/>
      <c r="AO70" s="7307" t="n"/>
      <c r="AP70" s="1916" t="n"/>
      <c r="AQ70" s="7308" t="n"/>
      <c r="AR70" s="57" t="n"/>
      <c r="AS70" s="7307" t="n"/>
      <c r="AT70" s="2540" t="n"/>
      <c r="AU70" s="7308" t="n"/>
    </row>
    <row outlineLevel="0" r="71">
      <c r="A71" s="7408" t="n"/>
      <c r="B71" s="7319" t="n"/>
      <c r="C71" s="7293" t="n"/>
      <c r="D71" s="7296" t="n"/>
      <c r="E71" s="7296" t="n"/>
      <c r="F71" s="7296" t="n"/>
      <c r="G71" s="7296" t="n"/>
      <c r="H71" s="7296" t="n"/>
      <c r="I71" s="7296" t="n"/>
      <c r="J71" s="7296" t="n"/>
      <c r="K71" s="7296" t="n"/>
      <c r="L71" s="7296" t="n"/>
      <c r="M71" s="7296" t="n"/>
      <c r="N71" s="7296" t="n"/>
      <c r="O71" s="7296" t="n"/>
      <c r="P71" s="7296" t="n"/>
      <c r="Q71" s="7300" t="n"/>
      <c r="R71" s="7296" t="n"/>
      <c r="S71" s="7296" t="n"/>
      <c r="T71" s="7296" t="n"/>
      <c r="U71" s="7296" t="n"/>
      <c r="V71" s="7303" t="n"/>
      <c r="W71" s="7296" t="n"/>
      <c r="X71" s="7296" t="n"/>
      <c r="Y71" s="7296" t="n"/>
      <c r="Z71" s="7296" t="n"/>
      <c r="AA71" s="7296" t="n"/>
      <c r="AB71" s="7296" t="n"/>
      <c r="AC71" s="7296" t="n"/>
      <c r="AD71" s="7296" t="n"/>
      <c r="AE71" s="7296" t="n"/>
      <c r="AF71" s="7296" t="n"/>
      <c r="AG71" s="7413" t="n"/>
      <c r="AH71" s="7314" t="n"/>
      <c r="AI71" s="7315" t="n"/>
      <c r="AJ71" s="7316" t="n"/>
      <c r="AK71" s="57" t="n"/>
      <c r="AL71" s="7314" t="n"/>
      <c r="AM71" s="7316" t="n"/>
      <c r="AN71" s="57" t="n"/>
      <c r="AO71" s="7307" t="n"/>
      <c r="AP71" s="1916" t="n"/>
      <c r="AQ71" s="7308" t="n"/>
      <c r="AR71" s="57" t="n"/>
      <c r="AS71" s="7307" t="n"/>
      <c r="AT71" s="2540" t="n"/>
      <c r="AU71" s="7308" t="n"/>
    </row>
    <row outlineLevel="0" r="72">
      <c r="A72" s="7408" t="n"/>
      <c r="B72" s="7319" t="n"/>
      <c r="C72" s="7293" t="n"/>
      <c r="D72" s="7296" t="n"/>
      <c r="E72" s="7296" t="n"/>
      <c r="F72" s="7296" t="n"/>
      <c r="G72" s="7296" t="n"/>
      <c r="H72" s="7296" t="n"/>
      <c r="I72" s="7296" t="n"/>
      <c r="J72" s="7296" t="n"/>
      <c r="K72" s="7296" t="n"/>
      <c r="L72" s="7296" t="n"/>
      <c r="M72" s="7296" t="n"/>
      <c r="N72" s="7296" t="n"/>
      <c r="O72" s="7296" t="n"/>
      <c r="P72" s="7296" t="n"/>
      <c r="Q72" s="7300" t="n"/>
      <c r="R72" s="7296" t="n"/>
      <c r="S72" s="7296" t="n"/>
      <c r="T72" s="7296" t="n"/>
      <c r="U72" s="7296" t="n"/>
      <c r="V72" s="7303" t="n"/>
      <c r="W72" s="7296" t="n"/>
      <c r="X72" s="7296" t="n"/>
      <c r="Y72" s="7296" t="n"/>
      <c r="Z72" s="7296" t="n"/>
      <c r="AA72" s="7296" t="n"/>
      <c r="AB72" s="7296" t="n"/>
      <c r="AC72" s="7296" t="n"/>
      <c r="AD72" s="7296" t="n"/>
      <c r="AE72" s="7296" t="n"/>
      <c r="AF72" s="7296" t="n"/>
      <c r="AG72" s="7413" t="n"/>
      <c r="AH72" s="7314" t="n"/>
      <c r="AI72" s="7315" t="n"/>
      <c r="AJ72" s="7316" t="n"/>
      <c r="AK72" s="57" t="n"/>
      <c r="AL72" s="7314" t="n"/>
      <c r="AM72" s="7316" t="n"/>
      <c r="AN72" s="57" t="n"/>
      <c r="AO72" s="7307" t="n"/>
      <c r="AP72" s="1916" t="n"/>
      <c r="AQ72" s="7308" t="n"/>
      <c r="AR72" s="57" t="n"/>
      <c r="AS72" s="7307" t="n"/>
      <c r="AT72" s="2540" t="n"/>
      <c r="AU72" s="7308" t="n"/>
    </row>
    <row outlineLevel="0" r="73">
      <c r="A73" s="7408" t="n"/>
      <c r="B73" s="7319" t="n"/>
      <c r="C73" s="7293" t="n"/>
      <c r="D73" s="7296" t="n"/>
      <c r="E73" s="7296" t="n"/>
      <c r="F73" s="7296" t="n"/>
      <c r="G73" s="7296" t="n"/>
      <c r="H73" s="7296" t="n"/>
      <c r="I73" s="7296" t="n"/>
      <c r="J73" s="7296" t="n"/>
      <c r="K73" s="7296" t="n"/>
      <c r="L73" s="7296" t="n"/>
      <c r="M73" s="7296" t="n"/>
      <c r="N73" s="7296" t="n"/>
      <c r="O73" s="7296" t="n"/>
      <c r="P73" s="7296" t="n"/>
      <c r="Q73" s="7300" t="n"/>
      <c r="R73" s="7296" t="n"/>
      <c r="S73" s="7296" t="n"/>
      <c r="T73" s="7296" t="n"/>
      <c r="U73" s="7296" t="n"/>
      <c r="V73" s="7303" t="n"/>
      <c r="W73" s="7296" t="n"/>
      <c r="X73" s="7296" t="n"/>
      <c r="Y73" s="7296" t="n"/>
      <c r="Z73" s="7296" t="n"/>
      <c r="AA73" s="7296" t="n"/>
      <c r="AB73" s="7296" t="n"/>
      <c r="AC73" s="7296" t="n"/>
      <c r="AD73" s="7296" t="n"/>
      <c r="AE73" s="7296" t="n"/>
      <c r="AF73" s="7296" t="n"/>
      <c r="AG73" s="7413" t="n"/>
      <c r="AH73" s="7314" t="n"/>
      <c r="AI73" s="7315" t="n"/>
      <c r="AJ73" s="7316" t="n"/>
      <c r="AK73" s="57" t="n"/>
      <c r="AL73" s="7314" t="n"/>
      <c r="AM73" s="7316" t="n"/>
      <c r="AN73" s="57" t="n"/>
      <c r="AO73" s="7307" t="n"/>
      <c r="AP73" s="1916" t="n"/>
      <c r="AQ73" s="7308" t="n"/>
      <c r="AR73" s="57" t="n"/>
      <c r="AS73" s="7307" t="n"/>
      <c r="AT73" s="2540" t="n"/>
      <c r="AU73" s="7308" t="n"/>
    </row>
    <row outlineLevel="0" r="74">
      <c r="A74" s="7408" t="n"/>
      <c r="B74" s="7319" t="n"/>
      <c r="C74" s="7293" t="n"/>
      <c r="D74" s="7296" t="n"/>
      <c r="E74" s="7296" t="n"/>
      <c r="F74" s="7296" t="n"/>
      <c r="G74" s="7296" t="n"/>
      <c r="H74" s="7296" t="n"/>
      <c r="I74" s="7296" t="n"/>
      <c r="J74" s="7296" t="n"/>
      <c r="K74" s="7296" t="n"/>
      <c r="L74" s="7296" t="n"/>
      <c r="M74" s="7296" t="n"/>
      <c r="N74" s="7296" t="n"/>
      <c r="O74" s="7296" t="n"/>
      <c r="P74" s="7296" t="n"/>
      <c r="Q74" s="7300" t="n"/>
      <c r="R74" s="7296" t="n"/>
      <c r="S74" s="7296" t="n"/>
      <c r="T74" s="7296" t="n"/>
      <c r="U74" s="7296" t="n"/>
      <c r="V74" s="7303" t="n"/>
      <c r="W74" s="7296" t="n"/>
      <c r="X74" s="7296" t="n"/>
      <c r="Y74" s="7296" t="n"/>
      <c r="Z74" s="7296" t="n"/>
      <c r="AA74" s="7296" t="n"/>
      <c r="AB74" s="7296" t="n"/>
      <c r="AC74" s="7296" t="n"/>
      <c r="AD74" s="7296" t="n"/>
      <c r="AE74" s="7296" t="n"/>
      <c r="AF74" s="7296" t="n"/>
      <c r="AG74" s="7413" t="n"/>
      <c r="AH74" s="7314" t="n"/>
      <c r="AI74" s="7315" t="n"/>
      <c r="AJ74" s="7316" t="n"/>
      <c r="AK74" s="57" t="n"/>
      <c r="AL74" s="7314" t="n"/>
      <c r="AM74" s="7316" t="n"/>
      <c r="AN74" s="57" t="n"/>
      <c r="AO74" s="7307" t="n"/>
      <c r="AP74" s="1916" t="n"/>
      <c r="AQ74" s="7308" t="n"/>
      <c r="AR74" s="57" t="n"/>
      <c r="AS74" s="7307" t="n"/>
      <c r="AT74" s="2540" t="n"/>
      <c r="AU74" s="7308" t="n"/>
    </row>
    <row outlineLevel="0" r="75">
      <c r="A75" s="7408" t="n"/>
      <c r="B75" s="7319" t="n"/>
      <c r="C75" s="7293" t="n"/>
      <c r="D75" s="7296" t="n"/>
      <c r="E75" s="7296" t="n"/>
      <c r="F75" s="7296" t="n"/>
      <c r="G75" s="7296" t="n"/>
      <c r="H75" s="7296" t="n"/>
      <c r="I75" s="7296" t="n"/>
      <c r="J75" s="7296" t="n"/>
      <c r="K75" s="7296" t="n"/>
      <c r="L75" s="7296" t="n"/>
      <c r="M75" s="7296" t="n"/>
      <c r="N75" s="7296" t="n"/>
      <c r="O75" s="7296" t="n"/>
      <c r="P75" s="7296" t="n"/>
      <c r="Q75" s="7300" t="n"/>
      <c r="R75" s="7296" t="n"/>
      <c r="S75" s="7296" t="n"/>
      <c r="T75" s="7296" t="n"/>
      <c r="U75" s="7296" t="n"/>
      <c r="V75" s="7303" t="n"/>
      <c r="W75" s="7296" t="n"/>
      <c r="X75" s="7296" t="n"/>
      <c r="Y75" s="7296" t="n"/>
      <c r="Z75" s="7296" t="n"/>
      <c r="AA75" s="7296" t="n"/>
      <c r="AB75" s="7296" t="n"/>
      <c r="AC75" s="7296" t="n"/>
      <c r="AD75" s="7296" t="n"/>
      <c r="AE75" s="7296" t="n"/>
      <c r="AF75" s="7296" t="n"/>
      <c r="AG75" s="7413" t="n"/>
      <c r="AH75" s="7314" t="n"/>
      <c r="AI75" s="7315" t="n"/>
      <c r="AJ75" s="7316" t="n"/>
      <c r="AK75" s="57" t="n"/>
      <c r="AL75" s="7314" t="n"/>
      <c r="AM75" s="7316" t="n"/>
      <c r="AN75" s="57" t="n"/>
      <c r="AO75" s="7307" t="n"/>
      <c r="AP75" s="1916" t="n"/>
      <c r="AQ75" s="7308" t="n"/>
      <c r="AR75" s="57" t="n"/>
      <c r="AS75" s="7307" t="n"/>
      <c r="AT75" s="2540" t="n"/>
      <c r="AU75" s="7308" t="n"/>
    </row>
    <row outlineLevel="0" r="76">
      <c r="A76" s="7408" t="n"/>
      <c r="B76" s="7319" t="n"/>
      <c r="C76" s="7293" t="n"/>
      <c r="D76" s="7296" t="n"/>
      <c r="E76" s="7296" t="n"/>
      <c r="F76" s="7296" t="n"/>
      <c r="G76" s="7296" t="n"/>
      <c r="H76" s="7296" t="n"/>
      <c r="I76" s="7296" t="n"/>
      <c r="J76" s="7296" t="n"/>
      <c r="K76" s="7296" t="n"/>
      <c r="L76" s="7296" t="n"/>
      <c r="M76" s="7296" t="n"/>
      <c r="N76" s="7296" t="n"/>
      <c r="O76" s="7296" t="n"/>
      <c r="P76" s="7296" t="n"/>
      <c r="Q76" s="7300" t="n"/>
      <c r="R76" s="7296" t="n"/>
      <c r="S76" s="7296" t="n"/>
      <c r="T76" s="7296" t="n"/>
      <c r="U76" s="7296" t="n"/>
      <c r="V76" s="7303" t="n"/>
      <c r="W76" s="7296" t="n"/>
      <c r="X76" s="7296" t="n"/>
      <c r="Y76" s="7296" t="n"/>
      <c r="Z76" s="7296" t="n"/>
      <c r="AA76" s="7296" t="n"/>
      <c r="AB76" s="7296" t="n"/>
      <c r="AC76" s="7296" t="n"/>
      <c r="AD76" s="7296" t="n"/>
      <c r="AE76" s="7296" t="n"/>
      <c r="AF76" s="7296" t="n"/>
      <c r="AG76" s="7413" t="n"/>
      <c r="AH76" s="7314" t="n"/>
      <c r="AI76" s="7315" t="n"/>
      <c r="AJ76" s="7316" t="n"/>
      <c r="AK76" s="57" t="n"/>
      <c r="AL76" s="7314" t="n"/>
      <c r="AM76" s="7316" t="n"/>
      <c r="AN76" s="57" t="n"/>
      <c r="AO76" s="7307" t="n"/>
      <c r="AP76" s="1916" t="n"/>
      <c r="AQ76" s="7308" t="n"/>
      <c r="AR76" s="57" t="n"/>
      <c r="AS76" s="7307" t="n"/>
      <c r="AT76" s="2540" t="n"/>
      <c r="AU76" s="7308" t="n"/>
    </row>
    <row outlineLevel="0" r="77">
      <c r="A77" s="7408" t="n"/>
      <c r="B77" s="7319" t="n"/>
      <c r="C77" s="7293" t="n"/>
      <c r="D77" s="7296" t="n"/>
      <c r="E77" s="7296" t="n"/>
      <c r="F77" s="7296" t="n"/>
      <c r="G77" s="7296" t="n"/>
      <c r="H77" s="7296" t="n"/>
      <c r="I77" s="7296" t="n"/>
      <c r="J77" s="7296" t="n"/>
      <c r="K77" s="7296" t="n"/>
      <c r="L77" s="7296" t="n"/>
      <c r="M77" s="7296" t="n"/>
      <c r="N77" s="7296" t="n"/>
      <c r="O77" s="7296" t="n"/>
      <c r="P77" s="7296" t="n"/>
      <c r="Q77" s="7300" t="n"/>
      <c r="R77" s="7296" t="n"/>
      <c r="S77" s="7296" t="n"/>
      <c r="T77" s="7296" t="n"/>
      <c r="U77" s="7296" t="n"/>
      <c r="V77" s="7303" t="n"/>
      <c r="W77" s="7296" t="n"/>
      <c r="X77" s="7296" t="n"/>
      <c r="Y77" s="7296" t="n"/>
      <c r="Z77" s="7296" t="n"/>
      <c r="AA77" s="7296" t="n"/>
      <c r="AB77" s="7296" t="n"/>
      <c r="AC77" s="7296" t="n"/>
      <c r="AD77" s="7296" t="n"/>
      <c r="AE77" s="7296" t="n"/>
      <c r="AF77" s="7296" t="n"/>
      <c r="AG77" s="7413" t="n"/>
      <c r="AH77" s="7314" t="n"/>
      <c r="AI77" s="7315" t="n"/>
      <c r="AJ77" s="7316" t="n"/>
      <c r="AK77" s="57" t="n"/>
      <c r="AL77" s="7314" t="n"/>
      <c r="AM77" s="7316" t="n"/>
      <c r="AN77" s="57" t="n"/>
      <c r="AO77" s="7307" t="n"/>
      <c r="AP77" s="1916" t="n"/>
      <c r="AQ77" s="7308" t="n"/>
      <c r="AR77" s="57" t="n"/>
      <c r="AS77" s="7307" t="n"/>
      <c r="AT77" s="2540" t="n"/>
      <c r="AU77" s="7308" t="n"/>
    </row>
    <row outlineLevel="0" r="78">
      <c r="A78" s="7408" t="n"/>
      <c r="B78" s="7319" t="n"/>
      <c r="C78" s="7293" t="n"/>
      <c r="D78" s="7296" t="n"/>
      <c r="E78" s="7296" t="n"/>
      <c r="F78" s="7296" t="n"/>
      <c r="G78" s="7296" t="n"/>
      <c r="H78" s="7296" t="n"/>
      <c r="I78" s="7296" t="n"/>
      <c r="J78" s="7296" t="n"/>
      <c r="K78" s="7296" t="n"/>
      <c r="L78" s="7296" t="n"/>
      <c r="M78" s="7296" t="n"/>
      <c r="N78" s="7296" t="n"/>
      <c r="O78" s="7296" t="n"/>
      <c r="P78" s="7296" t="n"/>
      <c r="Q78" s="7300" t="n"/>
      <c r="R78" s="7296" t="n"/>
      <c r="S78" s="7296" t="n"/>
      <c r="T78" s="7296" t="n"/>
      <c r="U78" s="7296" t="n"/>
      <c r="V78" s="7303" t="n"/>
      <c r="W78" s="7296" t="n"/>
      <c r="X78" s="7296" t="n"/>
      <c r="Y78" s="7296" t="n"/>
      <c r="Z78" s="7296" t="n"/>
      <c r="AA78" s="7296" t="n"/>
      <c r="AB78" s="7296" t="n"/>
      <c r="AC78" s="7296" t="n"/>
      <c r="AD78" s="7296" t="n"/>
      <c r="AE78" s="7296" t="n"/>
      <c r="AF78" s="7296" t="n"/>
      <c r="AG78" s="7413" t="n"/>
      <c r="AH78" s="7314" t="n"/>
      <c r="AI78" s="7315" t="n"/>
      <c r="AJ78" s="7316" t="n"/>
      <c r="AK78" s="57" t="n"/>
      <c r="AL78" s="7314" t="n"/>
      <c r="AM78" s="7316" t="n"/>
      <c r="AN78" s="57" t="n"/>
      <c r="AO78" s="7307" t="n"/>
      <c r="AP78" s="1916" t="n"/>
      <c r="AQ78" s="7308" t="n"/>
      <c r="AR78" s="57" t="n"/>
      <c r="AS78" s="7307" t="n"/>
      <c r="AT78" s="2540" t="n"/>
      <c r="AU78" s="7308" t="n"/>
    </row>
    <row outlineLevel="0" r="79">
      <c r="A79" s="7408" t="n"/>
      <c r="B79" s="7319" t="n"/>
      <c r="C79" s="7293" t="n"/>
      <c r="D79" s="7296" t="n"/>
      <c r="E79" s="7296" t="n"/>
      <c r="F79" s="7296" t="n"/>
      <c r="G79" s="7296" t="n"/>
      <c r="H79" s="7296" t="n"/>
      <c r="I79" s="7296" t="n"/>
      <c r="J79" s="7296" t="n"/>
      <c r="K79" s="7296" t="n"/>
      <c r="L79" s="7296" t="n"/>
      <c r="M79" s="7296" t="n"/>
      <c r="N79" s="7296" t="n"/>
      <c r="O79" s="7296" t="n"/>
      <c r="P79" s="7296" t="n"/>
      <c r="Q79" s="7300" t="n"/>
      <c r="R79" s="7296" t="n"/>
      <c r="S79" s="7296" t="n"/>
      <c r="T79" s="7296" t="n"/>
      <c r="U79" s="7296" t="n"/>
      <c r="V79" s="7303" t="n"/>
      <c r="W79" s="7296" t="n"/>
      <c r="X79" s="7296" t="n"/>
      <c r="Y79" s="7296" t="n"/>
      <c r="Z79" s="7296" t="n"/>
      <c r="AA79" s="7296" t="n"/>
      <c r="AB79" s="7296" t="n"/>
      <c r="AC79" s="7296" t="n"/>
      <c r="AD79" s="7296" t="n"/>
      <c r="AE79" s="7296" t="n"/>
      <c r="AF79" s="7296" t="n"/>
      <c r="AG79" s="7413" t="n"/>
      <c r="AH79" s="7314" t="n"/>
      <c r="AI79" s="7315" t="n"/>
      <c r="AJ79" s="7316" t="n"/>
      <c r="AK79" s="57" t="n"/>
      <c r="AL79" s="7314" t="n"/>
      <c r="AM79" s="7316" t="n"/>
      <c r="AN79" s="57" t="n"/>
      <c r="AO79" s="7307" t="n"/>
      <c r="AP79" s="1916" t="n"/>
      <c r="AQ79" s="7308" t="n"/>
      <c r="AR79" s="57" t="n"/>
      <c r="AS79" s="7307" t="n"/>
      <c r="AT79" s="2540" t="n"/>
      <c r="AU79" s="7308" t="n"/>
    </row>
    <row outlineLevel="0" r="80">
      <c r="A80" s="7408" t="n"/>
      <c r="B80" s="7319" t="n"/>
      <c r="C80" s="7293" t="n"/>
      <c r="D80" s="7296" t="n"/>
      <c r="E80" s="7296" t="n"/>
      <c r="F80" s="7296" t="n"/>
      <c r="G80" s="7296" t="n"/>
      <c r="H80" s="7296" t="n"/>
      <c r="I80" s="7296" t="n"/>
      <c r="J80" s="7296" t="n"/>
      <c r="K80" s="7296" t="n"/>
      <c r="L80" s="7296" t="n"/>
      <c r="M80" s="7296" t="n"/>
      <c r="N80" s="7296" t="n"/>
      <c r="O80" s="7296" t="n"/>
      <c r="P80" s="7296" t="n"/>
      <c r="Q80" s="7300" t="n"/>
      <c r="R80" s="7296" t="n"/>
      <c r="S80" s="7296" t="n"/>
      <c r="T80" s="7296" t="n"/>
      <c r="U80" s="7296" t="n"/>
      <c r="V80" s="7303" t="n"/>
      <c r="W80" s="7296" t="n"/>
      <c r="X80" s="7296" t="n"/>
      <c r="Y80" s="7296" t="n"/>
      <c r="Z80" s="7296" t="n"/>
      <c r="AA80" s="7296" t="n"/>
      <c r="AB80" s="7296" t="n"/>
      <c r="AC80" s="7296" t="n"/>
      <c r="AD80" s="7296" t="n"/>
      <c r="AE80" s="7296" t="n"/>
      <c r="AF80" s="7296" t="n"/>
      <c r="AG80" s="7413" t="n"/>
      <c r="AH80" s="7314" t="n"/>
      <c r="AI80" s="7315" t="n"/>
      <c r="AJ80" s="7316" t="n"/>
      <c r="AK80" s="57" t="n"/>
      <c r="AL80" s="7314" t="n"/>
      <c r="AM80" s="7316" t="n"/>
      <c r="AN80" s="57" t="n"/>
      <c r="AO80" s="7307" t="n"/>
      <c r="AP80" s="1916" t="n"/>
      <c r="AQ80" s="7308" t="n"/>
      <c r="AR80" s="57" t="n"/>
      <c r="AS80" s="7307" t="n"/>
      <c r="AT80" s="2540" t="n"/>
      <c r="AU80" s="7308" t="n"/>
    </row>
    <row outlineLevel="0" r="81">
      <c r="A81" s="7408" t="n"/>
      <c r="B81" s="7319" t="n"/>
      <c r="C81" s="7293" t="n"/>
      <c r="D81" s="7296" t="n"/>
      <c r="E81" s="7296" t="n"/>
      <c r="F81" s="7296" t="n"/>
      <c r="G81" s="7296" t="n"/>
      <c r="H81" s="7296" t="n"/>
      <c r="I81" s="7296" t="n"/>
      <c r="J81" s="7296" t="n"/>
      <c r="K81" s="7296" t="n"/>
      <c r="L81" s="7296" t="n"/>
      <c r="M81" s="7296" t="n"/>
      <c r="N81" s="7296" t="n"/>
      <c r="O81" s="7296" t="n"/>
      <c r="P81" s="7296" t="n"/>
      <c r="Q81" s="7300" t="n"/>
      <c r="R81" s="7296" t="n"/>
      <c r="S81" s="7296" t="n"/>
      <c r="T81" s="7296" t="n"/>
      <c r="U81" s="7296" t="n"/>
      <c r="V81" s="7303" t="n"/>
      <c r="W81" s="7296" t="n"/>
      <c r="X81" s="7296" t="n"/>
      <c r="Y81" s="7296" t="n"/>
      <c r="Z81" s="7296" t="n"/>
      <c r="AA81" s="7296" t="n"/>
      <c r="AB81" s="7296" t="n"/>
      <c r="AC81" s="7296" t="n"/>
      <c r="AD81" s="7296" t="n"/>
      <c r="AE81" s="7296" t="n"/>
      <c r="AF81" s="7296" t="n"/>
      <c r="AG81" s="7413" t="n"/>
      <c r="AH81" s="7314" t="n"/>
      <c r="AI81" s="7315" t="n"/>
      <c r="AJ81" s="7316" t="n"/>
      <c r="AK81" s="57" t="n"/>
      <c r="AL81" s="7314" t="n"/>
      <c r="AM81" s="7316" t="n"/>
      <c r="AN81" s="57" t="n"/>
      <c r="AO81" s="7307" t="n"/>
      <c r="AP81" s="1916" t="n"/>
      <c r="AQ81" s="7308" t="n"/>
      <c r="AR81" s="57" t="n"/>
      <c r="AS81" s="7307" t="n"/>
      <c r="AT81" s="2540" t="n"/>
      <c r="AU81" s="7308" t="n"/>
    </row>
    <row outlineLevel="0" r="82">
      <c r="A82" s="7408" t="n"/>
      <c r="B82" s="7319" t="n"/>
      <c r="C82" s="7293" t="n"/>
      <c r="D82" s="7296" t="n"/>
      <c r="E82" s="7296" t="n"/>
      <c r="F82" s="7296" t="n"/>
      <c r="G82" s="7296" t="n"/>
      <c r="H82" s="7296" t="n"/>
      <c r="I82" s="7296" t="n"/>
      <c r="J82" s="7296" t="n"/>
      <c r="K82" s="7296" t="n"/>
      <c r="L82" s="7296" t="n"/>
      <c r="M82" s="7296" t="n"/>
      <c r="N82" s="7296" t="n"/>
      <c r="O82" s="7296" t="n"/>
      <c r="P82" s="7296" t="n"/>
      <c r="Q82" s="7300" t="n"/>
      <c r="R82" s="7296" t="n"/>
      <c r="S82" s="7296" t="n"/>
      <c r="T82" s="7296" t="n"/>
      <c r="U82" s="7296" t="n"/>
      <c r="V82" s="7303" t="n"/>
      <c r="W82" s="7296" t="n"/>
      <c r="X82" s="7296" t="n"/>
      <c r="Y82" s="7296" t="n"/>
      <c r="Z82" s="7296" t="n"/>
      <c r="AA82" s="7296" t="n"/>
      <c r="AB82" s="7296" t="n"/>
      <c r="AC82" s="7296" t="n"/>
      <c r="AD82" s="7296" t="n"/>
      <c r="AE82" s="7296" t="n"/>
      <c r="AF82" s="7296" t="n"/>
      <c r="AG82" s="7413" t="n"/>
      <c r="AH82" s="7314" t="n"/>
      <c r="AI82" s="7315" t="n"/>
      <c r="AJ82" s="7316" t="n"/>
      <c r="AK82" s="57" t="n"/>
      <c r="AL82" s="7314" t="n"/>
      <c r="AM82" s="7316" t="n"/>
      <c r="AN82" s="57" t="n"/>
      <c r="AO82" s="7307" t="n"/>
      <c r="AP82" s="1916" t="n"/>
      <c r="AQ82" s="7308" t="n"/>
      <c r="AR82" s="57" t="n"/>
      <c r="AS82" s="7307" t="n"/>
      <c r="AT82" s="2540" t="n"/>
      <c r="AU82" s="7308" t="n"/>
    </row>
    <row outlineLevel="0" r="83">
      <c r="A83" s="7408" t="n"/>
      <c r="B83" s="7319" t="n"/>
      <c r="C83" s="7293" t="n"/>
      <c r="D83" s="7296" t="n"/>
      <c r="E83" s="7296" t="n"/>
      <c r="F83" s="7296" t="n"/>
      <c r="G83" s="7296" t="n"/>
      <c r="H83" s="7296" t="n"/>
      <c r="I83" s="7296" t="n"/>
      <c r="J83" s="7296" t="n"/>
      <c r="K83" s="7296" t="n"/>
      <c r="L83" s="7296" t="n"/>
      <c r="M83" s="7296" t="n"/>
      <c r="N83" s="7296" t="n"/>
      <c r="O83" s="7296" t="n"/>
      <c r="P83" s="7296" t="n"/>
      <c r="Q83" s="7300" t="n"/>
      <c r="R83" s="7296" t="n"/>
      <c r="S83" s="7296" t="n"/>
      <c r="T83" s="7296" t="n"/>
      <c r="U83" s="7296" t="n"/>
      <c r="V83" s="7303" t="n"/>
      <c r="W83" s="7296" t="n"/>
      <c r="X83" s="7296" t="n"/>
      <c r="Y83" s="7296" t="n"/>
      <c r="Z83" s="7296" t="n"/>
      <c r="AA83" s="7296" t="n"/>
      <c r="AB83" s="7296" t="n"/>
      <c r="AC83" s="7296" t="n"/>
      <c r="AD83" s="7296" t="n"/>
      <c r="AE83" s="7296" t="n"/>
      <c r="AF83" s="7296" t="n"/>
      <c r="AG83" s="7413" t="n"/>
      <c r="AH83" s="7314" t="n"/>
      <c r="AI83" s="7315" t="n"/>
      <c r="AJ83" s="7316" t="n"/>
      <c r="AK83" s="57" t="n"/>
      <c r="AL83" s="7314" t="n"/>
      <c r="AM83" s="7316" t="n"/>
      <c r="AN83" s="57" t="n"/>
      <c r="AO83" s="7307" t="n"/>
      <c r="AP83" s="1916" t="n"/>
      <c r="AQ83" s="7308" t="n"/>
      <c r="AR83" s="57" t="n"/>
      <c r="AS83" s="7307" t="n"/>
      <c r="AT83" s="2540" t="n"/>
      <c r="AU83" s="7308" t="n"/>
    </row>
    <row outlineLevel="0" r="84">
      <c r="A84" s="7408" t="n"/>
      <c r="B84" s="7319" t="n"/>
      <c r="C84" s="7293" t="n"/>
      <c r="D84" s="7296" t="n"/>
      <c r="E84" s="7296" t="n"/>
      <c r="F84" s="7296" t="n"/>
      <c r="G84" s="7296" t="n"/>
      <c r="H84" s="7296" t="n"/>
      <c r="I84" s="7296" t="n"/>
      <c r="J84" s="7296" t="n"/>
      <c r="K84" s="7296" t="n"/>
      <c r="L84" s="7296" t="n"/>
      <c r="M84" s="7296" t="n"/>
      <c r="N84" s="7296" t="n"/>
      <c r="O84" s="7296" t="n"/>
      <c r="P84" s="7296" t="n"/>
      <c r="Q84" s="7300" t="n"/>
      <c r="R84" s="7296" t="n"/>
      <c r="S84" s="7296" t="n"/>
      <c r="T84" s="7296" t="n"/>
      <c r="U84" s="7296" t="n"/>
      <c r="V84" s="7303" t="n"/>
      <c r="W84" s="7296" t="n"/>
      <c r="X84" s="7296" t="n"/>
      <c r="Y84" s="7296" t="n"/>
      <c r="Z84" s="7296" t="n"/>
      <c r="AA84" s="7296" t="n"/>
      <c r="AB84" s="7296" t="n"/>
      <c r="AC84" s="7296" t="n"/>
      <c r="AD84" s="7296" t="n"/>
      <c r="AE84" s="7296" t="n"/>
      <c r="AF84" s="7296" t="n"/>
      <c r="AG84" s="7413" t="n"/>
      <c r="AH84" s="7314" t="n"/>
      <c r="AI84" s="7315" t="n"/>
      <c r="AJ84" s="7316" t="n"/>
      <c r="AK84" s="57" t="n"/>
      <c r="AL84" s="7314" t="n"/>
      <c r="AM84" s="7316" t="n"/>
      <c r="AN84" s="57" t="n"/>
      <c r="AO84" s="7307" t="n"/>
      <c r="AP84" s="1916" t="n"/>
      <c r="AQ84" s="7308" t="n"/>
      <c r="AR84" s="57" t="n"/>
      <c r="AS84" s="7307" t="n"/>
      <c r="AT84" s="2540" t="n"/>
      <c r="AU84" s="7308" t="n"/>
    </row>
    <row outlineLevel="0" r="85">
      <c r="A85" s="7408" t="n"/>
      <c r="B85" s="7319" t="n"/>
      <c r="C85" s="7293" t="n"/>
      <c r="D85" s="7296" t="n"/>
      <c r="E85" s="7296" t="n"/>
      <c r="F85" s="7296" t="n"/>
      <c r="G85" s="7296" t="n"/>
      <c r="H85" s="7296" t="n"/>
      <c r="I85" s="7296" t="n"/>
      <c r="J85" s="7296" t="n"/>
      <c r="K85" s="7296" t="n"/>
      <c r="L85" s="7296" t="n"/>
      <c r="M85" s="7296" t="n"/>
      <c r="N85" s="7296" t="n"/>
      <c r="O85" s="7296" t="n"/>
      <c r="P85" s="7296" t="n"/>
      <c r="Q85" s="7300" t="n"/>
      <c r="R85" s="7296" t="n"/>
      <c r="S85" s="7296" t="n"/>
      <c r="T85" s="7296" t="n"/>
      <c r="U85" s="7296" t="n"/>
      <c r="V85" s="7303" t="n"/>
      <c r="W85" s="7296" t="n"/>
      <c r="X85" s="7296" t="n"/>
      <c r="Y85" s="7296" t="n"/>
      <c r="Z85" s="7296" t="n"/>
      <c r="AA85" s="7296" t="n"/>
      <c r="AB85" s="7296" t="n"/>
      <c r="AC85" s="7296" t="n"/>
      <c r="AD85" s="7296" t="n"/>
      <c r="AE85" s="7296" t="n"/>
      <c r="AF85" s="7296" t="n"/>
      <c r="AG85" s="7413" t="n"/>
      <c r="AH85" s="7314" t="n"/>
      <c r="AI85" s="7315" t="n"/>
      <c r="AJ85" s="7316" t="n"/>
      <c r="AK85" s="57" t="n"/>
      <c r="AL85" s="7314" t="n"/>
      <c r="AM85" s="7316" t="n"/>
      <c r="AN85" s="57" t="n"/>
      <c r="AO85" s="7307" t="n"/>
      <c r="AP85" s="1916" t="n"/>
      <c r="AQ85" s="7308" t="n"/>
      <c r="AR85" s="57" t="n"/>
      <c r="AS85" s="7307" t="n"/>
      <c r="AT85" s="2540" t="n"/>
      <c r="AU85" s="7308" t="n"/>
    </row>
    <row outlineLevel="0" r="86">
      <c r="A86" s="7408" t="n"/>
      <c r="B86" s="7319" t="n"/>
      <c r="C86" s="7293" t="n"/>
      <c r="D86" s="7296" t="n"/>
      <c r="E86" s="7296" t="n"/>
      <c r="F86" s="7296" t="n"/>
      <c r="G86" s="7296" t="n"/>
      <c r="H86" s="7296" t="n"/>
      <c r="I86" s="7296" t="n"/>
      <c r="J86" s="7296" t="n"/>
      <c r="K86" s="7296" t="n"/>
      <c r="L86" s="7296" t="n"/>
      <c r="M86" s="7296" t="n"/>
      <c r="N86" s="7296" t="n"/>
      <c r="O86" s="7296" t="n"/>
      <c r="P86" s="7296" t="n"/>
      <c r="Q86" s="7300" t="n"/>
      <c r="R86" s="7296" t="n"/>
      <c r="S86" s="7296" t="n"/>
      <c r="T86" s="7296" t="n"/>
      <c r="U86" s="7296" t="n"/>
      <c r="V86" s="7303" t="n"/>
      <c r="W86" s="7296" t="n"/>
      <c r="X86" s="7296" t="n"/>
      <c r="Y86" s="7296" t="n"/>
      <c r="Z86" s="7296" t="n"/>
      <c r="AA86" s="7296" t="n"/>
      <c r="AB86" s="7296" t="n"/>
      <c r="AC86" s="7296" t="n"/>
      <c r="AD86" s="7296" t="n"/>
      <c r="AE86" s="7296" t="n"/>
      <c r="AF86" s="7296" t="n"/>
      <c r="AG86" s="7413" t="n"/>
      <c r="AH86" s="7314" t="n"/>
      <c r="AI86" s="7315" t="n"/>
      <c r="AJ86" s="7316" t="n"/>
      <c r="AK86" s="57" t="n"/>
      <c r="AL86" s="7314" t="n"/>
      <c r="AM86" s="7316" t="n"/>
      <c r="AN86" s="57" t="n"/>
      <c r="AO86" s="7307" t="n"/>
      <c r="AP86" s="1916" t="n"/>
      <c r="AQ86" s="7308" t="n"/>
      <c r="AR86" s="57" t="n"/>
      <c r="AS86" s="7307" t="n"/>
      <c r="AT86" s="2540" t="n"/>
      <c r="AU86" s="7308" t="n"/>
    </row>
    <row outlineLevel="0" r="87">
      <c r="A87" s="7408" t="n"/>
      <c r="B87" s="7319" t="n"/>
      <c r="C87" s="7293" t="n"/>
      <c r="D87" s="7296" t="n"/>
      <c r="E87" s="7296" t="n"/>
      <c r="F87" s="7296" t="n"/>
      <c r="G87" s="7296" t="n"/>
      <c r="H87" s="7296" t="n"/>
      <c r="I87" s="7296" t="n"/>
      <c r="J87" s="7296" t="n"/>
      <c r="K87" s="7296" t="n"/>
      <c r="L87" s="7296" t="n"/>
      <c r="M87" s="7296" t="n"/>
      <c r="N87" s="7296" t="n"/>
      <c r="O87" s="7296" t="n"/>
      <c r="P87" s="7296" t="n"/>
      <c r="Q87" s="7300" t="n"/>
      <c r="R87" s="7296" t="n"/>
      <c r="S87" s="7296" t="n"/>
      <c r="T87" s="7296" t="n"/>
      <c r="U87" s="7296" t="n"/>
      <c r="V87" s="7303" t="n"/>
      <c r="W87" s="7296" t="n"/>
      <c r="X87" s="7296" t="n"/>
      <c r="Y87" s="7296" t="n"/>
      <c r="Z87" s="7296" t="n"/>
      <c r="AA87" s="7296" t="n"/>
      <c r="AB87" s="7296" t="n"/>
      <c r="AC87" s="7296" t="n"/>
      <c r="AD87" s="7296" t="n"/>
      <c r="AE87" s="7296" t="n"/>
      <c r="AF87" s="7296" t="n"/>
      <c r="AG87" s="7413" t="n"/>
      <c r="AH87" s="7314" t="n"/>
      <c r="AI87" s="7315" t="n"/>
      <c r="AJ87" s="7316" t="n"/>
      <c r="AK87" s="57" t="n"/>
      <c r="AL87" s="7314" t="n"/>
      <c r="AM87" s="7316" t="n"/>
      <c r="AN87" s="57" t="n"/>
      <c r="AO87" s="7307" t="n"/>
      <c r="AP87" s="1916" t="n"/>
      <c r="AQ87" s="7308" t="n"/>
      <c r="AR87" s="57" t="n"/>
      <c r="AS87" s="7307" t="n"/>
      <c r="AT87" s="2540" t="n"/>
      <c r="AU87" s="7308" t="n"/>
    </row>
    <row outlineLevel="0" r="88">
      <c r="A88" s="7408" t="n"/>
      <c r="B88" s="7319" t="n"/>
      <c r="C88" s="7293" t="n"/>
      <c r="D88" s="7296" t="n"/>
      <c r="E88" s="7296" t="n"/>
      <c r="F88" s="7296" t="n"/>
      <c r="G88" s="7296" t="n"/>
      <c r="H88" s="7296" t="n"/>
      <c r="I88" s="7296" t="n"/>
      <c r="J88" s="7296" t="n"/>
      <c r="K88" s="7296" t="n"/>
      <c r="L88" s="7296" t="n"/>
      <c r="M88" s="7296" t="n"/>
      <c r="N88" s="7296" t="n"/>
      <c r="O88" s="7296" t="n"/>
      <c r="P88" s="7296" t="n"/>
      <c r="Q88" s="7300" t="n"/>
      <c r="R88" s="7296" t="n"/>
      <c r="S88" s="7296" t="n"/>
      <c r="T88" s="7296" t="n"/>
      <c r="U88" s="7296" t="n"/>
      <c r="V88" s="7303" t="n"/>
      <c r="W88" s="7296" t="n"/>
      <c r="X88" s="7296" t="n"/>
      <c r="Y88" s="7296" t="n"/>
      <c r="Z88" s="7296" t="n"/>
      <c r="AA88" s="7296" t="n"/>
      <c r="AB88" s="7296" t="n"/>
      <c r="AC88" s="7296" t="n"/>
      <c r="AD88" s="7296" t="n"/>
      <c r="AE88" s="7296" t="n"/>
      <c r="AF88" s="7296" t="n"/>
      <c r="AG88" s="7413" t="n"/>
      <c r="AH88" s="7314" t="n"/>
      <c r="AI88" s="7315" t="n"/>
      <c r="AJ88" s="7316" t="n"/>
      <c r="AK88" s="57" t="n"/>
      <c r="AL88" s="7314" t="n"/>
      <c r="AM88" s="7316" t="n"/>
      <c r="AN88" s="57" t="n"/>
      <c r="AO88" s="7307" t="n"/>
      <c r="AP88" s="1916" t="n"/>
      <c r="AQ88" s="7308" t="n"/>
      <c r="AR88" s="57" t="n"/>
      <c r="AS88" s="7307" t="n"/>
      <c r="AT88" s="2540" t="n"/>
      <c r="AU88" s="7308" t="n"/>
    </row>
    <row outlineLevel="0" r="89">
      <c r="A89" s="7408" t="n"/>
      <c r="B89" s="7319" t="n"/>
      <c r="C89" s="7293" t="n"/>
      <c r="D89" s="7296" t="n"/>
      <c r="E89" s="7296" t="n"/>
      <c r="F89" s="7296" t="n"/>
      <c r="G89" s="7296" t="n"/>
      <c r="H89" s="7296" t="n"/>
      <c r="I89" s="7296" t="n"/>
      <c r="J89" s="7296" t="n"/>
      <c r="K89" s="7296" t="n"/>
      <c r="L89" s="7296" t="n"/>
      <c r="M89" s="7296" t="n"/>
      <c r="N89" s="7296" t="n"/>
      <c r="O89" s="7296" t="n"/>
      <c r="P89" s="7296" t="n"/>
      <c r="Q89" s="7300" t="n"/>
      <c r="R89" s="7296" t="n"/>
      <c r="S89" s="7296" t="n"/>
      <c r="T89" s="7296" t="n"/>
      <c r="U89" s="7296" t="n"/>
      <c r="V89" s="7303" t="n"/>
      <c r="W89" s="7296" t="n"/>
      <c r="X89" s="7296" t="n"/>
      <c r="Y89" s="7296" t="n"/>
      <c r="Z89" s="7296" t="n"/>
      <c r="AA89" s="7296" t="n"/>
      <c r="AB89" s="7296" t="n"/>
      <c r="AC89" s="7296" t="n"/>
      <c r="AD89" s="7296" t="n"/>
      <c r="AE89" s="7296" t="n"/>
      <c r="AF89" s="7296" t="n"/>
      <c r="AG89" s="7413" t="n"/>
      <c r="AH89" s="7314" t="n"/>
      <c r="AI89" s="7315" t="n"/>
      <c r="AJ89" s="7316" t="n"/>
      <c r="AK89" s="57" t="n"/>
      <c r="AL89" s="7314" t="n"/>
      <c r="AM89" s="7316" t="n"/>
      <c r="AN89" s="57" t="n"/>
      <c r="AO89" s="7307" t="n"/>
      <c r="AP89" s="1916" t="n"/>
      <c r="AQ89" s="7308" t="n"/>
      <c r="AR89" s="57" t="n"/>
      <c r="AS89" s="7307" t="n"/>
      <c r="AT89" s="2540" t="n"/>
      <c r="AU89" s="7308" t="n"/>
    </row>
    <row outlineLevel="0" r="90">
      <c r="A90" s="7408" t="n"/>
      <c r="B90" s="7319" t="n"/>
      <c r="C90" s="7293" t="n"/>
      <c r="D90" s="7296" t="n"/>
      <c r="E90" s="7296" t="n"/>
      <c r="F90" s="7296" t="n"/>
      <c r="G90" s="7296" t="n"/>
      <c r="H90" s="7296" t="n"/>
      <c r="I90" s="7296" t="n"/>
      <c r="J90" s="7296" t="n"/>
      <c r="K90" s="7296" t="n"/>
      <c r="L90" s="7296" t="n"/>
      <c r="M90" s="7296" t="n"/>
      <c r="N90" s="7296" t="n"/>
      <c r="O90" s="7296" t="n"/>
      <c r="P90" s="7296" t="n"/>
      <c r="Q90" s="7300" t="n"/>
      <c r="R90" s="7296" t="n"/>
      <c r="S90" s="7296" t="n"/>
      <c r="T90" s="7296" t="n"/>
      <c r="U90" s="7296" t="n"/>
      <c r="V90" s="7303" t="n"/>
      <c r="W90" s="7296" t="n"/>
      <c r="X90" s="7296" t="n"/>
      <c r="Y90" s="7296" t="n"/>
      <c r="Z90" s="7296" t="n"/>
      <c r="AA90" s="7296" t="n"/>
      <c r="AB90" s="7296" t="n"/>
      <c r="AC90" s="7296" t="n"/>
      <c r="AD90" s="7296" t="n"/>
      <c r="AE90" s="7296" t="n"/>
      <c r="AF90" s="7296" t="n"/>
      <c r="AG90" s="7413" t="n"/>
      <c r="AH90" s="7314" t="n"/>
      <c r="AI90" s="7315" t="n"/>
      <c r="AJ90" s="7316" t="n"/>
      <c r="AK90" s="57" t="n"/>
      <c r="AL90" s="7314" t="n"/>
      <c r="AM90" s="7316" t="n"/>
      <c r="AN90" s="57" t="n"/>
      <c r="AO90" s="7307" t="n"/>
      <c r="AP90" s="1916" t="n"/>
      <c r="AQ90" s="7308" t="n"/>
      <c r="AR90" s="57" t="n"/>
      <c r="AS90" s="7307" t="n"/>
      <c r="AT90" s="2540" t="n"/>
      <c r="AU90" s="7308" t="n"/>
    </row>
    <row outlineLevel="0" r="91">
      <c r="A91" s="7408" t="n"/>
      <c r="B91" s="7319" t="n"/>
      <c r="C91" s="7293" t="n"/>
      <c r="D91" s="7296" t="n"/>
      <c r="E91" s="7296" t="n"/>
      <c r="F91" s="7296" t="n"/>
      <c r="G91" s="7296" t="n"/>
      <c r="H91" s="7296" t="n"/>
      <c r="I91" s="7296" t="n"/>
      <c r="J91" s="7296" t="n"/>
      <c r="K91" s="7296" t="n"/>
      <c r="L91" s="7296" t="n"/>
      <c r="M91" s="7296" t="n"/>
      <c r="N91" s="7296" t="n"/>
      <c r="O91" s="7296" t="n"/>
      <c r="P91" s="7296" t="n"/>
      <c r="Q91" s="7300" t="n"/>
      <c r="R91" s="7296" t="n"/>
      <c r="S91" s="7296" t="n"/>
      <c r="T91" s="7296" t="n"/>
      <c r="U91" s="7296" t="n"/>
      <c r="V91" s="7303" t="n"/>
      <c r="W91" s="7296" t="n"/>
      <c r="X91" s="7296" t="n"/>
      <c r="Y91" s="7296" t="n"/>
      <c r="Z91" s="7296" t="n"/>
      <c r="AA91" s="7296" t="n"/>
      <c r="AB91" s="7296" t="n"/>
      <c r="AC91" s="7296" t="n"/>
      <c r="AD91" s="7296" t="n"/>
      <c r="AE91" s="7296" t="n"/>
      <c r="AF91" s="7296" t="n"/>
      <c r="AG91" s="7413" t="n"/>
      <c r="AH91" s="7314" t="n"/>
      <c r="AI91" s="7315" t="n"/>
      <c r="AJ91" s="7316" t="n"/>
      <c r="AK91" s="57" t="n"/>
      <c r="AL91" s="7314" t="n"/>
      <c r="AM91" s="7316" t="n"/>
      <c r="AN91" s="57" t="n"/>
      <c r="AO91" s="7307" t="n"/>
      <c r="AP91" s="1916" t="n"/>
      <c r="AQ91" s="7308" t="n"/>
      <c r="AR91" s="57" t="n"/>
      <c r="AS91" s="7307" t="n"/>
      <c r="AT91" s="2540" t="n"/>
      <c r="AU91" s="7308" t="n"/>
    </row>
    <row outlineLevel="0" r="92">
      <c r="A92" s="7408" t="n"/>
      <c r="B92" s="7319" t="n"/>
      <c r="C92" s="7293" t="n"/>
      <c r="D92" s="7296" t="n"/>
      <c r="E92" s="7296" t="n"/>
      <c r="F92" s="7296" t="n"/>
      <c r="G92" s="7296" t="n"/>
      <c r="H92" s="7296" t="n"/>
      <c r="I92" s="7296" t="n"/>
      <c r="J92" s="7296" t="n"/>
      <c r="K92" s="7296" t="n"/>
      <c r="L92" s="7296" t="n"/>
      <c r="M92" s="7296" t="n"/>
      <c r="N92" s="7296" t="n"/>
      <c r="O92" s="7296" t="n"/>
      <c r="P92" s="7296" t="n"/>
      <c r="Q92" s="7300" t="n"/>
      <c r="R92" s="7296" t="n"/>
      <c r="S92" s="7296" t="n"/>
      <c r="T92" s="7296" t="n"/>
      <c r="U92" s="7296" t="n"/>
      <c r="V92" s="7303" t="n"/>
      <c r="W92" s="7296" t="n"/>
      <c r="X92" s="7296" t="n"/>
      <c r="Y92" s="7296" t="n"/>
      <c r="Z92" s="7296" t="n"/>
      <c r="AA92" s="7296" t="n"/>
      <c r="AB92" s="7296" t="n"/>
      <c r="AC92" s="7296" t="n"/>
      <c r="AD92" s="7296" t="n"/>
      <c r="AE92" s="7296" t="n"/>
      <c r="AF92" s="7296" t="n"/>
      <c r="AG92" s="7413" t="n"/>
      <c r="AH92" s="7314" t="n"/>
      <c r="AI92" s="7315" t="n"/>
      <c r="AJ92" s="7316" t="n"/>
      <c r="AK92" s="57" t="n"/>
      <c r="AL92" s="7314" t="n"/>
      <c r="AM92" s="7316" t="n"/>
      <c r="AN92" s="57" t="n"/>
      <c r="AO92" s="7307" t="n"/>
      <c r="AP92" s="1916" t="n"/>
      <c r="AQ92" s="7308" t="n"/>
      <c r="AR92" s="57" t="n"/>
      <c r="AS92" s="7307" t="n"/>
      <c r="AT92" s="2540" t="n"/>
      <c r="AU92" s="7308" t="n"/>
    </row>
    <row outlineLevel="0" r="93">
      <c r="A93" s="7408" t="n"/>
      <c r="B93" s="7319" t="n"/>
      <c r="C93" s="7293" t="n"/>
      <c r="D93" s="7296" t="n"/>
      <c r="E93" s="7296" t="n"/>
      <c r="F93" s="7296" t="n"/>
      <c r="G93" s="7296" t="n"/>
      <c r="H93" s="7296" t="n"/>
      <c r="I93" s="7296" t="n"/>
      <c r="J93" s="7296" t="n"/>
      <c r="K93" s="7296" t="n"/>
      <c r="L93" s="7296" t="n"/>
      <c r="M93" s="7296" t="n"/>
      <c r="N93" s="7296" t="n"/>
      <c r="O93" s="7296" t="n"/>
      <c r="P93" s="7296" t="n"/>
      <c r="Q93" s="7300" t="n"/>
      <c r="R93" s="7296" t="n"/>
      <c r="S93" s="7296" t="n"/>
      <c r="T93" s="7296" t="n"/>
      <c r="U93" s="7296" t="n"/>
      <c r="V93" s="7303" t="n"/>
      <c r="W93" s="7296" t="n"/>
      <c r="X93" s="7296" t="n"/>
      <c r="Y93" s="7296" t="n"/>
      <c r="Z93" s="7296" t="n"/>
      <c r="AA93" s="7296" t="n"/>
      <c r="AB93" s="7296" t="n"/>
      <c r="AC93" s="7296" t="n"/>
      <c r="AD93" s="7296" t="n"/>
      <c r="AE93" s="7296" t="n"/>
      <c r="AF93" s="7296" t="n"/>
      <c r="AG93" s="7413" t="n"/>
      <c r="AH93" s="7314" t="n"/>
      <c r="AI93" s="7315" t="n"/>
      <c r="AJ93" s="7316" t="n"/>
      <c r="AK93" s="57" t="n"/>
      <c r="AL93" s="7314" t="n"/>
      <c r="AM93" s="7316" t="n"/>
      <c r="AN93" s="57" t="n"/>
      <c r="AO93" s="7307" t="n"/>
      <c r="AP93" s="1916" t="n"/>
      <c r="AQ93" s="7308" t="n"/>
      <c r="AR93" s="57" t="n"/>
      <c r="AS93" s="7307" t="n"/>
      <c r="AT93" s="2540" t="n"/>
      <c r="AU93" s="7308" t="n"/>
    </row>
    <row outlineLevel="0" r="94">
      <c r="A94" s="7408" t="n"/>
      <c r="B94" s="7319" t="n"/>
      <c r="C94" s="7293" t="n"/>
      <c r="D94" s="7296" t="n"/>
      <c r="E94" s="7296" t="n"/>
      <c r="F94" s="7296" t="n"/>
      <c r="G94" s="7296" t="n"/>
      <c r="H94" s="7296" t="n"/>
      <c r="I94" s="7296" t="n"/>
      <c r="J94" s="7296" t="n"/>
      <c r="K94" s="7296" t="n"/>
      <c r="L94" s="7296" t="n"/>
      <c r="M94" s="7296" t="n"/>
      <c r="N94" s="7296" t="n"/>
      <c r="O94" s="7296" t="n"/>
      <c r="P94" s="7296" t="n"/>
      <c r="Q94" s="7300" t="n"/>
      <c r="R94" s="7296" t="n"/>
      <c r="S94" s="7296" t="n"/>
      <c r="T94" s="7296" t="n"/>
      <c r="U94" s="7296" t="n"/>
      <c r="V94" s="7303" t="n"/>
      <c r="W94" s="7296" t="n"/>
      <c r="X94" s="7296" t="n"/>
      <c r="Y94" s="7296" t="n"/>
      <c r="Z94" s="7296" t="n"/>
      <c r="AA94" s="7296" t="n"/>
      <c r="AB94" s="7296" t="n"/>
      <c r="AC94" s="7296" t="n"/>
      <c r="AD94" s="7296" t="n"/>
      <c r="AE94" s="7296" t="n"/>
      <c r="AF94" s="7296" t="n"/>
      <c r="AG94" s="7413" t="n"/>
      <c r="AH94" s="7314" t="n"/>
      <c r="AI94" s="7315" t="n"/>
      <c r="AJ94" s="7316" t="n"/>
      <c r="AK94" s="57" t="n"/>
      <c r="AL94" s="7314" t="n"/>
      <c r="AM94" s="7316" t="n"/>
      <c r="AN94" s="57" t="n"/>
      <c r="AO94" s="7307" t="n"/>
      <c r="AP94" s="1916" t="n"/>
      <c r="AQ94" s="7308" t="n"/>
      <c r="AR94" s="57" t="n"/>
      <c r="AS94" s="7307" t="n"/>
      <c r="AT94" s="2540" t="n"/>
      <c r="AU94" s="7308" t="n"/>
    </row>
    <row outlineLevel="0" r="95">
      <c r="A95" s="7408" t="n"/>
      <c r="B95" s="7319" t="n"/>
      <c r="C95" s="7293" t="n"/>
      <c r="D95" s="7296" t="n"/>
      <c r="E95" s="7296" t="n"/>
      <c r="F95" s="7296" t="n"/>
      <c r="G95" s="7296" t="n"/>
      <c r="H95" s="7296" t="n"/>
      <c r="I95" s="7296" t="n"/>
      <c r="J95" s="7296" t="n"/>
      <c r="K95" s="7296" t="n"/>
      <c r="L95" s="7296" t="n"/>
      <c r="M95" s="7296" t="n"/>
      <c r="N95" s="7296" t="n"/>
      <c r="O95" s="7296" t="n"/>
      <c r="P95" s="7296" t="n"/>
      <c r="Q95" s="7300" t="n"/>
      <c r="R95" s="7296" t="n"/>
      <c r="S95" s="7296" t="n"/>
      <c r="T95" s="7296" t="n"/>
      <c r="U95" s="7296" t="n"/>
      <c r="V95" s="7303" t="n"/>
      <c r="W95" s="7296" t="n"/>
      <c r="X95" s="7296" t="n"/>
      <c r="Y95" s="7296" t="n"/>
      <c r="Z95" s="7296" t="n"/>
      <c r="AA95" s="7296" t="n"/>
      <c r="AB95" s="7296" t="n"/>
      <c r="AC95" s="7296" t="n"/>
      <c r="AD95" s="7296" t="n"/>
      <c r="AE95" s="7296" t="n"/>
      <c r="AF95" s="7296" t="n"/>
      <c r="AG95" s="7413" t="n"/>
      <c r="AH95" s="7314" t="n"/>
      <c r="AI95" s="7315" t="n"/>
      <c r="AJ95" s="7316" t="n"/>
      <c r="AK95" s="57" t="n"/>
      <c r="AL95" s="7314" t="n"/>
      <c r="AM95" s="7316" t="n"/>
      <c r="AN95" s="57" t="n"/>
      <c r="AO95" s="7307" t="n"/>
      <c r="AP95" s="1916" t="n"/>
      <c r="AQ95" s="7308" t="n"/>
      <c r="AR95" s="57" t="n"/>
      <c r="AS95" s="7307" t="n"/>
      <c r="AT95" s="2540" t="n"/>
      <c r="AU95" s="7308" t="n"/>
    </row>
    <row outlineLevel="0" r="96">
      <c r="A96" s="7408" t="n"/>
      <c r="B96" s="7319" t="n"/>
      <c r="C96" s="7293" t="n"/>
      <c r="D96" s="7296" t="n"/>
      <c r="E96" s="7296" t="n"/>
      <c r="F96" s="7296" t="n"/>
      <c r="G96" s="7296" t="n"/>
      <c r="H96" s="7296" t="n"/>
      <c r="I96" s="7296" t="n"/>
      <c r="J96" s="7296" t="n"/>
      <c r="K96" s="7296" t="n"/>
      <c r="L96" s="7296" t="n"/>
      <c r="M96" s="7296" t="n"/>
      <c r="N96" s="7296" t="n"/>
      <c r="O96" s="7296" t="n"/>
      <c r="P96" s="7296" t="n"/>
      <c r="Q96" s="7300" t="n"/>
      <c r="R96" s="7296" t="n"/>
      <c r="S96" s="7296" t="n"/>
      <c r="T96" s="7296" t="n"/>
      <c r="U96" s="7296" t="n"/>
      <c r="V96" s="7303" t="n"/>
      <c r="W96" s="7296" t="n"/>
      <c r="X96" s="7296" t="n"/>
      <c r="Y96" s="7296" t="n"/>
      <c r="Z96" s="7296" t="n"/>
      <c r="AA96" s="7296" t="n"/>
      <c r="AB96" s="7296" t="n"/>
      <c r="AC96" s="7296" t="n"/>
      <c r="AD96" s="7296" t="n"/>
      <c r="AE96" s="7296" t="n"/>
      <c r="AF96" s="7296" t="n"/>
      <c r="AG96" s="7413" t="n"/>
      <c r="AH96" s="7314" t="n"/>
      <c r="AI96" s="7315" t="n"/>
      <c r="AJ96" s="7316" t="n"/>
      <c r="AK96" s="57" t="n"/>
      <c r="AL96" s="7314" t="n"/>
      <c r="AM96" s="7316" t="n"/>
      <c r="AN96" s="57" t="n"/>
      <c r="AO96" s="7307" t="n"/>
      <c r="AP96" s="1916" t="n"/>
      <c r="AQ96" s="7308" t="n"/>
      <c r="AR96" s="57" t="n"/>
      <c r="AS96" s="7307" t="n"/>
      <c r="AT96" s="2540" t="n"/>
      <c r="AU96" s="7308" t="n"/>
    </row>
    <row outlineLevel="0" r="97">
      <c r="A97" s="7408" t="n"/>
      <c r="B97" s="7319" t="n"/>
      <c r="C97" s="7293" t="n"/>
      <c r="D97" s="7296" t="n"/>
      <c r="E97" s="7296" t="n"/>
      <c r="F97" s="7296" t="n"/>
      <c r="G97" s="7296" t="n"/>
      <c r="H97" s="7296" t="n"/>
      <c r="I97" s="7296" t="n"/>
      <c r="J97" s="7296" t="n"/>
      <c r="K97" s="7296" t="n"/>
      <c r="L97" s="7296" t="n"/>
      <c r="M97" s="7296" t="n"/>
      <c r="N97" s="7296" t="n"/>
      <c r="O97" s="7296" t="n"/>
      <c r="P97" s="7296" t="n"/>
      <c r="Q97" s="7300" t="n"/>
      <c r="R97" s="7296" t="n"/>
      <c r="S97" s="7296" t="n"/>
      <c r="T97" s="7296" t="n"/>
      <c r="U97" s="7296" t="n"/>
      <c r="V97" s="7303" t="n"/>
      <c r="W97" s="7296" t="n"/>
      <c r="X97" s="7296" t="n"/>
      <c r="Y97" s="7296" t="n"/>
      <c r="Z97" s="7296" t="n"/>
      <c r="AA97" s="7296" t="n"/>
      <c r="AB97" s="7296" t="n"/>
      <c r="AC97" s="7296" t="n"/>
      <c r="AD97" s="7296" t="n"/>
      <c r="AE97" s="7296" t="n"/>
      <c r="AF97" s="7296" t="n"/>
      <c r="AG97" s="7413" t="n"/>
      <c r="AH97" s="7314" t="n"/>
      <c r="AI97" s="7315" t="n"/>
      <c r="AJ97" s="7316" t="n"/>
      <c r="AK97" s="57" t="n"/>
      <c r="AL97" s="7314" t="n"/>
      <c r="AM97" s="7316" t="n"/>
      <c r="AN97" s="57" t="n"/>
      <c r="AO97" s="7307" t="n"/>
      <c r="AP97" s="1916" t="n"/>
      <c r="AQ97" s="7308" t="n"/>
      <c r="AR97" s="57" t="n"/>
      <c r="AS97" s="7307" t="n"/>
      <c r="AT97" s="2540" t="n"/>
      <c r="AU97" s="7308" t="n"/>
    </row>
    <row outlineLevel="0" r="98">
      <c r="A98" s="7408" t="n"/>
      <c r="B98" s="7319" t="n"/>
      <c r="C98" s="7293" t="n"/>
      <c r="D98" s="7296" t="n"/>
      <c r="E98" s="7296" t="n"/>
      <c r="F98" s="7296" t="n"/>
      <c r="G98" s="7296" t="n"/>
      <c r="H98" s="7296" t="n"/>
      <c r="I98" s="7296" t="n"/>
      <c r="J98" s="7296" t="n"/>
      <c r="K98" s="7296" t="n"/>
      <c r="L98" s="7296" t="n"/>
      <c r="M98" s="7296" t="n"/>
      <c r="N98" s="7296" t="n"/>
      <c r="O98" s="7296" t="n"/>
      <c r="P98" s="7296" t="n"/>
      <c r="Q98" s="7300" t="n"/>
      <c r="R98" s="7296" t="n"/>
      <c r="S98" s="7296" t="n"/>
      <c r="T98" s="7296" t="n"/>
      <c r="U98" s="7296" t="n"/>
      <c r="V98" s="7303" t="n"/>
      <c r="W98" s="7296" t="n"/>
      <c r="X98" s="7296" t="n"/>
      <c r="Y98" s="7296" t="n"/>
      <c r="Z98" s="7296" t="n"/>
      <c r="AA98" s="7296" t="n"/>
      <c r="AB98" s="7296" t="n"/>
      <c r="AC98" s="7296" t="n"/>
      <c r="AD98" s="7296" t="n"/>
      <c r="AE98" s="7296" t="n"/>
      <c r="AF98" s="7296" t="n"/>
      <c r="AG98" s="7413" t="n"/>
      <c r="AH98" s="7314" t="n"/>
      <c r="AI98" s="7315" t="n"/>
      <c r="AJ98" s="7316" t="n"/>
      <c r="AK98" s="57" t="n"/>
      <c r="AL98" s="7314" t="n"/>
      <c r="AM98" s="7316" t="n"/>
      <c r="AN98" s="57" t="n"/>
      <c r="AO98" s="7307" t="n"/>
      <c r="AP98" s="1916" t="n"/>
      <c r="AQ98" s="7308" t="n"/>
      <c r="AR98" s="57" t="n"/>
      <c r="AS98" s="7307" t="n"/>
      <c r="AT98" s="2540" t="n"/>
      <c r="AU98" s="7308" t="n"/>
    </row>
    <row outlineLevel="0" r="99">
      <c r="A99" s="7408" t="n"/>
      <c r="B99" s="7319" t="n"/>
      <c r="C99" s="7293" t="n"/>
      <c r="D99" s="7296" t="n"/>
      <c r="E99" s="7296" t="n"/>
      <c r="F99" s="7296" t="n"/>
      <c r="G99" s="7296" t="n"/>
      <c r="H99" s="7296" t="n"/>
      <c r="I99" s="7296" t="n"/>
      <c r="J99" s="7296" t="n"/>
      <c r="K99" s="7296" t="n"/>
      <c r="L99" s="7296" t="n"/>
      <c r="M99" s="7296" t="n"/>
      <c r="N99" s="7296" t="n"/>
      <c r="O99" s="7296" t="n"/>
      <c r="P99" s="7296" t="n"/>
      <c r="Q99" s="7300" t="n"/>
      <c r="R99" s="7296" t="n"/>
      <c r="S99" s="7296" t="n"/>
      <c r="T99" s="7296" t="n"/>
      <c r="U99" s="7296" t="n"/>
      <c r="V99" s="7303" t="n"/>
      <c r="W99" s="7296" t="n"/>
      <c r="X99" s="7296" t="n"/>
      <c r="Y99" s="7296" t="n"/>
      <c r="Z99" s="7296" t="n"/>
      <c r="AA99" s="7296" t="n"/>
      <c r="AB99" s="7296" t="n"/>
      <c r="AC99" s="7296" t="n"/>
      <c r="AD99" s="7296" t="n"/>
      <c r="AE99" s="7296" t="n"/>
      <c r="AF99" s="7296" t="n"/>
      <c r="AG99" s="7413" t="n"/>
      <c r="AH99" s="7314" t="n"/>
      <c r="AI99" s="7315" t="n"/>
      <c r="AJ99" s="7316" t="n"/>
      <c r="AK99" s="57" t="n"/>
      <c r="AL99" s="7314" t="n"/>
      <c r="AM99" s="7316" t="n"/>
      <c r="AN99" s="57" t="n"/>
      <c r="AO99" s="7307" t="n"/>
      <c r="AP99" s="1916" t="n"/>
      <c r="AQ99" s="7308" t="n"/>
      <c r="AR99" s="57" t="n"/>
      <c r="AS99" s="7307" t="n"/>
      <c r="AT99" s="2540" t="n"/>
      <c r="AU99" s="7308" t="n"/>
    </row>
    <row outlineLevel="0" r="100">
      <c r="A100" s="7408" t="n"/>
      <c r="B100" s="7319" t="n"/>
      <c r="C100" s="7293" t="n"/>
      <c r="D100" s="7296" t="n"/>
      <c r="E100" s="7296" t="n"/>
      <c r="F100" s="7296" t="n"/>
      <c r="G100" s="7296" t="n"/>
      <c r="H100" s="7296" t="n"/>
      <c r="I100" s="7296" t="n"/>
      <c r="J100" s="7296" t="n"/>
      <c r="K100" s="7296" t="n"/>
      <c r="L100" s="7296" t="n"/>
      <c r="M100" s="7296" t="n"/>
      <c r="N100" s="7296" t="n"/>
      <c r="O100" s="7296" t="n"/>
      <c r="P100" s="7296" t="n"/>
      <c r="Q100" s="7300" t="n"/>
      <c r="R100" s="7296" t="n"/>
      <c r="S100" s="7296" t="n"/>
      <c r="T100" s="7296" t="n"/>
      <c r="U100" s="7296" t="n"/>
      <c r="V100" s="7303" t="n"/>
      <c r="W100" s="7296" t="n"/>
      <c r="X100" s="7296" t="n"/>
      <c r="Y100" s="7296" t="n"/>
      <c r="Z100" s="7296" t="n"/>
      <c r="AA100" s="7296" t="n"/>
      <c r="AB100" s="7296" t="n"/>
      <c r="AC100" s="7296" t="n"/>
      <c r="AD100" s="7296" t="n"/>
      <c r="AE100" s="7296" t="n"/>
      <c r="AF100" s="7296" t="n"/>
      <c r="AG100" s="7413" t="n"/>
      <c r="AH100" s="7314" t="n"/>
      <c r="AI100" s="7315" t="n"/>
      <c r="AJ100" s="7316" t="n"/>
      <c r="AK100" s="57" t="n"/>
      <c r="AL100" s="7314" t="n"/>
      <c r="AM100" s="7316" t="n"/>
      <c r="AN100" s="57" t="n"/>
      <c r="AO100" s="7307" t="n"/>
      <c r="AP100" s="1916" t="n"/>
      <c r="AQ100" s="7308" t="n"/>
      <c r="AR100" s="57" t="n"/>
      <c r="AS100" s="7307" t="n"/>
      <c r="AT100" s="2540" t="n"/>
      <c r="AU100" s="7308" t="n"/>
    </row>
    <row outlineLevel="0" r="101">
      <c r="A101" s="7408" t="n"/>
      <c r="B101" s="7319" t="n"/>
      <c r="C101" s="7293" t="n"/>
      <c r="D101" s="7296" t="n"/>
      <c r="E101" s="7296" t="n"/>
      <c r="F101" s="7296" t="n"/>
      <c r="G101" s="7296" t="n"/>
      <c r="H101" s="7296" t="n"/>
      <c r="I101" s="7296" t="n"/>
      <c r="J101" s="7296" t="n"/>
      <c r="K101" s="7296" t="n"/>
      <c r="L101" s="7296" t="n"/>
      <c r="M101" s="7296" t="n"/>
      <c r="N101" s="7296" t="n"/>
      <c r="O101" s="7296" t="n"/>
      <c r="P101" s="7296" t="n"/>
      <c r="Q101" s="7300" t="n"/>
      <c r="R101" s="7296" t="n"/>
      <c r="S101" s="7296" t="n"/>
      <c r="T101" s="7296" t="n"/>
      <c r="U101" s="7296" t="n"/>
      <c r="V101" s="7303" t="n"/>
      <c r="W101" s="7296" t="n"/>
      <c r="X101" s="7296" t="n"/>
      <c r="Y101" s="7296" t="n"/>
      <c r="Z101" s="7296" t="n"/>
      <c r="AA101" s="7296" t="n"/>
      <c r="AB101" s="7296" t="n"/>
      <c r="AC101" s="7296" t="n"/>
      <c r="AD101" s="7296" t="n"/>
      <c r="AE101" s="7296" t="n"/>
      <c r="AF101" s="7296" t="n"/>
      <c r="AG101" s="7413" t="n"/>
      <c r="AH101" s="7314" t="n"/>
      <c r="AI101" s="7315" t="n"/>
      <c r="AJ101" s="7316" t="n"/>
      <c r="AK101" s="57" t="n"/>
      <c r="AL101" s="7314" t="n"/>
      <c r="AM101" s="7316" t="n"/>
      <c r="AN101" s="57" t="n"/>
      <c r="AO101" s="7307" t="n"/>
      <c r="AP101" s="1916" t="n"/>
      <c r="AQ101" s="7308" t="n"/>
      <c r="AR101" s="57" t="n"/>
      <c r="AS101" s="7307" t="n"/>
      <c r="AT101" s="2540" t="n"/>
      <c r="AU101" s="7308" t="n"/>
    </row>
    <row outlineLevel="0" r="102">
      <c r="A102" s="7408" t="n"/>
      <c r="B102" s="7319" t="n"/>
      <c r="C102" s="7293" t="n"/>
      <c r="D102" s="7296" t="n"/>
      <c r="E102" s="7296" t="n"/>
      <c r="F102" s="7296" t="n"/>
      <c r="G102" s="7296" t="n"/>
      <c r="H102" s="7296" t="n"/>
      <c r="I102" s="7296" t="n"/>
      <c r="J102" s="7296" t="n"/>
      <c r="K102" s="7296" t="n"/>
      <c r="L102" s="7296" t="n"/>
      <c r="M102" s="7296" t="n"/>
      <c r="N102" s="7296" t="n"/>
      <c r="O102" s="7296" t="n"/>
      <c r="P102" s="7296" t="n"/>
      <c r="Q102" s="7300" t="n"/>
      <c r="R102" s="7296" t="n"/>
      <c r="S102" s="7296" t="n"/>
      <c r="T102" s="7296" t="n"/>
      <c r="U102" s="7296" t="n"/>
      <c r="V102" s="7303" t="n"/>
      <c r="W102" s="7296" t="n"/>
      <c r="X102" s="7296" t="n"/>
      <c r="Y102" s="7296" t="n"/>
      <c r="Z102" s="7296" t="n"/>
      <c r="AA102" s="7296" t="n"/>
      <c r="AB102" s="7296" t="n"/>
      <c r="AC102" s="7296" t="n"/>
      <c r="AD102" s="7296" t="n"/>
      <c r="AE102" s="7296" t="n"/>
      <c r="AF102" s="7296" t="n"/>
      <c r="AG102" s="7413" t="n"/>
      <c r="AH102" s="7314" t="n"/>
      <c r="AI102" s="7315" t="n"/>
      <c r="AJ102" s="7316" t="n"/>
      <c r="AK102" s="57" t="n"/>
      <c r="AL102" s="7314" t="n"/>
      <c r="AM102" s="7316" t="n"/>
      <c r="AN102" s="57" t="n"/>
      <c r="AO102" s="7307" t="n"/>
      <c r="AP102" s="1916" t="n"/>
      <c r="AQ102" s="7308" t="n"/>
      <c r="AR102" s="57" t="n"/>
      <c r="AS102" s="7307" t="n"/>
      <c r="AT102" s="2540" t="n"/>
      <c r="AU102" s="7308" t="n"/>
    </row>
    <row outlineLevel="0" r="103">
      <c r="A103" s="7408" t="n"/>
      <c r="B103" s="7319" t="n"/>
      <c r="C103" s="7293" t="n"/>
      <c r="D103" s="7296" t="n"/>
      <c r="E103" s="7296" t="n"/>
      <c r="F103" s="7296" t="n"/>
      <c r="G103" s="7296" t="n"/>
      <c r="H103" s="7296" t="n"/>
      <c r="I103" s="7296" t="n"/>
      <c r="J103" s="7296" t="n"/>
      <c r="K103" s="7296" t="n"/>
      <c r="L103" s="7296" t="n"/>
      <c r="M103" s="7296" t="n"/>
      <c r="N103" s="7296" t="n"/>
      <c r="O103" s="7296" t="n"/>
      <c r="P103" s="7296" t="n"/>
      <c r="Q103" s="7300" t="n"/>
      <c r="R103" s="7296" t="n"/>
      <c r="S103" s="7296" t="n"/>
      <c r="T103" s="7296" t="n"/>
      <c r="U103" s="7296" t="n"/>
      <c r="V103" s="7303" t="n"/>
      <c r="W103" s="7296" t="n"/>
      <c r="X103" s="7296" t="n"/>
      <c r="Y103" s="7296" t="n"/>
      <c r="Z103" s="7296" t="n"/>
      <c r="AA103" s="7296" t="n"/>
      <c r="AB103" s="7296" t="n"/>
      <c r="AC103" s="7296" t="n"/>
      <c r="AD103" s="7296" t="n"/>
      <c r="AE103" s="7296" t="n"/>
      <c r="AF103" s="7296" t="n"/>
      <c r="AG103" s="7413" t="n"/>
      <c r="AH103" s="7314" t="n"/>
      <c r="AI103" s="7315" t="n"/>
      <c r="AJ103" s="7316" t="n"/>
      <c r="AK103" s="57" t="n"/>
      <c r="AL103" s="7314" t="n"/>
      <c r="AM103" s="7316" t="n"/>
      <c r="AN103" s="57" t="n"/>
      <c r="AO103" s="7307" t="n"/>
      <c r="AP103" s="1916" t="n"/>
      <c r="AQ103" s="7308" t="n"/>
      <c r="AR103" s="57" t="n"/>
      <c r="AS103" s="7307" t="n"/>
      <c r="AT103" s="2540" t="n"/>
      <c r="AU103" s="7308" t="n"/>
    </row>
    <row outlineLevel="0" r="104">
      <c r="A104" s="7408" t="n"/>
      <c r="B104" s="7319" t="n"/>
      <c r="C104" s="7293" t="n"/>
      <c r="D104" s="7296" t="n"/>
      <c r="E104" s="7296" t="n"/>
      <c r="F104" s="7296" t="n"/>
      <c r="G104" s="7296" t="n"/>
      <c r="H104" s="7296" t="n"/>
      <c r="I104" s="7296" t="n"/>
      <c r="J104" s="7296" t="n"/>
      <c r="K104" s="7296" t="n"/>
      <c r="L104" s="7296" t="n"/>
      <c r="M104" s="7296" t="n"/>
      <c r="N104" s="7296" t="n"/>
      <c r="O104" s="7296" t="n"/>
      <c r="P104" s="7296" t="n"/>
      <c r="Q104" s="7300" t="n"/>
      <c r="R104" s="7296" t="n"/>
      <c r="S104" s="7296" t="n"/>
      <c r="T104" s="7296" t="n"/>
      <c r="U104" s="7296" t="n"/>
      <c r="V104" s="7303" t="n"/>
      <c r="W104" s="7296" t="n"/>
      <c r="X104" s="7296" t="n"/>
      <c r="Y104" s="7296" t="n"/>
      <c r="Z104" s="7296" t="n"/>
      <c r="AA104" s="7296" t="n"/>
      <c r="AB104" s="7296" t="n"/>
      <c r="AC104" s="7296" t="n"/>
      <c r="AD104" s="7296" t="n"/>
      <c r="AE104" s="7296" t="n"/>
      <c r="AF104" s="7296" t="n"/>
      <c r="AG104" s="7413" t="n"/>
      <c r="AH104" s="7314" t="n"/>
      <c r="AI104" s="7315" t="n"/>
      <c r="AJ104" s="7316" t="n"/>
      <c r="AK104" s="57" t="n"/>
      <c r="AL104" s="7314" t="n"/>
      <c r="AM104" s="7316" t="n"/>
      <c r="AN104" s="57" t="n"/>
      <c r="AO104" s="7307" t="n"/>
      <c r="AP104" s="1916" t="n"/>
      <c r="AQ104" s="7308" t="n"/>
      <c r="AR104" s="57" t="n"/>
      <c r="AS104" s="7307" t="n"/>
      <c r="AT104" s="2540" t="n"/>
      <c r="AU104" s="7308" t="n"/>
    </row>
    <row outlineLevel="0" r="105">
      <c r="A105" s="7408" t="n"/>
      <c r="B105" s="7319" t="n"/>
      <c r="C105" s="7293" t="n"/>
      <c r="D105" s="7296" t="n"/>
      <c r="E105" s="7296" t="n"/>
      <c r="F105" s="7296" t="n"/>
      <c r="G105" s="7296" t="n"/>
      <c r="H105" s="7296" t="n"/>
      <c r="I105" s="7296" t="n"/>
      <c r="J105" s="7296" t="n"/>
      <c r="K105" s="7296" t="n"/>
      <c r="L105" s="7296" t="n"/>
      <c r="M105" s="7296" t="n"/>
      <c r="N105" s="7296" t="n"/>
      <c r="O105" s="7296" t="n"/>
      <c r="P105" s="7296" t="n"/>
      <c r="Q105" s="7300" t="n"/>
      <c r="R105" s="7296" t="n"/>
      <c r="S105" s="7296" t="n"/>
      <c r="T105" s="7296" t="n"/>
      <c r="U105" s="7296" t="n"/>
      <c r="V105" s="7303" t="n"/>
      <c r="W105" s="7296" t="n"/>
      <c r="X105" s="7296" t="n"/>
      <c r="Y105" s="7296" t="n"/>
      <c r="Z105" s="7296" t="n"/>
      <c r="AA105" s="7296" t="n"/>
      <c r="AB105" s="7296" t="n"/>
      <c r="AC105" s="7296" t="n"/>
      <c r="AD105" s="7296" t="n"/>
      <c r="AE105" s="7296" t="n"/>
      <c r="AF105" s="7296" t="n"/>
      <c r="AG105" s="7413" t="n"/>
      <c r="AH105" s="7314" t="n"/>
      <c r="AI105" s="7315" t="n"/>
      <c r="AJ105" s="7316" t="n"/>
      <c r="AK105" s="57" t="n"/>
      <c r="AL105" s="7314" t="n"/>
      <c r="AM105" s="7316" t="n"/>
      <c r="AN105" s="57" t="n"/>
      <c r="AO105" s="7307" t="n"/>
      <c r="AP105" s="1916" t="n"/>
      <c r="AQ105" s="7308" t="n"/>
      <c r="AR105" s="57" t="n"/>
      <c r="AS105" s="7307" t="n"/>
      <c r="AT105" s="2540" t="n"/>
      <c r="AU105" s="7308" t="n"/>
    </row>
    <row outlineLevel="0" r="106">
      <c r="A106" s="7408" t="n"/>
      <c r="B106" s="7319" t="n"/>
      <c r="C106" s="7293" t="n"/>
      <c r="D106" s="7296" t="n"/>
      <c r="E106" s="7296" t="n"/>
      <c r="F106" s="7296" t="n"/>
      <c r="G106" s="7296" t="n"/>
      <c r="H106" s="7296" t="n"/>
      <c r="I106" s="7296" t="n"/>
      <c r="J106" s="7296" t="n"/>
      <c r="K106" s="7296" t="n"/>
      <c r="L106" s="7296" t="n"/>
      <c r="M106" s="7296" t="n"/>
      <c r="N106" s="7296" t="n"/>
      <c r="O106" s="7296" t="n"/>
      <c r="P106" s="7296" t="n"/>
      <c r="Q106" s="7300" t="n"/>
      <c r="R106" s="7296" t="n"/>
      <c r="S106" s="7296" t="n"/>
      <c r="T106" s="7296" t="n"/>
      <c r="U106" s="7296" t="n"/>
      <c r="V106" s="7303" t="n"/>
      <c r="W106" s="7296" t="n"/>
      <c r="X106" s="7296" t="n"/>
      <c r="Y106" s="7296" t="n"/>
      <c r="Z106" s="7296" t="n"/>
      <c r="AA106" s="7296" t="n"/>
      <c r="AB106" s="7296" t="n"/>
      <c r="AC106" s="7296" t="n"/>
      <c r="AD106" s="7296" t="n"/>
      <c r="AE106" s="7296" t="n"/>
      <c r="AF106" s="7296" t="n"/>
      <c r="AG106" s="7413" t="n"/>
      <c r="AH106" s="7314" t="n"/>
      <c r="AI106" s="7315" t="n"/>
      <c r="AJ106" s="7316" t="n"/>
      <c r="AK106" s="57" t="n"/>
      <c r="AL106" s="7314" t="n"/>
      <c r="AM106" s="7316" t="n"/>
      <c r="AN106" s="57" t="n"/>
      <c r="AO106" s="7307" t="n"/>
      <c r="AP106" s="1916" t="n"/>
      <c r="AQ106" s="7308" t="n"/>
      <c r="AR106" s="57" t="n"/>
      <c r="AS106" s="7307" t="n"/>
      <c r="AT106" s="2540" t="n"/>
      <c r="AU106" s="7308" t="n"/>
    </row>
    <row outlineLevel="0" r="107">
      <c r="A107" s="7408" t="n"/>
      <c r="B107" s="7319" t="n"/>
      <c r="C107" s="7293" t="n"/>
      <c r="D107" s="7296" t="n"/>
      <c r="E107" s="7296" t="n"/>
      <c r="F107" s="7296" t="n"/>
      <c r="G107" s="7296" t="n"/>
      <c r="H107" s="7296" t="n"/>
      <c r="I107" s="7296" t="n"/>
      <c r="J107" s="7296" t="n"/>
      <c r="K107" s="7296" t="n"/>
      <c r="L107" s="7296" t="n"/>
      <c r="M107" s="7296" t="n"/>
      <c r="N107" s="7296" t="n"/>
      <c r="O107" s="7296" t="n"/>
      <c r="P107" s="7296" t="n"/>
      <c r="Q107" s="7300" t="n"/>
      <c r="R107" s="7296" t="n"/>
      <c r="S107" s="7296" t="n"/>
      <c r="T107" s="7296" t="n"/>
      <c r="U107" s="7296" t="n"/>
      <c r="V107" s="7303" t="n"/>
      <c r="W107" s="7296" t="n"/>
      <c r="X107" s="7296" t="n"/>
      <c r="Y107" s="7296" t="n"/>
      <c r="Z107" s="7296" t="n"/>
      <c r="AA107" s="7296" t="n"/>
      <c r="AB107" s="7296" t="n"/>
      <c r="AC107" s="7296" t="n"/>
      <c r="AD107" s="7296" t="n"/>
      <c r="AE107" s="7296" t="n"/>
      <c r="AF107" s="7296" t="n"/>
      <c r="AG107" s="7413" t="n"/>
      <c r="AH107" s="7314" t="n"/>
      <c r="AI107" s="7315" t="n"/>
      <c r="AJ107" s="7316" t="n"/>
      <c r="AK107" s="57" t="n"/>
      <c r="AL107" s="7314" t="n"/>
      <c r="AM107" s="7316" t="n"/>
      <c r="AN107" s="57" t="n"/>
      <c r="AO107" s="7307" t="n"/>
      <c r="AP107" s="1916" t="n"/>
      <c r="AQ107" s="7308" t="n"/>
      <c r="AR107" s="57" t="n"/>
      <c r="AS107" s="7307" t="n"/>
      <c r="AT107" s="2540" t="n"/>
      <c r="AU107" s="7308" t="n"/>
    </row>
    <row outlineLevel="0" r="108">
      <c r="A108" s="7408" t="n"/>
      <c r="B108" s="7319" t="n"/>
      <c r="C108" s="7293" t="n"/>
      <c r="D108" s="7296" t="n"/>
      <c r="E108" s="7296" t="n"/>
      <c r="F108" s="7296" t="n"/>
      <c r="G108" s="7296" t="n"/>
      <c r="H108" s="7296" t="n"/>
      <c r="I108" s="7296" t="n"/>
      <c r="J108" s="7296" t="n"/>
      <c r="K108" s="7296" t="n"/>
      <c r="L108" s="7296" t="n"/>
      <c r="M108" s="7296" t="n"/>
      <c r="N108" s="7296" t="n"/>
      <c r="O108" s="7296" t="n"/>
      <c r="P108" s="7296" t="n"/>
      <c r="Q108" s="7300" t="n"/>
      <c r="R108" s="7296" t="n"/>
      <c r="S108" s="7296" t="n"/>
      <c r="T108" s="7296" t="n"/>
      <c r="U108" s="7296" t="n"/>
      <c r="V108" s="7303" t="n"/>
      <c r="W108" s="7296" t="n"/>
      <c r="X108" s="7296" t="n"/>
      <c r="Y108" s="7296" t="n"/>
      <c r="Z108" s="7296" t="n"/>
      <c r="AA108" s="7296" t="n"/>
      <c r="AB108" s="7296" t="n"/>
      <c r="AC108" s="7296" t="n"/>
      <c r="AD108" s="7296" t="n"/>
      <c r="AE108" s="7296" t="n"/>
      <c r="AF108" s="7296" t="n"/>
      <c r="AG108" s="7413" t="n"/>
      <c r="AH108" s="7314" t="n"/>
      <c r="AI108" s="7315" t="n"/>
      <c r="AJ108" s="7316" t="n"/>
      <c r="AK108" s="57" t="n"/>
      <c r="AL108" s="7314" t="n"/>
      <c r="AM108" s="7316" t="n"/>
      <c r="AN108" s="57" t="n"/>
      <c r="AO108" s="7307" t="n"/>
      <c r="AP108" s="1916" t="n"/>
      <c r="AQ108" s="7308" t="n"/>
      <c r="AR108" s="57" t="n"/>
      <c r="AS108" s="7307" t="n"/>
      <c r="AT108" s="2540" t="n"/>
      <c r="AU108" s="7308" t="n"/>
    </row>
    <row outlineLevel="0" r="109">
      <c r="A109" s="7408" t="n"/>
      <c r="B109" s="7319" t="n"/>
      <c r="C109" s="7293" t="n"/>
      <c r="D109" s="7296" t="n"/>
      <c r="E109" s="7296" t="n"/>
      <c r="F109" s="7296" t="n"/>
      <c r="G109" s="7296" t="n"/>
      <c r="H109" s="7296" t="n"/>
      <c r="I109" s="7296" t="n"/>
      <c r="J109" s="7296" t="n"/>
      <c r="K109" s="7296" t="n"/>
      <c r="L109" s="7296" t="n"/>
      <c r="M109" s="7296" t="n"/>
      <c r="N109" s="7296" t="n"/>
      <c r="O109" s="7296" t="n"/>
      <c r="P109" s="7296" t="n"/>
      <c r="Q109" s="7300" t="n"/>
      <c r="R109" s="7296" t="n"/>
      <c r="S109" s="7296" t="n"/>
      <c r="T109" s="7296" t="n"/>
      <c r="U109" s="7296" t="n"/>
      <c r="V109" s="7303" t="n"/>
      <c r="W109" s="7296" t="n"/>
      <c r="X109" s="7296" t="n"/>
      <c r="Y109" s="7296" t="n"/>
      <c r="Z109" s="7296" t="n"/>
      <c r="AA109" s="7296" t="n"/>
      <c r="AB109" s="7296" t="n"/>
      <c r="AC109" s="7296" t="n"/>
      <c r="AD109" s="7296" t="n"/>
      <c r="AE109" s="7296" t="n"/>
      <c r="AF109" s="7296" t="n"/>
      <c r="AG109" s="7413" t="n"/>
      <c r="AH109" s="7314" t="n"/>
      <c r="AI109" s="7315" t="n"/>
      <c r="AJ109" s="7316" t="n"/>
      <c r="AK109" s="57" t="n"/>
      <c r="AL109" s="7314" t="n"/>
      <c r="AM109" s="7316" t="n"/>
      <c r="AN109" s="57" t="n"/>
      <c r="AO109" s="7307" t="n"/>
      <c r="AP109" s="1916" t="n"/>
      <c r="AQ109" s="7308" t="n"/>
      <c r="AR109" s="57" t="n"/>
      <c r="AS109" s="7307" t="n"/>
      <c r="AT109" s="2540" t="n"/>
      <c r="AU109" s="7308" t="n"/>
    </row>
    <row outlineLevel="0" r="110">
      <c r="A110" s="7408" t="n"/>
      <c r="B110" s="7319" t="n"/>
      <c r="C110" s="7293" t="n"/>
      <c r="D110" s="7296" t="n"/>
      <c r="E110" s="7296" t="n"/>
      <c r="F110" s="7296" t="n"/>
      <c r="G110" s="7296" t="n"/>
      <c r="H110" s="7296" t="n"/>
      <c r="I110" s="7296" t="n"/>
      <c r="J110" s="7296" t="n"/>
      <c r="K110" s="7296" t="n"/>
      <c r="L110" s="7296" t="n"/>
      <c r="M110" s="7296" t="n"/>
      <c r="N110" s="7296" t="n"/>
      <c r="O110" s="7296" t="n"/>
      <c r="P110" s="7296" t="n"/>
      <c r="Q110" s="7300" t="n"/>
      <c r="R110" s="7296" t="n"/>
      <c r="S110" s="7296" t="n"/>
      <c r="T110" s="7296" t="n"/>
      <c r="U110" s="7296" t="n"/>
      <c r="V110" s="7303" t="n"/>
      <c r="W110" s="7296" t="n"/>
      <c r="X110" s="7296" t="n"/>
      <c r="Y110" s="7296" t="n"/>
      <c r="Z110" s="7296" t="n"/>
      <c r="AA110" s="7296" t="n"/>
      <c r="AB110" s="7296" t="n"/>
      <c r="AC110" s="7296" t="n"/>
      <c r="AD110" s="7296" t="n"/>
      <c r="AE110" s="7296" t="n"/>
      <c r="AF110" s="7296" t="n"/>
      <c r="AG110" s="7413" t="n"/>
      <c r="AH110" s="7314" t="n"/>
      <c r="AI110" s="7315" t="n"/>
      <c r="AJ110" s="7316" t="n"/>
      <c r="AK110" s="57" t="n"/>
      <c r="AL110" s="7314" t="n"/>
      <c r="AM110" s="7316" t="n"/>
      <c r="AN110" s="57" t="n"/>
      <c r="AO110" s="7307" t="n"/>
      <c r="AP110" s="1916" t="n"/>
      <c r="AQ110" s="7308" t="n"/>
      <c r="AR110" s="57" t="n"/>
      <c r="AS110" s="7307" t="n"/>
      <c r="AT110" s="2540" t="n"/>
      <c r="AU110" s="7308" t="n"/>
    </row>
    <row outlineLevel="0" r="111">
      <c r="A111" s="7408" t="n"/>
      <c r="B111" s="7319" t="n"/>
      <c r="C111" s="7293" t="n"/>
      <c r="D111" s="7296" t="n"/>
      <c r="E111" s="7296" t="n"/>
      <c r="F111" s="7296" t="n"/>
      <c r="G111" s="7296" t="n"/>
      <c r="H111" s="7296" t="n"/>
      <c r="I111" s="7296" t="n"/>
      <c r="J111" s="7296" t="n"/>
      <c r="K111" s="7296" t="n"/>
      <c r="L111" s="7296" t="n"/>
      <c r="M111" s="7296" t="n"/>
      <c r="N111" s="7296" t="n"/>
      <c r="O111" s="7296" t="n"/>
      <c r="P111" s="7296" t="n"/>
      <c r="Q111" s="7300" t="n"/>
      <c r="R111" s="7296" t="n"/>
      <c r="S111" s="7296" t="n"/>
      <c r="T111" s="7296" t="n"/>
      <c r="U111" s="7296" t="n"/>
      <c r="V111" s="7303" t="n"/>
      <c r="W111" s="7296" t="n"/>
      <c r="X111" s="7296" t="n"/>
      <c r="Y111" s="7296" t="n"/>
      <c r="Z111" s="7296" t="n"/>
      <c r="AA111" s="7296" t="n"/>
      <c r="AB111" s="7296" t="n"/>
      <c r="AC111" s="7296" t="n"/>
      <c r="AD111" s="7296" t="n"/>
      <c r="AE111" s="7296" t="n"/>
      <c r="AF111" s="7296" t="n"/>
      <c r="AG111" s="7413" t="n"/>
      <c r="AH111" s="7314" t="n"/>
      <c r="AI111" s="7315" t="n"/>
      <c r="AJ111" s="7316" t="n"/>
      <c r="AK111" s="57" t="n"/>
      <c r="AL111" s="7314" t="n"/>
      <c r="AM111" s="7316" t="n"/>
      <c r="AN111" s="57" t="n"/>
      <c r="AO111" s="7307" t="n"/>
      <c r="AP111" s="1916" t="n"/>
      <c r="AQ111" s="7308" t="n"/>
      <c r="AR111" s="57" t="n"/>
      <c r="AS111" s="7307" t="n"/>
      <c r="AT111" s="2540" t="n"/>
      <c r="AU111" s="7308" t="n"/>
    </row>
    <row outlineLevel="0" r="112">
      <c r="A112" s="7408" t="n"/>
      <c r="B112" s="7319" t="n"/>
      <c r="C112" s="7293" t="n"/>
      <c r="D112" s="7296" t="n"/>
      <c r="E112" s="7296" t="n"/>
      <c r="F112" s="7296" t="n"/>
      <c r="G112" s="7296" t="n"/>
      <c r="H112" s="7296" t="n"/>
      <c r="I112" s="7296" t="n"/>
      <c r="J112" s="7296" t="n"/>
      <c r="K112" s="7296" t="n"/>
      <c r="L112" s="7296" t="n"/>
      <c r="M112" s="7296" t="n"/>
      <c r="N112" s="7296" t="n"/>
      <c r="O112" s="7296" t="n"/>
      <c r="P112" s="7296" t="n"/>
      <c r="Q112" s="7300" t="n"/>
      <c r="R112" s="7296" t="n"/>
      <c r="S112" s="7296" t="n"/>
      <c r="T112" s="7296" t="n"/>
      <c r="U112" s="7296" t="n"/>
      <c r="V112" s="7303" t="n"/>
      <c r="W112" s="7296" t="n"/>
      <c r="X112" s="7296" t="n"/>
      <c r="Y112" s="7296" t="n"/>
      <c r="Z112" s="7296" t="n"/>
      <c r="AA112" s="7296" t="n"/>
      <c r="AB112" s="7296" t="n"/>
      <c r="AC112" s="7296" t="n"/>
      <c r="AD112" s="7296" t="n"/>
      <c r="AE112" s="7296" t="n"/>
      <c r="AF112" s="7296" t="n"/>
      <c r="AG112" s="7413" t="n"/>
      <c r="AH112" s="7314" t="n"/>
      <c r="AI112" s="7315" t="n"/>
      <c r="AJ112" s="7316" t="n"/>
      <c r="AK112" s="57" t="n"/>
      <c r="AL112" s="7314" t="n"/>
      <c r="AM112" s="7316" t="n"/>
      <c r="AN112" s="57" t="n"/>
      <c r="AO112" s="7307" t="n"/>
      <c r="AP112" s="1916" t="n"/>
      <c r="AQ112" s="7308" t="n"/>
      <c r="AR112" s="57" t="n"/>
      <c r="AS112" s="7307" t="n"/>
      <c r="AT112" s="2540" t="n"/>
      <c r="AU112" s="7308" t="n"/>
    </row>
    <row outlineLevel="0" r="113">
      <c r="A113" s="7408" t="n"/>
      <c r="B113" s="7319" t="n"/>
      <c r="C113" s="7293" t="n"/>
      <c r="D113" s="7296" t="n"/>
      <c r="E113" s="7296" t="n"/>
      <c r="F113" s="7296" t="n"/>
      <c r="G113" s="7296" t="n"/>
      <c r="H113" s="7296" t="n"/>
      <c r="I113" s="7296" t="n"/>
      <c r="J113" s="7296" t="n"/>
      <c r="K113" s="7296" t="n"/>
      <c r="L113" s="7296" t="n"/>
      <c r="M113" s="7296" t="n"/>
      <c r="N113" s="7296" t="n"/>
      <c r="O113" s="7296" t="n"/>
      <c r="P113" s="7296" t="n"/>
      <c r="Q113" s="7300" t="n"/>
      <c r="R113" s="7296" t="n"/>
      <c r="S113" s="7296" t="n"/>
      <c r="T113" s="7296" t="n"/>
      <c r="U113" s="7296" t="n"/>
      <c r="V113" s="7303" t="n"/>
      <c r="W113" s="7296" t="n"/>
      <c r="X113" s="7296" t="n"/>
      <c r="Y113" s="7296" t="n"/>
      <c r="Z113" s="7296" t="n"/>
      <c r="AA113" s="7296" t="n"/>
      <c r="AB113" s="7296" t="n"/>
      <c r="AC113" s="7296" t="n"/>
      <c r="AD113" s="7296" t="n"/>
      <c r="AE113" s="7296" t="n"/>
      <c r="AF113" s="7296" t="n"/>
      <c r="AG113" s="7413" t="n"/>
      <c r="AH113" s="7314" t="n"/>
      <c r="AI113" s="7315" t="n"/>
      <c r="AJ113" s="7316" t="n"/>
      <c r="AK113" s="57" t="n"/>
      <c r="AL113" s="7314" t="n"/>
      <c r="AM113" s="7316" t="n"/>
      <c r="AN113" s="57" t="n"/>
      <c r="AO113" s="7307" t="n"/>
      <c r="AP113" s="1916" t="n"/>
      <c r="AQ113" s="7308" t="n"/>
      <c r="AR113" s="57" t="n"/>
      <c r="AS113" s="7307" t="n"/>
      <c r="AT113" s="2540" t="n"/>
      <c r="AU113" s="7308" t="n"/>
    </row>
    <row outlineLevel="0" r="114">
      <c r="A114" s="7408" t="n"/>
      <c r="B114" s="7319" t="n"/>
      <c r="C114" s="7293" t="n"/>
      <c r="D114" s="7296" t="n"/>
      <c r="E114" s="7296" t="n"/>
      <c r="F114" s="7296" t="n"/>
      <c r="G114" s="7296" t="n"/>
      <c r="H114" s="7296" t="n"/>
      <c r="I114" s="7296" t="n"/>
      <c r="J114" s="7296" t="n"/>
      <c r="K114" s="7296" t="n"/>
      <c r="L114" s="7296" t="n"/>
      <c r="M114" s="7296" t="n"/>
      <c r="N114" s="7296" t="n"/>
      <c r="O114" s="7296" t="n"/>
      <c r="P114" s="7296" t="n"/>
      <c r="Q114" s="7300" t="n"/>
      <c r="R114" s="7296" t="n"/>
      <c r="S114" s="7296" t="n"/>
      <c r="T114" s="7296" t="n"/>
      <c r="U114" s="7296" t="n"/>
      <c r="V114" s="7303" t="n"/>
      <c r="W114" s="7296" t="n"/>
      <c r="X114" s="7296" t="n"/>
      <c r="Y114" s="7296" t="n"/>
      <c r="Z114" s="7296" t="n"/>
      <c r="AA114" s="7296" t="n"/>
      <c r="AB114" s="7296" t="n"/>
      <c r="AC114" s="7296" t="n"/>
      <c r="AD114" s="7296" t="n"/>
      <c r="AE114" s="7296" t="n"/>
      <c r="AF114" s="7296" t="n"/>
      <c r="AG114" s="7413" t="n"/>
      <c r="AH114" s="7314" t="n"/>
      <c r="AI114" s="7315" t="n"/>
      <c r="AJ114" s="7316" t="n"/>
      <c r="AK114" s="57" t="n"/>
      <c r="AL114" s="7314" t="n"/>
      <c r="AM114" s="7316" t="n"/>
      <c r="AN114" s="57" t="n"/>
      <c r="AO114" s="7307" t="n"/>
      <c r="AP114" s="1916" t="n"/>
      <c r="AQ114" s="7308" t="n"/>
      <c r="AR114" s="57" t="n"/>
      <c r="AS114" s="7307" t="n"/>
      <c r="AT114" s="2540" t="n"/>
      <c r="AU114" s="7308" t="n"/>
    </row>
    <row outlineLevel="0" r="115">
      <c r="A115" s="7408" t="n"/>
      <c r="B115" s="7319" t="n"/>
      <c r="C115" s="7293" t="n"/>
      <c r="D115" s="7296" t="n"/>
      <c r="E115" s="7296" t="n"/>
      <c r="F115" s="7296" t="n"/>
      <c r="G115" s="7296" t="n"/>
      <c r="H115" s="7296" t="n"/>
      <c r="I115" s="7296" t="n"/>
      <c r="J115" s="7296" t="n"/>
      <c r="K115" s="7296" t="n"/>
      <c r="L115" s="7296" t="n"/>
      <c r="M115" s="7296" t="n"/>
      <c r="N115" s="7296" t="n"/>
      <c r="O115" s="7296" t="n"/>
      <c r="P115" s="7296" t="n"/>
      <c r="Q115" s="7300" t="n"/>
      <c r="R115" s="7296" t="n"/>
      <c r="S115" s="7296" t="n"/>
      <c r="T115" s="7296" t="n"/>
      <c r="U115" s="7296" t="n"/>
      <c r="V115" s="7303" t="n"/>
      <c r="W115" s="7296" t="n"/>
      <c r="X115" s="7296" t="n"/>
      <c r="Y115" s="7296" t="n"/>
      <c r="Z115" s="7296" t="n"/>
      <c r="AA115" s="7296" t="n"/>
      <c r="AB115" s="7296" t="n"/>
      <c r="AC115" s="7296" t="n"/>
      <c r="AD115" s="7296" t="n"/>
      <c r="AE115" s="7296" t="n"/>
      <c r="AF115" s="7296" t="n"/>
      <c r="AG115" s="7413" t="n"/>
      <c r="AH115" s="7314" t="n"/>
      <c r="AI115" s="7315" t="n"/>
      <c r="AJ115" s="7316" t="n"/>
      <c r="AK115" s="57" t="n"/>
      <c r="AL115" s="7314" t="n"/>
      <c r="AM115" s="7316" t="n"/>
      <c r="AN115" s="57" t="n"/>
      <c r="AO115" s="7307" t="n"/>
      <c r="AP115" s="1916" t="n"/>
      <c r="AQ115" s="7308" t="n"/>
      <c r="AR115" s="57" t="n"/>
      <c r="AS115" s="7307" t="n"/>
      <c r="AT115" s="2540" t="n"/>
      <c r="AU115" s="7308" t="n"/>
    </row>
    <row outlineLevel="0" r="116">
      <c r="A116" s="7408" t="n"/>
      <c r="B116" s="7319" t="n"/>
      <c r="C116" s="7293" t="n"/>
      <c r="D116" s="7296" t="n"/>
      <c r="E116" s="7296" t="n"/>
      <c r="F116" s="7296" t="n"/>
      <c r="G116" s="7296" t="n"/>
      <c r="H116" s="7296" t="n"/>
      <c r="I116" s="7296" t="n"/>
      <c r="J116" s="7296" t="n"/>
      <c r="K116" s="7296" t="n"/>
      <c r="L116" s="7296" t="n"/>
      <c r="M116" s="7296" t="n"/>
      <c r="N116" s="7296" t="n"/>
      <c r="O116" s="7296" t="n"/>
      <c r="P116" s="7296" t="n"/>
      <c r="Q116" s="7300" t="n"/>
      <c r="R116" s="7296" t="n"/>
      <c r="S116" s="7296" t="n"/>
      <c r="T116" s="7296" t="n"/>
      <c r="U116" s="7296" t="n"/>
      <c r="V116" s="7303" t="n"/>
      <c r="W116" s="7296" t="n"/>
      <c r="X116" s="7296" t="n"/>
      <c r="Y116" s="7296" t="n"/>
      <c r="Z116" s="7296" t="n"/>
      <c r="AA116" s="7296" t="n"/>
      <c r="AB116" s="7296" t="n"/>
      <c r="AC116" s="7296" t="n"/>
      <c r="AD116" s="7296" t="n"/>
      <c r="AE116" s="7296" t="n"/>
      <c r="AF116" s="7296" t="n"/>
      <c r="AG116" s="7413" t="n"/>
      <c r="AH116" s="7314" t="n"/>
      <c r="AI116" s="7315" t="n"/>
      <c r="AJ116" s="7316" t="n"/>
      <c r="AK116" s="57" t="n"/>
      <c r="AL116" s="7314" t="n"/>
      <c r="AM116" s="7316" t="n"/>
      <c r="AN116" s="57" t="n"/>
      <c r="AO116" s="7307" t="n"/>
      <c r="AP116" s="1916" t="n"/>
      <c r="AQ116" s="7308" t="n"/>
      <c r="AR116" s="57" t="n"/>
      <c r="AS116" s="7307" t="n"/>
      <c r="AT116" s="2540" t="n"/>
      <c r="AU116" s="7308" t="n"/>
    </row>
    <row outlineLevel="0" r="117">
      <c r="A117" s="7408" t="n"/>
      <c r="B117" s="7319" t="n"/>
      <c r="C117" s="7293" t="n"/>
      <c r="D117" s="7296" t="n"/>
      <c r="E117" s="7296" t="n"/>
      <c r="F117" s="7296" t="n"/>
      <c r="G117" s="7296" t="n"/>
      <c r="H117" s="7296" t="n"/>
      <c r="I117" s="7296" t="n"/>
      <c r="J117" s="7296" t="n"/>
      <c r="K117" s="7296" t="n"/>
      <c r="L117" s="7296" t="n"/>
      <c r="M117" s="7296" t="n"/>
      <c r="N117" s="7296" t="n"/>
      <c r="O117" s="7296" t="n"/>
      <c r="P117" s="7296" t="n"/>
      <c r="Q117" s="7300" t="n"/>
      <c r="R117" s="7296" t="n"/>
      <c r="S117" s="7296" t="n"/>
      <c r="T117" s="7296" t="n"/>
      <c r="U117" s="7296" t="n"/>
      <c r="V117" s="7303" t="n"/>
      <c r="W117" s="7296" t="n"/>
      <c r="X117" s="7296" t="n"/>
      <c r="Y117" s="7296" t="n"/>
      <c r="Z117" s="7296" t="n"/>
      <c r="AA117" s="7296" t="n"/>
      <c r="AB117" s="7296" t="n"/>
      <c r="AC117" s="7296" t="n"/>
      <c r="AD117" s="7296" t="n"/>
      <c r="AE117" s="7296" t="n"/>
      <c r="AF117" s="7296" t="n"/>
      <c r="AG117" s="7413" t="n"/>
      <c r="AH117" s="7314" t="n"/>
      <c r="AI117" s="7315" t="n"/>
      <c r="AJ117" s="7316" t="n"/>
      <c r="AK117" s="57" t="n"/>
      <c r="AL117" s="7314" t="n"/>
      <c r="AM117" s="7316" t="n"/>
      <c r="AN117" s="57" t="n"/>
      <c r="AO117" s="7307" t="n"/>
      <c r="AP117" s="1916" t="n"/>
      <c r="AQ117" s="7308" t="n"/>
      <c r="AR117" s="57" t="n"/>
      <c r="AS117" s="7307" t="n"/>
      <c r="AT117" s="2540" t="n"/>
      <c r="AU117" s="7308" t="n"/>
    </row>
    <row outlineLevel="0" r="118">
      <c r="A118" s="7408" t="n"/>
      <c r="B118" s="7319" t="n"/>
      <c r="C118" s="7293" t="n"/>
      <c r="D118" s="7296" t="n"/>
      <c r="E118" s="7296" t="n"/>
      <c r="F118" s="7296" t="n"/>
      <c r="G118" s="7296" t="n"/>
      <c r="H118" s="7296" t="n"/>
      <c r="I118" s="7296" t="n"/>
      <c r="J118" s="7296" t="n"/>
      <c r="K118" s="7296" t="n"/>
      <c r="L118" s="7296" t="n"/>
      <c r="M118" s="7296" t="n"/>
      <c r="N118" s="7296" t="n"/>
      <c r="O118" s="7296" t="n"/>
      <c r="P118" s="7296" t="n"/>
      <c r="Q118" s="7300" t="n"/>
      <c r="R118" s="7296" t="n"/>
      <c r="S118" s="7296" t="n"/>
      <c r="T118" s="7296" t="n"/>
      <c r="U118" s="7296" t="n"/>
      <c r="V118" s="7303" t="n"/>
      <c r="W118" s="7296" t="n"/>
      <c r="X118" s="7296" t="n"/>
      <c r="Y118" s="7296" t="n"/>
      <c r="Z118" s="7296" t="n"/>
      <c r="AA118" s="7296" t="n"/>
      <c r="AB118" s="7296" t="n"/>
      <c r="AC118" s="7296" t="n"/>
      <c r="AD118" s="7296" t="n"/>
      <c r="AE118" s="7296" t="n"/>
      <c r="AF118" s="7296" t="n"/>
      <c r="AG118" s="7413" t="n"/>
      <c r="AH118" s="7314" t="n"/>
      <c r="AI118" s="7315" t="n"/>
      <c r="AJ118" s="7316" t="n"/>
      <c r="AK118" s="57" t="n"/>
      <c r="AL118" s="7314" t="n"/>
      <c r="AM118" s="7316" t="n"/>
      <c r="AN118" s="57" t="n"/>
      <c r="AO118" s="7307" t="n"/>
      <c r="AP118" s="1916" t="n"/>
      <c r="AQ118" s="7308" t="n"/>
      <c r="AR118" s="57" t="n"/>
      <c r="AS118" s="7307" t="n"/>
      <c r="AT118" s="2540" t="n"/>
      <c r="AU118" s="7308" t="n"/>
    </row>
    <row outlineLevel="0" r="119">
      <c r="A119" s="7408" t="n"/>
      <c r="B119" s="7319" t="n"/>
      <c r="C119" s="7293" t="n"/>
      <c r="D119" s="7296" t="n"/>
      <c r="E119" s="7296" t="n"/>
      <c r="F119" s="7296" t="n"/>
      <c r="G119" s="7296" t="n"/>
      <c r="H119" s="7296" t="n"/>
      <c r="I119" s="7296" t="n"/>
      <c r="J119" s="7296" t="n"/>
      <c r="K119" s="7296" t="n"/>
      <c r="L119" s="7296" t="n"/>
      <c r="M119" s="7296" t="n"/>
      <c r="N119" s="7296" t="n"/>
      <c r="O119" s="7296" t="n"/>
      <c r="P119" s="7296" t="n"/>
      <c r="Q119" s="7300" t="n"/>
      <c r="R119" s="7296" t="n"/>
      <c r="S119" s="7296" t="n"/>
      <c r="T119" s="7296" t="n"/>
      <c r="U119" s="7296" t="n"/>
      <c r="V119" s="7303" t="n"/>
      <c r="W119" s="7296" t="n"/>
      <c r="X119" s="7296" t="n"/>
      <c r="Y119" s="7296" t="n"/>
      <c r="Z119" s="7296" t="n"/>
      <c r="AA119" s="7296" t="n"/>
      <c r="AB119" s="7296" t="n"/>
      <c r="AC119" s="7296" t="n"/>
      <c r="AD119" s="7296" t="n"/>
      <c r="AE119" s="7296" t="n"/>
      <c r="AF119" s="7296" t="n"/>
      <c r="AG119" s="7413" t="n"/>
      <c r="AH119" s="7314" t="n"/>
      <c r="AI119" s="7315" t="n"/>
      <c r="AJ119" s="7316" t="n"/>
      <c r="AK119" s="57" t="n"/>
      <c r="AL119" s="7314" t="n"/>
      <c r="AM119" s="7316" t="n"/>
      <c r="AN119" s="57" t="n"/>
      <c r="AO119" s="7307" t="n"/>
      <c r="AP119" s="1916" t="n"/>
      <c r="AQ119" s="7308" t="n"/>
      <c r="AR119" s="57" t="n"/>
      <c r="AS119" s="7307" t="n"/>
      <c r="AT119" s="2540" t="n"/>
      <c r="AU119" s="7308" t="n"/>
    </row>
    <row outlineLevel="0" r="120">
      <c r="A120" s="7408" t="n"/>
      <c r="B120" s="7319" t="n"/>
      <c r="C120" s="7293" t="n"/>
      <c r="D120" s="7296" t="n"/>
      <c r="E120" s="7296" t="n"/>
      <c r="F120" s="7296" t="n"/>
      <c r="G120" s="7296" t="n"/>
      <c r="H120" s="7296" t="n"/>
      <c r="I120" s="7296" t="n"/>
      <c r="J120" s="7296" t="n"/>
      <c r="K120" s="7296" t="n"/>
      <c r="L120" s="7296" t="n"/>
      <c r="M120" s="7296" t="n"/>
      <c r="N120" s="7296" t="n"/>
      <c r="O120" s="7296" t="n"/>
      <c r="P120" s="7296" t="n"/>
      <c r="Q120" s="7300" t="n"/>
      <c r="R120" s="7296" t="n"/>
      <c r="S120" s="7296" t="n"/>
      <c r="T120" s="7296" t="n"/>
      <c r="U120" s="7296" t="n"/>
      <c r="V120" s="7303" t="n"/>
      <c r="W120" s="7296" t="n"/>
      <c r="X120" s="7296" t="n"/>
      <c r="Y120" s="7296" t="n"/>
      <c r="Z120" s="7296" t="n"/>
      <c r="AA120" s="7296" t="n"/>
      <c r="AB120" s="7296" t="n"/>
      <c r="AC120" s="7296" t="n"/>
      <c r="AD120" s="7296" t="n"/>
      <c r="AE120" s="7296" t="n"/>
      <c r="AF120" s="7296" t="n"/>
      <c r="AG120" s="7413" t="n"/>
      <c r="AH120" s="7314" t="n"/>
      <c r="AI120" s="7315" t="n"/>
      <c r="AJ120" s="7316" t="n"/>
      <c r="AK120" s="57" t="n"/>
      <c r="AL120" s="7314" t="n"/>
      <c r="AM120" s="7316" t="n"/>
      <c r="AN120" s="57" t="n"/>
      <c r="AO120" s="7307" t="n"/>
      <c r="AP120" s="1916" t="n"/>
      <c r="AQ120" s="7308" t="n"/>
      <c r="AR120" s="57" t="n"/>
      <c r="AS120" s="7307" t="n"/>
      <c r="AT120" s="2540" t="n"/>
      <c r="AU120" s="7308" t="n"/>
    </row>
    <row outlineLevel="0" r="121">
      <c r="A121" s="7408" t="n"/>
      <c r="B121" s="7319" t="n"/>
      <c r="C121" s="7293" t="n"/>
      <c r="D121" s="7296" t="n"/>
      <c r="E121" s="7296" t="n"/>
      <c r="F121" s="7296" t="n"/>
      <c r="G121" s="7296" t="n"/>
      <c r="H121" s="7296" t="n"/>
      <c r="I121" s="7296" t="n"/>
      <c r="J121" s="7296" t="n"/>
      <c r="K121" s="7296" t="n"/>
      <c r="L121" s="7296" t="n"/>
      <c r="M121" s="7296" t="n"/>
      <c r="N121" s="7296" t="n"/>
      <c r="O121" s="7296" t="n"/>
      <c r="P121" s="7296" t="n"/>
      <c r="Q121" s="7300" t="n"/>
      <c r="R121" s="7296" t="n"/>
      <c r="S121" s="7296" t="n"/>
      <c r="T121" s="7296" t="n"/>
      <c r="U121" s="7296" t="n"/>
      <c r="V121" s="7303" t="n"/>
      <c r="W121" s="7296" t="n"/>
      <c r="X121" s="7296" t="n"/>
      <c r="Y121" s="7296" t="n"/>
      <c r="Z121" s="7296" t="n"/>
      <c r="AA121" s="7296" t="n"/>
      <c r="AB121" s="7296" t="n"/>
      <c r="AC121" s="7296" t="n"/>
      <c r="AD121" s="7296" t="n"/>
      <c r="AE121" s="7296" t="n"/>
      <c r="AF121" s="7296" t="n"/>
      <c r="AG121" s="7413" t="n"/>
      <c r="AH121" s="7314" t="n"/>
      <c r="AI121" s="7315" t="n"/>
      <c r="AJ121" s="7316" t="n"/>
      <c r="AK121" s="57" t="n"/>
      <c r="AL121" s="7314" t="n"/>
      <c r="AM121" s="7316" t="n"/>
      <c r="AN121" s="57" t="n"/>
      <c r="AO121" s="7307" t="n"/>
      <c r="AP121" s="1916" t="n"/>
      <c r="AQ121" s="7308" t="n"/>
      <c r="AR121" s="57" t="n"/>
      <c r="AS121" s="7307" t="n"/>
      <c r="AT121" s="2540" t="n"/>
      <c r="AU121" s="7308" t="n"/>
    </row>
    <row outlineLevel="0" r="122">
      <c r="A122" s="7408" t="n"/>
      <c r="B122" s="7319" t="n"/>
      <c r="C122" s="7293" t="n"/>
      <c r="D122" s="7296" t="n"/>
      <c r="E122" s="7296" t="n"/>
      <c r="F122" s="7296" t="n"/>
      <c r="G122" s="7296" t="n"/>
      <c r="H122" s="7296" t="n"/>
      <c r="I122" s="7296" t="n"/>
      <c r="J122" s="7296" t="n"/>
      <c r="K122" s="7296" t="n"/>
      <c r="L122" s="7296" t="n"/>
      <c r="M122" s="7296" t="n"/>
      <c r="N122" s="7296" t="n"/>
      <c r="O122" s="7296" t="n"/>
      <c r="P122" s="7296" t="n"/>
      <c r="Q122" s="7300" t="n"/>
      <c r="R122" s="7296" t="n"/>
      <c r="S122" s="7296" t="n"/>
      <c r="T122" s="7296" t="n"/>
      <c r="U122" s="7296" t="n"/>
      <c r="V122" s="7303" t="n"/>
      <c r="W122" s="7296" t="n"/>
      <c r="X122" s="7296" t="n"/>
      <c r="Y122" s="7296" t="n"/>
      <c r="Z122" s="7296" t="n"/>
      <c r="AA122" s="7296" t="n"/>
      <c r="AB122" s="7296" t="n"/>
      <c r="AC122" s="7296" t="n"/>
      <c r="AD122" s="7296" t="n"/>
      <c r="AE122" s="7296" t="n"/>
      <c r="AF122" s="7296" t="n"/>
      <c r="AG122" s="7413" t="n"/>
      <c r="AH122" s="7314" t="n"/>
      <c r="AI122" s="7315" t="n"/>
      <c r="AJ122" s="7316" t="n"/>
      <c r="AK122" s="57" t="n"/>
      <c r="AL122" s="7314" t="n"/>
      <c r="AM122" s="7316" t="n"/>
      <c r="AN122" s="57" t="n"/>
      <c r="AO122" s="7307" t="n"/>
      <c r="AP122" s="1916" t="n"/>
      <c r="AQ122" s="7308" t="n"/>
      <c r="AR122" s="57" t="n"/>
      <c r="AS122" s="7307" t="n"/>
      <c r="AT122" s="2540" t="n"/>
      <c r="AU122" s="7308" t="n"/>
    </row>
    <row outlineLevel="0" r="123">
      <c r="A123" s="7408" t="n"/>
      <c r="B123" s="7319" t="n"/>
      <c r="C123" s="7293" t="n"/>
      <c r="D123" s="7296" t="n"/>
      <c r="E123" s="7296" t="n"/>
      <c r="F123" s="7296" t="n"/>
      <c r="G123" s="7296" t="n"/>
      <c r="H123" s="7296" t="n"/>
      <c r="I123" s="7296" t="n"/>
      <c r="J123" s="7296" t="n"/>
      <c r="K123" s="7296" t="n"/>
      <c r="L123" s="7296" t="n"/>
      <c r="M123" s="7296" t="n"/>
      <c r="N123" s="7296" t="n"/>
      <c r="O123" s="7296" t="n"/>
      <c r="P123" s="7296" t="n"/>
      <c r="Q123" s="7300" t="n"/>
      <c r="R123" s="7296" t="n"/>
      <c r="S123" s="7296" t="n"/>
      <c r="T123" s="7296" t="n"/>
      <c r="U123" s="7296" t="n"/>
      <c r="V123" s="7303" t="n"/>
      <c r="W123" s="7296" t="n"/>
      <c r="X123" s="7296" t="n"/>
      <c r="Y123" s="7296" t="n"/>
      <c r="Z123" s="7296" t="n"/>
      <c r="AA123" s="7296" t="n"/>
      <c r="AB123" s="7296" t="n"/>
      <c r="AC123" s="7296" t="n"/>
      <c r="AD123" s="7296" t="n"/>
      <c r="AE123" s="7296" t="n"/>
      <c r="AF123" s="7296" t="n"/>
      <c r="AG123" s="7413" t="n"/>
      <c r="AH123" s="7314" t="n"/>
      <c r="AI123" s="7315" t="n"/>
      <c r="AJ123" s="7316" t="n"/>
      <c r="AK123" s="57" t="n"/>
      <c r="AL123" s="7314" t="n"/>
      <c r="AM123" s="7316" t="n"/>
      <c r="AN123" s="57" t="n"/>
      <c r="AO123" s="7307" t="n"/>
      <c r="AP123" s="1916" t="n"/>
      <c r="AQ123" s="7308" t="n"/>
      <c r="AR123" s="57" t="n"/>
      <c r="AS123" s="7307" t="n"/>
      <c r="AT123" s="2540" t="n"/>
      <c r="AU123" s="7308" t="n"/>
    </row>
    <row outlineLevel="0" r="124">
      <c r="A124" s="7408" t="n"/>
      <c r="B124" s="7319" t="n"/>
      <c r="C124" s="7293" t="n"/>
      <c r="D124" s="7296" t="n"/>
      <c r="E124" s="7296" t="n"/>
      <c r="F124" s="7296" t="n"/>
      <c r="G124" s="7296" t="n"/>
      <c r="H124" s="7296" t="n"/>
      <c r="I124" s="7296" t="n"/>
      <c r="J124" s="7296" t="n"/>
      <c r="K124" s="7296" t="n"/>
      <c r="L124" s="7296" t="n"/>
      <c r="M124" s="7296" t="n"/>
      <c r="N124" s="7296" t="n"/>
      <c r="O124" s="7296" t="n"/>
      <c r="P124" s="7296" t="n"/>
      <c r="Q124" s="7300" t="n"/>
      <c r="R124" s="7296" t="n"/>
      <c r="S124" s="7296" t="n"/>
      <c r="T124" s="7296" t="n"/>
      <c r="U124" s="7296" t="n"/>
      <c r="V124" s="7303" t="n"/>
      <c r="W124" s="7296" t="n"/>
      <c r="X124" s="7296" t="n"/>
      <c r="Y124" s="7296" t="n"/>
      <c r="Z124" s="7296" t="n"/>
      <c r="AA124" s="7296" t="n"/>
      <c r="AB124" s="7296" t="n"/>
      <c r="AC124" s="7296" t="n"/>
      <c r="AD124" s="7296" t="n"/>
      <c r="AE124" s="7296" t="n"/>
      <c r="AF124" s="7296" t="n"/>
      <c r="AG124" s="7413" t="n"/>
      <c r="AH124" s="7314" t="n"/>
      <c r="AI124" s="7315" t="n"/>
      <c r="AJ124" s="7316" t="n"/>
      <c r="AK124" s="57" t="n"/>
      <c r="AL124" s="7314" t="n"/>
      <c r="AM124" s="7316" t="n"/>
      <c r="AN124" s="57" t="n"/>
      <c r="AO124" s="7307" t="n"/>
      <c r="AP124" s="1916" t="n"/>
      <c r="AQ124" s="7308" t="n"/>
      <c r="AR124" s="57" t="n"/>
      <c r="AS124" s="7307" t="n"/>
      <c r="AT124" s="2540" t="n"/>
      <c r="AU124" s="7308" t="n"/>
    </row>
    <row outlineLevel="0" r="125">
      <c r="A125" s="7408" t="n"/>
      <c r="B125" s="7319" t="n"/>
      <c r="C125" s="7293" t="n"/>
      <c r="D125" s="7296" t="n"/>
      <c r="E125" s="7296" t="n"/>
      <c r="F125" s="7296" t="n"/>
      <c r="G125" s="7296" t="n"/>
      <c r="H125" s="7296" t="n"/>
      <c r="I125" s="7296" t="n"/>
      <c r="J125" s="7296" t="n"/>
      <c r="K125" s="7296" t="n"/>
      <c r="L125" s="7296" t="n"/>
      <c r="M125" s="7296" t="n"/>
      <c r="N125" s="7296" t="n"/>
      <c r="O125" s="7296" t="n"/>
      <c r="P125" s="7296" t="n"/>
      <c r="Q125" s="7300" t="n"/>
      <c r="R125" s="7296" t="n"/>
      <c r="S125" s="7296" t="n"/>
      <c r="T125" s="7296" t="n"/>
      <c r="U125" s="7296" t="n"/>
      <c r="V125" s="7303" t="n"/>
      <c r="W125" s="7296" t="n"/>
      <c r="X125" s="7296" t="n"/>
      <c r="Y125" s="7296" t="n"/>
      <c r="Z125" s="7296" t="n"/>
      <c r="AA125" s="7296" t="n"/>
      <c r="AB125" s="7296" t="n"/>
      <c r="AC125" s="7296" t="n"/>
      <c r="AD125" s="7296" t="n"/>
      <c r="AE125" s="7296" t="n"/>
      <c r="AF125" s="7296" t="n"/>
      <c r="AG125" s="7413" t="n"/>
      <c r="AH125" s="7314" t="n"/>
      <c r="AI125" s="7315" t="n"/>
      <c r="AJ125" s="7316" t="n"/>
      <c r="AK125" s="57" t="n"/>
      <c r="AL125" s="7314" t="n"/>
      <c r="AM125" s="7316" t="n"/>
      <c r="AN125" s="57" t="n"/>
      <c r="AO125" s="7307" t="n"/>
      <c r="AP125" s="1916" t="n"/>
      <c r="AQ125" s="7308" t="n"/>
      <c r="AR125" s="57" t="n"/>
      <c r="AS125" s="7307" t="n"/>
      <c r="AT125" s="2540" t="n"/>
      <c r="AU125" s="7308" t="n"/>
    </row>
    <row outlineLevel="0" r="126">
      <c r="A126" s="7408" t="n"/>
      <c r="B126" s="7319" t="n"/>
      <c r="C126" s="7293" t="n"/>
      <c r="D126" s="7296" t="n"/>
      <c r="E126" s="7296" t="n"/>
      <c r="F126" s="7296" t="n"/>
      <c r="G126" s="7296" t="n"/>
      <c r="H126" s="7296" t="n"/>
      <c r="I126" s="7296" t="n"/>
      <c r="J126" s="7296" t="n"/>
      <c r="K126" s="7296" t="n"/>
      <c r="L126" s="7296" t="n"/>
      <c r="M126" s="7296" t="n"/>
      <c r="N126" s="7296" t="n"/>
      <c r="O126" s="7296" t="n"/>
      <c r="P126" s="7296" t="n"/>
      <c r="Q126" s="7300" t="n"/>
      <c r="R126" s="7296" t="n"/>
      <c r="S126" s="7296" t="n"/>
      <c r="T126" s="7296" t="n"/>
      <c r="U126" s="7296" t="n"/>
      <c r="V126" s="7303" t="n"/>
      <c r="W126" s="7296" t="n"/>
      <c r="X126" s="7296" t="n"/>
      <c r="Y126" s="7296" t="n"/>
      <c r="Z126" s="7296" t="n"/>
      <c r="AA126" s="7296" t="n"/>
      <c r="AB126" s="7296" t="n"/>
      <c r="AC126" s="7296" t="n"/>
      <c r="AD126" s="7296" t="n"/>
      <c r="AE126" s="7296" t="n"/>
      <c r="AF126" s="7296" t="n"/>
      <c r="AG126" s="7413" t="n"/>
      <c r="AH126" s="7314" t="n"/>
      <c r="AI126" s="7315" t="n"/>
      <c r="AJ126" s="7316" t="n"/>
      <c r="AK126" s="57" t="n"/>
      <c r="AL126" s="7314" t="n"/>
      <c r="AM126" s="7316" t="n"/>
      <c r="AN126" s="57" t="n"/>
      <c r="AO126" s="7307" t="n"/>
      <c r="AP126" s="1916" t="n"/>
      <c r="AQ126" s="7308" t="n"/>
      <c r="AR126" s="57" t="n"/>
      <c r="AS126" s="7307" t="n"/>
      <c r="AT126" s="2540" t="n"/>
      <c r="AU126" s="7308" t="n"/>
    </row>
    <row outlineLevel="0" r="127">
      <c r="A127" s="7408" t="n"/>
      <c r="B127" s="7319" t="n"/>
      <c r="C127" s="7293" t="n"/>
      <c r="D127" s="7296" t="n"/>
      <c r="E127" s="7296" t="n"/>
      <c r="F127" s="7296" t="n"/>
      <c r="G127" s="7296" t="n"/>
      <c r="H127" s="7296" t="n"/>
      <c r="I127" s="7296" t="n"/>
      <c r="J127" s="7296" t="n"/>
      <c r="K127" s="7296" t="n"/>
      <c r="L127" s="7296" t="n"/>
      <c r="M127" s="7296" t="n"/>
      <c r="N127" s="7296" t="n"/>
      <c r="O127" s="7296" t="n"/>
      <c r="P127" s="7296" t="n"/>
      <c r="Q127" s="7300" t="n"/>
      <c r="R127" s="7296" t="n"/>
      <c r="S127" s="7296" t="n"/>
      <c r="T127" s="7296" t="n"/>
      <c r="U127" s="7296" t="n"/>
      <c r="V127" s="7303" t="n"/>
      <c r="W127" s="7296" t="n"/>
      <c r="X127" s="7296" t="n"/>
      <c r="Y127" s="7296" t="n"/>
      <c r="Z127" s="7296" t="n"/>
      <c r="AA127" s="7296" t="n"/>
      <c r="AB127" s="7296" t="n"/>
      <c r="AC127" s="7296" t="n"/>
      <c r="AD127" s="7296" t="n"/>
      <c r="AE127" s="7296" t="n"/>
      <c r="AF127" s="7296" t="n"/>
      <c r="AG127" s="7413" t="n"/>
      <c r="AH127" s="7314" t="n"/>
      <c r="AI127" s="7315" t="n"/>
      <c r="AJ127" s="7316" t="n"/>
      <c r="AK127" s="57" t="n"/>
      <c r="AL127" s="7314" t="n"/>
      <c r="AM127" s="7316" t="n"/>
      <c r="AN127" s="57" t="n"/>
      <c r="AO127" s="7307" t="n"/>
      <c r="AP127" s="1916" t="n"/>
      <c r="AQ127" s="7308" t="n"/>
      <c r="AR127" s="57" t="n"/>
      <c r="AS127" s="7307" t="n"/>
      <c r="AT127" s="2540" t="n"/>
      <c r="AU127" s="7308" t="n"/>
    </row>
    <row outlineLevel="0" r="128">
      <c r="A128" s="7408" t="n"/>
      <c r="B128" s="7319" t="n"/>
      <c r="C128" s="7293" t="n"/>
      <c r="D128" s="7296" t="n"/>
      <c r="E128" s="7296" t="n"/>
      <c r="F128" s="7296" t="n"/>
      <c r="G128" s="7296" t="n"/>
      <c r="H128" s="7296" t="n"/>
      <c r="I128" s="7296" t="n"/>
      <c r="J128" s="7296" t="n"/>
      <c r="K128" s="7296" t="n"/>
      <c r="L128" s="7296" t="n"/>
      <c r="M128" s="7296" t="n"/>
      <c r="N128" s="7296" t="n"/>
      <c r="O128" s="7296" t="n"/>
      <c r="P128" s="7296" t="n"/>
      <c r="Q128" s="7300" t="n"/>
      <c r="R128" s="7296" t="n"/>
      <c r="S128" s="7296" t="n"/>
      <c r="T128" s="7296" t="n"/>
      <c r="U128" s="7296" t="n"/>
      <c r="V128" s="7303" t="n"/>
      <c r="W128" s="7296" t="n"/>
      <c r="X128" s="7296" t="n"/>
      <c r="Y128" s="7296" t="n"/>
      <c r="Z128" s="7296" t="n"/>
      <c r="AA128" s="7296" t="n"/>
      <c r="AB128" s="7296" t="n"/>
      <c r="AC128" s="7296" t="n"/>
      <c r="AD128" s="7296" t="n"/>
      <c r="AE128" s="7296" t="n"/>
      <c r="AF128" s="7296" t="n"/>
      <c r="AG128" s="7413" t="n"/>
      <c r="AH128" s="7314" t="n"/>
      <c r="AI128" s="7315" t="n"/>
      <c r="AJ128" s="7316" t="n"/>
      <c r="AK128" s="57" t="n"/>
      <c r="AL128" s="7314" t="n"/>
      <c r="AM128" s="7316" t="n"/>
      <c r="AN128" s="57" t="n"/>
      <c r="AO128" s="7307" t="n"/>
      <c r="AP128" s="1916" t="n"/>
      <c r="AQ128" s="7308" t="n"/>
      <c r="AR128" s="57" t="n"/>
      <c r="AS128" s="7307" t="n"/>
      <c r="AT128" s="2540" t="n"/>
      <c r="AU128" s="7308" t="n"/>
    </row>
    <row outlineLevel="0" r="129">
      <c r="A129" s="7408" t="n"/>
      <c r="B129" s="7319" t="n"/>
      <c r="C129" s="7293" t="n"/>
      <c r="D129" s="7296" t="n"/>
      <c r="E129" s="7296" t="n"/>
      <c r="F129" s="7296" t="n"/>
      <c r="G129" s="7296" t="n"/>
      <c r="H129" s="7296" t="n"/>
      <c r="I129" s="7296" t="n"/>
      <c r="J129" s="7296" t="n"/>
      <c r="K129" s="7296" t="n"/>
      <c r="L129" s="7296" t="n"/>
      <c r="M129" s="7296" t="n"/>
      <c r="N129" s="7296" t="n"/>
      <c r="O129" s="7296" t="n"/>
      <c r="P129" s="7296" t="n"/>
      <c r="Q129" s="7300" t="n"/>
      <c r="R129" s="7296" t="n"/>
      <c r="S129" s="7296" t="n"/>
      <c r="T129" s="7296" t="n"/>
      <c r="U129" s="7296" t="n"/>
      <c r="V129" s="7303" t="n"/>
      <c r="W129" s="7296" t="n"/>
      <c r="X129" s="7296" t="n"/>
      <c r="Y129" s="7296" t="n"/>
      <c r="Z129" s="7296" t="n"/>
      <c r="AA129" s="7296" t="n"/>
      <c r="AB129" s="7296" t="n"/>
      <c r="AC129" s="7296" t="n"/>
      <c r="AD129" s="7296" t="n"/>
      <c r="AE129" s="7296" t="n"/>
      <c r="AF129" s="7296" t="n"/>
      <c r="AG129" s="7413" t="n"/>
      <c r="AH129" s="7314" t="n"/>
      <c r="AI129" s="7315" t="n"/>
      <c r="AJ129" s="7316" t="n"/>
      <c r="AK129" s="57" t="n"/>
      <c r="AL129" s="7314" t="n"/>
      <c r="AM129" s="7316" t="n"/>
      <c r="AN129" s="57" t="n"/>
      <c r="AO129" s="7307" t="n"/>
      <c r="AP129" s="1916" t="n"/>
      <c r="AQ129" s="7308" t="n"/>
      <c r="AR129" s="57" t="n"/>
      <c r="AS129" s="7307" t="n"/>
      <c r="AT129" s="2540" t="n"/>
      <c r="AU129" s="7308" t="n"/>
    </row>
    <row outlineLevel="0" r="130">
      <c r="A130" s="7408" t="n"/>
      <c r="B130" s="7319" t="n"/>
      <c r="C130" s="7293" t="n"/>
      <c r="D130" s="7296" t="n"/>
      <c r="E130" s="7296" t="n"/>
      <c r="F130" s="7296" t="n"/>
      <c r="G130" s="7296" t="n"/>
      <c r="H130" s="7296" t="n"/>
      <c r="I130" s="7296" t="n"/>
      <c r="J130" s="7296" t="n"/>
      <c r="K130" s="7296" t="n"/>
      <c r="L130" s="7296" t="n"/>
      <c r="M130" s="7296" t="n"/>
      <c r="N130" s="7296" t="n"/>
      <c r="O130" s="7296" t="n"/>
      <c r="P130" s="7296" t="n"/>
      <c r="Q130" s="7300" t="n"/>
      <c r="R130" s="7296" t="n"/>
      <c r="S130" s="7296" t="n"/>
      <c r="T130" s="7296" t="n"/>
      <c r="U130" s="7296" t="n"/>
      <c r="V130" s="7303" t="n"/>
      <c r="W130" s="7296" t="n"/>
      <c r="X130" s="7296" t="n"/>
      <c r="Y130" s="7296" t="n"/>
      <c r="Z130" s="7296" t="n"/>
      <c r="AA130" s="7296" t="n"/>
      <c r="AB130" s="7296" t="n"/>
      <c r="AC130" s="7296" t="n"/>
      <c r="AD130" s="7296" t="n"/>
      <c r="AE130" s="7296" t="n"/>
      <c r="AF130" s="7296" t="n"/>
      <c r="AG130" s="7413" t="n"/>
      <c r="AH130" s="7314" t="n"/>
      <c r="AI130" s="7315" t="n"/>
      <c r="AJ130" s="7316" t="n"/>
      <c r="AK130" s="57" t="n"/>
      <c r="AL130" s="7314" t="n"/>
      <c r="AM130" s="7316" t="n"/>
      <c r="AN130" s="57" t="n"/>
      <c r="AO130" s="7307" t="n"/>
      <c r="AP130" s="1916" t="n"/>
      <c r="AQ130" s="7308" t="n"/>
      <c r="AR130" s="57" t="n"/>
      <c r="AS130" s="7307" t="n"/>
      <c r="AT130" s="2540" t="n"/>
      <c r="AU130" s="7308" t="n"/>
    </row>
    <row outlineLevel="0" r="131">
      <c r="A131" s="7408" t="n"/>
      <c r="B131" s="7319" t="n"/>
      <c r="C131" s="7293" t="n"/>
      <c r="D131" s="7296" t="n"/>
      <c r="E131" s="7296" t="n"/>
      <c r="F131" s="7296" t="n"/>
      <c r="G131" s="7296" t="n"/>
      <c r="H131" s="7296" t="n"/>
      <c r="I131" s="7296" t="n"/>
      <c r="J131" s="7296" t="n"/>
      <c r="K131" s="7296" t="n"/>
      <c r="L131" s="7296" t="n"/>
      <c r="M131" s="7296" t="n"/>
      <c r="N131" s="7296" t="n"/>
      <c r="O131" s="7296" t="n"/>
      <c r="P131" s="7296" t="n"/>
      <c r="Q131" s="7300" t="n"/>
      <c r="R131" s="7296" t="n"/>
      <c r="S131" s="7296" t="n"/>
      <c r="T131" s="7296" t="n"/>
      <c r="U131" s="7296" t="n"/>
      <c r="V131" s="7303" t="n"/>
      <c r="W131" s="7296" t="n"/>
      <c r="X131" s="7296" t="n"/>
      <c r="Y131" s="7296" t="n"/>
      <c r="Z131" s="7296" t="n"/>
      <c r="AA131" s="7296" t="n"/>
      <c r="AB131" s="7296" t="n"/>
      <c r="AC131" s="7296" t="n"/>
      <c r="AD131" s="7296" t="n"/>
      <c r="AE131" s="7296" t="n"/>
      <c r="AF131" s="7296" t="n"/>
      <c r="AG131" s="7413" t="n"/>
      <c r="AH131" s="7314" t="n"/>
      <c r="AI131" s="7315" t="n"/>
      <c r="AJ131" s="7316" t="n"/>
      <c r="AK131" s="57" t="n"/>
      <c r="AL131" s="7314" t="n"/>
      <c r="AM131" s="7316" t="n"/>
      <c r="AN131" s="57" t="n"/>
      <c r="AO131" s="7307" t="n"/>
      <c r="AP131" s="1916" t="n"/>
      <c r="AQ131" s="7308" t="n"/>
      <c r="AR131" s="57" t="n"/>
      <c r="AS131" s="7307" t="n"/>
      <c r="AT131" s="2540" t="n"/>
      <c r="AU131" s="7308" t="n"/>
    </row>
    <row outlineLevel="0" r="132">
      <c r="A132" s="7408" t="n"/>
      <c r="B132" s="7319" t="n"/>
      <c r="C132" s="7293" t="n"/>
      <c r="D132" s="7296" t="n"/>
      <c r="E132" s="7296" t="n"/>
      <c r="F132" s="7296" t="n"/>
      <c r="G132" s="7296" t="n"/>
      <c r="H132" s="7296" t="n"/>
      <c r="I132" s="7296" t="n"/>
      <c r="J132" s="7296" t="n"/>
      <c r="K132" s="7296" t="n"/>
      <c r="L132" s="7296" t="n"/>
      <c r="M132" s="7296" t="n"/>
      <c r="N132" s="7296" t="n"/>
      <c r="O132" s="7296" t="n"/>
      <c r="P132" s="7296" t="n"/>
      <c r="Q132" s="7411" t="n"/>
      <c r="R132" s="7296" t="n"/>
      <c r="S132" s="7296" t="n"/>
      <c r="T132" s="7296" t="n"/>
      <c r="U132" s="7296" t="n"/>
      <c r="V132" s="7366" t="n"/>
      <c r="W132" s="7412" t="n"/>
      <c r="X132" s="7412" t="n"/>
      <c r="Y132" s="7412" t="n"/>
      <c r="Z132" s="7412" t="n"/>
      <c r="AA132" s="7412" t="n"/>
      <c r="AB132" s="7412" t="n"/>
      <c r="AC132" s="7412" t="n"/>
      <c r="AD132" s="7412" t="n"/>
      <c r="AE132" s="7412" t="n"/>
      <c r="AF132" s="7412" t="n"/>
      <c r="AG132" s="7413" t="n"/>
      <c r="AH132" s="7314" t="n"/>
      <c r="AI132" s="7315" t="n"/>
      <c r="AJ132" s="7316" t="n"/>
      <c r="AK132" s="57" t="n"/>
      <c r="AL132" s="7314" t="n"/>
      <c r="AM132" s="7316" t="n"/>
      <c r="AN132" s="57" t="n"/>
      <c r="AO132" s="7307" t="n"/>
      <c r="AP132" s="1916" t="n"/>
      <c r="AQ132" s="7308" t="n"/>
      <c r="AR132" s="57" t="n"/>
      <c r="AS132" s="7307" t="n"/>
      <c r="AT132" s="2540" t="n"/>
      <c r="AU132" s="7308" t="n"/>
    </row>
    <row outlineLevel="0" r="133">
      <c r="A133" s="7408" t="n"/>
      <c r="B133" s="7319" t="n"/>
      <c r="C133" s="7293" t="n"/>
      <c r="D133" s="7296" t="n"/>
      <c r="E133" s="7296" t="n"/>
      <c r="F133" s="7296" t="n"/>
      <c r="G133" s="7296" t="n"/>
      <c r="H133" s="7296" t="n"/>
      <c r="I133" s="7296" t="n"/>
      <c r="J133" s="7296" t="n"/>
      <c r="K133" s="7296" t="n"/>
      <c r="L133" s="7296" t="n"/>
      <c r="M133" s="7296" t="n"/>
      <c r="N133" s="7296" t="n"/>
      <c r="O133" s="7296" t="n"/>
      <c r="P133" s="7296" t="n"/>
      <c r="Q133" s="7411" t="n"/>
      <c r="R133" s="7296" t="n"/>
      <c r="S133" s="7296" t="n"/>
      <c r="T133" s="7296" t="n"/>
      <c r="U133" s="7296" t="n"/>
      <c r="V133" s="7366" t="n"/>
      <c r="W133" s="7412" t="n"/>
      <c r="X133" s="7412" t="n"/>
      <c r="Y133" s="7412" t="n"/>
      <c r="Z133" s="7412" t="n"/>
      <c r="AA133" s="7412" t="n"/>
      <c r="AB133" s="7412" t="n"/>
      <c r="AC133" s="7412" t="n"/>
      <c r="AD133" s="7412" t="n"/>
      <c r="AE133" s="7412" t="n"/>
      <c r="AF133" s="7412" t="n"/>
      <c r="AG133" s="7413" t="n"/>
      <c r="AH133" s="7314" t="n"/>
      <c r="AI133" s="7315" t="n"/>
      <c r="AJ133" s="7316" t="n"/>
      <c r="AK133" s="57" t="n"/>
      <c r="AL133" s="7314" t="n"/>
      <c r="AM133" s="7316" t="n"/>
      <c r="AN133" s="57" t="n"/>
      <c r="AO133" s="7307" t="n"/>
      <c r="AP133" s="1916" t="n"/>
      <c r="AQ133" s="7308" t="n"/>
      <c r="AR133" s="57" t="n"/>
      <c r="AS133" s="7307" t="n"/>
      <c r="AT133" s="2540" t="n"/>
      <c r="AU133" s="7308" t="n"/>
    </row>
    <row outlineLevel="0" r="134">
      <c r="A134" s="7408" t="n"/>
      <c r="B134" s="7319" t="n"/>
      <c r="C134" s="7293" t="n"/>
      <c r="D134" s="7296" t="n"/>
      <c r="E134" s="7296" t="n"/>
      <c r="F134" s="7296" t="n"/>
      <c r="G134" s="7296" t="n"/>
      <c r="H134" s="7296" t="n"/>
      <c r="I134" s="7296" t="n"/>
      <c r="J134" s="7296" t="n"/>
      <c r="K134" s="7296" t="n"/>
      <c r="L134" s="7296" t="n"/>
      <c r="M134" s="7296" t="n"/>
      <c r="N134" s="7296" t="n"/>
      <c r="O134" s="7296" t="n"/>
      <c r="P134" s="7296" t="n"/>
      <c r="Q134" s="7411" t="n"/>
      <c r="AH134" s="7314" t="n"/>
      <c r="AI134" s="7315" t="n"/>
      <c r="AJ134" s="7316" t="n"/>
      <c r="AL134" s="7314" t="n"/>
      <c r="AM134" s="7316" t="n"/>
      <c r="AO134" s="7307" t="n"/>
      <c r="AP134" s="1916" t="n"/>
      <c r="AQ134" s="7308" t="n"/>
      <c r="AS134" s="7307" t="n"/>
      <c r="AT134" s="2540" t="n"/>
      <c r="AU134" s="7308" t="n"/>
    </row>
    <row outlineLevel="0" r="135">
      <c r="A135" s="7408" t="n"/>
      <c r="B135" s="7319" t="n"/>
      <c r="Q135" s="7411" t="n"/>
    </row>
    <row outlineLevel="0" r="136">
      <c r="A136" s="7408" t="n"/>
      <c r="B136" s="7319" t="n"/>
      <c r="Q136" s="7411" t="n"/>
    </row>
    <row outlineLevel="0" r="137">
      <c r="A137" s="7408" t="n"/>
      <c r="B137" s="7319" t="n"/>
      <c r="Q137" s="7411" t="n"/>
    </row>
    <row outlineLevel="0" r="138">
      <c r="A138" s="7408" t="n"/>
      <c r="B138" s="7319" t="n"/>
      <c r="Q138" s="7411" t="n"/>
    </row>
    <row outlineLevel="0" r="139">
      <c r="A139" s="7408" t="n"/>
      <c r="B139" s="7319" t="n"/>
      <c r="Q139" s="7411" t="n"/>
    </row>
    <row outlineLevel="0" r="140">
      <c r="A140" s="7408" t="n"/>
      <c r="B140" s="7319" t="n"/>
      <c r="Q140" s="7411" t="n"/>
    </row>
    <row outlineLevel="0" r="141">
      <c r="A141" s="7408" t="n"/>
      <c r="B141" s="7319" t="n"/>
      <c r="Q141" s="7411" t="n"/>
    </row>
    <row outlineLevel="0" r="142">
      <c r="A142" s="7408" t="n"/>
      <c r="B142" s="7319" t="n"/>
      <c r="Q142" s="7411" t="n"/>
    </row>
    <row outlineLevel="0" r="143">
      <c r="A143" s="7408" t="n"/>
      <c r="B143" s="7319" t="n"/>
      <c r="Q143" s="7411" t="n"/>
    </row>
    <row outlineLevel="0" r="144">
      <c r="A144" s="7408" t="n"/>
      <c r="B144" s="7319" t="n"/>
      <c r="Q144" s="7411" t="n"/>
    </row>
    <row outlineLevel="0" r="145">
      <c r="A145" s="7408" t="n"/>
      <c r="B145" s="7319" t="n"/>
      <c r="Q145" s="7411" t="n"/>
    </row>
    <row outlineLevel="0" r="146">
      <c r="A146" s="7408" t="n"/>
      <c r="B146" s="7319" t="n"/>
      <c r="Q146" s="7411" t="n"/>
    </row>
    <row outlineLevel="0" r="147">
      <c r="A147" s="7408" t="n"/>
      <c r="B147" s="7319" t="n"/>
      <c r="Q147" s="7411" t="n"/>
    </row>
    <row outlineLevel="0" r="148">
      <c r="A148" s="7408" t="n"/>
      <c r="B148" s="7319" t="n"/>
      <c r="Q148" s="7411" t="n"/>
    </row>
    <row outlineLevel="0" r="149">
      <c r="A149" s="7408" t="n"/>
      <c r="B149" s="7319" t="n"/>
      <c r="Q149" s="7411" t="n"/>
    </row>
    <row outlineLevel="0" r="150">
      <c r="A150" s="7408" t="n"/>
      <c r="B150" s="7319" t="n"/>
      <c r="Q150" s="7411" t="n"/>
    </row>
    <row outlineLevel="0" r="151">
      <c r="A151" s="7408" t="n"/>
      <c r="B151" s="7319" t="n"/>
      <c r="Q151" s="7411" t="n"/>
    </row>
    <row outlineLevel="0" r="152">
      <c r="A152" s="7408" t="n"/>
      <c r="B152" s="7319" t="n"/>
      <c r="Q152" s="7411" t="n"/>
    </row>
    <row outlineLevel="0" r="153">
      <c r="A153" s="7408" t="n"/>
      <c r="B153" s="7319" t="n"/>
      <c r="Q153" s="7411" t="n"/>
    </row>
    <row outlineLevel="0" r="154">
      <c r="A154" s="7408" t="n"/>
      <c r="B154" s="7319" t="n"/>
      <c r="Q154" s="7411" t="n"/>
    </row>
    <row outlineLevel="0" r="155">
      <c r="A155" s="7408" t="n"/>
      <c r="B155" s="7319" t="n"/>
      <c r="Q155" s="7411" t="n"/>
    </row>
    <row outlineLevel="0" r="156">
      <c r="A156" s="7408" t="n"/>
      <c r="B156" s="7319" t="n"/>
      <c r="Q156" s="7411" t="n"/>
    </row>
    <row outlineLevel="0" r="157">
      <c r="A157" s="7408" t="n"/>
      <c r="B157" s="7319" t="n"/>
      <c r="Q157" s="7411" t="n"/>
    </row>
    <row outlineLevel="0" r="158">
      <c r="A158" s="7408" t="n"/>
      <c r="B158" s="7319" t="n"/>
      <c r="Q158" s="7411" t="n"/>
    </row>
    <row outlineLevel="0" r="159">
      <c r="A159" s="7408" t="n"/>
      <c r="B159" s="7319" t="n"/>
      <c r="Q159" s="7411" t="n"/>
    </row>
    <row outlineLevel="0" r="160">
      <c r="A160" s="7408" t="n"/>
      <c r="B160" s="7319" t="n"/>
      <c r="Q160" s="7411" t="n"/>
    </row>
    <row outlineLevel="0" r="161">
      <c r="A161" s="7408" t="n"/>
      <c r="B161" s="7319" t="n"/>
      <c r="Q161" s="7411" t="n"/>
    </row>
    <row outlineLevel="0" r="162">
      <c r="A162" s="7408" t="n"/>
      <c r="B162" s="7319" t="n"/>
      <c r="Q162" s="7411" t="n"/>
    </row>
    <row outlineLevel="0" r="163">
      <c r="A163" s="7408" t="n"/>
      <c r="B163" s="7319" t="n"/>
      <c r="Q163" s="7411" t="n"/>
    </row>
    <row outlineLevel="0" r="164">
      <c r="A164" s="7408" t="n"/>
      <c r="B164" s="7319" t="n"/>
      <c r="Q164" s="7411" t="n"/>
    </row>
    <row outlineLevel="0" r="165">
      <c r="A165" s="7408" t="n"/>
      <c r="B165" s="7319" t="n"/>
      <c r="Q165" s="7411" t="n"/>
    </row>
    <row outlineLevel="0" r="166">
      <c r="A166" s="7408" t="n"/>
      <c r="B166" s="7319" t="n"/>
      <c r="Q166" s="7411" t="n"/>
    </row>
    <row outlineLevel="0" r="167">
      <c r="A167" s="7408" t="n"/>
      <c r="B167" s="7319" t="n"/>
      <c r="Q167" s="7411" t="n"/>
    </row>
    <row outlineLevel="0" r="168">
      <c r="A168" s="7408" t="n"/>
      <c r="B168" s="7319" t="n"/>
      <c r="Q168" s="7411" t="n"/>
    </row>
    <row outlineLevel="0" r="169">
      <c r="A169" s="7408" t="n"/>
      <c r="B169" s="7319" t="n"/>
      <c r="Q169" s="7411" t="n"/>
    </row>
    <row outlineLevel="0" r="170">
      <c r="A170" s="7408" t="n"/>
      <c r="B170" s="7319" t="n"/>
      <c r="Q170" s="7411" t="n"/>
    </row>
    <row outlineLevel="0" r="171">
      <c r="A171" s="7408" t="n"/>
      <c r="B171" s="7319" t="n"/>
      <c r="Q171" s="7411" t="n"/>
    </row>
    <row outlineLevel="0" r="172">
      <c r="A172" s="7408" t="n"/>
      <c r="B172" s="7319" t="n"/>
      <c r="Q172" s="7411" t="n"/>
    </row>
    <row outlineLevel="0" r="173">
      <c r="A173" s="7408" t="n"/>
      <c r="B173" s="7319" t="n"/>
      <c r="Q173" s="7411" t="n"/>
    </row>
    <row outlineLevel="0" r="174">
      <c r="A174" s="7408" t="n"/>
      <c r="B174" s="7319" t="n"/>
      <c r="Q174" s="7411" t="n"/>
    </row>
    <row outlineLevel="0" r="175">
      <c r="A175" s="7408" t="n"/>
      <c r="B175" s="7319" t="n"/>
      <c r="Q175" s="7411" t="n"/>
    </row>
    <row outlineLevel="0" r="176">
      <c r="A176" s="7408" t="n"/>
      <c r="B176" s="7319" t="n"/>
      <c r="Q176" s="7411" t="n"/>
    </row>
    <row outlineLevel="0" r="177">
      <c r="A177" s="7408" t="n"/>
      <c r="B177" s="7319" t="n"/>
      <c r="Q177" s="7411" t="n"/>
    </row>
    <row outlineLevel="0" r="178">
      <c r="A178" s="7408" t="n"/>
      <c r="B178" s="7319" t="n"/>
      <c r="Q178" s="7411" t="n"/>
    </row>
    <row outlineLevel="0" r="179">
      <c r="A179" s="7408" t="n"/>
      <c r="B179" s="7319" t="n"/>
      <c r="Q179" s="7411" t="n"/>
    </row>
    <row outlineLevel="0" r="180">
      <c r="A180" s="7408" t="n"/>
      <c r="B180" s="7319" t="n"/>
      <c r="Q180" s="7411" t="n"/>
    </row>
    <row outlineLevel="0" r="181">
      <c r="A181" s="7408" t="n"/>
      <c r="B181" s="7319" t="n"/>
      <c r="Q181" s="7411" t="n"/>
    </row>
    <row outlineLevel="0" r="182">
      <c r="A182" s="7408" t="n"/>
      <c r="B182" s="7319" t="n"/>
      <c r="Q182" s="7411" t="n"/>
    </row>
    <row outlineLevel="0" r="183">
      <c r="A183" s="7408" t="n"/>
      <c r="B183" s="7319" t="n"/>
      <c r="Q183" s="7411" t="n"/>
    </row>
    <row outlineLevel="0" r="184">
      <c r="A184" s="7408" t="n"/>
      <c r="B184" s="7319" t="n"/>
      <c r="Q184" s="7411" t="n"/>
    </row>
    <row outlineLevel="0" r="185">
      <c r="A185" s="7408" t="n"/>
      <c r="B185" s="7319" t="n"/>
      <c r="Q185" s="7411" t="n"/>
    </row>
    <row outlineLevel="0" r="186">
      <c r="A186" s="7408" t="n"/>
      <c r="B186" s="7319" t="n"/>
      <c r="Q186" s="7411" t="n"/>
    </row>
    <row outlineLevel="0" r="187">
      <c r="A187" s="7408" t="n"/>
      <c r="B187" s="7319" t="n"/>
      <c r="Q187" s="7411" t="n"/>
    </row>
    <row outlineLevel="0" r="188">
      <c r="A188" s="7408" t="n"/>
      <c r="B188" s="7319" t="n"/>
      <c r="Q188" s="7411" t="n"/>
    </row>
    <row outlineLevel="0" r="189">
      <c r="A189" s="7408" t="n"/>
      <c r="B189" s="7319" t="n"/>
      <c r="Q189" s="7411" t="n"/>
    </row>
    <row outlineLevel="0" r="190">
      <c r="A190" s="7408" t="n"/>
      <c r="B190" s="7319" t="n"/>
      <c r="Q190" s="7411" t="n"/>
    </row>
    <row outlineLevel="0" r="191">
      <c r="A191" s="7408" t="n"/>
      <c r="B191" s="7319" t="n"/>
      <c r="Q191" s="7411" t="n"/>
    </row>
    <row outlineLevel="0" r="192">
      <c r="A192" s="7408" t="n"/>
      <c r="B192" s="7319" t="n"/>
      <c r="Q192" s="7411" t="n"/>
    </row>
    <row outlineLevel="0" r="193">
      <c r="A193" s="7408" t="n"/>
      <c r="B193" s="7319" t="n"/>
      <c r="Q193" s="7411" t="n"/>
    </row>
    <row outlineLevel="0" r="194">
      <c r="A194" s="7408" t="n"/>
      <c r="B194" s="7319" t="n"/>
      <c r="Q194" s="7411" t="n"/>
    </row>
    <row outlineLevel="0" r="195">
      <c r="A195" s="7408" t="n"/>
      <c r="B195" s="7319" t="n"/>
      <c r="Q195" s="7411" t="n"/>
    </row>
    <row outlineLevel="0" r="196">
      <c r="A196" s="7408" t="n"/>
      <c r="B196" s="7319" t="n"/>
      <c r="Q196" s="7411" t="n"/>
    </row>
    <row outlineLevel="0" r="197">
      <c r="A197" s="7408" t="n"/>
      <c r="B197" s="7319" t="n"/>
      <c r="Q197" s="7411" t="n"/>
    </row>
    <row outlineLevel="0" r="198">
      <c r="A198" s="7408" t="n"/>
      <c r="B198" s="7319" t="n"/>
      <c r="Q198" s="7411" t="n"/>
    </row>
    <row outlineLevel="0" r="199">
      <c r="A199" s="7408" t="n"/>
      <c r="B199" s="7319" t="n"/>
      <c r="Q199" s="7411" t="n"/>
    </row>
    <row outlineLevel="0" r="200">
      <c r="A200" s="7408" t="n"/>
      <c r="B200" s="7319" t="n"/>
      <c r="Q200" s="7411" t="n"/>
    </row>
    <row outlineLevel="0" r="201">
      <c r="A201" s="7408" t="n"/>
      <c r="B201" s="7319" t="n"/>
      <c r="Q201" s="7411" t="n"/>
    </row>
    <row outlineLevel="0" r="202">
      <c r="A202" s="7408" t="n"/>
      <c r="B202" s="7319" t="n"/>
      <c r="Q202" s="7411" t="n"/>
    </row>
    <row outlineLevel="0" r="203">
      <c r="A203" s="7408" t="n"/>
      <c r="B203" s="7319" t="n"/>
      <c r="Q203" s="7411" t="n"/>
    </row>
    <row outlineLevel="0" r="204">
      <c r="A204" s="7408" t="n"/>
      <c r="B204" s="7319" t="n"/>
      <c r="Q204" s="7411" t="n"/>
    </row>
    <row outlineLevel="0" r="205">
      <c r="A205" s="7408" t="n"/>
      <c r="B205" s="7319" t="n"/>
      <c r="Q205" s="7411" t="n"/>
    </row>
    <row outlineLevel="0" r="206">
      <c r="A206" s="7408" t="n"/>
      <c r="B206" s="7319" t="n"/>
      <c r="Q206" s="7411" t="n"/>
    </row>
    <row outlineLevel="0" r="207">
      <c r="A207" s="7408" t="n"/>
      <c r="B207" s="7319" t="n"/>
      <c r="Q207" s="7411" t="n"/>
    </row>
    <row outlineLevel="0" r="208">
      <c r="A208" s="7408" t="n"/>
      <c r="B208" s="7319" t="n"/>
      <c r="Q208" s="7411" t="n"/>
    </row>
    <row outlineLevel="0" r="209">
      <c r="A209" s="7408" t="n"/>
      <c r="B209" s="7319" t="n"/>
      <c r="Q209" s="7411" t="n"/>
    </row>
    <row outlineLevel="0" r="210">
      <c r="A210" s="7408" t="n"/>
      <c r="B210" s="7319" t="n"/>
      <c r="Q210" s="7411" t="n"/>
    </row>
    <row outlineLevel="0" r="211">
      <c r="A211" s="7408" t="n"/>
      <c r="B211" s="7319" t="n"/>
      <c r="Q211" s="7411" t="n"/>
    </row>
    <row outlineLevel="0" r="212">
      <c r="A212" s="7408" t="n"/>
      <c r="B212" s="7319" t="n"/>
      <c r="Q212" s="7411" t="n"/>
    </row>
    <row outlineLevel="0" r="213">
      <c r="A213" s="7408" t="n"/>
      <c r="B213" s="7319" t="n"/>
      <c r="Q213" s="7411" t="n"/>
    </row>
    <row outlineLevel="0" r="214">
      <c r="A214" s="7408" t="n"/>
      <c r="B214" s="7319" t="n"/>
      <c r="Q214" s="7411" t="n"/>
    </row>
    <row outlineLevel="0" r="215">
      <c r="A215" s="7408" t="n"/>
      <c r="B215" s="7319" t="n"/>
      <c r="Q215" s="7411" t="n"/>
    </row>
    <row outlineLevel="0" r="216">
      <c r="A216" s="7408" t="n"/>
      <c r="B216" s="7319" t="n"/>
      <c r="Q216" s="7411" t="n"/>
    </row>
    <row outlineLevel="0" r="217">
      <c r="A217" s="7408" t="n"/>
      <c r="B217" s="7319" t="n"/>
      <c r="Q217" s="7411" t="n"/>
    </row>
    <row outlineLevel="0" r="218">
      <c r="A218" s="7408" t="n"/>
      <c r="B218" s="7319" t="n"/>
      <c r="Q218" s="7411" t="n"/>
    </row>
    <row outlineLevel="0" r="219">
      <c r="A219" s="7408" t="n"/>
      <c r="B219" s="7319" t="n"/>
      <c r="Q219" s="7411" t="n"/>
    </row>
    <row outlineLevel="0" r="220">
      <c r="A220" s="7408" t="n"/>
      <c r="B220" s="7319" t="n"/>
      <c r="Q220" s="7411" t="n"/>
    </row>
    <row outlineLevel="0" r="221">
      <c r="A221" s="7408" t="n"/>
      <c r="B221" s="7319" t="n"/>
      <c r="Q221" s="7411" t="n"/>
    </row>
    <row outlineLevel="0" r="222">
      <c r="A222" s="7408" t="n"/>
      <c r="B222" s="7319" t="n"/>
      <c r="Q222" s="7411" t="n"/>
    </row>
    <row outlineLevel="0" r="223">
      <c r="A223" s="7408" t="n"/>
      <c r="B223" s="7319" t="n"/>
      <c r="Q223" s="7411" t="n"/>
    </row>
    <row outlineLevel="0" r="224">
      <c r="A224" s="7408" t="n"/>
      <c r="B224" s="7319" t="n"/>
      <c r="Q224" s="7411" t="n"/>
    </row>
    <row outlineLevel="0" r="225">
      <c r="A225" s="7408" t="n"/>
      <c r="B225" s="7319" t="n"/>
      <c r="Q225" s="7411" t="n"/>
    </row>
    <row outlineLevel="0" r="226">
      <c r="A226" s="7408" t="n"/>
      <c r="B226" s="7319" t="n"/>
      <c r="Q226" s="7411" t="n"/>
    </row>
    <row outlineLevel="0" r="227">
      <c r="A227" s="7408" t="n"/>
      <c r="B227" s="7319" t="n"/>
      <c r="Q227" s="7411" t="n"/>
    </row>
    <row outlineLevel="0" r="228">
      <c r="A228" s="7408" t="n"/>
      <c r="B228" s="7319" t="n"/>
      <c r="Q228" s="7411" t="n"/>
    </row>
    <row outlineLevel="0" r="229">
      <c r="A229" s="7408" t="n"/>
      <c r="B229" s="7319" t="n"/>
      <c r="Q229" s="7411" t="n"/>
    </row>
    <row outlineLevel="0" r="230">
      <c r="A230" s="7408" t="n"/>
      <c r="B230" s="7319" t="n"/>
      <c r="Q230" s="7411" t="n"/>
    </row>
    <row outlineLevel="0" r="231">
      <c r="A231" s="7408" t="n"/>
      <c r="B231" s="7319" t="n"/>
      <c r="Q231" s="7411" t="n"/>
    </row>
    <row outlineLevel="0" r="232">
      <c r="A232" s="7408" t="n"/>
      <c r="B232" s="7319" t="n"/>
      <c r="Q232" s="7411" t="n"/>
    </row>
    <row outlineLevel="0" r="233">
      <c r="A233" s="7408" t="n"/>
      <c r="B233" s="7319" t="n"/>
      <c r="Q233" s="7411" t="n"/>
    </row>
    <row outlineLevel="0" r="234">
      <c r="A234" s="7408" t="n"/>
      <c r="B234" s="7319" t="n"/>
      <c r="Q234" s="7411" t="n"/>
    </row>
    <row outlineLevel="0" r="235">
      <c r="A235" s="7408" t="n"/>
      <c r="B235" s="7319" t="n"/>
      <c r="Q235" s="7411" t="n"/>
    </row>
    <row outlineLevel="0" r="236">
      <c r="A236" s="7408" t="n"/>
      <c r="B236" s="7319" t="n"/>
      <c r="Q236" s="7411" t="n"/>
    </row>
    <row outlineLevel="0" r="237">
      <c r="A237" s="7408" t="n"/>
      <c r="B237" s="7319" t="n"/>
      <c r="Q237" s="7411" t="n"/>
    </row>
    <row outlineLevel="0" r="238">
      <c r="A238" s="7408" t="n"/>
      <c r="B238" s="7319" t="n"/>
      <c r="Q238" s="7411" t="n"/>
    </row>
    <row outlineLevel="0" r="239">
      <c r="A239" s="7408" t="n"/>
      <c r="B239" s="7319" t="n"/>
      <c r="Q239" s="7411" t="n"/>
    </row>
    <row outlineLevel="0" r="240">
      <c r="A240" s="7408" t="n"/>
      <c r="B240" s="7319" t="n"/>
      <c r="Q240" s="7411" t="n"/>
    </row>
    <row outlineLevel="0" r="241">
      <c r="A241" s="7408" t="n"/>
      <c r="B241" s="7319" t="n"/>
      <c r="Q241" s="7411" t="n"/>
    </row>
    <row outlineLevel="0" r="242">
      <c r="A242" s="7408" t="n"/>
      <c r="B242" s="7319" t="n"/>
      <c r="Q242" s="7411" t="n"/>
    </row>
    <row outlineLevel="0" r="243">
      <c r="A243" s="7408" t="n"/>
      <c r="B243" s="7319" t="n"/>
      <c r="Q243" s="7411" t="n"/>
    </row>
    <row outlineLevel="0" r="244">
      <c r="A244" s="7408" t="n"/>
      <c r="B244" s="7319" t="n"/>
      <c r="Q244" s="7411" t="n"/>
    </row>
    <row outlineLevel="0" r="245">
      <c r="A245" s="7408" t="n"/>
      <c r="B245" s="7319" t="n"/>
      <c r="Q245" s="7411" t="n"/>
    </row>
    <row outlineLevel="0" r="246">
      <c r="A246" s="7408" t="n"/>
      <c r="B246" s="7319" t="n"/>
      <c r="Q246" s="7411" t="n"/>
    </row>
    <row outlineLevel="0" r="247">
      <c r="A247" s="7408" t="n"/>
      <c r="B247" s="7319" t="n"/>
      <c r="Q247" s="7411" t="n"/>
    </row>
    <row outlineLevel="0" r="248">
      <c r="A248" s="7408" t="n"/>
      <c r="B248" s="7319" t="n"/>
      <c r="Q248" s="7411" t="n"/>
    </row>
    <row outlineLevel="0" r="249">
      <c r="A249" s="7408" t="n"/>
      <c r="Q249" s="7411" t="n"/>
    </row>
    <row outlineLevel="0" r="250">
      <c r="A250" s="7408" t="n"/>
      <c r="Q250" s="7411" t="n"/>
    </row>
    <row outlineLevel="0" r="251">
      <c r="A251" s="7408" t="n"/>
      <c r="Q251" s="7411" t="n"/>
    </row>
    <row outlineLevel="0" r="252">
      <c r="A252" s="7408" t="n"/>
      <c r="Q252" s="7411" t="n"/>
    </row>
    <row outlineLevel="0" r="253">
      <c r="A253" s="7408" t="n"/>
      <c r="Q253" s="7411" t="n"/>
    </row>
    <row outlineLevel="0" r="254">
      <c r="A254" s="7408" t="n"/>
      <c r="Q254" s="7411" t="n"/>
    </row>
    <row outlineLevel="0" r="255">
      <c r="A255" s="7408" t="n"/>
      <c r="Q255" s="7411" t="n"/>
    </row>
    <row outlineLevel="0" r="256">
      <c r="A256" s="7408" t="n"/>
      <c r="Q256" s="7411" t="n"/>
    </row>
    <row outlineLevel="0" r="257">
      <c r="A257" s="7408" t="n"/>
      <c r="Q257" s="7411" t="n"/>
    </row>
    <row outlineLevel="0" r="258">
      <c r="A258" s="7408" t="n"/>
      <c r="Q258" s="7411" t="n"/>
    </row>
    <row outlineLevel="0" r="259">
      <c r="A259" s="7408" t="n"/>
      <c r="Q259" s="7411" t="n"/>
    </row>
    <row outlineLevel="0" r="260">
      <c r="A260" s="7408" t="n"/>
      <c r="Q260" s="7411" t="n"/>
    </row>
    <row outlineLevel="0" r="261">
      <c r="A261" s="7408" t="n"/>
      <c r="Q261" s="7411" t="n"/>
    </row>
    <row outlineLevel="0" r="262">
      <c r="A262" s="7408" t="n"/>
      <c r="Q262" s="7411" t="n"/>
    </row>
    <row outlineLevel="0" r="263">
      <c r="A263" s="7408" t="n"/>
      <c r="Q263" s="7411" t="n"/>
    </row>
    <row outlineLevel="0" r="264">
      <c r="A264" s="7408" t="n"/>
      <c r="Q264" s="7411" t="n"/>
    </row>
    <row outlineLevel="0" r="265">
      <c r="A265" s="7408" t="n"/>
      <c r="Q265" s="7411" t="n"/>
    </row>
    <row outlineLevel="0" r="266">
      <c r="A266" s="7408" t="n"/>
      <c r="Q266" s="7411" t="n"/>
    </row>
    <row outlineLevel="0" r="267">
      <c r="A267" s="7408" t="n"/>
      <c r="Q267" s="7411" t="n"/>
    </row>
    <row outlineLevel="0" r="268">
      <c r="A268" s="7408" t="n"/>
      <c r="Q268" s="7411" t="n"/>
    </row>
    <row outlineLevel="0" r="269">
      <c r="A269" s="7408" t="n"/>
      <c r="Q269" s="7411" t="n"/>
    </row>
    <row outlineLevel="0" r="270">
      <c r="A270" s="7408" t="n"/>
      <c r="Q270" s="7411" t="n"/>
    </row>
    <row outlineLevel="0" r="271">
      <c r="A271" s="7408" t="n"/>
      <c r="Q271" s="7411" t="n"/>
    </row>
    <row outlineLevel="0" r="272">
      <c r="A272" s="7408" t="n"/>
      <c r="Q272" s="7411" t="n"/>
    </row>
    <row outlineLevel="0" r="273">
      <c r="A273" s="7408" t="n"/>
      <c r="Q273" s="7411" t="n"/>
    </row>
    <row outlineLevel="0" r="274">
      <c r="A274" s="7408" t="n"/>
      <c r="Q274" s="7411" t="n"/>
    </row>
    <row outlineLevel="0" r="275">
      <c r="A275" s="7408" t="n"/>
      <c r="Q275" s="7411" t="n"/>
    </row>
    <row outlineLevel="0" r="276">
      <c r="A276" s="7408" t="n"/>
      <c r="Q276" s="7411" t="n"/>
    </row>
    <row outlineLevel="0" r="277">
      <c r="A277" s="7408" t="n"/>
      <c r="Q277" s="7411" t="n"/>
    </row>
    <row outlineLevel="0" r="278">
      <c r="A278" s="7408" t="n"/>
      <c r="Q278" s="7411" t="n"/>
    </row>
    <row outlineLevel="0" r="279">
      <c r="A279" s="7408" t="n"/>
      <c r="Q279" s="7411" t="n"/>
    </row>
    <row outlineLevel="0" r="280">
      <c r="A280" s="7408" t="n"/>
      <c r="Q280" s="7411" t="n"/>
    </row>
    <row outlineLevel="0" r="281">
      <c r="A281" s="7408" t="n"/>
      <c r="Q281" s="7411" t="n"/>
    </row>
    <row outlineLevel="0" r="282">
      <c r="A282" s="7408" t="n"/>
      <c r="Q282" s="7411" t="n"/>
    </row>
    <row outlineLevel="0" r="283">
      <c r="A283" s="7408" t="n"/>
      <c r="Q283" s="7411" t="n"/>
    </row>
    <row outlineLevel="0" r="284">
      <c r="A284" s="7408" t="n"/>
      <c r="Q284" s="7411" t="n"/>
    </row>
    <row outlineLevel="0" r="285">
      <c r="A285" s="7408" t="n"/>
      <c r="Q285" s="7411" t="n"/>
    </row>
    <row outlineLevel="0" r="286">
      <c r="A286" s="7408" t="n"/>
      <c r="Q286" s="7411" t="n"/>
    </row>
    <row outlineLevel="0" r="287">
      <c r="A287" s="7408" t="n"/>
      <c r="Q287" s="7411" t="n"/>
    </row>
    <row outlineLevel="0" r="288">
      <c r="A288" s="7408" t="n"/>
      <c r="Q288" s="7411" t="n"/>
    </row>
    <row outlineLevel="0" r="289">
      <c r="A289" s="7408" t="n"/>
      <c r="Q289" s="7411" t="n"/>
    </row>
    <row outlineLevel="0" r="290">
      <c r="A290" s="7408" t="n"/>
      <c r="Q290" s="7411" t="n"/>
    </row>
    <row outlineLevel="0" r="291">
      <c r="A291" s="7408" t="n"/>
      <c r="Q291" s="7411" t="n"/>
    </row>
    <row outlineLevel="0" r="292">
      <c r="A292" s="7408" t="n"/>
      <c r="Q292" s="7411" t="n"/>
    </row>
    <row outlineLevel="0" r="293">
      <c r="A293" s="7408" t="n"/>
      <c r="Q293" s="7411" t="n"/>
    </row>
    <row outlineLevel="0" r="294">
      <c r="A294" s="7408" t="n"/>
      <c r="Q294" s="7411" t="n"/>
    </row>
    <row outlineLevel="0" r="295">
      <c r="A295" s="7408" t="n"/>
      <c r="Q295" s="7411" t="n"/>
    </row>
    <row outlineLevel="0" r="296">
      <c r="A296" s="7408" t="n"/>
      <c r="Q296" s="7411" t="n"/>
    </row>
    <row outlineLevel="0" r="297">
      <c r="A297" s="7408" t="n"/>
      <c r="Q297" s="7411" t="n"/>
    </row>
    <row outlineLevel="0" r="298">
      <c r="A298" s="7408" t="n"/>
      <c r="Q298" s="7411" t="n"/>
    </row>
    <row outlineLevel="0" r="299">
      <c r="A299" s="7408" t="n"/>
      <c r="Q299" s="7411" t="n"/>
    </row>
    <row outlineLevel="0" r="300">
      <c r="A300" s="7408" t="n"/>
      <c r="Q300" s="7411" t="n"/>
    </row>
    <row outlineLevel="0" r="301">
      <c r="A301" s="7408" t="n"/>
      <c r="Q301" s="7411" t="n"/>
    </row>
    <row outlineLevel="0" r="302">
      <c r="A302" s="7408" t="n"/>
      <c r="Q302" s="7411" t="n"/>
    </row>
    <row outlineLevel="0" r="303">
      <c r="A303" s="7408" t="n"/>
      <c r="Q303" s="7411" t="n"/>
    </row>
    <row outlineLevel="0" r="304">
      <c r="A304" s="7408" t="n"/>
      <c r="Q304" s="7411" t="n"/>
    </row>
    <row outlineLevel="0" r="305">
      <c r="A305" s="7408" t="n"/>
      <c r="Q305" s="7411" t="n"/>
    </row>
    <row outlineLevel="0" r="306">
      <c r="A306" s="7408" t="n"/>
      <c r="Q306" s="7411" t="n"/>
    </row>
    <row outlineLevel="0" r="307">
      <c r="A307" s="7408" t="n"/>
      <c r="Q307" s="7411" t="n"/>
    </row>
    <row outlineLevel="0" r="308">
      <c r="A308" s="7408" t="n"/>
      <c r="Q308" s="7411" t="n"/>
    </row>
    <row outlineLevel="0" r="309">
      <c r="A309" s="7408" t="n"/>
      <c r="Q309" s="7411" t="n"/>
    </row>
    <row outlineLevel="0" r="310">
      <c r="A310" s="7408" t="n"/>
      <c r="Q310" s="7411" t="n"/>
    </row>
    <row outlineLevel="0" r="311">
      <c r="A311" s="7408" t="n"/>
      <c r="Q311" s="7411" t="n"/>
    </row>
    <row outlineLevel="0" r="312">
      <c r="A312" s="7408" t="n"/>
      <c r="Q312" s="7411" t="n"/>
    </row>
    <row outlineLevel="0" r="313">
      <c r="A313" s="7408" t="n"/>
      <c r="Q313" s="7411" t="n"/>
    </row>
    <row outlineLevel="0" r="314">
      <c r="A314" s="7408" t="n"/>
      <c r="Q314" s="7411" t="n"/>
    </row>
    <row outlineLevel="0" r="315">
      <c r="A315" s="7408" t="n"/>
      <c r="Q315" s="7411" t="n"/>
    </row>
    <row outlineLevel="0" r="316">
      <c r="A316" s="7408" t="n"/>
      <c r="Q316" s="7411" t="n"/>
    </row>
    <row outlineLevel="0" r="317">
      <c r="A317" s="7408" t="n"/>
      <c r="Q317" s="7411" t="n"/>
    </row>
    <row outlineLevel="0" r="318">
      <c r="A318" s="7408" t="n"/>
      <c r="Q318" s="7411" t="n"/>
    </row>
    <row outlineLevel="0" r="319">
      <c r="A319" s="7408" t="n"/>
      <c r="Q319" s="7411" t="n"/>
    </row>
    <row outlineLevel="0" r="320">
      <c r="A320" s="7408" t="n"/>
      <c r="Q320" s="7411" t="n"/>
    </row>
    <row outlineLevel="0" r="321">
      <c r="A321" s="7408" t="n"/>
      <c r="Q321" s="7411" t="n"/>
    </row>
    <row outlineLevel="0" r="322">
      <c r="A322" s="7408" t="n"/>
      <c r="Q322" s="7411" t="n"/>
    </row>
    <row outlineLevel="0" r="323">
      <c r="A323" s="7408" t="n"/>
      <c r="Q323" s="7411" t="n"/>
    </row>
    <row outlineLevel="0" r="324">
      <c r="A324" s="7408" t="n"/>
      <c r="Q324" s="7411" t="n"/>
    </row>
    <row outlineLevel="0" r="325">
      <c r="A325" s="7408" t="n"/>
      <c r="Q325" s="7411" t="n"/>
    </row>
    <row outlineLevel="0" r="326">
      <c r="A326" s="7408" t="n"/>
      <c r="Q326" s="7411" t="n"/>
    </row>
    <row outlineLevel="0" r="327">
      <c r="A327" s="7408" t="n"/>
      <c r="Q327" s="7411" t="n"/>
    </row>
    <row outlineLevel="0" r="328">
      <c r="A328" s="7408" t="n"/>
      <c r="Q328" s="7411" t="n"/>
    </row>
    <row outlineLevel="0" r="329">
      <c r="A329" s="7408" t="n"/>
      <c r="Q329" s="7411" t="n"/>
    </row>
    <row outlineLevel="0" r="330">
      <c r="A330" s="7408" t="n"/>
      <c r="Q330" s="7411" t="n"/>
    </row>
    <row outlineLevel="0" r="331">
      <c r="A331" s="7408" t="n"/>
      <c r="Q331" s="7411" t="n"/>
    </row>
    <row outlineLevel="0" r="332">
      <c r="A332" s="7408" t="n"/>
      <c r="Q332" s="7411" t="n"/>
    </row>
    <row outlineLevel="0" r="333">
      <c r="A333" s="7408" t="n"/>
      <c r="Q333" s="7411" t="n"/>
    </row>
    <row outlineLevel="0" r="334">
      <c r="A334" s="7408" t="n"/>
      <c r="Q334" s="7411" t="n"/>
    </row>
    <row outlineLevel="0" r="335">
      <c r="A335" s="7408" t="n"/>
      <c r="Q335" s="7411" t="n"/>
    </row>
    <row outlineLevel="0" r="336">
      <c r="A336" s="7408" t="n"/>
      <c r="Q336" s="7411" t="n"/>
    </row>
    <row outlineLevel="0" r="337">
      <c r="A337" s="7408" t="n"/>
      <c r="Q337" s="7411" t="n"/>
    </row>
    <row outlineLevel="0" r="338">
      <c r="A338" s="7408" t="n"/>
      <c r="Q338" s="7411" t="n"/>
    </row>
    <row outlineLevel="0" r="339">
      <c r="A339" s="7408" t="n"/>
      <c r="Q339" s="7411" t="n"/>
    </row>
    <row outlineLevel="0" r="340">
      <c r="A340" s="7408" t="n"/>
      <c r="Q340" s="7411" t="n"/>
    </row>
    <row outlineLevel="0" r="341">
      <c r="A341" s="7408" t="n"/>
      <c r="Q341" s="7411" t="n"/>
    </row>
    <row outlineLevel="0" r="342">
      <c r="A342" s="7408" t="n"/>
      <c r="Q342" s="7411" t="n"/>
    </row>
    <row outlineLevel="0" r="343">
      <c r="A343" s="7408" t="n"/>
      <c r="Q343" s="7411" t="n"/>
    </row>
    <row outlineLevel="0" r="344">
      <c r="A344" s="7408" t="n"/>
      <c r="Q344" s="7411" t="n"/>
    </row>
    <row outlineLevel="0" r="345">
      <c r="A345" s="7408" t="n"/>
      <c r="Q345" s="7411" t="n"/>
    </row>
    <row outlineLevel="0" r="346">
      <c r="A346" s="7408" t="n"/>
      <c r="Q346" s="7411" t="n"/>
    </row>
    <row outlineLevel="0" r="347">
      <c r="A347" s="7408" t="n"/>
      <c r="Q347" s="7411" t="n"/>
    </row>
    <row outlineLevel="0" r="348">
      <c r="A348" s="7408" t="n"/>
      <c r="Q348" s="7411" t="n"/>
    </row>
    <row outlineLevel="0" r="349">
      <c r="A349" s="7408" t="n"/>
      <c r="Q349" s="7411" t="n"/>
    </row>
    <row outlineLevel="0" r="350">
      <c r="A350" s="7408" t="n"/>
      <c r="Q350" s="7411" t="n"/>
    </row>
    <row outlineLevel="0" r="351">
      <c r="A351" s="7408" t="n"/>
      <c r="Q351" s="7411" t="n"/>
    </row>
    <row outlineLevel="0" r="352">
      <c r="A352" s="7408" t="n"/>
      <c r="Q352" s="7411" t="n"/>
    </row>
    <row outlineLevel="0" r="353">
      <c r="A353" s="7408" t="n"/>
      <c r="Q353" s="7411" t="n"/>
    </row>
    <row outlineLevel="0" r="354">
      <c r="A354" s="7408" t="n"/>
      <c r="Q354" s="7411" t="n"/>
    </row>
    <row outlineLevel="0" r="355">
      <c r="A355" s="7408" t="n"/>
      <c r="Q355" s="7411" t="n"/>
    </row>
    <row outlineLevel="0" r="356">
      <c r="A356" s="7408" t="n"/>
      <c r="Q356" s="7411" t="n"/>
    </row>
    <row outlineLevel="0" r="357">
      <c r="A357" s="7408" t="n"/>
      <c r="Q357" s="7411" t="n"/>
    </row>
    <row outlineLevel="0" r="358">
      <c r="A358" s="7408" t="n"/>
      <c r="Q358" s="7411" t="n"/>
    </row>
    <row outlineLevel="0" r="359">
      <c r="A359" s="7408" t="n"/>
      <c r="Q359" s="7411" t="n"/>
    </row>
    <row outlineLevel="0" r="360">
      <c r="A360" s="7408" t="n"/>
      <c r="Q360" s="7411" t="n"/>
    </row>
    <row outlineLevel="0" r="361">
      <c r="A361" s="7408" t="n"/>
      <c r="Q361" s="7411" t="n"/>
    </row>
    <row outlineLevel="0" r="362">
      <c r="A362" s="7408" t="n"/>
      <c r="Q362" s="7411" t="n"/>
    </row>
    <row outlineLevel="0" r="363">
      <c r="A363" s="7408" t="n"/>
      <c r="Q363" s="7411" t="n"/>
    </row>
    <row outlineLevel="0" r="364">
      <c r="A364" s="7408" t="n"/>
      <c r="Q364" s="7411" t="n"/>
    </row>
    <row outlineLevel="0" r="365">
      <c r="A365" s="7408" t="n"/>
      <c r="Q365" s="7411" t="n"/>
    </row>
    <row outlineLevel="0" r="366">
      <c r="A366" s="7408" t="n"/>
      <c r="Q366" s="7411" t="n"/>
    </row>
    <row outlineLevel="0" r="367">
      <c r="A367" s="7408" t="n"/>
      <c r="Q367" s="7411" t="n"/>
    </row>
    <row outlineLevel="0" r="368">
      <c r="A368" s="7408" t="n"/>
      <c r="Q368" s="7411" t="n"/>
    </row>
    <row outlineLevel="0" r="369">
      <c r="A369" s="7408" t="n"/>
      <c r="Q369" s="7411" t="n"/>
    </row>
    <row outlineLevel="0" r="370">
      <c r="A370" s="7408" t="n"/>
      <c r="Q370" s="7411" t="n"/>
    </row>
    <row outlineLevel="0" r="371">
      <c r="A371" s="7408" t="n"/>
      <c r="Q371" s="7411" t="n"/>
    </row>
    <row outlineLevel="0" r="372">
      <c r="A372" s="7408" t="n"/>
      <c r="Q372" s="7411" t="n"/>
    </row>
    <row outlineLevel="0" r="373">
      <c r="A373" s="7408" t="n"/>
      <c r="Q373" s="7411" t="n"/>
    </row>
    <row outlineLevel="0" r="374">
      <c r="A374" s="7408" t="n"/>
      <c r="Q374" s="7411" t="n"/>
    </row>
    <row outlineLevel="0" r="375">
      <c r="A375" s="7408" t="n"/>
      <c r="Q375" s="7411" t="n"/>
    </row>
    <row outlineLevel="0" r="376">
      <c r="A376" s="7408" t="n"/>
      <c r="Q376" s="7411" t="n"/>
    </row>
    <row outlineLevel="0" r="377">
      <c r="A377" s="7408" t="n"/>
      <c r="Q377" s="7411" t="n"/>
    </row>
    <row outlineLevel="0" r="378">
      <c r="A378" s="7408" t="n"/>
      <c r="Q378" s="7411" t="n"/>
    </row>
    <row outlineLevel="0" r="379">
      <c r="A379" s="7408" t="n"/>
      <c r="Q379" s="7411" t="n"/>
    </row>
    <row outlineLevel="0" r="380">
      <c r="A380" s="7408" t="n"/>
      <c r="Q380" s="7411" t="n"/>
    </row>
    <row outlineLevel="0" r="381">
      <c r="A381" s="7408" t="n"/>
      <c r="Q381" s="7411" t="n"/>
    </row>
    <row outlineLevel="0" r="382">
      <c r="A382" s="7408" t="n"/>
      <c r="Q382" s="7411" t="n"/>
    </row>
    <row outlineLevel="0" r="383">
      <c r="A383" s="7408" t="n"/>
      <c r="Q383" s="7411" t="n"/>
    </row>
    <row outlineLevel="0" r="384">
      <c r="A384" s="7408" t="n"/>
      <c r="Q384" s="7411" t="n"/>
    </row>
    <row outlineLevel="0" r="385">
      <c r="A385" s="7408" t="n"/>
      <c r="Q385" s="7411" t="n"/>
    </row>
    <row outlineLevel="0" r="386">
      <c r="A386" s="7408" t="n"/>
      <c r="Q386" s="7411" t="n"/>
    </row>
    <row outlineLevel="0" r="387">
      <c r="A387" s="7408" t="n"/>
      <c r="Q387" s="7411" t="n"/>
    </row>
    <row outlineLevel="0" r="388">
      <c r="A388" s="7408" t="n"/>
      <c r="Q388" s="7411" t="n"/>
    </row>
    <row outlineLevel="0" r="389">
      <c r="A389" s="7408" t="n"/>
      <c r="Q389" s="7411" t="n"/>
    </row>
    <row outlineLevel="0" r="390">
      <c r="A390" s="7408" t="n"/>
      <c r="Q390" s="7411" t="n"/>
    </row>
    <row outlineLevel="0" r="391">
      <c r="A391" s="7408" t="n"/>
      <c r="Q391" s="7411" t="n"/>
    </row>
    <row outlineLevel="0" r="392">
      <c r="A392" s="7408" t="n"/>
      <c r="Q392" s="7411" t="n"/>
    </row>
    <row outlineLevel="0" r="393">
      <c r="A393" s="7408" t="n"/>
      <c r="Q393" s="7411" t="n"/>
    </row>
    <row outlineLevel="0" r="394">
      <c r="A394" s="7408" t="n"/>
      <c r="Q394" s="7411" t="n"/>
    </row>
    <row outlineLevel="0" r="395">
      <c r="A395" s="7408" t="n"/>
      <c r="Q395" s="7411" t="n"/>
    </row>
    <row outlineLevel="0" r="396">
      <c r="A396" s="7408" t="n"/>
      <c r="Q396" s="7411" t="n"/>
    </row>
    <row outlineLevel="0" r="397">
      <c r="A397" s="7408" t="n"/>
      <c r="Q397" s="7411" t="n"/>
    </row>
    <row outlineLevel="0" r="398">
      <c r="A398" s="7408" t="n"/>
      <c r="Q398" s="7411" t="n"/>
    </row>
    <row outlineLevel="0" r="399">
      <c r="A399" s="7408" t="n"/>
      <c r="Q399" s="7411" t="n"/>
    </row>
    <row outlineLevel="0" r="400">
      <c r="A400" s="7408" t="n"/>
      <c r="Q400" s="7411" t="n"/>
    </row>
    <row outlineLevel="0" r="401">
      <c r="A401" s="7408" t="n"/>
      <c r="Q401" s="7411" t="n"/>
    </row>
    <row outlineLevel="0" r="402">
      <c r="A402" s="7408" t="n"/>
      <c r="Q402" s="7411" t="n"/>
    </row>
    <row outlineLevel="0" r="403">
      <c r="A403" s="7408" t="n"/>
      <c r="Q403" s="7411" t="n"/>
    </row>
    <row outlineLevel="0" r="404">
      <c r="A404" s="7408" t="n"/>
      <c r="Q404" s="7411" t="n"/>
    </row>
    <row outlineLevel="0" r="405">
      <c r="A405" s="7408" t="n"/>
      <c r="Q405" s="7411" t="n"/>
    </row>
    <row outlineLevel="0" r="406">
      <c r="A406" s="7408" t="n"/>
      <c r="Q406" s="7411" t="n"/>
    </row>
    <row outlineLevel="0" r="407">
      <c r="A407" s="7408" t="n"/>
      <c r="Q407" s="7411" t="n"/>
    </row>
    <row outlineLevel="0" r="408">
      <c r="A408" s="7408" t="n"/>
      <c r="Q408" s="7411" t="n"/>
    </row>
    <row outlineLevel="0" r="409">
      <c r="A409" s="7408" t="n"/>
      <c r="Q409" s="7411" t="n"/>
    </row>
    <row outlineLevel="0" r="410">
      <c r="A410" s="7408" t="n"/>
      <c r="Q410" s="7411" t="n"/>
    </row>
    <row outlineLevel="0" r="411">
      <c r="A411" s="7408" t="n"/>
      <c r="Q411" s="7411" t="n"/>
    </row>
    <row outlineLevel="0" r="412">
      <c r="A412" s="7408" t="n"/>
      <c r="Q412" s="7411" t="n"/>
    </row>
    <row outlineLevel="0" r="413">
      <c r="A413" s="7408" t="n"/>
      <c r="Q413" s="7411" t="n"/>
    </row>
    <row outlineLevel="0" r="414">
      <c r="A414" s="7408" t="n"/>
      <c r="Q414" s="7411" t="n"/>
    </row>
    <row outlineLevel="0" r="415">
      <c r="A415" s="7408" t="n"/>
      <c r="Q415" s="7411" t="n"/>
    </row>
    <row outlineLevel="0" r="416">
      <c r="A416" s="7408" t="n"/>
      <c r="Q416" s="7411" t="n"/>
    </row>
    <row outlineLevel="0" r="417">
      <c r="A417" s="7408" t="n"/>
      <c r="Q417" s="7411" t="n"/>
    </row>
    <row outlineLevel="0" r="418">
      <c r="A418" s="7408" t="n"/>
      <c r="Q418" s="7411" t="n"/>
    </row>
    <row outlineLevel="0" r="419">
      <c r="A419" s="7408" t="n"/>
      <c r="Q419" s="7411" t="n"/>
    </row>
    <row outlineLevel="0" r="420">
      <c r="A420" s="7408" t="n"/>
      <c r="Q420" s="7411" t="n"/>
    </row>
    <row outlineLevel="0" r="421">
      <c r="A421" s="7408" t="n"/>
      <c r="Q421" s="7411" t="n"/>
    </row>
    <row outlineLevel="0" r="422">
      <c r="A422" s="7408" t="n"/>
      <c r="Q422" s="7411" t="n"/>
    </row>
    <row outlineLevel="0" r="423">
      <c r="A423" s="7408" t="n"/>
      <c r="Q423" s="7411" t="n"/>
    </row>
    <row outlineLevel="0" r="424">
      <c r="A424" s="7408" t="n"/>
      <c r="Q424" s="7411" t="n"/>
    </row>
    <row outlineLevel="0" r="425">
      <c r="A425" s="7408" t="n"/>
      <c r="Q425" s="7411" t="n"/>
    </row>
    <row outlineLevel="0" r="426">
      <c r="A426" s="7408" t="n"/>
      <c r="Q426" s="7411" t="n"/>
    </row>
    <row outlineLevel="0" r="427">
      <c r="A427" s="7408" t="n"/>
      <c r="Q427" s="7411" t="n"/>
    </row>
    <row outlineLevel="0" r="428">
      <c r="A428" s="7408" t="n"/>
      <c r="Q428" s="7411" t="n"/>
    </row>
    <row outlineLevel="0" r="429">
      <c r="A429" s="7408" t="n"/>
      <c r="Q429" s="7411" t="n"/>
    </row>
    <row outlineLevel="0" r="430">
      <c r="A430" s="7408" t="n"/>
      <c r="Q430" s="7411" t="n"/>
    </row>
    <row outlineLevel="0" r="431">
      <c r="A431" s="7408" t="n"/>
      <c r="Q431" s="7411" t="n"/>
    </row>
    <row outlineLevel="0" r="432">
      <c r="A432" s="7408" t="n"/>
      <c r="Q432" s="7411" t="n"/>
    </row>
    <row outlineLevel="0" r="433">
      <c r="A433" s="7408" t="n"/>
      <c r="Q433" s="7411" t="n"/>
    </row>
    <row outlineLevel="0" r="434">
      <c r="A434" s="7408" t="n"/>
      <c r="Q434" s="7411" t="n"/>
    </row>
    <row outlineLevel="0" r="435">
      <c r="A435" s="7408" t="n"/>
      <c r="Q435" s="7411" t="n"/>
    </row>
    <row outlineLevel="0" r="436">
      <c r="A436" s="7408" t="n"/>
      <c r="Q436" s="7411" t="n"/>
    </row>
    <row outlineLevel="0" r="437">
      <c r="A437" s="7408" t="n"/>
      <c r="Q437" s="7411" t="n"/>
    </row>
    <row outlineLevel="0" r="438">
      <c r="A438" s="7408" t="n"/>
      <c r="Q438" s="7411" t="n"/>
    </row>
    <row outlineLevel="0" r="439">
      <c r="A439" s="7408" t="n"/>
      <c r="Q439" s="7411" t="n"/>
    </row>
    <row outlineLevel="0" r="440">
      <c r="A440" s="7408" t="n"/>
      <c r="Q440" s="7411" t="n"/>
    </row>
    <row outlineLevel="0" r="441">
      <c r="A441" s="7408" t="n"/>
      <c r="Q441" s="7411" t="n"/>
    </row>
    <row outlineLevel="0" r="442">
      <c r="A442" s="7408" t="n"/>
      <c r="Q442" s="7411" t="n"/>
    </row>
    <row outlineLevel="0" r="443">
      <c r="A443" s="7408" t="n"/>
      <c r="Q443" s="7411" t="n"/>
    </row>
    <row outlineLevel="0" r="444">
      <c r="A444" s="7408" t="n"/>
      <c r="Q444" s="7411" t="n"/>
    </row>
    <row outlineLevel="0" r="445">
      <c r="A445" s="7408" t="n"/>
      <c r="Q445" s="7411" t="n"/>
    </row>
    <row outlineLevel="0" r="446">
      <c r="A446" s="7408" t="n"/>
      <c r="Q446" s="7411" t="n"/>
    </row>
    <row outlineLevel="0" r="447">
      <c r="A447" s="7408" t="n"/>
      <c r="Q447" s="7411" t="n"/>
    </row>
    <row outlineLevel="0" r="448">
      <c r="A448" s="7408" t="n"/>
      <c r="Q448" s="7411" t="n"/>
    </row>
    <row outlineLevel="0" r="449">
      <c r="A449" s="7408" t="n"/>
      <c r="Q449" s="7411" t="n"/>
    </row>
    <row outlineLevel="0" r="450">
      <c r="A450" s="7408" t="n"/>
      <c r="Q450" s="7411" t="n"/>
    </row>
    <row outlineLevel="0" r="451">
      <c r="A451" s="7408" t="n"/>
      <c r="Q451" s="7411" t="n"/>
    </row>
    <row outlineLevel="0" r="452">
      <c r="A452" s="7408" t="n"/>
      <c r="Q452" s="7411" t="n"/>
    </row>
    <row outlineLevel="0" r="453">
      <c r="A453" s="7408" t="n"/>
      <c r="Q453" s="7411" t="n"/>
    </row>
    <row outlineLevel="0" r="454">
      <c r="A454" s="7408" t="n"/>
      <c r="Q454" s="7411" t="n"/>
    </row>
    <row outlineLevel="0" r="455">
      <c r="A455" s="7408" t="n"/>
      <c r="Q455" s="7411" t="n"/>
    </row>
    <row outlineLevel="0" r="456">
      <c r="A456" s="7408" t="n"/>
      <c r="Q456" s="7411" t="n"/>
    </row>
    <row outlineLevel="0" r="457">
      <c r="A457" s="7408" t="n"/>
      <c r="Q457" s="7411" t="n"/>
    </row>
    <row outlineLevel="0" r="458">
      <c r="A458" s="7408" t="n"/>
      <c r="Q458" s="7411" t="n"/>
    </row>
    <row outlineLevel="0" r="459">
      <c r="A459" s="7408" t="n"/>
      <c r="Q459" s="7411" t="n"/>
    </row>
    <row outlineLevel="0" r="460">
      <c r="A460" s="7408" t="n"/>
      <c r="Q460" s="7411" t="n"/>
    </row>
    <row outlineLevel="0" r="461">
      <c r="A461" s="7408" t="n"/>
      <c r="Q461" s="7411" t="n"/>
    </row>
    <row outlineLevel="0" r="462">
      <c r="A462" s="7408" t="n"/>
      <c r="Q462" s="7411" t="n"/>
    </row>
    <row outlineLevel="0" r="463">
      <c r="A463" s="7408" t="n"/>
      <c r="Q463" s="7411" t="n"/>
    </row>
    <row outlineLevel="0" r="464">
      <c r="A464" s="7408" t="n"/>
      <c r="Q464" s="7411" t="n"/>
    </row>
    <row outlineLevel="0" r="465">
      <c r="A465" s="7408" t="n"/>
      <c r="Q465" s="7411" t="n"/>
    </row>
    <row outlineLevel="0" r="466">
      <c r="A466" s="7408" t="n"/>
      <c r="Q466" s="7411" t="n"/>
    </row>
    <row outlineLevel="0" r="467">
      <c r="A467" s="7408" t="n"/>
      <c r="Q467" s="7411" t="n"/>
    </row>
    <row outlineLevel="0" r="468">
      <c r="A468" s="7408" t="n"/>
      <c r="Q468" s="7411" t="n"/>
    </row>
    <row outlineLevel="0" r="469">
      <c r="A469" s="7408" t="n"/>
      <c r="Q469" s="7411" t="n"/>
    </row>
    <row outlineLevel="0" r="470">
      <c r="A470" s="7408" t="n"/>
      <c r="Q470" s="7411" t="n"/>
    </row>
    <row outlineLevel="0" r="471">
      <c r="A471" s="7408" t="n"/>
      <c r="Q471" s="7411" t="n"/>
    </row>
    <row outlineLevel="0" r="472">
      <c r="A472" s="7408" t="n"/>
      <c r="Q472" s="7411" t="n"/>
    </row>
    <row outlineLevel="0" r="473">
      <c r="A473" s="7408" t="n"/>
      <c r="Q473" s="7411" t="n"/>
    </row>
    <row outlineLevel="0" r="474">
      <c r="A474" s="7408" t="n"/>
      <c r="Q474" s="7411" t="n"/>
    </row>
    <row outlineLevel="0" r="475">
      <c r="A475" s="7408" t="n"/>
      <c r="Q475" s="7411" t="n"/>
    </row>
    <row outlineLevel="0" r="476">
      <c r="A476" s="7408" t="n"/>
      <c r="Q476" s="7411" t="n"/>
    </row>
    <row outlineLevel="0" r="477">
      <c r="A477" s="7408" t="n"/>
      <c r="Q477" s="7411" t="n"/>
    </row>
    <row outlineLevel="0" r="478">
      <c r="A478" s="7408" t="n"/>
      <c r="Q478" s="7411" t="n"/>
    </row>
    <row outlineLevel="0" r="479">
      <c r="A479" s="7408" t="n"/>
      <c r="Q479" s="7411" t="n"/>
    </row>
    <row outlineLevel="0" r="480">
      <c r="A480" s="7408" t="n"/>
      <c r="Q480" s="7411" t="n"/>
    </row>
    <row outlineLevel="0" r="481">
      <c r="A481" s="7408" t="n"/>
      <c r="Q481" s="7411" t="n"/>
    </row>
    <row outlineLevel="0" r="482">
      <c r="A482" s="7408" t="n"/>
      <c r="Q482" s="7411" t="n"/>
    </row>
    <row outlineLevel="0" r="483">
      <c r="A483" s="7408" t="n"/>
      <c r="Q483" s="7411" t="n"/>
    </row>
    <row outlineLevel="0" r="484">
      <c r="A484" s="7408" t="n"/>
      <c r="Q484" s="7411" t="n"/>
    </row>
    <row outlineLevel="0" r="485">
      <c r="A485" s="7408" t="n"/>
      <c r="Q485" s="7411" t="n"/>
    </row>
    <row outlineLevel="0" r="486">
      <c r="A486" s="7408" t="n"/>
      <c r="Q486" s="7411" t="n"/>
    </row>
    <row outlineLevel="0" r="487">
      <c r="A487" s="7408" t="n"/>
      <c r="Q487" s="7411" t="n"/>
    </row>
    <row outlineLevel="0" r="488">
      <c r="A488" s="7408" t="n"/>
      <c r="Q488" s="7411" t="n"/>
    </row>
    <row outlineLevel="0" r="489">
      <c r="A489" s="7408" t="n"/>
      <c r="Q489" s="7411" t="n"/>
    </row>
    <row outlineLevel="0" r="490">
      <c r="A490" s="7408" t="n"/>
      <c r="Q490" s="7411" t="n"/>
    </row>
    <row outlineLevel="0" r="491">
      <c r="A491" s="7408" t="n"/>
      <c r="Q491" s="7411" t="n"/>
    </row>
    <row outlineLevel="0" r="492">
      <c r="A492" s="7408" t="n"/>
      <c r="Q492" s="7411" t="n"/>
    </row>
    <row outlineLevel="0" r="493">
      <c r="A493" s="7408" t="n"/>
      <c r="Q493" s="7411" t="n"/>
    </row>
    <row outlineLevel="0" r="494">
      <c r="A494" s="7408" t="n"/>
      <c r="Q494" s="7411" t="n"/>
    </row>
    <row outlineLevel="0" r="495">
      <c r="A495" s="7408" t="n"/>
      <c r="Q495" s="7411" t="n"/>
    </row>
    <row outlineLevel="0" r="496">
      <c r="A496" s="7408" t="n"/>
      <c r="Q496" s="7411" t="n"/>
    </row>
    <row outlineLevel="0" r="497">
      <c r="A497" s="7408" t="n"/>
      <c r="Q497" s="7411" t="n"/>
    </row>
    <row outlineLevel="0" r="498">
      <c r="A498" s="7408" t="n"/>
      <c r="Q498" s="7411" t="n"/>
    </row>
    <row outlineLevel="0" r="499">
      <c r="A499" s="7408" t="n"/>
      <c r="Q499" s="7411" t="n"/>
    </row>
    <row outlineLevel="0" r="500">
      <c r="A500" s="7408" t="n"/>
      <c r="Q500" s="7411" t="n"/>
    </row>
    <row outlineLevel="0" r="501">
      <c r="A501" s="7408" t="n"/>
      <c r="Q501" s="7411" t="n"/>
    </row>
    <row outlineLevel="0" r="502">
      <c r="A502" s="7408" t="n"/>
      <c r="Q502" s="7411" t="n"/>
    </row>
    <row outlineLevel="0" r="503">
      <c r="A503" s="7408" t="n"/>
      <c r="Q503" s="7411" t="n"/>
    </row>
    <row outlineLevel="0" r="504">
      <c r="A504" s="7408" t="n"/>
      <c r="Q504" s="7411" t="n"/>
    </row>
    <row outlineLevel="0" r="505">
      <c r="A505" s="7408" t="n"/>
      <c r="Q505" s="7411" t="n"/>
    </row>
    <row outlineLevel="0" r="506">
      <c r="A506" s="7408" t="n"/>
      <c r="Q506" s="7411" t="n"/>
    </row>
    <row outlineLevel="0" r="507">
      <c r="A507" s="7408" t="n"/>
      <c r="Q507" s="7411" t="n"/>
    </row>
    <row outlineLevel="0" r="508">
      <c r="A508" s="7408" t="n"/>
      <c r="Q508" s="7411" t="n"/>
    </row>
    <row outlineLevel="0" r="509">
      <c r="A509" s="7408" t="n"/>
      <c r="Q509" s="7411" t="n"/>
    </row>
    <row outlineLevel="0" r="510">
      <c r="A510" s="7408" t="n"/>
      <c r="Q510" s="7411" t="n"/>
    </row>
    <row outlineLevel="0" r="511">
      <c r="A511" s="7408" t="n"/>
      <c r="Q511" s="7411" t="n"/>
    </row>
    <row outlineLevel="0" r="512">
      <c r="A512" s="7408" t="n"/>
      <c r="Q512" s="7411" t="n"/>
    </row>
    <row outlineLevel="0" r="513">
      <c r="A513" s="7408" t="n"/>
      <c r="Q513" s="7411" t="n"/>
    </row>
    <row outlineLevel="0" r="514">
      <c r="A514" s="7408" t="n"/>
      <c r="Q514" s="7411" t="n"/>
    </row>
    <row outlineLevel="0" r="515">
      <c r="A515" s="7408" t="n"/>
      <c r="Q515" s="7411" t="n"/>
    </row>
    <row outlineLevel="0" r="516">
      <c r="A516" s="7408" t="n"/>
      <c r="Q516" s="7411" t="n"/>
    </row>
    <row outlineLevel="0" r="517">
      <c r="A517" s="7408" t="n"/>
      <c r="Q517" s="7411" t="n"/>
    </row>
    <row outlineLevel="0" r="518">
      <c r="A518" s="7408" t="n"/>
      <c r="Q518" s="7411" t="n"/>
    </row>
    <row outlineLevel="0" r="519">
      <c r="A519" s="7408" t="n"/>
      <c r="Q519" s="7411" t="n"/>
    </row>
    <row outlineLevel="0" r="520">
      <c r="A520" s="7408" t="n"/>
      <c r="Q520" s="7411" t="n"/>
    </row>
    <row outlineLevel="0" r="521">
      <c r="A521" s="7408" t="n"/>
      <c r="Q521" s="7411" t="n"/>
    </row>
    <row outlineLevel="0" r="522">
      <c r="A522" s="7408" t="n"/>
      <c r="Q522" s="7411" t="n"/>
    </row>
    <row outlineLevel="0" r="523">
      <c r="A523" s="7408" t="n"/>
      <c r="Q523" s="7411" t="n"/>
    </row>
    <row outlineLevel="0" r="524">
      <c r="A524" s="7408" t="n"/>
      <c r="Q524" s="7411" t="n"/>
    </row>
    <row outlineLevel="0" r="525">
      <c r="A525" s="7408" t="n"/>
      <c r="Q525" s="7411" t="n"/>
    </row>
    <row outlineLevel="0" r="526">
      <c r="A526" s="7408" t="n"/>
      <c r="Q526" s="7411" t="n"/>
    </row>
    <row outlineLevel="0" r="527">
      <c r="A527" s="7408" t="n"/>
      <c r="Q527" s="7411" t="n"/>
    </row>
    <row outlineLevel="0" r="528">
      <c r="A528" s="7408" t="n"/>
      <c r="Q528" s="7411" t="n"/>
    </row>
    <row outlineLevel="0" r="529">
      <c r="A529" s="7408" t="n"/>
      <c r="Q529" s="7411" t="n"/>
    </row>
    <row outlineLevel="0" r="530">
      <c r="A530" s="7408" t="n"/>
      <c r="Q530" s="7411" t="n"/>
    </row>
    <row outlineLevel="0" r="531">
      <c r="A531" s="7408" t="n"/>
      <c r="Q531" s="7411" t="n"/>
    </row>
    <row outlineLevel="0" r="532">
      <c r="A532" s="7408" t="n"/>
      <c r="Q532" s="7411" t="n"/>
    </row>
    <row outlineLevel="0" r="533">
      <c r="A533" s="7408" t="n"/>
      <c r="Q533" s="7411" t="n"/>
    </row>
    <row outlineLevel="0" r="534">
      <c r="A534" s="7408" t="n"/>
      <c r="Q534" s="7411" t="n"/>
    </row>
    <row outlineLevel="0" r="535">
      <c r="A535" s="7408" t="n"/>
      <c r="Q535" s="7411" t="n"/>
    </row>
    <row outlineLevel="0" r="536">
      <c r="A536" s="7408" t="n"/>
      <c r="Q536" s="7411" t="n"/>
    </row>
    <row outlineLevel="0" r="537">
      <c r="A537" s="7408" t="n"/>
      <c r="Q537" s="7411" t="n"/>
    </row>
    <row outlineLevel="0" r="538">
      <c r="A538" s="7408" t="n"/>
      <c r="Q538" s="7411" t="n"/>
    </row>
    <row outlineLevel="0" r="539">
      <c r="A539" s="7408" t="n"/>
      <c r="Q539" s="7411" t="n"/>
    </row>
    <row outlineLevel="0" r="540">
      <c r="A540" s="7408" t="n"/>
      <c r="Q540" s="7411" t="n"/>
    </row>
    <row outlineLevel="0" r="541">
      <c r="A541" s="7408" t="n"/>
      <c r="Q541" s="7411" t="n"/>
    </row>
    <row outlineLevel="0" r="542">
      <c r="A542" s="7408" t="n"/>
      <c r="Q542" s="7411" t="n"/>
    </row>
    <row outlineLevel="0" r="543">
      <c r="A543" s="7408" t="n"/>
      <c r="Q543" s="7411" t="n"/>
    </row>
    <row outlineLevel="0" r="544">
      <c r="A544" s="7408" t="n"/>
      <c r="Q544" s="7411" t="n"/>
    </row>
    <row outlineLevel="0" r="545">
      <c r="A545" s="7408" t="n"/>
      <c r="Q545" s="7411" t="n"/>
    </row>
    <row outlineLevel="0" r="546">
      <c r="A546" s="7408" t="n"/>
      <c r="Q546" s="7411" t="n"/>
    </row>
    <row outlineLevel="0" r="547">
      <c r="A547" s="7408" t="n"/>
      <c r="Q547" s="7411" t="n"/>
    </row>
    <row outlineLevel="0" r="548">
      <c r="A548" s="7408" t="n"/>
      <c r="Q548" s="7411" t="n"/>
    </row>
    <row outlineLevel="0" r="549">
      <c r="A549" s="7408" t="n"/>
      <c r="Q549" s="7411" t="n"/>
    </row>
    <row outlineLevel="0" r="550">
      <c r="A550" s="7408" t="n"/>
      <c r="Q550" s="7411" t="n"/>
    </row>
    <row outlineLevel="0" r="551">
      <c r="A551" s="7408" t="n"/>
      <c r="Q551" s="7411" t="n"/>
    </row>
    <row outlineLevel="0" r="552">
      <c r="A552" s="7408" t="n"/>
      <c r="Q552" s="7411" t="n"/>
    </row>
    <row outlineLevel="0" r="553">
      <c r="A553" s="7408" t="n"/>
      <c r="Q553" s="7411" t="n"/>
    </row>
    <row outlineLevel="0" r="554">
      <c r="A554" s="7408" t="n"/>
      <c r="Q554" s="7411" t="n"/>
    </row>
    <row outlineLevel="0" r="555">
      <c r="A555" s="7408" t="n"/>
      <c r="Q555" s="7411" t="n"/>
    </row>
    <row outlineLevel="0" r="556">
      <c r="A556" s="7408" t="n"/>
      <c r="Q556" s="7411" t="n"/>
    </row>
    <row outlineLevel="0" r="557">
      <c r="A557" s="7408" t="n"/>
      <c r="Q557" s="7411" t="n"/>
    </row>
    <row outlineLevel="0" r="558">
      <c r="A558" s="7408" t="n"/>
      <c r="Q558" s="7411" t="n"/>
    </row>
    <row outlineLevel="0" r="559">
      <c r="A559" s="7408" t="n"/>
      <c r="Q559" s="7411" t="n"/>
    </row>
    <row outlineLevel="0" r="560">
      <c r="A560" s="7408" t="n"/>
      <c r="Q560" s="7411" t="n"/>
    </row>
    <row outlineLevel="0" r="561">
      <c r="A561" s="7408" t="n"/>
      <c r="Q561" s="7411" t="n"/>
    </row>
    <row outlineLevel="0" r="562">
      <c r="A562" s="7408" t="n"/>
      <c r="Q562" s="7411" t="n"/>
    </row>
    <row outlineLevel="0" r="563">
      <c r="A563" s="7408" t="n"/>
      <c r="Q563" s="7411" t="n"/>
    </row>
    <row outlineLevel="0" r="564">
      <c r="A564" s="7408" t="n"/>
      <c r="Q564" s="7411" t="n"/>
    </row>
    <row outlineLevel="0" r="565">
      <c r="A565" s="7408" t="n"/>
      <c r="Q565" s="7411" t="n"/>
    </row>
    <row outlineLevel="0" r="566">
      <c r="A566" s="7408" t="n"/>
      <c r="Q566" s="7411" t="n"/>
    </row>
    <row outlineLevel="0" r="567">
      <c r="A567" s="7408" t="n"/>
      <c r="Q567" s="7411" t="n"/>
    </row>
    <row outlineLevel="0" r="568">
      <c r="A568" s="7408" t="n"/>
      <c r="Q568" s="7411" t="n"/>
    </row>
    <row outlineLevel="0" r="569">
      <c r="A569" s="7408" t="n"/>
      <c r="Q569" s="7411" t="n"/>
    </row>
    <row outlineLevel="0" r="570">
      <c r="A570" s="7408" t="n"/>
      <c r="Q570" s="7411" t="n"/>
    </row>
    <row outlineLevel="0" r="571">
      <c r="A571" s="7408" t="n"/>
      <c r="Q571" s="7411" t="n"/>
    </row>
    <row outlineLevel="0" r="572">
      <c r="A572" s="7408" t="n"/>
      <c r="Q572" s="7411" t="n"/>
    </row>
    <row outlineLevel="0" r="573">
      <c r="A573" s="7408" t="n"/>
      <c r="Q573" s="7411" t="n"/>
    </row>
    <row outlineLevel="0" r="574">
      <c r="A574" s="7408" t="n"/>
      <c r="Q574" s="7411" t="n"/>
    </row>
    <row outlineLevel="0" r="575">
      <c r="A575" s="7408" t="n"/>
      <c r="Q575" s="7411" t="n"/>
    </row>
    <row outlineLevel="0" r="576">
      <c r="A576" s="7408" t="n"/>
      <c r="Q576" s="7411" t="n"/>
    </row>
    <row outlineLevel="0" r="577">
      <c r="A577" s="7408" t="n"/>
      <c r="Q577" s="7411" t="n"/>
    </row>
    <row outlineLevel="0" r="578">
      <c r="A578" s="7408" t="n"/>
      <c r="Q578" s="7411" t="n"/>
    </row>
    <row outlineLevel="0" r="579">
      <c r="A579" s="7408" t="n"/>
      <c r="Q579" s="7411" t="n"/>
    </row>
    <row outlineLevel="0" r="580">
      <c r="A580" s="7408" t="n"/>
      <c r="Q580" s="7411" t="n"/>
    </row>
    <row outlineLevel="0" r="581">
      <c r="A581" s="7408" t="n"/>
      <c r="Q581" s="7411" t="n"/>
    </row>
    <row outlineLevel="0" r="582">
      <c r="A582" s="7408" t="n"/>
      <c r="Q582" s="7411" t="n"/>
    </row>
    <row outlineLevel="0" r="583">
      <c r="A583" s="7408" t="n"/>
      <c r="Q583" s="7411" t="n"/>
    </row>
    <row outlineLevel="0" r="584">
      <c r="A584" s="7408" t="n"/>
      <c r="Q584" s="7411" t="n"/>
    </row>
    <row outlineLevel="0" r="585">
      <c r="A585" s="7408" t="n"/>
      <c r="Q585" s="7411" t="n"/>
    </row>
    <row outlineLevel="0" r="586">
      <c r="A586" s="7408" t="n"/>
      <c r="Q586" s="7411" t="n"/>
    </row>
    <row outlineLevel="0" r="587">
      <c r="A587" s="7408" t="n"/>
      <c r="Q587" s="7411" t="n"/>
    </row>
    <row outlineLevel="0" r="588">
      <c r="A588" s="7408" t="n"/>
      <c r="Q588" s="7411" t="n"/>
    </row>
    <row outlineLevel="0" r="589">
      <c r="A589" s="7408" t="n"/>
      <c r="Q589" s="7411" t="n"/>
    </row>
    <row outlineLevel="0" r="590">
      <c r="A590" s="7408" t="n"/>
      <c r="Q590" s="7411" t="n"/>
    </row>
    <row outlineLevel="0" r="591">
      <c r="A591" s="7408" t="n"/>
      <c r="Q591" s="7411" t="n"/>
    </row>
    <row outlineLevel="0" r="592">
      <c r="A592" s="7408" t="n"/>
      <c r="Q592" s="7411" t="n"/>
    </row>
    <row outlineLevel="0" r="593">
      <c r="A593" s="7408" t="n"/>
      <c r="Q593" s="7411" t="n"/>
    </row>
    <row outlineLevel="0" r="594">
      <c r="A594" s="7408" t="n"/>
      <c r="Q594" s="7411" t="n"/>
    </row>
    <row outlineLevel="0" r="595">
      <c r="A595" s="7408" t="n"/>
      <c r="Q595" s="7411" t="n"/>
    </row>
    <row outlineLevel="0" r="596">
      <c r="A596" s="7408" t="n"/>
      <c r="Q596" s="7411" t="n"/>
    </row>
    <row outlineLevel="0" r="597">
      <c r="A597" s="7408" t="n"/>
      <c r="Q597" s="7411" t="n"/>
    </row>
    <row outlineLevel="0" r="598">
      <c r="A598" s="7408" t="n"/>
      <c r="Q598" s="7411" t="n"/>
    </row>
    <row outlineLevel="0" r="599">
      <c r="A599" s="7408" t="n"/>
      <c r="Q599" s="7411" t="n"/>
    </row>
    <row outlineLevel="0" r="600">
      <c r="A600" s="7408" t="n"/>
      <c r="Q600" s="7411" t="n"/>
    </row>
    <row outlineLevel="0" r="601">
      <c r="A601" s="7408" t="n"/>
      <c r="Q601" s="7411" t="n"/>
    </row>
    <row outlineLevel="0" r="602">
      <c r="A602" s="7408" t="n"/>
      <c r="Q602" s="7411" t="n"/>
    </row>
    <row outlineLevel="0" r="603">
      <c r="A603" s="7408" t="n"/>
      <c r="Q603" s="7411" t="n"/>
    </row>
    <row outlineLevel="0" r="604">
      <c r="A604" s="7408" t="n"/>
      <c r="Q604" s="7411" t="n"/>
    </row>
    <row outlineLevel="0" r="605">
      <c r="A605" s="7408" t="n"/>
      <c r="Q605" s="7411" t="n"/>
    </row>
    <row outlineLevel="0" r="606">
      <c r="A606" s="7408" t="n"/>
      <c r="Q606" s="7411" t="n"/>
    </row>
    <row outlineLevel="0" r="607">
      <c r="A607" s="7408" t="n"/>
      <c r="Q607" s="7411" t="n"/>
    </row>
    <row outlineLevel="0" r="608">
      <c r="A608" s="7408" t="n"/>
      <c r="Q608" s="7411" t="n"/>
    </row>
    <row outlineLevel="0" r="609">
      <c r="A609" s="7408" t="n"/>
      <c r="Q609" s="7411" t="n"/>
    </row>
    <row outlineLevel="0" r="610">
      <c r="A610" s="7408" t="n"/>
      <c r="Q610" s="7411" t="n"/>
    </row>
    <row outlineLevel="0" r="611">
      <c r="A611" s="7408" t="n"/>
      <c r="Q611" s="7411" t="n"/>
    </row>
    <row outlineLevel="0" r="612">
      <c r="A612" s="7408" t="n"/>
      <c r="Q612" s="7411" t="n"/>
    </row>
    <row outlineLevel="0" r="613">
      <c r="A613" s="7408" t="n"/>
      <c r="Q613" s="7411" t="n"/>
    </row>
    <row outlineLevel="0" r="614">
      <c r="A614" s="7408" t="n"/>
      <c r="Q614" s="7411" t="n"/>
    </row>
    <row outlineLevel="0" r="615">
      <c r="A615" s="7408" t="n"/>
      <c r="Q615" s="7411" t="n"/>
    </row>
    <row outlineLevel="0" r="616">
      <c r="A616" s="7408" t="n"/>
      <c r="Q616" s="7411" t="n"/>
    </row>
    <row outlineLevel="0" r="617">
      <c r="A617" s="7408" t="n"/>
      <c r="Q617" s="7411" t="n"/>
    </row>
    <row outlineLevel="0" r="618">
      <c r="A618" s="7408" t="n"/>
      <c r="Q618" s="7411" t="n"/>
    </row>
    <row outlineLevel="0" r="619">
      <c r="A619" s="7408" t="n"/>
      <c r="Q619" s="7411" t="n"/>
    </row>
    <row outlineLevel="0" r="620">
      <c r="A620" s="7408" t="n"/>
      <c r="Q620" s="7411" t="n"/>
    </row>
    <row outlineLevel="0" r="621">
      <c r="A621" s="7408" t="n"/>
      <c r="Q621" s="7411" t="n"/>
    </row>
    <row outlineLevel="0" r="622">
      <c r="A622" s="7408" t="n"/>
      <c r="Q622" s="7411" t="n"/>
    </row>
    <row outlineLevel="0" r="623">
      <c r="A623" s="7408" t="n"/>
      <c r="Q623" s="7411" t="n"/>
    </row>
    <row outlineLevel="0" r="624">
      <c r="A624" s="7408" t="n"/>
      <c r="Q624" s="7411" t="n"/>
    </row>
    <row outlineLevel="0" r="625">
      <c r="A625" s="7408" t="n"/>
      <c r="Q625" s="7411" t="n"/>
    </row>
    <row outlineLevel="0" r="626">
      <c r="A626" s="7408" t="n"/>
      <c r="Q626" s="7411" t="n"/>
    </row>
    <row outlineLevel="0" r="627">
      <c r="A627" s="7408" t="n"/>
      <c r="Q627" s="7411" t="n"/>
    </row>
    <row outlineLevel="0" r="628">
      <c r="A628" s="7408" t="n"/>
      <c r="Q628" s="7411" t="n"/>
    </row>
    <row outlineLevel="0" r="629">
      <c r="A629" s="7408" t="n"/>
      <c r="Q629" s="7411" t="n"/>
    </row>
    <row outlineLevel="0" r="630">
      <c r="A630" s="7408" t="n"/>
      <c r="Q630" s="7411" t="n"/>
    </row>
    <row outlineLevel="0" r="631">
      <c r="A631" s="7408" t="n"/>
      <c r="Q631" s="7411" t="n"/>
    </row>
    <row outlineLevel="0" r="632">
      <c r="A632" s="7408" t="n"/>
      <c r="Q632" s="7411" t="n"/>
    </row>
    <row outlineLevel="0" r="633">
      <c r="A633" s="7408" t="n"/>
      <c r="Q633" s="7411" t="n"/>
    </row>
    <row outlineLevel="0" r="634">
      <c r="A634" s="7408" t="n"/>
      <c r="Q634" s="7411" t="n"/>
    </row>
    <row outlineLevel="0" r="635">
      <c r="A635" s="7408" t="n"/>
      <c r="Q635" s="7411" t="n"/>
    </row>
    <row outlineLevel="0" r="636">
      <c r="A636" s="7408" t="n"/>
      <c r="Q636" s="7411" t="n"/>
    </row>
    <row outlineLevel="0" r="637">
      <c r="A637" s="7408" t="n"/>
      <c r="Q637" s="7411" t="n"/>
    </row>
    <row outlineLevel="0" r="638">
      <c r="A638" s="7408" t="n"/>
      <c r="Q638" s="7411" t="n"/>
    </row>
    <row outlineLevel="0" r="639">
      <c r="A639" s="7408" t="n"/>
      <c r="Q639" s="7411" t="n"/>
    </row>
    <row outlineLevel="0" r="640">
      <c r="A640" s="7408" t="n"/>
      <c r="Q640" s="7411" t="n"/>
    </row>
    <row outlineLevel="0" r="641">
      <c r="A641" s="7408" t="n"/>
      <c r="Q641" s="7411" t="n"/>
    </row>
    <row outlineLevel="0" r="642">
      <c r="A642" s="7408" t="n"/>
      <c r="Q642" s="7411" t="n"/>
    </row>
    <row outlineLevel="0" r="643">
      <c r="A643" s="7408" t="n"/>
      <c r="Q643" s="7411" t="n"/>
    </row>
    <row outlineLevel="0" r="644">
      <c r="A644" s="7408" t="n"/>
      <c r="Q644" s="7411" t="n"/>
    </row>
    <row outlineLevel="0" r="645">
      <c r="A645" s="7408" t="n"/>
      <c r="Q645" s="7411" t="n"/>
    </row>
    <row outlineLevel="0" r="646">
      <c r="A646" s="7408" t="n"/>
      <c r="Q646" s="7411" t="n"/>
    </row>
    <row outlineLevel="0" r="647">
      <c r="A647" s="7408" t="n"/>
      <c r="Q647" s="7411" t="n"/>
    </row>
    <row outlineLevel="0" r="648">
      <c r="A648" s="7408" t="n"/>
      <c r="Q648" s="7411" t="n"/>
    </row>
    <row outlineLevel="0" r="649">
      <c r="A649" s="7408" t="n"/>
      <c r="Q649" s="7411" t="n"/>
    </row>
    <row outlineLevel="0" r="650">
      <c r="A650" s="7408" t="n"/>
      <c r="Q650" s="7411" t="n"/>
    </row>
    <row outlineLevel="0" r="651">
      <c r="A651" s="7408" t="n"/>
      <c r="Q651" s="7411" t="n"/>
    </row>
    <row outlineLevel="0" r="652">
      <c r="A652" s="7408" t="n"/>
      <c r="Q652" s="7411" t="n"/>
    </row>
    <row outlineLevel="0" r="653">
      <c r="A653" s="7408" t="n"/>
      <c r="Q653" s="7411" t="n"/>
    </row>
    <row outlineLevel="0" r="654">
      <c r="A654" s="7408" t="n"/>
      <c r="Q654" s="7411" t="n"/>
    </row>
    <row outlineLevel="0" r="655">
      <c r="A655" s="7408" t="n"/>
      <c r="Q655" s="7411" t="n"/>
    </row>
    <row outlineLevel="0" r="656">
      <c r="A656" s="7408" t="n"/>
      <c r="Q656" s="7411" t="n"/>
    </row>
    <row outlineLevel="0" r="657">
      <c r="A657" s="7408" t="n"/>
      <c r="Q657" s="7411" t="n"/>
    </row>
    <row outlineLevel="0" r="658">
      <c r="A658" s="7408" t="n"/>
      <c r="Q658" s="7411" t="n"/>
    </row>
    <row outlineLevel="0" r="659">
      <c r="A659" s="7408" t="n"/>
      <c r="Q659" s="7411" t="n"/>
    </row>
    <row outlineLevel="0" r="660">
      <c r="A660" s="7408" t="n"/>
      <c r="Q660" s="7411" t="n"/>
    </row>
    <row outlineLevel="0" r="661">
      <c r="A661" s="7408" t="n"/>
      <c r="Q661" s="7411" t="n"/>
    </row>
    <row outlineLevel="0" r="662">
      <c r="A662" s="7408" t="n"/>
      <c r="Q662" s="7411" t="n"/>
    </row>
    <row outlineLevel="0" r="663">
      <c r="A663" s="7408" t="n"/>
      <c r="Q663" s="7411" t="n"/>
    </row>
    <row outlineLevel="0" r="664">
      <c r="A664" s="7408" t="n"/>
      <c r="Q664" s="7411" t="n"/>
    </row>
    <row outlineLevel="0" r="665">
      <c r="A665" s="7408" t="n"/>
      <c r="Q665" s="7411" t="n"/>
    </row>
    <row outlineLevel="0" r="666">
      <c r="A666" s="7408" t="n"/>
      <c r="Q666" s="7411" t="n"/>
    </row>
    <row outlineLevel="0" r="667">
      <c r="A667" s="7408" t="n"/>
      <c r="Q667" s="7411" t="n"/>
    </row>
    <row outlineLevel="0" r="668">
      <c r="A668" s="7408" t="n"/>
      <c r="Q668" s="7411" t="n"/>
    </row>
    <row outlineLevel="0" r="669">
      <c r="A669" s="7408" t="n"/>
      <c r="Q669" s="7411" t="n"/>
    </row>
    <row outlineLevel="0" r="670">
      <c r="A670" s="7408" t="n"/>
      <c r="Q670" s="7411" t="n"/>
    </row>
    <row outlineLevel="0" r="671">
      <c r="A671" s="7408" t="n"/>
      <c r="Q671" s="7411" t="n"/>
    </row>
    <row outlineLevel="0" r="672">
      <c r="A672" s="7408" t="n"/>
      <c r="Q672" s="7411" t="n"/>
    </row>
    <row outlineLevel="0" r="673">
      <c r="Q673" s="7411" t="n"/>
    </row>
    <row outlineLevel="0" r="674">
      <c r="Q674" s="7411" t="n"/>
    </row>
    <row outlineLevel="0" r="675">
      <c r="Q675" s="7411" t="n"/>
    </row>
    <row outlineLevel="0" r="676">
      <c r="Q676" s="7411" t="n"/>
    </row>
    <row outlineLevel="0" r="677">
      <c r="Q677" s="7411" t="n"/>
    </row>
    <row outlineLevel="0" r="678">
      <c r="Q678" s="7411" t="n"/>
    </row>
    <row outlineLevel="0" r="679">
      <c r="Q679" s="7411" t="n"/>
    </row>
    <row outlineLevel="0" r="680">
      <c r="Q680" s="7411" t="n"/>
    </row>
    <row outlineLevel="0" r="681">
      <c r="Q681" s="7411" t="n"/>
    </row>
  </sheetData>
  <mergeCells count="4">
    <mergeCell ref="AH1:AJ1"/>
    <mergeCell ref="AL1:AM1"/>
    <mergeCell ref="AO1:AQ1"/>
    <mergeCell ref="AS1:AU1"/>
  </mergeCells>
  <pageMargins bottom="0.75" footer="0.30000001192092896" header="0.30000001192092896" left="0.70000004768371582" right="0.70000004768371582" top="0.75"/>
  <legacyDrawing r:id="rId1"/>
</worksheet>
</file>

<file path=xl/worksheets/sheet13.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H79"/>
  <sheetViews>
    <sheetView showZeros="true" workbookViewId="0"/>
  </sheetViews>
  <sheetFormatPr baseColWidth="8" customHeight="false" defaultColWidth="9.1406253092569258" defaultRowHeight="15" zeroHeight="true"/>
  <cols>
    <col customWidth="true" max="1" min="1" outlineLevel="0" width="13.1406246325922"/>
    <col customWidth="true" max="2" min="2" outlineLevel="0" style="56" width="10.999999830833818"/>
    <col customWidth="true" max="3" min="3" outlineLevel="0" width="11.570313162127007"/>
    <col customWidth="true" max="4" min="4" outlineLevel="0" width="106.28515768064368"/>
    <col bestFit="true" customWidth="true" max="5" min="5" outlineLevel="0" width="9.4257812982387943"/>
    <col customWidth="true" max="6" min="6" outlineLevel="0" width="9.1406253092569258"/>
    <col bestFit="true" customWidth="true" max="7" min="7" outlineLevel="0" width="50.000001691661815"/>
    <col customWidth="true" hidden="true" max="8" min="8" outlineLevel="0" width="32"/>
    <col bestFit="true" customWidth="true" hidden="true" max="16384" min="9" outlineLevel="0" width="9.1406253092569258"/>
  </cols>
  <sheetData>
    <row hidden="false" ht="15" outlineLevel="0" r="1">
      <c r="A1" s="0" t="inlineStr">
        <is>
          <t xml:space="preserve"># of update</t>
        </is>
      </c>
      <c r="B1" s="56" t="inlineStr">
        <is>
          <t xml:space="preserve">Version</t>
        </is>
      </c>
      <c r="C1" s="0" t="inlineStr">
        <is>
          <t xml:space="preserve">Date</t>
        </is>
      </c>
      <c r="D1" s="0" t="inlineStr">
        <is>
          <t xml:space="preserve">Changes</t>
        </is>
      </c>
      <c r="G1" s="7288" t="s">
        <v>3664</v>
      </c>
    </row>
    <row hidden="false" ht="15" outlineLevel="0" r="2">
      <c r="A2" s="7433" t="s">
        <v>3665</v>
      </c>
      <c r="B2" s="7434" t="s">
        <v>3665</v>
      </c>
      <c r="C2" s="7435" t="n">
        <v>42644</v>
      </c>
      <c r="D2" s="7436" t="s">
        <v>3666</v>
      </c>
      <c r="G2" s="7286" t="s">
        <v>3667</v>
      </c>
    </row>
    <row hidden="false" ht="195" outlineLevel="0" r="3">
      <c r="A3" s="0" t="s">
        <v>3668</v>
      </c>
      <c r="C3" s="7435" t="n">
        <v>42692</v>
      </c>
      <c r="D3" s="84" t="s">
        <v>3669</v>
      </c>
    </row>
    <row hidden="false" ht="15" outlineLevel="0" r="4">
      <c r="A4" s="0" t="s">
        <v>3670</v>
      </c>
      <c r="D4" s="0" t="s">
        <v>3671</v>
      </c>
    </row>
    <row hidden="false" ht="150" outlineLevel="0" r="5">
      <c r="A5" s="0" t="s">
        <v>3672</v>
      </c>
      <c r="D5" s="84" t="s">
        <v>3673</v>
      </c>
    </row>
    <row hidden="false" ht="15" outlineLevel="0" r="6">
      <c r="A6" s="0" t="s">
        <v>3674</v>
      </c>
      <c r="D6" s="0" t="s">
        <v>3675</v>
      </c>
    </row>
    <row hidden="false" ht="45" outlineLevel="0" r="7">
      <c r="A7" s="0" t="s">
        <v>3676</v>
      </c>
      <c r="B7" s="56" t="s">
        <v>3677</v>
      </c>
      <c r="C7" s="7435" t="n">
        <v>42731</v>
      </c>
      <c r="D7" s="7437" t="s">
        <v>3678</v>
      </c>
    </row>
    <row hidden="false" ht="60" outlineLevel="0" r="8">
      <c r="A8" s="0" t="s">
        <v>3679</v>
      </c>
      <c r="B8" s="56" t="s">
        <v>3680</v>
      </c>
      <c r="C8" s="7435" t="n">
        <v>42823</v>
      </c>
      <c r="D8" s="7437" t="s">
        <v>3681</v>
      </c>
    </row>
    <row hidden="false" ht="45" outlineLevel="0" r="9">
      <c r="A9" s="0" t="s">
        <v>3682</v>
      </c>
      <c r="B9" s="56" t="s">
        <v>3683</v>
      </c>
      <c r="C9" s="7435" t="n">
        <v>42828</v>
      </c>
      <c r="D9" s="7437" t="s">
        <v>3684</v>
      </c>
    </row>
    <row hidden="false" ht="75" outlineLevel="0" r="10">
      <c r="A10" s="0" t="s">
        <v>3685</v>
      </c>
      <c r="B10" s="56" t="s">
        <v>3686</v>
      </c>
      <c r="C10" s="7435" t="n">
        <v>42982</v>
      </c>
      <c r="D10" s="7437" t="s">
        <v>3687</v>
      </c>
    </row>
    <row hidden="false" ht="75" outlineLevel="0" r="11">
      <c r="A11" s="0" t="s">
        <v>3688</v>
      </c>
      <c r="B11" s="56" t="s">
        <v>3689</v>
      </c>
      <c r="C11" s="7435" t="n">
        <v>43010</v>
      </c>
      <c r="D11" s="84" t="s">
        <v>3690</v>
      </c>
    </row>
    <row hidden="false" ht="120" outlineLevel="0" r="12">
      <c r="A12" s="0" t="s">
        <v>3691</v>
      </c>
      <c r="B12" s="56" t="s">
        <v>3692</v>
      </c>
      <c r="C12" s="7435" t="n">
        <v>43083</v>
      </c>
      <c r="D12" s="7437" t="s">
        <v>3693</v>
      </c>
    </row>
    <row hidden="false" ht="30" outlineLevel="0" r="13">
      <c r="A13" s="0" t="s">
        <v>3694</v>
      </c>
      <c r="B13" s="56" t="s">
        <v>3695</v>
      </c>
      <c r="C13" s="7435" t="n">
        <v>43086</v>
      </c>
      <c r="D13" s="7437" t="s">
        <v>3696</v>
      </c>
    </row>
    <row hidden="false" ht="30" outlineLevel="0" r="14">
      <c r="A14" s="0" t="s">
        <v>3697</v>
      </c>
      <c r="B14" s="56" t="s">
        <v>3695</v>
      </c>
      <c r="C14" s="7435" t="n">
        <v>43088</v>
      </c>
      <c r="D14" s="7437" t="s">
        <v>3698</v>
      </c>
    </row>
    <row hidden="false" ht="210" outlineLevel="0" r="15">
      <c r="A15" s="0" t="s">
        <v>3699</v>
      </c>
      <c r="B15" s="56" t="s">
        <v>3700</v>
      </c>
      <c r="C15" s="7435" t="n">
        <v>43106</v>
      </c>
      <c r="D15" s="7437" t="s">
        <v>3701</v>
      </c>
    </row>
    <row hidden="false" ht="75" outlineLevel="0" r="16">
      <c r="A16" s="0" t="s">
        <v>3702</v>
      </c>
      <c r="B16" s="56" t="s">
        <v>3703</v>
      </c>
      <c r="C16" s="7435" t="n">
        <v>43138</v>
      </c>
      <c r="D16" s="7437" t="s">
        <v>3704</v>
      </c>
    </row>
    <row hidden="false" ht="30" outlineLevel="0" r="17">
      <c r="A17" s="0" t="s">
        <v>3705</v>
      </c>
      <c r="B17" s="56" t="s">
        <v>3706</v>
      </c>
      <c r="C17" s="7435" t="n">
        <v>43144</v>
      </c>
      <c r="D17" s="7437" t="s">
        <v>3707</v>
      </c>
    </row>
    <row hidden="false" ht="15" outlineLevel="0" r="18">
      <c r="A18" s="0" t="s">
        <v>3708</v>
      </c>
      <c r="B18" s="56" t="s">
        <v>3709</v>
      </c>
      <c r="C18" s="7435" t="n">
        <v>43165</v>
      </c>
      <c r="D18" s="7433" t="s">
        <v>3710</v>
      </c>
    </row>
    <row hidden="false" ht="30" outlineLevel="0" r="19">
      <c r="A19" s="0" t="s">
        <v>3711</v>
      </c>
      <c r="B19" s="56" t="s">
        <v>3712</v>
      </c>
      <c r="C19" s="7435" t="n">
        <v>43177</v>
      </c>
      <c r="D19" s="7437" t="s">
        <v>3713</v>
      </c>
    </row>
    <row hidden="false" ht="60" outlineLevel="0" r="20">
      <c r="A20" s="0" t="s">
        <v>3714</v>
      </c>
      <c r="B20" s="56" t="s">
        <v>3715</v>
      </c>
      <c r="C20" s="7435" t="n">
        <v>43181</v>
      </c>
      <c r="D20" s="7437" t="s">
        <v>3716</v>
      </c>
    </row>
    <row hidden="false" ht="30" outlineLevel="0" r="21">
      <c r="A21" s="0" t="s">
        <v>3717</v>
      </c>
      <c r="B21" s="56" t="s">
        <v>3718</v>
      </c>
      <c r="C21" s="7435" t="n">
        <v>43198</v>
      </c>
      <c r="D21" s="7437" t="s">
        <v>3719</v>
      </c>
    </row>
    <row hidden="false" ht="60" outlineLevel="0" r="22">
      <c r="A22" s="0" t="s">
        <v>3720</v>
      </c>
      <c r="B22" s="56" t="s">
        <v>3721</v>
      </c>
      <c r="C22" s="7435" t="n">
        <v>43548</v>
      </c>
      <c r="D22" s="7437" t="s">
        <v>3722</v>
      </c>
    </row>
    <row hidden="false" ht="90" outlineLevel="0" r="23">
      <c r="A23" s="0" t="s">
        <v>3723</v>
      </c>
      <c r="B23" s="56" t="s">
        <v>3724</v>
      </c>
      <c r="C23" s="7435" t="n">
        <v>43565</v>
      </c>
      <c r="D23" s="7437" t="s">
        <v>3725</v>
      </c>
    </row>
    <row hidden="false" ht="105" outlineLevel="0" r="24">
      <c r="A24" s="0" t="s">
        <v>3726</v>
      </c>
      <c r="B24" s="56" t="s">
        <v>3727</v>
      </c>
      <c r="C24" s="7435" t="n">
        <v>43669</v>
      </c>
      <c r="D24" s="7437" t="s">
        <v>3728</v>
      </c>
    </row>
    <row hidden="false" ht="105" outlineLevel="0" r="25">
      <c r="A25" s="0" t="s">
        <v>3729</v>
      </c>
      <c r="B25" s="56" t="s">
        <v>3730</v>
      </c>
      <c r="C25" s="7435" t="n">
        <v>43747</v>
      </c>
      <c r="D25" s="84" t="s">
        <v>3731</v>
      </c>
    </row>
    <row hidden="false" ht="105" outlineLevel="0" r="26">
      <c r="A26" s="0" t="s">
        <v>3732</v>
      </c>
      <c r="B26" s="56" t="s">
        <v>3733</v>
      </c>
      <c r="C26" s="7435" t="n">
        <v>44045</v>
      </c>
      <c r="D26" s="84" t="s">
        <v>3734</v>
      </c>
    </row>
    <row hidden="false" ht="45" outlineLevel="0" r="27">
      <c r="A27" s="0" t="s">
        <v>3735</v>
      </c>
      <c r="B27" s="56" t="s">
        <v>3733</v>
      </c>
      <c r="C27" s="7435" t="n">
        <v>44047</v>
      </c>
      <c r="D27" s="84" t="s">
        <v>3736</v>
      </c>
    </row>
    <row hidden="false" ht="90" outlineLevel="0" r="28">
      <c r="A28" s="0" t="s">
        <v>3737</v>
      </c>
      <c r="B28" s="56" t="s">
        <v>3738</v>
      </c>
      <c r="C28" s="7435" t="n">
        <v>44054</v>
      </c>
      <c r="D28" s="84" t="s">
        <v>3739</v>
      </c>
    </row>
    <row hidden="false" ht="60" outlineLevel="0" r="29">
      <c r="A29" s="0" t="s">
        <v>3740</v>
      </c>
      <c r="B29" s="56" t="s">
        <v>3741</v>
      </c>
      <c r="C29" s="7435" t="n">
        <v>44147</v>
      </c>
      <c r="D29" s="84" t="s">
        <v>3742</v>
      </c>
    </row>
    <row customHeight="true" hidden="false" ht="48.75" outlineLevel="0" r="30">
      <c r="A30" s="0" t="s">
        <v>3743</v>
      </c>
      <c r="B30" s="56" t="s">
        <v>3744</v>
      </c>
      <c r="C30" s="7435" t="n">
        <v>44164</v>
      </c>
      <c r="D30" s="84" t="s">
        <v>3745</v>
      </c>
    </row>
    <row hidden="false" ht="15" outlineLevel="0" r="31">
      <c r="A31" s="0" t="s">
        <v>3746</v>
      </c>
      <c r="B31" s="56" t="s">
        <v>3744</v>
      </c>
      <c r="C31" s="7435" t="n">
        <v>44200</v>
      </c>
      <c r="D31" s="84" t="s">
        <v>3747</v>
      </c>
    </row>
    <row hidden="false" ht="15" outlineLevel="0" r="32">
      <c r="A32" s="0" t="s">
        <v>3748</v>
      </c>
      <c r="B32" s="56" t="s">
        <v>3744</v>
      </c>
      <c r="C32" s="7435" t="n">
        <v>44208</v>
      </c>
      <c r="D32" s="84" t="s">
        <v>3749</v>
      </c>
    </row>
    <row hidden="false" ht="15" outlineLevel="0" r="33">
      <c r="A33" s="0" t="s">
        <v>3750</v>
      </c>
      <c r="B33" s="56" t="s">
        <v>3744</v>
      </c>
      <c r="C33" s="7435" t="n">
        <v>44225</v>
      </c>
      <c r="D33" s="84" t="s">
        <v>3751</v>
      </c>
    </row>
    <row hidden="false" ht="30" outlineLevel="0" r="34">
      <c r="A34" s="0" t="s">
        <v>3752</v>
      </c>
      <c r="B34" s="56" t="s">
        <v>3744</v>
      </c>
      <c r="C34" s="7435" t="n">
        <v>44226</v>
      </c>
      <c r="D34" s="84" t="s">
        <v>3753</v>
      </c>
    </row>
    <row hidden="false" ht="15" outlineLevel="0" r="35">
      <c r="A35" s="0" t="s">
        <v>3754</v>
      </c>
      <c r="B35" s="56" t="s">
        <v>3744</v>
      </c>
      <c r="C35" s="7435" t="n">
        <v>44227</v>
      </c>
      <c r="D35" s="84" t="s">
        <v>3755</v>
      </c>
    </row>
    <row hidden="false" ht="15" outlineLevel="0" r="36">
      <c r="A36" s="0" t="s">
        <v>3756</v>
      </c>
      <c r="B36" s="56" t="s">
        <v>3744</v>
      </c>
      <c r="C36" s="7435" t="n">
        <v>44254</v>
      </c>
      <c r="D36" s="84" t="s">
        <v>3757</v>
      </c>
    </row>
    <row hidden="false" ht="15" outlineLevel="0" r="37">
      <c r="A37" s="0" t="s">
        <v>3758</v>
      </c>
      <c r="B37" s="56" t="s">
        <v>3744</v>
      </c>
      <c r="C37" s="7435" t="n">
        <v>44263</v>
      </c>
      <c r="D37" s="84" t="s">
        <v>3759</v>
      </c>
    </row>
    <row hidden="false" ht="15" outlineLevel="0" r="38">
      <c r="A38" s="0" t="s">
        <v>3760</v>
      </c>
      <c r="B38" s="56" t="s">
        <v>3744</v>
      </c>
      <c r="C38" s="7435" t="n">
        <v>44272</v>
      </c>
      <c r="D38" s="84" t="s">
        <v>3761</v>
      </c>
    </row>
    <row hidden="false" ht="15" outlineLevel="0" r="39">
      <c r="A39" s="0" t="s">
        <v>3762</v>
      </c>
      <c r="B39" s="56" t="s">
        <v>3744</v>
      </c>
      <c r="C39" s="7435" t="n">
        <v>44286</v>
      </c>
      <c r="D39" s="84" t="s">
        <v>3763</v>
      </c>
    </row>
    <row hidden="false" ht="60" outlineLevel="0" r="40">
      <c r="A40" s="0" t="s">
        <v>3764</v>
      </c>
      <c r="B40" s="56" t="s">
        <v>3765</v>
      </c>
      <c r="C40" s="7435" t="n">
        <v>44300</v>
      </c>
      <c r="D40" s="84" t="s">
        <v>3766</v>
      </c>
    </row>
    <row customHeight="true" hidden="false" ht="74.25" outlineLevel="0" r="41">
      <c r="A41" s="0" t="s">
        <v>3767</v>
      </c>
      <c r="B41" s="56" t="s">
        <v>3768</v>
      </c>
      <c r="C41" s="7435" t="n">
        <v>44328</v>
      </c>
      <c r="D41" s="84" t="s">
        <v>3769</v>
      </c>
    </row>
    <row hidden="false" ht="15" outlineLevel="0" r="42">
      <c r="A42" s="0" t="s">
        <v>3770</v>
      </c>
      <c r="B42" s="56" t="s">
        <v>3771</v>
      </c>
      <c r="C42" s="7435" t="n">
        <v>44417</v>
      </c>
      <c r="D42" s="84" t="s">
        <v>3772</v>
      </c>
    </row>
    <row hidden="false" ht="15" outlineLevel="0" r="43">
      <c r="A43" s="0" t="s">
        <v>3773</v>
      </c>
      <c r="B43" s="56" t="s">
        <v>3771</v>
      </c>
      <c r="C43" s="7435" t="n">
        <v>44446</v>
      </c>
      <c r="D43" s="84" t="s">
        <v>3774</v>
      </c>
    </row>
    <row hidden="false" ht="15" outlineLevel="0" r="44">
      <c r="A44" s="0" t="s">
        <v>3775</v>
      </c>
      <c r="B44" s="56" t="s">
        <v>3771</v>
      </c>
      <c r="C44" s="7435" t="n">
        <v>44495</v>
      </c>
      <c r="D44" s="84" t="s">
        <v>3776</v>
      </c>
    </row>
    <row hidden="false" ht="15" outlineLevel="0" r="45">
      <c r="A45" s="0" t="s">
        <v>3777</v>
      </c>
      <c r="B45" s="56" t="s">
        <v>3778</v>
      </c>
      <c r="C45" s="7435" t="n">
        <v>44678</v>
      </c>
      <c r="D45" s="84" t="s">
        <v>3779</v>
      </c>
    </row>
    <row hidden="false" ht="15" outlineLevel="0" r="46">
      <c r="A46" s="0" t="s">
        <v>3780</v>
      </c>
      <c r="B46" s="56" t="s">
        <v>3778</v>
      </c>
      <c r="C46" s="7435" t="n">
        <v>44687</v>
      </c>
      <c r="D46" s="84" t="s">
        <v>3781</v>
      </c>
    </row>
    <row hidden="false" ht="30" outlineLevel="0" r="47">
      <c r="A47" s="0" t="s">
        <v>3782</v>
      </c>
      <c r="B47" s="56" t="s">
        <v>3783</v>
      </c>
      <c r="C47" s="7435" t="n">
        <v>44716</v>
      </c>
      <c r="D47" s="84" t="s">
        <v>3784</v>
      </c>
    </row>
    <row hidden="false" ht="15" outlineLevel="0" r="48">
      <c r="A48" s="0" t="s">
        <v>3785</v>
      </c>
      <c r="B48" s="56" t="s">
        <v>3783</v>
      </c>
      <c r="C48" s="7435" t="n">
        <v>44732</v>
      </c>
      <c r="D48" s="84" t="s">
        <v>3786</v>
      </c>
    </row>
    <row hidden="false" ht="15" outlineLevel="0" r="49">
      <c r="A49" s="0" t="s">
        <v>3787</v>
      </c>
      <c r="B49" s="56" t="s">
        <v>3788</v>
      </c>
      <c r="C49" s="7435" t="n">
        <v>44772</v>
      </c>
      <c r="D49" s="84" t="s">
        <v>3789</v>
      </c>
    </row>
    <row hidden="false" ht="15" outlineLevel="0" r="50">
      <c r="A50" s="0" t="s">
        <v>3790</v>
      </c>
      <c r="B50" s="56" t="s">
        <v>3788</v>
      </c>
      <c r="C50" s="7435" t="n">
        <v>44832</v>
      </c>
      <c r="D50" s="84" t="s">
        <v>3791</v>
      </c>
    </row>
    <row hidden="false" ht="15" outlineLevel="0" r="51">
      <c r="A51" s="0" t="s">
        <v>3792</v>
      </c>
      <c r="B51" s="56" t="s">
        <v>3788</v>
      </c>
      <c r="C51" s="7435" t="n">
        <v>44858</v>
      </c>
      <c r="D51" s="84" t="s">
        <v>3793</v>
      </c>
    </row>
    <row hidden="false" ht="15" outlineLevel="0" r="52">
      <c r="A52" s="0" t="s">
        <v>3794</v>
      </c>
      <c r="B52" s="56" t="s">
        <v>3788</v>
      </c>
      <c r="C52" s="7435" t="n">
        <v>44876</v>
      </c>
      <c r="D52" s="84" t="s">
        <v>3793</v>
      </c>
    </row>
    <row hidden="false" ht="15" outlineLevel="0" r="53">
      <c r="A53" s="0" t="s">
        <v>3795</v>
      </c>
      <c r="B53" s="56" t="s">
        <v>3796</v>
      </c>
      <c r="C53" s="7435" t="n">
        <v>44958</v>
      </c>
      <c r="D53" s="84" t="s">
        <v>3797</v>
      </c>
    </row>
    <row hidden="false" ht="15" outlineLevel="0" r="54">
      <c r="A54" s="0" t="s">
        <v>3798</v>
      </c>
      <c r="B54" s="56" t="s">
        <v>3799</v>
      </c>
      <c r="C54" s="7435" t="n">
        <v>45029</v>
      </c>
      <c r="D54" s="84" t="s">
        <v>3800</v>
      </c>
    </row>
    <row hidden="false" ht="60" outlineLevel="0" r="55">
      <c r="A55" s="0" t="s">
        <v>3801</v>
      </c>
      <c r="B55" s="56" t="s">
        <v>3802</v>
      </c>
      <c r="C55" s="7435" t="n">
        <v>45049</v>
      </c>
      <c r="D55" s="84" t="s">
        <v>3803</v>
      </c>
    </row>
    <row hidden="false" ht="15" outlineLevel="0" r="56">
      <c r="A56" s="0" t="s">
        <v>3804</v>
      </c>
      <c r="B56" s="56" t="s">
        <v>3805</v>
      </c>
      <c r="C56" s="7435" t="n">
        <v>45176</v>
      </c>
      <c r="D56" s="84" t="s">
        <v>3806</v>
      </c>
    </row>
    <row hidden="false" ht="15" outlineLevel="0" r="57">
      <c r="A57" s="0" t="s">
        <v>3807</v>
      </c>
      <c r="B57" s="56" t="s">
        <v>3808</v>
      </c>
      <c r="C57" s="7435" t="n">
        <v>45201</v>
      </c>
      <c r="D57" s="84" t="s">
        <v>3809</v>
      </c>
    </row>
    <row hidden="false" ht="15" outlineLevel="0" r="58">
      <c r="A58" s="0" t="s">
        <v>3810</v>
      </c>
      <c r="B58" s="56" t="s">
        <v>3811</v>
      </c>
      <c r="C58" s="7435" t="n">
        <v>45230</v>
      </c>
      <c r="D58" s="84" t="s">
        <v>3812</v>
      </c>
    </row>
    <row hidden="false" ht="15" outlineLevel="0" r="59">
      <c r="A59" s="0" t="s">
        <v>3813</v>
      </c>
      <c r="B59" s="56" t="s">
        <v>3811</v>
      </c>
      <c r="C59" s="7435" t="n">
        <v>45236</v>
      </c>
      <c r="D59" s="84" t="s">
        <v>3814</v>
      </c>
    </row>
    <row hidden="false" ht="30" outlineLevel="0" r="60">
      <c r="A60" s="0" t="s">
        <v>3813</v>
      </c>
      <c r="B60" s="56" t="s">
        <v>3815</v>
      </c>
      <c r="C60" s="7435" t="n">
        <v>45335</v>
      </c>
      <c r="D60" s="84" t="s">
        <v>3816</v>
      </c>
    </row>
    <row hidden="false" ht="15" outlineLevel="0" r="61">
      <c r="A61" s="0" t="s">
        <v>3817</v>
      </c>
      <c r="B61" s="56" t="s">
        <v>3815</v>
      </c>
      <c r="C61" s="7435" t="n">
        <v>45342</v>
      </c>
      <c r="D61" s="84" t="s">
        <v>3818</v>
      </c>
    </row>
    <row hidden="false" ht="15" outlineLevel="0" r="62">
      <c r="A62" s="0" t="s">
        <v>3819</v>
      </c>
      <c r="B62" s="56" t="s">
        <v>3815</v>
      </c>
      <c r="C62" s="7435" t="n">
        <v>45347</v>
      </c>
      <c r="D62" s="84" t="s">
        <v>3820</v>
      </c>
    </row>
    <row hidden="false" ht="15" outlineLevel="0" r="63">
      <c r="A63" s="0" t="s">
        <v>3821</v>
      </c>
      <c r="B63" s="56" t="s">
        <v>3822</v>
      </c>
      <c r="C63" s="7435" t="n">
        <v>45350</v>
      </c>
      <c r="D63" s="84" t="s">
        <v>3823</v>
      </c>
    </row>
    <row hidden="false" ht="45" outlineLevel="0" r="64">
      <c r="A64" s="0" t="s">
        <v>3824</v>
      </c>
      <c r="B64" s="56" t="s">
        <v>3825</v>
      </c>
      <c r="C64" s="7435" t="n">
        <v>45369</v>
      </c>
      <c r="D64" s="84" t="s">
        <v>3826</v>
      </c>
    </row>
    <row hidden="false" ht="15" outlineLevel="0" r="65">
      <c r="A65" s="0" t="s">
        <v>3827</v>
      </c>
      <c r="B65" s="56" t="s">
        <v>3825</v>
      </c>
      <c r="C65" s="7435" t="n">
        <v>45414</v>
      </c>
      <c r="D65" s="84" t="s">
        <v>3828</v>
      </c>
    </row>
    <row hidden="false" ht="15" outlineLevel="0" r="66">
      <c r="A66" s="0" t="s">
        <v>3829</v>
      </c>
      <c r="B66" s="56" t="s">
        <v>3825</v>
      </c>
      <c r="C66" s="7435" t="n">
        <v>45471</v>
      </c>
      <c r="D66" s="84" t="s">
        <v>3830</v>
      </c>
    </row>
    <row hidden="false" ht="15" outlineLevel="0" r="67">
      <c r="A67" s="0" t="s">
        <v>3831</v>
      </c>
      <c r="B67" s="56" t="s">
        <v>3825</v>
      </c>
      <c r="C67" s="7435" t="n">
        <v>45485</v>
      </c>
      <c r="D67" s="84" t="s">
        <v>3832</v>
      </c>
    </row>
    <row hidden="false" ht="15" outlineLevel="0" r="68">
      <c r="A68" s="0" t="s">
        <v>3833</v>
      </c>
      <c r="B68" s="56" t="s">
        <v>3834</v>
      </c>
      <c r="C68" s="7435" t="n">
        <v>45530</v>
      </c>
      <c r="D68" s="84" t="s">
        <v>3835</v>
      </c>
    </row>
    <row hidden="false" ht="15" outlineLevel="0" r="69">
      <c r="A69" s="0" t="s">
        <v>3836</v>
      </c>
      <c r="B69" s="56" t="s">
        <v>3837</v>
      </c>
      <c r="C69" s="7435" t="n">
        <v>45535</v>
      </c>
      <c r="D69" s="84" t="s">
        <v>3838</v>
      </c>
    </row>
    <row hidden="false" ht="15" outlineLevel="0" r="70">
      <c r="A70" s="0" t="s">
        <v>3839</v>
      </c>
      <c r="B70" s="56" t="s">
        <v>3840</v>
      </c>
      <c r="C70" s="7435" t="n">
        <v>45607</v>
      </c>
      <c r="D70" s="84" t="s">
        <v>3841</v>
      </c>
    </row>
    <row hidden="false" ht="15" outlineLevel="0" r="71">
      <c r="A71" s="0" t="s">
        <v>3842</v>
      </c>
      <c r="B71" s="56" t="s">
        <v>3840</v>
      </c>
      <c r="C71" s="7435" t="n">
        <v>45614</v>
      </c>
      <c r="D71" s="84" t="s">
        <v>3843</v>
      </c>
    </row>
    <row hidden="false" ht="15" outlineLevel="0" r="72">
      <c r="A72" s="0" t="s">
        <v>3844</v>
      </c>
      <c r="B72" s="56" t="s">
        <v>3845</v>
      </c>
      <c r="C72" s="7435" t="n">
        <v>45712</v>
      </c>
      <c r="D72" s="84" t="s">
        <v>3846</v>
      </c>
    </row>
    <row hidden="false" ht="30" outlineLevel="0" r="73">
      <c r="A73" s="0" t="s">
        <v>3847</v>
      </c>
      <c r="B73" s="56" t="s">
        <v>3845</v>
      </c>
      <c r="C73" s="7435" t="n">
        <v>45713</v>
      </c>
      <c r="D73" s="84" t="s">
        <v>3848</v>
      </c>
    </row>
    <row hidden="false" ht="30" outlineLevel="0" r="74">
      <c r="A74" s="0" t="s">
        <v>3849</v>
      </c>
      <c r="B74" s="56" t="s">
        <v>3850</v>
      </c>
      <c r="C74" s="7435" t="n">
        <v>45821</v>
      </c>
      <c r="D74" s="84" t="s">
        <v>3851</v>
      </c>
    </row>
    <row hidden="false" ht="15" outlineLevel="0" r="75">
      <c r="A75" s="0" t="s">
        <v>3852</v>
      </c>
      <c r="B75" s="56" t="s">
        <v>3850</v>
      </c>
      <c r="C75" s="7435" t="n">
        <v>45884</v>
      </c>
      <c r="D75" s="84" t="s">
        <v>3853</v>
      </c>
    </row>
    <row hidden="false" ht="15" outlineLevel="0" r="76">
      <c r="A76" s="0" t="s">
        <v>3854</v>
      </c>
      <c r="B76" s="56" t="s">
        <v>3850</v>
      </c>
      <c r="C76" s="7435" t="n">
        <v>45902</v>
      </c>
      <c r="D76" s="84" t="s">
        <v>3855</v>
      </c>
    </row>
    <row hidden="false" ht="30" outlineLevel="0" r="77">
      <c r="A77" s="0" t="s">
        <v>3856</v>
      </c>
      <c r="B77" s="56" t="s">
        <v>3857</v>
      </c>
      <c r="C77" s="7435" t="n">
        <v>45903</v>
      </c>
      <c r="D77" s="84" t="s">
        <v>3858</v>
      </c>
    </row>
    <row hidden="false" ht="15" outlineLevel="0" r="78">
      <c r="C78" s="7435" t="n"/>
      <c r="D78" s="84" t="n"/>
    </row>
    <row hidden="false" ht="15" outlineLevel="0" r="79"/>
  </sheetData>
  <hyperlinks>
    <hyperlink display="http://tiny.cc/MazdaAsBuiltEditor" r:id="rId2" ref="G2"/>
  </hyperlinks>
  <pageMargins bottom="0.75" footer="0.30000001192092896" header="0.30000001192092896" left="0.70000004768371582" right="0.70000004768371582" top="0.75"/>
  <pageSetup fitToHeight="0" fitToWidth="0" orientation="portrait" paperHeight="297mm" paperSize="9" paperWidth="210mm" scale="100"/>
  <tableParts count="1">
    <tablePart r:id="rId1"/>
  </tableParts>
</worksheet>
</file>

<file path=xl/worksheets/sheet14.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N38"/>
  <sheetViews>
    <sheetView showZeros="true" workbookViewId="0"/>
  </sheetViews>
  <sheetFormatPr baseColWidth="8" customHeight="true" defaultColWidth="9.1406253092569258" defaultRowHeight="15" zeroHeight="true"/>
  <cols>
    <col bestFit="true" customWidth="true" max="2" min="1" outlineLevel="0" width="21.1406246325922"/>
    <col bestFit="true" customWidth="true" max="3" min="3" outlineLevel="0" width="4.5703126546284629"/>
    <col bestFit="true" customWidth="true" max="5" min="4" outlineLevel="0" width="9.0000001691661815"/>
    <col customWidth="true" max="13" min="6" outlineLevel="0" width="9.1406253092569258"/>
    <col bestFit="true" customWidth="true" max="14" min="14" outlineLevel="0" width="5.4257812982387943"/>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bestFit="true"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bestFit="true"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customWidth="true" max="40" min="36" outlineLevel="0" width="9.1406253092569258"/>
    <col bestFit="true" customWidth="true" hidden="true" max="16384" min="41" outlineLevel="0" width="9.1406253092569258"/>
  </cols>
  <sheetData>
    <row customHeight="true" hidden="false" ht="15" outlineLevel="0" r="1">
      <c r="A1" s="85" t="s">
        <v>155</v>
      </c>
      <c r="B1" s="7438"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62" t="s"/>
      <c r="AK1" s="62" t="s"/>
    </row>
    <row hidden="false" ht="15.75" outlineLevel="0" r="2">
      <c r="A2" s="88" t="s">
        <v>157</v>
      </c>
      <c r="B2" s="89" t="s">
        <v>158</v>
      </c>
      <c r="C2" s="230" t="s">
        <v>159</v>
      </c>
      <c r="D2" s="7439" t="s"/>
      <c r="E2" s="7440" t="s"/>
      <c r="S2" s="87" t="n"/>
    </row>
    <row hidden="false" ht="15.75" outlineLevel="0" r="3">
      <c r="A3" s="91" t="s">
        <v>160</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761-01-01</v>
      </c>
      <c r="Q3" s="7441" t="s"/>
      <c r="R3" s="234" t="s">
        <v>3859</v>
      </c>
      <c r="S3" s="7442" t="s"/>
      <c r="T3" s="7443" t="s"/>
      <c r="U3" s="7444" t="s"/>
      <c r="V3" s="7445" t="s"/>
      <c r="W3" s="7446" t="s"/>
      <c r="X3" s="7447" t="s"/>
      <c r="Y3" s="7448" t="s"/>
      <c r="Z3" s="7449" t="s"/>
      <c r="AA3" s="7450" t="s"/>
      <c r="AB3" s="7451" t="s"/>
      <c r="AC3" s="7452" t="s"/>
      <c r="AD3" s="7453" t="s"/>
      <c r="AE3" s="7454" t="s"/>
      <c r="AF3" s="7455" t="s"/>
      <c r="AG3" s="7456" t="s"/>
      <c r="AH3" s="7457" t="s"/>
      <c r="AI3" s="7458" t="s"/>
      <c r="AJ3" s="7459" t="s"/>
      <c r="AK3" s="7460" t="s"/>
    </row>
    <row hidden="false" ht="15.75" outlineLevel="0" r="4">
      <c r="A4" s="91" t="s">
        <v>3860</v>
      </c>
      <c r="B4" s="92" t="str">
        <f aca="false" ca="false" dt2D="false" dtr="false" t="normal">RIGHT(D13, 1)&amp;E13&amp;F13&amp;G13&amp;H10&amp;I10&amp;J10&amp;K10&amp;L10&amp;M10</f>
        <v>761G1G100000000006A</v>
      </c>
      <c r="C4" s="98" t="n"/>
      <c r="D4" s="99" t="s">
        <v>3861</v>
      </c>
      <c r="E4" s="7461" t="s"/>
      <c r="F4" s="7462" t="s"/>
      <c r="G4" s="7463" t="s"/>
      <c r="H4" s="53" t="s">
        <v>165</v>
      </c>
      <c r="I4" s="53" t="s">
        <v>166</v>
      </c>
      <c r="J4" s="53" t="s">
        <v>167</v>
      </c>
      <c r="K4" s="53" t="s">
        <v>168</v>
      </c>
      <c r="L4" s="53" t="s">
        <v>169</v>
      </c>
      <c r="M4" s="53" t="s">
        <v>221</v>
      </c>
      <c r="N4" s="63" t="n"/>
      <c r="P4" s="103" t="s">
        <v>3862</v>
      </c>
      <c r="Q4" s="7464" t="s"/>
      <c r="R4" s="7465" t="s"/>
      <c r="S4" s="7466" t="s"/>
      <c r="T4" s="103" t="s">
        <v>3863</v>
      </c>
      <c r="U4" s="7467" t="s"/>
      <c r="V4" s="7468" t="s"/>
      <c r="W4" s="7469" t="s"/>
      <c r="X4" s="103" t="s">
        <v>3864</v>
      </c>
      <c r="Y4" s="7470" t="s"/>
      <c r="Z4" s="7471" t="s"/>
      <c r="AA4" s="7472" t="s"/>
      <c r="AB4" s="103" t="s">
        <v>3865</v>
      </c>
      <c r="AC4" s="7473" t="s"/>
      <c r="AD4" s="7474" t="s"/>
      <c r="AE4" s="7475" t="s"/>
      <c r="AF4" s="103" t="s">
        <v>3866</v>
      </c>
      <c r="AG4" s="7476" t="s"/>
      <c r="AH4" s="7477" t="s"/>
      <c r="AI4" s="7478" t="s"/>
      <c r="AJ4" s="103" t="s">
        <v>3867</v>
      </c>
      <c r="AK4" s="7479" t="s"/>
    </row>
    <row hidden="false" ht="15.75" outlineLevel="0" r="5">
      <c r="A5" s="91" t="s">
        <v>3868</v>
      </c>
      <c r="B5" s="92" t="str">
        <f aca="false" ca="false" dt2D="false" dtr="false" t="normal">RIGHT(D24, 1)&amp;E24&amp;F24&amp;G24&amp;H21&amp;I21&amp;J21&amp;K21</f>
        <v>761G1G20000006B</v>
      </c>
      <c r="C5" s="98" t="s">
        <v>176</v>
      </c>
      <c r="D5" s="122" t="s">
        <v>177</v>
      </c>
      <c r="E5" s="123" t="s">
        <v>3869</v>
      </c>
      <c r="F5" s="123" t="s">
        <v>179</v>
      </c>
      <c r="G5" s="124" t="s">
        <v>179</v>
      </c>
      <c r="H5" s="125" t="n">
        <f aca="false" ca="false" dt2D="false" dtr="false" t="normal">MID($A$4, 8, 2)</f>
        <v>0</v>
      </c>
      <c r="I5" s="126" t="n">
        <f aca="false" ca="false" dt2D="false" dtr="false" t="normal">MID($A$4, 10, 2)</f>
        <v>0</v>
      </c>
      <c r="J5" s="126" t="n">
        <f aca="false" ca="false" dt2D="false" dtr="false" t="normal">MID($A$4, 12, 2)</f>
        <v>0</v>
      </c>
      <c r="K5" s="126" t="n">
        <f aca="false" ca="false" dt2D="false" dtr="false" t="normal">MID($A$4, 14, 2)</f>
        <v>0</v>
      </c>
      <c r="L5" s="274" t="n">
        <f aca="false" ca="false" dt2D="false" dtr="false" t="normal">MID($A$4, 16, 2)</f>
        <v>0</v>
      </c>
      <c r="M5" s="128" t="str">
        <f aca="false" ca="false" dt2D="false" dtr="false" t="normal">MID($A$4, 18, 2)</f>
        <v>6A</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7480" t="s"/>
    </row>
    <row customHeight="true" hidden="false" ht="15" outlineLevel="0" r="6">
      <c r="C6" s="98" t="s">
        <v>185</v>
      </c>
      <c r="D6" s="53" t="n">
        <f aca="false" ca="false" dt2D="false" dtr="false" t="normal">HEX2BIN(D5, 8)</f>
        <v>111</v>
      </c>
      <c r="E6" s="53" t="n">
        <f aca="false" ca="false" dt2D="false" dtr="false" t="normal">HEX2BIN(E5, 8)</f>
        <v>1100001</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131" t="s">
        <v>196</v>
      </c>
      <c r="T6" s="136" t="n">
        <f aca="false" ca="false" dt2D="false" dtr="false" t="normal">MID(I6, 1, 1)</f>
        <v>0</v>
      </c>
      <c r="U6" s="137" t="n">
        <f aca="false" ca="false" dt2D="false" dtr="false" t="normal">T6</f>
        <v>0</v>
      </c>
      <c r="V6" s="120" t="s">
        <v>186</v>
      </c>
      <c r="W6" s="131" t="s">
        <v>196</v>
      </c>
      <c r="X6" s="136" t="n">
        <f aca="false" ca="false" dt2D="false" dtr="false" t="normal">MID(J6, 1, 1)</f>
        <v>0</v>
      </c>
      <c r="Y6" s="137" t="n">
        <f aca="false" ca="false" dt2D="false" dtr="false" t="normal">X6</f>
        <v>0</v>
      </c>
      <c r="Z6" s="120" t="s">
        <v>186</v>
      </c>
      <c r="AA6" s="131" t="s">
        <v>196</v>
      </c>
      <c r="AB6" s="136" t="n">
        <f aca="false" ca="false" dt2D="false" dtr="false" t="normal">MID(K6, 1, 1)</f>
        <v>0</v>
      </c>
      <c r="AC6" s="137" t="n">
        <f aca="false" ca="false" dt2D="false" dtr="false" t="normal">AB6</f>
        <v>0</v>
      </c>
      <c r="AD6" s="120" t="s">
        <v>186</v>
      </c>
      <c r="AE6" s="131" t="s">
        <v>196</v>
      </c>
      <c r="AF6" s="136" t="n">
        <f aca="false" ca="false" dt2D="false" dtr="false" t="normal">MID(L6, 1, 1)</f>
        <v>0</v>
      </c>
      <c r="AG6" s="137" t="n">
        <f aca="false" ca="false" dt2D="false" dtr="false" t="normal">AF6</f>
        <v>0</v>
      </c>
      <c r="AH6" s="120" t="s">
        <v>186</v>
      </c>
      <c r="AI6" s="131" t="s">
        <v>196</v>
      </c>
      <c r="AJ6" s="7481" t="s"/>
      <c r="AK6" s="7482" t="s"/>
    </row>
    <row customHeight="true" hidden="false" ht="15" outlineLevel="0" r="7">
      <c r="C7" s="98" t="s">
        <v>191</v>
      </c>
      <c r="D7" s="53" t="n">
        <f aca="false" ca="false" dt2D="false" dtr="false" t="normal">HEX2DEC(D5)</f>
        <v>7</v>
      </c>
      <c r="E7" s="53" t="n">
        <f aca="false" ca="false" dt2D="false" dtr="false" t="normal">HEX2DEC(E5)</f>
        <v>97</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106</v>
      </c>
      <c r="N7" s="63" t="n"/>
      <c r="P7" s="136" t="n">
        <f aca="false" ca="false" dt2D="false" dtr="false" t="normal">MID(H6, 2, 1)</f>
        <v>0</v>
      </c>
      <c r="Q7" s="137" t="n">
        <f aca="false" ca="false" dt2D="false" dtr="false" t="normal">P7</f>
        <v>0</v>
      </c>
      <c r="R7" s="120" t="s">
        <v>192</v>
      </c>
      <c r="S7" s="131" t="s">
        <v>196</v>
      </c>
      <c r="T7" s="136" t="n">
        <f aca="false" ca="false" dt2D="false" dtr="false" t="normal">MID(I6, 2, 1)</f>
        <v>0</v>
      </c>
      <c r="U7" s="137" t="n">
        <f aca="false" ca="false" dt2D="false" dtr="false" t="normal">T7</f>
        <v>0</v>
      </c>
      <c r="V7" s="120" t="s">
        <v>192</v>
      </c>
      <c r="W7" s="131" t="s">
        <v>196</v>
      </c>
      <c r="X7" s="136" t="n">
        <f aca="false" ca="false" dt2D="false" dtr="false" t="normal">MID(J6, 2, 1)</f>
        <v>0</v>
      </c>
      <c r="Y7" s="137" t="n">
        <f aca="false" ca="false" dt2D="false" dtr="false" t="normal">X7</f>
        <v>0</v>
      </c>
      <c r="Z7" s="120" t="s">
        <v>192</v>
      </c>
      <c r="AA7" s="131" t="s">
        <v>196</v>
      </c>
      <c r="AB7" s="136" t="n">
        <f aca="false" ca="false" dt2D="false" dtr="false" t="normal">MID(K6, 2, 1)</f>
        <v>0</v>
      </c>
      <c r="AC7" s="137" t="n">
        <f aca="false" ca="false" dt2D="false" dtr="false" t="normal">AB7</f>
        <v>0</v>
      </c>
      <c r="AD7" s="120" t="s">
        <v>192</v>
      </c>
      <c r="AE7" s="131" t="s">
        <v>196</v>
      </c>
      <c r="AF7" s="136" t="n">
        <f aca="false" ca="false" dt2D="false" dtr="false" t="normal">MID(L6, 2, 1)</f>
        <v>0</v>
      </c>
      <c r="AG7" s="137" t="n">
        <f aca="false" ca="false" dt2D="false" dtr="false" t="normal">AF7</f>
        <v>0</v>
      </c>
      <c r="AH7" s="120" t="s">
        <v>192</v>
      </c>
      <c r="AI7" s="131" t="s">
        <v>196</v>
      </c>
      <c r="AJ7" s="7483" t="s"/>
      <c r="AK7" s="7484" t="s"/>
    </row>
    <row customHeight="true" hidden="false" ht="15" outlineLevel="0" r="8">
      <c r="C8" s="98" t="s">
        <v>194</v>
      </c>
      <c r="D8" s="149" t="n">
        <f aca="false" ca="false" dt2D="false" dtr="false" t="normal">D5</f>
        <v>7</v>
      </c>
      <c r="E8" s="149" t="n">
        <f aca="false" ca="false" dt2D="false" dtr="false" t="normal">E5</f>
        <v>61</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131" t="s">
        <v>196</v>
      </c>
      <c r="T8" s="136" t="n">
        <f aca="false" ca="false" dt2D="false" dtr="false" t="normal">MID(I6, 3, 1)</f>
        <v>0</v>
      </c>
      <c r="U8" s="137" t="n">
        <f aca="false" ca="false" dt2D="false" dtr="false" t="normal">T8</f>
        <v>0</v>
      </c>
      <c r="V8" s="120" t="s">
        <v>195</v>
      </c>
      <c r="W8" s="131" t="s">
        <v>196</v>
      </c>
      <c r="X8" s="136" t="n">
        <f aca="false" ca="false" dt2D="false" dtr="false" t="normal">MID(J6, 3, 1)</f>
        <v>0</v>
      </c>
      <c r="Y8" s="137" t="n">
        <f aca="false" ca="false" dt2D="false" dtr="false" t="normal">X8</f>
        <v>0</v>
      </c>
      <c r="Z8" s="120" t="s">
        <v>195</v>
      </c>
      <c r="AA8" s="131" t="s">
        <v>196</v>
      </c>
      <c r="AB8" s="136" t="n">
        <f aca="false" ca="false" dt2D="false" dtr="false" t="normal">MID(K6, 3, 1)</f>
        <v>0</v>
      </c>
      <c r="AC8" s="137" t="n">
        <f aca="false" ca="false" dt2D="false" dtr="false" t="normal">AB8</f>
        <v>0</v>
      </c>
      <c r="AD8" s="120" t="s">
        <v>195</v>
      </c>
      <c r="AE8" s="131" t="s">
        <v>196</v>
      </c>
      <c r="AF8" s="136" t="n">
        <f aca="false" ca="false" dt2D="false" dtr="false" t="normal">MID(L6, 3, 1)</f>
        <v>0</v>
      </c>
      <c r="AG8" s="137" t="n">
        <f aca="false" ca="false" dt2D="false" dtr="false" t="normal">AF8</f>
        <v>0</v>
      </c>
      <c r="AH8" s="120" t="s">
        <v>195</v>
      </c>
      <c r="AI8" s="131" t="s">
        <v>196</v>
      </c>
      <c r="AJ8" s="7485" t="s"/>
      <c r="AK8" s="7486" t="s"/>
    </row>
    <row hidden="false" ht="15.75" outlineLevel="0" r="9">
      <c r="C9" s="98" t="n"/>
      <c r="N9" s="63" t="n"/>
      <c r="P9" s="136" t="n">
        <f aca="false" ca="false" dt2D="false" dtr="false" t="normal">MID(H6, 4, 1)</f>
        <v>0</v>
      </c>
      <c r="Q9" s="137" t="n">
        <f aca="false" ca="false" dt2D="false" dtr="false" t="normal">P9</f>
        <v>0</v>
      </c>
      <c r="R9" s="120" t="s">
        <v>197</v>
      </c>
      <c r="S9" s="131" t="s">
        <v>196</v>
      </c>
      <c r="T9" s="136" t="n">
        <f aca="false" ca="false" dt2D="false" dtr="false" t="normal">MID(I6, 4, 1)</f>
        <v>0</v>
      </c>
      <c r="U9" s="137" t="n">
        <f aca="false" ca="false" dt2D="false" dtr="false" t="normal">T9</f>
        <v>0</v>
      </c>
      <c r="V9" s="120" t="s">
        <v>197</v>
      </c>
      <c r="W9" s="131" t="s">
        <v>196</v>
      </c>
      <c r="X9" s="136" t="n">
        <f aca="false" ca="false" dt2D="false" dtr="false" t="normal">MID(J6, 4, 1)</f>
        <v>0</v>
      </c>
      <c r="Y9" s="137" t="n">
        <f aca="false" ca="false" dt2D="false" dtr="false" t="normal">X9</f>
        <v>0</v>
      </c>
      <c r="Z9" s="120" t="s">
        <v>197</v>
      </c>
      <c r="AA9" s="131" t="s">
        <v>196</v>
      </c>
      <c r="AB9" s="136" t="n">
        <f aca="false" ca="false" dt2D="false" dtr="false" t="normal">MID(K6, 4, 1)</f>
        <v>0</v>
      </c>
      <c r="AC9" s="137" t="n">
        <f aca="false" ca="false" dt2D="false" dtr="false" t="normal">AB9</f>
        <v>0</v>
      </c>
      <c r="AD9" s="120" t="s">
        <v>197</v>
      </c>
      <c r="AE9" s="131" t="s">
        <v>196</v>
      </c>
      <c r="AF9" s="136" t="n">
        <f aca="false" ca="false" dt2D="false" dtr="false" t="normal">MID(L6, 4, 1)</f>
        <v>0</v>
      </c>
      <c r="AG9" s="137" t="n">
        <f aca="false" ca="false" dt2D="false" dtr="false" t="normal">AF9</f>
        <v>0</v>
      </c>
      <c r="AH9" s="120" t="s">
        <v>197</v>
      </c>
      <c r="AI9" s="131" t="s">
        <v>196</v>
      </c>
      <c r="AJ9" s="7487" t="s"/>
      <c r="AK9" s="7488" t="s"/>
    </row>
    <row hidden="false" ht="15.75" outlineLevel="0" r="10">
      <c r="C10" s="98" t="s">
        <v>176</v>
      </c>
      <c r="D10" s="159" t="n">
        <f aca="false" ca="false" dt2D="false" dtr="false" t="normal">D5</f>
        <v>7</v>
      </c>
      <c r="E10" s="160" t="n">
        <f aca="false" ca="false" dt2D="false" dtr="false" t="normal">E5</f>
        <v>61</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6A</v>
      </c>
      <c r="N10" s="63" t="s">
        <v>181</v>
      </c>
      <c r="P10" s="136" t="n">
        <f aca="false" ca="false" dt2D="false" dtr="false" t="normal">MID(H6, 5, 1)</f>
        <v>0</v>
      </c>
      <c r="Q10" s="137" t="n">
        <f aca="false" ca="false" dt2D="false" dtr="false" t="normal">P10</f>
        <v>0</v>
      </c>
      <c r="R10" s="120" t="s">
        <v>200</v>
      </c>
      <c r="S10" s="131" t="s">
        <v>196</v>
      </c>
      <c r="T10" s="136" t="n">
        <f aca="false" ca="false" dt2D="false" dtr="false" t="normal">MID(I6, 5, 1)</f>
        <v>0</v>
      </c>
      <c r="U10" s="137" t="n">
        <f aca="false" ca="false" dt2D="false" dtr="false" t="normal">T10</f>
        <v>0</v>
      </c>
      <c r="V10" s="120" t="s">
        <v>200</v>
      </c>
      <c r="W10" s="131" t="s">
        <v>196</v>
      </c>
      <c r="X10" s="136" t="n">
        <f aca="false" ca="false" dt2D="false" dtr="false" t="normal">MID(J6, 5, 1)</f>
        <v>0</v>
      </c>
      <c r="Y10" s="137" t="n">
        <f aca="false" ca="false" dt2D="false" dtr="false" t="normal">X10</f>
        <v>0</v>
      </c>
      <c r="Z10" s="120" t="s">
        <v>200</v>
      </c>
      <c r="AA10" s="131" t="s">
        <v>196</v>
      </c>
      <c r="AB10" s="136" t="n">
        <f aca="false" ca="false" dt2D="false" dtr="false" t="normal">MID(K6, 5, 1)</f>
        <v>0</v>
      </c>
      <c r="AC10" s="137" t="n">
        <f aca="false" ca="false" dt2D="false" dtr="false" t="normal">AB10</f>
        <v>0</v>
      </c>
      <c r="AD10" s="120" t="s">
        <v>200</v>
      </c>
      <c r="AE10" s="131" t="s">
        <v>196</v>
      </c>
      <c r="AF10" s="136" t="n">
        <f aca="false" ca="false" dt2D="false" dtr="false" t="normal">MID(L6, 5, 1)</f>
        <v>0</v>
      </c>
      <c r="AG10" s="137" t="n">
        <f aca="false" ca="false" dt2D="false" dtr="false" t="normal">AF10</f>
        <v>0</v>
      </c>
      <c r="AH10" s="120" t="s">
        <v>200</v>
      </c>
      <c r="AI10" s="131" t="s">
        <v>196</v>
      </c>
      <c r="AJ10" s="7489" t="s"/>
      <c r="AK10" s="7490" t="s"/>
    </row>
    <row customHeight="true" hidden="false" ht="15" outlineLevel="0" r="11">
      <c r="C11" s="98" t="s">
        <v>185</v>
      </c>
      <c r="D11" s="53" t="n">
        <f aca="false" ca="false" dt2D="false" dtr="false" t="normal">HEX2BIN(D10, 8)</f>
        <v>111</v>
      </c>
      <c r="E11" s="53" t="n">
        <f aca="false" ca="false" dt2D="false" dtr="false" t="normal">HEX2BIN(E10, 8)</f>
        <v>1100001</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6A</v>
      </c>
      <c r="N11" s="63" t="n"/>
      <c r="P11" s="136" t="n">
        <f aca="false" ca="false" dt2D="false" dtr="false" t="normal">MID(H6, 6, 1)</f>
        <v>0</v>
      </c>
      <c r="Q11" s="137" t="n">
        <f aca="false" ca="false" dt2D="false" dtr="false" t="normal">P11</f>
        <v>0</v>
      </c>
      <c r="R11" s="120" t="s">
        <v>203</v>
      </c>
      <c r="S11" s="131" t="s">
        <v>196</v>
      </c>
      <c r="T11" s="136" t="n">
        <f aca="false" ca="false" dt2D="false" dtr="false" t="normal">MID(I6, 6, 1)</f>
        <v>0</v>
      </c>
      <c r="U11" s="137" t="n">
        <f aca="false" ca="false" dt2D="false" dtr="false" t="normal">T11</f>
        <v>0</v>
      </c>
      <c r="V11" s="120" t="s">
        <v>203</v>
      </c>
      <c r="W11" s="131" t="s">
        <v>196</v>
      </c>
      <c r="X11" s="136" t="n">
        <f aca="false" ca="false" dt2D="false" dtr="false" t="normal">MID(J6, 6, 1)</f>
        <v>0</v>
      </c>
      <c r="Y11" s="137" t="n">
        <f aca="false" ca="false" dt2D="false" dtr="false" t="normal">X11</f>
        <v>0</v>
      </c>
      <c r="Z11" s="120" t="s">
        <v>203</v>
      </c>
      <c r="AA11" s="131" t="s">
        <v>196</v>
      </c>
      <c r="AB11" s="136" t="n">
        <f aca="false" ca="false" dt2D="false" dtr="false" t="normal">MID(K6, 6, 1)</f>
        <v>0</v>
      </c>
      <c r="AC11" s="137" t="n">
        <f aca="false" ca="false" dt2D="false" dtr="false" t="normal">AB11</f>
        <v>0</v>
      </c>
      <c r="AD11" s="120" t="s">
        <v>203</v>
      </c>
      <c r="AE11" s="131" t="s">
        <v>196</v>
      </c>
      <c r="AF11" s="136" t="n">
        <f aca="false" ca="false" dt2D="false" dtr="false" t="normal">MID(L6, 6, 1)</f>
        <v>0</v>
      </c>
      <c r="AG11" s="137" t="n">
        <f aca="false" ca="false" dt2D="false" dtr="false" t="normal">AF11</f>
        <v>0</v>
      </c>
      <c r="AH11" s="120" t="s">
        <v>203</v>
      </c>
      <c r="AI11" s="131" t="s">
        <v>196</v>
      </c>
      <c r="AJ11" s="7491" t="s"/>
      <c r="AK11" s="7492" t="s"/>
    </row>
    <row customHeight="true" hidden="false" ht="15" outlineLevel="0" r="12">
      <c r="C12" s="98" t="s">
        <v>191</v>
      </c>
      <c r="D12" s="53" t="n">
        <f aca="false" ca="false" dt2D="false" dtr="false" t="normal">HEX2DEC(D10)</f>
        <v>7</v>
      </c>
      <c r="E12" s="53" t="n">
        <f aca="false" ca="false" dt2D="false" dtr="false" t="normal">HEX2DEC(E10)</f>
        <v>97</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106</v>
      </c>
      <c r="N12" s="63" t="n"/>
      <c r="P12" s="136" t="n">
        <f aca="false" ca="false" dt2D="false" dtr="false" t="normal">MID(H6, 7, 1)</f>
        <v>0</v>
      </c>
      <c r="Q12" s="137" t="n">
        <f aca="false" ca="false" dt2D="false" dtr="false" t="normal">P12</f>
        <v>0</v>
      </c>
      <c r="R12" s="120" t="s">
        <v>206</v>
      </c>
      <c r="S12" s="131" t="s">
        <v>196</v>
      </c>
      <c r="T12" s="136" t="n">
        <f aca="false" ca="false" dt2D="false" dtr="false" t="normal">MID(I6, 7, 1)</f>
        <v>0</v>
      </c>
      <c r="U12" s="137" t="n">
        <f aca="false" ca="false" dt2D="false" dtr="false" t="normal">T12</f>
        <v>0</v>
      </c>
      <c r="V12" s="120" t="s">
        <v>206</v>
      </c>
      <c r="W12" s="131" t="s">
        <v>196</v>
      </c>
      <c r="X12" s="136" t="n">
        <f aca="false" ca="false" dt2D="false" dtr="false" t="normal">MID(J6, 7, 1)</f>
        <v>0</v>
      </c>
      <c r="Y12" s="137" t="n">
        <f aca="false" ca="false" dt2D="false" dtr="false" t="normal">X12</f>
        <v>0</v>
      </c>
      <c r="Z12" s="120" t="s">
        <v>206</v>
      </c>
      <c r="AA12" s="131" t="s">
        <v>196</v>
      </c>
      <c r="AB12" s="136" t="n">
        <f aca="false" ca="false" dt2D="false" dtr="false" t="normal">MID(K6, 7, 1)</f>
        <v>0</v>
      </c>
      <c r="AC12" s="137" t="n">
        <f aca="false" ca="false" dt2D="false" dtr="false" t="normal">AB12</f>
        <v>0</v>
      </c>
      <c r="AD12" s="120" t="s">
        <v>206</v>
      </c>
      <c r="AE12" s="131" t="s">
        <v>196</v>
      </c>
      <c r="AF12" s="136" t="n">
        <f aca="false" ca="false" dt2D="false" dtr="false" t="normal">MID(L6, 7, 1)</f>
        <v>0</v>
      </c>
      <c r="AG12" s="137" t="n">
        <f aca="false" ca="false" dt2D="false" dtr="false" t="normal">AF12</f>
        <v>0</v>
      </c>
      <c r="AH12" s="120" t="s">
        <v>206</v>
      </c>
      <c r="AI12" s="131" t="s">
        <v>196</v>
      </c>
      <c r="AJ12" s="7493" t="s"/>
      <c r="AK12" s="7494" t="s"/>
    </row>
    <row hidden="false" ht="15.75" outlineLevel="0" r="13">
      <c r="C13" s="180" t="s">
        <v>194</v>
      </c>
      <c r="D13" s="181" t="n">
        <f aca="false" ca="false" dt2D="false" dtr="false" t="normal">D8</f>
        <v>7</v>
      </c>
      <c r="E13" s="181" t="n">
        <f aca="false" ca="false" dt2D="false" dtr="false" t="normal">E8</f>
        <v>61</v>
      </c>
      <c r="F13" s="181" t="str">
        <f aca="false" ca="false" dt2D="false" dtr="false" t="normal">F8</f>
        <v>G1</v>
      </c>
      <c r="G13" s="181"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85" t="s">
        <v>196</v>
      </c>
      <c r="T13" s="182" t="n">
        <f aca="false" ca="false" dt2D="false" dtr="false" t="normal">MID(I6, 8, 1)</f>
        <v>0</v>
      </c>
      <c r="U13" s="183" t="n">
        <f aca="false" ca="false" dt2D="false" dtr="false" t="normal">T13</f>
        <v>0</v>
      </c>
      <c r="V13" s="184" t="s">
        <v>208</v>
      </c>
      <c r="W13" s="185" t="s">
        <v>196</v>
      </c>
      <c r="X13" s="182" t="n">
        <f aca="false" ca="false" dt2D="false" dtr="false" t="normal">MID(J6, 8, 1)</f>
        <v>0</v>
      </c>
      <c r="Y13" s="183" t="n">
        <f aca="false" ca="false" dt2D="false" dtr="false" t="normal">X13</f>
        <v>0</v>
      </c>
      <c r="Z13" s="184" t="s">
        <v>208</v>
      </c>
      <c r="AA13" s="185" t="s">
        <v>196</v>
      </c>
      <c r="AB13" s="182" t="n">
        <f aca="false" ca="false" dt2D="false" dtr="false" t="normal">MID(K6, 8, 1)</f>
        <v>0</v>
      </c>
      <c r="AC13" s="183" t="n">
        <f aca="false" ca="false" dt2D="false" dtr="false" t="normal">AB13</f>
        <v>0</v>
      </c>
      <c r="AD13" s="184" t="s">
        <v>208</v>
      </c>
      <c r="AE13" s="185" t="s">
        <v>196</v>
      </c>
      <c r="AF13" s="182" t="n">
        <f aca="false" ca="false" dt2D="false" dtr="false" t="normal">MID(L6, 8, 1)</f>
        <v>0</v>
      </c>
      <c r="AG13" s="183" t="n">
        <f aca="false" ca="false" dt2D="false" dtr="false" t="normal">AF13</f>
        <v>0</v>
      </c>
      <c r="AH13" s="184" t="s">
        <v>208</v>
      </c>
      <c r="AI13" s="185" t="s">
        <v>196</v>
      </c>
      <c r="AJ13" s="7495" t="s"/>
      <c r="AK13" s="7496" t="s"/>
    </row>
    <row hidden="false" ht="15.75" outlineLevel="0" r="14">
      <c r="C14" s="93" t="n"/>
      <c r="D14" s="94" t="n"/>
      <c r="E14" s="94" t="n"/>
      <c r="F14" s="94" t="n"/>
      <c r="G14" s="94" t="n"/>
      <c r="H14" s="94" t="n"/>
      <c r="I14" s="94" t="n"/>
      <c r="J14" s="94" t="n"/>
      <c r="K14" s="94" t="s">
        <v>161</v>
      </c>
      <c r="L14" s="94" t="n"/>
      <c r="N14" s="60" t="n"/>
      <c r="P14" s="95" t="str">
        <f aca="false" ca="false" dt2D="false" dtr="false" t="normal">RIGHT(D16, 1)&amp;E16&amp;"-"&amp;F16&amp;"-"&amp;G16</f>
        <v>761-01-02</v>
      </c>
      <c r="Q14" s="7497" t="s"/>
      <c r="R14" s="97" t="s">
        <v>3870</v>
      </c>
      <c r="S14" s="97" t="s"/>
      <c r="T14" s="97" t="s"/>
      <c r="U14" s="97" t="s"/>
      <c r="V14" s="97" t="s"/>
      <c r="W14" s="97" t="s"/>
      <c r="X14" s="97" t="s"/>
      <c r="Y14" s="97" t="s"/>
      <c r="Z14" s="97" t="s"/>
      <c r="AA14" s="97" t="s"/>
      <c r="AB14" s="97" t="s"/>
      <c r="AC14" s="97" t="s"/>
      <c r="AD14" s="97" t="s"/>
      <c r="AE14" s="97" t="s"/>
      <c r="AF14" s="97" t="s"/>
      <c r="AG14" s="97" t="s"/>
      <c r="AH14" s="97" t="s"/>
      <c r="AI14" s="97" t="s"/>
      <c r="AJ14" s="97" t="s"/>
      <c r="AK14" s="97" t="s"/>
    </row>
    <row hidden="false" ht="15.75" outlineLevel="0" r="15">
      <c r="C15" s="98" t="n"/>
      <c r="D15" s="99" t="s">
        <v>3871</v>
      </c>
      <c r="E15" s="7498" t="s"/>
      <c r="F15" s="7499" t="s"/>
      <c r="G15" s="7500" t="s"/>
      <c r="H15" s="53" t="s">
        <v>165</v>
      </c>
      <c r="I15" s="53" t="s">
        <v>166</v>
      </c>
      <c r="J15" s="53" t="s">
        <v>167</v>
      </c>
      <c r="K15" s="53" t="s">
        <v>168</v>
      </c>
      <c r="N15" s="63" t="n"/>
      <c r="P15" s="103" t="s">
        <v>3872</v>
      </c>
      <c r="Q15" s="7501" t="s"/>
      <c r="R15" s="7502" t="s"/>
      <c r="S15" s="7503" t="s"/>
      <c r="T15" s="103" t="s">
        <v>3873</v>
      </c>
      <c r="U15" s="7504" t="s"/>
      <c r="V15" s="7505" t="s"/>
      <c r="W15" s="7506" t="s"/>
      <c r="X15" s="103" t="s">
        <v>3874</v>
      </c>
      <c r="Y15" s="7507" t="s"/>
      <c r="Z15" s="7508" t="s"/>
      <c r="AA15" s="7509" t="s"/>
      <c r="AB15" s="7087" t="s">
        <v>3875</v>
      </c>
      <c r="AC15" s="7510" t="s"/>
      <c r="AD15" s="7511" t="s"/>
      <c r="AE15" s="7512" t="s"/>
      <c r="AF15" s="120" t="n"/>
      <c r="AG15" s="121" t="n"/>
      <c r="AH15" s="121" t="n"/>
      <c r="AI15" s="121" t="n"/>
      <c r="AJ15" s="121" t="n"/>
      <c r="AK15" s="121" t="n"/>
    </row>
    <row hidden="false" ht="15.75" outlineLevel="0" r="16">
      <c r="C16" s="98" t="s">
        <v>176</v>
      </c>
      <c r="D16" s="122" t="s">
        <v>177</v>
      </c>
      <c r="E16" s="123" t="s">
        <v>3869</v>
      </c>
      <c r="F16" s="123" t="s">
        <v>179</v>
      </c>
      <c r="G16" s="124" t="s">
        <v>216</v>
      </c>
      <c r="H16" s="125" t="n">
        <f aca="false" ca="false" dt2D="false" dtr="false" t="normal">MID($A$5, 8, 2)</f>
        <v>0</v>
      </c>
      <c r="I16" s="126" t="n">
        <f aca="false" ca="false" dt2D="false" dtr="false" t="normal">MID($A$5, 10, 2)</f>
        <v>0</v>
      </c>
      <c r="J16" s="127" t="n">
        <f aca="false" ca="false" dt2D="false" dtr="false" t="normal">MID($A$5, 12, 2)</f>
        <v>0</v>
      </c>
      <c r="K16" s="128" t="str">
        <f aca="false" ca="false" dt2D="false" dtr="false" t="normal">MID($A$5, 14, 2)</f>
        <v>6B</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16" t="s">
        <v>183</v>
      </c>
      <c r="AC16" s="7513" t="s"/>
      <c r="AD16" s="7514" t="s"/>
      <c r="AE16" s="7515" t="s"/>
      <c r="AF16" s="120" t="n"/>
      <c r="AG16" s="121" t="n"/>
      <c r="AH16" s="121" t="n"/>
      <c r="AI16" s="121" t="n"/>
      <c r="AJ16" s="121" t="n"/>
      <c r="AK16" s="121" t="n"/>
    </row>
    <row customHeight="true" hidden="false" ht="15" outlineLevel="0" r="17">
      <c r="C17" s="98" t="s">
        <v>185</v>
      </c>
      <c r="D17" s="53" t="n">
        <f aca="false" ca="false" dt2D="false" dtr="false" t="normal">HEX2BIN(D16, 8)</f>
        <v>111</v>
      </c>
      <c r="E17" s="53" t="n">
        <f aca="false" ca="false" dt2D="false" dtr="false" t="normal">HEX2BIN(E16, 8)</f>
        <v>1100001</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N17" s="63" t="n"/>
      <c r="P17" s="136" t="n">
        <f aca="false" ca="false" dt2D="false" dtr="false" t="normal">MID(H17, 1, 1)</f>
        <v>0</v>
      </c>
      <c r="Q17" s="137" t="n">
        <f aca="false" ca="false" dt2D="false" dtr="false" t="normal">P17</f>
        <v>0</v>
      </c>
      <c r="R17" s="120" t="s">
        <v>186</v>
      </c>
      <c r="S17" s="131" t="s">
        <v>196</v>
      </c>
      <c r="T17" s="136" t="n">
        <f aca="false" ca="false" dt2D="false" dtr="false" t="normal">MID(I17, 1, 1)</f>
        <v>0</v>
      </c>
      <c r="U17" s="137" t="n">
        <f aca="false" ca="false" dt2D="false" dtr="false" t="normal">T17</f>
        <v>0</v>
      </c>
      <c r="V17" s="120" t="s">
        <v>186</v>
      </c>
      <c r="W17" s="131" t="s">
        <v>196</v>
      </c>
      <c r="X17" s="136" t="n">
        <f aca="false" ca="false" dt2D="false" dtr="false" t="normal">MID(J17, 1, 1)</f>
        <v>0</v>
      </c>
      <c r="Y17" s="137" t="n">
        <f aca="false" ca="false" dt2D="false" dtr="false" t="normal">X17</f>
        <v>0</v>
      </c>
      <c r="Z17" s="120" t="s">
        <v>186</v>
      </c>
      <c r="AA17" s="131" t="s">
        <v>196</v>
      </c>
      <c r="AB17" s="7516" t="s"/>
      <c r="AC17" s="142" t="s"/>
      <c r="AD17" s="142" t="s"/>
      <c r="AE17" s="7517" t="s"/>
      <c r="AF17" s="120" t="n"/>
      <c r="AG17" s="121" t="n"/>
      <c r="AH17" s="121" t="n"/>
      <c r="AI17" s="121" t="n"/>
      <c r="AJ17" s="121" t="n"/>
      <c r="AK17" s="121" t="n"/>
    </row>
    <row customHeight="true" hidden="false" ht="15" outlineLevel="0" r="18">
      <c r="C18" s="98" t="s">
        <v>191</v>
      </c>
      <c r="D18" s="53" t="n">
        <f aca="false" ca="false" dt2D="false" dtr="false" t="normal">HEX2DEC(D16)</f>
        <v>7</v>
      </c>
      <c r="E18" s="53" t="n">
        <f aca="false" ca="false" dt2D="false" dtr="false" t="normal">HEX2DEC(E16)</f>
        <v>97</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SUM(D18:J18)</f>
        <v>107</v>
      </c>
      <c r="N18" s="63" t="n"/>
      <c r="P18" s="136" t="n">
        <f aca="false" ca="false" dt2D="false" dtr="false" t="normal">MID(H17, 2, 1)</f>
        <v>0</v>
      </c>
      <c r="Q18" s="137" t="n">
        <f aca="false" ca="false" dt2D="false" dtr="false" t="normal">P18</f>
        <v>0</v>
      </c>
      <c r="R18" s="120" t="s">
        <v>192</v>
      </c>
      <c r="S18" s="131" t="s">
        <v>196</v>
      </c>
      <c r="T18" s="136" t="n">
        <f aca="false" ca="false" dt2D="false" dtr="false" t="normal">MID(I17, 2, 1)</f>
        <v>0</v>
      </c>
      <c r="U18" s="137" t="n">
        <f aca="false" ca="false" dt2D="false" dtr="false" t="normal">T18</f>
        <v>0</v>
      </c>
      <c r="V18" s="120" t="s">
        <v>192</v>
      </c>
      <c r="W18" s="131" t="s">
        <v>196</v>
      </c>
      <c r="X18" s="136" t="n">
        <f aca="false" ca="false" dt2D="false" dtr="false" t="normal">MID(J17, 2, 1)</f>
        <v>0</v>
      </c>
      <c r="Y18" s="137" t="n">
        <f aca="false" ca="false" dt2D="false" dtr="false" t="normal">X18</f>
        <v>0</v>
      </c>
      <c r="Z18" s="120" t="s">
        <v>192</v>
      </c>
      <c r="AA18" s="131" t="s">
        <v>196</v>
      </c>
      <c r="AB18" s="7518" t="s"/>
      <c r="AC18" s="142" t="s"/>
      <c r="AD18" s="142" t="s"/>
      <c r="AE18" s="7519" t="s"/>
      <c r="AF18" s="120" t="n"/>
      <c r="AG18" s="121" t="n"/>
      <c r="AH18" s="121" t="n"/>
      <c r="AI18" s="121" t="n"/>
      <c r="AJ18" s="121" t="n"/>
      <c r="AK18" s="121" t="n"/>
    </row>
    <row customHeight="true" hidden="false" ht="15" outlineLevel="0" r="19">
      <c r="C19" s="98" t="s">
        <v>194</v>
      </c>
      <c r="D19" s="53" t="n">
        <f aca="false" ca="false" dt2D="false" dtr="false" t="normal">D16</f>
        <v>7</v>
      </c>
      <c r="E19" s="53" t="n">
        <f aca="false" ca="false" dt2D="false" dtr="false" t="normal">E16</f>
        <v>61</v>
      </c>
      <c r="F19" s="53" t="str">
        <f aca="false" ca="false" dt2D="false" dtr="false" t="normal">MID($A$5, 4, 2)</f>
        <v>G1</v>
      </c>
      <c r="G19" s="53" t="str">
        <f aca="false" ca="false" dt2D="false" dtr="false" t="normal">MID($A$5, 6, 2)</f>
        <v>G2</v>
      </c>
      <c r="N19" s="63" t="n"/>
      <c r="P19" s="136" t="n">
        <f aca="false" ca="false" dt2D="false" dtr="false" t="normal">MID(H17, 3, 1)</f>
        <v>0</v>
      </c>
      <c r="Q19" s="137" t="n">
        <f aca="false" ca="false" dt2D="false" dtr="false" t="normal">P19</f>
        <v>0</v>
      </c>
      <c r="R19" s="120" t="s">
        <v>195</v>
      </c>
      <c r="S19" s="131" t="s">
        <v>196</v>
      </c>
      <c r="T19" s="136" t="n">
        <f aca="false" ca="false" dt2D="false" dtr="false" t="normal">MID(I17, 3, 1)</f>
        <v>0</v>
      </c>
      <c r="U19" s="137" t="n">
        <f aca="false" ca="false" dt2D="false" dtr="false" t="normal">T19</f>
        <v>0</v>
      </c>
      <c r="V19" s="120" t="s">
        <v>195</v>
      </c>
      <c r="W19" s="131" t="s">
        <v>196</v>
      </c>
      <c r="X19" s="136" t="n">
        <f aca="false" ca="false" dt2D="false" dtr="false" t="normal">MID(J17, 3, 1)</f>
        <v>0</v>
      </c>
      <c r="Y19" s="137" t="n">
        <f aca="false" ca="false" dt2D="false" dtr="false" t="normal">X19</f>
        <v>0</v>
      </c>
      <c r="Z19" s="120" t="s">
        <v>195</v>
      </c>
      <c r="AA19" s="131" t="s">
        <v>196</v>
      </c>
      <c r="AB19" s="7520" t="s"/>
      <c r="AC19" s="142" t="s"/>
      <c r="AD19" s="142" t="s"/>
      <c r="AE19" s="7521" t="s"/>
      <c r="AF19" s="120" t="n"/>
      <c r="AG19" s="121" t="n"/>
      <c r="AH19" s="121" t="n"/>
      <c r="AI19" s="121" t="n"/>
      <c r="AJ19" s="121" t="n"/>
      <c r="AK19" s="121" t="n"/>
    </row>
    <row hidden="false" ht="15.75" outlineLevel="0" r="20">
      <c r="C20" s="98" t="n"/>
      <c r="N20" s="63" t="n"/>
      <c r="P20" s="136" t="n">
        <f aca="false" ca="false" dt2D="false" dtr="false" t="normal">MID(H17, 4, 1)</f>
        <v>0</v>
      </c>
      <c r="Q20" s="137" t="n">
        <f aca="false" ca="false" dt2D="false" dtr="false" t="normal">P20</f>
        <v>0</v>
      </c>
      <c r="R20" s="120" t="s">
        <v>197</v>
      </c>
      <c r="S20" s="131" t="s">
        <v>196</v>
      </c>
      <c r="T20" s="136" t="n">
        <f aca="false" ca="false" dt2D="false" dtr="false" t="normal">MID(I17, 4, 1)</f>
        <v>0</v>
      </c>
      <c r="U20" s="137" t="n">
        <f aca="false" ca="false" dt2D="false" dtr="false" t="normal">T20</f>
        <v>0</v>
      </c>
      <c r="V20" s="120" t="s">
        <v>197</v>
      </c>
      <c r="W20" s="131" t="s">
        <v>196</v>
      </c>
      <c r="X20" s="136" t="n">
        <f aca="false" ca="false" dt2D="false" dtr="false" t="normal">MID(J17, 4, 1)</f>
        <v>0</v>
      </c>
      <c r="Y20" s="137" t="n">
        <f aca="false" ca="false" dt2D="false" dtr="false" t="normal">X20</f>
        <v>0</v>
      </c>
      <c r="Z20" s="120" t="s">
        <v>197</v>
      </c>
      <c r="AA20" s="131" t="s">
        <v>196</v>
      </c>
      <c r="AB20" s="7522" t="s"/>
      <c r="AC20" s="142" t="s"/>
      <c r="AD20" s="142" t="s"/>
      <c r="AE20" s="7523" t="s"/>
      <c r="AF20" s="120" t="n"/>
      <c r="AG20" s="121" t="n"/>
      <c r="AH20" s="121" t="n"/>
      <c r="AI20" s="121" t="n"/>
      <c r="AJ20" s="121" t="n"/>
      <c r="AK20" s="121" t="n"/>
    </row>
    <row hidden="false" ht="15.75" outlineLevel="0" r="21">
      <c r="C21" s="98" t="s">
        <v>176</v>
      </c>
      <c r="D21" s="159" t="n">
        <f aca="false" ca="false" dt2D="false" dtr="false" t="normal">D16</f>
        <v>7</v>
      </c>
      <c r="E21" s="160" t="n">
        <f aca="false" ca="false" dt2D="false" dtr="false" t="normal">E16</f>
        <v>61</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7229" t="str">
        <f aca="false" ca="false" dt2D="false" dtr="false" t="normal">IF(LEN(K22)&gt;2, MID(K22, 2, 2), K22)</f>
        <v>6B</v>
      </c>
      <c r="N21" s="63" t="s">
        <v>181</v>
      </c>
      <c r="P21" s="136" t="n">
        <f aca="false" ca="false" dt2D="false" dtr="false" t="normal">MID(H17, 5, 1)</f>
        <v>0</v>
      </c>
      <c r="Q21" s="137" t="n">
        <f aca="false" ca="false" dt2D="false" dtr="false" t="normal">P21</f>
        <v>0</v>
      </c>
      <c r="R21" s="120" t="s">
        <v>200</v>
      </c>
      <c r="S21" s="131" t="s">
        <v>196</v>
      </c>
      <c r="T21" s="136" t="n">
        <f aca="false" ca="false" dt2D="false" dtr="false" t="normal">MID(I17, 5, 1)</f>
        <v>0</v>
      </c>
      <c r="U21" s="137" t="n">
        <f aca="false" ca="false" dt2D="false" dtr="false" t="normal">T21</f>
        <v>0</v>
      </c>
      <c r="V21" s="120" t="s">
        <v>200</v>
      </c>
      <c r="W21" s="131" t="s">
        <v>196</v>
      </c>
      <c r="X21" s="136" t="n">
        <f aca="false" ca="false" dt2D="false" dtr="false" t="normal">MID(J17, 5, 1)</f>
        <v>0</v>
      </c>
      <c r="Y21" s="137" t="n">
        <f aca="false" ca="false" dt2D="false" dtr="false" t="normal">X21</f>
        <v>0</v>
      </c>
      <c r="Z21" s="120" t="s">
        <v>200</v>
      </c>
      <c r="AA21" s="131" t="s">
        <v>196</v>
      </c>
      <c r="AB21" s="7524" t="s"/>
      <c r="AC21" s="142" t="s"/>
      <c r="AD21" s="142" t="s"/>
      <c r="AE21" s="7525" t="s"/>
      <c r="AF21" s="120" t="n"/>
      <c r="AG21" s="121" t="n"/>
      <c r="AH21" s="121" t="n"/>
      <c r="AI21" s="121" t="n"/>
      <c r="AJ21" s="121" t="n"/>
      <c r="AK21" s="121" t="n"/>
    </row>
    <row customHeight="true" hidden="false" ht="15" outlineLevel="0" r="22">
      <c r="C22" s="98" t="s">
        <v>185</v>
      </c>
      <c r="D22" s="53" t="n">
        <f aca="false" ca="false" dt2D="false" dtr="false" t="normal">HEX2BIN(D21, 8)</f>
        <v>111</v>
      </c>
      <c r="E22" s="53" t="n">
        <f aca="false" ca="false" dt2D="false" dtr="false" t="normal">HEX2BIN(E21, 8)</f>
        <v>1100001</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53" t="str">
        <f aca="false" ca="false" dt2D="false" dtr="false" t="normal">DEC2HEX(K23)</f>
        <v>6B</v>
      </c>
      <c r="N22" s="63" t="n"/>
      <c r="P22" s="136" t="n">
        <f aca="false" ca="false" dt2D="false" dtr="false" t="normal">MID(H17, 6, 1)</f>
        <v>0</v>
      </c>
      <c r="Q22" s="137" t="n">
        <f aca="false" ca="false" dt2D="false" dtr="false" t="normal">P22</f>
        <v>0</v>
      </c>
      <c r="R22" s="120" t="s">
        <v>203</v>
      </c>
      <c r="S22" s="131" t="s">
        <v>196</v>
      </c>
      <c r="T22" s="136" t="n">
        <f aca="false" ca="false" dt2D="false" dtr="false" t="normal">MID(I17, 6, 1)</f>
        <v>0</v>
      </c>
      <c r="U22" s="137" t="n">
        <f aca="false" ca="false" dt2D="false" dtr="false" t="normal">T22</f>
        <v>0</v>
      </c>
      <c r="V22" s="120" t="s">
        <v>203</v>
      </c>
      <c r="W22" s="131" t="s">
        <v>196</v>
      </c>
      <c r="X22" s="136" t="n">
        <f aca="false" ca="false" dt2D="false" dtr="false" t="normal">MID(J17, 6, 1)</f>
        <v>0</v>
      </c>
      <c r="Y22" s="137" t="n">
        <f aca="false" ca="false" dt2D="false" dtr="false" t="normal">X22</f>
        <v>0</v>
      </c>
      <c r="Z22" s="120" t="s">
        <v>203</v>
      </c>
      <c r="AA22" s="131" t="s">
        <v>196</v>
      </c>
      <c r="AB22" s="7526" t="s"/>
      <c r="AC22" s="142" t="s"/>
      <c r="AD22" s="142" t="s"/>
      <c r="AE22" s="7527" t="s"/>
      <c r="AF22" s="120" t="n"/>
      <c r="AG22" s="121" t="n"/>
      <c r="AH22" s="121" t="n"/>
      <c r="AI22" s="121" t="n"/>
      <c r="AJ22" s="121" t="n"/>
      <c r="AK22" s="121" t="n"/>
    </row>
    <row customHeight="true" hidden="false" ht="15" outlineLevel="0" r="23">
      <c r="C23" s="98" t="s">
        <v>191</v>
      </c>
      <c r="D23" s="53" t="n">
        <f aca="false" ca="false" dt2D="false" dtr="false" t="normal">HEX2DEC(D21)</f>
        <v>7</v>
      </c>
      <c r="E23" s="53" t="n">
        <f aca="false" ca="false" dt2D="false" dtr="false" t="normal">HEX2DEC(E21)</f>
        <v>97</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SUM(D23:J23)</f>
        <v>107</v>
      </c>
      <c r="N23" s="63" t="n"/>
      <c r="P23" s="136" t="n">
        <f aca="false" ca="false" dt2D="false" dtr="false" t="normal">MID(H17, 7, 1)</f>
        <v>0</v>
      </c>
      <c r="Q23" s="137" t="n">
        <f aca="false" ca="false" dt2D="false" dtr="false" t="normal">P23</f>
        <v>0</v>
      </c>
      <c r="R23" s="120" t="s">
        <v>206</v>
      </c>
      <c r="S23" s="131" t="s">
        <v>196</v>
      </c>
      <c r="T23" s="136" t="n">
        <f aca="false" ca="false" dt2D="false" dtr="false" t="normal">MID(I17, 7, 1)</f>
        <v>0</v>
      </c>
      <c r="U23" s="137" t="n">
        <f aca="false" ca="false" dt2D="false" dtr="false" t="normal">T23</f>
        <v>0</v>
      </c>
      <c r="V23" s="120" t="s">
        <v>206</v>
      </c>
      <c r="W23" s="131" t="s">
        <v>196</v>
      </c>
      <c r="X23" s="136" t="n">
        <f aca="false" ca="false" dt2D="false" dtr="false" t="normal">MID(J17, 7, 1)</f>
        <v>0</v>
      </c>
      <c r="Y23" s="137" t="n">
        <f aca="false" ca="false" dt2D="false" dtr="false" t="normal">X23</f>
        <v>0</v>
      </c>
      <c r="Z23" s="120" t="s">
        <v>206</v>
      </c>
      <c r="AA23" s="131" t="s">
        <v>196</v>
      </c>
      <c r="AB23" s="7528" t="s"/>
      <c r="AC23" s="142" t="s"/>
      <c r="AD23" s="142" t="s"/>
      <c r="AE23" s="7529" t="s"/>
      <c r="AF23" s="120" t="n"/>
      <c r="AG23" s="121" t="n"/>
      <c r="AH23" s="121" t="n"/>
      <c r="AI23" s="121" t="n"/>
      <c r="AJ23" s="121" t="n"/>
      <c r="AK23" s="121" t="n"/>
    </row>
    <row hidden="false" ht="15.75" outlineLevel="0" r="24">
      <c r="C24" s="180" t="s">
        <v>194</v>
      </c>
      <c r="D24" s="7530" t="n">
        <f aca="false" ca="false" dt2D="false" dtr="false" t="normal">D19</f>
        <v>7</v>
      </c>
      <c r="E24" s="7530" t="n">
        <f aca="false" ca="false" dt2D="false" dtr="false" t="normal">E19</f>
        <v>61</v>
      </c>
      <c r="F24" s="7530" t="str">
        <f aca="false" ca="false" dt2D="false" dtr="false" t="normal">F19</f>
        <v>G1</v>
      </c>
      <c r="G24" s="7530"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5" t="s">
        <v>196</v>
      </c>
      <c r="T24" s="182" t="n">
        <f aca="false" ca="false" dt2D="false" dtr="false" t="normal">MID(I17, 8, 1)</f>
        <v>0</v>
      </c>
      <c r="U24" s="183" t="n">
        <f aca="false" ca="false" dt2D="false" dtr="false" t="normal">T24</f>
        <v>0</v>
      </c>
      <c r="V24" s="184" t="s">
        <v>208</v>
      </c>
      <c r="W24" s="185" t="s">
        <v>196</v>
      </c>
      <c r="X24" s="182" t="n">
        <f aca="false" ca="false" dt2D="false" dtr="false" t="normal">MID(J17, 8, 1)</f>
        <v>0</v>
      </c>
      <c r="Y24" s="183" t="n">
        <f aca="false" ca="false" dt2D="false" dtr="false" t="normal">X24</f>
        <v>0</v>
      </c>
      <c r="Z24" s="184" t="s">
        <v>208</v>
      </c>
      <c r="AA24" s="185" t="s">
        <v>196</v>
      </c>
      <c r="AB24" s="7531" t="s"/>
      <c r="AC24" s="7532" t="s"/>
      <c r="AD24" s="7533" t="s"/>
      <c r="AE24" s="7534" t="s"/>
      <c r="AF24" s="120" t="n"/>
      <c r="AG24" s="121" t="n"/>
      <c r="AH24" s="121" t="n"/>
      <c r="AI24" s="121" t="n"/>
      <c r="AJ24" s="121" t="n"/>
      <c r="AK24" s="121" t="n"/>
    </row>
    <row customHeight="true" hidden="false" ht="15" outlineLevel="0" r="25"/>
    <row customHeight="true" hidden="false" ht="15" outlineLevel="0" r="26"/>
    <row customHeight="true" hidden="false" ht="15" outlineLevel="0" r="27"/>
    <row customHeight="true" hidden="false" ht="15" outlineLevel="0" r="28"/>
    <row customHeight="true" hidden="false" ht="15" outlineLevel="0" r="29"/>
    <row customHeight="true" hidden="false" ht="15" outlineLevel="0" r="30"/>
    <row customHeight="true" hidden="false" ht="15.75" outlineLevel="0" r="31"/>
    <row customHeight="true" hidden="false" ht="15" outlineLevel="0" r="32"/>
    <row customHeight="true" hidden="false" ht="15" outlineLevel="0" r="33"/>
    <row customHeight="true" hidden="false" ht="15" outlineLevel="0" r="34"/>
    <row customHeight="true" hidden="false" ht="15" outlineLevel="0" r="35"/>
    <row customHeight="true" hidden="false" ht="15" outlineLevel="0" r="36"/>
    <row customHeight="true" hidden="false" ht="15" outlineLevel="0" r="37"/>
    <row customHeight="true" hidden="false" ht="15" outlineLevel="0" r="38"/>
  </sheetData>
  <mergeCells count="21">
    <mergeCell ref="AB16:AE24"/>
    <mergeCell ref="AB15:AE15"/>
    <mergeCell ref="X15:AA15"/>
    <mergeCell ref="T15:W15"/>
    <mergeCell ref="P15:S15"/>
    <mergeCell ref="P14:Q14"/>
    <mergeCell ref="R14:AK14"/>
    <mergeCell ref="D15:G15"/>
    <mergeCell ref="AJ5:AK13"/>
    <mergeCell ref="C1:AK1"/>
    <mergeCell ref="A1:B1"/>
    <mergeCell ref="C2:E2"/>
    <mergeCell ref="D4:G4"/>
    <mergeCell ref="R3:AK3"/>
    <mergeCell ref="P3:Q3"/>
    <mergeCell ref="AF4:AI4"/>
    <mergeCell ref="AJ4:AK4"/>
    <mergeCell ref="P4:S4"/>
    <mergeCell ref="T4:W4"/>
    <mergeCell ref="X4:AA4"/>
    <mergeCell ref="AB4:AE4"/>
  </mergeCells>
  <conditionalFormatting pivot="false" sqref="B3:B5">
    <cfRule aboveAverage="true" bottom="false" dxfId="1" equalAverage="false" percent="false" priority="12" stopIfTrue="false" type="notContainsBlanks">
      <formula>LEN(TRIM(B3))&gt;0</formula>
    </cfRule>
  </conditionalFormatting>
  <conditionalFormatting pivot="false" sqref="AC8:AC12 Q18:Q23 U18:U23 Y18:Y23">
    <cfRule aboveAverage="true" bottom="false" dxfId="0" equalAverage="false" percent="false" priority="11" stopIfTrue="false" type="expression">
      <formula>Q8:Q14&lt;&gt;P8:P14</formula>
    </cfRule>
  </conditionalFormatting>
  <conditionalFormatting pivot="false" sqref="AC6:AC7 Q17 U17 Y17">
    <cfRule aboveAverage="true" bottom="false" dxfId="0" equalAverage="false" percent="false" priority="10" stopIfTrue="false" type="expression">
      <formula>Q6:Q13&lt;&gt;P6:P13</formula>
    </cfRule>
  </conditionalFormatting>
  <conditionalFormatting pivot="false" sqref="B3:B5">
    <cfRule aboveAverage="true" bottom="false" dxfId="4" equalAverage="false" percent="false" priority="9" stopIfTrue="false" type="expression">
      <formula>IF(A3&lt;&gt;B3, 1, 0)</formula>
    </cfRule>
  </conditionalFormatting>
  <conditionalFormatting pivot="false" sqref="Q6:Q13">
    <cfRule aboveAverage="true" bottom="false" dxfId="0" equalAverage="false" percent="false" priority="8" stopIfTrue="false" type="expression">
      <formula>Q6:Q13&lt;&gt;P6:P13</formula>
    </cfRule>
  </conditionalFormatting>
  <conditionalFormatting pivot="false" sqref="U6:U13">
    <cfRule aboveAverage="true" bottom="false" dxfId="0" equalAverage="false" percent="false" priority="7" stopIfTrue="false" type="expression">
      <formula>U6:U13&lt;&gt;T6:T13</formula>
    </cfRule>
  </conditionalFormatting>
  <conditionalFormatting pivot="false" sqref="Y6:Y13">
    <cfRule aboveAverage="true" bottom="false" dxfId="0" equalAverage="false" percent="false" priority="6" stopIfTrue="false" type="expression">
      <formula>Y6:Y13&lt;&gt;X6:X13</formula>
    </cfRule>
  </conditionalFormatting>
  <conditionalFormatting pivot="false" sqref="AC13">
    <cfRule aboveAverage="true" bottom="false" dxfId="0" equalAverage="false" percent="false" priority="5" stopIfTrue="false" type="expression">
      <formula>AC13:AC20&lt;&gt;AB13:AB20</formula>
    </cfRule>
  </conditionalFormatting>
  <conditionalFormatting pivot="false" sqref="Q24">
    <cfRule aboveAverage="true" bottom="false" dxfId="0" equalAverage="false" percent="false" priority="4" stopIfTrue="false" type="expression">
      <formula>Q24:Q31&lt;&gt;P24:P31</formula>
    </cfRule>
  </conditionalFormatting>
  <conditionalFormatting pivot="false" sqref="U24">
    <cfRule aboveAverage="true" bottom="false" dxfId="0" equalAverage="false" percent="false" priority="3" stopIfTrue="false" type="expression">
      <formula>U24:U31&lt;&gt;T24:T31</formula>
    </cfRule>
  </conditionalFormatting>
  <conditionalFormatting pivot="false" sqref="Y24">
    <cfRule aboveAverage="true" bottom="false" dxfId="0" equalAverage="false" percent="false" priority="2" stopIfTrue="false" type="expression">
      <formula>Y24:Y31&lt;&gt;X24:X31</formula>
    </cfRule>
  </conditionalFormatting>
  <conditionalFormatting pivot="false" sqref="AG6:AG13">
    <cfRule aboveAverage="true" bottom="false" dxfId="0" equalAverage="false" percent="false" priority="1" stopIfTrue="false" type="expression">
      <formula>AG6:AG13&lt;&gt;AF6:AF13</formula>
    </cfRule>
  </conditionalFormatting>
  <dataValidations>
    <dataValidation allowBlank="true" error="This is a Binary value, which can be either 0 or 1." errorStyle="stop" errorTitle="Wrong Value" imeMode="noControl" operator="between" showDropDown="false" showErrorMessage="true" showInputMessage="true" sqref="Y17:Y24 U6:U13 U17:U24 AC6:AC13 Q6:Q13 Y6:Y13 Q17:Q24 AG6:AG13"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97mm" paperSize="9" paperWidth="210mm" scale="100"/>
</worksheet>
</file>

<file path=xl/worksheets/sheet15.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N38"/>
  <sheetViews>
    <sheetView showZeros="true" workbookViewId="0"/>
  </sheetViews>
  <sheetFormatPr baseColWidth="8" customHeight="true" defaultColWidth="9.1406253092569258" defaultRowHeight="15" zeroHeight="true"/>
  <cols>
    <col bestFit="true" customWidth="true" max="2" min="1" outlineLevel="0" width="12.855468643610331"/>
    <col bestFit="true" customWidth="true" max="3" min="3" outlineLevel="0" width="4.5703126546284629"/>
    <col bestFit="true" customWidth="true" max="5" min="4" outlineLevel="0" width="9.0000001691661815"/>
    <col customWidth="true" max="13" min="6" outlineLevel="0" width="9.1406253092569258"/>
    <col bestFit="true" customWidth="true" max="14" min="14" outlineLevel="0" width="5.4257812982387943"/>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customWidth="true" hidden="true" max="27" min="27" outlineLevel="0" width="19.285155819815685"/>
    <col customWidth="true" hidden="true" max="28" min="28" outlineLevel="0" width="5.4257812982387943"/>
    <col customWidth="true" hidden="true" max="29" min="29" outlineLevel="0" width="5.28515615814805"/>
    <col customWidth="true" hidden="true" max="30" min="30" outlineLevel="0" width="3.4257812982387938"/>
    <col customWidth="true" hidden="true" max="31" min="31" outlineLevel="0" width="19.285155819815685"/>
    <col customWidth="true" hidden="true" max="32" min="32" outlineLevel="0" width="5.4257812982387943"/>
    <col customWidth="true" hidden="true" max="33" min="33" outlineLevel="0" width="5.28515615814805"/>
    <col customWidth="true" hidden="true" max="34" min="34" outlineLevel="0" width="3.4257812982387938"/>
    <col customWidth="true" hidden="true" max="35" min="35" outlineLevel="0" width="19.425781636571156"/>
    <col customWidth="true" hidden="true" max="40" min="36" outlineLevel="0" width="9.1406253092569258"/>
    <col bestFit="true" customWidth="true" hidden="true" max="16384" min="41" outlineLevel="0" width="9.1406253092569258"/>
  </cols>
  <sheetData>
    <row customHeight="true" hidden="false" ht="15" outlineLevel="0" r="1">
      <c r="A1" s="85" t="s">
        <v>155</v>
      </c>
      <c r="B1" s="7535"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87" t="n"/>
      <c r="Y1" s="87" t="n"/>
      <c r="Z1" s="87" t="n"/>
      <c r="AA1" s="87" t="n"/>
      <c r="AB1" s="87" t="n"/>
      <c r="AC1" s="87" t="n"/>
      <c r="AD1" s="87" t="n"/>
      <c r="AE1" s="87" t="n"/>
      <c r="AF1" s="87" t="n"/>
      <c r="AG1" s="87" t="n"/>
      <c r="AH1" s="87" t="n"/>
      <c r="AI1" s="87" t="n"/>
      <c r="AJ1" s="87" t="n"/>
      <c r="AK1" s="87" t="n"/>
    </row>
    <row hidden="false" ht="15.75" outlineLevel="0" r="2">
      <c r="A2" s="88" t="s">
        <v>157</v>
      </c>
      <c r="B2" s="89" t="s">
        <v>158</v>
      </c>
      <c r="C2" s="230" t="s">
        <v>159</v>
      </c>
      <c r="D2" s="7536" t="s"/>
      <c r="E2" s="7537" t="s"/>
      <c r="S2" s="87" t="n"/>
    </row>
    <row hidden="false" ht="15.75" outlineLevel="0" r="3">
      <c r="A3" s="91" t="s">
        <v>160</v>
      </c>
      <c r="B3" s="92" t="s">
        <v>160</v>
      </c>
      <c r="C3" s="93" t="n"/>
      <c r="D3" s="94" t="n"/>
      <c r="E3" s="94" t="n"/>
      <c r="F3" s="94" t="n"/>
      <c r="G3" s="94" t="n"/>
      <c r="H3" s="94" t="n"/>
      <c r="I3" s="94" t="s">
        <v>161</v>
      </c>
      <c r="J3" s="94" t="n"/>
      <c r="K3" s="94" t="n"/>
      <c r="L3" s="94" t="n"/>
      <c r="M3" s="94" t="n"/>
      <c r="N3" s="60" t="n"/>
      <c r="P3" s="95" t="str">
        <f aca="false" ca="false" dt2D="false" dtr="false" t="normal">RIGHT(D5, 1)&amp;E5&amp;"-"&amp;F5&amp;"-"&amp;G5</f>
        <v>7C4-02-01</v>
      </c>
      <c r="Q3" s="7538" t="s"/>
      <c r="R3" s="234" t="s">
        <v>3876</v>
      </c>
      <c r="S3" s="7539" t="s"/>
      <c r="T3" s="7540" t="s"/>
      <c r="U3" s="7541" t="s"/>
      <c r="V3" s="7542" t="s"/>
      <c r="W3" s="7543" t="s"/>
    </row>
    <row hidden="false" ht="15.75" outlineLevel="0" r="4">
      <c r="A4" s="91" t="s">
        <v>3877</v>
      </c>
      <c r="B4" s="92" t="str">
        <f aca="false" ca="false" dt2D="false" dtr="false" t="normal">RIGHT(D13, 1)&amp;E13&amp;F13&amp;G13&amp;H10&amp;I10</f>
        <v>7C4G2G100CE</v>
      </c>
      <c r="C4" s="98" t="n"/>
      <c r="D4" s="99" t="s">
        <v>3878</v>
      </c>
      <c r="E4" s="7544" t="s"/>
      <c r="F4" s="7545" t="s"/>
      <c r="G4" s="7546" t="s"/>
      <c r="H4" s="53" t="s">
        <v>165</v>
      </c>
      <c r="I4" s="53" t="s">
        <v>166</v>
      </c>
      <c r="N4" s="63" t="n"/>
      <c r="P4" s="103" t="s">
        <v>3879</v>
      </c>
      <c r="Q4" s="7547" t="s"/>
      <c r="R4" s="7548" t="s"/>
      <c r="S4" s="7549" t="s"/>
      <c r="T4" s="116" t="s">
        <v>3880</v>
      </c>
      <c r="U4" s="7550" t="s"/>
      <c r="V4" s="7551" t="s"/>
      <c r="W4" s="7552" t="s"/>
      <c r="X4" s="98" t="n"/>
    </row>
    <row hidden="false" ht="15.75" outlineLevel="0" r="5">
      <c r="C5" s="98" t="s">
        <v>176</v>
      </c>
      <c r="D5" s="122" t="s">
        <v>177</v>
      </c>
      <c r="E5" s="123" t="s">
        <v>3881</v>
      </c>
      <c r="F5" s="123" t="s">
        <v>216</v>
      </c>
      <c r="G5" s="124" t="s">
        <v>179</v>
      </c>
      <c r="H5" s="125" t="n">
        <f aca="false" ca="false" dt2D="false" dtr="false" t="normal">MID($A$4, 8, 2)</f>
        <v>0</v>
      </c>
      <c r="I5" s="7553" t="str">
        <f aca="false" ca="false" dt2D="false" dtr="false" t="normal">MID($A$4, 10, 2)</f>
        <v>CE</v>
      </c>
      <c r="N5" s="63" t="s">
        <v>180</v>
      </c>
      <c r="P5" s="129" t="s">
        <v>180</v>
      </c>
      <c r="Q5" s="130" t="s">
        <v>181</v>
      </c>
      <c r="R5" s="121" t="s">
        <v>182</v>
      </c>
      <c r="S5" s="131" t="n"/>
      <c r="T5" s="116" t="s">
        <v>183</v>
      </c>
      <c r="U5" s="7554" t="s"/>
      <c r="V5" s="7555" t="s"/>
      <c r="W5" s="7556" t="s"/>
    </row>
    <row customHeight="true" hidden="false" ht="15" outlineLevel="0" r="6">
      <c r="C6" s="98" t="s">
        <v>185</v>
      </c>
      <c r="D6" s="53" t="n">
        <f aca="false" ca="false" dt2D="false" dtr="false" t="normal">HEX2BIN(D5, 8)</f>
        <v>111</v>
      </c>
      <c r="E6" s="53" t="n">
        <f aca="false" ca="false" dt2D="false" dtr="false" t="normal">HEX2BIN(E5, 8)</f>
        <v>11000100</v>
      </c>
      <c r="F6" s="53" t="n">
        <f aca="false" ca="false" dt2D="false" dtr="false" t="normal">HEX2BIN(F5, 8)</f>
        <v>10</v>
      </c>
      <c r="G6" s="53" t="n">
        <f aca="false" ca="false" dt2D="false" dtr="false" t="normal">HEX2BIN(G5, 8)</f>
        <v>1</v>
      </c>
      <c r="H6" s="53" t="n">
        <f aca="false" ca="false" dt2D="false" dtr="false" t="normal">HEX2BIN(H5, 8)</f>
        <v>0</v>
      </c>
      <c r="I6" s="53" t="n"/>
      <c r="N6" s="63" t="n"/>
      <c r="P6" s="136" t="n">
        <f aca="false" ca="false" dt2D="false" dtr="false" t="normal">MID(H6, 1, 1)</f>
        <v>0</v>
      </c>
      <c r="Q6" s="137" t="n">
        <f aca="false" ca="false" dt2D="false" dtr="false" t="normal">P6</f>
        <v>0</v>
      </c>
      <c r="R6" s="120" t="s">
        <v>186</v>
      </c>
      <c r="S6" s="131" t="s">
        <v>196</v>
      </c>
      <c r="T6" s="7557" t="s"/>
      <c r="U6" s="142" t="s"/>
      <c r="V6" s="142" t="s"/>
      <c r="W6" s="7558" t="s"/>
    </row>
    <row customHeight="true" hidden="false" ht="15" outlineLevel="0" r="7">
      <c r="C7" s="98" t="s">
        <v>191</v>
      </c>
      <c r="D7" s="53" t="n">
        <f aca="false" ca="false" dt2D="false" dtr="false" t="normal">HEX2DEC(D5)</f>
        <v>7</v>
      </c>
      <c r="E7" s="53" t="n">
        <f aca="false" ca="false" dt2D="false" dtr="false" t="normal">HEX2DEC(E5)</f>
        <v>196</v>
      </c>
      <c r="F7" s="53" t="n">
        <f aca="false" ca="false" dt2D="false" dtr="false" t="normal">HEX2DEC(F5)</f>
        <v>2</v>
      </c>
      <c r="G7" s="53" t="n">
        <f aca="false" ca="false" dt2D="false" dtr="false" t="normal">HEX2DEC(G5)</f>
        <v>1</v>
      </c>
      <c r="H7" s="53" t="n">
        <f aca="false" ca="false" dt2D="false" dtr="false" t="normal">HEX2DEC(H5)</f>
        <v>0</v>
      </c>
      <c r="I7" s="53" t="n">
        <f aca="false" ca="false" dt2D="false" dtr="false" t="normal">SUM(D7:H7)</f>
        <v>206</v>
      </c>
      <c r="N7" s="63" t="n"/>
      <c r="P7" s="136" t="n">
        <f aca="false" ca="false" dt2D="false" dtr="false" t="normal">MID(H6, 2, 1)</f>
        <v>0</v>
      </c>
      <c r="Q7" s="137" t="n">
        <f aca="false" ca="false" dt2D="false" dtr="false" t="normal">P7</f>
        <v>0</v>
      </c>
      <c r="R7" s="120" t="s">
        <v>192</v>
      </c>
      <c r="S7" s="131" t="s">
        <v>196</v>
      </c>
      <c r="T7" s="7559" t="s"/>
      <c r="U7" s="142" t="s"/>
      <c r="V7" s="142" t="s"/>
      <c r="W7" s="7560" t="s"/>
    </row>
    <row customHeight="true" hidden="false" ht="15" outlineLevel="0" r="8">
      <c r="C8" s="98" t="s">
        <v>194</v>
      </c>
      <c r="D8" s="149" t="n">
        <f aca="false" ca="false" dt2D="false" dtr="false" t="normal">D5</f>
        <v>7</v>
      </c>
      <c r="E8" s="149" t="str">
        <f aca="false" ca="false" dt2D="false" dtr="false" t="normal">E5</f>
        <v>C4</v>
      </c>
      <c r="F8" s="53" t="str">
        <f aca="false" ca="false" dt2D="false" dtr="false" t="normal">MID($A$4, 4, 2)</f>
        <v>G2</v>
      </c>
      <c r="G8" s="53" t="str">
        <f aca="false" ca="false" dt2D="false" dtr="false" t="normal">MID($A$4, 6, 2)</f>
        <v>G1</v>
      </c>
      <c r="N8" s="63" t="n"/>
      <c r="P8" s="136" t="n">
        <f aca="false" ca="false" dt2D="false" dtr="false" t="normal">MID(H6, 3, 1)</f>
        <v>0</v>
      </c>
      <c r="Q8" s="137" t="n">
        <f aca="false" ca="false" dt2D="false" dtr="false" t="normal">P8</f>
        <v>0</v>
      </c>
      <c r="R8" s="120" t="s">
        <v>195</v>
      </c>
      <c r="S8" s="131" t="s">
        <v>196</v>
      </c>
      <c r="T8" s="7561" t="s"/>
      <c r="U8" s="142" t="s"/>
      <c r="V8" s="142" t="s"/>
      <c r="W8" s="7562" t="s"/>
    </row>
    <row hidden="false" ht="15.75" outlineLevel="0" r="9">
      <c r="C9" s="98" t="n"/>
      <c r="N9" s="63" t="n"/>
      <c r="P9" s="136" t="n">
        <f aca="false" ca="false" dt2D="false" dtr="false" t="normal">MID(H6, 4, 1)</f>
        <v>0</v>
      </c>
      <c r="Q9" s="137" t="n">
        <f aca="false" ca="false" dt2D="false" dtr="false" t="normal">P9</f>
        <v>0</v>
      </c>
      <c r="R9" s="120" t="s">
        <v>197</v>
      </c>
      <c r="S9" s="131" t="s">
        <v>196</v>
      </c>
      <c r="T9" s="7563" t="s"/>
      <c r="U9" s="142" t="s"/>
      <c r="V9" s="142" t="s"/>
      <c r="W9" s="7564" t="s"/>
    </row>
    <row hidden="false" ht="15.75" outlineLevel="0" r="10">
      <c r="C10" s="98" t="s">
        <v>176</v>
      </c>
      <c r="D10" s="159" t="n">
        <f aca="false" ca="false" dt2D="false" dtr="false" t="normal">D5</f>
        <v>7</v>
      </c>
      <c r="E10" s="160" t="str">
        <f aca="false" ca="false" dt2D="false" dtr="false" t="normal">E5</f>
        <v>C4</v>
      </c>
      <c r="F10" s="160" t="n">
        <f aca="false" ca="false" dt2D="false" dtr="false" t="normal">F5</f>
        <v>2</v>
      </c>
      <c r="G10" s="161" t="n">
        <f aca="false" ca="false" dt2D="false" dtr="false" t="normal">G5</f>
        <v>1</v>
      </c>
      <c r="H10" s="162" t="n">
        <f aca="false" ca="false" dt2D="false" dtr="false" t="normal">BIN2HEX(H11, 2)</f>
        <v>0</v>
      </c>
      <c r="I10" s="166" t="str">
        <f aca="false" ca="false" dt2D="false" dtr="false" t="normal">IF(LEN(I11)&gt;2, MID(I11, 2, 2), I11)</f>
        <v>CE</v>
      </c>
      <c r="N10" s="63" t="s">
        <v>181</v>
      </c>
      <c r="P10" s="136" t="n">
        <f aca="false" ca="false" dt2D="false" dtr="false" t="normal">MID(H6, 5, 1)</f>
        <v>0</v>
      </c>
      <c r="Q10" s="137" t="n">
        <f aca="false" ca="false" dt2D="false" dtr="false" t="normal">P10</f>
        <v>0</v>
      </c>
      <c r="R10" s="120" t="s">
        <v>200</v>
      </c>
      <c r="S10" s="131" t="s">
        <v>196</v>
      </c>
      <c r="T10" s="7565" t="s"/>
      <c r="U10" s="142" t="s"/>
      <c r="V10" s="142" t="s"/>
      <c r="W10" s="7566" t="s"/>
    </row>
    <row customHeight="true" hidden="false" ht="15" outlineLevel="0" r="11">
      <c r="C11" s="98" t="s">
        <v>185</v>
      </c>
      <c r="D11" s="53" t="n">
        <f aca="false" ca="false" dt2D="false" dtr="false" t="normal">HEX2BIN(D10, 8)</f>
        <v>111</v>
      </c>
      <c r="E11" s="53" t="n">
        <f aca="false" ca="false" dt2D="false" dtr="false" t="normal">HEX2BIN(E10, 8)</f>
        <v>11000100</v>
      </c>
      <c r="F11" s="53" t="n">
        <f aca="false" ca="false" dt2D="false" dtr="false" t="normal">HEX2BIN(F10, 8)</f>
        <v>10</v>
      </c>
      <c r="G11" s="53" t="n">
        <f aca="false" ca="false" dt2D="false" dtr="false" t="normal">HEX2BIN(G10, 8)</f>
        <v>1</v>
      </c>
      <c r="H11" s="171" t="n">
        <f aca="false" ca="false" dt2D="false" dtr="false" t="normal">Q6&amp;Q7&amp;Q8&amp;Q9&amp;Q10&amp;Q11&amp;Q12&amp;Q13</f>
        <v>0</v>
      </c>
      <c r="I11" s="53" t="str">
        <f aca="false" ca="false" dt2D="false" dtr="false" t="normal">DEC2HEX(I12)</f>
        <v>CE</v>
      </c>
      <c r="N11" s="63" t="n"/>
      <c r="P11" s="136" t="n">
        <f aca="false" ca="false" dt2D="false" dtr="false" t="normal">MID(H6, 6, 1)</f>
        <v>0</v>
      </c>
      <c r="Q11" s="137" t="n">
        <f aca="false" ca="false" dt2D="false" dtr="false" t="normal">P11</f>
        <v>0</v>
      </c>
      <c r="R11" s="120" t="s">
        <v>203</v>
      </c>
      <c r="S11" s="131" t="s">
        <v>196</v>
      </c>
      <c r="T11" s="7567" t="s"/>
      <c r="U11" s="142" t="s"/>
      <c r="V11" s="142" t="s"/>
      <c r="W11" s="7568" t="s"/>
    </row>
    <row customHeight="true" hidden="false" ht="15" outlineLevel="0" r="12">
      <c r="C12" s="98" t="s">
        <v>191</v>
      </c>
      <c r="D12" s="53" t="n">
        <f aca="false" ca="false" dt2D="false" dtr="false" t="normal">HEX2DEC(D10)</f>
        <v>7</v>
      </c>
      <c r="E12" s="53" t="n">
        <f aca="false" ca="false" dt2D="false" dtr="false" t="normal">HEX2DEC(E10)</f>
        <v>196</v>
      </c>
      <c r="F12" s="53" t="n">
        <f aca="false" ca="false" dt2D="false" dtr="false" t="normal">HEX2DEC(F10)</f>
        <v>2</v>
      </c>
      <c r="G12" s="53" t="n">
        <f aca="false" ca="false" dt2D="false" dtr="false" t="normal">HEX2DEC(G10)</f>
        <v>1</v>
      </c>
      <c r="H12" s="53" t="n">
        <f aca="false" ca="false" dt2D="false" dtr="false" t="normal">HEX2DEC(H10)</f>
        <v>0</v>
      </c>
      <c r="I12" s="53" t="n">
        <f aca="false" ca="false" dt2D="false" dtr="false" t="normal">SUM(D12:H12)</f>
        <v>206</v>
      </c>
      <c r="N12" s="63" t="n"/>
      <c r="P12" s="136" t="n">
        <f aca="false" ca="false" dt2D="false" dtr="false" t="normal">MID(H6, 7, 1)</f>
        <v>0</v>
      </c>
      <c r="Q12" s="137" t="n">
        <f aca="false" ca="false" dt2D="false" dtr="false" t="normal">P12</f>
        <v>0</v>
      </c>
      <c r="R12" s="120" t="s">
        <v>206</v>
      </c>
      <c r="S12" s="131" t="s">
        <v>196</v>
      </c>
      <c r="T12" s="7569" t="s"/>
      <c r="U12" s="142" t="s"/>
      <c r="V12" s="142" t="s"/>
      <c r="W12" s="7570" t="s"/>
    </row>
    <row hidden="false" ht="15.75" outlineLevel="0" r="13">
      <c r="C13" s="180" t="s">
        <v>194</v>
      </c>
      <c r="D13" s="181" t="n">
        <f aca="false" ca="false" dt2D="false" dtr="false" t="normal">D8</f>
        <v>7</v>
      </c>
      <c r="E13" s="181" t="str">
        <f aca="false" ca="false" dt2D="false" dtr="false" t="normal">E8</f>
        <v>C4</v>
      </c>
      <c r="F13" s="181" t="str">
        <f aca="false" ca="false" dt2D="false" dtr="false" t="normal">F8</f>
        <v>G2</v>
      </c>
      <c r="G13" s="181"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85" t="s">
        <v>196</v>
      </c>
      <c r="T13" s="7571" t="s"/>
      <c r="U13" s="7572" t="s"/>
      <c r="V13" s="7573" t="s"/>
      <c r="W13" s="7574" t="s"/>
    </row>
    <row customHeight="true" hidden="false" ht="15" outlineLevel="0" r="14"/>
    <row customHeight="true" hidden="false" ht="15" outlineLevel="0" r="15"/>
    <row customHeight="true" hidden="false" ht="15" outlineLevel="0" r="16"/>
    <row customHeight="true" hidden="false" ht="15" outlineLevel="0" r="17"/>
    <row customHeight="true" hidden="false" ht="15" outlineLevel="0" r="18"/>
    <row customHeight="true" hidden="false" ht="15" outlineLevel="0" r="19"/>
    <row customHeight="true" hidden="false" ht="15" outlineLevel="0" r="20"/>
    <row customHeight="true" hidden="true" ht="15.75" outlineLevel="0" r="31"/>
  </sheetData>
  <mergeCells count="9">
    <mergeCell ref="R3:W3"/>
    <mergeCell ref="C1:W1"/>
    <mergeCell ref="T5:W13"/>
    <mergeCell ref="A1:B1"/>
    <mergeCell ref="C2:E2"/>
    <mergeCell ref="P3:Q3"/>
    <mergeCell ref="D4:G4"/>
    <mergeCell ref="P4:S4"/>
    <mergeCell ref="T4:W4"/>
  </mergeCells>
  <conditionalFormatting pivot="false" sqref="B3:B4">
    <cfRule aboveAverage="true" bottom="false" dxfId="1" equalAverage="false" percent="false" priority="3" stopIfTrue="false" type="notContainsBlanks">
      <formula>LEN(TRIM(B3))&gt;0</formula>
    </cfRule>
  </conditionalFormatting>
  <conditionalFormatting pivot="false" sqref="Q6:Q13">
    <cfRule aboveAverage="true" bottom="false" dxfId="0" equalAverage="false" percent="false" priority="2" stopIfTrue="false" type="expression">
      <formula>Q6:Q13&lt;&gt;P6:P13</formula>
    </cfRule>
  </conditionalFormatting>
  <conditionalFormatting pivot="false" sqref="B3:B4">
    <cfRule aboveAverage="true" bottom="false" dxfId="4" equalAverage="false" percent="false" priority="1" stopIfTrue="false" type="expression">
      <formula>IF(A3&lt;&gt;B3, 1, 0)</formula>
    </cfRule>
  </conditionalFormatting>
  <dataValidations>
    <dataValidation allowBlank="true" error="This is a Binary value, which can be either 0 or 1." errorStyle="stop" errorTitle="Wrong Value" imeMode="noControl" operator="between" showDropDown="false" showErrorMessage="true" showInputMessage="true" sqref="Q6:Q13"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97mm" paperSize="9" paperWidth="210mm" scale="100"/>
</worksheet>
</file>

<file path=xl/worksheets/sheet16.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BA588"/>
  <sheetViews>
    <sheetView showZeros="true" workbookViewId="0"/>
  </sheetViews>
  <sheetFormatPr baseColWidth="8" customHeight="false" defaultColWidth="9.1406253092569258" defaultRowHeight="15" zeroHeight="true"/>
  <cols>
    <col bestFit="true" customWidth="true" max="1" min="1" outlineLevel="0" width="21.570312147129918"/>
    <col bestFit="true" customWidth="true" max="2" min="2" outlineLevel="0" width="21.855468136111785"/>
    <col customWidth="true" max="3" min="3" outlineLevel="0" width="4.5703126546284629"/>
    <col customWidth="true" max="7" min="4" outlineLevel="0" style="56" width="9.1406253092569258"/>
    <col customWidth="true" max="13" min="8" outlineLevel="0" width="9.1406253092569258"/>
    <col customWidth="true" max="14" min="14" outlineLevel="0" width="5.7109372872206619"/>
    <col customWidth="true" max="15" min="15" outlineLevel="0" width="1.7109374563868438"/>
    <col customWidth="true" max="16" min="16" outlineLevel="0" width="5.4257812982387943"/>
    <col customWidth="true" max="17" min="17" outlineLevel="0" width="5.28515615814805"/>
    <col customWidth="true" max="18" min="18" outlineLevel="0" width="3.4257812982387938"/>
    <col customWidth="true" max="19" min="19" outlineLevel="0" width="20.140625140090744"/>
    <col customWidth="true" max="20" min="20" outlineLevel="0" width="5.4257812982387943"/>
    <col customWidth="true" max="21" min="21" outlineLevel="0" width="5.28515615814805"/>
    <col customWidth="true" max="22" min="22" outlineLevel="0" width="3.4257812982387938"/>
    <col customWidth="true" max="23" min="23" outlineLevel="0" width="20.425781129072611"/>
    <col customWidth="true" max="24" min="24" outlineLevel="0" width="5.4257812982387943"/>
    <col customWidth="true" max="25" min="25" outlineLevel="0" width="5.28515615814805"/>
    <col customWidth="true" max="26" min="26" outlineLevel="0" width="3.4257812982387938"/>
    <col customWidth="true" max="27" min="27" outlineLevel="0" width="20.570312654628463"/>
    <col customWidth="true" max="28" min="28" outlineLevel="0" width="5.4257812982387943"/>
    <col customWidth="true" max="29" min="29" outlineLevel="0" width="5.28515615814805"/>
    <col customWidth="true" max="30" min="30" outlineLevel="0" width="3.4257812982387938"/>
    <col customWidth="true" max="31" min="31" outlineLevel="0" width="20.425781129072611"/>
    <col customWidth="true" max="32" min="32" outlineLevel="0" width="5.4257812982387943"/>
    <col customWidth="true" max="33" min="33" outlineLevel="0" width="5.28515615814805"/>
    <col customWidth="true" max="34" min="34" outlineLevel="0" width="3.4257812982387938"/>
    <col customWidth="true" max="35" min="35" outlineLevel="0" width="20.000000676664726"/>
    <col customWidth="true" max="37" min="36" outlineLevel="0" width="9.1406253092569258"/>
    <col customWidth="true" max="38" min="38" outlineLevel="0" width="12.570312654628463"/>
    <col bestFit="true" customWidth="true" max="39" min="39" outlineLevel="0" width="12.570312654628463"/>
    <col customWidth="true" max="40" min="40" outlineLevel="0" width="9.1406253092569258"/>
    <col customWidth="true" hidden="true" max="44" min="41" outlineLevel="0" width="9.1406253092569258"/>
    <col customWidth="true" hidden="true" max="45" min="45" outlineLevel="0" width="54.570314346290282"/>
    <col bestFit="true" customWidth="true" hidden="true" max="53" min="46" outlineLevel="0" width="0"/>
    <col bestFit="true" customWidth="true" hidden="true" max="16384" min="54" outlineLevel="0" width="9.1406253092569258"/>
  </cols>
  <sheetData>
    <row hidden="false" ht="15" outlineLevel="0" r="1">
      <c r="A1" s="85" t="s">
        <v>155</v>
      </c>
      <c r="B1" s="7575" t="s"/>
      <c r="P1" s="51" t="s">
        <v>156</v>
      </c>
    </row>
    <row hidden="false" ht="15.75" outlineLevel="0" r="2">
      <c r="A2" s="88" t="s">
        <v>157</v>
      </c>
      <c r="B2" s="89" t="s">
        <v>158</v>
      </c>
      <c r="C2" s="230" t="s">
        <v>159</v>
      </c>
      <c r="D2" s="7576" t="s"/>
      <c r="E2" s="7577" t="s"/>
      <c r="G2" s="1144" t="n"/>
      <c r="H2" s="7578" t="s"/>
      <c r="I2" s="7579" t="s"/>
      <c r="J2" s="7580" t="s"/>
      <c r="K2" s="7581" t="s"/>
      <c r="L2" s="7582" t="s"/>
      <c r="M2" s="7583" t="s"/>
    </row>
    <row hidden="false" ht="15.75" outlineLevel="0" r="3">
      <c r="A3" s="7584" t="s">
        <v>160</v>
      </c>
      <c r="B3" s="92" t="s">
        <v>160</v>
      </c>
      <c r="C3" s="93" t="n"/>
      <c r="D3" s="7585" t="n"/>
      <c r="E3" s="7585" t="n"/>
      <c r="F3" s="7585" t="n"/>
      <c r="G3" s="7585" t="n"/>
      <c r="H3" s="94" t="n"/>
      <c r="I3" s="94" t="n"/>
      <c r="J3" s="94" t="n"/>
      <c r="K3" s="94" t="n"/>
      <c r="L3" s="94" t="n"/>
      <c r="M3" s="94" t="s">
        <v>161</v>
      </c>
      <c r="N3" s="60" t="n"/>
      <c r="P3" s="95" t="str">
        <f aca="false" ca="false" dt2D="false" dtr="false" t="normal">RIGHT(D5, 1)&amp;E5&amp;"-"&amp;F5&amp;"-"&amp;G5</f>
        <v>7A5-01-01</v>
      </c>
      <c r="Q3" s="7586" t="s"/>
      <c r="R3" s="234" t="s">
        <v>3882</v>
      </c>
      <c r="S3" s="7587" t="s"/>
      <c r="T3" s="7588" t="s"/>
      <c r="U3" s="7589" t="s"/>
      <c r="V3" s="7590" t="s"/>
      <c r="W3" s="7591" t="s"/>
      <c r="X3" s="7592" t="s"/>
      <c r="Y3" s="7593" t="s"/>
      <c r="Z3" s="7594" t="s"/>
      <c r="AA3" s="7595" t="s"/>
      <c r="AB3" s="7596" t="s"/>
      <c r="AC3" s="7597" t="s"/>
      <c r="AD3" s="7598" t="s"/>
      <c r="AE3" s="7599" t="s"/>
      <c r="AF3" s="7600" t="s"/>
      <c r="AG3" s="7601" t="s"/>
      <c r="AH3" s="7602" t="s"/>
      <c r="AI3" s="7603" t="s"/>
      <c r="AJ3" s="7604" t="s"/>
      <c r="AK3" s="7605" t="s"/>
    </row>
    <row hidden="false" ht="15.75" outlineLevel="0" r="4">
      <c r="A4" s="91" t="s">
        <v>3883</v>
      </c>
      <c r="B4" s="92" t="str">
        <f aca="false" ca="false" dt2D="false" dtr="false" t="normal">RIGHT(D13, 1)&amp;E13&amp;F13&amp;G13&amp;H10&amp;I10&amp;J10&amp;K10&amp;L10&amp;M10</f>
        <v>7A5G1G10000000000AE</v>
      </c>
      <c r="C4" s="98" t="n"/>
      <c r="D4" s="7606" t="s">
        <v>3884</v>
      </c>
      <c r="E4" s="7607" t="s"/>
      <c r="F4" s="7608" t="s"/>
      <c r="G4" s="7609" t="s"/>
      <c r="H4" s="53" t="s">
        <v>165</v>
      </c>
      <c r="I4" s="53" t="s">
        <v>166</v>
      </c>
      <c r="J4" s="53" t="s">
        <v>167</v>
      </c>
      <c r="K4" s="53" t="s">
        <v>168</v>
      </c>
      <c r="L4" s="53" t="s">
        <v>169</v>
      </c>
      <c r="M4" s="53" t="s">
        <v>221</v>
      </c>
      <c r="N4" s="63" t="n"/>
      <c r="P4" s="103" t="s">
        <v>3885</v>
      </c>
      <c r="Q4" s="7610" t="s"/>
      <c r="R4" s="7611" t="s"/>
      <c r="S4" s="7612" t="s"/>
      <c r="T4" s="103" t="s">
        <v>3886</v>
      </c>
      <c r="U4" s="7613" t="s"/>
      <c r="V4" s="7614" t="s"/>
      <c r="W4" s="7615" t="s"/>
      <c r="X4" s="103" t="s">
        <v>3887</v>
      </c>
      <c r="Y4" s="7616" t="s"/>
      <c r="Z4" s="7617" t="s"/>
      <c r="AA4" s="7618" t="s"/>
      <c r="AB4" s="103" t="s">
        <v>3888</v>
      </c>
      <c r="AC4" s="7619" t="s"/>
      <c r="AD4" s="7620" t="s"/>
      <c r="AE4" s="7621" t="s"/>
      <c r="AF4" s="103" t="s">
        <v>3889</v>
      </c>
      <c r="AG4" s="7622" t="s"/>
      <c r="AH4" s="7623" t="s"/>
      <c r="AI4" s="7624" t="s"/>
      <c r="AJ4" s="103" t="s">
        <v>3890</v>
      </c>
      <c r="AK4" s="7625" t="s"/>
    </row>
    <row hidden="false" ht="15.75" outlineLevel="0" r="5">
      <c r="A5" s="91" t="s">
        <v>3891</v>
      </c>
      <c r="B5" s="92" t="str">
        <f aca="false" ca="false" dt2D="false" dtr="false" t="normal">RIGHT(D24, 1)&amp;E24&amp;F24&amp;G24&amp;H21&amp;I21&amp;J21&amp;K21&amp;L21&amp;M21</f>
        <v>7A5G1G20000000000AF</v>
      </c>
      <c r="C5" s="98" t="s">
        <v>176</v>
      </c>
      <c r="D5" s="122" t="s">
        <v>177</v>
      </c>
      <c r="E5" s="123" t="s">
        <v>3892</v>
      </c>
      <c r="F5" s="123" t="s">
        <v>179</v>
      </c>
      <c r="G5" s="124" t="s">
        <v>179</v>
      </c>
      <c r="H5" s="273" t="n">
        <f aca="false" ca="false" dt2D="false" dtr="false" t="normal">MID($A$4, 8, 2)</f>
        <v>0</v>
      </c>
      <c r="I5" s="7626" t="n">
        <f aca="false" ca="false" dt2D="false" dtr="false" t="normal">MID($A$4, 10, 2)</f>
        <v>0</v>
      </c>
      <c r="J5" s="7626" t="n">
        <f aca="false" ca="false" dt2D="false" dtr="false" t="normal">MID($A$4, 12, 2)</f>
        <v>0</v>
      </c>
      <c r="K5" s="7626" t="n">
        <f aca="false" ca="false" dt2D="false" dtr="false" t="normal">MID($A$4, 14, 2)</f>
        <v>0</v>
      </c>
      <c r="L5" s="7627" t="n">
        <f aca="false" ca="false" dt2D="false" dtr="false" t="normal">MID($A$4, 16, 2)</f>
        <v>0</v>
      </c>
      <c r="M5" s="7553" t="str">
        <f aca="false" ca="false" dt2D="false" dtr="false" t="normal">MID($A$4, 18, 2)</f>
        <v>AE</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7628" t="s"/>
    </row>
    <row hidden="false" ht="15" outlineLevel="0" r="6">
      <c r="A6" s="91" t="s">
        <v>3893</v>
      </c>
      <c r="B6" s="92" t="str">
        <f aca="false" ca="false" dt2D="false" dtr="false" t="normal">RIGHT(D35, 1)&amp;E35&amp;F35&amp;G35&amp;H32&amp;I32&amp;J32&amp;K32&amp;L32&amp;M32</f>
        <v>7A5G1G30000000000B0</v>
      </c>
      <c r="C6" s="98" t="s">
        <v>185</v>
      </c>
      <c r="D6" s="149" t="n">
        <f aca="false" ca="false" dt2D="false" dtr="false" t="normal">HEX2BIN(D5, 8)</f>
        <v>111</v>
      </c>
      <c r="E6" s="149" t="n">
        <f aca="false" ca="false" dt2D="false" dtr="false" t="normal">HEX2BIN(E5, 8)</f>
        <v>10100101</v>
      </c>
      <c r="F6" s="149" t="n">
        <f aca="false" ca="false" dt2D="false" dtr="false" t="normal">HEX2BIN(F5, 8)</f>
        <v>1</v>
      </c>
      <c r="G6" s="149"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131" t="s">
        <v>196</v>
      </c>
      <c r="T6" s="136" t="n">
        <f aca="false" ca="false" dt2D="false" dtr="false" t="normal">MID(I6, 1, 1)</f>
        <v>0</v>
      </c>
      <c r="U6" s="137" t="n">
        <f aca="false" ca="false" dt2D="false" dtr="false" t="normal">T6</f>
        <v>0</v>
      </c>
      <c r="V6" s="120" t="s">
        <v>186</v>
      </c>
      <c r="W6" s="131" t="s">
        <v>196</v>
      </c>
      <c r="X6" s="136" t="n">
        <f aca="false" ca="false" dt2D="false" dtr="false" t="normal">MID(J6, 1, 1)</f>
        <v>0</v>
      </c>
      <c r="Y6" s="137" t="n">
        <f aca="false" ca="false" dt2D="false" dtr="false" t="normal">X6</f>
        <v>0</v>
      </c>
      <c r="Z6" s="120" t="s">
        <v>186</v>
      </c>
      <c r="AA6" s="131" t="s">
        <v>196</v>
      </c>
      <c r="AB6" s="136" t="n">
        <f aca="false" ca="false" dt2D="false" dtr="false" t="normal">MID(K6, 1, 1)</f>
        <v>0</v>
      </c>
      <c r="AC6" s="137" t="n">
        <f aca="false" ca="false" dt2D="false" dtr="false" t="normal">AB6</f>
        <v>0</v>
      </c>
      <c r="AD6" s="120" t="s">
        <v>186</v>
      </c>
      <c r="AE6" s="131" t="s">
        <v>196</v>
      </c>
      <c r="AF6" s="136" t="n">
        <f aca="false" ca="false" dt2D="false" dtr="false" t="normal">MID(L6, 1, 1)</f>
        <v>0</v>
      </c>
      <c r="AG6" s="137" t="n">
        <f aca="false" ca="false" dt2D="false" dtr="false" t="normal">AF6</f>
        <v>0</v>
      </c>
      <c r="AH6" s="120" t="s">
        <v>186</v>
      </c>
      <c r="AI6" s="131" t="s">
        <v>196</v>
      </c>
      <c r="AJ6" s="7629" t="s"/>
      <c r="AK6" s="7630" t="s"/>
    </row>
    <row customHeight="true" hidden="false" ht="15" outlineLevel="0" r="7">
      <c r="A7" s="91" t="s">
        <v>3894</v>
      </c>
      <c r="B7" s="92" t="str">
        <f aca="false" ca="false" dt2D="false" dtr="false" t="normal">RIGHT(D46, 1)&amp;E46&amp;F46&amp;G46&amp;H43&amp;I43&amp;J43&amp;K43&amp;L43&amp;M43</f>
        <v>7A5G1G40000000000B1</v>
      </c>
      <c r="C7" s="98" t="s">
        <v>191</v>
      </c>
      <c r="D7" s="149" t="n">
        <f aca="false" ca="false" dt2D="false" dtr="false" t="normal">HEX2DEC(D5)</f>
        <v>7</v>
      </c>
      <c r="E7" s="149" t="n">
        <f aca="false" ca="false" dt2D="false" dtr="false" t="normal">HEX2DEC(E5)</f>
        <v>165</v>
      </c>
      <c r="F7" s="149" t="n">
        <f aca="false" ca="false" dt2D="false" dtr="false" t="normal">HEX2DEC(F5)</f>
        <v>1</v>
      </c>
      <c r="G7" s="149"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174</v>
      </c>
      <c r="N7" s="63" t="n"/>
      <c r="P7" s="136" t="n">
        <f aca="false" ca="false" dt2D="false" dtr="false" t="normal">MID(H6, 2, 1)</f>
        <v>0</v>
      </c>
      <c r="Q7" s="137" t="n">
        <f aca="false" ca="false" dt2D="false" dtr="false" t="normal">P7</f>
        <v>0</v>
      </c>
      <c r="R7" s="120" t="s">
        <v>192</v>
      </c>
      <c r="S7" s="131" t="s">
        <v>196</v>
      </c>
      <c r="T7" s="136" t="n">
        <f aca="false" ca="false" dt2D="false" dtr="false" t="normal">MID(I6, 2, 1)</f>
        <v>0</v>
      </c>
      <c r="U7" s="137" t="n">
        <f aca="false" ca="false" dt2D="false" dtr="false" t="normal">T7</f>
        <v>0</v>
      </c>
      <c r="V7" s="120" t="s">
        <v>192</v>
      </c>
      <c r="W7" s="131" t="s">
        <v>196</v>
      </c>
      <c r="X7" s="136" t="n">
        <f aca="false" ca="false" dt2D="false" dtr="false" t="normal">MID(J6, 2, 1)</f>
        <v>0</v>
      </c>
      <c r="Y7" s="137" t="n">
        <f aca="false" ca="false" dt2D="false" dtr="false" t="normal">X7</f>
        <v>0</v>
      </c>
      <c r="Z7" s="120" t="s">
        <v>192</v>
      </c>
      <c r="AA7" s="131" t="s">
        <v>196</v>
      </c>
      <c r="AB7" s="136" t="n">
        <f aca="false" ca="false" dt2D="false" dtr="false" t="normal">MID(K6, 2, 1)</f>
        <v>0</v>
      </c>
      <c r="AC7" s="137" t="n">
        <f aca="false" ca="false" dt2D="false" dtr="false" t="normal">AB7</f>
        <v>0</v>
      </c>
      <c r="AD7" s="120" t="s">
        <v>192</v>
      </c>
      <c r="AE7" s="131" t="s">
        <v>196</v>
      </c>
      <c r="AF7" s="136" t="n">
        <f aca="false" ca="false" dt2D="false" dtr="false" t="normal">MID(L6, 2, 1)</f>
        <v>0</v>
      </c>
      <c r="AG7" s="137" t="n">
        <f aca="false" ca="false" dt2D="false" dtr="false" t="normal">AF7</f>
        <v>0</v>
      </c>
      <c r="AH7" s="120" t="s">
        <v>192</v>
      </c>
      <c r="AI7" s="131" t="s">
        <v>196</v>
      </c>
      <c r="AJ7" s="7631" t="s"/>
      <c r="AK7" s="7632" t="s"/>
    </row>
    <row customHeight="true" hidden="false" ht="15" outlineLevel="0" r="8">
      <c r="A8" s="91" t="s">
        <v>3895</v>
      </c>
      <c r="B8" s="92" t="str">
        <f aca="false" ca="false" dt2D="false" dtr="false" t="normal">RIGHT(D57, 1)&amp;E57&amp;F57&amp;G57&amp;H54&amp;I54&amp;J54&amp;K54&amp;L54&amp;M54</f>
        <v>7A5G1G50000000000B2</v>
      </c>
      <c r="C8" s="98" t="s">
        <v>194</v>
      </c>
      <c r="D8" s="149" t="n">
        <f aca="false" ca="false" dt2D="false" dtr="false" t="normal">D5</f>
        <v>7</v>
      </c>
      <c r="E8" s="149" t="str">
        <f aca="false" ca="false" dt2D="false" dtr="false" t="normal">E5</f>
        <v>A5</v>
      </c>
      <c r="F8" s="149" t="str">
        <f aca="false" ca="false" dt2D="false" dtr="false" t="normal">MID($A$4, 4, 2)</f>
        <v>G1</v>
      </c>
      <c r="G8" s="149" t="str">
        <f aca="false" ca="false" dt2D="false" dtr="false" t="normal">MID($A$4, 6, 2)</f>
        <v>G1</v>
      </c>
      <c r="N8" s="63" t="n"/>
      <c r="P8" s="136" t="n">
        <f aca="false" ca="false" dt2D="false" dtr="false" t="normal">MID(H6, 3, 1)</f>
        <v>0</v>
      </c>
      <c r="Q8" s="137" t="n">
        <f aca="false" ca="false" dt2D="false" dtr="false" t="normal">P8</f>
        <v>0</v>
      </c>
      <c r="R8" s="120" t="s">
        <v>195</v>
      </c>
      <c r="S8" s="131" t="s">
        <v>196</v>
      </c>
      <c r="T8" s="136" t="n">
        <f aca="false" ca="false" dt2D="false" dtr="false" t="normal">MID(I6, 3, 1)</f>
        <v>0</v>
      </c>
      <c r="U8" s="137" t="n">
        <f aca="false" ca="false" dt2D="false" dtr="false" t="normal">T8</f>
        <v>0</v>
      </c>
      <c r="V8" s="120" t="s">
        <v>195</v>
      </c>
      <c r="W8" s="131" t="s">
        <v>196</v>
      </c>
      <c r="X8" s="136" t="n">
        <f aca="false" ca="false" dt2D="false" dtr="false" t="normal">MID(J6, 3, 1)</f>
        <v>0</v>
      </c>
      <c r="Y8" s="137" t="n">
        <f aca="false" ca="false" dt2D="false" dtr="false" t="normal">X8</f>
        <v>0</v>
      </c>
      <c r="Z8" s="120" t="s">
        <v>195</v>
      </c>
      <c r="AA8" s="131" t="s">
        <v>196</v>
      </c>
      <c r="AB8" s="136" t="n">
        <f aca="false" ca="false" dt2D="false" dtr="false" t="normal">MID(K6, 3, 1)</f>
        <v>0</v>
      </c>
      <c r="AC8" s="137" t="n">
        <f aca="false" ca="false" dt2D="false" dtr="false" t="normal">AB8</f>
        <v>0</v>
      </c>
      <c r="AD8" s="120" t="s">
        <v>195</v>
      </c>
      <c r="AE8" s="131" t="s">
        <v>196</v>
      </c>
      <c r="AF8" s="136" t="n">
        <f aca="false" ca="false" dt2D="false" dtr="false" t="normal">MID(L6, 3, 1)</f>
        <v>0</v>
      </c>
      <c r="AG8" s="137" t="n">
        <f aca="false" ca="false" dt2D="false" dtr="false" t="normal">AF8</f>
        <v>0</v>
      </c>
      <c r="AH8" s="120" t="s">
        <v>195</v>
      </c>
      <c r="AI8" s="131" t="s">
        <v>196</v>
      </c>
      <c r="AJ8" s="7633" t="s"/>
      <c r="AK8" s="7634" t="s"/>
    </row>
    <row hidden="false" ht="15.75" outlineLevel="0" r="9">
      <c r="A9" s="91" t="s">
        <v>3896</v>
      </c>
      <c r="B9" s="92" t="str">
        <f aca="false" ca="false" dt2D="false" dtr="false" t="normal">RIGHT(D68, 1)&amp;E68&amp;F68&amp;G68&amp;H65&amp;I65&amp;J65&amp;K65&amp;L65&amp;M65</f>
        <v>7A5G1G60000000000B3</v>
      </c>
      <c r="C9" s="98" t="n"/>
      <c r="N9" s="63" t="n"/>
      <c r="P9" s="136" t="n">
        <f aca="false" ca="false" dt2D="false" dtr="false" t="normal">MID(H6, 4, 1)</f>
        <v>0</v>
      </c>
      <c r="Q9" s="137" t="n">
        <f aca="false" ca="false" dt2D="false" dtr="false" t="normal">P9</f>
        <v>0</v>
      </c>
      <c r="R9" s="120" t="s">
        <v>197</v>
      </c>
      <c r="S9" s="131" t="s">
        <v>196</v>
      </c>
      <c r="T9" s="136" t="n">
        <f aca="false" ca="false" dt2D="false" dtr="false" t="normal">MID(I6, 4, 1)</f>
        <v>0</v>
      </c>
      <c r="U9" s="137" t="n">
        <f aca="false" ca="false" dt2D="false" dtr="false" t="normal">T9</f>
        <v>0</v>
      </c>
      <c r="V9" s="120" t="s">
        <v>197</v>
      </c>
      <c r="W9" s="131" t="s">
        <v>196</v>
      </c>
      <c r="X9" s="136" t="n">
        <f aca="false" ca="false" dt2D="false" dtr="false" t="normal">MID(J6, 4, 1)</f>
        <v>0</v>
      </c>
      <c r="Y9" s="137" t="n">
        <f aca="false" ca="false" dt2D="false" dtr="false" t="normal">X9</f>
        <v>0</v>
      </c>
      <c r="Z9" s="120" t="s">
        <v>197</v>
      </c>
      <c r="AA9" s="131" t="s">
        <v>196</v>
      </c>
      <c r="AB9" s="136" t="n">
        <f aca="false" ca="false" dt2D="false" dtr="false" t="normal">MID(K6, 4, 1)</f>
        <v>0</v>
      </c>
      <c r="AC9" s="137" t="n">
        <f aca="false" ca="false" dt2D="false" dtr="false" t="normal">AB9</f>
        <v>0</v>
      </c>
      <c r="AD9" s="120" t="s">
        <v>197</v>
      </c>
      <c r="AE9" s="131" t="s">
        <v>196</v>
      </c>
      <c r="AF9" s="136" t="n">
        <f aca="false" ca="false" dt2D="false" dtr="false" t="normal">MID(L6, 4, 1)</f>
        <v>0</v>
      </c>
      <c r="AG9" s="137" t="n">
        <f aca="false" ca="false" dt2D="false" dtr="false" t="normal">AF9</f>
        <v>0</v>
      </c>
      <c r="AH9" s="120" t="s">
        <v>197</v>
      </c>
      <c r="AI9" s="131" t="s">
        <v>196</v>
      </c>
      <c r="AJ9" s="7635" t="s"/>
      <c r="AK9" s="7636" t="s"/>
    </row>
    <row customHeight="true" hidden="false" ht="15.75" outlineLevel="0" r="10">
      <c r="A10" s="91" t="s">
        <v>3897</v>
      </c>
      <c r="B10" s="92" t="str">
        <f aca="false" ca="false" dt2D="false" dtr="false" t="normal">RIGHT(D79, 1)&amp;E79&amp;F79&amp;G79&amp;H76&amp;I76&amp;J76&amp;K76&amp;L76&amp;M76</f>
        <v>7A5G1G70000000000B4</v>
      </c>
      <c r="C10" s="98" t="s">
        <v>176</v>
      </c>
      <c r="D10" s="122" t="n">
        <f aca="false" ca="false" dt2D="false" dtr="false" t="normal">D5</f>
        <v>7</v>
      </c>
      <c r="E10" s="123" t="str">
        <f aca="false" ca="false" dt2D="false" dtr="false" t="normal">E5</f>
        <v>A5</v>
      </c>
      <c r="F10" s="123" t="n">
        <f aca="false" ca="false" dt2D="false" dtr="false" t="normal">F5</f>
        <v>1</v>
      </c>
      <c r="G10" s="124"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AE</v>
      </c>
      <c r="N10" s="63" t="s">
        <v>181</v>
      </c>
      <c r="P10" s="136" t="n">
        <f aca="false" ca="false" dt2D="false" dtr="false" t="normal">MID(H6, 5, 1)</f>
        <v>0</v>
      </c>
      <c r="Q10" s="137" t="n">
        <f aca="false" ca="false" dt2D="false" dtr="false" t="normal">P10</f>
        <v>0</v>
      </c>
      <c r="R10" s="120" t="s">
        <v>200</v>
      </c>
      <c r="S10" s="131" t="s">
        <v>196</v>
      </c>
      <c r="T10" s="136" t="n">
        <f aca="false" ca="false" dt2D="false" dtr="false" t="normal">MID(I6, 5, 1)</f>
        <v>0</v>
      </c>
      <c r="U10" s="137" t="n">
        <f aca="false" ca="false" dt2D="false" dtr="false" t="normal">T10</f>
        <v>0</v>
      </c>
      <c r="V10" s="120" t="s">
        <v>200</v>
      </c>
      <c r="W10" s="131" t="s">
        <v>196</v>
      </c>
      <c r="X10" s="136" t="n">
        <f aca="false" ca="false" dt2D="false" dtr="false" t="normal">MID(J6, 5, 1)</f>
        <v>0</v>
      </c>
      <c r="Y10" s="137" t="n">
        <f aca="false" ca="false" dt2D="false" dtr="false" t="normal">X10</f>
        <v>0</v>
      </c>
      <c r="Z10" s="120" t="s">
        <v>200</v>
      </c>
      <c r="AA10" s="131" t="s">
        <v>196</v>
      </c>
      <c r="AB10" s="136" t="n">
        <f aca="false" ca="false" dt2D="false" dtr="false" t="normal">MID(K6, 5, 1)</f>
        <v>0</v>
      </c>
      <c r="AC10" s="137" t="n">
        <f aca="false" ca="false" dt2D="false" dtr="false" t="normal">AB10</f>
        <v>0</v>
      </c>
      <c r="AD10" s="120" t="s">
        <v>200</v>
      </c>
      <c r="AE10" s="131" t="s">
        <v>196</v>
      </c>
      <c r="AF10" s="136" t="n">
        <f aca="false" ca="false" dt2D="false" dtr="false" t="normal">MID(L6, 5, 1)</f>
        <v>0</v>
      </c>
      <c r="AG10" s="137" t="n">
        <f aca="false" ca="false" dt2D="false" dtr="false" t="normal">AF10</f>
        <v>0</v>
      </c>
      <c r="AH10" s="120" t="s">
        <v>200</v>
      </c>
      <c r="AI10" s="131" t="s">
        <v>196</v>
      </c>
      <c r="AJ10" s="7637" t="s"/>
      <c r="AK10" s="7638" t="s"/>
    </row>
    <row customHeight="true" hidden="false" ht="15" outlineLevel="0" r="11">
      <c r="A11" s="1202" t="s">
        <v>3898</v>
      </c>
      <c r="B11" s="92" t="str">
        <f aca="false" ca="false" dt2D="false" dtr="false" t="normal">RIGHT(D90, 1)&amp;E90&amp;F90&amp;G90&amp;H87&amp;I87&amp;J87&amp;K87&amp;L87&amp;M87</f>
        <v>7A5G1G80000000000B5</v>
      </c>
      <c r="C11" s="98" t="s">
        <v>185</v>
      </c>
      <c r="D11" s="149" t="n">
        <f aca="false" ca="false" dt2D="false" dtr="false" t="normal">HEX2BIN(D10, 8)</f>
        <v>111</v>
      </c>
      <c r="E11" s="149" t="n">
        <f aca="false" ca="false" dt2D="false" dtr="false" t="normal">HEX2BIN(E10, 8)</f>
        <v>10100101</v>
      </c>
      <c r="F11" s="149" t="n">
        <f aca="false" ca="false" dt2D="false" dtr="false" t="normal">HEX2BIN(F10, 8)</f>
        <v>1</v>
      </c>
      <c r="G11" s="149" t="n">
        <f aca="false" ca="false" dt2D="false" dtr="false" t="normal">HEX2BIN(G10, 8)</f>
        <v>1</v>
      </c>
      <c r="H11" s="53" t="n">
        <f aca="false" ca="false" dt2D="false" dtr="false" t="normal">Q6&amp;Q7&amp;Q8&amp;Q9&amp;Q10&amp;Q11&amp;Q12&amp;Q13</f>
        <v>0</v>
      </c>
      <c r="I11" s="53" t="n">
        <f aca="false" ca="false" dt2D="false" dtr="false" t="normal">U6&amp;U7&amp;U8&amp;U9&amp;U10&amp;U11&amp;U12&amp;U13</f>
        <v>0</v>
      </c>
      <c r="J11" s="53" t="n">
        <f aca="false" ca="false" dt2D="false" dtr="false" t="normal">Y6&amp;Y7&amp;Y8&amp;Y9&amp;Y10&amp;Y11&amp;Y12&amp;Y13</f>
        <v>0</v>
      </c>
      <c r="K11" s="53"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AE</v>
      </c>
      <c r="N11" s="63" t="n"/>
      <c r="P11" s="136" t="n">
        <f aca="false" ca="false" dt2D="false" dtr="false" t="normal">MID(H6, 6, 1)</f>
        <v>0</v>
      </c>
      <c r="Q11" s="137" t="n">
        <f aca="false" ca="false" dt2D="false" dtr="false" t="normal">P11</f>
        <v>0</v>
      </c>
      <c r="R11" s="120" t="s">
        <v>203</v>
      </c>
      <c r="S11" s="131" t="s">
        <v>196</v>
      </c>
      <c r="T11" s="136" t="n">
        <f aca="false" ca="false" dt2D="false" dtr="false" t="normal">MID(I6, 6, 1)</f>
        <v>0</v>
      </c>
      <c r="U11" s="137" t="n">
        <f aca="false" ca="false" dt2D="false" dtr="false" t="normal">T11</f>
        <v>0</v>
      </c>
      <c r="V11" s="120" t="s">
        <v>203</v>
      </c>
      <c r="W11" s="131" t="s">
        <v>196</v>
      </c>
      <c r="X11" s="136" t="n">
        <f aca="false" ca="false" dt2D="false" dtr="false" t="normal">MID(J6, 6, 1)</f>
        <v>0</v>
      </c>
      <c r="Y11" s="137" t="n">
        <f aca="false" ca="false" dt2D="false" dtr="false" t="normal">X11</f>
        <v>0</v>
      </c>
      <c r="Z11" s="120" t="s">
        <v>203</v>
      </c>
      <c r="AA11" s="131" t="s">
        <v>196</v>
      </c>
      <c r="AB11" s="136" t="n">
        <f aca="false" ca="false" dt2D="false" dtr="false" t="normal">MID(K6, 6, 1)</f>
        <v>0</v>
      </c>
      <c r="AC11" s="137" t="n">
        <f aca="false" ca="false" dt2D="false" dtr="false" t="normal">AB11</f>
        <v>0</v>
      </c>
      <c r="AD11" s="120" t="s">
        <v>203</v>
      </c>
      <c r="AE11" s="131" t="s">
        <v>196</v>
      </c>
      <c r="AF11" s="136" t="n">
        <f aca="false" ca="false" dt2D="false" dtr="false" t="normal">MID(L6, 6, 1)</f>
        <v>0</v>
      </c>
      <c r="AG11" s="137" t="n">
        <f aca="false" ca="false" dt2D="false" dtr="false" t="normal">AF11</f>
        <v>0</v>
      </c>
      <c r="AH11" s="120" t="s">
        <v>203</v>
      </c>
      <c r="AI11" s="131" t="s">
        <v>196</v>
      </c>
      <c r="AJ11" s="7639" t="s"/>
      <c r="AK11" s="7640" t="s"/>
    </row>
    <row hidden="false" ht="15" outlineLevel="0" r="12">
      <c r="A12" s="1202" t="s">
        <v>3899</v>
      </c>
      <c r="B12" s="92" t="str">
        <f aca="false" ca="false" dt2D="false" dtr="false" t="normal">RIGHT(D101, 1)&amp;E101&amp;F101&amp;G101&amp;H98&amp;I98&amp;J98&amp;K98&amp;L98&amp;M98</f>
        <v>7A5G1G90000000000B6</v>
      </c>
      <c r="C12" s="98" t="s">
        <v>191</v>
      </c>
      <c r="D12" s="149" t="n">
        <f aca="false" ca="false" dt2D="false" dtr="false" t="normal">HEX2DEC(D10)</f>
        <v>7</v>
      </c>
      <c r="E12" s="149" t="n">
        <f aca="false" ca="false" dt2D="false" dtr="false" t="normal">HEX2DEC(E10)</f>
        <v>165</v>
      </c>
      <c r="F12" s="149" t="n">
        <f aca="false" ca="false" dt2D="false" dtr="false" t="normal">HEX2DEC(F10)</f>
        <v>1</v>
      </c>
      <c r="G12" s="149"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174</v>
      </c>
      <c r="N12" s="63" t="n"/>
      <c r="P12" s="136" t="n">
        <f aca="false" ca="false" dt2D="false" dtr="false" t="normal">MID(H6, 7, 1)</f>
        <v>0</v>
      </c>
      <c r="Q12" s="137" t="n">
        <f aca="false" ca="false" dt2D="false" dtr="false" t="normal">P12</f>
        <v>0</v>
      </c>
      <c r="R12" s="120" t="s">
        <v>206</v>
      </c>
      <c r="S12" s="131" t="s">
        <v>196</v>
      </c>
      <c r="T12" s="136" t="n">
        <f aca="false" ca="false" dt2D="false" dtr="false" t="normal">MID(I6, 7, 1)</f>
        <v>0</v>
      </c>
      <c r="U12" s="137" t="n">
        <f aca="false" ca="false" dt2D="false" dtr="false" t="normal">T12</f>
        <v>0</v>
      </c>
      <c r="V12" s="120" t="s">
        <v>206</v>
      </c>
      <c r="W12" s="131" t="s">
        <v>196</v>
      </c>
      <c r="X12" s="136" t="n">
        <f aca="false" ca="false" dt2D="false" dtr="false" t="normal">MID(J6, 7, 1)</f>
        <v>0</v>
      </c>
      <c r="Y12" s="137" t="n">
        <f aca="false" ca="false" dt2D="false" dtr="false" t="normal">X12</f>
        <v>0</v>
      </c>
      <c r="Z12" s="120" t="s">
        <v>206</v>
      </c>
      <c r="AA12" s="131" t="s">
        <v>196</v>
      </c>
      <c r="AB12" s="136" t="n">
        <f aca="false" ca="false" dt2D="false" dtr="false" t="normal">MID(K6, 7, 1)</f>
        <v>0</v>
      </c>
      <c r="AC12" s="137" t="n">
        <f aca="false" ca="false" dt2D="false" dtr="false" t="normal">AB12</f>
        <v>0</v>
      </c>
      <c r="AD12" s="120" t="s">
        <v>206</v>
      </c>
      <c r="AE12" s="131" t="s">
        <v>196</v>
      </c>
      <c r="AF12" s="136" t="n">
        <f aca="false" ca="false" dt2D="false" dtr="false" t="normal">MID(L6, 7, 1)</f>
        <v>0</v>
      </c>
      <c r="AG12" s="137" t="n">
        <f aca="false" ca="false" dt2D="false" dtr="false" t="normal">AF12</f>
        <v>0</v>
      </c>
      <c r="AH12" s="120" t="s">
        <v>206</v>
      </c>
      <c r="AI12" s="131" t="s">
        <v>196</v>
      </c>
      <c r="AJ12" s="7641" t="s"/>
      <c r="AK12" s="7642" t="s"/>
    </row>
    <row hidden="false" ht="15.75" outlineLevel="0" r="13">
      <c r="A13" s="1202" t="s">
        <v>3900</v>
      </c>
      <c r="B13" s="92" t="str">
        <f aca="false" ca="false" dt2D="false" dtr="false" t="normal">RIGHT(D112, 1)&amp;E112&amp;F112&amp;G112&amp;H109&amp;I109&amp;J109&amp;K109&amp;L109&amp;M109</f>
        <v>7A5G1GA0000000000BD</v>
      </c>
      <c r="C13" s="180" t="s">
        <v>194</v>
      </c>
      <c r="D13" s="181" t="n">
        <f aca="false" ca="false" dt2D="false" dtr="false" t="normal">D8</f>
        <v>7</v>
      </c>
      <c r="E13" s="181" t="str">
        <f aca="false" ca="false" dt2D="false" dtr="false" t="normal">E8</f>
        <v>A5</v>
      </c>
      <c r="F13" s="181" t="str">
        <f aca="false" ca="false" dt2D="false" dtr="false" t="normal">F8</f>
        <v>G1</v>
      </c>
      <c r="G13" s="181"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85" t="s">
        <v>196</v>
      </c>
      <c r="T13" s="182" t="n">
        <f aca="false" ca="false" dt2D="false" dtr="false" t="normal">MID(I6, 8, 1)</f>
        <v>0</v>
      </c>
      <c r="U13" s="183" t="n">
        <f aca="false" ca="false" dt2D="false" dtr="false" t="normal">T13</f>
        <v>0</v>
      </c>
      <c r="V13" s="184" t="s">
        <v>208</v>
      </c>
      <c r="W13" s="185" t="s">
        <v>196</v>
      </c>
      <c r="X13" s="182" t="n">
        <f aca="false" ca="false" dt2D="false" dtr="false" t="normal">MID(J6, 8, 1)</f>
        <v>0</v>
      </c>
      <c r="Y13" s="183" t="n">
        <f aca="false" ca="false" dt2D="false" dtr="false" t="normal">X13</f>
        <v>0</v>
      </c>
      <c r="Z13" s="184" t="s">
        <v>208</v>
      </c>
      <c r="AA13" s="185" t="s">
        <v>196</v>
      </c>
      <c r="AB13" s="182" t="n">
        <f aca="false" ca="false" dt2D="false" dtr="false" t="normal">MID(K6, 8, 1)</f>
        <v>0</v>
      </c>
      <c r="AC13" s="183" t="n">
        <f aca="false" ca="false" dt2D="false" dtr="false" t="normal">AB13</f>
        <v>0</v>
      </c>
      <c r="AD13" s="184" t="s">
        <v>208</v>
      </c>
      <c r="AE13" s="185" t="s">
        <v>196</v>
      </c>
      <c r="AF13" s="182" t="n">
        <f aca="false" ca="false" dt2D="false" dtr="false" t="normal">MID(L6, 8, 1)</f>
        <v>0</v>
      </c>
      <c r="AG13" s="183" t="n">
        <f aca="false" ca="false" dt2D="false" dtr="false" t="normal">AF13</f>
        <v>0</v>
      </c>
      <c r="AH13" s="184" t="s">
        <v>208</v>
      </c>
      <c r="AI13" s="185" t="s">
        <v>196</v>
      </c>
      <c r="AJ13" s="7643" t="s"/>
      <c r="AK13" s="7644" t="s"/>
    </row>
    <row hidden="false" ht="15.75" outlineLevel="0" r="14">
      <c r="A14" s="1202" t="s">
        <v>3901</v>
      </c>
      <c r="B14" s="92" t="str">
        <f aca="false" ca="false" dt2D="false" dtr="false" t="normal">RIGHT(D123, 1)&amp;E123&amp;F123&amp;G123&amp;H120&amp;I120&amp;J120&amp;K120&amp;L120&amp;M120</f>
        <v>7A5G1GB0000000000BE</v>
      </c>
      <c r="C14" s="93" t="n"/>
      <c r="D14" s="7585" t="n"/>
      <c r="E14" s="7585" t="n"/>
      <c r="F14" s="7585" t="n"/>
      <c r="G14" s="7585" t="n"/>
      <c r="H14" s="94" t="n"/>
      <c r="I14" s="94" t="n"/>
      <c r="J14" s="94" t="n"/>
      <c r="K14" s="94" t="n"/>
      <c r="L14" s="94" t="n"/>
      <c r="M14" s="94" t="s">
        <v>161</v>
      </c>
      <c r="N14" s="60" t="n"/>
      <c r="P14" s="95" t="str">
        <f aca="false" ca="false" dt2D="false" dtr="false" t="normal">RIGHT(D16, 1)&amp;E16&amp;"-"&amp;F16&amp;"-"&amp;G16</f>
        <v>7A5-01-02</v>
      </c>
      <c r="Q14" s="7645" t="s"/>
      <c r="R14" s="234" t="s">
        <v>3902</v>
      </c>
      <c r="S14" s="7646" t="s"/>
      <c r="T14" s="7647" t="s"/>
      <c r="U14" s="7648" t="s"/>
      <c r="V14" s="7649" t="s"/>
      <c r="W14" s="7650" t="s"/>
      <c r="X14" s="7651" t="s"/>
      <c r="Y14" s="7652" t="s"/>
      <c r="Z14" s="7653" t="s"/>
      <c r="AA14" s="7654" t="s"/>
      <c r="AB14" s="7655" t="s"/>
      <c r="AC14" s="7656" t="s"/>
      <c r="AD14" s="7657" t="s"/>
      <c r="AE14" s="7658" t="s"/>
      <c r="AF14" s="7659" t="s"/>
      <c r="AG14" s="7660" t="s"/>
      <c r="AH14" s="7661" t="s"/>
      <c r="AI14" s="7662" t="s"/>
      <c r="AJ14" s="7663" t="s"/>
      <c r="AK14" s="7664" t="s"/>
    </row>
    <row hidden="false" ht="15.75" outlineLevel="0" r="15">
      <c r="A15" s="1202" t="s">
        <v>3903</v>
      </c>
      <c r="B15" s="92" t="str">
        <f aca="false" ca="false" dt2D="false" dtr="false" t="normal">RIGHT(D134, 1)&amp;E134&amp;F134&amp;G134&amp;H131&amp;I131&amp;J131&amp;K131&amp;L131&amp;M131</f>
        <v>7A5G1GC0000000000BF</v>
      </c>
      <c r="C15" s="98" t="n"/>
      <c r="D15" s="7606" t="s">
        <v>3904</v>
      </c>
      <c r="E15" s="7665" t="s"/>
      <c r="F15" s="7666" t="s"/>
      <c r="G15" s="7667" t="s"/>
      <c r="H15" s="53" t="s">
        <v>165</v>
      </c>
      <c r="I15" s="53" t="s">
        <v>166</v>
      </c>
      <c r="J15" s="53" t="s">
        <v>167</v>
      </c>
      <c r="K15" s="53" t="s">
        <v>168</v>
      </c>
      <c r="L15" s="53" t="s">
        <v>169</v>
      </c>
      <c r="M15" s="53" t="s">
        <v>221</v>
      </c>
      <c r="N15" s="63" t="n"/>
      <c r="P15" s="103" t="s">
        <v>3905</v>
      </c>
      <c r="Q15" s="7668" t="s"/>
      <c r="R15" s="7669" t="s"/>
      <c r="S15" s="7670" t="s"/>
      <c r="T15" s="103" t="s">
        <v>3906</v>
      </c>
      <c r="U15" s="7671" t="s"/>
      <c r="V15" s="7672" t="s"/>
      <c r="W15" s="7673" t="s"/>
      <c r="X15" s="103" t="s">
        <v>3907</v>
      </c>
      <c r="Y15" s="7674" t="s"/>
      <c r="Z15" s="7675" t="s"/>
      <c r="AA15" s="7676" t="s"/>
      <c r="AB15" s="103" t="s">
        <v>3908</v>
      </c>
      <c r="AC15" s="7677" t="s"/>
      <c r="AD15" s="7678" t="s"/>
      <c r="AE15" s="7679" t="s"/>
      <c r="AF15" s="103" t="s">
        <v>3909</v>
      </c>
      <c r="AG15" s="7680" t="s"/>
      <c r="AH15" s="7681" t="s"/>
      <c r="AI15" s="7682" t="s"/>
      <c r="AJ15" s="103" t="s">
        <v>3910</v>
      </c>
      <c r="AK15" s="7683" t="s"/>
    </row>
    <row hidden="false" ht="15.75" outlineLevel="0" r="16">
      <c r="A16" s="1202" t="s">
        <v>3911</v>
      </c>
      <c r="B16" s="92" t="str">
        <f aca="false" ca="false" dt2D="false" dtr="false" t="normal">RIGHT(D145, 1)&amp;E145&amp;F145&amp;G145&amp;H142&amp;I142&amp;J142&amp;K142&amp;L142&amp;M142</f>
        <v>7A5G1GD0000000000C0</v>
      </c>
      <c r="C16" s="98" t="s">
        <v>176</v>
      </c>
      <c r="D16" s="122" t="s">
        <v>177</v>
      </c>
      <c r="E16" s="123" t="s">
        <v>3892</v>
      </c>
      <c r="F16" s="123" t="s">
        <v>179</v>
      </c>
      <c r="G16" s="124" t="s">
        <v>216</v>
      </c>
      <c r="H16" s="273" t="n">
        <f aca="false" ca="false" dt2D="false" dtr="false" t="normal">MID($A$5, 8, 2)</f>
        <v>0</v>
      </c>
      <c r="I16" s="7626" t="n">
        <f aca="false" ca="false" dt2D="false" dtr="false" t="normal">MID($A$5, 10, 2)</f>
        <v>0</v>
      </c>
      <c r="J16" s="7626" t="n">
        <f aca="false" ca="false" dt2D="false" dtr="false" t="normal">MID($A$5, 12, 2)</f>
        <v>0</v>
      </c>
      <c r="K16" s="7626" t="n">
        <f aca="false" ca="false" dt2D="false" dtr="false" t="normal">MID($A$5, 14, 2)</f>
        <v>0</v>
      </c>
      <c r="L16" s="7627" t="n">
        <f aca="false" ca="false" dt2D="false" dtr="false" t="normal">MID($A$5, 16, 2)</f>
        <v>0</v>
      </c>
      <c r="M16" s="7553" t="str">
        <f aca="false" ca="false" dt2D="false" dtr="false" t="normal">MID($A$5, 18, 2)</f>
        <v>AF</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7684" t="s"/>
    </row>
    <row customHeight="true" hidden="false" ht="15" outlineLevel="0" r="17">
      <c r="A17" s="1202" t="s">
        <v>3912</v>
      </c>
      <c r="B17" s="92" t="str">
        <f aca="false" ca="false" dt2D="false" dtr="false" t="normal">RIGHT(D156, 1)&amp;E156&amp;F156&amp;G156&amp;H153&amp;I153&amp;J153&amp;K153&amp;L153&amp;M153</f>
        <v>7A5G1GE0000000000C1</v>
      </c>
      <c r="C17" s="98" t="s">
        <v>185</v>
      </c>
      <c r="D17" s="149" t="n">
        <f aca="false" ca="false" dt2D="false" dtr="false" t="normal">HEX2BIN(D16, 8)</f>
        <v>111</v>
      </c>
      <c r="E17" s="149" t="n">
        <f aca="false" ca="false" dt2D="false" dtr="false" t="normal">HEX2BIN(E16, 8)</f>
        <v>10100101</v>
      </c>
      <c r="F17" s="149" t="n">
        <f aca="false" ca="false" dt2D="false" dtr="false" t="normal">HEX2BIN(F16, 8)</f>
        <v>1</v>
      </c>
      <c r="G17" s="149"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M17" s="53" t="n"/>
      <c r="N17" s="63" t="n"/>
      <c r="P17" s="136" t="n">
        <f aca="false" ca="false" dt2D="false" dtr="false" t="normal">MID(H17, 1, 1)</f>
        <v>0</v>
      </c>
      <c r="Q17" s="137" t="n">
        <f aca="false" ca="false" dt2D="false" dtr="false" t="normal">P17</f>
        <v>0</v>
      </c>
      <c r="R17" s="120" t="s">
        <v>186</v>
      </c>
      <c r="S17" s="131" t="s">
        <v>196</v>
      </c>
      <c r="T17" s="136" t="n">
        <f aca="false" ca="false" dt2D="false" dtr="false" t="normal">MID(I17, 1, 1)</f>
        <v>0</v>
      </c>
      <c r="U17" s="137" t="n">
        <f aca="false" ca="false" dt2D="false" dtr="false" t="normal">T17</f>
        <v>0</v>
      </c>
      <c r="V17" s="120" t="s">
        <v>186</v>
      </c>
      <c r="W17" s="131" t="s">
        <v>196</v>
      </c>
      <c r="X17" s="136" t="n">
        <f aca="false" ca="false" dt2D="false" dtr="false" t="normal">MID(J17, 1, 1)</f>
        <v>0</v>
      </c>
      <c r="Y17" s="137" t="n">
        <f aca="false" ca="false" dt2D="false" dtr="false" t="normal">X17</f>
        <v>0</v>
      </c>
      <c r="Z17" s="120" t="s">
        <v>186</v>
      </c>
      <c r="AA17" s="131" t="s">
        <v>196</v>
      </c>
      <c r="AB17" s="136" t="n">
        <f aca="false" ca="false" dt2D="false" dtr="false" t="normal">MID(K17, 1, 1)</f>
        <v>0</v>
      </c>
      <c r="AC17" s="137" t="n">
        <f aca="false" ca="false" dt2D="false" dtr="false" t="normal">AB17</f>
        <v>0</v>
      </c>
      <c r="AD17" s="120" t="s">
        <v>186</v>
      </c>
      <c r="AE17" s="131" t="s">
        <v>196</v>
      </c>
      <c r="AF17" s="136" t="n">
        <f aca="false" ca="false" dt2D="false" dtr="false" t="normal">MID(L17, 1, 1)</f>
        <v>0</v>
      </c>
      <c r="AG17" s="137" t="n">
        <f aca="false" ca="false" dt2D="false" dtr="false" t="normal">AF17</f>
        <v>0</v>
      </c>
      <c r="AH17" s="120" t="s">
        <v>186</v>
      </c>
      <c r="AI17" s="131" t="s">
        <v>196</v>
      </c>
      <c r="AJ17" s="7685" t="s"/>
      <c r="AK17" s="7686" t="s"/>
    </row>
    <row hidden="false" ht="15" outlineLevel="0" r="18">
      <c r="A18" s="1202" t="s">
        <v>3913</v>
      </c>
      <c r="B18" s="92" t="str">
        <f aca="false" ca="false" dt2D="false" dtr="false" t="normal">RIGHT(D167, 1)&amp;E167&amp;F167&amp;G167&amp;H164&amp;I164&amp;J164&amp;K164&amp;L164&amp;M164</f>
        <v>7A5G1GF0000000000C2</v>
      </c>
      <c r="C18" s="98" t="s">
        <v>191</v>
      </c>
      <c r="D18" s="149" t="n">
        <f aca="false" ca="false" dt2D="false" dtr="false" t="normal">HEX2DEC(D16)</f>
        <v>7</v>
      </c>
      <c r="E18" s="149" t="n">
        <f aca="false" ca="false" dt2D="false" dtr="false" t="normal">HEX2DEC(E16)</f>
        <v>165</v>
      </c>
      <c r="F18" s="149" t="n">
        <f aca="false" ca="false" dt2D="false" dtr="false" t="normal">HEX2DEC(F16)</f>
        <v>1</v>
      </c>
      <c r="G18" s="149"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175</v>
      </c>
      <c r="N18" s="63" t="n"/>
      <c r="P18" s="136" t="n">
        <f aca="false" ca="false" dt2D="false" dtr="false" t="normal">MID(H17, 2, 1)</f>
        <v>0</v>
      </c>
      <c r="Q18" s="137" t="n">
        <f aca="false" ca="false" dt2D="false" dtr="false" t="normal">P18</f>
        <v>0</v>
      </c>
      <c r="R18" s="120" t="s">
        <v>192</v>
      </c>
      <c r="S18" s="131" t="s">
        <v>196</v>
      </c>
      <c r="T18" s="136" t="n">
        <f aca="false" ca="false" dt2D="false" dtr="false" t="normal">MID(I17, 2, 1)</f>
        <v>0</v>
      </c>
      <c r="U18" s="137" t="n">
        <f aca="false" ca="false" dt2D="false" dtr="false" t="normal">T18</f>
        <v>0</v>
      </c>
      <c r="V18" s="120" t="s">
        <v>192</v>
      </c>
      <c r="W18" s="131" t="s">
        <v>196</v>
      </c>
      <c r="X18" s="136" t="n">
        <f aca="false" ca="false" dt2D="false" dtr="false" t="normal">MID(J17, 2, 1)</f>
        <v>0</v>
      </c>
      <c r="Y18" s="137" t="n">
        <f aca="false" ca="false" dt2D="false" dtr="false" t="normal">X18</f>
        <v>0</v>
      </c>
      <c r="Z18" s="120" t="s">
        <v>192</v>
      </c>
      <c r="AA18" s="131" t="s">
        <v>196</v>
      </c>
      <c r="AB18" s="136" t="n">
        <f aca="false" ca="false" dt2D="false" dtr="false" t="normal">MID(K17, 2, 1)</f>
        <v>0</v>
      </c>
      <c r="AC18" s="137" t="n">
        <f aca="false" ca="false" dt2D="false" dtr="false" t="normal">AB18</f>
        <v>0</v>
      </c>
      <c r="AD18" s="120" t="s">
        <v>192</v>
      </c>
      <c r="AE18" s="131" t="s">
        <v>196</v>
      </c>
      <c r="AF18" s="136" t="n">
        <f aca="false" ca="false" dt2D="false" dtr="false" t="normal">MID(L17, 2, 1)</f>
        <v>0</v>
      </c>
      <c r="AG18" s="137" t="n">
        <f aca="false" ca="false" dt2D="false" dtr="false" t="normal">AF18</f>
        <v>0</v>
      </c>
      <c r="AH18" s="120" t="s">
        <v>192</v>
      </c>
      <c r="AI18" s="131" t="s">
        <v>196</v>
      </c>
      <c r="AJ18" s="7687" t="s"/>
      <c r="AK18" s="7688" t="s"/>
    </row>
    <row hidden="false" ht="15" outlineLevel="0" r="19">
      <c r="A19" s="1202" t="s">
        <v>3914</v>
      </c>
      <c r="B19" s="92" t="str">
        <f aca="false" ca="false" dt2D="false" dtr="false" t="normal">RIGHT(D178, 1)&amp;E178&amp;F178&amp;G178&amp;H175&amp;I175&amp;J175&amp;K175&amp;L175&amp;M175</f>
        <v>7A5G1H00000000000C3</v>
      </c>
      <c r="C19" s="98" t="s">
        <v>194</v>
      </c>
      <c r="D19" s="149" t="n">
        <f aca="false" ca="false" dt2D="false" dtr="false" t="normal">D16</f>
        <v>7</v>
      </c>
      <c r="E19" s="149" t="str">
        <f aca="false" ca="false" dt2D="false" dtr="false" t="normal">E16</f>
        <v>A5</v>
      </c>
      <c r="F19" s="149" t="str">
        <f aca="false" ca="false" dt2D="false" dtr="false" t="normal">MID($A$5, 4, 2)</f>
        <v>G1</v>
      </c>
      <c r="G19" s="149" t="str">
        <f aca="false" ca="false" dt2D="false" dtr="false" t="normal">MID($A$5, 6, 2)</f>
        <v>G2</v>
      </c>
      <c r="N19" s="63" t="n"/>
      <c r="P19" s="136" t="n">
        <f aca="false" ca="false" dt2D="false" dtr="false" t="normal">MID(H17, 3, 1)</f>
        <v>0</v>
      </c>
      <c r="Q19" s="137" t="n">
        <f aca="false" ca="false" dt2D="false" dtr="false" t="normal">P19</f>
        <v>0</v>
      </c>
      <c r="R19" s="120" t="s">
        <v>195</v>
      </c>
      <c r="S19" s="131" t="s">
        <v>196</v>
      </c>
      <c r="T19" s="136" t="n">
        <f aca="false" ca="false" dt2D="false" dtr="false" t="normal">MID(I17, 3, 1)</f>
        <v>0</v>
      </c>
      <c r="U19" s="137" t="n">
        <f aca="false" ca="false" dt2D="false" dtr="false" t="normal">T19</f>
        <v>0</v>
      </c>
      <c r="V19" s="120" t="s">
        <v>195</v>
      </c>
      <c r="W19" s="131" t="s">
        <v>196</v>
      </c>
      <c r="X19" s="136" t="n">
        <f aca="false" ca="false" dt2D="false" dtr="false" t="normal">MID(J17, 3, 1)</f>
        <v>0</v>
      </c>
      <c r="Y19" s="137" t="n">
        <f aca="false" ca="false" dt2D="false" dtr="false" t="normal">X19</f>
        <v>0</v>
      </c>
      <c r="Z19" s="120" t="s">
        <v>195</v>
      </c>
      <c r="AA19" s="131" t="s">
        <v>196</v>
      </c>
      <c r="AB19" s="136" t="n">
        <f aca="false" ca="false" dt2D="false" dtr="false" t="normal">MID(K17, 3, 1)</f>
        <v>0</v>
      </c>
      <c r="AC19" s="137" t="n">
        <f aca="false" ca="false" dt2D="false" dtr="false" t="normal">AB19</f>
        <v>0</v>
      </c>
      <c r="AD19" s="120" t="s">
        <v>195</v>
      </c>
      <c r="AE19" s="131" t="s">
        <v>196</v>
      </c>
      <c r="AF19" s="136" t="n">
        <f aca="false" ca="false" dt2D="false" dtr="false" t="normal">MID(L17, 3, 1)</f>
        <v>0</v>
      </c>
      <c r="AG19" s="137" t="n">
        <f aca="false" ca="false" dt2D="false" dtr="false" t="normal">AF19</f>
        <v>0</v>
      </c>
      <c r="AH19" s="120" t="s">
        <v>195</v>
      </c>
      <c r="AI19" s="131" t="s">
        <v>196</v>
      </c>
      <c r="AJ19" s="7689" t="s"/>
      <c r="AK19" s="7690" t="s"/>
    </row>
    <row hidden="false" ht="15.75" outlineLevel="0" r="20">
      <c r="A20" s="1202" t="s">
        <v>3915</v>
      </c>
      <c r="B20" s="92" t="str">
        <f aca="false" ca="false" dt2D="false" dtr="false" t="normal">RIGHT(D189, 1)&amp;E189&amp;F189&amp;G189&amp;H186&amp;I186&amp;J186&amp;K186&amp;L186&amp;M186</f>
        <v>7A5G1H10000000000C4</v>
      </c>
      <c r="C20" s="98" t="n"/>
      <c r="N20" s="63" t="n"/>
      <c r="P20" s="136" t="n">
        <f aca="false" ca="false" dt2D="false" dtr="false" t="normal">MID(H17, 4, 1)</f>
        <v>0</v>
      </c>
      <c r="Q20" s="137" t="n">
        <f aca="false" ca="false" dt2D="false" dtr="false" t="normal">P20</f>
        <v>0</v>
      </c>
      <c r="R20" s="120" t="s">
        <v>197</v>
      </c>
      <c r="S20" s="131" t="s">
        <v>196</v>
      </c>
      <c r="T20" s="136" t="n">
        <f aca="false" ca="false" dt2D="false" dtr="false" t="normal">MID(I17, 4, 1)</f>
        <v>0</v>
      </c>
      <c r="U20" s="137" t="n">
        <f aca="false" ca="false" dt2D="false" dtr="false" t="normal">T20</f>
        <v>0</v>
      </c>
      <c r="V20" s="120" t="s">
        <v>197</v>
      </c>
      <c r="W20" s="131" t="s">
        <v>196</v>
      </c>
      <c r="X20" s="136" t="n">
        <f aca="false" ca="false" dt2D="false" dtr="false" t="normal">MID(J17, 4, 1)</f>
        <v>0</v>
      </c>
      <c r="Y20" s="137" t="n">
        <f aca="false" ca="false" dt2D="false" dtr="false" t="normal">X20</f>
        <v>0</v>
      </c>
      <c r="Z20" s="120" t="s">
        <v>197</v>
      </c>
      <c r="AA20" s="131" t="s">
        <v>196</v>
      </c>
      <c r="AB20" s="136" t="n">
        <f aca="false" ca="false" dt2D="false" dtr="false" t="normal">MID(K17, 4, 1)</f>
        <v>0</v>
      </c>
      <c r="AC20" s="137" t="n">
        <f aca="false" ca="false" dt2D="false" dtr="false" t="normal">AB20</f>
        <v>0</v>
      </c>
      <c r="AD20" s="120" t="s">
        <v>197</v>
      </c>
      <c r="AE20" s="131" t="s">
        <v>196</v>
      </c>
      <c r="AF20" s="136" t="n">
        <f aca="false" ca="false" dt2D="false" dtr="false" t="normal">MID(L17, 4, 1)</f>
        <v>0</v>
      </c>
      <c r="AG20" s="137" t="n">
        <f aca="false" ca="false" dt2D="false" dtr="false" t="normal">AF20</f>
        <v>0</v>
      </c>
      <c r="AH20" s="120" t="s">
        <v>197</v>
      </c>
      <c r="AI20" s="131" t="s">
        <v>196</v>
      </c>
      <c r="AJ20" s="7691" t="s"/>
      <c r="AK20" s="7692" t="s"/>
    </row>
    <row hidden="false" ht="15.75" outlineLevel="0" r="21">
      <c r="A21" s="1202" t="s">
        <v>3916</v>
      </c>
      <c r="B21" s="92" t="str">
        <f aca="false" ca="false" dt2D="false" dtr="false" t="normal">RIGHT(D200, 1)&amp;E200&amp;F200&amp;G200&amp;H197&amp;I197&amp;J197&amp;K197&amp;L197&amp;M197</f>
        <v>7A5G1H20000000000C5</v>
      </c>
      <c r="C21" s="98" t="s">
        <v>176</v>
      </c>
      <c r="D21" s="122" t="n">
        <f aca="false" ca="false" dt2D="false" dtr="false" t="normal">D16</f>
        <v>7</v>
      </c>
      <c r="E21" s="123" t="str">
        <f aca="false" ca="false" dt2D="false" dtr="false" t="normal">E16</f>
        <v>A5</v>
      </c>
      <c r="F21" s="123" t="n">
        <f aca="false" ca="false" dt2D="false" dtr="false" t="normal">F16</f>
        <v>1</v>
      </c>
      <c r="G21" s="124"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str">
        <f aca="false" ca="false" dt2D="false" dtr="false" t="normal">IF(LEN(M22)&gt;2, MID(M22, 2, 2), M22)</f>
        <v>AF</v>
      </c>
      <c r="N21" s="63" t="s">
        <v>181</v>
      </c>
      <c r="P21" s="136" t="n">
        <f aca="false" ca="false" dt2D="false" dtr="false" t="normal">MID(H17, 5, 1)</f>
        <v>0</v>
      </c>
      <c r="Q21" s="137" t="n">
        <f aca="false" ca="false" dt2D="false" dtr="false" t="normal">P21</f>
        <v>0</v>
      </c>
      <c r="R21" s="120" t="s">
        <v>200</v>
      </c>
      <c r="S21" s="131" t="s">
        <v>196</v>
      </c>
      <c r="T21" s="136" t="n">
        <f aca="false" ca="false" dt2D="false" dtr="false" t="normal">MID(I17, 5, 1)</f>
        <v>0</v>
      </c>
      <c r="U21" s="137" t="n">
        <f aca="false" ca="false" dt2D="false" dtr="false" t="normal">T21</f>
        <v>0</v>
      </c>
      <c r="V21" s="120" t="s">
        <v>200</v>
      </c>
      <c r="W21" s="131" t="s">
        <v>196</v>
      </c>
      <c r="X21" s="136" t="n">
        <f aca="false" ca="false" dt2D="false" dtr="false" t="normal">MID(J17, 5, 1)</f>
        <v>0</v>
      </c>
      <c r="Y21" s="137" t="n">
        <f aca="false" ca="false" dt2D="false" dtr="false" t="normal">X21</f>
        <v>0</v>
      </c>
      <c r="Z21" s="120" t="s">
        <v>200</v>
      </c>
      <c r="AA21" s="131" t="s">
        <v>196</v>
      </c>
      <c r="AB21" s="136" t="n">
        <f aca="false" ca="false" dt2D="false" dtr="false" t="normal">MID(K17, 5, 1)</f>
        <v>0</v>
      </c>
      <c r="AC21" s="137" t="n">
        <f aca="false" ca="false" dt2D="false" dtr="false" t="normal">AB21</f>
        <v>0</v>
      </c>
      <c r="AD21" s="120" t="s">
        <v>200</v>
      </c>
      <c r="AE21" s="131" t="s">
        <v>196</v>
      </c>
      <c r="AF21" s="136" t="n">
        <f aca="false" ca="false" dt2D="false" dtr="false" t="normal">MID(L17, 5, 1)</f>
        <v>0</v>
      </c>
      <c r="AG21" s="137" t="n">
        <f aca="false" ca="false" dt2D="false" dtr="false" t="normal">AF21</f>
        <v>0</v>
      </c>
      <c r="AH21" s="120" t="s">
        <v>200</v>
      </c>
      <c r="AI21" s="131" t="s">
        <v>196</v>
      </c>
      <c r="AJ21" s="7693" t="s"/>
      <c r="AK21" s="7694" t="s"/>
    </row>
    <row hidden="false" ht="15" outlineLevel="0" r="22">
      <c r="A22" s="1202" t="s">
        <v>3917</v>
      </c>
      <c r="B22" s="92" t="str">
        <f aca="false" ca="false" dt2D="false" dtr="false" t="normal">RIGHT(D211, 1)&amp;E211&amp;F211&amp;G211&amp;H208&amp;I208&amp;J208&amp;K208&amp;L208&amp;M208</f>
        <v>7A5G1H30000000000C6</v>
      </c>
      <c r="C22" s="98" t="s">
        <v>185</v>
      </c>
      <c r="D22" s="149" t="n">
        <f aca="false" ca="false" dt2D="false" dtr="false" t="normal">HEX2BIN(D21, 8)</f>
        <v>111</v>
      </c>
      <c r="E22" s="149" t="n">
        <f aca="false" ca="false" dt2D="false" dtr="false" t="normal">HEX2BIN(E21, 8)</f>
        <v>10100101</v>
      </c>
      <c r="F22" s="149" t="n">
        <f aca="false" ca="false" dt2D="false" dtr="false" t="normal">HEX2BIN(F21, 8)</f>
        <v>1</v>
      </c>
      <c r="G22" s="149" t="n">
        <f aca="false" ca="false" dt2D="false" dtr="false" t="normal">HEX2BIN(G21, 8)</f>
        <v>10</v>
      </c>
      <c r="H22" s="53" t="n">
        <f aca="false" ca="false" dt2D="false" dtr="false" t="normal">Q17&amp;Q18&amp;Q19&amp;Q20&amp;Q21&amp;Q22&amp;Q23&amp;Q24</f>
        <v>0</v>
      </c>
      <c r="I22" s="53" t="n">
        <f aca="false" ca="false" dt2D="false" dtr="false" t="normal">U17&amp;U18&amp;U19&amp;U20&amp;U21&amp;U22&amp;U23&amp;U24</f>
        <v>0</v>
      </c>
      <c r="J22" s="53" t="n">
        <f aca="false" ca="false" dt2D="false" dtr="false" t="normal">Y17&amp;Y18&amp;Y19&amp;Y20&amp;Y21&amp;Y22&amp;Y23&amp;Y24</f>
        <v>0</v>
      </c>
      <c r="K22" s="53" t="n">
        <f aca="false" ca="false" dt2D="false" dtr="false" t="normal">AC17&amp;AC18&amp;AC19&amp;AC20&amp;AC21&amp;AC22&amp;AC23&amp;AC24</f>
        <v>0</v>
      </c>
      <c r="L22" s="53" t="n">
        <f aca="false" ca="false" dt2D="false" dtr="false" t="normal">AG17&amp;AG18&amp;AG19&amp;AG20&amp;AG21&amp;AG22&amp;AG23&amp;AG24</f>
        <v>0</v>
      </c>
      <c r="M22" s="53" t="str">
        <f aca="false" ca="false" dt2D="false" dtr="false" t="normal">DEC2HEX(M23)</f>
        <v>AF</v>
      </c>
      <c r="N22" s="63" t="n"/>
      <c r="P22" s="136" t="n">
        <f aca="false" ca="false" dt2D="false" dtr="false" t="normal">MID(H17, 6, 1)</f>
        <v>0</v>
      </c>
      <c r="Q22" s="137" t="n">
        <f aca="false" ca="false" dt2D="false" dtr="false" t="normal">P22</f>
        <v>0</v>
      </c>
      <c r="R22" s="120" t="s">
        <v>203</v>
      </c>
      <c r="S22" s="131" t="s">
        <v>196</v>
      </c>
      <c r="T22" s="136" t="n">
        <f aca="false" ca="false" dt2D="false" dtr="false" t="normal">MID(I17, 6, 1)</f>
        <v>0</v>
      </c>
      <c r="U22" s="137" t="n">
        <f aca="false" ca="false" dt2D="false" dtr="false" t="normal">T22</f>
        <v>0</v>
      </c>
      <c r="V22" s="120" t="s">
        <v>203</v>
      </c>
      <c r="W22" s="131" t="s">
        <v>196</v>
      </c>
      <c r="X22" s="136" t="n">
        <f aca="false" ca="false" dt2D="false" dtr="false" t="normal">MID(J17, 6, 1)</f>
        <v>0</v>
      </c>
      <c r="Y22" s="137" t="n">
        <f aca="false" ca="false" dt2D="false" dtr="false" t="normal">X22</f>
        <v>0</v>
      </c>
      <c r="Z22" s="120" t="s">
        <v>203</v>
      </c>
      <c r="AA22" s="131" t="s">
        <v>196</v>
      </c>
      <c r="AB22" s="136" t="n">
        <f aca="false" ca="false" dt2D="false" dtr="false" t="normal">MID(K17, 6, 1)</f>
        <v>0</v>
      </c>
      <c r="AC22" s="137" t="n">
        <f aca="false" ca="false" dt2D="false" dtr="false" t="normal">AB22</f>
        <v>0</v>
      </c>
      <c r="AD22" s="120" t="s">
        <v>203</v>
      </c>
      <c r="AE22" s="131" t="s">
        <v>196</v>
      </c>
      <c r="AF22" s="136" t="n">
        <f aca="false" ca="false" dt2D="false" dtr="false" t="normal">MID(L17, 6, 1)</f>
        <v>0</v>
      </c>
      <c r="AG22" s="137" t="n">
        <f aca="false" ca="false" dt2D="false" dtr="false" t="normal">AF22</f>
        <v>0</v>
      </c>
      <c r="AH22" s="120" t="s">
        <v>203</v>
      </c>
      <c r="AI22" s="131" t="s">
        <v>196</v>
      </c>
      <c r="AJ22" s="7695" t="s"/>
      <c r="AK22" s="7696" t="s"/>
    </row>
    <row hidden="false" ht="15" outlineLevel="0" r="23">
      <c r="A23" s="1202" t="s">
        <v>3918</v>
      </c>
      <c r="B23" s="92" t="str">
        <f aca="false" ca="false" dt2D="false" dtr="false" t="normal">RIGHT(D222, 1)&amp;E222&amp;F222&amp;G222&amp;H219&amp;I219&amp;J219&amp;K219&amp;L219&amp;M219</f>
        <v>7A5G1H40000000000CD</v>
      </c>
      <c r="C23" s="98" t="s">
        <v>191</v>
      </c>
      <c r="D23" s="149" t="n">
        <f aca="false" ca="false" dt2D="false" dtr="false" t="normal">HEX2DEC(D21)</f>
        <v>7</v>
      </c>
      <c r="E23" s="149" t="n">
        <f aca="false" ca="false" dt2D="false" dtr="false" t="normal">HEX2DEC(E21)</f>
        <v>165</v>
      </c>
      <c r="F23" s="149" t="n">
        <f aca="false" ca="false" dt2D="false" dtr="false" t="normal">HEX2DEC(F21)</f>
        <v>1</v>
      </c>
      <c r="G23" s="149"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175</v>
      </c>
      <c r="N23" s="63" t="n"/>
      <c r="P23" s="136" t="n">
        <f aca="false" ca="false" dt2D="false" dtr="false" t="normal">MID(H17, 7, 1)</f>
        <v>0</v>
      </c>
      <c r="Q23" s="137" t="n">
        <f aca="false" ca="false" dt2D="false" dtr="false" t="normal">P23</f>
        <v>0</v>
      </c>
      <c r="R23" s="120" t="s">
        <v>206</v>
      </c>
      <c r="S23" s="131" t="s">
        <v>196</v>
      </c>
      <c r="T23" s="136" t="n">
        <f aca="false" ca="false" dt2D="false" dtr="false" t="normal">MID(I17, 7, 1)</f>
        <v>0</v>
      </c>
      <c r="U23" s="137" t="n">
        <f aca="false" ca="false" dt2D="false" dtr="false" t="normal">T23</f>
        <v>0</v>
      </c>
      <c r="V23" s="120" t="s">
        <v>206</v>
      </c>
      <c r="W23" s="131" t="s">
        <v>196</v>
      </c>
      <c r="X23" s="136" t="n">
        <f aca="false" ca="false" dt2D="false" dtr="false" t="normal">MID(J17, 7, 1)</f>
        <v>0</v>
      </c>
      <c r="Y23" s="137" t="n">
        <f aca="false" ca="false" dt2D="false" dtr="false" t="normal">X23</f>
        <v>0</v>
      </c>
      <c r="Z23" s="120" t="s">
        <v>206</v>
      </c>
      <c r="AA23" s="131" t="s">
        <v>196</v>
      </c>
      <c r="AB23" s="136" t="n">
        <f aca="false" ca="false" dt2D="false" dtr="false" t="normal">MID(K17, 7, 1)</f>
        <v>0</v>
      </c>
      <c r="AC23" s="137" t="n">
        <f aca="false" ca="false" dt2D="false" dtr="false" t="normal">AB23</f>
        <v>0</v>
      </c>
      <c r="AD23" s="120" t="s">
        <v>206</v>
      </c>
      <c r="AE23" s="131" t="s">
        <v>196</v>
      </c>
      <c r="AF23" s="136" t="n">
        <f aca="false" ca="false" dt2D="false" dtr="false" t="normal">MID(L17, 7, 1)</f>
        <v>0</v>
      </c>
      <c r="AG23" s="137" t="n">
        <f aca="false" ca="false" dt2D="false" dtr="false" t="normal">AF23</f>
        <v>0</v>
      </c>
      <c r="AH23" s="120" t="s">
        <v>206</v>
      </c>
      <c r="AI23" s="131" t="s">
        <v>196</v>
      </c>
      <c r="AJ23" s="7697" t="s"/>
      <c r="AK23" s="7698" t="s"/>
    </row>
    <row hidden="false" ht="15.75" outlineLevel="0" r="24">
      <c r="A24" s="1202" t="s">
        <v>3919</v>
      </c>
      <c r="B24" s="92" t="str">
        <f aca="false" ca="false" dt2D="false" dtr="false" t="normal">RIGHT(D233, 1)&amp;E233&amp;F233&amp;G233&amp;H230&amp;I230&amp;J230&amp;K230&amp;L230&amp;M230</f>
        <v>7A5G1H50000000000CE</v>
      </c>
      <c r="C24" s="180" t="s">
        <v>194</v>
      </c>
      <c r="D24" s="181" t="n">
        <f aca="false" ca="false" dt2D="false" dtr="false" t="normal">D19</f>
        <v>7</v>
      </c>
      <c r="E24" s="181" t="str">
        <f aca="false" ca="false" dt2D="false" dtr="false" t="normal">E19</f>
        <v>A5</v>
      </c>
      <c r="F24" s="181" t="str">
        <f aca="false" ca="false" dt2D="false" dtr="false" t="normal">F19</f>
        <v>G1</v>
      </c>
      <c r="G24" s="181"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5" t="s">
        <v>196</v>
      </c>
      <c r="T24" s="182" t="n">
        <f aca="false" ca="false" dt2D="false" dtr="false" t="normal">MID(I17, 8, 1)</f>
        <v>0</v>
      </c>
      <c r="U24" s="183" t="n">
        <f aca="false" ca="false" dt2D="false" dtr="false" t="normal">T24</f>
        <v>0</v>
      </c>
      <c r="V24" s="184" t="s">
        <v>208</v>
      </c>
      <c r="W24" s="185" t="s">
        <v>196</v>
      </c>
      <c r="X24" s="182" t="n">
        <f aca="false" ca="false" dt2D="false" dtr="false" t="normal">MID(J17, 8, 1)</f>
        <v>0</v>
      </c>
      <c r="Y24" s="183" t="n">
        <f aca="false" ca="false" dt2D="false" dtr="false" t="normal">X24</f>
        <v>0</v>
      </c>
      <c r="Z24" s="184" t="s">
        <v>208</v>
      </c>
      <c r="AA24" s="185" t="s">
        <v>196</v>
      </c>
      <c r="AB24" s="182" t="n">
        <f aca="false" ca="false" dt2D="false" dtr="false" t="normal">MID(K17, 8, 1)</f>
        <v>0</v>
      </c>
      <c r="AC24" s="183" t="n">
        <f aca="false" ca="false" dt2D="false" dtr="false" t="normal">AB24</f>
        <v>0</v>
      </c>
      <c r="AD24" s="184" t="s">
        <v>208</v>
      </c>
      <c r="AE24" s="185" t="s">
        <v>196</v>
      </c>
      <c r="AF24" s="182" t="n">
        <f aca="false" ca="false" dt2D="false" dtr="false" t="normal">MID(L17, 8, 1)</f>
        <v>0</v>
      </c>
      <c r="AG24" s="183" t="n">
        <f aca="false" ca="false" dt2D="false" dtr="false" t="normal">AF24</f>
        <v>0</v>
      </c>
      <c r="AH24" s="184" t="s">
        <v>208</v>
      </c>
      <c r="AI24" s="185" t="s">
        <v>196</v>
      </c>
      <c r="AJ24" s="7699" t="s"/>
      <c r="AK24" s="7700" t="s"/>
    </row>
    <row hidden="false" ht="15.75" outlineLevel="0" r="25">
      <c r="A25" s="1202" t="s">
        <v>3920</v>
      </c>
      <c r="B25" s="92" t="str">
        <f aca="false" ca="false" dt2D="false" dtr="false" t="normal">RIGHT(D244, 1)&amp;E244&amp;F244&amp;G244&amp;H241&amp;I241&amp;J241&amp;K241&amp;L241&amp;M241</f>
        <v>7A5G1H60000000000CF</v>
      </c>
      <c r="C25" s="93" t="n"/>
      <c r="D25" s="7585" t="n"/>
      <c r="E25" s="7585" t="n"/>
      <c r="F25" s="7585" t="n"/>
      <c r="G25" s="7585" t="n"/>
      <c r="H25" s="94" t="n"/>
      <c r="I25" s="94" t="n"/>
      <c r="J25" s="94" t="n"/>
      <c r="K25" s="94" t="n"/>
      <c r="L25" s="94" t="n"/>
      <c r="M25" s="94" t="s">
        <v>161</v>
      </c>
      <c r="N25" s="60" t="n"/>
      <c r="P25" s="95" t="str">
        <f aca="false" ca="false" dt2D="false" dtr="false" t="normal">RIGHT(D27, 1)&amp;E27&amp;"-"&amp;F27&amp;"-"&amp;G27</f>
        <v>7A5-01-03</v>
      </c>
      <c r="Q25" s="7701" t="s"/>
      <c r="R25" s="234" t="s">
        <v>3921</v>
      </c>
      <c r="S25" s="7702" t="s"/>
      <c r="T25" s="7703" t="s"/>
      <c r="U25" s="7704" t="s"/>
      <c r="V25" s="7705" t="s"/>
      <c r="W25" s="7706" t="s"/>
      <c r="X25" s="7707" t="s"/>
      <c r="Y25" s="7708" t="s"/>
      <c r="Z25" s="7709" t="s"/>
      <c r="AA25" s="7710" t="s"/>
      <c r="AB25" s="7711" t="s"/>
      <c r="AC25" s="7712" t="s"/>
      <c r="AD25" s="7713" t="s"/>
      <c r="AE25" s="7714" t="s"/>
      <c r="AF25" s="7715" t="s"/>
      <c r="AG25" s="7716" t="s"/>
      <c r="AH25" s="7717" t="s"/>
      <c r="AI25" s="7718" t="s"/>
      <c r="AJ25" s="7719" t="s"/>
      <c r="AK25" s="7720" t="s"/>
    </row>
    <row hidden="false" ht="15.75" outlineLevel="0" r="26">
      <c r="A26" s="1202" t="s">
        <v>3922</v>
      </c>
      <c r="B26" s="92" t="str">
        <f aca="false" ca="false" dt2D="false" dtr="false" t="normal">RIGHT(D255, 1)&amp;E255&amp;F255&amp;G255&amp;H252&amp;I252&amp;J252&amp;K252&amp;L252&amp;M252</f>
        <v>7A5G1H70000000000D0</v>
      </c>
      <c r="C26" s="98" t="n"/>
      <c r="D26" s="7606" t="s">
        <v>3923</v>
      </c>
      <c r="E26" s="7721" t="s"/>
      <c r="F26" s="7722" t="s"/>
      <c r="G26" s="7723" t="s"/>
      <c r="H26" s="53" t="s">
        <v>165</v>
      </c>
      <c r="I26" s="53" t="s">
        <v>166</v>
      </c>
      <c r="J26" s="53" t="s">
        <v>167</v>
      </c>
      <c r="K26" s="53" t="s">
        <v>168</v>
      </c>
      <c r="L26" s="53" t="s">
        <v>169</v>
      </c>
      <c r="M26" s="53" t="s">
        <v>221</v>
      </c>
      <c r="N26" s="63" t="n"/>
      <c r="P26" s="103" t="s">
        <v>3924</v>
      </c>
      <c r="Q26" s="7724" t="s"/>
      <c r="R26" s="7725" t="s"/>
      <c r="S26" s="7726" t="s"/>
      <c r="T26" s="103" t="s">
        <v>3925</v>
      </c>
      <c r="U26" s="7727" t="s"/>
      <c r="V26" s="7728" t="s"/>
      <c r="W26" s="7729" t="s"/>
      <c r="X26" s="103" t="s">
        <v>3926</v>
      </c>
      <c r="Y26" s="7730" t="s"/>
      <c r="Z26" s="7731" t="s"/>
      <c r="AA26" s="7732" t="s"/>
      <c r="AB26" s="103" t="s">
        <v>3927</v>
      </c>
      <c r="AC26" s="7733" t="s"/>
      <c r="AD26" s="7734" t="s"/>
      <c r="AE26" s="7735" t="s"/>
      <c r="AF26" s="103" t="s">
        <v>3928</v>
      </c>
      <c r="AG26" s="7736" t="s"/>
      <c r="AH26" s="7737" t="s"/>
      <c r="AI26" s="7738" t="s"/>
      <c r="AJ26" s="103" t="s">
        <v>3929</v>
      </c>
      <c r="AK26" s="7739" t="s"/>
    </row>
    <row hidden="false" ht="15.75" outlineLevel="0" r="27">
      <c r="A27" s="1202" t="s">
        <v>3930</v>
      </c>
      <c r="B27" s="92" t="str">
        <f aca="false" ca="false" dt2D="false" dtr="false" t="normal">RIGHT(D266, 1)&amp;E266&amp;F266&amp;G266&amp;H263&amp;I263&amp;J263&amp;K263&amp;L263&amp;M263</f>
        <v>7A5G1H80000000000D1</v>
      </c>
      <c r="C27" s="98" t="s">
        <v>176</v>
      </c>
      <c r="D27" s="122" t="s">
        <v>177</v>
      </c>
      <c r="E27" s="123" t="s">
        <v>3892</v>
      </c>
      <c r="F27" s="123" t="s">
        <v>179</v>
      </c>
      <c r="G27" s="124" t="s">
        <v>307</v>
      </c>
      <c r="H27" s="273" t="n">
        <f aca="false" ca="false" dt2D="false" dtr="false" t="normal">MID($A$6, 8, 2)</f>
        <v>0</v>
      </c>
      <c r="I27" s="7626" t="n">
        <f aca="false" ca="false" dt2D="false" dtr="false" t="normal">MID($A$6, 10, 2)</f>
        <v>0</v>
      </c>
      <c r="J27" s="7626" t="n">
        <f aca="false" ca="false" dt2D="false" dtr="false" t="normal">MID($A$6, 12, 2)</f>
        <v>0</v>
      </c>
      <c r="K27" s="7626" t="n">
        <f aca="false" ca="false" dt2D="false" dtr="false" t="normal">MID($A$6, 14, 2)</f>
        <v>0</v>
      </c>
      <c r="L27" s="7627" t="n">
        <f aca="false" ca="false" dt2D="false" dtr="false" t="normal">MID($A$6, 16, 2)</f>
        <v>0</v>
      </c>
      <c r="M27" s="7553" t="str">
        <f aca="false" ca="false" dt2D="false" dtr="false" t="normal">MID($A$6, 18, 2)</f>
        <v>B0</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29" t="s">
        <v>180</v>
      </c>
      <c r="AC27" s="130" t="s">
        <v>181</v>
      </c>
      <c r="AD27" s="121" t="s">
        <v>182</v>
      </c>
      <c r="AE27" s="131" t="n"/>
      <c r="AF27" s="129" t="s">
        <v>180</v>
      </c>
      <c r="AG27" s="130" t="s">
        <v>181</v>
      </c>
      <c r="AH27" s="121" t="s">
        <v>182</v>
      </c>
      <c r="AI27" s="121" t="n"/>
      <c r="AJ27" s="116" t="s">
        <v>183</v>
      </c>
      <c r="AK27" s="7740" t="s"/>
    </row>
    <row hidden="false" ht="15" outlineLevel="0" r="28">
      <c r="A28" s="1202" t="s">
        <v>3931</v>
      </c>
      <c r="B28" s="92" t="str">
        <f aca="false" ca="false" dt2D="false" dtr="false" t="normal">RIGHT(D277, 1)&amp;E277&amp;F277&amp;G277&amp;H274&amp;I274&amp;J274&amp;K274&amp;L274&amp;M274</f>
        <v>7A5G1H90000000000D2</v>
      </c>
      <c r="C28" s="98" t="s">
        <v>185</v>
      </c>
      <c r="D28" s="149" t="n">
        <f aca="false" ca="false" dt2D="false" dtr="false" t="normal">HEX2BIN(D27, 8)</f>
        <v>111</v>
      </c>
      <c r="E28" s="149" t="n">
        <f aca="false" ca="false" dt2D="false" dtr="false" t="normal">HEX2BIN(E27, 8)</f>
        <v>10100101</v>
      </c>
      <c r="F28" s="149" t="n">
        <f aca="false" ca="false" dt2D="false" dtr="false" t="normal">HEX2BIN(F27, 8)</f>
        <v>1</v>
      </c>
      <c r="G28" s="149"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f aca="false" ca="false" dt2D="false" dtr="false" t="normal">HEX2BIN(K27, 8)</f>
        <v>0</v>
      </c>
      <c r="L28" s="53" t="n">
        <f aca="false" ca="false" dt2D="false" dtr="false" t="normal">HEX2BIN(L27, 8)</f>
        <v>0</v>
      </c>
      <c r="M28" s="53" t="n"/>
      <c r="N28" s="63" t="n"/>
      <c r="P28" s="136" t="n">
        <f aca="false" ca="false" dt2D="false" dtr="false" t="normal">MID(H28, 1, 1)</f>
        <v>0</v>
      </c>
      <c r="Q28" s="137" t="n">
        <f aca="false" ca="false" dt2D="false" dtr="false" t="normal">P28</f>
        <v>0</v>
      </c>
      <c r="R28" s="120" t="s">
        <v>186</v>
      </c>
      <c r="S28" s="131" t="s">
        <v>196</v>
      </c>
      <c r="T28" s="136" t="n">
        <f aca="false" ca="false" dt2D="false" dtr="false" t="normal">MID(I28, 1, 1)</f>
        <v>0</v>
      </c>
      <c r="U28" s="137" t="n">
        <f aca="false" ca="false" dt2D="false" dtr="false" t="normal">T28</f>
        <v>0</v>
      </c>
      <c r="V28" s="120" t="s">
        <v>186</v>
      </c>
      <c r="W28" s="131" t="s">
        <v>196</v>
      </c>
      <c r="X28" s="136" t="n">
        <f aca="false" ca="false" dt2D="false" dtr="false" t="normal">MID(J28, 1, 1)</f>
        <v>0</v>
      </c>
      <c r="Y28" s="137" t="n">
        <f aca="false" ca="false" dt2D="false" dtr="false" t="normal">X28</f>
        <v>0</v>
      </c>
      <c r="Z28" s="120" t="s">
        <v>186</v>
      </c>
      <c r="AA28" s="131" t="s">
        <v>196</v>
      </c>
      <c r="AB28" s="136" t="n">
        <f aca="false" ca="false" dt2D="false" dtr="false" t="normal">MID(K28, 1, 1)</f>
        <v>0</v>
      </c>
      <c r="AC28" s="137" t="n">
        <f aca="false" ca="false" dt2D="false" dtr="false" t="normal">AB28</f>
        <v>0</v>
      </c>
      <c r="AD28" s="120" t="s">
        <v>186</v>
      </c>
      <c r="AE28" s="131" t="s">
        <v>196</v>
      </c>
      <c r="AF28" s="136" t="n">
        <f aca="false" ca="false" dt2D="false" dtr="false" t="normal">MID(L28, 1, 1)</f>
        <v>0</v>
      </c>
      <c r="AG28" s="137" t="n">
        <f aca="false" ca="false" dt2D="false" dtr="false" t="normal">AF28</f>
        <v>0</v>
      </c>
      <c r="AH28" s="120" t="s">
        <v>186</v>
      </c>
      <c r="AI28" s="131" t="s">
        <v>196</v>
      </c>
      <c r="AJ28" s="7741" t="s"/>
      <c r="AK28" s="7742" t="s"/>
    </row>
    <row hidden="false" ht="15" outlineLevel="0" r="29">
      <c r="A29" s="1202" t="s">
        <v>3932</v>
      </c>
      <c r="B29" s="92" t="str">
        <f aca="false" ca="false" dt2D="false" dtr="false" t="normal">RIGHT(D288, 1)&amp;E288&amp;F288&amp;G288&amp;H285&amp;I285&amp;J285&amp;K285&amp;L285&amp;M285</f>
        <v>7A5G1HA0000000000D3</v>
      </c>
      <c r="C29" s="98" t="s">
        <v>191</v>
      </c>
      <c r="D29" s="149" t="n">
        <f aca="false" ca="false" dt2D="false" dtr="false" t="normal">HEX2DEC(D27)</f>
        <v>7</v>
      </c>
      <c r="E29" s="149" t="n">
        <f aca="false" ca="false" dt2D="false" dtr="false" t="normal">HEX2DEC(E27)</f>
        <v>165</v>
      </c>
      <c r="F29" s="149" t="n">
        <f aca="false" ca="false" dt2D="false" dtr="false" t="normal">HEX2DEC(F27)</f>
        <v>1</v>
      </c>
      <c r="G29" s="149"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HEX2DEC(K27)</f>
        <v>0</v>
      </c>
      <c r="L29" s="53" t="n">
        <f aca="false" ca="false" dt2D="false" dtr="false" t="normal">HEX2DEC(L27)</f>
        <v>0</v>
      </c>
      <c r="M29" s="53" t="n">
        <f aca="false" ca="false" dt2D="false" dtr="false" t="normal">SUM(D29:L29)</f>
        <v>176</v>
      </c>
      <c r="N29" s="63" t="n"/>
      <c r="P29" s="136" t="n">
        <f aca="false" ca="false" dt2D="false" dtr="false" t="normal">MID(H28, 2, 1)</f>
        <v>0</v>
      </c>
      <c r="Q29" s="137" t="n">
        <f aca="false" ca="false" dt2D="false" dtr="false" t="normal">P29</f>
        <v>0</v>
      </c>
      <c r="R29" s="120" t="s">
        <v>192</v>
      </c>
      <c r="S29" s="131" t="s">
        <v>196</v>
      </c>
      <c r="T29" s="136" t="n">
        <f aca="false" ca="false" dt2D="false" dtr="false" t="normal">MID(I28, 2, 1)</f>
        <v>0</v>
      </c>
      <c r="U29" s="137" t="n">
        <f aca="false" ca="false" dt2D="false" dtr="false" t="normal">T29</f>
        <v>0</v>
      </c>
      <c r="V29" s="120" t="s">
        <v>192</v>
      </c>
      <c r="W29" s="131" t="s">
        <v>196</v>
      </c>
      <c r="X29" s="136" t="n">
        <f aca="false" ca="false" dt2D="false" dtr="false" t="normal">MID(J28, 2, 1)</f>
        <v>0</v>
      </c>
      <c r="Y29" s="137" t="n">
        <f aca="false" ca="false" dt2D="false" dtr="false" t="normal">X29</f>
        <v>0</v>
      </c>
      <c r="Z29" s="120" t="s">
        <v>192</v>
      </c>
      <c r="AA29" s="131" t="s">
        <v>196</v>
      </c>
      <c r="AB29" s="136" t="n">
        <f aca="false" ca="false" dt2D="false" dtr="false" t="normal">MID(K28, 2, 1)</f>
        <v>0</v>
      </c>
      <c r="AC29" s="137" t="n">
        <f aca="false" ca="false" dt2D="false" dtr="false" t="normal">AB29</f>
        <v>0</v>
      </c>
      <c r="AD29" s="120" t="s">
        <v>192</v>
      </c>
      <c r="AE29" s="131" t="s">
        <v>196</v>
      </c>
      <c r="AF29" s="136" t="n">
        <f aca="false" ca="false" dt2D="false" dtr="false" t="normal">MID(L28, 2, 1)</f>
        <v>0</v>
      </c>
      <c r="AG29" s="137" t="n">
        <f aca="false" ca="false" dt2D="false" dtr="false" t="normal">AF29</f>
        <v>0</v>
      </c>
      <c r="AH29" s="120" t="s">
        <v>192</v>
      </c>
      <c r="AI29" s="131" t="s">
        <v>196</v>
      </c>
      <c r="AJ29" s="7743" t="s"/>
      <c r="AK29" s="7744" t="s"/>
    </row>
    <row hidden="false" ht="15" outlineLevel="0" r="30">
      <c r="A30" s="1202" t="s">
        <v>3933</v>
      </c>
      <c r="B30" s="92" t="str">
        <f aca="false" ca="false" dt2D="false" dtr="false" t="normal">RIGHT(D299, 1)&amp;E299&amp;F299&amp;G299&amp;H296&amp;I296&amp;J296&amp;K296&amp;L296&amp;M296</f>
        <v>7A5G1HB0000000000D4</v>
      </c>
      <c r="C30" s="98" t="s">
        <v>194</v>
      </c>
      <c r="D30" s="149" t="n">
        <f aca="false" ca="false" dt2D="false" dtr="false" t="normal">D27</f>
        <v>7</v>
      </c>
      <c r="E30" s="149" t="str">
        <f aca="false" ca="false" dt2D="false" dtr="false" t="normal">E27</f>
        <v>A5</v>
      </c>
      <c r="F30" s="149" t="str">
        <f aca="false" ca="false" dt2D="false" dtr="false" t="normal">MID($A$6, 4, 2)</f>
        <v>G1</v>
      </c>
      <c r="G30" s="149" t="str">
        <f aca="false" ca="false" dt2D="false" dtr="false" t="normal">MID($A$6, 6, 2)</f>
        <v>G3</v>
      </c>
      <c r="N30" s="63" t="n"/>
      <c r="P30" s="136" t="n">
        <f aca="false" ca="false" dt2D="false" dtr="false" t="normal">MID(H28, 3, 1)</f>
        <v>0</v>
      </c>
      <c r="Q30" s="137" t="n">
        <f aca="false" ca="false" dt2D="false" dtr="false" t="normal">P30</f>
        <v>0</v>
      </c>
      <c r="R30" s="120" t="s">
        <v>195</v>
      </c>
      <c r="S30" s="131" t="s">
        <v>196</v>
      </c>
      <c r="T30" s="136" t="n">
        <f aca="false" ca="false" dt2D="false" dtr="false" t="normal">MID(I28, 3, 1)</f>
        <v>0</v>
      </c>
      <c r="U30" s="137" t="n">
        <f aca="false" ca="false" dt2D="false" dtr="false" t="normal">T30</f>
        <v>0</v>
      </c>
      <c r="V30" s="120" t="s">
        <v>195</v>
      </c>
      <c r="W30" s="131" t="s">
        <v>196</v>
      </c>
      <c r="X30" s="136" t="n">
        <f aca="false" ca="false" dt2D="false" dtr="false" t="normal">MID(J28, 3, 1)</f>
        <v>0</v>
      </c>
      <c r="Y30" s="137" t="n">
        <f aca="false" ca="false" dt2D="false" dtr="false" t="normal">X30</f>
        <v>0</v>
      </c>
      <c r="Z30" s="120" t="s">
        <v>195</v>
      </c>
      <c r="AA30" s="131" t="s">
        <v>196</v>
      </c>
      <c r="AB30" s="136" t="n">
        <f aca="false" ca="false" dt2D="false" dtr="false" t="normal">MID(K28, 3, 1)</f>
        <v>0</v>
      </c>
      <c r="AC30" s="137" t="n">
        <f aca="false" ca="false" dt2D="false" dtr="false" t="normal">AB30</f>
        <v>0</v>
      </c>
      <c r="AD30" s="120" t="s">
        <v>195</v>
      </c>
      <c r="AE30" s="131" t="s">
        <v>196</v>
      </c>
      <c r="AF30" s="136" t="n">
        <f aca="false" ca="false" dt2D="false" dtr="false" t="normal">MID(L28, 3, 1)</f>
        <v>0</v>
      </c>
      <c r="AG30" s="137" t="n">
        <f aca="false" ca="false" dt2D="false" dtr="false" t="normal">AF30</f>
        <v>0</v>
      </c>
      <c r="AH30" s="120" t="s">
        <v>195</v>
      </c>
      <c r="AI30" s="131" t="s">
        <v>196</v>
      </c>
      <c r="AJ30" s="7745" t="s"/>
      <c r="AK30" s="7746" t="s"/>
    </row>
    <row hidden="false" ht="15.75" outlineLevel="0" r="31">
      <c r="A31" s="1202" t="s">
        <v>3934</v>
      </c>
      <c r="B31" s="92" t="str">
        <f aca="false" ca="false" dt2D="false" dtr="false" t="normal">RIGHT(D310, 1)&amp;E310&amp;F310&amp;G310&amp;H307&amp;I307&amp;J307&amp;K307&amp;L307&amp;M307</f>
        <v>7A5G1HC0000000000D5</v>
      </c>
      <c r="C31" s="98" t="n"/>
      <c r="N31" s="63" t="n"/>
      <c r="P31" s="136" t="n">
        <f aca="false" ca="false" dt2D="false" dtr="false" t="normal">MID(H28, 4, 1)</f>
        <v>0</v>
      </c>
      <c r="Q31" s="137" t="n">
        <f aca="false" ca="false" dt2D="false" dtr="false" t="normal">P31</f>
        <v>0</v>
      </c>
      <c r="R31" s="120" t="s">
        <v>197</v>
      </c>
      <c r="S31" s="131" t="s">
        <v>196</v>
      </c>
      <c r="T31" s="136" t="n">
        <f aca="false" ca="false" dt2D="false" dtr="false" t="normal">MID(I28, 4, 1)</f>
        <v>0</v>
      </c>
      <c r="U31" s="137" t="n">
        <f aca="false" ca="false" dt2D="false" dtr="false" t="normal">T31</f>
        <v>0</v>
      </c>
      <c r="V31" s="120" t="s">
        <v>197</v>
      </c>
      <c r="W31" s="131" t="s">
        <v>196</v>
      </c>
      <c r="X31" s="136" t="n">
        <f aca="false" ca="false" dt2D="false" dtr="false" t="normal">MID(J28, 4, 1)</f>
        <v>0</v>
      </c>
      <c r="Y31" s="137" t="n">
        <f aca="false" ca="false" dt2D="false" dtr="false" t="normal">X31</f>
        <v>0</v>
      </c>
      <c r="Z31" s="120" t="s">
        <v>197</v>
      </c>
      <c r="AA31" s="131" t="s">
        <v>196</v>
      </c>
      <c r="AB31" s="136" t="n">
        <f aca="false" ca="false" dt2D="false" dtr="false" t="normal">MID(K28, 4, 1)</f>
        <v>0</v>
      </c>
      <c r="AC31" s="137" t="n">
        <f aca="false" ca="false" dt2D="false" dtr="false" t="normal">AB31</f>
        <v>0</v>
      </c>
      <c r="AD31" s="120" t="s">
        <v>197</v>
      </c>
      <c r="AE31" s="131" t="s">
        <v>196</v>
      </c>
      <c r="AF31" s="136" t="n">
        <f aca="false" ca="false" dt2D="false" dtr="false" t="normal">MID(L28, 4, 1)</f>
        <v>0</v>
      </c>
      <c r="AG31" s="137" t="n">
        <f aca="false" ca="false" dt2D="false" dtr="false" t="normal">AF31</f>
        <v>0</v>
      </c>
      <c r="AH31" s="120" t="s">
        <v>197</v>
      </c>
      <c r="AI31" s="131" t="s">
        <v>196</v>
      </c>
      <c r="AJ31" s="7747" t="s"/>
      <c r="AK31" s="7748" t="s"/>
    </row>
    <row hidden="false" ht="15.75" outlineLevel="0" r="32">
      <c r="A32" s="1202" t="s">
        <v>3935</v>
      </c>
      <c r="B32" s="92" t="str">
        <f aca="false" ca="false" dt2D="false" dtr="false" t="normal">RIGHT(D321, 1)&amp;E321&amp;F321&amp;G321&amp;H318&amp;I318&amp;J318&amp;K318&amp;L318&amp;M318</f>
        <v>7A5G1HD0000000000D6</v>
      </c>
      <c r="C32" s="98" t="s">
        <v>176</v>
      </c>
      <c r="D32" s="122" t="n">
        <f aca="false" ca="false" dt2D="false" dtr="false" t="normal">D27</f>
        <v>7</v>
      </c>
      <c r="E32" s="123" t="str">
        <f aca="false" ca="false" dt2D="false" dtr="false" t="normal">E27</f>
        <v>A5</v>
      </c>
      <c r="F32" s="123" t="n">
        <f aca="false" ca="false" dt2D="false" dtr="false" t="normal">F27</f>
        <v>1</v>
      </c>
      <c r="G32" s="124"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165" t="n">
        <f aca="false" ca="false" dt2D="false" dtr="false" t="normal">BIN2HEX(K33, 2)</f>
        <v>0</v>
      </c>
      <c r="L32" s="288" t="n">
        <f aca="false" ca="false" dt2D="false" dtr="false" t="normal">BIN2HEX(L33, 2)</f>
        <v>0</v>
      </c>
      <c r="M32" s="166" t="str">
        <f aca="false" ca="false" dt2D="false" dtr="false" t="normal">IF(LEN(M33)&gt;2, MID(M33, 2, 2), M33)</f>
        <v>B0</v>
      </c>
      <c r="N32" s="63" t="s">
        <v>181</v>
      </c>
      <c r="P32" s="136" t="n">
        <f aca="false" ca="false" dt2D="false" dtr="false" t="normal">MID(H28, 5, 1)</f>
        <v>0</v>
      </c>
      <c r="Q32" s="137" t="n">
        <f aca="false" ca="false" dt2D="false" dtr="false" t="normal">P32</f>
        <v>0</v>
      </c>
      <c r="R32" s="120" t="s">
        <v>200</v>
      </c>
      <c r="S32" s="131" t="s">
        <v>196</v>
      </c>
      <c r="T32" s="136" t="n">
        <f aca="false" ca="false" dt2D="false" dtr="false" t="normal">MID(I28, 5, 1)</f>
        <v>0</v>
      </c>
      <c r="U32" s="137" t="n">
        <f aca="false" ca="false" dt2D="false" dtr="false" t="normal">T32</f>
        <v>0</v>
      </c>
      <c r="V32" s="120" t="s">
        <v>200</v>
      </c>
      <c r="W32" s="131" t="s">
        <v>196</v>
      </c>
      <c r="X32" s="136" t="n">
        <f aca="false" ca="false" dt2D="false" dtr="false" t="normal">MID(J28, 5, 1)</f>
        <v>0</v>
      </c>
      <c r="Y32" s="137" t="n">
        <f aca="false" ca="false" dt2D="false" dtr="false" t="normal">X32</f>
        <v>0</v>
      </c>
      <c r="Z32" s="120" t="s">
        <v>200</v>
      </c>
      <c r="AA32" s="131" t="s">
        <v>196</v>
      </c>
      <c r="AB32" s="136" t="n">
        <f aca="false" ca="false" dt2D="false" dtr="false" t="normal">MID(K28, 5, 1)</f>
        <v>0</v>
      </c>
      <c r="AC32" s="137" t="n">
        <f aca="false" ca="false" dt2D="false" dtr="false" t="normal">AB32</f>
        <v>0</v>
      </c>
      <c r="AD32" s="120" t="s">
        <v>200</v>
      </c>
      <c r="AE32" s="131" t="s">
        <v>196</v>
      </c>
      <c r="AF32" s="136" t="n">
        <f aca="false" ca="false" dt2D="false" dtr="false" t="normal">MID(L28, 5, 1)</f>
        <v>0</v>
      </c>
      <c r="AG32" s="137" t="n">
        <f aca="false" ca="false" dt2D="false" dtr="false" t="normal">AF32</f>
        <v>0</v>
      </c>
      <c r="AH32" s="120" t="s">
        <v>200</v>
      </c>
      <c r="AI32" s="131" t="s">
        <v>196</v>
      </c>
      <c r="AJ32" s="7749" t="s"/>
      <c r="AK32" s="7750" t="s"/>
    </row>
    <row hidden="false" ht="15" outlineLevel="0" r="33">
      <c r="A33" s="1202" t="s">
        <v>3936</v>
      </c>
      <c r="B33" s="92" t="str">
        <f aca="false" ca="false" dt2D="false" dtr="false" t="normal">RIGHT(D332, 1)&amp;E332&amp;F332&amp;G332&amp;H329&amp;I329&amp;J329&amp;K329&amp;L329&amp;M329</f>
        <v>7A5G1HE0000000000DD</v>
      </c>
      <c r="C33" s="98" t="s">
        <v>185</v>
      </c>
      <c r="D33" s="149" t="n">
        <f aca="false" ca="false" dt2D="false" dtr="false" t="normal">HEX2BIN(D32, 8)</f>
        <v>111</v>
      </c>
      <c r="E33" s="149" t="n">
        <f aca="false" ca="false" dt2D="false" dtr="false" t="normal">HEX2BIN(E32, 8)</f>
        <v>10100101</v>
      </c>
      <c r="F33" s="149" t="n">
        <f aca="false" ca="false" dt2D="false" dtr="false" t="normal">HEX2BIN(F32, 8)</f>
        <v>1</v>
      </c>
      <c r="G33" s="149" t="n">
        <f aca="false" ca="false" dt2D="false" dtr="false" t="normal">HEX2BIN(G32, 8)</f>
        <v>11</v>
      </c>
      <c r="H33" s="53" t="n">
        <f aca="false" ca="false" dt2D="false" dtr="false" t="normal">Q28&amp;Q29&amp;Q30&amp;Q31&amp;Q32&amp;Q33&amp;Q34&amp;Q35</f>
        <v>0</v>
      </c>
      <c r="I33" s="53" t="n">
        <f aca="false" ca="false" dt2D="false" dtr="false" t="normal">U28&amp;U29&amp;U30&amp;U31&amp;U32&amp;U33&amp;U34&amp;U35</f>
        <v>0</v>
      </c>
      <c r="J33" s="53" t="n">
        <f aca="false" ca="false" dt2D="false" dtr="false" t="normal">Y28&amp;Y29&amp;Y30&amp;Y31&amp;Y32&amp;Y33&amp;Y34&amp;Y35</f>
        <v>0</v>
      </c>
      <c r="K33" s="53" t="n">
        <f aca="false" ca="false" dt2D="false" dtr="false" t="normal">AC28&amp;AC29&amp;AC30&amp;AC31&amp;AC32&amp;AC33&amp;AC34&amp;AC35</f>
        <v>0</v>
      </c>
      <c r="L33" s="53" t="n">
        <f aca="false" ca="false" dt2D="false" dtr="false" t="normal">AG28&amp;AG29&amp;AG30&amp;AG31&amp;AG32&amp;AG33&amp;AG34&amp;AG35</f>
        <v>0</v>
      </c>
      <c r="M33" s="53" t="str">
        <f aca="false" ca="false" dt2D="false" dtr="false" t="normal">DEC2HEX(M34)</f>
        <v>B0</v>
      </c>
      <c r="N33" s="63" t="n"/>
      <c r="P33" s="136" t="n">
        <f aca="false" ca="false" dt2D="false" dtr="false" t="normal">MID(H28, 6, 1)</f>
        <v>0</v>
      </c>
      <c r="Q33" s="137" t="n">
        <f aca="false" ca="false" dt2D="false" dtr="false" t="normal">P33</f>
        <v>0</v>
      </c>
      <c r="R33" s="120" t="s">
        <v>203</v>
      </c>
      <c r="S33" s="131" t="s">
        <v>196</v>
      </c>
      <c r="T33" s="136" t="n">
        <f aca="false" ca="false" dt2D="false" dtr="false" t="normal">MID(I28, 6, 1)</f>
        <v>0</v>
      </c>
      <c r="U33" s="137" t="n">
        <f aca="false" ca="false" dt2D="false" dtr="false" t="normal">T33</f>
        <v>0</v>
      </c>
      <c r="V33" s="120" t="s">
        <v>203</v>
      </c>
      <c r="W33" s="131" t="s">
        <v>196</v>
      </c>
      <c r="X33" s="136" t="n">
        <f aca="false" ca="false" dt2D="false" dtr="false" t="normal">MID(J28, 6, 1)</f>
        <v>0</v>
      </c>
      <c r="Y33" s="137" t="n">
        <f aca="false" ca="false" dt2D="false" dtr="false" t="normal">X33</f>
        <v>0</v>
      </c>
      <c r="Z33" s="120" t="s">
        <v>203</v>
      </c>
      <c r="AA33" s="131" t="s">
        <v>196</v>
      </c>
      <c r="AB33" s="136" t="n">
        <f aca="false" ca="false" dt2D="false" dtr="false" t="normal">MID(K28, 6, 1)</f>
        <v>0</v>
      </c>
      <c r="AC33" s="137" t="n">
        <f aca="false" ca="false" dt2D="false" dtr="false" t="normal">AB33</f>
        <v>0</v>
      </c>
      <c r="AD33" s="120" t="s">
        <v>203</v>
      </c>
      <c r="AE33" s="131" t="s">
        <v>196</v>
      </c>
      <c r="AF33" s="136" t="n">
        <f aca="false" ca="false" dt2D="false" dtr="false" t="normal">MID(L28, 6, 1)</f>
        <v>0</v>
      </c>
      <c r="AG33" s="137" t="n">
        <f aca="false" ca="false" dt2D="false" dtr="false" t="normal">AF33</f>
        <v>0</v>
      </c>
      <c r="AH33" s="120" t="s">
        <v>203</v>
      </c>
      <c r="AI33" s="131" t="s">
        <v>196</v>
      </c>
      <c r="AJ33" s="7751" t="s"/>
      <c r="AK33" s="7752" t="s"/>
    </row>
    <row hidden="false" ht="15" outlineLevel="0" r="34">
      <c r="A34" s="1202" t="s">
        <v>3937</v>
      </c>
      <c r="B34" s="92" t="str">
        <f aca="false" ca="false" dt2D="false" dtr="false" t="normal">RIGHT(D343, 1)&amp;E343&amp;F343&amp;G343&amp;H340&amp;I340&amp;J340&amp;K340&amp;L340&amp;M340</f>
        <v>7A5G1HF0000000000DE</v>
      </c>
      <c r="C34" s="98" t="s">
        <v>191</v>
      </c>
      <c r="D34" s="149" t="n">
        <f aca="false" ca="false" dt2D="false" dtr="false" t="normal">HEX2DEC(D32)</f>
        <v>7</v>
      </c>
      <c r="E34" s="149" t="n">
        <f aca="false" ca="false" dt2D="false" dtr="false" t="normal">HEX2DEC(E32)</f>
        <v>165</v>
      </c>
      <c r="F34" s="149" t="n">
        <f aca="false" ca="false" dt2D="false" dtr="false" t="normal">HEX2DEC(F32)</f>
        <v>1</v>
      </c>
      <c r="G34" s="149"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HEX2DEC(K32)</f>
        <v>0</v>
      </c>
      <c r="L34" s="53" t="n">
        <f aca="false" ca="false" dt2D="false" dtr="false" t="normal">HEX2DEC(L32)</f>
        <v>0</v>
      </c>
      <c r="M34" s="53" t="n">
        <f aca="false" ca="false" dt2D="false" dtr="false" t="normal">SUM(D34:L34)</f>
        <v>176</v>
      </c>
      <c r="N34" s="63" t="n"/>
      <c r="P34" s="136" t="n">
        <f aca="false" ca="false" dt2D="false" dtr="false" t="normal">MID(H28, 7, 1)</f>
        <v>0</v>
      </c>
      <c r="Q34" s="137" t="n">
        <f aca="false" ca="false" dt2D="false" dtr="false" t="normal">P34</f>
        <v>0</v>
      </c>
      <c r="R34" s="120" t="s">
        <v>206</v>
      </c>
      <c r="S34" s="131" t="s">
        <v>196</v>
      </c>
      <c r="T34" s="136" t="n">
        <f aca="false" ca="false" dt2D="false" dtr="false" t="normal">MID(I28, 7, 1)</f>
        <v>0</v>
      </c>
      <c r="U34" s="137" t="n">
        <f aca="false" ca="false" dt2D="false" dtr="false" t="normal">T34</f>
        <v>0</v>
      </c>
      <c r="V34" s="120" t="s">
        <v>206</v>
      </c>
      <c r="W34" s="131" t="s">
        <v>196</v>
      </c>
      <c r="X34" s="136" t="n">
        <f aca="false" ca="false" dt2D="false" dtr="false" t="normal">MID(J28, 7, 1)</f>
        <v>0</v>
      </c>
      <c r="Y34" s="137" t="n">
        <f aca="false" ca="false" dt2D="false" dtr="false" t="normal">X34</f>
        <v>0</v>
      </c>
      <c r="Z34" s="120" t="s">
        <v>206</v>
      </c>
      <c r="AA34" s="131" t="s">
        <v>196</v>
      </c>
      <c r="AB34" s="136" t="n">
        <f aca="false" ca="false" dt2D="false" dtr="false" t="normal">MID(K28, 7, 1)</f>
        <v>0</v>
      </c>
      <c r="AC34" s="137" t="n">
        <f aca="false" ca="false" dt2D="false" dtr="false" t="normal">AB34</f>
        <v>0</v>
      </c>
      <c r="AD34" s="120" t="s">
        <v>206</v>
      </c>
      <c r="AE34" s="131" t="s">
        <v>196</v>
      </c>
      <c r="AF34" s="136" t="n">
        <f aca="false" ca="false" dt2D="false" dtr="false" t="normal">MID(L28, 7, 1)</f>
        <v>0</v>
      </c>
      <c r="AG34" s="137" t="n">
        <f aca="false" ca="false" dt2D="false" dtr="false" t="normal">AF34</f>
        <v>0</v>
      </c>
      <c r="AH34" s="120" t="s">
        <v>206</v>
      </c>
      <c r="AI34" s="131" t="s">
        <v>196</v>
      </c>
      <c r="AJ34" s="7753" t="s"/>
      <c r="AK34" s="7754" t="s"/>
    </row>
    <row hidden="false" ht="15.75" outlineLevel="0" r="35">
      <c r="A35" s="1202" t="s">
        <v>3938</v>
      </c>
      <c r="B35" s="92" t="str">
        <f aca="false" ca="false" dt2D="false" dtr="false" t="normal">RIGHT(D354, 1)&amp;E354&amp;F354&amp;G354&amp;H351&amp;I351&amp;J351&amp;K351&amp;L351&amp;M351</f>
        <v>7A5G1I00000000000DF</v>
      </c>
      <c r="C35" s="180" t="s">
        <v>194</v>
      </c>
      <c r="D35" s="181" t="n">
        <f aca="false" ca="false" dt2D="false" dtr="false" t="normal">D30</f>
        <v>7</v>
      </c>
      <c r="E35" s="181" t="str">
        <f aca="false" ca="false" dt2D="false" dtr="false" t="normal">E30</f>
        <v>A5</v>
      </c>
      <c r="F35" s="181" t="str">
        <f aca="false" ca="false" dt2D="false" dtr="false" t="normal">F30</f>
        <v>G1</v>
      </c>
      <c r="G35" s="181"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85" t="s">
        <v>196</v>
      </c>
      <c r="T35" s="182" t="n">
        <f aca="false" ca="false" dt2D="false" dtr="false" t="normal">MID(I28, 8, 1)</f>
        <v>0</v>
      </c>
      <c r="U35" s="183" t="n">
        <f aca="false" ca="false" dt2D="false" dtr="false" t="normal">T35</f>
        <v>0</v>
      </c>
      <c r="V35" s="184" t="s">
        <v>208</v>
      </c>
      <c r="W35" s="185" t="s">
        <v>196</v>
      </c>
      <c r="X35" s="182" t="n">
        <f aca="false" ca="false" dt2D="false" dtr="false" t="normal">MID(J28, 8, 1)</f>
        <v>0</v>
      </c>
      <c r="Y35" s="183" t="n">
        <f aca="false" ca="false" dt2D="false" dtr="false" t="normal">X35</f>
        <v>0</v>
      </c>
      <c r="Z35" s="184" t="s">
        <v>208</v>
      </c>
      <c r="AA35" s="185" t="s">
        <v>196</v>
      </c>
      <c r="AB35" s="182" t="n">
        <f aca="false" ca="false" dt2D="false" dtr="false" t="normal">MID(K28, 8, 1)</f>
        <v>0</v>
      </c>
      <c r="AC35" s="183" t="n">
        <f aca="false" ca="false" dt2D="false" dtr="false" t="normal">AB35</f>
        <v>0</v>
      </c>
      <c r="AD35" s="184" t="s">
        <v>208</v>
      </c>
      <c r="AE35" s="185" t="s">
        <v>196</v>
      </c>
      <c r="AF35" s="182" t="n">
        <f aca="false" ca="false" dt2D="false" dtr="false" t="normal">MID(L28, 8, 1)</f>
        <v>0</v>
      </c>
      <c r="AG35" s="183" t="n">
        <f aca="false" ca="false" dt2D="false" dtr="false" t="normal">AF35</f>
        <v>0</v>
      </c>
      <c r="AH35" s="184" t="s">
        <v>208</v>
      </c>
      <c r="AI35" s="185" t="s">
        <v>196</v>
      </c>
      <c r="AJ35" s="7755" t="s"/>
      <c r="AK35" s="7756" t="s"/>
    </row>
    <row hidden="false" ht="15.75" outlineLevel="0" r="36">
      <c r="A36" s="1202" t="s">
        <v>3939</v>
      </c>
      <c r="B36" s="92" t="str">
        <f aca="false" ca="false" dt2D="false" dtr="false" t="normal">RIGHT(D365, 1)&amp;E365&amp;F365&amp;G365&amp;H362&amp;I362&amp;J362&amp;K362&amp;L362&amp;M362</f>
        <v>7A5G1I10000000000E0</v>
      </c>
      <c r="C36" s="93" t="n"/>
      <c r="D36" s="7585" t="n"/>
      <c r="E36" s="7585" t="n"/>
      <c r="F36" s="7585" t="n"/>
      <c r="G36" s="7585" t="n"/>
      <c r="H36" s="94" t="n"/>
      <c r="I36" s="94" t="n"/>
      <c r="J36" s="94" t="n"/>
      <c r="K36" s="94" t="n"/>
      <c r="L36" s="94" t="n"/>
      <c r="M36" s="94" t="s">
        <v>161</v>
      </c>
      <c r="N36" s="60" t="n"/>
      <c r="P36" s="95" t="str">
        <f aca="false" ca="false" dt2D="false" dtr="false" t="normal">RIGHT(D38, 1)&amp;E38&amp;"-"&amp;F38&amp;"-"&amp;G38</f>
        <v>7A5-01-04</v>
      </c>
      <c r="Q36" s="7757" t="s"/>
      <c r="R36" s="234" t="s">
        <v>3940</v>
      </c>
      <c r="S36" s="7758" t="s"/>
      <c r="T36" s="7759" t="s"/>
      <c r="U36" s="7760" t="s"/>
      <c r="V36" s="7761" t="s"/>
      <c r="W36" s="7762" t="s"/>
      <c r="X36" s="7763" t="s"/>
      <c r="Y36" s="7764" t="s"/>
      <c r="Z36" s="7765" t="s"/>
      <c r="AA36" s="7766" t="s"/>
      <c r="AB36" s="7767" t="s"/>
      <c r="AC36" s="7768" t="s"/>
      <c r="AD36" s="7769" t="s"/>
      <c r="AE36" s="7770" t="s"/>
      <c r="AF36" s="7771" t="s"/>
      <c r="AG36" s="7772" t="s"/>
      <c r="AH36" s="7773" t="s"/>
      <c r="AI36" s="7774" t="s"/>
      <c r="AJ36" s="7775" t="s"/>
      <c r="AK36" s="7776" t="s"/>
    </row>
    <row hidden="false" ht="15.75" outlineLevel="0" r="37">
      <c r="A37" s="1202" t="s">
        <v>3941</v>
      </c>
      <c r="B37" s="92" t="str">
        <f aca="false" ca="false" dt2D="false" dtr="false" t="normal">RIGHT(D376, 1)&amp;E376&amp;F376&amp;G376&amp;H373&amp;I373&amp;J373&amp;K373&amp;L373&amp;M373</f>
        <v>7A5G1I20000000000E1</v>
      </c>
      <c r="C37" s="98" t="n"/>
      <c r="D37" s="7606" t="s">
        <v>3942</v>
      </c>
      <c r="E37" s="7777" t="s"/>
      <c r="F37" s="7778" t="s"/>
      <c r="G37" s="7779" t="s"/>
      <c r="H37" s="53" t="s">
        <v>165</v>
      </c>
      <c r="I37" s="53" t="s">
        <v>166</v>
      </c>
      <c r="J37" s="53" t="s">
        <v>167</v>
      </c>
      <c r="K37" s="53" t="s">
        <v>168</v>
      </c>
      <c r="L37" s="53" t="s">
        <v>169</v>
      </c>
      <c r="M37" s="53" t="s">
        <v>221</v>
      </c>
      <c r="N37" s="63" t="n"/>
      <c r="P37" s="103" t="s">
        <v>3943</v>
      </c>
      <c r="Q37" s="7780" t="s"/>
      <c r="R37" s="7781" t="s"/>
      <c r="S37" s="7782" t="s"/>
      <c r="T37" s="103" t="s">
        <v>3944</v>
      </c>
      <c r="U37" s="7783" t="s"/>
      <c r="V37" s="7784" t="s"/>
      <c r="W37" s="7785" t="s"/>
      <c r="X37" s="103" t="s">
        <v>3945</v>
      </c>
      <c r="Y37" s="7786" t="s"/>
      <c r="Z37" s="7787" t="s"/>
      <c r="AA37" s="7788" t="s"/>
      <c r="AB37" s="103" t="s">
        <v>3946</v>
      </c>
      <c r="AC37" s="7789" t="s"/>
      <c r="AD37" s="7790" t="s"/>
      <c r="AE37" s="7791" t="s"/>
      <c r="AF37" s="103" t="s">
        <v>3947</v>
      </c>
      <c r="AG37" s="7792" t="s"/>
      <c r="AH37" s="7793" t="s"/>
      <c r="AI37" s="7794" t="s"/>
      <c r="AJ37" s="103" t="s">
        <v>3948</v>
      </c>
      <c r="AK37" s="7795" t="s"/>
    </row>
    <row hidden="false" ht="15.75" outlineLevel="0" r="38">
      <c r="A38" s="1202" t="s">
        <v>3949</v>
      </c>
      <c r="B38" s="92" t="str">
        <f aca="false" ca="false" dt2D="false" dtr="false" t="normal">RIGHT(D387, 1)&amp;E387&amp;F387&amp;G387&amp;H384&amp;I384&amp;J384&amp;K384&amp;L384&amp;M384</f>
        <v>7A5G1I30000000000E2</v>
      </c>
      <c r="C38" s="98" t="s">
        <v>176</v>
      </c>
      <c r="D38" s="122" t="s">
        <v>177</v>
      </c>
      <c r="E38" s="123" t="s">
        <v>3892</v>
      </c>
      <c r="F38" s="123" t="s">
        <v>179</v>
      </c>
      <c r="G38" s="124" t="s">
        <v>342</v>
      </c>
      <c r="H38" s="273" t="n">
        <f aca="false" ca="false" dt2D="false" dtr="false" t="normal">MID($A$7, 8, 2)</f>
        <v>0</v>
      </c>
      <c r="I38" s="7626" t="n">
        <f aca="false" ca="false" dt2D="false" dtr="false" t="normal">MID($A$7, 10, 2)</f>
        <v>0</v>
      </c>
      <c r="J38" s="7626" t="n">
        <f aca="false" ca="false" dt2D="false" dtr="false" t="normal">MID($A$7, 12, 2)</f>
        <v>0</v>
      </c>
      <c r="K38" s="7626" t="n">
        <f aca="false" ca="false" dt2D="false" dtr="false" t="normal">MID($A$7, 14, 2)</f>
        <v>0</v>
      </c>
      <c r="L38" s="7627" t="n">
        <f aca="false" ca="false" dt2D="false" dtr="false" t="normal">MID($A$7, 16, 2)</f>
        <v>0</v>
      </c>
      <c r="M38" s="7553" t="str">
        <f aca="false" ca="false" dt2D="false" dtr="false" t="normal">MID($A$7, 18, 2)</f>
        <v>B1</v>
      </c>
      <c r="N38" s="63" t="s">
        <v>180</v>
      </c>
      <c r="P38" s="129" t="s">
        <v>180</v>
      </c>
      <c r="Q38" s="130" t="s">
        <v>181</v>
      </c>
      <c r="R38" s="121" t="s">
        <v>182</v>
      </c>
      <c r="S38" s="131" t="n"/>
      <c r="T38" s="129" t="s">
        <v>180</v>
      </c>
      <c r="U38" s="130" t="s">
        <v>181</v>
      </c>
      <c r="V38" s="121" t="s">
        <v>182</v>
      </c>
      <c r="W38" s="131" t="n"/>
      <c r="X38" s="129" t="s">
        <v>180</v>
      </c>
      <c r="Y38" s="130" t="s">
        <v>181</v>
      </c>
      <c r="Z38" s="121" t="s">
        <v>182</v>
      </c>
      <c r="AA38" s="131" t="n"/>
      <c r="AB38" s="129" t="s">
        <v>180</v>
      </c>
      <c r="AC38" s="130" t="s">
        <v>181</v>
      </c>
      <c r="AD38" s="121" t="s">
        <v>182</v>
      </c>
      <c r="AE38" s="131" t="n"/>
      <c r="AF38" s="129" t="s">
        <v>180</v>
      </c>
      <c r="AG38" s="130" t="s">
        <v>181</v>
      </c>
      <c r="AH38" s="121" t="s">
        <v>182</v>
      </c>
      <c r="AI38" s="121" t="n"/>
      <c r="AJ38" s="116" t="s">
        <v>183</v>
      </c>
      <c r="AK38" s="7796" t="s"/>
    </row>
    <row hidden="false" ht="15" outlineLevel="0" r="39">
      <c r="A39" s="1202" t="s">
        <v>3950</v>
      </c>
      <c r="B39" s="92" t="str">
        <f aca="false" ca="false" dt2D="false" dtr="false" t="normal">RIGHT(D398, 1)&amp;E398&amp;F398&amp;G398&amp;H395&amp;I395&amp;J395&amp;K395&amp;L395&amp;M395</f>
        <v>7A5G1I40000000000E3</v>
      </c>
      <c r="C39" s="98" t="s">
        <v>185</v>
      </c>
      <c r="D39" s="149" t="n">
        <f aca="false" ca="false" dt2D="false" dtr="false" t="normal">HEX2BIN(D38, 8)</f>
        <v>111</v>
      </c>
      <c r="E39" s="149" t="n">
        <f aca="false" ca="false" dt2D="false" dtr="false" t="normal">HEX2BIN(E38, 8)</f>
        <v>10100101</v>
      </c>
      <c r="F39" s="149" t="n">
        <f aca="false" ca="false" dt2D="false" dtr="false" t="normal">HEX2BIN(F38, 8)</f>
        <v>1</v>
      </c>
      <c r="G39" s="149" t="n">
        <f aca="false" ca="false" dt2D="false" dtr="false" t="normal">HEX2BIN(G38, 8)</f>
        <v>100</v>
      </c>
      <c r="H39" s="53" t="n">
        <f aca="false" ca="false" dt2D="false" dtr="false" t="normal">HEX2BIN(H38, 8)</f>
        <v>0</v>
      </c>
      <c r="I39" s="53" t="n">
        <f aca="false" ca="false" dt2D="false" dtr="false" t="normal">HEX2BIN(I38, 8)</f>
        <v>0</v>
      </c>
      <c r="J39" s="53" t="n">
        <f aca="false" ca="false" dt2D="false" dtr="false" t="normal">HEX2BIN(J38, 8)</f>
        <v>0</v>
      </c>
      <c r="K39" s="53" t="n">
        <f aca="false" ca="false" dt2D="false" dtr="false" t="normal">HEX2BIN(K38, 8)</f>
        <v>0</v>
      </c>
      <c r="L39" s="53" t="n">
        <f aca="false" ca="false" dt2D="false" dtr="false" t="normal">HEX2BIN(L38, 8)</f>
        <v>0</v>
      </c>
      <c r="M39" s="53" t="n"/>
      <c r="N39" s="63" t="n"/>
      <c r="P39" s="136" t="n">
        <f aca="false" ca="false" dt2D="false" dtr="false" t="normal">MID(H39, 1, 1)</f>
        <v>0</v>
      </c>
      <c r="Q39" s="137" t="n">
        <f aca="false" ca="false" dt2D="false" dtr="false" t="normal">P39</f>
        <v>0</v>
      </c>
      <c r="R39" s="120" t="s">
        <v>186</v>
      </c>
      <c r="S39" s="131" t="s">
        <v>196</v>
      </c>
      <c r="T39" s="136" t="n">
        <f aca="false" ca="false" dt2D="false" dtr="false" t="normal">MID(I39, 1, 1)</f>
        <v>0</v>
      </c>
      <c r="U39" s="137" t="n">
        <f aca="false" ca="false" dt2D="false" dtr="false" t="normal">T39</f>
        <v>0</v>
      </c>
      <c r="V39" s="120" t="s">
        <v>186</v>
      </c>
      <c r="W39" s="131" t="s">
        <v>196</v>
      </c>
      <c r="X39" s="136" t="n">
        <f aca="false" ca="false" dt2D="false" dtr="false" t="normal">MID(J39, 1, 1)</f>
        <v>0</v>
      </c>
      <c r="Y39" s="137" t="n">
        <f aca="false" ca="false" dt2D="false" dtr="false" t="normal">X39</f>
        <v>0</v>
      </c>
      <c r="Z39" s="120" t="s">
        <v>186</v>
      </c>
      <c r="AA39" s="131" t="s">
        <v>196</v>
      </c>
      <c r="AB39" s="136" t="n">
        <f aca="false" ca="false" dt2D="false" dtr="false" t="normal">MID(K39, 1, 1)</f>
        <v>0</v>
      </c>
      <c r="AC39" s="137" t="n">
        <f aca="false" ca="false" dt2D="false" dtr="false" t="normal">AB39</f>
        <v>0</v>
      </c>
      <c r="AD39" s="120" t="s">
        <v>186</v>
      </c>
      <c r="AE39" s="131" t="s">
        <v>196</v>
      </c>
      <c r="AF39" s="136" t="n">
        <f aca="false" ca="false" dt2D="false" dtr="false" t="normal">MID(L39, 1, 1)</f>
        <v>0</v>
      </c>
      <c r="AG39" s="137" t="n">
        <f aca="false" ca="false" dt2D="false" dtr="false" t="normal">AF39</f>
        <v>0</v>
      </c>
      <c r="AH39" s="120" t="s">
        <v>186</v>
      </c>
      <c r="AI39" s="131" t="s">
        <v>196</v>
      </c>
      <c r="AJ39" s="7797" t="s"/>
      <c r="AK39" s="7798" t="s"/>
    </row>
    <row hidden="false" ht="15" outlineLevel="0" r="40">
      <c r="A40" s="1202" t="s">
        <v>3951</v>
      </c>
      <c r="B40" s="92" t="str">
        <f aca="false" ca="false" dt2D="false" dtr="false" t="normal">RIGHT(D409, 1)&amp;E409&amp;F409&amp;G409&amp;H406&amp;I406&amp;J406&amp;K406&amp;L406&amp;M406</f>
        <v>7A5G1I50000000000E4</v>
      </c>
      <c r="C40" s="98" t="s">
        <v>191</v>
      </c>
      <c r="D40" s="149" t="n">
        <f aca="false" ca="false" dt2D="false" dtr="false" t="normal">HEX2DEC(D38)</f>
        <v>7</v>
      </c>
      <c r="E40" s="149" t="n">
        <f aca="false" ca="false" dt2D="false" dtr="false" t="normal">HEX2DEC(E38)</f>
        <v>165</v>
      </c>
      <c r="F40" s="149" t="n">
        <f aca="false" ca="false" dt2D="false" dtr="false" t="normal">HEX2DEC(F38)</f>
        <v>1</v>
      </c>
      <c r="G40" s="149" t="n">
        <f aca="false" ca="false" dt2D="false" dtr="false" t="normal">HEX2DEC(G38)</f>
        <v>4</v>
      </c>
      <c r="H40" s="53" t="n">
        <f aca="false" ca="false" dt2D="false" dtr="false" t="normal">HEX2DEC(H38)</f>
        <v>0</v>
      </c>
      <c r="I40" s="53" t="n">
        <f aca="false" ca="false" dt2D="false" dtr="false" t="normal">HEX2DEC(I38)</f>
        <v>0</v>
      </c>
      <c r="J40" s="53" t="n">
        <f aca="false" ca="false" dt2D="false" dtr="false" t="normal">HEX2DEC(J38)</f>
        <v>0</v>
      </c>
      <c r="K40" s="53" t="n">
        <f aca="false" ca="false" dt2D="false" dtr="false" t="normal">HEX2DEC(K38)</f>
        <v>0</v>
      </c>
      <c r="L40" s="53" t="n">
        <f aca="false" ca="false" dt2D="false" dtr="false" t="normal">HEX2DEC(L38)</f>
        <v>0</v>
      </c>
      <c r="M40" s="53" t="n">
        <f aca="false" ca="false" dt2D="false" dtr="false" t="normal">SUM(D40:L40)</f>
        <v>177</v>
      </c>
      <c r="N40" s="63" t="n"/>
      <c r="P40" s="136" t="n">
        <f aca="false" ca="false" dt2D="false" dtr="false" t="normal">MID(H39, 2, 1)</f>
        <v>0</v>
      </c>
      <c r="Q40" s="137" t="n">
        <f aca="false" ca="false" dt2D="false" dtr="false" t="normal">P40</f>
        <v>0</v>
      </c>
      <c r="R40" s="120" t="s">
        <v>192</v>
      </c>
      <c r="S40" s="131" t="s">
        <v>196</v>
      </c>
      <c r="T40" s="136" t="n">
        <f aca="false" ca="false" dt2D="false" dtr="false" t="normal">MID(I39, 2, 1)</f>
        <v>0</v>
      </c>
      <c r="U40" s="137" t="n">
        <f aca="false" ca="false" dt2D="false" dtr="false" t="normal">T40</f>
        <v>0</v>
      </c>
      <c r="V40" s="120" t="s">
        <v>192</v>
      </c>
      <c r="W40" s="131" t="s">
        <v>196</v>
      </c>
      <c r="X40" s="136" t="n">
        <f aca="false" ca="false" dt2D="false" dtr="false" t="normal">MID(J39, 2, 1)</f>
        <v>0</v>
      </c>
      <c r="Y40" s="137" t="n">
        <f aca="false" ca="false" dt2D="false" dtr="false" t="normal">X40</f>
        <v>0</v>
      </c>
      <c r="Z40" s="120" t="s">
        <v>192</v>
      </c>
      <c r="AA40" s="131" t="s">
        <v>196</v>
      </c>
      <c r="AB40" s="136" t="n">
        <f aca="false" ca="false" dt2D="false" dtr="false" t="normal">MID(K39, 2, 1)</f>
        <v>0</v>
      </c>
      <c r="AC40" s="137" t="n">
        <f aca="false" ca="false" dt2D="false" dtr="false" t="normal">AB40</f>
        <v>0</v>
      </c>
      <c r="AD40" s="120" t="s">
        <v>192</v>
      </c>
      <c r="AE40" s="131" t="s">
        <v>196</v>
      </c>
      <c r="AF40" s="136" t="n">
        <f aca="false" ca="false" dt2D="false" dtr="false" t="normal">MID(L39, 2, 1)</f>
        <v>0</v>
      </c>
      <c r="AG40" s="137" t="n">
        <f aca="false" ca="false" dt2D="false" dtr="false" t="normal">AF40</f>
        <v>0</v>
      </c>
      <c r="AH40" s="120" t="s">
        <v>192</v>
      </c>
      <c r="AI40" s="131" t="s">
        <v>196</v>
      </c>
      <c r="AJ40" s="7799" t="s"/>
      <c r="AK40" s="7800" t="s"/>
    </row>
    <row hidden="false" ht="15" outlineLevel="0" r="41">
      <c r="A41" s="1202" t="s">
        <v>3952</v>
      </c>
      <c r="B41" s="92" t="str">
        <f aca="false" ca="false" dt2D="false" dtr="false" t="normal">RIGHT(D420, 1)&amp;E420&amp;F420&amp;G420&amp;H417&amp;I417&amp;J417&amp;K417&amp;L417&amp;M417</f>
        <v>7A5G1I60000000000E5</v>
      </c>
      <c r="C41" s="98" t="s">
        <v>194</v>
      </c>
      <c r="D41" s="149" t="n">
        <f aca="false" ca="false" dt2D="false" dtr="false" t="normal">D38</f>
        <v>7</v>
      </c>
      <c r="E41" s="149" t="str">
        <f aca="false" ca="false" dt2D="false" dtr="false" t="normal">E38</f>
        <v>A5</v>
      </c>
      <c r="F41" s="149" t="str">
        <f aca="false" ca="false" dt2D="false" dtr="false" t="normal">MID($A$7, 4, 2)</f>
        <v>G1</v>
      </c>
      <c r="G41" s="149" t="str">
        <f aca="false" ca="false" dt2D="false" dtr="false" t="normal">MID($A$7, 6, 2)</f>
        <v>G4</v>
      </c>
      <c r="N41" s="63" t="n"/>
      <c r="P41" s="136" t="n">
        <f aca="false" ca="false" dt2D="false" dtr="false" t="normal">MID(H39, 3, 1)</f>
        <v>0</v>
      </c>
      <c r="Q41" s="137" t="n">
        <f aca="false" ca="false" dt2D="false" dtr="false" t="normal">P41</f>
        <v>0</v>
      </c>
      <c r="R41" s="120" t="s">
        <v>195</v>
      </c>
      <c r="S41" s="131" t="s">
        <v>196</v>
      </c>
      <c r="T41" s="136" t="n">
        <f aca="false" ca="false" dt2D="false" dtr="false" t="normal">MID(I39, 3, 1)</f>
        <v>0</v>
      </c>
      <c r="U41" s="137" t="n">
        <f aca="false" ca="false" dt2D="false" dtr="false" t="normal">T41</f>
        <v>0</v>
      </c>
      <c r="V41" s="120" t="s">
        <v>195</v>
      </c>
      <c r="W41" s="131" t="s">
        <v>196</v>
      </c>
      <c r="X41" s="136" t="n">
        <f aca="false" ca="false" dt2D="false" dtr="false" t="normal">MID(J39, 3, 1)</f>
        <v>0</v>
      </c>
      <c r="Y41" s="137" t="n">
        <f aca="false" ca="false" dt2D="false" dtr="false" t="normal">X41</f>
        <v>0</v>
      </c>
      <c r="Z41" s="120" t="s">
        <v>195</v>
      </c>
      <c r="AA41" s="131" t="s">
        <v>196</v>
      </c>
      <c r="AB41" s="136" t="n">
        <f aca="false" ca="false" dt2D="false" dtr="false" t="normal">MID(K39, 3, 1)</f>
        <v>0</v>
      </c>
      <c r="AC41" s="137" t="n">
        <f aca="false" ca="false" dt2D="false" dtr="false" t="normal">AB41</f>
        <v>0</v>
      </c>
      <c r="AD41" s="120" t="s">
        <v>195</v>
      </c>
      <c r="AE41" s="131" t="s">
        <v>196</v>
      </c>
      <c r="AF41" s="136" t="n">
        <f aca="false" ca="false" dt2D="false" dtr="false" t="normal">MID(L39, 3, 1)</f>
        <v>0</v>
      </c>
      <c r="AG41" s="137" t="n">
        <f aca="false" ca="false" dt2D="false" dtr="false" t="normal">AF41</f>
        <v>0</v>
      </c>
      <c r="AH41" s="120" t="s">
        <v>195</v>
      </c>
      <c r="AI41" s="131" t="s">
        <v>196</v>
      </c>
      <c r="AJ41" s="7801" t="s"/>
      <c r="AK41" s="7802" t="s"/>
    </row>
    <row hidden="false" ht="15.75" outlineLevel="0" r="42">
      <c r="A42" s="1202" t="s">
        <v>3953</v>
      </c>
      <c r="B42" s="92" t="str">
        <f aca="false" ca="false" dt2D="false" dtr="false" t="normal">RIGHT(D431, 1)&amp;E431&amp;F431&amp;G431&amp;H428&amp;I428&amp;J428&amp;K428&amp;L428&amp;M428</f>
        <v>7A5G1I70000000000E6</v>
      </c>
      <c r="C42" s="98" t="n"/>
      <c r="N42" s="63" t="n"/>
      <c r="P42" s="136" t="n">
        <f aca="false" ca="false" dt2D="false" dtr="false" t="normal">MID(H39, 4, 1)</f>
        <v>0</v>
      </c>
      <c r="Q42" s="137" t="n">
        <f aca="false" ca="false" dt2D="false" dtr="false" t="normal">P42</f>
        <v>0</v>
      </c>
      <c r="R42" s="120" t="s">
        <v>197</v>
      </c>
      <c r="S42" s="131" t="s">
        <v>196</v>
      </c>
      <c r="T42" s="136" t="n">
        <f aca="false" ca="false" dt2D="false" dtr="false" t="normal">MID(I39, 4, 1)</f>
        <v>0</v>
      </c>
      <c r="U42" s="137" t="n">
        <f aca="false" ca="false" dt2D="false" dtr="false" t="normal">T42</f>
        <v>0</v>
      </c>
      <c r="V42" s="120" t="s">
        <v>197</v>
      </c>
      <c r="W42" s="131" t="s">
        <v>196</v>
      </c>
      <c r="X42" s="136" t="n">
        <f aca="false" ca="false" dt2D="false" dtr="false" t="normal">MID(J39, 4, 1)</f>
        <v>0</v>
      </c>
      <c r="Y42" s="137" t="n">
        <f aca="false" ca="false" dt2D="false" dtr="false" t="normal">X42</f>
        <v>0</v>
      </c>
      <c r="Z42" s="120" t="s">
        <v>197</v>
      </c>
      <c r="AA42" s="131" t="s">
        <v>196</v>
      </c>
      <c r="AB42" s="136" t="n">
        <f aca="false" ca="false" dt2D="false" dtr="false" t="normal">MID(K39, 4, 1)</f>
        <v>0</v>
      </c>
      <c r="AC42" s="137" t="n">
        <f aca="false" ca="false" dt2D="false" dtr="false" t="normal">AB42</f>
        <v>0</v>
      </c>
      <c r="AD42" s="120" t="s">
        <v>197</v>
      </c>
      <c r="AE42" s="131" t="s">
        <v>196</v>
      </c>
      <c r="AF42" s="136" t="n">
        <f aca="false" ca="false" dt2D="false" dtr="false" t="normal">MID(L39, 4, 1)</f>
        <v>0</v>
      </c>
      <c r="AG42" s="137" t="n">
        <f aca="false" ca="false" dt2D="false" dtr="false" t="normal">AF42</f>
        <v>0</v>
      </c>
      <c r="AH42" s="120" t="s">
        <v>197</v>
      </c>
      <c r="AI42" s="131" t="s">
        <v>196</v>
      </c>
      <c r="AJ42" s="7803" t="s"/>
      <c r="AK42" s="7804" t="s"/>
    </row>
    <row hidden="false" ht="15.75" outlineLevel="0" r="43">
      <c r="A43" s="1202" t="s">
        <v>3954</v>
      </c>
      <c r="B43" s="92" t="str">
        <f aca="false" ca="false" dt2D="false" dtr="false" t="normal">RIGHT(D442, 1)&amp;E442&amp;F442&amp;G442&amp;H439&amp;I439&amp;J439&amp;K439&amp;L439&amp;M439</f>
        <v>7A5G1I80000000000ED</v>
      </c>
      <c r="C43" s="98" t="s">
        <v>176</v>
      </c>
      <c r="D43" s="122" t="n">
        <f aca="false" ca="false" dt2D="false" dtr="false" t="normal">D38</f>
        <v>7</v>
      </c>
      <c r="E43" s="123" t="str">
        <f aca="false" ca="false" dt2D="false" dtr="false" t="normal">E38</f>
        <v>A5</v>
      </c>
      <c r="F43" s="123" t="n">
        <f aca="false" ca="false" dt2D="false" dtr="false" t="normal">F38</f>
        <v>1</v>
      </c>
      <c r="G43" s="124" t="n">
        <f aca="false" ca="false" dt2D="false" dtr="false" t="normal">G38</f>
        <v>4</v>
      </c>
      <c r="H43" s="162" t="n">
        <f aca="false" ca="false" dt2D="false" dtr="false" t="normal">BIN2HEX(H44, 2)</f>
        <v>0</v>
      </c>
      <c r="I43" s="163" t="n">
        <f aca="false" ca="false" dt2D="false" dtr="false" t="normal">BIN2HEX(I44, 2)</f>
        <v>0</v>
      </c>
      <c r="J43" s="164" t="n">
        <f aca="false" ca="false" dt2D="false" dtr="false" t="normal">BIN2HEX(J44, 2)</f>
        <v>0</v>
      </c>
      <c r="K43" s="165" t="n">
        <f aca="false" ca="false" dt2D="false" dtr="false" t="normal">BIN2HEX(K44, 2)</f>
        <v>0</v>
      </c>
      <c r="L43" s="288" t="n">
        <f aca="false" ca="false" dt2D="false" dtr="false" t="normal">BIN2HEX(L44, 2)</f>
        <v>0</v>
      </c>
      <c r="M43" s="166" t="str">
        <f aca="false" ca="false" dt2D="false" dtr="false" t="normal">IF(LEN(M44)&gt;2, MID(M44, 2, 2), M44)</f>
        <v>B1</v>
      </c>
      <c r="N43" s="63" t="s">
        <v>181</v>
      </c>
      <c r="P43" s="136" t="n">
        <f aca="false" ca="false" dt2D="false" dtr="false" t="normal">MID(H39, 5, 1)</f>
        <v>0</v>
      </c>
      <c r="Q43" s="137" t="n">
        <f aca="false" ca="false" dt2D="false" dtr="false" t="normal">P43</f>
        <v>0</v>
      </c>
      <c r="R43" s="120" t="s">
        <v>200</v>
      </c>
      <c r="S43" s="131" t="s">
        <v>196</v>
      </c>
      <c r="T43" s="136" t="n">
        <f aca="false" ca="false" dt2D="false" dtr="false" t="normal">MID(I39, 5, 1)</f>
        <v>0</v>
      </c>
      <c r="U43" s="137" t="n">
        <f aca="false" ca="false" dt2D="false" dtr="false" t="normal">T43</f>
        <v>0</v>
      </c>
      <c r="V43" s="120" t="s">
        <v>200</v>
      </c>
      <c r="W43" s="131" t="s">
        <v>196</v>
      </c>
      <c r="X43" s="136" t="n">
        <f aca="false" ca="false" dt2D="false" dtr="false" t="normal">MID(J39, 5, 1)</f>
        <v>0</v>
      </c>
      <c r="Y43" s="137" t="n">
        <f aca="false" ca="false" dt2D="false" dtr="false" t="normal">X43</f>
        <v>0</v>
      </c>
      <c r="Z43" s="120" t="s">
        <v>200</v>
      </c>
      <c r="AA43" s="131" t="s">
        <v>196</v>
      </c>
      <c r="AB43" s="136" t="n">
        <f aca="false" ca="false" dt2D="false" dtr="false" t="normal">MID(K39, 5, 1)</f>
        <v>0</v>
      </c>
      <c r="AC43" s="137" t="n">
        <f aca="false" ca="false" dt2D="false" dtr="false" t="normal">AB43</f>
        <v>0</v>
      </c>
      <c r="AD43" s="120" t="s">
        <v>200</v>
      </c>
      <c r="AE43" s="131" t="s">
        <v>196</v>
      </c>
      <c r="AF43" s="136" t="n">
        <f aca="false" ca="false" dt2D="false" dtr="false" t="normal">MID(L39, 5, 1)</f>
        <v>0</v>
      </c>
      <c r="AG43" s="137" t="n">
        <f aca="false" ca="false" dt2D="false" dtr="false" t="normal">AF43</f>
        <v>0</v>
      </c>
      <c r="AH43" s="120" t="s">
        <v>200</v>
      </c>
      <c r="AI43" s="131" t="s">
        <v>196</v>
      </c>
      <c r="AJ43" s="7805" t="s"/>
      <c r="AK43" s="7806" t="s"/>
    </row>
    <row hidden="false" ht="15" outlineLevel="0" r="44">
      <c r="A44" s="1202" t="s">
        <v>3955</v>
      </c>
      <c r="B44" s="92" t="str">
        <f aca="false" ca="false" dt2D="false" dtr="false" t="normal">RIGHT(D453, 1)&amp;E453&amp;F453&amp;G453&amp;H450&amp;I450&amp;J450&amp;K450&amp;L450&amp;M450</f>
        <v>7A5G1I90000000000EE</v>
      </c>
      <c r="C44" s="98" t="s">
        <v>185</v>
      </c>
      <c r="D44" s="149" t="n">
        <f aca="false" ca="false" dt2D="false" dtr="false" t="normal">HEX2BIN(D43, 8)</f>
        <v>111</v>
      </c>
      <c r="E44" s="149" t="n">
        <f aca="false" ca="false" dt2D="false" dtr="false" t="normal">HEX2BIN(E43, 8)</f>
        <v>10100101</v>
      </c>
      <c r="F44" s="149" t="n">
        <f aca="false" ca="false" dt2D="false" dtr="false" t="normal">HEX2BIN(F43, 8)</f>
        <v>1</v>
      </c>
      <c r="G44" s="149" t="n">
        <f aca="false" ca="false" dt2D="false" dtr="false" t="normal">HEX2BIN(G43, 8)</f>
        <v>100</v>
      </c>
      <c r="H44" s="53" t="n">
        <f aca="false" ca="false" dt2D="false" dtr="false" t="normal">Q39&amp;Q40&amp;Q41&amp;Q42&amp;Q43&amp;Q44&amp;Q45&amp;Q46</f>
        <v>0</v>
      </c>
      <c r="I44" s="53" t="n">
        <f aca="false" ca="false" dt2D="false" dtr="false" t="normal">U39&amp;U40&amp;U41&amp;U42&amp;U43&amp;U44&amp;U45&amp;U46</f>
        <v>0</v>
      </c>
      <c r="J44" s="53" t="n">
        <f aca="false" ca="false" dt2D="false" dtr="false" t="normal">Y39&amp;Y40&amp;Y41&amp;Y42&amp;Y43&amp;Y44&amp;Y45&amp;Y46</f>
        <v>0</v>
      </c>
      <c r="K44" s="53" t="n">
        <f aca="false" ca="false" dt2D="false" dtr="false" t="normal">AC39&amp;AC40&amp;AC41&amp;AC42&amp;AC43&amp;AC44&amp;AC45&amp;AC46</f>
        <v>0</v>
      </c>
      <c r="L44" s="53" t="n">
        <f aca="false" ca="false" dt2D="false" dtr="false" t="normal">AG39&amp;AG40&amp;AG41&amp;AG42&amp;AG43&amp;AG44&amp;AG45&amp;AG46</f>
        <v>0</v>
      </c>
      <c r="M44" s="53" t="str">
        <f aca="false" ca="false" dt2D="false" dtr="false" t="normal">DEC2HEX(M45)</f>
        <v>B1</v>
      </c>
      <c r="N44" s="63" t="n"/>
      <c r="P44" s="136" t="n">
        <f aca="false" ca="false" dt2D="false" dtr="false" t="normal">MID(H39, 6, 1)</f>
        <v>0</v>
      </c>
      <c r="Q44" s="137" t="n">
        <f aca="false" ca="false" dt2D="false" dtr="false" t="normal">P44</f>
        <v>0</v>
      </c>
      <c r="R44" s="120" t="s">
        <v>203</v>
      </c>
      <c r="S44" s="131" t="s">
        <v>196</v>
      </c>
      <c r="T44" s="136" t="n">
        <f aca="false" ca="false" dt2D="false" dtr="false" t="normal">MID(I39, 6, 1)</f>
        <v>0</v>
      </c>
      <c r="U44" s="137" t="n">
        <f aca="false" ca="false" dt2D="false" dtr="false" t="normal">T44</f>
        <v>0</v>
      </c>
      <c r="V44" s="120" t="s">
        <v>203</v>
      </c>
      <c r="W44" s="131" t="s">
        <v>196</v>
      </c>
      <c r="X44" s="136" t="n">
        <f aca="false" ca="false" dt2D="false" dtr="false" t="normal">MID(J39, 6, 1)</f>
        <v>0</v>
      </c>
      <c r="Y44" s="137" t="n">
        <f aca="false" ca="false" dt2D="false" dtr="false" t="normal">X44</f>
        <v>0</v>
      </c>
      <c r="Z44" s="120" t="s">
        <v>203</v>
      </c>
      <c r="AA44" s="131" t="s">
        <v>196</v>
      </c>
      <c r="AB44" s="136" t="n">
        <f aca="false" ca="false" dt2D="false" dtr="false" t="normal">MID(K39, 6, 1)</f>
        <v>0</v>
      </c>
      <c r="AC44" s="137" t="n">
        <f aca="false" ca="false" dt2D="false" dtr="false" t="normal">AB44</f>
        <v>0</v>
      </c>
      <c r="AD44" s="120" t="s">
        <v>203</v>
      </c>
      <c r="AE44" s="131" t="s">
        <v>196</v>
      </c>
      <c r="AF44" s="136" t="n">
        <f aca="false" ca="false" dt2D="false" dtr="false" t="normal">MID(L39, 6, 1)</f>
        <v>0</v>
      </c>
      <c r="AG44" s="137" t="n">
        <f aca="false" ca="false" dt2D="false" dtr="false" t="normal">AF44</f>
        <v>0</v>
      </c>
      <c r="AH44" s="120" t="s">
        <v>203</v>
      </c>
      <c r="AI44" s="131" t="s">
        <v>196</v>
      </c>
      <c r="AJ44" s="7807" t="s"/>
      <c r="AK44" s="7808" t="s"/>
    </row>
    <row hidden="false" ht="15" outlineLevel="0" r="45">
      <c r="A45" s="1202" t="s">
        <v>3956</v>
      </c>
      <c r="B45" s="92" t="str">
        <f aca="false" ca="false" dt2D="false" dtr="false" t="normal">RIGHT(D464, 1)&amp;E464&amp;F464&amp;G464&amp;H461&amp;I461&amp;J461&amp;K461&amp;L461&amp;M461</f>
        <v>7A5G1IA0000000000EF</v>
      </c>
      <c r="C45" s="98" t="s">
        <v>191</v>
      </c>
      <c r="D45" s="149" t="n">
        <f aca="false" ca="false" dt2D="false" dtr="false" t="normal">HEX2DEC(D43)</f>
        <v>7</v>
      </c>
      <c r="E45" s="149" t="n">
        <f aca="false" ca="false" dt2D="false" dtr="false" t="normal">HEX2DEC(E43)</f>
        <v>165</v>
      </c>
      <c r="F45" s="149" t="n">
        <f aca="false" ca="false" dt2D="false" dtr="false" t="normal">HEX2DEC(F43)</f>
        <v>1</v>
      </c>
      <c r="G45" s="149" t="n">
        <f aca="false" ca="false" dt2D="false" dtr="false" t="normal">HEX2DEC(G43)</f>
        <v>4</v>
      </c>
      <c r="H45" s="53" t="n">
        <f aca="false" ca="false" dt2D="false" dtr="false" t="normal">HEX2DEC(H43)</f>
        <v>0</v>
      </c>
      <c r="I45" s="53" t="n">
        <f aca="false" ca="false" dt2D="false" dtr="false" t="normal">HEX2DEC(I43)</f>
        <v>0</v>
      </c>
      <c r="J45" s="53" t="n">
        <f aca="false" ca="false" dt2D="false" dtr="false" t="normal">HEX2DEC(J43)</f>
        <v>0</v>
      </c>
      <c r="K45" s="53" t="n">
        <f aca="false" ca="false" dt2D="false" dtr="false" t="normal">HEX2DEC(K43)</f>
        <v>0</v>
      </c>
      <c r="L45" s="53" t="n">
        <f aca="false" ca="false" dt2D="false" dtr="false" t="normal">HEX2DEC(L43)</f>
        <v>0</v>
      </c>
      <c r="M45" s="53" t="n">
        <f aca="false" ca="false" dt2D="false" dtr="false" t="normal">SUM(D45:L45)</f>
        <v>177</v>
      </c>
      <c r="N45" s="63" t="n"/>
      <c r="P45" s="136" t="n">
        <f aca="false" ca="false" dt2D="false" dtr="false" t="normal">MID(H39, 7, 1)</f>
        <v>0</v>
      </c>
      <c r="Q45" s="137" t="n">
        <f aca="false" ca="false" dt2D="false" dtr="false" t="normal">P45</f>
        <v>0</v>
      </c>
      <c r="R45" s="120" t="s">
        <v>206</v>
      </c>
      <c r="S45" s="131" t="s">
        <v>196</v>
      </c>
      <c r="T45" s="136" t="n">
        <f aca="false" ca="false" dt2D="false" dtr="false" t="normal">MID(I39, 7, 1)</f>
        <v>0</v>
      </c>
      <c r="U45" s="137" t="n">
        <f aca="false" ca="false" dt2D="false" dtr="false" t="normal">T45</f>
        <v>0</v>
      </c>
      <c r="V45" s="120" t="s">
        <v>206</v>
      </c>
      <c r="W45" s="131" t="s">
        <v>196</v>
      </c>
      <c r="X45" s="136" t="n">
        <f aca="false" ca="false" dt2D="false" dtr="false" t="normal">MID(J39, 7, 1)</f>
        <v>0</v>
      </c>
      <c r="Y45" s="137" t="n">
        <f aca="false" ca="false" dt2D="false" dtr="false" t="normal">X45</f>
        <v>0</v>
      </c>
      <c r="Z45" s="120" t="s">
        <v>206</v>
      </c>
      <c r="AA45" s="131" t="s">
        <v>196</v>
      </c>
      <c r="AB45" s="136" t="n">
        <f aca="false" ca="false" dt2D="false" dtr="false" t="normal">MID(K39, 7, 1)</f>
        <v>0</v>
      </c>
      <c r="AC45" s="137" t="n">
        <f aca="false" ca="false" dt2D="false" dtr="false" t="normal">AB45</f>
        <v>0</v>
      </c>
      <c r="AD45" s="120" t="s">
        <v>206</v>
      </c>
      <c r="AE45" s="131" t="s">
        <v>196</v>
      </c>
      <c r="AF45" s="136" t="n">
        <f aca="false" ca="false" dt2D="false" dtr="false" t="normal">MID(L39, 7, 1)</f>
        <v>0</v>
      </c>
      <c r="AG45" s="137" t="n">
        <f aca="false" ca="false" dt2D="false" dtr="false" t="normal">AF45</f>
        <v>0</v>
      </c>
      <c r="AH45" s="120" t="s">
        <v>206</v>
      </c>
      <c r="AI45" s="131" t="s">
        <v>196</v>
      </c>
      <c r="AJ45" s="7809" t="s"/>
      <c r="AK45" s="7810" t="s"/>
    </row>
    <row hidden="false" ht="15.75" outlineLevel="0" r="46">
      <c r="A46" s="1202" t="s">
        <v>3957</v>
      </c>
      <c r="B46" s="92" t="str">
        <f aca="false" ca="false" dt2D="false" dtr="false" t="normal">RIGHT(D475, 1)&amp;E475&amp;F475&amp;G475&amp;H472&amp;I472&amp;J472&amp;K472&amp;L472&amp;M472</f>
        <v>7A5G1IB0000000000F0</v>
      </c>
      <c r="C46" s="180" t="s">
        <v>194</v>
      </c>
      <c r="D46" s="181" t="n">
        <f aca="false" ca="false" dt2D="false" dtr="false" t="normal">D41</f>
        <v>7</v>
      </c>
      <c r="E46" s="181" t="str">
        <f aca="false" ca="false" dt2D="false" dtr="false" t="normal">E41</f>
        <v>A5</v>
      </c>
      <c r="F46" s="181" t="str">
        <f aca="false" ca="false" dt2D="false" dtr="false" t="normal">F41</f>
        <v>G1</v>
      </c>
      <c r="G46" s="181" t="str">
        <f aca="false" ca="false" dt2D="false" dtr="false" t="normal">G41</f>
        <v>G4</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5" t="s">
        <v>196</v>
      </c>
      <c r="T46" s="182" t="n">
        <f aca="false" ca="false" dt2D="false" dtr="false" t="normal">MID(I39, 8, 1)</f>
        <v>0</v>
      </c>
      <c r="U46" s="183" t="n">
        <f aca="false" ca="false" dt2D="false" dtr="false" t="normal">T46</f>
        <v>0</v>
      </c>
      <c r="V46" s="184" t="s">
        <v>208</v>
      </c>
      <c r="W46" s="185" t="s">
        <v>196</v>
      </c>
      <c r="X46" s="182" t="n">
        <f aca="false" ca="false" dt2D="false" dtr="false" t="normal">MID(J39, 8, 1)</f>
        <v>0</v>
      </c>
      <c r="Y46" s="183" t="n">
        <f aca="false" ca="false" dt2D="false" dtr="false" t="normal">X46</f>
        <v>0</v>
      </c>
      <c r="Z46" s="184" t="s">
        <v>208</v>
      </c>
      <c r="AA46" s="185" t="s">
        <v>196</v>
      </c>
      <c r="AB46" s="182" t="n">
        <f aca="false" ca="false" dt2D="false" dtr="false" t="normal">MID(K39, 8, 1)</f>
        <v>0</v>
      </c>
      <c r="AC46" s="183" t="n">
        <f aca="false" ca="false" dt2D="false" dtr="false" t="normal">AB46</f>
        <v>0</v>
      </c>
      <c r="AD46" s="184" t="s">
        <v>208</v>
      </c>
      <c r="AE46" s="185" t="s">
        <v>196</v>
      </c>
      <c r="AF46" s="182" t="n">
        <f aca="false" ca="false" dt2D="false" dtr="false" t="normal">MID(L39, 8, 1)</f>
        <v>0</v>
      </c>
      <c r="AG46" s="183" t="n">
        <f aca="false" ca="false" dt2D="false" dtr="false" t="normal">AF46</f>
        <v>0</v>
      </c>
      <c r="AH46" s="184" t="s">
        <v>208</v>
      </c>
      <c r="AI46" s="185" t="s">
        <v>196</v>
      </c>
      <c r="AJ46" s="7811" t="s"/>
      <c r="AK46" s="7812" t="s"/>
    </row>
    <row hidden="false" ht="15.75" outlineLevel="0" r="47">
      <c r="A47" s="1202" t="s">
        <v>3958</v>
      </c>
      <c r="B47" s="92" t="str">
        <f aca="false" ca="false" dt2D="false" dtr="false" t="normal">RIGHT(D486, 1)&amp;E486&amp;F486&amp;G486&amp;H483&amp;I483&amp;J483&amp;K483&amp;L483&amp;M483</f>
        <v>7A5G1IC0000000000F1</v>
      </c>
      <c r="C47" s="93" t="n"/>
      <c r="D47" s="7585" t="n"/>
      <c r="E47" s="7585" t="n"/>
      <c r="F47" s="7585" t="n"/>
      <c r="G47" s="7585" t="n"/>
      <c r="H47" s="94" t="n"/>
      <c r="I47" s="94" t="n"/>
      <c r="J47" s="94" t="n"/>
      <c r="K47" s="94" t="n"/>
      <c r="L47" s="94" t="n"/>
      <c r="M47" s="94" t="s">
        <v>161</v>
      </c>
      <c r="N47" s="60" t="n"/>
      <c r="P47" s="95" t="str">
        <f aca="false" ca="false" dt2D="false" dtr="false" t="normal">RIGHT(D49, 1)&amp;E49&amp;"-"&amp;F49&amp;"-"&amp;G49</f>
        <v>7A5-01-05</v>
      </c>
      <c r="Q47" s="7813" t="s"/>
      <c r="R47" s="234" t="s">
        <v>3959</v>
      </c>
      <c r="S47" s="7814" t="s"/>
      <c r="T47" s="7815" t="s"/>
      <c r="U47" s="7816" t="s"/>
      <c r="V47" s="7817" t="s"/>
      <c r="W47" s="7818" t="s"/>
      <c r="X47" s="7819" t="s"/>
      <c r="Y47" s="7820" t="s"/>
      <c r="Z47" s="7821" t="s"/>
      <c r="AA47" s="7822" t="s"/>
      <c r="AB47" s="7823" t="s"/>
      <c r="AC47" s="7824" t="s"/>
      <c r="AD47" s="7825" t="s"/>
      <c r="AE47" s="7826" t="s"/>
      <c r="AF47" s="7827" t="s"/>
      <c r="AG47" s="7828" t="s"/>
      <c r="AH47" s="7829" t="s"/>
      <c r="AI47" s="7830" t="s"/>
      <c r="AJ47" s="7831" t="s"/>
      <c r="AK47" s="7832" t="s"/>
    </row>
    <row hidden="false" ht="15.75" outlineLevel="0" r="48">
      <c r="A48" s="1202" t="s">
        <v>3960</v>
      </c>
      <c r="B48" s="92" t="str">
        <f aca="false" ca="false" dt2D="false" dtr="false" t="normal">RIGHT(D497, 1)&amp;E497&amp;F497&amp;G497&amp;H494&amp;I494&amp;J494&amp;K494&amp;L494&amp;M494</f>
        <v>7A5G1ID0000000000F2</v>
      </c>
      <c r="C48" s="98" t="n"/>
      <c r="D48" s="7606" t="s">
        <v>3961</v>
      </c>
      <c r="E48" s="7833" t="s"/>
      <c r="F48" s="7834" t="s"/>
      <c r="G48" s="7835" t="s"/>
      <c r="H48" s="53" t="s">
        <v>165</v>
      </c>
      <c r="I48" s="53" t="s">
        <v>166</v>
      </c>
      <c r="J48" s="53" t="s">
        <v>167</v>
      </c>
      <c r="K48" s="53" t="s">
        <v>168</v>
      </c>
      <c r="L48" s="53" t="s">
        <v>169</v>
      </c>
      <c r="M48" s="53" t="s">
        <v>221</v>
      </c>
      <c r="N48" s="63" t="n"/>
      <c r="P48" s="103" t="s">
        <v>3962</v>
      </c>
      <c r="Q48" s="7836" t="s"/>
      <c r="R48" s="7837" t="s"/>
      <c r="S48" s="7838" t="s"/>
      <c r="T48" s="103" t="s">
        <v>3963</v>
      </c>
      <c r="U48" s="7839" t="s"/>
      <c r="V48" s="7840" t="s"/>
      <c r="W48" s="7841" t="s"/>
      <c r="X48" s="103" t="s">
        <v>3964</v>
      </c>
      <c r="Y48" s="7842" t="s"/>
      <c r="Z48" s="7843" t="s"/>
      <c r="AA48" s="7844" t="s"/>
      <c r="AB48" s="103" t="s">
        <v>3965</v>
      </c>
      <c r="AC48" s="7845" t="s"/>
      <c r="AD48" s="7846" t="s"/>
      <c r="AE48" s="7847" t="s"/>
      <c r="AF48" s="103" t="s">
        <v>3966</v>
      </c>
      <c r="AG48" s="7848" t="s"/>
      <c r="AH48" s="7849" t="s"/>
      <c r="AI48" s="7850" t="s"/>
      <c r="AJ48" s="116" t="s">
        <v>3967</v>
      </c>
      <c r="AK48" s="7851" t="s"/>
    </row>
    <row hidden="false" ht="15.75" outlineLevel="0" r="49">
      <c r="A49" s="1202" t="s">
        <v>3968</v>
      </c>
      <c r="B49" s="92" t="str">
        <f aca="false" ca="false" dt2D="false" dtr="false" t="normal">RIGHT(D508, 1)&amp;E508&amp;F508&amp;G508&amp;H505&amp;I505&amp;J505&amp;K505&amp;L505&amp;M505</f>
        <v>7A5G1IE0000000000F3</v>
      </c>
      <c r="C49" s="98" t="s">
        <v>176</v>
      </c>
      <c r="D49" s="122" t="s">
        <v>177</v>
      </c>
      <c r="E49" s="123" t="s">
        <v>3892</v>
      </c>
      <c r="F49" s="123" t="s">
        <v>179</v>
      </c>
      <c r="G49" s="124" t="s">
        <v>347</v>
      </c>
      <c r="H49" s="273" t="n">
        <f aca="false" ca="false" dt2D="false" dtr="false" t="normal">MID($A$8, 8, 2)</f>
        <v>0</v>
      </c>
      <c r="I49" s="7626" t="n">
        <f aca="false" ca="false" dt2D="false" dtr="false" t="normal">MID($A$8, 10, 2)</f>
        <v>0</v>
      </c>
      <c r="J49" s="7626" t="n">
        <f aca="false" ca="false" dt2D="false" dtr="false" t="normal">MID($A$8, 12, 2)</f>
        <v>0</v>
      </c>
      <c r="K49" s="7626" t="n">
        <f aca="false" ca="false" dt2D="false" dtr="false" t="normal">MID($A$8, 14, 2)</f>
        <v>0</v>
      </c>
      <c r="L49" s="7627" t="n">
        <f aca="false" ca="false" dt2D="false" dtr="false" t="normal">MID($A$8, 16, 2)</f>
        <v>0</v>
      </c>
      <c r="M49" s="7553" t="str">
        <f aca="false" ca="false" dt2D="false" dtr="false" t="normal">MID($A$8, 18, 2)</f>
        <v>B2</v>
      </c>
      <c r="N49" s="63" t="s">
        <v>180</v>
      </c>
      <c r="P49" s="129" t="s">
        <v>180</v>
      </c>
      <c r="Q49" s="130" t="s">
        <v>181</v>
      </c>
      <c r="R49" s="121" t="s">
        <v>182</v>
      </c>
      <c r="S49" s="131" t="n"/>
      <c r="T49" s="129" t="s">
        <v>180</v>
      </c>
      <c r="U49" s="130" t="s">
        <v>181</v>
      </c>
      <c r="V49" s="121" t="s">
        <v>182</v>
      </c>
      <c r="W49" s="131" t="n"/>
      <c r="X49" s="129" t="s">
        <v>180</v>
      </c>
      <c r="Y49" s="130" t="s">
        <v>181</v>
      </c>
      <c r="Z49" s="121" t="s">
        <v>182</v>
      </c>
      <c r="AA49" s="131" t="n"/>
      <c r="AB49" s="129" t="s">
        <v>180</v>
      </c>
      <c r="AC49" s="130" t="s">
        <v>181</v>
      </c>
      <c r="AD49" s="121" t="s">
        <v>182</v>
      </c>
      <c r="AE49" s="131" t="n"/>
      <c r="AF49" s="129" t="s">
        <v>180</v>
      </c>
      <c r="AG49" s="130" t="s">
        <v>181</v>
      </c>
      <c r="AH49" s="121" t="s">
        <v>182</v>
      </c>
      <c r="AI49" s="121" t="n"/>
      <c r="AJ49" s="116" t="s">
        <v>183</v>
      </c>
      <c r="AK49" s="7852" t="s"/>
    </row>
    <row hidden="false" ht="15" outlineLevel="0" r="50">
      <c r="A50" s="1202" t="s">
        <v>3969</v>
      </c>
      <c r="B50" s="92" t="str">
        <f aca="false" ca="false" dt2D="false" dtr="false" t="normal">RIGHT(D519, 1)&amp;E519&amp;F519&amp;G519&amp;H516&amp;I516&amp;J516&amp;K516&amp;L516&amp;M516</f>
        <v>7A5G1IF0000000000F4</v>
      </c>
      <c r="C50" s="98" t="s">
        <v>185</v>
      </c>
      <c r="D50" s="149" t="n">
        <f aca="false" ca="false" dt2D="false" dtr="false" t="normal">HEX2BIN(D49, 8)</f>
        <v>111</v>
      </c>
      <c r="E50" s="149" t="n">
        <f aca="false" ca="false" dt2D="false" dtr="false" t="normal">HEX2BIN(E49, 8)</f>
        <v>10100101</v>
      </c>
      <c r="F50" s="149" t="n">
        <f aca="false" ca="false" dt2D="false" dtr="false" t="normal">HEX2BIN(F49, 8)</f>
        <v>1</v>
      </c>
      <c r="G50" s="149" t="n">
        <f aca="false" ca="false" dt2D="false" dtr="false" t="normal">HEX2BIN(G49, 8)</f>
        <v>101</v>
      </c>
      <c r="H50" s="53" t="n">
        <f aca="false" ca="false" dt2D="false" dtr="false" t="normal">HEX2BIN(H49, 8)</f>
        <v>0</v>
      </c>
      <c r="I50" s="53" t="n">
        <f aca="false" ca="false" dt2D="false" dtr="false" t="normal">HEX2BIN(I49, 8)</f>
        <v>0</v>
      </c>
      <c r="J50" s="53" t="n">
        <f aca="false" ca="false" dt2D="false" dtr="false" t="normal">HEX2BIN(J49, 8)</f>
        <v>0</v>
      </c>
      <c r="K50" s="53" t="n">
        <f aca="false" ca="false" dt2D="false" dtr="false" t="normal">HEX2BIN(K49, 8)</f>
        <v>0</v>
      </c>
      <c r="L50" s="53" t="n">
        <f aca="false" ca="false" dt2D="false" dtr="false" t="normal">HEX2BIN(L49, 8)</f>
        <v>0</v>
      </c>
      <c r="M50" s="53" t="n"/>
      <c r="N50" s="63" t="n"/>
      <c r="P50" s="136" t="n">
        <f aca="false" ca="false" dt2D="false" dtr="false" t="normal">MID(H50, 1, 1)</f>
        <v>0</v>
      </c>
      <c r="Q50" s="137" t="n">
        <f aca="false" ca="false" dt2D="false" dtr="false" t="normal">P50</f>
        <v>0</v>
      </c>
      <c r="R50" s="120" t="s">
        <v>186</v>
      </c>
      <c r="S50" s="131" t="s">
        <v>196</v>
      </c>
      <c r="T50" s="136" t="n">
        <f aca="false" ca="false" dt2D="false" dtr="false" t="normal">MID(I50, 1, 1)</f>
        <v>0</v>
      </c>
      <c r="U50" s="137" t="n">
        <f aca="false" ca="false" dt2D="false" dtr="false" t="normal">T50</f>
        <v>0</v>
      </c>
      <c r="V50" s="120" t="s">
        <v>186</v>
      </c>
      <c r="W50" s="131" t="s">
        <v>196</v>
      </c>
      <c r="X50" s="136" t="n">
        <f aca="false" ca="false" dt2D="false" dtr="false" t="normal">MID(J50, 1, 1)</f>
        <v>0</v>
      </c>
      <c r="Y50" s="137" t="n">
        <f aca="false" ca="false" dt2D="false" dtr="false" t="normal">X50</f>
        <v>0</v>
      </c>
      <c r="Z50" s="120" t="s">
        <v>186</v>
      </c>
      <c r="AA50" s="131" t="s">
        <v>196</v>
      </c>
      <c r="AB50" s="136" t="n">
        <f aca="false" ca="false" dt2D="false" dtr="false" t="normal">MID(K50, 1, 1)</f>
        <v>0</v>
      </c>
      <c r="AC50" s="137" t="n">
        <f aca="false" ca="false" dt2D="false" dtr="false" t="normal">AB50</f>
        <v>0</v>
      </c>
      <c r="AD50" s="120" t="s">
        <v>186</v>
      </c>
      <c r="AE50" s="131" t="s">
        <v>196</v>
      </c>
      <c r="AF50" s="136" t="n">
        <f aca="false" ca="false" dt2D="false" dtr="false" t="normal">MID(L50, 1, 1)</f>
        <v>0</v>
      </c>
      <c r="AG50" s="137" t="n">
        <f aca="false" ca="false" dt2D="false" dtr="false" t="normal">AF50</f>
        <v>0</v>
      </c>
      <c r="AH50" s="120" t="s">
        <v>186</v>
      </c>
      <c r="AI50" s="131" t="s">
        <v>196</v>
      </c>
      <c r="AJ50" s="7853" t="s"/>
      <c r="AK50" s="7854" t="s"/>
    </row>
    <row hidden="false" ht="15" outlineLevel="0" r="51">
      <c r="A51" s="1202" t="s">
        <v>3970</v>
      </c>
      <c r="B51" s="92" t="str">
        <f aca="false" ca="false" dt2D="false" dtr="false" t="normal">RIGHT(D530, 1)&amp;E530&amp;F530&amp;G530&amp;H527&amp;I527&amp;J527&amp;K527&amp;L527&amp;M527</f>
        <v>7A5G1J00000000000F5</v>
      </c>
      <c r="C51" s="98" t="s">
        <v>191</v>
      </c>
      <c r="D51" s="149" t="n">
        <f aca="false" ca="false" dt2D="false" dtr="false" t="normal">HEX2DEC(D49)</f>
        <v>7</v>
      </c>
      <c r="E51" s="149" t="n">
        <f aca="false" ca="false" dt2D="false" dtr="false" t="normal">HEX2DEC(E49)</f>
        <v>165</v>
      </c>
      <c r="F51" s="149" t="n">
        <f aca="false" ca="false" dt2D="false" dtr="false" t="normal">HEX2DEC(F49)</f>
        <v>1</v>
      </c>
      <c r="G51" s="149" t="n">
        <f aca="false" ca="false" dt2D="false" dtr="false" t="normal">HEX2DEC(G49)</f>
        <v>5</v>
      </c>
      <c r="H51" s="53" t="n">
        <f aca="false" ca="false" dt2D="false" dtr="false" t="normal">HEX2DEC(H49)</f>
        <v>0</v>
      </c>
      <c r="I51" s="53" t="n">
        <f aca="false" ca="false" dt2D="false" dtr="false" t="normal">HEX2DEC(I49)</f>
        <v>0</v>
      </c>
      <c r="J51" s="53" t="n">
        <f aca="false" ca="false" dt2D="false" dtr="false" t="normal">HEX2DEC(J49)</f>
        <v>0</v>
      </c>
      <c r="K51" s="53" t="n">
        <f aca="false" ca="false" dt2D="false" dtr="false" t="normal">HEX2DEC(K49)</f>
        <v>0</v>
      </c>
      <c r="L51" s="53" t="n">
        <f aca="false" ca="false" dt2D="false" dtr="false" t="normal">HEX2DEC(L49)</f>
        <v>0</v>
      </c>
      <c r="M51" s="53" t="n">
        <f aca="false" ca="false" dt2D="false" dtr="false" t="normal">SUM(D51:L51)</f>
        <v>178</v>
      </c>
      <c r="N51" s="63" t="n"/>
      <c r="P51" s="136" t="n">
        <f aca="false" ca="false" dt2D="false" dtr="false" t="normal">MID(H50, 2, 1)</f>
        <v>0</v>
      </c>
      <c r="Q51" s="137" t="n">
        <f aca="false" ca="false" dt2D="false" dtr="false" t="normal">P51</f>
        <v>0</v>
      </c>
      <c r="R51" s="120" t="s">
        <v>192</v>
      </c>
      <c r="S51" s="131" t="s">
        <v>196</v>
      </c>
      <c r="T51" s="136" t="n">
        <f aca="false" ca="false" dt2D="false" dtr="false" t="normal">MID(I50, 2, 1)</f>
        <v>0</v>
      </c>
      <c r="U51" s="137" t="n">
        <f aca="false" ca="false" dt2D="false" dtr="false" t="normal">T51</f>
        <v>0</v>
      </c>
      <c r="V51" s="120" t="s">
        <v>192</v>
      </c>
      <c r="W51" s="131" t="s">
        <v>196</v>
      </c>
      <c r="X51" s="136" t="n">
        <f aca="false" ca="false" dt2D="false" dtr="false" t="normal">MID(J50, 2, 1)</f>
        <v>0</v>
      </c>
      <c r="Y51" s="137" t="n">
        <f aca="false" ca="false" dt2D="false" dtr="false" t="normal">X51</f>
        <v>0</v>
      </c>
      <c r="Z51" s="120" t="s">
        <v>192</v>
      </c>
      <c r="AA51" s="131" t="s">
        <v>196</v>
      </c>
      <c r="AB51" s="136" t="n">
        <f aca="false" ca="false" dt2D="false" dtr="false" t="normal">MID(K50, 2, 1)</f>
        <v>0</v>
      </c>
      <c r="AC51" s="137" t="n">
        <f aca="false" ca="false" dt2D="false" dtr="false" t="normal">AB51</f>
        <v>0</v>
      </c>
      <c r="AD51" s="120" t="s">
        <v>192</v>
      </c>
      <c r="AE51" s="131" t="s">
        <v>196</v>
      </c>
      <c r="AF51" s="136" t="n">
        <f aca="false" ca="false" dt2D="false" dtr="false" t="normal">MID(L50, 2, 1)</f>
        <v>0</v>
      </c>
      <c r="AG51" s="137" t="n">
        <f aca="false" ca="false" dt2D="false" dtr="false" t="normal">AF51</f>
        <v>0</v>
      </c>
      <c r="AH51" s="120" t="s">
        <v>192</v>
      </c>
      <c r="AI51" s="131" t="s">
        <v>196</v>
      </c>
      <c r="AJ51" s="7855" t="s"/>
      <c r="AK51" s="7856" t="s"/>
    </row>
    <row hidden="false" ht="15" outlineLevel="0" r="52">
      <c r="A52" s="1202" t="s">
        <v>3971</v>
      </c>
      <c r="B52" s="92" t="str">
        <f aca="false" ca="false" dt2D="false" dtr="false" t="normal">RIGHT(D541, 1)&amp;E541&amp;F541&amp;G541&amp;H538&amp;I538&amp;J538&amp;K538&amp;L538&amp;M538</f>
        <v>7A5G1J10000000000F6</v>
      </c>
      <c r="C52" s="98" t="s">
        <v>194</v>
      </c>
      <c r="D52" s="149" t="n">
        <f aca="false" ca="false" dt2D="false" dtr="false" t="normal">D49</f>
        <v>7</v>
      </c>
      <c r="E52" s="149" t="str">
        <f aca="false" ca="false" dt2D="false" dtr="false" t="normal">E49</f>
        <v>A5</v>
      </c>
      <c r="F52" s="149" t="str">
        <f aca="false" ca="false" dt2D="false" dtr="false" t="normal">MID($A$8, 4, 2)</f>
        <v>G1</v>
      </c>
      <c r="G52" s="149" t="str">
        <f aca="false" ca="false" dt2D="false" dtr="false" t="normal">MID($A$8, 6, 2)</f>
        <v>G5</v>
      </c>
      <c r="N52" s="63" t="n"/>
      <c r="P52" s="136" t="n">
        <f aca="false" ca="false" dt2D="false" dtr="false" t="normal">MID(H50, 3, 1)</f>
        <v>0</v>
      </c>
      <c r="Q52" s="137" t="n">
        <f aca="false" ca="false" dt2D="false" dtr="false" t="normal">P52</f>
        <v>0</v>
      </c>
      <c r="R52" s="120" t="s">
        <v>195</v>
      </c>
      <c r="S52" s="131" t="s">
        <v>196</v>
      </c>
      <c r="T52" s="136" t="n">
        <f aca="false" ca="false" dt2D="false" dtr="false" t="normal">MID(I50, 3, 1)</f>
        <v>0</v>
      </c>
      <c r="U52" s="137" t="n">
        <f aca="false" ca="false" dt2D="false" dtr="false" t="normal">T52</f>
        <v>0</v>
      </c>
      <c r="V52" s="120" t="s">
        <v>195</v>
      </c>
      <c r="W52" s="131" t="s">
        <v>196</v>
      </c>
      <c r="X52" s="136" t="n">
        <f aca="false" ca="false" dt2D="false" dtr="false" t="normal">MID(J50, 3, 1)</f>
        <v>0</v>
      </c>
      <c r="Y52" s="137" t="n">
        <f aca="false" ca="false" dt2D="false" dtr="false" t="normal">X52</f>
        <v>0</v>
      </c>
      <c r="Z52" s="120" t="s">
        <v>195</v>
      </c>
      <c r="AA52" s="131" t="s">
        <v>196</v>
      </c>
      <c r="AB52" s="136" t="n">
        <f aca="false" ca="false" dt2D="false" dtr="false" t="normal">MID(K50, 3, 1)</f>
        <v>0</v>
      </c>
      <c r="AC52" s="137" t="n">
        <f aca="false" ca="false" dt2D="false" dtr="false" t="normal">AB52</f>
        <v>0</v>
      </c>
      <c r="AD52" s="120" t="s">
        <v>195</v>
      </c>
      <c r="AE52" s="131" t="s">
        <v>196</v>
      </c>
      <c r="AF52" s="136" t="n">
        <f aca="false" ca="false" dt2D="false" dtr="false" t="normal">MID(L50, 3, 1)</f>
        <v>0</v>
      </c>
      <c r="AG52" s="137" t="n">
        <f aca="false" ca="false" dt2D="false" dtr="false" t="normal">AF52</f>
        <v>0</v>
      </c>
      <c r="AH52" s="120" t="s">
        <v>195</v>
      </c>
      <c r="AI52" s="131" t="s">
        <v>196</v>
      </c>
      <c r="AJ52" s="7857" t="s"/>
      <c r="AK52" s="7858" t="s"/>
    </row>
    <row hidden="false" ht="15.75" outlineLevel="0" r="53">
      <c r="A53" s="1202" t="s">
        <v>3972</v>
      </c>
      <c r="B53" s="92" t="str">
        <f aca="false" ca="false" dt2D="false" dtr="false" t="normal">RIGHT(D552, 1)&amp;E552&amp;F552&amp;G552&amp;H549&amp;I549&amp;J549&amp;K549&amp;L549&amp;M549</f>
        <v>7A5G1J20000000000FD</v>
      </c>
      <c r="C53" s="98" t="n"/>
      <c r="N53" s="63" t="n"/>
      <c r="P53" s="136" t="n">
        <f aca="false" ca="false" dt2D="false" dtr="false" t="normal">MID(H50, 4, 1)</f>
        <v>0</v>
      </c>
      <c r="Q53" s="137" t="n">
        <f aca="false" ca="false" dt2D="false" dtr="false" t="normal">P53</f>
        <v>0</v>
      </c>
      <c r="R53" s="120" t="s">
        <v>197</v>
      </c>
      <c r="S53" s="131" t="s">
        <v>196</v>
      </c>
      <c r="T53" s="136" t="n">
        <f aca="false" ca="false" dt2D="false" dtr="false" t="normal">MID(I50, 4, 1)</f>
        <v>0</v>
      </c>
      <c r="U53" s="137" t="n">
        <f aca="false" ca="false" dt2D="false" dtr="false" t="normal">T53</f>
        <v>0</v>
      </c>
      <c r="V53" s="120" t="s">
        <v>197</v>
      </c>
      <c r="W53" s="131" t="s">
        <v>196</v>
      </c>
      <c r="X53" s="136" t="n">
        <f aca="false" ca="false" dt2D="false" dtr="false" t="normal">MID(J50, 4, 1)</f>
        <v>0</v>
      </c>
      <c r="Y53" s="137" t="n">
        <f aca="false" ca="false" dt2D="false" dtr="false" t="normal">X53</f>
        <v>0</v>
      </c>
      <c r="Z53" s="120" t="s">
        <v>197</v>
      </c>
      <c r="AA53" s="131" t="s">
        <v>196</v>
      </c>
      <c r="AB53" s="136" t="n">
        <f aca="false" ca="false" dt2D="false" dtr="false" t="normal">MID(K50, 4, 1)</f>
        <v>0</v>
      </c>
      <c r="AC53" s="137" t="n">
        <f aca="false" ca="false" dt2D="false" dtr="false" t="normal">AB53</f>
        <v>0</v>
      </c>
      <c r="AD53" s="120" t="s">
        <v>197</v>
      </c>
      <c r="AE53" s="131" t="s">
        <v>196</v>
      </c>
      <c r="AF53" s="136" t="n">
        <f aca="false" ca="false" dt2D="false" dtr="false" t="normal">MID(L50, 4, 1)</f>
        <v>0</v>
      </c>
      <c r="AG53" s="137" t="n">
        <f aca="false" ca="false" dt2D="false" dtr="false" t="normal">AF53</f>
        <v>0</v>
      </c>
      <c r="AH53" s="120" t="s">
        <v>197</v>
      </c>
      <c r="AI53" s="131" t="s">
        <v>196</v>
      </c>
      <c r="AJ53" s="7859" t="s"/>
      <c r="AK53" s="7860" t="s"/>
    </row>
    <row hidden="false" ht="15.75" outlineLevel="0" r="54">
      <c r="A54" s="1202" t="s">
        <v>3973</v>
      </c>
      <c r="B54" s="92" t="str">
        <f aca="false" ca="false" dt2D="false" dtr="false" t="normal">RIGHT(D563, 1)&amp;E563&amp;F563&amp;G563&amp;H560&amp;I560&amp;J560&amp;K560&amp;L560&amp;M560</f>
        <v>7A5G1J30000000000FE</v>
      </c>
      <c r="C54" s="98" t="s">
        <v>176</v>
      </c>
      <c r="D54" s="122" t="n">
        <f aca="false" ca="false" dt2D="false" dtr="false" t="normal">D49</f>
        <v>7</v>
      </c>
      <c r="E54" s="123" t="str">
        <f aca="false" ca="false" dt2D="false" dtr="false" t="normal">E49</f>
        <v>A5</v>
      </c>
      <c r="F54" s="123" t="n">
        <f aca="false" ca="false" dt2D="false" dtr="false" t="normal">F49</f>
        <v>1</v>
      </c>
      <c r="G54" s="124" t="n">
        <f aca="false" ca="false" dt2D="false" dtr="false" t="normal">G49</f>
        <v>5</v>
      </c>
      <c r="H54" s="162" t="n">
        <f aca="false" ca="false" dt2D="false" dtr="false" t="normal">BIN2HEX(H55, 2)</f>
        <v>0</v>
      </c>
      <c r="I54" s="163" t="n">
        <f aca="false" ca="false" dt2D="false" dtr="false" t="normal">BIN2HEX(I55, 2)</f>
        <v>0</v>
      </c>
      <c r="J54" s="164" t="n">
        <f aca="false" ca="false" dt2D="false" dtr="false" t="normal">BIN2HEX(J55, 2)</f>
        <v>0</v>
      </c>
      <c r="K54" s="165" t="n">
        <f aca="false" ca="false" dt2D="false" dtr="false" t="normal">BIN2HEX(K55, 2)</f>
        <v>0</v>
      </c>
      <c r="L54" s="288" t="n">
        <f aca="false" ca="false" dt2D="false" dtr="false" t="normal">BIN2HEX(L55, 2)</f>
        <v>0</v>
      </c>
      <c r="M54" s="166" t="str">
        <f aca="false" ca="false" dt2D="false" dtr="false" t="normal">IF(LEN(M55)&gt;2, MID(M55, 2, 2), M55)</f>
        <v>B2</v>
      </c>
      <c r="N54" s="63" t="s">
        <v>181</v>
      </c>
      <c r="P54" s="136" t="n">
        <f aca="false" ca="false" dt2D="false" dtr="false" t="normal">MID(H50, 5, 1)</f>
        <v>0</v>
      </c>
      <c r="Q54" s="137" t="n">
        <f aca="false" ca="false" dt2D="false" dtr="false" t="normal">P54</f>
        <v>0</v>
      </c>
      <c r="R54" s="120" t="s">
        <v>200</v>
      </c>
      <c r="S54" s="131" t="s">
        <v>196</v>
      </c>
      <c r="T54" s="136" t="n">
        <f aca="false" ca="false" dt2D="false" dtr="false" t="normal">MID(I50, 5, 1)</f>
        <v>0</v>
      </c>
      <c r="U54" s="137" t="n">
        <f aca="false" ca="false" dt2D="false" dtr="false" t="normal">T54</f>
        <v>0</v>
      </c>
      <c r="V54" s="120" t="s">
        <v>200</v>
      </c>
      <c r="W54" s="131" t="s">
        <v>196</v>
      </c>
      <c r="X54" s="136" t="n">
        <f aca="false" ca="false" dt2D="false" dtr="false" t="normal">MID(J50, 5, 1)</f>
        <v>0</v>
      </c>
      <c r="Y54" s="137" t="n">
        <f aca="false" ca="false" dt2D="false" dtr="false" t="normal">X54</f>
        <v>0</v>
      </c>
      <c r="Z54" s="120" t="s">
        <v>200</v>
      </c>
      <c r="AA54" s="131" t="s">
        <v>196</v>
      </c>
      <c r="AB54" s="136" t="n">
        <f aca="false" ca="false" dt2D="false" dtr="false" t="normal">MID(K50, 5, 1)</f>
        <v>0</v>
      </c>
      <c r="AC54" s="137" t="n">
        <f aca="false" ca="false" dt2D="false" dtr="false" t="normal">AB54</f>
        <v>0</v>
      </c>
      <c r="AD54" s="120" t="s">
        <v>200</v>
      </c>
      <c r="AE54" s="131" t="s">
        <v>196</v>
      </c>
      <c r="AF54" s="136" t="n">
        <f aca="false" ca="false" dt2D="false" dtr="false" t="normal">MID(L50, 5, 1)</f>
        <v>0</v>
      </c>
      <c r="AG54" s="137" t="n">
        <f aca="false" ca="false" dt2D="false" dtr="false" t="normal">AF54</f>
        <v>0</v>
      </c>
      <c r="AH54" s="120" t="s">
        <v>200</v>
      </c>
      <c r="AI54" s="131" t="s">
        <v>196</v>
      </c>
      <c r="AJ54" s="7861" t="s"/>
      <c r="AK54" s="7862" t="s"/>
    </row>
    <row hidden="false" ht="15" outlineLevel="0" r="55">
      <c r="A55" s="1202" t="s">
        <v>3974</v>
      </c>
      <c r="B55" s="92" t="str">
        <f aca="false" ca="false" dt2D="false" dtr="false" t="normal">RIGHT(D574, 1)&amp;E574&amp;F574&amp;G574&amp;H571&amp;I571&amp;J571&amp;K571&amp;L571&amp;M571</f>
        <v>7A5G1J40000000000FF</v>
      </c>
      <c r="C55" s="98" t="s">
        <v>185</v>
      </c>
      <c r="D55" s="149" t="n">
        <f aca="false" ca="false" dt2D="false" dtr="false" t="normal">HEX2BIN(D54, 8)</f>
        <v>111</v>
      </c>
      <c r="E55" s="149" t="n">
        <f aca="false" ca="false" dt2D="false" dtr="false" t="normal">HEX2BIN(E54, 8)</f>
        <v>10100101</v>
      </c>
      <c r="F55" s="149" t="n">
        <f aca="false" ca="false" dt2D="false" dtr="false" t="normal">HEX2BIN(F54, 8)</f>
        <v>1</v>
      </c>
      <c r="G55" s="149" t="n">
        <f aca="false" ca="false" dt2D="false" dtr="false" t="normal">HEX2BIN(G54, 8)</f>
        <v>101</v>
      </c>
      <c r="H55" s="53" t="n">
        <f aca="false" ca="false" dt2D="false" dtr="false" t="normal">Q50&amp;Q51&amp;Q52&amp;Q53&amp;Q54&amp;Q55&amp;Q56&amp;Q57</f>
        <v>0</v>
      </c>
      <c r="I55" s="53" t="n">
        <f aca="false" ca="false" dt2D="false" dtr="false" t="normal">U50&amp;U51&amp;U52&amp;U53&amp;U54&amp;U55&amp;U56&amp;U57</f>
        <v>0</v>
      </c>
      <c r="J55" s="53" t="n">
        <f aca="false" ca="false" dt2D="false" dtr="false" t="normal">Y50&amp;Y51&amp;Y52&amp;Y53&amp;Y54&amp;Y55&amp;Y56&amp;Y57</f>
        <v>0</v>
      </c>
      <c r="K55" s="53" t="n">
        <f aca="false" ca="false" dt2D="false" dtr="false" t="normal">AC50&amp;AC51&amp;AC52&amp;AC53&amp;AC54&amp;AC55&amp;AC56&amp;AC57</f>
        <v>0</v>
      </c>
      <c r="L55" s="53" t="n">
        <f aca="false" ca="false" dt2D="false" dtr="false" t="normal">AG50&amp;AG51&amp;AG52&amp;AG53&amp;AG54&amp;AG55&amp;AG56&amp;AG57</f>
        <v>0</v>
      </c>
      <c r="M55" s="53" t="str">
        <f aca="false" ca="false" dt2D="false" dtr="false" t="normal">DEC2HEX(M56)</f>
        <v>B2</v>
      </c>
      <c r="N55" s="63" t="n"/>
      <c r="P55" s="136" t="n">
        <f aca="false" ca="false" dt2D="false" dtr="false" t="normal">MID(H50, 6, 1)</f>
        <v>0</v>
      </c>
      <c r="Q55" s="137" t="n">
        <f aca="false" ca="false" dt2D="false" dtr="false" t="normal">P55</f>
        <v>0</v>
      </c>
      <c r="R55" s="120" t="s">
        <v>203</v>
      </c>
      <c r="S55" s="131" t="s">
        <v>196</v>
      </c>
      <c r="T55" s="136" t="n">
        <f aca="false" ca="false" dt2D="false" dtr="false" t="normal">MID(I50, 6, 1)</f>
        <v>0</v>
      </c>
      <c r="U55" s="137" t="n">
        <f aca="false" ca="false" dt2D="false" dtr="false" t="normal">T55</f>
        <v>0</v>
      </c>
      <c r="V55" s="120" t="s">
        <v>203</v>
      </c>
      <c r="W55" s="131" t="s">
        <v>196</v>
      </c>
      <c r="X55" s="136" t="n">
        <f aca="false" ca="false" dt2D="false" dtr="false" t="normal">MID(J50, 6, 1)</f>
        <v>0</v>
      </c>
      <c r="Y55" s="137" t="n">
        <f aca="false" ca="false" dt2D="false" dtr="false" t="normal">X55</f>
        <v>0</v>
      </c>
      <c r="Z55" s="120" t="s">
        <v>203</v>
      </c>
      <c r="AA55" s="131" t="s">
        <v>196</v>
      </c>
      <c r="AB55" s="136" t="n">
        <f aca="false" ca="false" dt2D="false" dtr="false" t="normal">MID(K50, 6, 1)</f>
        <v>0</v>
      </c>
      <c r="AC55" s="137" t="n">
        <f aca="false" ca="false" dt2D="false" dtr="false" t="normal">AB55</f>
        <v>0</v>
      </c>
      <c r="AD55" s="120" t="s">
        <v>203</v>
      </c>
      <c r="AE55" s="131" t="s">
        <v>196</v>
      </c>
      <c r="AF55" s="136" t="n">
        <f aca="false" ca="false" dt2D="false" dtr="false" t="normal">MID(L50, 6, 1)</f>
        <v>0</v>
      </c>
      <c r="AG55" s="137" t="n">
        <f aca="false" ca="false" dt2D="false" dtr="false" t="normal">AF55</f>
        <v>0</v>
      </c>
      <c r="AH55" s="120" t="s">
        <v>203</v>
      </c>
      <c r="AI55" s="131" t="s">
        <v>196</v>
      </c>
      <c r="AJ55" s="7863" t="s"/>
      <c r="AK55" s="7864" t="s"/>
    </row>
    <row hidden="false" ht="15" outlineLevel="0" r="56">
      <c r="A56" s="1202" t="s">
        <v>3975</v>
      </c>
      <c r="B56" s="92" t="str">
        <f aca="false" ca="false" dt2D="false" dtr="false" t="normal">RIGHT(D585, 1)&amp;E585&amp;F585&amp;G585&amp;H582&amp;I582&amp;J582&amp;K582&amp;L582</f>
        <v>7A5G1J50000000000</v>
      </c>
      <c r="C56" s="98" t="s">
        <v>191</v>
      </c>
      <c r="D56" s="149" t="n">
        <f aca="false" ca="false" dt2D="false" dtr="false" t="normal">HEX2DEC(D54)</f>
        <v>7</v>
      </c>
      <c r="E56" s="149" t="n">
        <f aca="false" ca="false" dt2D="false" dtr="false" t="normal">HEX2DEC(E54)</f>
        <v>165</v>
      </c>
      <c r="F56" s="149" t="n">
        <f aca="false" ca="false" dt2D="false" dtr="false" t="normal">HEX2DEC(F54)</f>
        <v>1</v>
      </c>
      <c r="G56" s="149" t="n">
        <f aca="false" ca="false" dt2D="false" dtr="false" t="normal">HEX2DEC(G54)</f>
        <v>5</v>
      </c>
      <c r="H56" s="53" t="n">
        <f aca="false" ca="false" dt2D="false" dtr="false" t="normal">HEX2DEC(H54)</f>
        <v>0</v>
      </c>
      <c r="I56" s="53" t="n">
        <f aca="false" ca="false" dt2D="false" dtr="false" t="normal">HEX2DEC(I54)</f>
        <v>0</v>
      </c>
      <c r="J56" s="53" t="n">
        <f aca="false" ca="false" dt2D="false" dtr="false" t="normal">HEX2DEC(J54)</f>
        <v>0</v>
      </c>
      <c r="K56" s="53" t="n">
        <f aca="false" ca="false" dt2D="false" dtr="false" t="normal">HEX2DEC(K54)</f>
        <v>0</v>
      </c>
      <c r="L56" s="53" t="n">
        <f aca="false" ca="false" dt2D="false" dtr="false" t="normal">HEX2DEC(L54)</f>
        <v>0</v>
      </c>
      <c r="M56" s="53" t="n">
        <f aca="false" ca="false" dt2D="false" dtr="false" t="normal">SUM(D56:L56)</f>
        <v>178</v>
      </c>
      <c r="N56" s="63" t="n"/>
      <c r="P56" s="136" t="n">
        <f aca="false" ca="false" dt2D="false" dtr="false" t="normal">MID(H50, 7, 1)</f>
        <v>0</v>
      </c>
      <c r="Q56" s="137" t="n">
        <f aca="false" ca="false" dt2D="false" dtr="false" t="normal">P56</f>
        <v>0</v>
      </c>
      <c r="R56" s="120" t="s">
        <v>206</v>
      </c>
      <c r="S56" s="131" t="s">
        <v>196</v>
      </c>
      <c r="T56" s="136" t="n">
        <f aca="false" ca="false" dt2D="false" dtr="false" t="normal">MID(I50, 7, 1)</f>
        <v>0</v>
      </c>
      <c r="U56" s="137" t="n">
        <f aca="false" ca="false" dt2D="false" dtr="false" t="normal">T56</f>
        <v>0</v>
      </c>
      <c r="V56" s="120" t="s">
        <v>206</v>
      </c>
      <c r="W56" s="131" t="s">
        <v>196</v>
      </c>
      <c r="X56" s="136" t="n">
        <f aca="false" ca="false" dt2D="false" dtr="false" t="normal">MID(J50, 7, 1)</f>
        <v>0</v>
      </c>
      <c r="Y56" s="137" t="n">
        <f aca="false" ca="false" dt2D="false" dtr="false" t="normal">X56</f>
        <v>0</v>
      </c>
      <c r="Z56" s="120" t="s">
        <v>206</v>
      </c>
      <c r="AA56" s="131" t="s">
        <v>196</v>
      </c>
      <c r="AB56" s="136" t="n">
        <f aca="false" ca="false" dt2D="false" dtr="false" t="normal">MID(K50, 7, 1)</f>
        <v>0</v>
      </c>
      <c r="AC56" s="137" t="n">
        <f aca="false" ca="false" dt2D="false" dtr="false" t="normal">AB56</f>
        <v>0</v>
      </c>
      <c r="AD56" s="120" t="s">
        <v>206</v>
      </c>
      <c r="AE56" s="131" t="s">
        <v>196</v>
      </c>
      <c r="AF56" s="136" t="n">
        <f aca="false" ca="false" dt2D="false" dtr="false" t="normal">MID(L50, 7, 1)</f>
        <v>0</v>
      </c>
      <c r="AG56" s="137" t="n">
        <f aca="false" ca="false" dt2D="false" dtr="false" t="normal">AF56</f>
        <v>0</v>
      </c>
      <c r="AH56" s="120" t="s">
        <v>206</v>
      </c>
      <c r="AI56" s="131" t="s">
        <v>196</v>
      </c>
      <c r="AJ56" s="7865" t="s"/>
      <c r="AK56" s="7866" t="s"/>
    </row>
    <row hidden="false" ht="15.75" outlineLevel="0" r="57">
      <c r="B57" s="63" t="n"/>
      <c r="C57" s="180" t="s">
        <v>194</v>
      </c>
      <c r="D57" s="181" t="n">
        <f aca="false" ca="false" dt2D="false" dtr="false" t="normal">D52</f>
        <v>7</v>
      </c>
      <c r="E57" s="181" t="str">
        <f aca="false" ca="false" dt2D="false" dtr="false" t="normal">E52</f>
        <v>A5</v>
      </c>
      <c r="F57" s="181" t="str">
        <f aca="false" ca="false" dt2D="false" dtr="false" t="normal">F52</f>
        <v>G1</v>
      </c>
      <c r="G57" s="181" t="str">
        <f aca="false" ca="false" dt2D="false" dtr="false" t="normal">G52</f>
        <v>G5</v>
      </c>
      <c r="H57" s="45" t="n"/>
      <c r="I57" s="45" t="n"/>
      <c r="J57" s="45" t="n"/>
      <c r="K57" s="45" t="n"/>
      <c r="L57" s="45" t="n"/>
      <c r="M57" s="45" t="n"/>
      <c r="N57" s="49" t="n"/>
      <c r="P57" s="182" t="n">
        <f aca="false" ca="false" dt2D="false" dtr="false" t="normal">MID(H50, 8, 1)</f>
        <v>0</v>
      </c>
      <c r="Q57" s="183" t="n">
        <f aca="false" ca="false" dt2D="false" dtr="false" t="normal">P57</f>
        <v>0</v>
      </c>
      <c r="R57" s="184" t="s">
        <v>208</v>
      </c>
      <c r="S57" s="185" t="s">
        <v>196</v>
      </c>
      <c r="T57" s="182" t="n">
        <f aca="false" ca="false" dt2D="false" dtr="false" t="normal">MID(I50, 8, 1)</f>
        <v>0</v>
      </c>
      <c r="U57" s="183" t="n">
        <f aca="false" ca="false" dt2D="false" dtr="false" t="normal">T57</f>
        <v>0</v>
      </c>
      <c r="V57" s="184" t="s">
        <v>208</v>
      </c>
      <c r="W57" s="185" t="s">
        <v>196</v>
      </c>
      <c r="X57" s="182" t="n">
        <f aca="false" ca="false" dt2D="false" dtr="false" t="normal">MID(J50, 8, 1)</f>
        <v>0</v>
      </c>
      <c r="Y57" s="183" t="n">
        <f aca="false" ca="false" dt2D="false" dtr="false" t="normal">X57</f>
        <v>0</v>
      </c>
      <c r="Z57" s="184" t="s">
        <v>208</v>
      </c>
      <c r="AA57" s="185" t="s">
        <v>196</v>
      </c>
      <c r="AB57" s="182" t="n">
        <f aca="false" ca="false" dt2D="false" dtr="false" t="normal">MID(K50, 8, 1)</f>
        <v>0</v>
      </c>
      <c r="AC57" s="183" t="n">
        <f aca="false" ca="false" dt2D="false" dtr="false" t="normal">AB57</f>
        <v>0</v>
      </c>
      <c r="AD57" s="184" t="s">
        <v>208</v>
      </c>
      <c r="AE57" s="185" t="s">
        <v>196</v>
      </c>
      <c r="AF57" s="182" t="n">
        <f aca="false" ca="false" dt2D="false" dtr="false" t="normal">MID(L50, 8, 1)</f>
        <v>0</v>
      </c>
      <c r="AG57" s="183" t="n">
        <f aca="false" ca="false" dt2D="false" dtr="false" t="normal">AF57</f>
        <v>0</v>
      </c>
      <c r="AH57" s="184" t="s">
        <v>208</v>
      </c>
      <c r="AI57" s="185" t="s">
        <v>196</v>
      </c>
      <c r="AJ57" s="7867" t="s"/>
      <c r="AK57" s="7868" t="s"/>
    </row>
    <row customHeight="true" hidden="false" ht="15.75" outlineLevel="0" r="58">
      <c r="B58" s="63" t="n"/>
      <c r="C58" s="93" t="n"/>
      <c r="D58" s="7585" t="n"/>
      <c r="E58" s="7585" t="n"/>
      <c r="F58" s="7585" t="n"/>
      <c r="G58" s="7585" t="n"/>
      <c r="H58" s="94" t="n"/>
      <c r="I58" s="94" t="n"/>
      <c r="J58" s="94" t="n"/>
      <c r="K58" s="94" t="n"/>
      <c r="L58" s="94" t="n"/>
      <c r="M58" s="94" t="s">
        <v>161</v>
      </c>
      <c r="N58" s="60" t="n"/>
      <c r="P58" s="95" t="str">
        <f aca="false" ca="false" dt2D="false" dtr="false" t="normal">RIGHT(D60, 1)&amp;E60&amp;"-"&amp;F60&amp;"-"&amp;G60</f>
        <v>7A5-01-06</v>
      </c>
      <c r="Q58" s="7869" t="s"/>
      <c r="R58" s="234" t="s">
        <v>3976</v>
      </c>
      <c r="S58" s="7870" t="s"/>
      <c r="T58" s="7871" t="s"/>
      <c r="U58" s="7872" t="s"/>
      <c r="V58" s="7873" t="s"/>
      <c r="W58" s="7874" t="s"/>
      <c r="X58" s="7875" t="s"/>
      <c r="Y58" s="7876" t="s"/>
      <c r="Z58" s="7877" t="s"/>
      <c r="AA58" s="7878" t="s"/>
      <c r="AB58" s="7879" t="s"/>
      <c r="AC58" s="7880" t="s"/>
      <c r="AD58" s="7881" t="s"/>
      <c r="AE58" s="7882" t="s"/>
      <c r="AF58" s="7883" t="s"/>
      <c r="AG58" s="7884" t="s"/>
      <c r="AH58" s="7885" t="s"/>
      <c r="AI58" s="7886" t="s"/>
      <c r="AJ58" s="7887" t="s"/>
      <c r="AK58" s="7888" t="s"/>
    </row>
    <row hidden="false" ht="15.75" outlineLevel="0" r="59">
      <c r="B59" s="63" t="n"/>
      <c r="C59" s="98" t="n"/>
      <c r="D59" s="7606" t="s">
        <v>3977</v>
      </c>
      <c r="E59" s="7889" t="s"/>
      <c r="F59" s="7890" t="s"/>
      <c r="G59" s="7891" t="s"/>
      <c r="H59" s="53" t="s">
        <v>165</v>
      </c>
      <c r="I59" s="53" t="s">
        <v>166</v>
      </c>
      <c r="J59" s="53" t="s">
        <v>167</v>
      </c>
      <c r="K59" s="53" t="s">
        <v>168</v>
      </c>
      <c r="L59" s="53" t="s">
        <v>169</v>
      </c>
      <c r="M59" s="53" t="s">
        <v>221</v>
      </c>
      <c r="N59" s="63" t="n"/>
      <c r="P59" s="103" t="s">
        <v>3978</v>
      </c>
      <c r="Q59" s="7892" t="s"/>
      <c r="R59" s="7893" t="s"/>
      <c r="S59" s="7894" t="s"/>
      <c r="T59" s="103" t="s">
        <v>3979</v>
      </c>
      <c r="U59" s="7895" t="s"/>
      <c r="V59" s="7896" t="s"/>
      <c r="W59" s="7897" t="s"/>
      <c r="X59" s="103" t="s">
        <v>3980</v>
      </c>
      <c r="Y59" s="7898" t="s"/>
      <c r="Z59" s="7899" t="s"/>
      <c r="AA59" s="7900" t="s"/>
      <c r="AB59" s="103" t="s">
        <v>3981</v>
      </c>
      <c r="AC59" s="7901" t="s"/>
      <c r="AD59" s="7902" t="s"/>
      <c r="AE59" s="7903" t="s"/>
      <c r="AF59" s="103" t="s">
        <v>3982</v>
      </c>
      <c r="AG59" s="7904" t="s"/>
      <c r="AH59" s="7905" t="s"/>
      <c r="AI59" s="7906" t="s"/>
      <c r="AJ59" s="103" t="s">
        <v>3983</v>
      </c>
      <c r="AK59" s="7907" t="s"/>
    </row>
    <row hidden="false" ht="15.75" outlineLevel="0" r="60">
      <c r="B60" s="63" t="n"/>
      <c r="C60" s="98" t="s">
        <v>176</v>
      </c>
      <c r="D60" s="122" t="s">
        <v>177</v>
      </c>
      <c r="E60" s="123" t="s">
        <v>3892</v>
      </c>
      <c r="F60" s="123" t="s">
        <v>179</v>
      </c>
      <c r="G60" s="124" t="s">
        <v>358</v>
      </c>
      <c r="H60" s="273" t="n">
        <f aca="false" ca="false" dt2D="false" dtr="false" t="normal">MID($A$9, 8, 2)</f>
        <v>0</v>
      </c>
      <c r="I60" s="7626" t="n">
        <f aca="false" ca="false" dt2D="false" dtr="false" t="normal">MID($A$9, 10, 2)</f>
        <v>0</v>
      </c>
      <c r="J60" s="7626" t="n">
        <f aca="false" ca="false" dt2D="false" dtr="false" t="normal">MID($A$9, 12, 2)</f>
        <v>0</v>
      </c>
      <c r="K60" s="7626" t="n">
        <f aca="false" ca="false" dt2D="false" dtr="false" t="normal">MID($A$9, 14, 2)</f>
        <v>0</v>
      </c>
      <c r="L60" s="7627" t="n">
        <f aca="false" ca="false" dt2D="false" dtr="false" t="normal">MID($A$9, 16, 2)</f>
        <v>0</v>
      </c>
      <c r="M60" s="7553" t="str">
        <f aca="false" ca="false" dt2D="false" dtr="false" t="normal">MID($A$9, 18, 2)</f>
        <v>B3</v>
      </c>
      <c r="N60" s="63" t="s">
        <v>180</v>
      </c>
      <c r="P60" s="129" t="s">
        <v>180</v>
      </c>
      <c r="Q60" s="130" t="s">
        <v>181</v>
      </c>
      <c r="R60" s="121" t="s">
        <v>182</v>
      </c>
      <c r="S60" s="131" t="n"/>
      <c r="T60" s="129" t="s">
        <v>180</v>
      </c>
      <c r="U60" s="130" t="s">
        <v>181</v>
      </c>
      <c r="V60" s="121" t="s">
        <v>182</v>
      </c>
      <c r="W60" s="131" t="n"/>
      <c r="X60" s="129" t="s">
        <v>180</v>
      </c>
      <c r="Y60" s="130" t="s">
        <v>181</v>
      </c>
      <c r="Z60" s="121" t="s">
        <v>182</v>
      </c>
      <c r="AA60" s="131" t="n"/>
      <c r="AB60" s="129" t="s">
        <v>180</v>
      </c>
      <c r="AC60" s="130" t="s">
        <v>181</v>
      </c>
      <c r="AD60" s="121" t="s">
        <v>182</v>
      </c>
      <c r="AE60" s="131" t="n"/>
      <c r="AF60" s="129" t="s">
        <v>180</v>
      </c>
      <c r="AG60" s="130" t="s">
        <v>181</v>
      </c>
      <c r="AH60" s="121" t="s">
        <v>182</v>
      </c>
      <c r="AI60" s="121" t="n"/>
      <c r="AJ60" s="116" t="s">
        <v>183</v>
      </c>
      <c r="AK60" s="7908" t="s"/>
    </row>
    <row hidden="false" ht="15" outlineLevel="0" r="61">
      <c r="B61" s="63" t="n"/>
      <c r="C61" s="98" t="s">
        <v>185</v>
      </c>
      <c r="D61" s="149" t="n">
        <f aca="false" ca="false" dt2D="false" dtr="false" t="normal">HEX2BIN(D60, 8)</f>
        <v>111</v>
      </c>
      <c r="E61" s="149" t="n">
        <f aca="false" ca="false" dt2D="false" dtr="false" t="normal">HEX2BIN(E60, 8)</f>
        <v>10100101</v>
      </c>
      <c r="F61" s="149" t="n">
        <f aca="false" ca="false" dt2D="false" dtr="false" t="normal">HEX2BIN(F60, 8)</f>
        <v>1</v>
      </c>
      <c r="G61" s="149" t="n">
        <f aca="false" ca="false" dt2D="false" dtr="false" t="normal">HEX2BIN(G60, 8)</f>
        <v>110</v>
      </c>
      <c r="H61" s="53" t="n">
        <f aca="false" ca="false" dt2D="false" dtr="false" t="normal">HEX2BIN(H60, 8)</f>
        <v>0</v>
      </c>
      <c r="I61" s="53" t="n">
        <f aca="false" ca="false" dt2D="false" dtr="false" t="normal">HEX2BIN(I60, 8)</f>
        <v>0</v>
      </c>
      <c r="J61" s="53" t="n">
        <f aca="false" ca="false" dt2D="false" dtr="false" t="normal">HEX2BIN(J60, 8)</f>
        <v>0</v>
      </c>
      <c r="K61" s="53" t="n">
        <f aca="false" ca="false" dt2D="false" dtr="false" t="normal">HEX2BIN(K60, 8)</f>
        <v>0</v>
      </c>
      <c r="L61" s="53" t="n">
        <f aca="false" ca="false" dt2D="false" dtr="false" t="normal">HEX2BIN(L60, 8)</f>
        <v>0</v>
      </c>
      <c r="M61" s="53" t="n"/>
      <c r="N61" s="63" t="n"/>
      <c r="P61" s="136" t="n">
        <f aca="false" ca="false" dt2D="false" dtr="false" t="normal">MID(H61, 1, 1)</f>
        <v>0</v>
      </c>
      <c r="Q61" s="137" t="n">
        <f aca="false" ca="false" dt2D="false" dtr="false" t="normal">P61</f>
        <v>0</v>
      </c>
      <c r="R61" s="120" t="s">
        <v>186</v>
      </c>
      <c r="S61" s="131" t="s">
        <v>196</v>
      </c>
      <c r="T61" s="136" t="n">
        <f aca="false" ca="false" dt2D="false" dtr="false" t="normal">MID(I61, 1, 1)</f>
        <v>0</v>
      </c>
      <c r="U61" s="137" t="n">
        <f aca="false" ca="false" dt2D="false" dtr="false" t="normal">T61</f>
        <v>0</v>
      </c>
      <c r="V61" s="120" t="s">
        <v>186</v>
      </c>
      <c r="W61" s="131" t="s">
        <v>196</v>
      </c>
      <c r="X61" s="136" t="n">
        <f aca="false" ca="false" dt2D="false" dtr="false" t="normal">MID(J61, 1, 1)</f>
        <v>0</v>
      </c>
      <c r="Y61" s="137" t="n">
        <f aca="false" ca="false" dt2D="false" dtr="false" t="normal">X61</f>
        <v>0</v>
      </c>
      <c r="Z61" s="120" t="s">
        <v>186</v>
      </c>
      <c r="AA61" s="131" t="s">
        <v>196</v>
      </c>
      <c r="AB61" s="136" t="n">
        <f aca="false" ca="false" dt2D="false" dtr="false" t="normal">MID(K61, 1, 1)</f>
        <v>0</v>
      </c>
      <c r="AC61" s="137" t="n">
        <f aca="false" ca="false" dt2D="false" dtr="false" t="normal">AB61</f>
        <v>0</v>
      </c>
      <c r="AD61" s="120" t="s">
        <v>186</v>
      </c>
      <c r="AE61" s="131" t="s">
        <v>196</v>
      </c>
      <c r="AF61" s="136" t="n">
        <f aca="false" ca="false" dt2D="false" dtr="false" t="normal">MID(L61, 1, 1)</f>
        <v>0</v>
      </c>
      <c r="AG61" s="137" t="n">
        <f aca="false" ca="false" dt2D="false" dtr="false" t="normal">AF61</f>
        <v>0</v>
      </c>
      <c r="AH61" s="120" t="s">
        <v>186</v>
      </c>
      <c r="AI61" s="131" t="s">
        <v>196</v>
      </c>
      <c r="AJ61" s="7909" t="s"/>
      <c r="AK61" s="7910" t="s"/>
    </row>
    <row hidden="false" ht="15" outlineLevel="0" r="62">
      <c r="B62" s="63" t="n"/>
      <c r="C62" s="98" t="s">
        <v>191</v>
      </c>
      <c r="D62" s="149" t="n">
        <f aca="false" ca="false" dt2D="false" dtr="false" t="normal">HEX2DEC(D60)</f>
        <v>7</v>
      </c>
      <c r="E62" s="149" t="n">
        <f aca="false" ca="false" dt2D="false" dtr="false" t="normal">HEX2DEC(E60)</f>
        <v>165</v>
      </c>
      <c r="F62" s="149" t="n">
        <f aca="false" ca="false" dt2D="false" dtr="false" t="normal">HEX2DEC(F60)</f>
        <v>1</v>
      </c>
      <c r="G62" s="149" t="n">
        <f aca="false" ca="false" dt2D="false" dtr="false" t="normal">HEX2DEC(G60)</f>
        <v>6</v>
      </c>
      <c r="H62" s="53" t="n">
        <f aca="false" ca="false" dt2D="false" dtr="false" t="normal">HEX2DEC(H60)</f>
        <v>0</v>
      </c>
      <c r="I62" s="53" t="n">
        <f aca="false" ca="false" dt2D="false" dtr="false" t="normal">HEX2DEC(I60)</f>
        <v>0</v>
      </c>
      <c r="J62" s="53" t="n">
        <f aca="false" ca="false" dt2D="false" dtr="false" t="normal">HEX2DEC(J60)</f>
        <v>0</v>
      </c>
      <c r="K62" s="53" t="n">
        <f aca="false" ca="false" dt2D="false" dtr="false" t="normal">HEX2DEC(K60)</f>
        <v>0</v>
      </c>
      <c r="L62" s="53" t="n">
        <f aca="false" ca="false" dt2D="false" dtr="false" t="normal">HEX2DEC(L60)</f>
        <v>0</v>
      </c>
      <c r="M62" s="53" t="n">
        <f aca="false" ca="false" dt2D="false" dtr="false" t="normal">SUM(D62:L62)</f>
        <v>179</v>
      </c>
      <c r="N62" s="63" t="n"/>
      <c r="P62" s="136" t="n">
        <f aca="false" ca="false" dt2D="false" dtr="false" t="normal">MID(H61, 2, 1)</f>
        <v>0</v>
      </c>
      <c r="Q62" s="137" t="n">
        <f aca="false" ca="false" dt2D="false" dtr="false" t="normal">P62</f>
        <v>0</v>
      </c>
      <c r="R62" s="120" t="s">
        <v>192</v>
      </c>
      <c r="S62" s="131" t="s">
        <v>196</v>
      </c>
      <c r="T62" s="136" t="n">
        <f aca="false" ca="false" dt2D="false" dtr="false" t="normal">MID(I61, 2, 1)</f>
        <v>0</v>
      </c>
      <c r="U62" s="137" t="n">
        <f aca="false" ca="false" dt2D="false" dtr="false" t="normal">T62</f>
        <v>0</v>
      </c>
      <c r="V62" s="120" t="s">
        <v>192</v>
      </c>
      <c r="W62" s="131" t="s">
        <v>196</v>
      </c>
      <c r="X62" s="136" t="n">
        <f aca="false" ca="false" dt2D="false" dtr="false" t="normal">MID(J61, 2, 1)</f>
        <v>0</v>
      </c>
      <c r="Y62" s="137" t="n">
        <f aca="false" ca="false" dt2D="false" dtr="false" t="normal">X62</f>
        <v>0</v>
      </c>
      <c r="Z62" s="120" t="s">
        <v>192</v>
      </c>
      <c r="AA62" s="131" t="s">
        <v>196</v>
      </c>
      <c r="AB62" s="136" t="n">
        <f aca="false" ca="false" dt2D="false" dtr="false" t="normal">MID(K61, 2, 1)</f>
        <v>0</v>
      </c>
      <c r="AC62" s="137" t="n">
        <f aca="false" ca="false" dt2D="false" dtr="false" t="normal">AB62</f>
        <v>0</v>
      </c>
      <c r="AD62" s="120" t="s">
        <v>192</v>
      </c>
      <c r="AE62" s="131" t="s">
        <v>196</v>
      </c>
      <c r="AF62" s="136" t="n">
        <f aca="false" ca="false" dt2D="false" dtr="false" t="normal">MID(L61, 2, 1)</f>
        <v>0</v>
      </c>
      <c r="AG62" s="137" t="n">
        <f aca="false" ca="false" dt2D="false" dtr="false" t="normal">AF62</f>
        <v>0</v>
      </c>
      <c r="AH62" s="120" t="s">
        <v>192</v>
      </c>
      <c r="AI62" s="131" t="s">
        <v>196</v>
      </c>
      <c r="AJ62" s="7911" t="s"/>
      <c r="AK62" s="7912" t="s"/>
    </row>
    <row hidden="false" ht="15" outlineLevel="0" r="63">
      <c r="B63" s="63" t="n"/>
      <c r="C63" s="98" t="s">
        <v>194</v>
      </c>
      <c r="D63" s="149" t="n">
        <f aca="false" ca="false" dt2D="false" dtr="false" t="normal">D60</f>
        <v>7</v>
      </c>
      <c r="E63" s="149" t="str">
        <f aca="false" ca="false" dt2D="false" dtr="false" t="normal">E60</f>
        <v>A5</v>
      </c>
      <c r="F63" s="149" t="str">
        <f aca="false" ca="false" dt2D="false" dtr="false" t="normal">MID($A$9, 4, 2)</f>
        <v>G1</v>
      </c>
      <c r="G63" s="149" t="str">
        <f aca="false" ca="false" dt2D="false" dtr="false" t="normal">MID($A$9, 6, 2)</f>
        <v>G6</v>
      </c>
      <c r="N63" s="63" t="n"/>
      <c r="P63" s="136" t="n">
        <f aca="false" ca="false" dt2D="false" dtr="false" t="normal">MID(H61, 3, 1)</f>
        <v>0</v>
      </c>
      <c r="Q63" s="137" t="n">
        <f aca="false" ca="false" dt2D="false" dtr="false" t="normal">P63</f>
        <v>0</v>
      </c>
      <c r="R63" s="120" t="s">
        <v>195</v>
      </c>
      <c r="S63" s="131" t="s">
        <v>196</v>
      </c>
      <c r="T63" s="136" t="n">
        <f aca="false" ca="false" dt2D="false" dtr="false" t="normal">MID(I61, 3, 1)</f>
        <v>0</v>
      </c>
      <c r="U63" s="137" t="n">
        <f aca="false" ca="false" dt2D="false" dtr="false" t="normal">T63</f>
        <v>0</v>
      </c>
      <c r="V63" s="120" t="s">
        <v>195</v>
      </c>
      <c r="W63" s="131" t="s">
        <v>196</v>
      </c>
      <c r="X63" s="136" t="n">
        <f aca="false" ca="false" dt2D="false" dtr="false" t="normal">MID(J61, 3, 1)</f>
        <v>0</v>
      </c>
      <c r="Y63" s="137" t="n">
        <f aca="false" ca="false" dt2D="false" dtr="false" t="normal">X63</f>
        <v>0</v>
      </c>
      <c r="Z63" s="120" t="s">
        <v>195</v>
      </c>
      <c r="AA63" s="131" t="s">
        <v>196</v>
      </c>
      <c r="AB63" s="136" t="n">
        <f aca="false" ca="false" dt2D="false" dtr="false" t="normal">MID(K61, 3, 1)</f>
        <v>0</v>
      </c>
      <c r="AC63" s="137" t="n">
        <f aca="false" ca="false" dt2D="false" dtr="false" t="normal">AB63</f>
        <v>0</v>
      </c>
      <c r="AD63" s="120" t="s">
        <v>195</v>
      </c>
      <c r="AE63" s="131" t="s">
        <v>196</v>
      </c>
      <c r="AF63" s="136" t="n">
        <f aca="false" ca="false" dt2D="false" dtr="false" t="normal">MID(L61, 3, 1)</f>
        <v>0</v>
      </c>
      <c r="AG63" s="137" t="n">
        <f aca="false" ca="false" dt2D="false" dtr="false" t="normal">AF63</f>
        <v>0</v>
      </c>
      <c r="AH63" s="120" t="s">
        <v>195</v>
      </c>
      <c r="AI63" s="131" t="s">
        <v>196</v>
      </c>
      <c r="AJ63" s="7913" t="s"/>
      <c r="AK63" s="7914" t="s"/>
    </row>
    <row hidden="false" ht="15.75" outlineLevel="0" r="64">
      <c r="B64" s="63" t="n"/>
      <c r="C64" s="98" t="n"/>
      <c r="N64" s="63" t="n"/>
      <c r="P64" s="136" t="n">
        <f aca="false" ca="false" dt2D="false" dtr="false" t="normal">MID(H61, 4, 1)</f>
        <v>0</v>
      </c>
      <c r="Q64" s="137" t="n">
        <f aca="false" ca="false" dt2D="false" dtr="false" t="normal">P64</f>
        <v>0</v>
      </c>
      <c r="R64" s="120" t="s">
        <v>197</v>
      </c>
      <c r="S64" s="131" t="s">
        <v>196</v>
      </c>
      <c r="T64" s="136" t="n">
        <f aca="false" ca="false" dt2D="false" dtr="false" t="normal">MID(I61, 4, 1)</f>
        <v>0</v>
      </c>
      <c r="U64" s="137" t="n">
        <f aca="false" ca="false" dt2D="false" dtr="false" t="normal">T64</f>
        <v>0</v>
      </c>
      <c r="V64" s="120" t="s">
        <v>197</v>
      </c>
      <c r="W64" s="131" t="s">
        <v>196</v>
      </c>
      <c r="X64" s="136" t="n">
        <f aca="false" ca="false" dt2D="false" dtr="false" t="normal">MID(J61, 4, 1)</f>
        <v>0</v>
      </c>
      <c r="Y64" s="137" t="n">
        <f aca="false" ca="false" dt2D="false" dtr="false" t="normal">X64</f>
        <v>0</v>
      </c>
      <c r="Z64" s="120" t="s">
        <v>197</v>
      </c>
      <c r="AA64" s="131" t="s">
        <v>196</v>
      </c>
      <c r="AB64" s="136" t="n">
        <f aca="false" ca="false" dt2D="false" dtr="false" t="normal">MID(K61, 4, 1)</f>
        <v>0</v>
      </c>
      <c r="AC64" s="137" t="n">
        <f aca="false" ca="false" dt2D="false" dtr="false" t="normal">AB64</f>
        <v>0</v>
      </c>
      <c r="AD64" s="120" t="s">
        <v>197</v>
      </c>
      <c r="AE64" s="131" t="s">
        <v>196</v>
      </c>
      <c r="AF64" s="136" t="n">
        <f aca="false" ca="false" dt2D="false" dtr="false" t="normal">MID(L61, 4, 1)</f>
        <v>0</v>
      </c>
      <c r="AG64" s="137" t="n">
        <f aca="false" ca="false" dt2D="false" dtr="false" t="normal">AF64</f>
        <v>0</v>
      </c>
      <c r="AH64" s="120" t="s">
        <v>197</v>
      </c>
      <c r="AI64" s="131" t="s">
        <v>196</v>
      </c>
      <c r="AJ64" s="7915" t="s"/>
      <c r="AK64" s="7916" t="s"/>
    </row>
    <row hidden="false" ht="15.75" outlineLevel="0" r="65">
      <c r="B65" s="63" t="n"/>
      <c r="C65" s="98" t="s">
        <v>176</v>
      </c>
      <c r="D65" s="122" t="n">
        <f aca="false" ca="false" dt2D="false" dtr="false" t="normal">D60</f>
        <v>7</v>
      </c>
      <c r="E65" s="123" t="str">
        <f aca="false" ca="false" dt2D="false" dtr="false" t="normal">E60</f>
        <v>A5</v>
      </c>
      <c r="F65" s="123" t="n">
        <f aca="false" ca="false" dt2D="false" dtr="false" t="normal">F60</f>
        <v>1</v>
      </c>
      <c r="G65" s="124" t="n">
        <f aca="false" ca="false" dt2D="false" dtr="false" t="normal">G60</f>
        <v>6</v>
      </c>
      <c r="H65" s="162" t="n">
        <f aca="false" ca="false" dt2D="false" dtr="false" t="normal">BIN2HEX(H66, 2)</f>
        <v>0</v>
      </c>
      <c r="I65" s="163" t="n">
        <f aca="false" ca="false" dt2D="false" dtr="false" t="normal">BIN2HEX(I66, 2)</f>
        <v>0</v>
      </c>
      <c r="J65" s="164" t="n">
        <f aca="false" ca="false" dt2D="false" dtr="false" t="normal">BIN2HEX(J66, 2)</f>
        <v>0</v>
      </c>
      <c r="K65" s="165" t="n">
        <f aca="false" ca="false" dt2D="false" dtr="false" t="normal">BIN2HEX(K66, 2)</f>
        <v>0</v>
      </c>
      <c r="L65" s="288" t="n">
        <f aca="false" ca="false" dt2D="false" dtr="false" t="normal">BIN2HEX(L66, 2)</f>
        <v>0</v>
      </c>
      <c r="M65" s="166" t="str">
        <f aca="false" ca="false" dt2D="false" dtr="false" t="normal">IF(LEN(M66)&gt;2, MID(M66, 2, 2), M66)</f>
        <v>B3</v>
      </c>
      <c r="N65" s="63" t="s">
        <v>181</v>
      </c>
      <c r="P65" s="136" t="n">
        <f aca="false" ca="false" dt2D="false" dtr="false" t="normal">MID(H61, 5, 1)</f>
        <v>0</v>
      </c>
      <c r="Q65" s="137" t="n">
        <f aca="false" ca="false" dt2D="false" dtr="false" t="normal">P65</f>
        <v>0</v>
      </c>
      <c r="R65" s="120" t="s">
        <v>200</v>
      </c>
      <c r="S65" s="131" t="s">
        <v>196</v>
      </c>
      <c r="T65" s="136" t="n">
        <f aca="false" ca="false" dt2D="false" dtr="false" t="normal">MID(I61, 5, 1)</f>
        <v>0</v>
      </c>
      <c r="U65" s="137" t="n">
        <f aca="false" ca="false" dt2D="false" dtr="false" t="normal">T65</f>
        <v>0</v>
      </c>
      <c r="V65" s="120" t="s">
        <v>200</v>
      </c>
      <c r="W65" s="131" t="s">
        <v>196</v>
      </c>
      <c r="X65" s="136" t="n">
        <f aca="false" ca="false" dt2D="false" dtr="false" t="normal">MID(J61, 5, 1)</f>
        <v>0</v>
      </c>
      <c r="Y65" s="137" t="n">
        <f aca="false" ca="false" dt2D="false" dtr="false" t="normal">X65</f>
        <v>0</v>
      </c>
      <c r="Z65" s="120" t="s">
        <v>200</v>
      </c>
      <c r="AA65" s="131" t="s">
        <v>196</v>
      </c>
      <c r="AB65" s="136" t="n">
        <f aca="false" ca="false" dt2D="false" dtr="false" t="normal">MID(K61, 5, 1)</f>
        <v>0</v>
      </c>
      <c r="AC65" s="137" t="n">
        <f aca="false" ca="false" dt2D="false" dtr="false" t="normal">AB65</f>
        <v>0</v>
      </c>
      <c r="AD65" s="120" t="s">
        <v>200</v>
      </c>
      <c r="AE65" s="131" t="s">
        <v>196</v>
      </c>
      <c r="AF65" s="136" t="n">
        <f aca="false" ca="false" dt2D="false" dtr="false" t="normal">MID(L61, 5, 1)</f>
        <v>0</v>
      </c>
      <c r="AG65" s="137" t="n">
        <f aca="false" ca="false" dt2D="false" dtr="false" t="normal">AF65</f>
        <v>0</v>
      </c>
      <c r="AH65" s="120" t="s">
        <v>200</v>
      </c>
      <c r="AI65" s="131" t="s">
        <v>196</v>
      </c>
      <c r="AJ65" s="7917" t="s"/>
      <c r="AK65" s="7918" t="s"/>
    </row>
    <row hidden="false" ht="15" outlineLevel="0" r="66">
      <c r="B66" s="63" t="n"/>
      <c r="C66" s="98" t="s">
        <v>185</v>
      </c>
      <c r="D66" s="149" t="n">
        <f aca="false" ca="false" dt2D="false" dtr="false" t="normal">HEX2BIN(D65, 8)</f>
        <v>111</v>
      </c>
      <c r="E66" s="149" t="n">
        <f aca="false" ca="false" dt2D="false" dtr="false" t="normal">HEX2BIN(E65, 8)</f>
        <v>10100101</v>
      </c>
      <c r="F66" s="149" t="n">
        <f aca="false" ca="false" dt2D="false" dtr="false" t="normal">HEX2BIN(F65, 8)</f>
        <v>1</v>
      </c>
      <c r="G66" s="149" t="n">
        <f aca="false" ca="false" dt2D="false" dtr="false" t="normal">HEX2BIN(G65, 8)</f>
        <v>110</v>
      </c>
      <c r="H66" s="53" t="n">
        <f aca="false" ca="false" dt2D="false" dtr="false" t="normal">Q61&amp;Q62&amp;Q63&amp;Q64&amp;Q65&amp;Q66&amp;Q67&amp;Q68</f>
        <v>0</v>
      </c>
      <c r="I66" s="53" t="n">
        <f aca="false" ca="false" dt2D="false" dtr="false" t="normal">U61&amp;U62&amp;U63&amp;U64&amp;U65&amp;U66&amp;U67&amp;U68</f>
        <v>0</v>
      </c>
      <c r="J66" s="53" t="n">
        <f aca="false" ca="false" dt2D="false" dtr="false" t="normal">Y61&amp;Y62&amp;Y63&amp;Y64&amp;Y65&amp;Y66&amp;Y67&amp;Y68</f>
        <v>0</v>
      </c>
      <c r="K66" s="53" t="n">
        <f aca="false" ca="false" dt2D="false" dtr="false" t="normal">AC61&amp;AC62&amp;AC63&amp;AC64&amp;AC65&amp;AC66&amp;AC67&amp;AC68</f>
        <v>0</v>
      </c>
      <c r="L66" s="53" t="n">
        <f aca="false" ca="false" dt2D="false" dtr="false" t="normal">AG61&amp;AG62&amp;AG63&amp;AG64&amp;AG65&amp;AG66&amp;AG67&amp;AG68</f>
        <v>0</v>
      </c>
      <c r="M66" s="53" t="str">
        <f aca="false" ca="false" dt2D="false" dtr="false" t="normal">DEC2HEX(M67)</f>
        <v>B3</v>
      </c>
      <c r="N66" s="63" t="n"/>
      <c r="P66" s="136" t="n">
        <f aca="false" ca="false" dt2D="false" dtr="false" t="normal">MID(H61, 6, 1)</f>
        <v>0</v>
      </c>
      <c r="Q66" s="137" t="n">
        <f aca="false" ca="false" dt2D="false" dtr="false" t="normal">P66</f>
        <v>0</v>
      </c>
      <c r="R66" s="120" t="s">
        <v>203</v>
      </c>
      <c r="S66" s="131" t="s">
        <v>196</v>
      </c>
      <c r="T66" s="136" t="n">
        <f aca="false" ca="false" dt2D="false" dtr="false" t="normal">MID(I61, 6, 1)</f>
        <v>0</v>
      </c>
      <c r="U66" s="137" t="n">
        <f aca="false" ca="false" dt2D="false" dtr="false" t="normal">T66</f>
        <v>0</v>
      </c>
      <c r="V66" s="120" t="s">
        <v>203</v>
      </c>
      <c r="W66" s="131" t="s">
        <v>196</v>
      </c>
      <c r="X66" s="136" t="n">
        <f aca="false" ca="false" dt2D="false" dtr="false" t="normal">MID(J61, 6, 1)</f>
        <v>0</v>
      </c>
      <c r="Y66" s="137" t="n">
        <f aca="false" ca="false" dt2D="false" dtr="false" t="normal">X66</f>
        <v>0</v>
      </c>
      <c r="Z66" s="120" t="s">
        <v>203</v>
      </c>
      <c r="AA66" s="131" t="s">
        <v>196</v>
      </c>
      <c r="AB66" s="136" t="n">
        <f aca="false" ca="false" dt2D="false" dtr="false" t="normal">MID(K61, 6, 1)</f>
        <v>0</v>
      </c>
      <c r="AC66" s="137" t="n">
        <f aca="false" ca="false" dt2D="false" dtr="false" t="normal">AB66</f>
        <v>0</v>
      </c>
      <c r="AD66" s="120" t="s">
        <v>203</v>
      </c>
      <c r="AE66" s="131" t="s">
        <v>196</v>
      </c>
      <c r="AF66" s="136" t="n">
        <f aca="false" ca="false" dt2D="false" dtr="false" t="normal">MID(L61, 6, 1)</f>
        <v>0</v>
      </c>
      <c r="AG66" s="137" t="n">
        <f aca="false" ca="false" dt2D="false" dtr="false" t="normal">AF66</f>
        <v>0</v>
      </c>
      <c r="AH66" s="120" t="s">
        <v>203</v>
      </c>
      <c r="AI66" s="131" t="s">
        <v>196</v>
      </c>
      <c r="AJ66" s="7919" t="s"/>
      <c r="AK66" s="7920" t="s"/>
    </row>
    <row hidden="false" ht="15" outlineLevel="0" r="67">
      <c r="B67" s="63" t="n"/>
      <c r="C67" s="98" t="s">
        <v>191</v>
      </c>
      <c r="D67" s="149" t="n">
        <f aca="false" ca="false" dt2D="false" dtr="false" t="normal">HEX2DEC(D65)</f>
        <v>7</v>
      </c>
      <c r="E67" s="149" t="n">
        <f aca="false" ca="false" dt2D="false" dtr="false" t="normal">HEX2DEC(E65)</f>
        <v>165</v>
      </c>
      <c r="F67" s="149" t="n">
        <f aca="false" ca="false" dt2D="false" dtr="false" t="normal">HEX2DEC(F65)</f>
        <v>1</v>
      </c>
      <c r="G67" s="149" t="n">
        <f aca="false" ca="false" dt2D="false" dtr="false" t="normal">HEX2DEC(G65)</f>
        <v>6</v>
      </c>
      <c r="H67" s="53" t="n">
        <f aca="false" ca="false" dt2D="false" dtr="false" t="normal">HEX2DEC(H65)</f>
        <v>0</v>
      </c>
      <c r="I67" s="53" t="n">
        <f aca="false" ca="false" dt2D="false" dtr="false" t="normal">HEX2DEC(I65)</f>
        <v>0</v>
      </c>
      <c r="J67" s="53" t="n">
        <f aca="false" ca="false" dt2D="false" dtr="false" t="normal">HEX2DEC(J65)</f>
        <v>0</v>
      </c>
      <c r="K67" s="53" t="n">
        <f aca="false" ca="false" dt2D="false" dtr="false" t="normal">HEX2DEC(K65)</f>
        <v>0</v>
      </c>
      <c r="L67" s="53" t="n">
        <f aca="false" ca="false" dt2D="false" dtr="false" t="normal">HEX2DEC(L65)</f>
        <v>0</v>
      </c>
      <c r="M67" s="53" t="n">
        <f aca="false" ca="false" dt2D="false" dtr="false" t="normal">SUM(D67:L67)</f>
        <v>179</v>
      </c>
      <c r="N67" s="63" t="n"/>
      <c r="P67" s="136" t="n">
        <f aca="false" ca="false" dt2D="false" dtr="false" t="normal">MID(H61, 7, 1)</f>
        <v>0</v>
      </c>
      <c r="Q67" s="137" t="n">
        <f aca="false" ca="false" dt2D="false" dtr="false" t="normal">P67</f>
        <v>0</v>
      </c>
      <c r="R67" s="120" t="s">
        <v>206</v>
      </c>
      <c r="S67" s="131" t="s">
        <v>196</v>
      </c>
      <c r="T67" s="136" t="n">
        <f aca="false" ca="false" dt2D="false" dtr="false" t="normal">MID(I61, 7, 1)</f>
        <v>0</v>
      </c>
      <c r="U67" s="137" t="n">
        <f aca="false" ca="false" dt2D="false" dtr="false" t="normal">T67</f>
        <v>0</v>
      </c>
      <c r="V67" s="120" t="s">
        <v>206</v>
      </c>
      <c r="W67" s="131" t="s">
        <v>196</v>
      </c>
      <c r="X67" s="136" t="n">
        <f aca="false" ca="false" dt2D="false" dtr="false" t="normal">MID(J61, 7, 1)</f>
        <v>0</v>
      </c>
      <c r="Y67" s="137" t="n">
        <f aca="false" ca="false" dt2D="false" dtr="false" t="normal">X67</f>
        <v>0</v>
      </c>
      <c r="Z67" s="120" t="s">
        <v>206</v>
      </c>
      <c r="AA67" s="131" t="s">
        <v>196</v>
      </c>
      <c r="AB67" s="136" t="n">
        <f aca="false" ca="false" dt2D="false" dtr="false" t="normal">MID(K61, 7, 1)</f>
        <v>0</v>
      </c>
      <c r="AC67" s="137" t="n">
        <f aca="false" ca="false" dt2D="false" dtr="false" t="normal">AB67</f>
        <v>0</v>
      </c>
      <c r="AD67" s="120" t="s">
        <v>206</v>
      </c>
      <c r="AE67" s="131" t="s">
        <v>196</v>
      </c>
      <c r="AF67" s="136" t="n">
        <f aca="false" ca="false" dt2D="false" dtr="false" t="normal">MID(L61, 7, 1)</f>
        <v>0</v>
      </c>
      <c r="AG67" s="137" t="n">
        <f aca="false" ca="false" dt2D="false" dtr="false" t="normal">AF67</f>
        <v>0</v>
      </c>
      <c r="AH67" s="120" t="s">
        <v>206</v>
      </c>
      <c r="AI67" s="131" t="s">
        <v>196</v>
      </c>
      <c r="AJ67" s="7921" t="s"/>
      <c r="AK67" s="7922" t="s"/>
    </row>
    <row hidden="false" ht="15.75" outlineLevel="0" r="68">
      <c r="B68" s="63" t="n"/>
      <c r="C68" s="180" t="s">
        <v>194</v>
      </c>
      <c r="D68" s="181" t="n">
        <f aca="false" ca="false" dt2D="false" dtr="false" t="normal">D63</f>
        <v>7</v>
      </c>
      <c r="E68" s="181" t="str">
        <f aca="false" ca="false" dt2D="false" dtr="false" t="normal">E63</f>
        <v>A5</v>
      </c>
      <c r="F68" s="181" t="str">
        <f aca="false" ca="false" dt2D="false" dtr="false" t="normal">F63</f>
        <v>G1</v>
      </c>
      <c r="G68" s="181" t="str">
        <f aca="false" ca="false" dt2D="false" dtr="false" t="normal">G63</f>
        <v>G6</v>
      </c>
      <c r="H68" s="45" t="n"/>
      <c r="I68" s="45" t="n"/>
      <c r="J68" s="45" t="n"/>
      <c r="K68" s="45" t="n"/>
      <c r="L68" s="45" t="n"/>
      <c r="M68" s="45" t="n"/>
      <c r="N68" s="49" t="n"/>
      <c r="P68" s="182" t="n">
        <f aca="false" ca="false" dt2D="false" dtr="false" t="normal">MID(H61, 8, 1)</f>
        <v>0</v>
      </c>
      <c r="Q68" s="183" t="n">
        <f aca="false" ca="false" dt2D="false" dtr="false" t="normal">P68</f>
        <v>0</v>
      </c>
      <c r="R68" s="184" t="s">
        <v>208</v>
      </c>
      <c r="S68" s="185" t="s">
        <v>196</v>
      </c>
      <c r="T68" s="182" t="n">
        <f aca="false" ca="false" dt2D="false" dtr="false" t="normal">MID(I61, 8, 1)</f>
        <v>0</v>
      </c>
      <c r="U68" s="183" t="n">
        <f aca="false" ca="false" dt2D="false" dtr="false" t="normal">T68</f>
        <v>0</v>
      </c>
      <c r="V68" s="184" t="s">
        <v>208</v>
      </c>
      <c r="W68" s="185" t="s">
        <v>196</v>
      </c>
      <c r="X68" s="182" t="n">
        <f aca="false" ca="false" dt2D="false" dtr="false" t="normal">MID(J61, 8, 1)</f>
        <v>0</v>
      </c>
      <c r="Y68" s="183" t="n">
        <f aca="false" ca="false" dt2D="false" dtr="false" t="normal">X68</f>
        <v>0</v>
      </c>
      <c r="Z68" s="184" t="s">
        <v>208</v>
      </c>
      <c r="AA68" s="185" t="s">
        <v>196</v>
      </c>
      <c r="AB68" s="182" t="n">
        <f aca="false" ca="false" dt2D="false" dtr="false" t="normal">MID(K61, 8, 1)</f>
        <v>0</v>
      </c>
      <c r="AC68" s="183" t="n">
        <f aca="false" ca="false" dt2D="false" dtr="false" t="normal">AB68</f>
        <v>0</v>
      </c>
      <c r="AD68" s="184" t="s">
        <v>208</v>
      </c>
      <c r="AE68" s="185" t="s">
        <v>196</v>
      </c>
      <c r="AF68" s="182" t="n">
        <f aca="false" ca="false" dt2D="false" dtr="false" t="normal">MID(L61, 8, 1)</f>
        <v>0</v>
      </c>
      <c r="AG68" s="183" t="n">
        <f aca="false" ca="false" dt2D="false" dtr="false" t="normal">AF68</f>
        <v>0</v>
      </c>
      <c r="AH68" s="184" t="s">
        <v>208</v>
      </c>
      <c r="AI68" s="185" t="s">
        <v>196</v>
      </c>
      <c r="AJ68" s="7923" t="s"/>
      <c r="AK68" s="7924" t="s"/>
    </row>
    <row customHeight="true" hidden="false" ht="15.75" outlineLevel="0" r="69">
      <c r="B69" s="63" t="n"/>
      <c r="C69" s="93" t="n"/>
      <c r="D69" s="7585" t="n"/>
      <c r="E69" s="7585" t="n"/>
      <c r="F69" s="7585" t="n"/>
      <c r="G69" s="7585" t="n"/>
      <c r="H69" s="94" t="n"/>
      <c r="I69" s="94" t="n"/>
      <c r="J69" s="94" t="n"/>
      <c r="K69" s="94" t="n"/>
      <c r="L69" s="94" t="n"/>
      <c r="M69" s="94" t="s">
        <v>161</v>
      </c>
      <c r="N69" s="60" t="n"/>
      <c r="P69" s="95" t="str">
        <f aca="false" ca="false" dt2D="false" dtr="false" t="normal">RIGHT(D71, 1)&amp;E71&amp;"-"&amp;F71&amp;"-"&amp;G71</f>
        <v>7A5-01-07</v>
      </c>
      <c r="Q69" s="7925" t="s"/>
      <c r="R69" s="234" t="s">
        <v>3984</v>
      </c>
      <c r="S69" s="7926" t="s"/>
      <c r="T69" s="7927" t="s"/>
      <c r="U69" s="7928" t="s"/>
      <c r="V69" s="7929" t="s"/>
      <c r="W69" s="7930" t="s"/>
      <c r="X69" s="7931" t="s"/>
      <c r="Y69" s="7932" t="s"/>
      <c r="Z69" s="7933" t="s"/>
      <c r="AA69" s="7934" t="s"/>
      <c r="AB69" s="7935" t="s"/>
      <c r="AC69" s="7936" t="s"/>
      <c r="AD69" s="7937" t="s"/>
      <c r="AE69" s="7938" t="s"/>
      <c r="AF69" s="7939" t="s"/>
      <c r="AG69" s="7940" t="s"/>
      <c r="AH69" s="7941" t="s"/>
      <c r="AI69" s="7942" t="s"/>
      <c r="AJ69" s="7943" t="s"/>
      <c r="AK69" s="7944" t="s"/>
    </row>
    <row hidden="false" ht="15.75" outlineLevel="0" r="70">
      <c r="B70" s="63" t="n"/>
      <c r="C70" s="98" t="n"/>
      <c r="D70" s="7606" t="s">
        <v>3985</v>
      </c>
      <c r="E70" s="7945" t="s"/>
      <c r="F70" s="7946" t="s"/>
      <c r="G70" s="7947" t="s"/>
      <c r="H70" s="53" t="s">
        <v>165</v>
      </c>
      <c r="I70" s="53" t="s">
        <v>166</v>
      </c>
      <c r="J70" s="53" t="s">
        <v>167</v>
      </c>
      <c r="K70" s="53" t="s">
        <v>168</v>
      </c>
      <c r="L70" s="53" t="s">
        <v>169</v>
      </c>
      <c r="M70" s="53" t="s">
        <v>221</v>
      </c>
      <c r="N70" s="63" t="n"/>
      <c r="P70" s="103" t="s">
        <v>3986</v>
      </c>
      <c r="Q70" s="7948" t="s"/>
      <c r="R70" s="7949" t="s"/>
      <c r="S70" s="7950" t="s"/>
      <c r="T70" s="103" t="s">
        <v>3987</v>
      </c>
      <c r="U70" s="7951" t="s"/>
      <c r="V70" s="7952" t="s"/>
      <c r="W70" s="7953" t="s"/>
      <c r="X70" s="103" t="s">
        <v>3988</v>
      </c>
      <c r="Y70" s="7954" t="s"/>
      <c r="Z70" s="7955" t="s"/>
      <c r="AA70" s="7956" t="s"/>
      <c r="AB70" s="103" t="s">
        <v>3989</v>
      </c>
      <c r="AC70" s="7957" t="s"/>
      <c r="AD70" s="7958" t="s"/>
      <c r="AE70" s="7959" t="s"/>
      <c r="AF70" s="103" t="s">
        <v>3990</v>
      </c>
      <c r="AG70" s="7960" t="s"/>
      <c r="AH70" s="7961" t="s"/>
      <c r="AI70" s="7962" t="s"/>
      <c r="AJ70" s="103" t="s">
        <v>3991</v>
      </c>
      <c r="AK70" s="7963" t="s"/>
    </row>
    <row hidden="false" ht="15.75" outlineLevel="0" r="71">
      <c r="C71" s="98" t="s">
        <v>176</v>
      </c>
      <c r="D71" s="122" t="s">
        <v>177</v>
      </c>
      <c r="E71" s="123" t="s">
        <v>3892</v>
      </c>
      <c r="F71" s="123" t="s">
        <v>179</v>
      </c>
      <c r="G71" s="124" t="s">
        <v>177</v>
      </c>
      <c r="H71" s="273" t="n">
        <f aca="false" ca="false" dt2D="false" dtr="false" t="normal">MID($A$10, 8, 2)</f>
        <v>0</v>
      </c>
      <c r="I71" s="7626" t="n">
        <f aca="false" ca="false" dt2D="false" dtr="false" t="normal">MID($A$10, 10, 2)</f>
        <v>0</v>
      </c>
      <c r="J71" s="7626" t="n">
        <f aca="false" ca="false" dt2D="false" dtr="false" t="normal">MID($A$10, 12, 2)</f>
        <v>0</v>
      </c>
      <c r="K71" s="7626" t="n">
        <f aca="false" ca="false" dt2D="false" dtr="false" t="normal">MID($A$10, 14, 2)</f>
        <v>0</v>
      </c>
      <c r="L71" s="7627" t="n">
        <f aca="false" ca="false" dt2D="false" dtr="false" t="normal">MID($A$10, 16, 2)</f>
        <v>0</v>
      </c>
      <c r="M71" s="7553" t="str">
        <f aca="false" ca="false" dt2D="false" dtr="false" t="normal">MID($A$10, 18, 2)</f>
        <v>B4</v>
      </c>
      <c r="N71" s="63" t="s">
        <v>180</v>
      </c>
      <c r="P71" s="129" t="s">
        <v>180</v>
      </c>
      <c r="Q71" s="130" t="s">
        <v>181</v>
      </c>
      <c r="R71" s="121" t="s">
        <v>182</v>
      </c>
      <c r="S71" s="131" t="n"/>
      <c r="T71" s="129" t="s">
        <v>180</v>
      </c>
      <c r="U71" s="130" t="s">
        <v>181</v>
      </c>
      <c r="V71" s="121" t="s">
        <v>182</v>
      </c>
      <c r="W71" s="131" t="n"/>
      <c r="X71" s="129" t="s">
        <v>180</v>
      </c>
      <c r="Y71" s="130" t="s">
        <v>181</v>
      </c>
      <c r="Z71" s="121" t="s">
        <v>182</v>
      </c>
      <c r="AA71" s="131" t="n"/>
      <c r="AB71" s="129" t="s">
        <v>180</v>
      </c>
      <c r="AC71" s="130" t="s">
        <v>181</v>
      </c>
      <c r="AD71" s="121" t="s">
        <v>182</v>
      </c>
      <c r="AE71" s="131" t="n"/>
      <c r="AF71" s="129" t="s">
        <v>180</v>
      </c>
      <c r="AG71" s="130" t="s">
        <v>181</v>
      </c>
      <c r="AH71" s="121" t="s">
        <v>182</v>
      </c>
      <c r="AI71" s="121" t="n"/>
      <c r="AJ71" s="116" t="s">
        <v>183</v>
      </c>
      <c r="AK71" s="7964" t="s"/>
    </row>
    <row hidden="false" ht="15" outlineLevel="0" r="72">
      <c r="C72" s="98" t="s">
        <v>185</v>
      </c>
      <c r="D72" s="149" t="n">
        <f aca="false" ca="false" dt2D="false" dtr="false" t="normal">HEX2BIN(D71, 8)</f>
        <v>111</v>
      </c>
      <c r="E72" s="149" t="n">
        <f aca="false" ca="false" dt2D="false" dtr="false" t="normal">HEX2BIN(E71, 8)</f>
        <v>10100101</v>
      </c>
      <c r="F72" s="149" t="n">
        <f aca="false" ca="false" dt2D="false" dtr="false" t="normal">HEX2BIN(F71, 8)</f>
        <v>1</v>
      </c>
      <c r="G72" s="149" t="n">
        <f aca="false" ca="false" dt2D="false" dtr="false" t="normal">HEX2BIN(G71, 8)</f>
        <v>111</v>
      </c>
      <c r="H72" s="53" t="n">
        <f aca="false" ca="false" dt2D="false" dtr="false" t="normal">HEX2BIN(H71, 8)</f>
        <v>0</v>
      </c>
      <c r="I72" s="53" t="n">
        <f aca="false" ca="false" dt2D="false" dtr="false" t="normal">HEX2BIN(I71, 8)</f>
        <v>0</v>
      </c>
      <c r="J72" s="53" t="n">
        <f aca="false" ca="false" dt2D="false" dtr="false" t="normal">HEX2BIN(J71, 8)</f>
        <v>0</v>
      </c>
      <c r="K72" s="53" t="n">
        <f aca="false" ca="false" dt2D="false" dtr="false" t="normal">HEX2BIN(K71, 8)</f>
        <v>0</v>
      </c>
      <c r="L72" s="53" t="n">
        <f aca="false" ca="false" dt2D="false" dtr="false" t="normal">HEX2BIN(L71, 8)</f>
        <v>0</v>
      </c>
      <c r="M72" s="53" t="n"/>
      <c r="N72" s="63" t="n"/>
      <c r="P72" s="136" t="n">
        <f aca="false" ca="false" dt2D="false" dtr="false" t="normal">MID(H72, 1, 1)</f>
        <v>0</v>
      </c>
      <c r="Q72" s="137" t="n">
        <f aca="false" ca="false" dt2D="false" dtr="false" t="normal">P72</f>
        <v>0</v>
      </c>
      <c r="R72" s="120" t="s">
        <v>186</v>
      </c>
      <c r="S72" s="131" t="s">
        <v>196</v>
      </c>
      <c r="T72" s="136" t="n">
        <f aca="false" ca="false" dt2D="false" dtr="false" t="normal">MID(I72, 1, 1)</f>
        <v>0</v>
      </c>
      <c r="U72" s="137" t="n">
        <f aca="false" ca="false" dt2D="false" dtr="false" t="normal">T72</f>
        <v>0</v>
      </c>
      <c r="V72" s="120" t="s">
        <v>186</v>
      </c>
      <c r="W72" s="131" t="s">
        <v>196</v>
      </c>
      <c r="X72" s="136" t="n">
        <f aca="false" ca="false" dt2D="false" dtr="false" t="normal">MID(J72, 1, 1)</f>
        <v>0</v>
      </c>
      <c r="Y72" s="137" t="n">
        <f aca="false" ca="false" dt2D="false" dtr="false" t="normal">X72</f>
        <v>0</v>
      </c>
      <c r="Z72" s="120" t="s">
        <v>186</v>
      </c>
      <c r="AA72" s="131" t="s">
        <v>196</v>
      </c>
      <c r="AB72" s="136" t="n">
        <f aca="false" ca="false" dt2D="false" dtr="false" t="normal">MID(K72, 1, 1)</f>
        <v>0</v>
      </c>
      <c r="AC72" s="137" t="n">
        <f aca="false" ca="false" dt2D="false" dtr="false" t="normal">AB72</f>
        <v>0</v>
      </c>
      <c r="AD72" s="120" t="s">
        <v>186</v>
      </c>
      <c r="AE72" s="131" t="s">
        <v>196</v>
      </c>
      <c r="AF72" s="136" t="n">
        <f aca="false" ca="false" dt2D="false" dtr="false" t="normal">MID(L72, 1, 1)</f>
        <v>0</v>
      </c>
      <c r="AG72" s="137" t="n">
        <f aca="false" ca="false" dt2D="false" dtr="false" t="normal">AF72</f>
        <v>0</v>
      </c>
      <c r="AH72" s="120" t="s">
        <v>186</v>
      </c>
      <c r="AI72" s="131" t="s">
        <v>196</v>
      </c>
      <c r="AJ72" s="7965" t="s"/>
      <c r="AK72" s="7966" t="s"/>
    </row>
    <row hidden="false" ht="15" outlineLevel="0" r="73">
      <c r="C73" s="98" t="s">
        <v>191</v>
      </c>
      <c r="D73" s="149" t="n">
        <f aca="false" ca="false" dt2D="false" dtr="false" t="normal">HEX2DEC(D71)</f>
        <v>7</v>
      </c>
      <c r="E73" s="149" t="n">
        <f aca="false" ca="false" dt2D="false" dtr="false" t="normal">HEX2DEC(E71)</f>
        <v>165</v>
      </c>
      <c r="F73" s="149" t="n">
        <f aca="false" ca="false" dt2D="false" dtr="false" t="normal">HEX2DEC(F71)</f>
        <v>1</v>
      </c>
      <c r="G73" s="149" t="n">
        <f aca="false" ca="false" dt2D="false" dtr="false" t="normal">HEX2DEC(G71)</f>
        <v>7</v>
      </c>
      <c r="H73" s="53" t="n">
        <f aca="false" ca="false" dt2D="false" dtr="false" t="normal">HEX2DEC(H71)</f>
        <v>0</v>
      </c>
      <c r="I73" s="53" t="n">
        <f aca="false" ca="false" dt2D="false" dtr="false" t="normal">HEX2DEC(I71)</f>
        <v>0</v>
      </c>
      <c r="J73" s="53" t="n">
        <f aca="false" ca="false" dt2D="false" dtr="false" t="normal">HEX2DEC(J71)</f>
        <v>0</v>
      </c>
      <c r="K73" s="53" t="n">
        <f aca="false" ca="false" dt2D="false" dtr="false" t="normal">HEX2DEC(K71)</f>
        <v>0</v>
      </c>
      <c r="L73" s="53" t="n">
        <f aca="false" ca="false" dt2D="false" dtr="false" t="normal">HEX2DEC(L71)</f>
        <v>0</v>
      </c>
      <c r="M73" s="53" t="n">
        <f aca="false" ca="false" dt2D="false" dtr="false" t="normal">SUM(D73:L73)</f>
        <v>180</v>
      </c>
      <c r="N73" s="63" t="n"/>
      <c r="P73" s="136" t="n">
        <f aca="false" ca="false" dt2D="false" dtr="false" t="normal">MID(H72, 2, 1)</f>
        <v>0</v>
      </c>
      <c r="Q73" s="137" t="n">
        <f aca="false" ca="false" dt2D="false" dtr="false" t="normal">P73</f>
        <v>0</v>
      </c>
      <c r="R73" s="120" t="s">
        <v>192</v>
      </c>
      <c r="S73" s="131" t="s">
        <v>196</v>
      </c>
      <c r="T73" s="136" t="n">
        <f aca="false" ca="false" dt2D="false" dtr="false" t="normal">MID(I72, 2, 1)</f>
        <v>0</v>
      </c>
      <c r="U73" s="137" t="n">
        <f aca="false" ca="false" dt2D="false" dtr="false" t="normal">T73</f>
        <v>0</v>
      </c>
      <c r="V73" s="120" t="s">
        <v>192</v>
      </c>
      <c r="W73" s="131" t="s">
        <v>196</v>
      </c>
      <c r="X73" s="136" t="n">
        <f aca="false" ca="false" dt2D="false" dtr="false" t="normal">MID(J72, 2, 1)</f>
        <v>0</v>
      </c>
      <c r="Y73" s="137" t="n">
        <f aca="false" ca="false" dt2D="false" dtr="false" t="normal">X73</f>
        <v>0</v>
      </c>
      <c r="Z73" s="120" t="s">
        <v>192</v>
      </c>
      <c r="AA73" s="131" t="s">
        <v>196</v>
      </c>
      <c r="AB73" s="136" t="n">
        <f aca="false" ca="false" dt2D="false" dtr="false" t="normal">MID(K72, 2, 1)</f>
        <v>0</v>
      </c>
      <c r="AC73" s="137" t="n">
        <f aca="false" ca="false" dt2D="false" dtr="false" t="normal">AB73</f>
        <v>0</v>
      </c>
      <c r="AD73" s="120" t="s">
        <v>192</v>
      </c>
      <c r="AE73" s="131" t="s">
        <v>196</v>
      </c>
      <c r="AF73" s="136" t="n">
        <f aca="false" ca="false" dt2D="false" dtr="false" t="normal">MID(L72, 2, 1)</f>
        <v>0</v>
      </c>
      <c r="AG73" s="137" t="n">
        <f aca="false" ca="false" dt2D="false" dtr="false" t="normal">AF73</f>
        <v>0</v>
      </c>
      <c r="AH73" s="120" t="s">
        <v>192</v>
      </c>
      <c r="AI73" s="131" t="s">
        <v>196</v>
      </c>
      <c r="AJ73" s="7967" t="s"/>
      <c r="AK73" s="7968" t="s"/>
    </row>
    <row hidden="false" ht="15" outlineLevel="0" r="74">
      <c r="C74" s="98" t="s">
        <v>194</v>
      </c>
      <c r="D74" s="149" t="n">
        <f aca="false" ca="false" dt2D="false" dtr="false" t="normal">D71</f>
        <v>7</v>
      </c>
      <c r="E74" s="149" t="str">
        <f aca="false" ca="false" dt2D="false" dtr="false" t="normal">E71</f>
        <v>A5</v>
      </c>
      <c r="F74" s="149" t="str">
        <f aca="false" ca="false" dt2D="false" dtr="false" t="normal">MID($A$10, 4, 2)</f>
        <v>G1</v>
      </c>
      <c r="G74" s="149" t="str">
        <f aca="false" ca="false" dt2D="false" dtr="false" t="normal">MID($A$10, 6, 2)</f>
        <v>G7</v>
      </c>
      <c r="N74" s="63" t="n"/>
      <c r="P74" s="136" t="n">
        <f aca="false" ca="false" dt2D="false" dtr="false" t="normal">MID(H72, 3, 1)</f>
        <v>0</v>
      </c>
      <c r="Q74" s="137" t="n">
        <f aca="false" ca="false" dt2D="false" dtr="false" t="normal">P74</f>
        <v>0</v>
      </c>
      <c r="R74" s="120" t="s">
        <v>195</v>
      </c>
      <c r="S74" s="131" t="s">
        <v>196</v>
      </c>
      <c r="T74" s="136" t="n">
        <f aca="false" ca="false" dt2D="false" dtr="false" t="normal">MID(I72, 3, 1)</f>
        <v>0</v>
      </c>
      <c r="U74" s="137" t="n">
        <f aca="false" ca="false" dt2D="false" dtr="false" t="normal">T74</f>
        <v>0</v>
      </c>
      <c r="V74" s="120" t="s">
        <v>195</v>
      </c>
      <c r="W74" s="131" t="s">
        <v>196</v>
      </c>
      <c r="X74" s="136" t="n">
        <f aca="false" ca="false" dt2D="false" dtr="false" t="normal">MID(J72, 3, 1)</f>
        <v>0</v>
      </c>
      <c r="Y74" s="137" t="n">
        <f aca="false" ca="false" dt2D="false" dtr="false" t="normal">X74</f>
        <v>0</v>
      </c>
      <c r="Z74" s="120" t="s">
        <v>195</v>
      </c>
      <c r="AA74" s="131" t="s">
        <v>196</v>
      </c>
      <c r="AB74" s="136" t="n">
        <f aca="false" ca="false" dt2D="false" dtr="false" t="normal">MID(K72, 3, 1)</f>
        <v>0</v>
      </c>
      <c r="AC74" s="137" t="n">
        <f aca="false" ca="false" dt2D="false" dtr="false" t="normal">AB74</f>
        <v>0</v>
      </c>
      <c r="AD74" s="120" t="s">
        <v>195</v>
      </c>
      <c r="AE74" s="131" t="s">
        <v>196</v>
      </c>
      <c r="AF74" s="136" t="n">
        <f aca="false" ca="false" dt2D="false" dtr="false" t="normal">MID(L72, 3, 1)</f>
        <v>0</v>
      </c>
      <c r="AG74" s="137" t="n">
        <f aca="false" ca="false" dt2D="false" dtr="false" t="normal">AF74</f>
        <v>0</v>
      </c>
      <c r="AH74" s="120" t="s">
        <v>195</v>
      </c>
      <c r="AI74" s="131" t="s">
        <v>196</v>
      </c>
      <c r="AJ74" s="7969" t="s"/>
      <c r="AK74" s="7970" t="s"/>
    </row>
    <row hidden="false" ht="15.75" outlineLevel="0" r="75">
      <c r="C75" s="98" t="n"/>
      <c r="N75" s="63" t="n"/>
      <c r="P75" s="136" t="n">
        <f aca="false" ca="false" dt2D="false" dtr="false" t="normal">MID(H72, 4, 1)</f>
        <v>0</v>
      </c>
      <c r="Q75" s="137" t="n">
        <f aca="false" ca="false" dt2D="false" dtr="false" t="normal">P75</f>
        <v>0</v>
      </c>
      <c r="R75" s="120" t="s">
        <v>197</v>
      </c>
      <c r="S75" s="131" t="s">
        <v>196</v>
      </c>
      <c r="T75" s="136" t="n">
        <f aca="false" ca="false" dt2D="false" dtr="false" t="normal">MID(I72, 4, 1)</f>
        <v>0</v>
      </c>
      <c r="U75" s="137" t="n">
        <f aca="false" ca="false" dt2D="false" dtr="false" t="normal">T75</f>
        <v>0</v>
      </c>
      <c r="V75" s="120" t="s">
        <v>197</v>
      </c>
      <c r="W75" s="131" t="s">
        <v>196</v>
      </c>
      <c r="X75" s="136" t="n">
        <f aca="false" ca="false" dt2D="false" dtr="false" t="normal">MID(J72, 4, 1)</f>
        <v>0</v>
      </c>
      <c r="Y75" s="137" t="n">
        <f aca="false" ca="false" dt2D="false" dtr="false" t="normal">X75</f>
        <v>0</v>
      </c>
      <c r="Z75" s="120" t="s">
        <v>197</v>
      </c>
      <c r="AA75" s="131" t="s">
        <v>196</v>
      </c>
      <c r="AB75" s="136" t="n">
        <f aca="false" ca="false" dt2D="false" dtr="false" t="normal">MID(K72, 4, 1)</f>
        <v>0</v>
      </c>
      <c r="AC75" s="137" t="n">
        <f aca="false" ca="false" dt2D="false" dtr="false" t="normal">AB75</f>
        <v>0</v>
      </c>
      <c r="AD75" s="120" t="s">
        <v>197</v>
      </c>
      <c r="AE75" s="131" t="s">
        <v>196</v>
      </c>
      <c r="AF75" s="136" t="n">
        <f aca="false" ca="false" dt2D="false" dtr="false" t="normal">MID(L72, 4, 1)</f>
        <v>0</v>
      </c>
      <c r="AG75" s="137" t="n">
        <f aca="false" ca="false" dt2D="false" dtr="false" t="normal">AF75</f>
        <v>0</v>
      </c>
      <c r="AH75" s="120" t="s">
        <v>197</v>
      </c>
      <c r="AI75" s="131" t="s">
        <v>196</v>
      </c>
      <c r="AJ75" s="7971" t="s"/>
      <c r="AK75" s="7972" t="s"/>
    </row>
    <row hidden="false" ht="15.75" outlineLevel="0" r="76">
      <c r="C76" s="98" t="s">
        <v>176</v>
      </c>
      <c r="D76" s="122" t="n">
        <f aca="false" ca="false" dt2D="false" dtr="false" t="normal">D71</f>
        <v>7</v>
      </c>
      <c r="E76" s="123" t="str">
        <f aca="false" ca="false" dt2D="false" dtr="false" t="normal">E71</f>
        <v>A5</v>
      </c>
      <c r="F76" s="123" t="n">
        <f aca="false" ca="false" dt2D="false" dtr="false" t="normal">F71</f>
        <v>1</v>
      </c>
      <c r="G76" s="124" t="n">
        <f aca="false" ca="false" dt2D="false" dtr="false" t="normal">G71</f>
        <v>7</v>
      </c>
      <c r="H76" s="162" t="n">
        <f aca="false" ca="false" dt2D="false" dtr="false" t="normal">BIN2HEX(H77, 2)</f>
        <v>0</v>
      </c>
      <c r="I76" s="163" t="n">
        <f aca="false" ca="false" dt2D="false" dtr="false" t="normal">BIN2HEX(I77, 2)</f>
        <v>0</v>
      </c>
      <c r="J76" s="164" t="n">
        <f aca="false" ca="false" dt2D="false" dtr="false" t="normal">BIN2HEX(J77, 2)</f>
        <v>0</v>
      </c>
      <c r="K76" s="165" t="n">
        <f aca="false" ca="false" dt2D="false" dtr="false" t="normal">BIN2HEX(K77, 2)</f>
        <v>0</v>
      </c>
      <c r="L76" s="288" t="n">
        <f aca="false" ca="false" dt2D="false" dtr="false" t="normal">BIN2HEX(L77, 2)</f>
        <v>0</v>
      </c>
      <c r="M76" s="166" t="str">
        <f aca="false" ca="false" dt2D="false" dtr="false" t="normal">IF(LEN(M77)&gt;2, MID(M77, 2, 2), M77)</f>
        <v>B4</v>
      </c>
      <c r="N76" s="63" t="s">
        <v>181</v>
      </c>
      <c r="P76" s="136" t="n">
        <f aca="false" ca="false" dt2D="false" dtr="false" t="normal">MID(H72, 5, 1)</f>
        <v>0</v>
      </c>
      <c r="Q76" s="137" t="n">
        <f aca="false" ca="false" dt2D="false" dtr="false" t="normal">P76</f>
        <v>0</v>
      </c>
      <c r="R76" s="120" t="s">
        <v>200</v>
      </c>
      <c r="S76" s="131" t="s">
        <v>196</v>
      </c>
      <c r="T76" s="136" t="n">
        <f aca="false" ca="false" dt2D="false" dtr="false" t="normal">MID(I72, 5, 1)</f>
        <v>0</v>
      </c>
      <c r="U76" s="137" t="n">
        <f aca="false" ca="false" dt2D="false" dtr="false" t="normal">T76</f>
        <v>0</v>
      </c>
      <c r="V76" s="120" t="s">
        <v>200</v>
      </c>
      <c r="W76" s="131" t="s">
        <v>196</v>
      </c>
      <c r="X76" s="136" t="n">
        <f aca="false" ca="false" dt2D="false" dtr="false" t="normal">MID(J72, 5, 1)</f>
        <v>0</v>
      </c>
      <c r="Y76" s="137" t="n">
        <f aca="false" ca="false" dt2D="false" dtr="false" t="normal">X76</f>
        <v>0</v>
      </c>
      <c r="Z76" s="120" t="s">
        <v>200</v>
      </c>
      <c r="AA76" s="131" t="s">
        <v>196</v>
      </c>
      <c r="AB76" s="136" t="n">
        <f aca="false" ca="false" dt2D="false" dtr="false" t="normal">MID(K72, 5, 1)</f>
        <v>0</v>
      </c>
      <c r="AC76" s="137" t="n">
        <f aca="false" ca="false" dt2D="false" dtr="false" t="normal">AB76</f>
        <v>0</v>
      </c>
      <c r="AD76" s="120" t="s">
        <v>200</v>
      </c>
      <c r="AE76" s="131" t="s">
        <v>196</v>
      </c>
      <c r="AF76" s="136" t="n">
        <f aca="false" ca="false" dt2D="false" dtr="false" t="normal">MID(L72, 5, 1)</f>
        <v>0</v>
      </c>
      <c r="AG76" s="137" t="n">
        <f aca="false" ca="false" dt2D="false" dtr="false" t="normal">AF76</f>
        <v>0</v>
      </c>
      <c r="AH76" s="120" t="s">
        <v>200</v>
      </c>
      <c r="AI76" s="131" t="s">
        <v>196</v>
      </c>
      <c r="AJ76" s="7973" t="s"/>
      <c r="AK76" s="7974" t="s"/>
    </row>
    <row hidden="false" ht="15" outlineLevel="0" r="77">
      <c r="C77" s="98" t="s">
        <v>185</v>
      </c>
      <c r="D77" s="149" t="n">
        <f aca="false" ca="false" dt2D="false" dtr="false" t="normal">HEX2BIN(D76, 8)</f>
        <v>111</v>
      </c>
      <c r="E77" s="149" t="n">
        <f aca="false" ca="false" dt2D="false" dtr="false" t="normal">HEX2BIN(E76, 8)</f>
        <v>10100101</v>
      </c>
      <c r="F77" s="149" t="n">
        <f aca="false" ca="false" dt2D="false" dtr="false" t="normal">HEX2BIN(F76, 8)</f>
        <v>1</v>
      </c>
      <c r="G77" s="149" t="n">
        <f aca="false" ca="false" dt2D="false" dtr="false" t="normal">HEX2BIN(G76, 8)</f>
        <v>111</v>
      </c>
      <c r="H77" s="53" t="n">
        <f aca="false" ca="false" dt2D="false" dtr="false" t="normal">Q72&amp;Q73&amp;Q74&amp;Q75&amp;Q76&amp;Q77&amp;Q78&amp;Q79</f>
        <v>0</v>
      </c>
      <c r="I77" s="53" t="n">
        <f aca="false" ca="false" dt2D="false" dtr="false" t="normal">U72&amp;U73&amp;U74&amp;U75&amp;U76&amp;U77&amp;U78&amp;U79</f>
        <v>0</v>
      </c>
      <c r="J77" s="53" t="n">
        <f aca="false" ca="false" dt2D="false" dtr="false" t="normal">Y72&amp;Y73&amp;Y74&amp;Y75&amp;Y76&amp;Y77&amp;Y78&amp;Y79</f>
        <v>0</v>
      </c>
      <c r="K77" s="53" t="n">
        <f aca="false" ca="false" dt2D="false" dtr="false" t="normal">AC72&amp;AC73&amp;AC74&amp;AC75&amp;AC76&amp;AC77&amp;AC78&amp;AC79</f>
        <v>0</v>
      </c>
      <c r="L77" s="53" t="n">
        <f aca="false" ca="false" dt2D="false" dtr="false" t="normal">AG72&amp;AG73&amp;AG74&amp;AG75&amp;AG76&amp;AG77&amp;AG78&amp;AG79</f>
        <v>0</v>
      </c>
      <c r="M77" s="53" t="str">
        <f aca="false" ca="false" dt2D="false" dtr="false" t="normal">DEC2HEX(M78)</f>
        <v>B4</v>
      </c>
      <c r="N77" s="63" t="n"/>
      <c r="P77" s="136" t="n">
        <f aca="false" ca="false" dt2D="false" dtr="false" t="normal">MID(H72, 6, 1)</f>
        <v>0</v>
      </c>
      <c r="Q77" s="137" t="n">
        <f aca="false" ca="false" dt2D="false" dtr="false" t="normal">P77</f>
        <v>0</v>
      </c>
      <c r="R77" s="120" t="s">
        <v>203</v>
      </c>
      <c r="S77" s="131" t="s">
        <v>196</v>
      </c>
      <c r="T77" s="136" t="n">
        <f aca="false" ca="false" dt2D="false" dtr="false" t="normal">MID(I72, 6, 1)</f>
        <v>0</v>
      </c>
      <c r="U77" s="137" t="n">
        <f aca="false" ca="false" dt2D="false" dtr="false" t="normal">T77</f>
        <v>0</v>
      </c>
      <c r="V77" s="120" t="s">
        <v>203</v>
      </c>
      <c r="W77" s="131" t="s">
        <v>196</v>
      </c>
      <c r="X77" s="136" t="n">
        <f aca="false" ca="false" dt2D="false" dtr="false" t="normal">MID(J72, 6, 1)</f>
        <v>0</v>
      </c>
      <c r="Y77" s="137" t="n">
        <f aca="false" ca="false" dt2D="false" dtr="false" t="normal">X77</f>
        <v>0</v>
      </c>
      <c r="Z77" s="120" t="s">
        <v>203</v>
      </c>
      <c r="AA77" s="131" t="s">
        <v>196</v>
      </c>
      <c r="AB77" s="136" t="n">
        <f aca="false" ca="false" dt2D="false" dtr="false" t="normal">MID(K72, 6, 1)</f>
        <v>0</v>
      </c>
      <c r="AC77" s="137" t="n">
        <f aca="false" ca="false" dt2D="false" dtr="false" t="normal">AB77</f>
        <v>0</v>
      </c>
      <c r="AD77" s="120" t="s">
        <v>203</v>
      </c>
      <c r="AE77" s="131" t="s">
        <v>196</v>
      </c>
      <c r="AF77" s="136" t="n">
        <f aca="false" ca="false" dt2D="false" dtr="false" t="normal">MID(L72, 6, 1)</f>
        <v>0</v>
      </c>
      <c r="AG77" s="137" t="n">
        <f aca="false" ca="false" dt2D="false" dtr="false" t="normal">AF77</f>
        <v>0</v>
      </c>
      <c r="AH77" s="120" t="s">
        <v>203</v>
      </c>
      <c r="AI77" s="131" t="s">
        <v>196</v>
      </c>
      <c r="AJ77" s="7975" t="s"/>
      <c r="AK77" s="7976" t="s"/>
    </row>
    <row hidden="false" ht="15" outlineLevel="0" r="78">
      <c r="C78" s="98" t="s">
        <v>191</v>
      </c>
      <c r="D78" s="149" t="n">
        <f aca="false" ca="false" dt2D="false" dtr="false" t="normal">HEX2DEC(D76)</f>
        <v>7</v>
      </c>
      <c r="E78" s="149" t="n">
        <f aca="false" ca="false" dt2D="false" dtr="false" t="normal">HEX2DEC(E76)</f>
        <v>165</v>
      </c>
      <c r="F78" s="149" t="n">
        <f aca="false" ca="false" dt2D="false" dtr="false" t="normal">HEX2DEC(F76)</f>
        <v>1</v>
      </c>
      <c r="G78" s="149" t="n">
        <f aca="false" ca="false" dt2D="false" dtr="false" t="normal">HEX2DEC(G76)</f>
        <v>7</v>
      </c>
      <c r="H78" s="53" t="n">
        <f aca="false" ca="false" dt2D="false" dtr="false" t="normal">HEX2DEC(H76)</f>
        <v>0</v>
      </c>
      <c r="I78" s="53" t="n">
        <f aca="false" ca="false" dt2D="false" dtr="false" t="normal">HEX2DEC(I76)</f>
        <v>0</v>
      </c>
      <c r="J78" s="53" t="n">
        <f aca="false" ca="false" dt2D="false" dtr="false" t="normal">HEX2DEC(J76)</f>
        <v>0</v>
      </c>
      <c r="K78" s="53" t="n">
        <f aca="false" ca="false" dt2D="false" dtr="false" t="normal">HEX2DEC(K76)</f>
        <v>0</v>
      </c>
      <c r="L78" s="53" t="n">
        <f aca="false" ca="false" dt2D="false" dtr="false" t="normal">HEX2DEC(L76)</f>
        <v>0</v>
      </c>
      <c r="M78" s="53" t="n">
        <f aca="false" ca="false" dt2D="false" dtr="false" t="normal">SUM(D78:L78)</f>
        <v>180</v>
      </c>
      <c r="N78" s="63" t="n"/>
      <c r="P78" s="136" t="n">
        <f aca="false" ca="false" dt2D="false" dtr="false" t="normal">MID(H72, 7, 1)</f>
        <v>0</v>
      </c>
      <c r="Q78" s="137" t="n">
        <f aca="false" ca="false" dt2D="false" dtr="false" t="normal">P78</f>
        <v>0</v>
      </c>
      <c r="R78" s="120" t="s">
        <v>206</v>
      </c>
      <c r="S78" s="131" t="s">
        <v>196</v>
      </c>
      <c r="T78" s="136" t="n">
        <f aca="false" ca="false" dt2D="false" dtr="false" t="normal">MID(I72, 7, 1)</f>
        <v>0</v>
      </c>
      <c r="U78" s="137" t="n">
        <f aca="false" ca="false" dt2D="false" dtr="false" t="normal">T78</f>
        <v>0</v>
      </c>
      <c r="V78" s="120" t="s">
        <v>206</v>
      </c>
      <c r="W78" s="131" t="s">
        <v>196</v>
      </c>
      <c r="X78" s="136" t="n">
        <f aca="false" ca="false" dt2D="false" dtr="false" t="normal">MID(J72, 7, 1)</f>
        <v>0</v>
      </c>
      <c r="Y78" s="137" t="n">
        <f aca="false" ca="false" dt2D="false" dtr="false" t="normal">X78</f>
        <v>0</v>
      </c>
      <c r="Z78" s="120" t="s">
        <v>206</v>
      </c>
      <c r="AA78" s="131" t="s">
        <v>196</v>
      </c>
      <c r="AB78" s="136" t="n">
        <f aca="false" ca="false" dt2D="false" dtr="false" t="normal">MID(K72, 7, 1)</f>
        <v>0</v>
      </c>
      <c r="AC78" s="137" t="n">
        <f aca="false" ca="false" dt2D="false" dtr="false" t="normal">AB78</f>
        <v>0</v>
      </c>
      <c r="AD78" s="120" t="s">
        <v>206</v>
      </c>
      <c r="AE78" s="131" t="s">
        <v>196</v>
      </c>
      <c r="AF78" s="136" t="n">
        <f aca="false" ca="false" dt2D="false" dtr="false" t="normal">MID(L72, 7, 1)</f>
        <v>0</v>
      </c>
      <c r="AG78" s="137" t="n">
        <f aca="false" ca="false" dt2D="false" dtr="false" t="normal">AF78</f>
        <v>0</v>
      </c>
      <c r="AH78" s="120" t="s">
        <v>206</v>
      </c>
      <c r="AI78" s="131" t="s">
        <v>196</v>
      </c>
      <c r="AJ78" s="7977" t="s"/>
      <c r="AK78" s="7978" t="s"/>
    </row>
    <row hidden="false" ht="15.75" outlineLevel="0" r="79">
      <c r="C79" s="180" t="s">
        <v>194</v>
      </c>
      <c r="D79" s="181" t="n">
        <f aca="false" ca="false" dt2D="false" dtr="false" t="normal">D74</f>
        <v>7</v>
      </c>
      <c r="E79" s="181" t="str">
        <f aca="false" ca="false" dt2D="false" dtr="false" t="normal">E74</f>
        <v>A5</v>
      </c>
      <c r="F79" s="181" t="str">
        <f aca="false" ca="false" dt2D="false" dtr="false" t="normal">F74</f>
        <v>G1</v>
      </c>
      <c r="G79" s="181" t="str">
        <f aca="false" ca="false" dt2D="false" dtr="false" t="normal">G74</f>
        <v>G7</v>
      </c>
      <c r="H79" s="45" t="n"/>
      <c r="I79" s="45" t="n"/>
      <c r="J79" s="45" t="n"/>
      <c r="K79" s="45" t="n"/>
      <c r="L79" s="45" t="n"/>
      <c r="M79" s="45" t="n"/>
      <c r="N79" s="49" t="n"/>
      <c r="P79" s="182" t="n">
        <f aca="false" ca="false" dt2D="false" dtr="false" t="normal">MID(H72, 8, 1)</f>
        <v>0</v>
      </c>
      <c r="Q79" s="183" t="n">
        <f aca="false" ca="false" dt2D="false" dtr="false" t="normal">P79</f>
        <v>0</v>
      </c>
      <c r="R79" s="184" t="s">
        <v>208</v>
      </c>
      <c r="S79" s="185" t="s">
        <v>196</v>
      </c>
      <c r="T79" s="182" t="n">
        <f aca="false" ca="false" dt2D="false" dtr="false" t="normal">MID(I72, 8, 1)</f>
        <v>0</v>
      </c>
      <c r="U79" s="183" t="n">
        <f aca="false" ca="false" dt2D="false" dtr="false" t="normal">T79</f>
        <v>0</v>
      </c>
      <c r="V79" s="184" t="s">
        <v>208</v>
      </c>
      <c r="W79" s="185" t="s">
        <v>196</v>
      </c>
      <c r="X79" s="182" t="n">
        <f aca="false" ca="false" dt2D="false" dtr="false" t="normal">MID(J72, 8, 1)</f>
        <v>0</v>
      </c>
      <c r="Y79" s="183" t="n">
        <f aca="false" ca="false" dt2D="false" dtr="false" t="normal">X79</f>
        <v>0</v>
      </c>
      <c r="Z79" s="184" t="s">
        <v>208</v>
      </c>
      <c r="AA79" s="185" t="s">
        <v>196</v>
      </c>
      <c r="AB79" s="182" t="n">
        <f aca="false" ca="false" dt2D="false" dtr="false" t="normal">MID(K72, 8, 1)</f>
        <v>0</v>
      </c>
      <c r="AC79" s="183" t="n">
        <f aca="false" ca="false" dt2D="false" dtr="false" t="normal">AB79</f>
        <v>0</v>
      </c>
      <c r="AD79" s="184" t="s">
        <v>208</v>
      </c>
      <c r="AE79" s="185" t="s">
        <v>196</v>
      </c>
      <c r="AF79" s="182" t="n">
        <f aca="false" ca="false" dt2D="false" dtr="false" t="normal">MID(L72, 8, 1)</f>
        <v>0</v>
      </c>
      <c r="AG79" s="183" t="n">
        <f aca="false" ca="false" dt2D="false" dtr="false" t="normal">AF79</f>
        <v>0</v>
      </c>
      <c r="AH79" s="184" t="s">
        <v>208</v>
      </c>
      <c r="AI79" s="185" t="s">
        <v>196</v>
      </c>
      <c r="AJ79" s="7979" t="s"/>
      <c r="AK79" s="7980" t="s"/>
    </row>
    <row hidden="false" ht="15.75" outlineLevel="0" r="80">
      <c r="C80" s="93" t="n"/>
      <c r="D80" s="7585" t="n"/>
      <c r="E80" s="7585" t="n"/>
      <c r="F80" s="7585" t="n"/>
      <c r="G80" s="7585" t="n"/>
      <c r="H80" s="94" t="n"/>
      <c r="I80" s="94" t="n"/>
      <c r="J80" s="94" t="n"/>
      <c r="K80" s="94" t="n"/>
      <c r="L80" s="94" t="n"/>
      <c r="M80" s="94" t="s">
        <v>161</v>
      </c>
      <c r="N80" s="60" t="n"/>
      <c r="P80" s="95" t="str">
        <f aca="false" ca="false" dt2D="false" dtr="false" t="normal">RIGHT(D82, 1)&amp;E82&amp;"-"&amp;F82&amp;"-"&amp;G82</f>
        <v>7A5-01-08</v>
      </c>
      <c r="Q80" s="7981" t="s"/>
      <c r="R80" s="234" t="s">
        <v>3992</v>
      </c>
      <c r="S80" s="7982" t="s"/>
      <c r="T80" s="7983" t="s"/>
      <c r="U80" s="7984" t="s"/>
      <c r="V80" s="7985" t="s"/>
      <c r="W80" s="7986" t="s"/>
      <c r="X80" s="7987" t="s"/>
      <c r="Y80" s="7988" t="s"/>
      <c r="Z80" s="7989" t="s"/>
      <c r="AA80" s="7990" t="s"/>
      <c r="AB80" s="7991" t="s"/>
      <c r="AC80" s="7992" t="s"/>
      <c r="AD80" s="7993" t="s"/>
      <c r="AE80" s="7994" t="s"/>
      <c r="AF80" s="7995" t="s"/>
      <c r="AG80" s="7996" t="s"/>
      <c r="AH80" s="7997" t="s"/>
      <c r="AI80" s="7998" t="s"/>
      <c r="AJ80" s="7999" t="s"/>
      <c r="AK80" s="8000" t="s"/>
    </row>
    <row hidden="false" ht="15.75" outlineLevel="0" r="81">
      <c r="C81" s="98" t="n"/>
      <c r="D81" s="7606" t="s">
        <v>3993</v>
      </c>
      <c r="E81" s="8001" t="s"/>
      <c r="F81" s="8002" t="s"/>
      <c r="G81" s="8003" t="s"/>
      <c r="H81" s="53" t="s">
        <v>165</v>
      </c>
      <c r="I81" s="53" t="s">
        <v>166</v>
      </c>
      <c r="J81" s="53" t="s">
        <v>167</v>
      </c>
      <c r="K81" s="53" t="s">
        <v>168</v>
      </c>
      <c r="L81" s="53" t="s">
        <v>169</v>
      </c>
      <c r="M81" s="53" t="s">
        <v>221</v>
      </c>
      <c r="N81" s="63" t="n"/>
      <c r="P81" s="103" t="s">
        <v>3994</v>
      </c>
      <c r="Q81" s="8004" t="s"/>
      <c r="R81" s="8005" t="s"/>
      <c r="S81" s="8006" t="s"/>
      <c r="T81" s="103" t="s">
        <v>3995</v>
      </c>
      <c r="U81" s="8007" t="s"/>
      <c r="V81" s="8008" t="s"/>
      <c r="W81" s="8009" t="s"/>
      <c r="X81" s="103" t="s">
        <v>3996</v>
      </c>
      <c r="Y81" s="8010" t="s"/>
      <c r="Z81" s="8011" t="s"/>
      <c r="AA81" s="8012" t="s"/>
      <c r="AB81" s="103" t="s">
        <v>3997</v>
      </c>
      <c r="AC81" s="8013" t="s"/>
      <c r="AD81" s="8014" t="s"/>
      <c r="AE81" s="8015" t="s"/>
      <c r="AF81" s="103" t="s">
        <v>3998</v>
      </c>
      <c r="AG81" s="8016" t="s"/>
      <c r="AH81" s="8017" t="s"/>
      <c r="AI81" s="8018" t="s"/>
      <c r="AJ81" s="103" t="s">
        <v>3999</v>
      </c>
      <c r="AK81" s="8019" t="s"/>
    </row>
    <row hidden="false" ht="15.75" outlineLevel="0" r="82">
      <c r="C82" s="98" t="s">
        <v>176</v>
      </c>
      <c r="D82" s="122" t="s">
        <v>177</v>
      </c>
      <c r="E82" s="123" t="s">
        <v>3892</v>
      </c>
      <c r="F82" s="123" t="s">
        <v>179</v>
      </c>
      <c r="G82" s="124" t="s">
        <v>983</v>
      </c>
      <c r="H82" s="273" t="n">
        <f aca="false" ca="false" dt2D="false" dtr="false" t="normal">MID($A$11, 8, 2)</f>
        <v>0</v>
      </c>
      <c r="I82" s="7626" t="n">
        <f aca="false" ca="false" dt2D="false" dtr="false" t="normal">MID($A$11, 10, 2)</f>
        <v>0</v>
      </c>
      <c r="J82" s="7626" t="n">
        <f aca="false" ca="false" dt2D="false" dtr="false" t="normal">MID($A$11, 12, 2)</f>
        <v>0</v>
      </c>
      <c r="K82" s="7626" t="n">
        <f aca="false" ca="false" dt2D="false" dtr="false" t="normal">MID($A$11, 14, 2)</f>
        <v>0</v>
      </c>
      <c r="L82" s="7627" t="n">
        <f aca="false" ca="false" dt2D="false" dtr="false" t="normal">MID($A$11, 16, 2)</f>
        <v>0</v>
      </c>
      <c r="M82" s="7553" t="str">
        <f aca="false" ca="false" dt2D="false" dtr="false" t="normal">MID($A$11, 18, 2)</f>
        <v>B5</v>
      </c>
      <c r="N82" s="63" t="s">
        <v>180</v>
      </c>
      <c r="P82" s="129" t="s">
        <v>180</v>
      </c>
      <c r="Q82" s="130" t="s">
        <v>181</v>
      </c>
      <c r="R82" s="121" t="s">
        <v>182</v>
      </c>
      <c r="S82" s="131" t="n"/>
      <c r="T82" s="129" t="s">
        <v>180</v>
      </c>
      <c r="U82" s="130" t="s">
        <v>181</v>
      </c>
      <c r="V82" s="121" t="s">
        <v>182</v>
      </c>
      <c r="W82" s="131" t="n"/>
      <c r="X82" s="129" t="s">
        <v>180</v>
      </c>
      <c r="Y82" s="130" t="s">
        <v>181</v>
      </c>
      <c r="Z82" s="121" t="s">
        <v>182</v>
      </c>
      <c r="AA82" s="131" t="n"/>
      <c r="AB82" s="129" t="s">
        <v>180</v>
      </c>
      <c r="AC82" s="130" t="s">
        <v>181</v>
      </c>
      <c r="AD82" s="121" t="s">
        <v>182</v>
      </c>
      <c r="AE82" s="131" t="n"/>
      <c r="AF82" s="129" t="s">
        <v>180</v>
      </c>
      <c r="AG82" s="130" t="s">
        <v>181</v>
      </c>
      <c r="AH82" s="121" t="s">
        <v>182</v>
      </c>
      <c r="AI82" s="121" t="n"/>
      <c r="AJ82" s="116" t="s">
        <v>183</v>
      </c>
      <c r="AK82" s="8020" t="s"/>
    </row>
    <row hidden="false" ht="15" outlineLevel="0" r="83">
      <c r="C83" s="98" t="s">
        <v>185</v>
      </c>
      <c r="D83" s="149" t="n">
        <f aca="false" ca="false" dt2D="false" dtr="false" t="normal">HEX2BIN(D82, 8)</f>
        <v>111</v>
      </c>
      <c r="E83" s="149" t="n">
        <f aca="false" ca="false" dt2D="false" dtr="false" t="normal">HEX2BIN(E82, 8)</f>
        <v>10100101</v>
      </c>
      <c r="F83" s="149" t="n">
        <f aca="false" ca="false" dt2D="false" dtr="false" t="normal">HEX2BIN(F82, 8)</f>
        <v>1</v>
      </c>
      <c r="G83" s="149" t="n">
        <f aca="false" ca="false" dt2D="false" dtr="false" t="normal">HEX2BIN(G82, 8)</f>
        <v>1000</v>
      </c>
      <c r="H83" s="53" t="n">
        <f aca="false" ca="false" dt2D="false" dtr="false" t="normal">HEX2BIN(H82, 8)</f>
        <v>0</v>
      </c>
      <c r="I83" s="53" t="n">
        <f aca="false" ca="false" dt2D="false" dtr="false" t="normal">HEX2BIN(I82, 8)</f>
        <v>0</v>
      </c>
      <c r="J83" s="53" t="n">
        <f aca="false" ca="false" dt2D="false" dtr="false" t="normal">HEX2BIN(J82, 8)</f>
        <v>0</v>
      </c>
      <c r="K83" s="53" t="n">
        <f aca="false" ca="false" dt2D="false" dtr="false" t="normal">HEX2BIN(K82, 8)</f>
        <v>0</v>
      </c>
      <c r="L83" s="53" t="n">
        <f aca="false" ca="false" dt2D="false" dtr="false" t="normal">HEX2BIN(L82, 8)</f>
        <v>0</v>
      </c>
      <c r="M83" s="53" t="n"/>
      <c r="N83" s="63" t="n"/>
      <c r="P83" s="136" t="n">
        <f aca="false" ca="false" dt2D="false" dtr="false" t="normal">MID(H83, 1, 1)</f>
        <v>0</v>
      </c>
      <c r="Q83" s="137" t="n">
        <f aca="false" ca="false" dt2D="false" dtr="false" t="normal">P83</f>
        <v>0</v>
      </c>
      <c r="R83" s="120" t="s">
        <v>186</v>
      </c>
      <c r="S83" s="131" t="s">
        <v>196</v>
      </c>
      <c r="T83" s="136" t="n">
        <f aca="false" ca="false" dt2D="false" dtr="false" t="normal">MID(I83, 1, 1)</f>
        <v>0</v>
      </c>
      <c r="U83" s="137" t="n">
        <f aca="false" ca="false" dt2D="false" dtr="false" t="normal">T83</f>
        <v>0</v>
      </c>
      <c r="V83" s="120" t="s">
        <v>186</v>
      </c>
      <c r="W83" s="131" t="s">
        <v>196</v>
      </c>
      <c r="X83" s="136" t="n">
        <f aca="false" ca="false" dt2D="false" dtr="false" t="normal">MID(J83, 1, 1)</f>
        <v>0</v>
      </c>
      <c r="Y83" s="137" t="n">
        <f aca="false" ca="false" dt2D="false" dtr="false" t="normal">X83</f>
        <v>0</v>
      </c>
      <c r="Z83" s="120" t="s">
        <v>186</v>
      </c>
      <c r="AA83" s="131" t="s">
        <v>196</v>
      </c>
      <c r="AB83" s="136" t="n">
        <f aca="false" ca="false" dt2D="false" dtr="false" t="normal">MID(K83, 1, 1)</f>
        <v>0</v>
      </c>
      <c r="AC83" s="137" t="n">
        <f aca="false" ca="false" dt2D="false" dtr="false" t="normal">AB83</f>
        <v>0</v>
      </c>
      <c r="AD83" s="120" t="s">
        <v>186</v>
      </c>
      <c r="AE83" s="131" t="s">
        <v>196</v>
      </c>
      <c r="AF83" s="136" t="n">
        <f aca="false" ca="false" dt2D="false" dtr="false" t="normal">MID(L83, 1, 1)</f>
        <v>0</v>
      </c>
      <c r="AG83" s="137" t="n">
        <f aca="false" ca="false" dt2D="false" dtr="false" t="normal">AF83</f>
        <v>0</v>
      </c>
      <c r="AH83" s="120" t="s">
        <v>186</v>
      </c>
      <c r="AI83" s="131" t="s">
        <v>196</v>
      </c>
      <c r="AJ83" s="8021" t="s"/>
      <c r="AK83" s="8022" t="s"/>
    </row>
    <row hidden="false" ht="15" outlineLevel="0" r="84">
      <c r="C84" s="98" t="s">
        <v>191</v>
      </c>
      <c r="D84" s="149" t="n">
        <f aca="false" ca="false" dt2D="false" dtr="false" t="normal">HEX2DEC(D82)</f>
        <v>7</v>
      </c>
      <c r="E84" s="149" t="n">
        <f aca="false" ca="false" dt2D="false" dtr="false" t="normal">HEX2DEC(E82)</f>
        <v>165</v>
      </c>
      <c r="F84" s="149" t="n">
        <f aca="false" ca="false" dt2D="false" dtr="false" t="normal">HEX2DEC(F82)</f>
        <v>1</v>
      </c>
      <c r="G84" s="149" t="n">
        <f aca="false" ca="false" dt2D="false" dtr="false" t="normal">HEX2DEC(G82)</f>
        <v>8</v>
      </c>
      <c r="H84" s="53" t="n">
        <f aca="false" ca="false" dt2D="false" dtr="false" t="normal">HEX2DEC(H82)</f>
        <v>0</v>
      </c>
      <c r="I84" s="53" t="n">
        <f aca="false" ca="false" dt2D="false" dtr="false" t="normal">HEX2DEC(I82)</f>
        <v>0</v>
      </c>
      <c r="J84" s="53" t="n">
        <f aca="false" ca="false" dt2D="false" dtr="false" t="normal">HEX2DEC(J82)</f>
        <v>0</v>
      </c>
      <c r="K84" s="53" t="n">
        <f aca="false" ca="false" dt2D="false" dtr="false" t="normal">HEX2DEC(K82)</f>
        <v>0</v>
      </c>
      <c r="L84" s="53" t="n">
        <f aca="false" ca="false" dt2D="false" dtr="false" t="normal">HEX2DEC(L82)</f>
        <v>0</v>
      </c>
      <c r="M84" s="53" t="n">
        <f aca="false" ca="false" dt2D="false" dtr="false" t="normal">SUM(D84:L84)</f>
        <v>181</v>
      </c>
      <c r="N84" s="63" t="n"/>
      <c r="P84" s="136" t="n">
        <f aca="false" ca="false" dt2D="false" dtr="false" t="normal">MID(H83, 2, 1)</f>
        <v>0</v>
      </c>
      <c r="Q84" s="137" t="n">
        <f aca="false" ca="false" dt2D="false" dtr="false" t="normal">P84</f>
        <v>0</v>
      </c>
      <c r="R84" s="120" t="s">
        <v>192</v>
      </c>
      <c r="S84" s="131" t="s">
        <v>196</v>
      </c>
      <c r="T84" s="136" t="n">
        <f aca="false" ca="false" dt2D="false" dtr="false" t="normal">MID(I83, 2, 1)</f>
        <v>0</v>
      </c>
      <c r="U84" s="137" t="n">
        <f aca="false" ca="false" dt2D="false" dtr="false" t="normal">T84</f>
        <v>0</v>
      </c>
      <c r="V84" s="120" t="s">
        <v>192</v>
      </c>
      <c r="W84" s="131" t="s">
        <v>196</v>
      </c>
      <c r="X84" s="136" t="n">
        <f aca="false" ca="false" dt2D="false" dtr="false" t="normal">MID(J83, 2, 1)</f>
        <v>0</v>
      </c>
      <c r="Y84" s="137" t="n">
        <f aca="false" ca="false" dt2D="false" dtr="false" t="normal">X84</f>
        <v>0</v>
      </c>
      <c r="Z84" s="120" t="s">
        <v>192</v>
      </c>
      <c r="AA84" s="131" t="s">
        <v>196</v>
      </c>
      <c r="AB84" s="136" t="n">
        <f aca="false" ca="false" dt2D="false" dtr="false" t="normal">MID(K83, 2, 1)</f>
        <v>0</v>
      </c>
      <c r="AC84" s="137" t="n">
        <f aca="false" ca="false" dt2D="false" dtr="false" t="normal">AB84</f>
        <v>0</v>
      </c>
      <c r="AD84" s="120" t="s">
        <v>192</v>
      </c>
      <c r="AE84" s="131" t="s">
        <v>196</v>
      </c>
      <c r="AF84" s="136" t="n">
        <f aca="false" ca="false" dt2D="false" dtr="false" t="normal">MID(L83, 2, 1)</f>
        <v>0</v>
      </c>
      <c r="AG84" s="137" t="n">
        <f aca="false" ca="false" dt2D="false" dtr="false" t="normal">AF84</f>
        <v>0</v>
      </c>
      <c r="AH84" s="120" t="s">
        <v>192</v>
      </c>
      <c r="AI84" s="131" t="s">
        <v>196</v>
      </c>
      <c r="AJ84" s="8023" t="s"/>
      <c r="AK84" s="8024" t="s"/>
    </row>
    <row hidden="false" ht="15" outlineLevel="0" r="85">
      <c r="C85" s="98" t="s">
        <v>194</v>
      </c>
      <c r="D85" s="149" t="n">
        <f aca="false" ca="false" dt2D="false" dtr="false" t="normal">D82</f>
        <v>7</v>
      </c>
      <c r="E85" s="149" t="str">
        <f aca="false" ca="false" dt2D="false" dtr="false" t="normal">E82</f>
        <v>A5</v>
      </c>
      <c r="F85" s="149" t="str">
        <f aca="false" ca="false" dt2D="false" dtr="false" t="normal">MID($A$11, 4, 2)</f>
        <v>G1</v>
      </c>
      <c r="G85" s="149" t="str">
        <f aca="false" ca="false" dt2D="false" dtr="false" t="normal">MID($A$11, 6, 2)</f>
        <v>G8</v>
      </c>
      <c r="N85" s="63" t="n"/>
      <c r="P85" s="136" t="n">
        <f aca="false" ca="false" dt2D="false" dtr="false" t="normal">MID(H83, 3, 1)</f>
        <v>0</v>
      </c>
      <c r="Q85" s="137" t="n">
        <f aca="false" ca="false" dt2D="false" dtr="false" t="normal">P85</f>
        <v>0</v>
      </c>
      <c r="R85" s="120" t="s">
        <v>195</v>
      </c>
      <c r="S85" s="131" t="s">
        <v>196</v>
      </c>
      <c r="T85" s="136" t="n">
        <f aca="false" ca="false" dt2D="false" dtr="false" t="normal">MID(I83, 3, 1)</f>
        <v>0</v>
      </c>
      <c r="U85" s="137" t="n">
        <f aca="false" ca="false" dt2D="false" dtr="false" t="normal">T85</f>
        <v>0</v>
      </c>
      <c r="V85" s="120" t="s">
        <v>195</v>
      </c>
      <c r="W85" s="131" t="s">
        <v>196</v>
      </c>
      <c r="X85" s="136" t="n">
        <f aca="false" ca="false" dt2D="false" dtr="false" t="normal">MID(J83, 3, 1)</f>
        <v>0</v>
      </c>
      <c r="Y85" s="137" t="n">
        <f aca="false" ca="false" dt2D="false" dtr="false" t="normal">X85</f>
        <v>0</v>
      </c>
      <c r="Z85" s="120" t="s">
        <v>195</v>
      </c>
      <c r="AA85" s="131" t="s">
        <v>196</v>
      </c>
      <c r="AB85" s="136" t="n">
        <f aca="false" ca="false" dt2D="false" dtr="false" t="normal">MID(K83, 3, 1)</f>
        <v>0</v>
      </c>
      <c r="AC85" s="137" t="n">
        <f aca="false" ca="false" dt2D="false" dtr="false" t="normal">AB85</f>
        <v>0</v>
      </c>
      <c r="AD85" s="120" t="s">
        <v>195</v>
      </c>
      <c r="AE85" s="131" t="s">
        <v>196</v>
      </c>
      <c r="AF85" s="136" t="n">
        <f aca="false" ca="false" dt2D="false" dtr="false" t="normal">MID(L83, 3, 1)</f>
        <v>0</v>
      </c>
      <c r="AG85" s="137" t="n">
        <f aca="false" ca="false" dt2D="false" dtr="false" t="normal">AF85</f>
        <v>0</v>
      </c>
      <c r="AH85" s="120" t="s">
        <v>195</v>
      </c>
      <c r="AI85" s="131" t="s">
        <v>196</v>
      </c>
      <c r="AJ85" s="8025" t="s"/>
      <c r="AK85" s="8026" t="s"/>
    </row>
    <row hidden="false" ht="15.75" outlineLevel="0" r="86">
      <c r="C86" s="98" t="n"/>
      <c r="N86" s="63" t="n"/>
      <c r="P86" s="136" t="n">
        <f aca="false" ca="false" dt2D="false" dtr="false" t="normal">MID(H83, 4, 1)</f>
        <v>0</v>
      </c>
      <c r="Q86" s="137" t="n">
        <f aca="false" ca="false" dt2D="false" dtr="false" t="normal">P86</f>
        <v>0</v>
      </c>
      <c r="R86" s="120" t="s">
        <v>197</v>
      </c>
      <c r="S86" s="131" t="s">
        <v>196</v>
      </c>
      <c r="T86" s="136" t="n">
        <f aca="false" ca="false" dt2D="false" dtr="false" t="normal">MID(I83, 4, 1)</f>
        <v>0</v>
      </c>
      <c r="U86" s="137" t="n">
        <f aca="false" ca="false" dt2D="false" dtr="false" t="normal">T86</f>
        <v>0</v>
      </c>
      <c r="V86" s="120" t="s">
        <v>197</v>
      </c>
      <c r="W86" s="131" t="s">
        <v>196</v>
      </c>
      <c r="X86" s="136" t="n">
        <f aca="false" ca="false" dt2D="false" dtr="false" t="normal">MID(J83, 4, 1)</f>
        <v>0</v>
      </c>
      <c r="Y86" s="137" t="n">
        <f aca="false" ca="false" dt2D="false" dtr="false" t="normal">X86</f>
        <v>0</v>
      </c>
      <c r="Z86" s="120" t="s">
        <v>197</v>
      </c>
      <c r="AA86" s="131" t="s">
        <v>196</v>
      </c>
      <c r="AB86" s="136" t="n">
        <f aca="false" ca="false" dt2D="false" dtr="false" t="normal">MID(K83, 4, 1)</f>
        <v>0</v>
      </c>
      <c r="AC86" s="137" t="n">
        <f aca="false" ca="false" dt2D="false" dtr="false" t="normal">AB86</f>
        <v>0</v>
      </c>
      <c r="AD86" s="120" t="s">
        <v>197</v>
      </c>
      <c r="AE86" s="131" t="s">
        <v>196</v>
      </c>
      <c r="AF86" s="136" t="n">
        <f aca="false" ca="false" dt2D="false" dtr="false" t="normal">MID(L83, 4, 1)</f>
        <v>0</v>
      </c>
      <c r="AG86" s="137" t="n">
        <f aca="false" ca="false" dt2D="false" dtr="false" t="normal">AF86</f>
        <v>0</v>
      </c>
      <c r="AH86" s="120" t="s">
        <v>197</v>
      </c>
      <c r="AI86" s="131" t="s">
        <v>196</v>
      </c>
      <c r="AJ86" s="8027" t="s"/>
      <c r="AK86" s="8028" t="s"/>
    </row>
    <row hidden="false" ht="15.75" outlineLevel="0" r="87">
      <c r="C87" s="98" t="s">
        <v>176</v>
      </c>
      <c r="D87" s="122" t="n">
        <f aca="false" ca="false" dt2D="false" dtr="false" t="normal">D82</f>
        <v>7</v>
      </c>
      <c r="E87" s="123" t="str">
        <f aca="false" ca="false" dt2D="false" dtr="false" t="normal">E82</f>
        <v>A5</v>
      </c>
      <c r="F87" s="123" t="n">
        <f aca="false" ca="false" dt2D="false" dtr="false" t="normal">F82</f>
        <v>1</v>
      </c>
      <c r="G87" s="124" t="n">
        <f aca="false" ca="false" dt2D="false" dtr="false" t="normal">G82</f>
        <v>8</v>
      </c>
      <c r="H87" s="162" t="n">
        <f aca="false" ca="false" dt2D="false" dtr="false" t="normal">BIN2HEX(H88, 2)</f>
        <v>0</v>
      </c>
      <c r="I87" s="163" t="n">
        <f aca="false" ca="false" dt2D="false" dtr="false" t="normal">BIN2HEX(I88, 2)</f>
        <v>0</v>
      </c>
      <c r="J87" s="164" t="n">
        <f aca="false" ca="false" dt2D="false" dtr="false" t="normal">BIN2HEX(J88, 2)</f>
        <v>0</v>
      </c>
      <c r="K87" s="165" t="n">
        <f aca="false" ca="false" dt2D="false" dtr="false" t="normal">BIN2HEX(K88, 2)</f>
        <v>0</v>
      </c>
      <c r="L87" s="288" t="n">
        <f aca="false" ca="false" dt2D="false" dtr="false" t="normal">BIN2HEX(L88, 2)</f>
        <v>0</v>
      </c>
      <c r="M87" s="166" t="str">
        <f aca="false" ca="false" dt2D="false" dtr="false" t="normal">IF(LEN(M88)&gt;2, MID(M88, 2, 2), M88)</f>
        <v>B5</v>
      </c>
      <c r="N87" s="63" t="s">
        <v>181</v>
      </c>
      <c r="P87" s="136" t="n">
        <f aca="false" ca="false" dt2D="false" dtr="false" t="normal">MID(H83, 5, 1)</f>
        <v>0</v>
      </c>
      <c r="Q87" s="137" t="n">
        <f aca="false" ca="false" dt2D="false" dtr="false" t="normal">P87</f>
        <v>0</v>
      </c>
      <c r="R87" s="120" t="s">
        <v>200</v>
      </c>
      <c r="S87" s="131" t="s">
        <v>196</v>
      </c>
      <c r="T87" s="136" t="n">
        <f aca="false" ca="false" dt2D="false" dtr="false" t="normal">MID(I83, 5, 1)</f>
        <v>0</v>
      </c>
      <c r="U87" s="137" t="n">
        <f aca="false" ca="false" dt2D="false" dtr="false" t="normal">T87</f>
        <v>0</v>
      </c>
      <c r="V87" s="120" t="s">
        <v>200</v>
      </c>
      <c r="W87" s="131" t="s">
        <v>196</v>
      </c>
      <c r="X87" s="136" t="n">
        <f aca="false" ca="false" dt2D="false" dtr="false" t="normal">MID(J83, 5, 1)</f>
        <v>0</v>
      </c>
      <c r="Y87" s="137" t="n">
        <f aca="false" ca="false" dt2D="false" dtr="false" t="normal">X87</f>
        <v>0</v>
      </c>
      <c r="Z87" s="120" t="s">
        <v>200</v>
      </c>
      <c r="AA87" s="131" t="s">
        <v>196</v>
      </c>
      <c r="AB87" s="136" t="n">
        <f aca="false" ca="false" dt2D="false" dtr="false" t="normal">MID(K83, 5, 1)</f>
        <v>0</v>
      </c>
      <c r="AC87" s="137" t="n">
        <f aca="false" ca="false" dt2D="false" dtr="false" t="normal">AB87</f>
        <v>0</v>
      </c>
      <c r="AD87" s="120" t="s">
        <v>200</v>
      </c>
      <c r="AE87" s="131" t="s">
        <v>196</v>
      </c>
      <c r="AF87" s="136" t="n">
        <f aca="false" ca="false" dt2D="false" dtr="false" t="normal">MID(L83, 5, 1)</f>
        <v>0</v>
      </c>
      <c r="AG87" s="137" t="n">
        <f aca="false" ca="false" dt2D="false" dtr="false" t="normal">AF87</f>
        <v>0</v>
      </c>
      <c r="AH87" s="120" t="s">
        <v>200</v>
      </c>
      <c r="AI87" s="131" t="s">
        <v>196</v>
      </c>
      <c r="AJ87" s="8029" t="s"/>
      <c r="AK87" s="8030" t="s"/>
    </row>
    <row hidden="false" ht="15" outlineLevel="0" r="88">
      <c r="C88" s="98" t="s">
        <v>185</v>
      </c>
      <c r="D88" s="149" t="n">
        <f aca="false" ca="false" dt2D="false" dtr="false" t="normal">HEX2BIN(D87, 8)</f>
        <v>111</v>
      </c>
      <c r="E88" s="149" t="n">
        <f aca="false" ca="false" dt2D="false" dtr="false" t="normal">HEX2BIN(E87, 8)</f>
        <v>10100101</v>
      </c>
      <c r="F88" s="149" t="n">
        <f aca="false" ca="false" dt2D="false" dtr="false" t="normal">HEX2BIN(F87, 8)</f>
        <v>1</v>
      </c>
      <c r="G88" s="149" t="n">
        <f aca="false" ca="false" dt2D="false" dtr="false" t="normal">HEX2BIN(G87, 8)</f>
        <v>1000</v>
      </c>
      <c r="H88" s="53" t="n">
        <f aca="false" ca="false" dt2D="false" dtr="false" t="normal">Q83&amp;Q84&amp;Q85&amp;Q86&amp;Q87&amp;Q88&amp;Q89&amp;Q90</f>
        <v>0</v>
      </c>
      <c r="I88" s="53" t="n">
        <f aca="false" ca="false" dt2D="false" dtr="false" t="normal">U83&amp;U84&amp;U85&amp;U86&amp;U87&amp;U88&amp;U89&amp;U90</f>
        <v>0</v>
      </c>
      <c r="J88" s="53" t="n">
        <f aca="false" ca="false" dt2D="false" dtr="false" t="normal">Y83&amp;Y84&amp;Y85&amp;Y86&amp;Y87&amp;Y88&amp;Y89&amp;Y90</f>
        <v>0</v>
      </c>
      <c r="K88" s="53" t="n">
        <f aca="false" ca="false" dt2D="false" dtr="false" t="normal">AC83&amp;AC84&amp;AC85&amp;AC86&amp;AC87&amp;AC88&amp;AC89&amp;AC90</f>
        <v>0</v>
      </c>
      <c r="L88" s="53" t="n">
        <f aca="false" ca="false" dt2D="false" dtr="false" t="normal">AG83&amp;AG84&amp;AG85&amp;AG86&amp;AG87&amp;AG88&amp;AG89&amp;AG90</f>
        <v>0</v>
      </c>
      <c r="M88" s="53" t="str">
        <f aca="false" ca="false" dt2D="false" dtr="false" t="normal">DEC2HEX(M89)</f>
        <v>B5</v>
      </c>
      <c r="N88" s="63" t="n"/>
      <c r="P88" s="136" t="n">
        <f aca="false" ca="false" dt2D="false" dtr="false" t="normal">MID(H83, 6, 1)</f>
        <v>0</v>
      </c>
      <c r="Q88" s="137" t="n">
        <f aca="false" ca="false" dt2D="false" dtr="false" t="normal">P88</f>
        <v>0</v>
      </c>
      <c r="R88" s="120" t="s">
        <v>203</v>
      </c>
      <c r="S88" s="131" t="s">
        <v>196</v>
      </c>
      <c r="T88" s="136" t="n">
        <f aca="false" ca="false" dt2D="false" dtr="false" t="normal">MID(I83, 6, 1)</f>
        <v>0</v>
      </c>
      <c r="U88" s="137" t="n">
        <f aca="false" ca="false" dt2D="false" dtr="false" t="normal">T88</f>
        <v>0</v>
      </c>
      <c r="V88" s="120" t="s">
        <v>203</v>
      </c>
      <c r="W88" s="131" t="s">
        <v>196</v>
      </c>
      <c r="X88" s="136" t="n">
        <f aca="false" ca="false" dt2D="false" dtr="false" t="normal">MID(J83, 6, 1)</f>
        <v>0</v>
      </c>
      <c r="Y88" s="137" t="n">
        <f aca="false" ca="false" dt2D="false" dtr="false" t="normal">X88</f>
        <v>0</v>
      </c>
      <c r="Z88" s="120" t="s">
        <v>203</v>
      </c>
      <c r="AA88" s="131" t="s">
        <v>196</v>
      </c>
      <c r="AB88" s="136" t="n">
        <f aca="false" ca="false" dt2D="false" dtr="false" t="normal">MID(K83, 6, 1)</f>
        <v>0</v>
      </c>
      <c r="AC88" s="137" t="n">
        <f aca="false" ca="false" dt2D="false" dtr="false" t="normal">AB88</f>
        <v>0</v>
      </c>
      <c r="AD88" s="120" t="s">
        <v>203</v>
      </c>
      <c r="AE88" s="131" t="s">
        <v>196</v>
      </c>
      <c r="AF88" s="136" t="n">
        <f aca="false" ca="false" dt2D="false" dtr="false" t="normal">MID(L83, 6, 1)</f>
        <v>0</v>
      </c>
      <c r="AG88" s="137" t="n">
        <f aca="false" ca="false" dt2D="false" dtr="false" t="normal">AF88</f>
        <v>0</v>
      </c>
      <c r="AH88" s="120" t="s">
        <v>203</v>
      </c>
      <c r="AI88" s="131" t="s">
        <v>196</v>
      </c>
      <c r="AJ88" s="8031" t="s"/>
      <c r="AK88" s="8032" t="s"/>
    </row>
    <row hidden="false" ht="15" outlineLevel="0" r="89">
      <c r="C89" s="98" t="s">
        <v>191</v>
      </c>
      <c r="D89" s="149" t="n">
        <f aca="false" ca="false" dt2D="false" dtr="false" t="normal">HEX2DEC(D87)</f>
        <v>7</v>
      </c>
      <c r="E89" s="149" t="n">
        <f aca="false" ca="false" dt2D="false" dtr="false" t="normal">HEX2DEC(E87)</f>
        <v>165</v>
      </c>
      <c r="F89" s="149" t="n">
        <f aca="false" ca="false" dt2D="false" dtr="false" t="normal">HEX2DEC(F87)</f>
        <v>1</v>
      </c>
      <c r="G89" s="149" t="n">
        <f aca="false" ca="false" dt2D="false" dtr="false" t="normal">HEX2DEC(G87)</f>
        <v>8</v>
      </c>
      <c r="H89" s="53" t="n">
        <f aca="false" ca="false" dt2D="false" dtr="false" t="normal">HEX2DEC(H87)</f>
        <v>0</v>
      </c>
      <c r="I89" s="53" t="n">
        <f aca="false" ca="false" dt2D="false" dtr="false" t="normal">HEX2DEC(I87)</f>
        <v>0</v>
      </c>
      <c r="J89" s="53" t="n">
        <f aca="false" ca="false" dt2D="false" dtr="false" t="normal">HEX2DEC(J87)</f>
        <v>0</v>
      </c>
      <c r="K89" s="53" t="n">
        <f aca="false" ca="false" dt2D="false" dtr="false" t="normal">HEX2DEC(K87)</f>
        <v>0</v>
      </c>
      <c r="L89" s="53" t="n">
        <f aca="false" ca="false" dt2D="false" dtr="false" t="normal">HEX2DEC(L87)</f>
        <v>0</v>
      </c>
      <c r="M89" s="53" t="n">
        <f aca="false" ca="false" dt2D="false" dtr="false" t="normal">SUM(D89:L89)</f>
        <v>181</v>
      </c>
      <c r="N89" s="63" t="n"/>
      <c r="P89" s="136" t="n">
        <f aca="false" ca="false" dt2D="false" dtr="false" t="normal">MID(H83, 7, 1)</f>
        <v>0</v>
      </c>
      <c r="Q89" s="137" t="n">
        <f aca="false" ca="false" dt2D="false" dtr="false" t="normal">P89</f>
        <v>0</v>
      </c>
      <c r="R89" s="120" t="s">
        <v>206</v>
      </c>
      <c r="S89" s="131" t="s">
        <v>196</v>
      </c>
      <c r="T89" s="136" t="n">
        <f aca="false" ca="false" dt2D="false" dtr="false" t="normal">MID(I83, 7, 1)</f>
        <v>0</v>
      </c>
      <c r="U89" s="137" t="n">
        <f aca="false" ca="false" dt2D="false" dtr="false" t="normal">T89</f>
        <v>0</v>
      </c>
      <c r="V89" s="120" t="s">
        <v>206</v>
      </c>
      <c r="W89" s="131" t="s">
        <v>196</v>
      </c>
      <c r="X89" s="136" t="n">
        <f aca="false" ca="false" dt2D="false" dtr="false" t="normal">MID(J83, 7, 1)</f>
        <v>0</v>
      </c>
      <c r="Y89" s="137" t="n">
        <f aca="false" ca="false" dt2D="false" dtr="false" t="normal">X89</f>
        <v>0</v>
      </c>
      <c r="Z89" s="120" t="s">
        <v>206</v>
      </c>
      <c r="AA89" s="131" t="s">
        <v>196</v>
      </c>
      <c r="AB89" s="136" t="n">
        <f aca="false" ca="false" dt2D="false" dtr="false" t="normal">MID(K83, 7, 1)</f>
        <v>0</v>
      </c>
      <c r="AC89" s="137" t="n">
        <f aca="false" ca="false" dt2D="false" dtr="false" t="normal">AB89</f>
        <v>0</v>
      </c>
      <c r="AD89" s="120" t="s">
        <v>206</v>
      </c>
      <c r="AE89" s="131" t="s">
        <v>196</v>
      </c>
      <c r="AF89" s="136" t="n">
        <f aca="false" ca="false" dt2D="false" dtr="false" t="normal">MID(L83, 7, 1)</f>
        <v>0</v>
      </c>
      <c r="AG89" s="137" t="n">
        <f aca="false" ca="false" dt2D="false" dtr="false" t="normal">AF89</f>
        <v>0</v>
      </c>
      <c r="AH89" s="120" t="s">
        <v>206</v>
      </c>
      <c r="AI89" s="131" t="s">
        <v>196</v>
      </c>
      <c r="AJ89" s="8033" t="s"/>
      <c r="AK89" s="8034" t="s"/>
    </row>
    <row hidden="false" ht="15.75" outlineLevel="0" r="90">
      <c r="C90" s="180" t="s">
        <v>194</v>
      </c>
      <c r="D90" s="181" t="n">
        <f aca="false" ca="false" dt2D="false" dtr="false" t="normal">D85</f>
        <v>7</v>
      </c>
      <c r="E90" s="181" t="str">
        <f aca="false" ca="false" dt2D="false" dtr="false" t="normal">E85</f>
        <v>A5</v>
      </c>
      <c r="F90" s="181" t="str">
        <f aca="false" ca="false" dt2D="false" dtr="false" t="normal">F85</f>
        <v>G1</v>
      </c>
      <c r="G90" s="181" t="str">
        <f aca="false" ca="false" dt2D="false" dtr="false" t="normal">G85</f>
        <v>G8</v>
      </c>
      <c r="H90" s="45" t="n"/>
      <c r="I90" s="45" t="n"/>
      <c r="J90" s="45" t="n"/>
      <c r="K90" s="45" t="n"/>
      <c r="L90" s="45" t="n"/>
      <c r="M90" s="45" t="n"/>
      <c r="N90" s="49" t="n"/>
      <c r="P90" s="182" t="n">
        <f aca="false" ca="false" dt2D="false" dtr="false" t="normal">MID(H83, 8, 1)</f>
        <v>0</v>
      </c>
      <c r="Q90" s="183" t="n">
        <f aca="false" ca="false" dt2D="false" dtr="false" t="normal">P90</f>
        <v>0</v>
      </c>
      <c r="R90" s="184" t="s">
        <v>208</v>
      </c>
      <c r="S90" s="185" t="s">
        <v>196</v>
      </c>
      <c r="T90" s="182" t="n">
        <f aca="false" ca="false" dt2D="false" dtr="false" t="normal">MID(I83, 8, 1)</f>
        <v>0</v>
      </c>
      <c r="U90" s="183" t="n">
        <f aca="false" ca="false" dt2D="false" dtr="false" t="normal">T90</f>
        <v>0</v>
      </c>
      <c r="V90" s="184" t="s">
        <v>208</v>
      </c>
      <c r="W90" s="185" t="s">
        <v>196</v>
      </c>
      <c r="X90" s="182" t="n">
        <f aca="false" ca="false" dt2D="false" dtr="false" t="normal">MID(J83, 8, 1)</f>
        <v>0</v>
      </c>
      <c r="Y90" s="183" t="n">
        <f aca="false" ca="false" dt2D="false" dtr="false" t="normal">X90</f>
        <v>0</v>
      </c>
      <c r="Z90" s="184" t="s">
        <v>208</v>
      </c>
      <c r="AA90" s="185" t="s">
        <v>196</v>
      </c>
      <c r="AB90" s="182" t="n">
        <f aca="false" ca="false" dt2D="false" dtr="false" t="normal">MID(K83, 8, 1)</f>
        <v>0</v>
      </c>
      <c r="AC90" s="183" t="n">
        <f aca="false" ca="false" dt2D="false" dtr="false" t="normal">AB90</f>
        <v>0</v>
      </c>
      <c r="AD90" s="184" t="s">
        <v>208</v>
      </c>
      <c r="AE90" s="185" t="s">
        <v>196</v>
      </c>
      <c r="AF90" s="182" t="n">
        <f aca="false" ca="false" dt2D="false" dtr="false" t="normal">MID(L83, 8, 1)</f>
        <v>0</v>
      </c>
      <c r="AG90" s="183" t="n">
        <f aca="false" ca="false" dt2D="false" dtr="false" t="normal">AF90</f>
        <v>0</v>
      </c>
      <c r="AH90" s="184" t="s">
        <v>208</v>
      </c>
      <c r="AI90" s="185" t="s">
        <v>196</v>
      </c>
      <c r="AJ90" s="8035" t="s"/>
      <c r="AK90" s="8036" t="s"/>
    </row>
    <row hidden="false" ht="15.75" outlineLevel="0" r="91">
      <c r="C91" s="93" t="n"/>
      <c r="D91" s="7585" t="n"/>
      <c r="E91" s="7585" t="n"/>
      <c r="F91" s="7585" t="n"/>
      <c r="G91" s="7585" t="n"/>
      <c r="H91" s="94" t="n"/>
      <c r="I91" s="94" t="n"/>
      <c r="J91" s="94" t="n"/>
      <c r="K91" s="94" t="n"/>
      <c r="L91" s="94" t="n"/>
      <c r="M91" s="94" t="s">
        <v>161</v>
      </c>
      <c r="N91" s="60" t="n"/>
      <c r="P91" s="95" t="str">
        <f aca="false" ca="false" dt2D="false" dtr="false" t="normal">RIGHT(D93, 1)&amp;E93&amp;"-"&amp;F93&amp;"-"&amp;G93</f>
        <v>7A5-01-09</v>
      </c>
      <c r="Q91" s="8037" t="s"/>
      <c r="R91" s="234" t="s">
        <v>4000</v>
      </c>
      <c r="S91" s="8038" t="s"/>
      <c r="T91" s="8039" t="s"/>
      <c r="U91" s="8040" t="s"/>
      <c r="V91" s="8041" t="s"/>
      <c r="W91" s="8042" t="s"/>
      <c r="X91" s="8043" t="s"/>
      <c r="Y91" s="8044" t="s"/>
      <c r="Z91" s="8045" t="s"/>
      <c r="AA91" s="8046" t="s"/>
      <c r="AB91" s="8047" t="s"/>
      <c r="AC91" s="8048" t="s"/>
      <c r="AD91" s="8049" t="s"/>
      <c r="AE91" s="8050" t="s"/>
      <c r="AF91" s="8051" t="s"/>
      <c r="AG91" s="8052" t="s"/>
      <c r="AH91" s="8053" t="s"/>
      <c r="AI91" s="8054" t="s"/>
      <c r="AJ91" s="8055" t="s"/>
      <c r="AK91" s="8056" t="s"/>
    </row>
    <row hidden="false" ht="15.75" outlineLevel="0" r="92">
      <c r="C92" s="98" t="n"/>
      <c r="D92" s="7606" t="s">
        <v>4001</v>
      </c>
      <c r="E92" s="8057" t="s"/>
      <c r="F92" s="8058" t="s"/>
      <c r="G92" s="8059" t="s"/>
      <c r="H92" s="53" t="s">
        <v>165</v>
      </c>
      <c r="I92" s="53" t="s">
        <v>166</v>
      </c>
      <c r="J92" s="53" t="s">
        <v>167</v>
      </c>
      <c r="K92" s="53" t="s">
        <v>168</v>
      </c>
      <c r="L92" s="53" t="s">
        <v>169</v>
      </c>
      <c r="M92" s="53" t="s">
        <v>221</v>
      </c>
      <c r="N92" s="63" t="n"/>
      <c r="P92" s="103" t="s">
        <v>4002</v>
      </c>
      <c r="Q92" s="8060" t="s"/>
      <c r="R92" s="8061" t="s"/>
      <c r="S92" s="8062" t="s"/>
      <c r="T92" s="103" t="s">
        <v>4003</v>
      </c>
      <c r="U92" s="8063" t="s"/>
      <c r="V92" s="8064" t="s"/>
      <c r="W92" s="8065" t="s"/>
      <c r="X92" s="103" t="s">
        <v>4004</v>
      </c>
      <c r="Y92" s="8066" t="s"/>
      <c r="Z92" s="8067" t="s"/>
      <c r="AA92" s="8068" t="s"/>
      <c r="AB92" s="103" t="s">
        <v>4005</v>
      </c>
      <c r="AC92" s="8069" t="s"/>
      <c r="AD92" s="8070" t="s"/>
      <c r="AE92" s="8071" t="s"/>
      <c r="AF92" s="103" t="s">
        <v>4006</v>
      </c>
      <c r="AG92" s="8072" t="s"/>
      <c r="AH92" s="8073" t="s"/>
      <c r="AI92" s="8074" t="s"/>
      <c r="AJ92" s="103" t="s">
        <v>4007</v>
      </c>
      <c r="AK92" s="8075" t="s"/>
    </row>
    <row hidden="false" ht="15.75" outlineLevel="0" r="93">
      <c r="C93" s="98" t="s">
        <v>176</v>
      </c>
      <c r="D93" s="122" t="s">
        <v>177</v>
      </c>
      <c r="E93" s="123" t="s">
        <v>3892</v>
      </c>
      <c r="F93" s="123" t="s">
        <v>179</v>
      </c>
      <c r="G93" s="124" t="s">
        <v>1010</v>
      </c>
      <c r="H93" s="273" t="n">
        <f aca="false" ca="false" dt2D="false" dtr="false" t="normal">MID($A$12, 8, 2)</f>
        <v>0</v>
      </c>
      <c r="I93" s="7626" t="n">
        <f aca="false" ca="false" dt2D="false" dtr="false" t="normal">MID($A$12, 10, 2)</f>
        <v>0</v>
      </c>
      <c r="J93" s="7626" t="n">
        <f aca="false" ca="false" dt2D="false" dtr="false" t="normal">MID($A$12, 12, 2)</f>
        <v>0</v>
      </c>
      <c r="K93" s="7626" t="n">
        <f aca="false" ca="false" dt2D="false" dtr="false" t="normal">MID($A$12, 14, 2)</f>
        <v>0</v>
      </c>
      <c r="L93" s="7627" t="n">
        <f aca="false" ca="false" dt2D="false" dtr="false" t="normal">MID($A$12, 16, 2)</f>
        <v>0</v>
      </c>
      <c r="M93" s="7553" t="str">
        <f aca="false" ca="false" dt2D="false" dtr="false" t="normal">MID($A$12, 18, 2)</f>
        <v>B6</v>
      </c>
      <c r="N93" s="63" t="s">
        <v>180</v>
      </c>
      <c r="P93" s="129" t="s">
        <v>180</v>
      </c>
      <c r="Q93" s="130" t="s">
        <v>181</v>
      </c>
      <c r="R93" s="121" t="s">
        <v>182</v>
      </c>
      <c r="S93" s="131" t="n"/>
      <c r="T93" s="129" t="s">
        <v>180</v>
      </c>
      <c r="U93" s="130" t="s">
        <v>181</v>
      </c>
      <c r="V93" s="121" t="s">
        <v>182</v>
      </c>
      <c r="W93" s="131" t="n"/>
      <c r="X93" s="129" t="s">
        <v>180</v>
      </c>
      <c r="Y93" s="130" t="s">
        <v>181</v>
      </c>
      <c r="Z93" s="121" t="s">
        <v>182</v>
      </c>
      <c r="AA93" s="131" t="n"/>
      <c r="AB93" s="129" t="s">
        <v>180</v>
      </c>
      <c r="AC93" s="130" t="s">
        <v>181</v>
      </c>
      <c r="AD93" s="121" t="s">
        <v>182</v>
      </c>
      <c r="AE93" s="131" t="n"/>
      <c r="AF93" s="129" t="s">
        <v>180</v>
      </c>
      <c r="AG93" s="130" t="s">
        <v>181</v>
      </c>
      <c r="AH93" s="121" t="s">
        <v>182</v>
      </c>
      <c r="AI93" s="121" t="n"/>
      <c r="AJ93" s="116" t="s">
        <v>183</v>
      </c>
      <c r="AK93" s="8076" t="s"/>
    </row>
    <row hidden="false" ht="15" outlineLevel="0" r="94">
      <c r="C94" s="98" t="s">
        <v>185</v>
      </c>
      <c r="D94" s="149" t="n">
        <f aca="false" ca="false" dt2D="false" dtr="false" t="normal">HEX2BIN(D93, 8)</f>
        <v>111</v>
      </c>
      <c r="E94" s="149" t="n">
        <f aca="false" ca="false" dt2D="false" dtr="false" t="normal">HEX2BIN(E93, 8)</f>
        <v>10100101</v>
      </c>
      <c r="F94" s="149" t="n">
        <f aca="false" ca="false" dt2D="false" dtr="false" t="normal">HEX2BIN(F93, 8)</f>
        <v>1</v>
      </c>
      <c r="G94" s="149" t="n">
        <f aca="false" ca="false" dt2D="false" dtr="false" t="normal">HEX2BIN(G93, 8)</f>
        <v>1001</v>
      </c>
      <c r="H94" s="53" t="n">
        <f aca="false" ca="false" dt2D="false" dtr="false" t="normal">HEX2BIN(H93, 8)</f>
        <v>0</v>
      </c>
      <c r="I94" s="53" t="n">
        <f aca="false" ca="false" dt2D="false" dtr="false" t="normal">HEX2BIN(I93, 8)</f>
        <v>0</v>
      </c>
      <c r="J94" s="53" t="n">
        <f aca="false" ca="false" dt2D="false" dtr="false" t="normal">HEX2BIN(J93, 8)</f>
        <v>0</v>
      </c>
      <c r="K94" s="53" t="n">
        <f aca="false" ca="false" dt2D="false" dtr="false" t="normal">HEX2BIN(K93, 8)</f>
        <v>0</v>
      </c>
      <c r="L94" s="53" t="n">
        <f aca="false" ca="false" dt2D="false" dtr="false" t="normal">HEX2BIN(L93, 8)</f>
        <v>0</v>
      </c>
      <c r="M94" s="53" t="n"/>
      <c r="N94" s="63" t="n"/>
      <c r="P94" s="136" t="n">
        <f aca="false" ca="false" dt2D="false" dtr="false" t="normal">MID(H94, 1, 1)</f>
        <v>0</v>
      </c>
      <c r="Q94" s="137" t="n">
        <f aca="false" ca="false" dt2D="false" dtr="false" t="normal">P94</f>
        <v>0</v>
      </c>
      <c r="R94" s="120" t="s">
        <v>186</v>
      </c>
      <c r="S94" s="131" t="s">
        <v>196</v>
      </c>
      <c r="T94" s="136" t="n">
        <f aca="false" ca="false" dt2D="false" dtr="false" t="normal">MID(I94, 1, 1)</f>
        <v>0</v>
      </c>
      <c r="U94" s="137" t="n">
        <f aca="false" ca="false" dt2D="false" dtr="false" t="normal">T94</f>
        <v>0</v>
      </c>
      <c r="V94" s="120" t="s">
        <v>186</v>
      </c>
      <c r="W94" s="131" t="s">
        <v>196</v>
      </c>
      <c r="X94" s="136" t="n">
        <f aca="false" ca="false" dt2D="false" dtr="false" t="normal">MID(J94, 1, 1)</f>
        <v>0</v>
      </c>
      <c r="Y94" s="137" t="n">
        <f aca="false" ca="false" dt2D="false" dtr="false" t="normal">X94</f>
        <v>0</v>
      </c>
      <c r="Z94" s="120" t="s">
        <v>186</v>
      </c>
      <c r="AA94" s="131" t="s">
        <v>196</v>
      </c>
      <c r="AB94" s="136" t="n">
        <f aca="false" ca="false" dt2D="false" dtr="false" t="normal">MID(K94, 1, 1)</f>
        <v>0</v>
      </c>
      <c r="AC94" s="137" t="n">
        <f aca="false" ca="false" dt2D="false" dtr="false" t="normal">AB94</f>
        <v>0</v>
      </c>
      <c r="AD94" s="120" t="s">
        <v>186</v>
      </c>
      <c r="AE94" s="131" t="s">
        <v>196</v>
      </c>
      <c r="AF94" s="136" t="n">
        <f aca="false" ca="false" dt2D="false" dtr="false" t="normal">MID(L94, 1, 1)</f>
        <v>0</v>
      </c>
      <c r="AG94" s="137" t="n">
        <f aca="false" ca="false" dt2D="false" dtr="false" t="normal">AF94</f>
        <v>0</v>
      </c>
      <c r="AH94" s="120" t="s">
        <v>186</v>
      </c>
      <c r="AI94" s="131" t="s">
        <v>196</v>
      </c>
      <c r="AJ94" s="8077" t="s"/>
      <c r="AK94" s="8078" t="s"/>
    </row>
    <row hidden="false" ht="15" outlineLevel="0" r="95">
      <c r="C95" s="98" t="s">
        <v>191</v>
      </c>
      <c r="D95" s="149" t="n">
        <f aca="false" ca="false" dt2D="false" dtr="false" t="normal">HEX2DEC(D93)</f>
        <v>7</v>
      </c>
      <c r="E95" s="149" t="n">
        <f aca="false" ca="false" dt2D="false" dtr="false" t="normal">HEX2DEC(E93)</f>
        <v>165</v>
      </c>
      <c r="F95" s="149" t="n">
        <f aca="false" ca="false" dt2D="false" dtr="false" t="normal">HEX2DEC(F93)</f>
        <v>1</v>
      </c>
      <c r="G95" s="149" t="n">
        <f aca="false" ca="false" dt2D="false" dtr="false" t="normal">HEX2DEC(G93)</f>
        <v>9</v>
      </c>
      <c r="H95" s="53" t="n">
        <f aca="false" ca="false" dt2D="false" dtr="false" t="normal">HEX2DEC(H93)</f>
        <v>0</v>
      </c>
      <c r="I95" s="53" t="n">
        <f aca="false" ca="false" dt2D="false" dtr="false" t="normal">HEX2DEC(I93)</f>
        <v>0</v>
      </c>
      <c r="J95" s="53" t="n">
        <f aca="false" ca="false" dt2D="false" dtr="false" t="normal">HEX2DEC(J93)</f>
        <v>0</v>
      </c>
      <c r="K95" s="53" t="n">
        <f aca="false" ca="false" dt2D="false" dtr="false" t="normal">HEX2DEC(K93)</f>
        <v>0</v>
      </c>
      <c r="L95" s="53" t="n">
        <f aca="false" ca="false" dt2D="false" dtr="false" t="normal">HEX2DEC(L93)</f>
        <v>0</v>
      </c>
      <c r="M95" s="53" t="n">
        <f aca="false" ca="false" dt2D="false" dtr="false" t="normal">SUM(D95:L95)</f>
        <v>182</v>
      </c>
      <c r="N95" s="63" t="n"/>
      <c r="P95" s="136" t="n">
        <f aca="false" ca="false" dt2D="false" dtr="false" t="normal">MID(H94, 2, 1)</f>
        <v>0</v>
      </c>
      <c r="Q95" s="137" t="n">
        <f aca="false" ca="false" dt2D="false" dtr="false" t="normal">P95</f>
        <v>0</v>
      </c>
      <c r="R95" s="120" t="s">
        <v>192</v>
      </c>
      <c r="S95" s="131" t="s">
        <v>196</v>
      </c>
      <c r="T95" s="136" t="n">
        <f aca="false" ca="false" dt2D="false" dtr="false" t="normal">MID(I94, 2, 1)</f>
        <v>0</v>
      </c>
      <c r="U95" s="137" t="n">
        <f aca="false" ca="false" dt2D="false" dtr="false" t="normal">T95</f>
        <v>0</v>
      </c>
      <c r="V95" s="120" t="s">
        <v>192</v>
      </c>
      <c r="W95" s="131" t="s">
        <v>196</v>
      </c>
      <c r="X95" s="136" t="n">
        <f aca="false" ca="false" dt2D="false" dtr="false" t="normal">MID(J94, 2, 1)</f>
        <v>0</v>
      </c>
      <c r="Y95" s="137" t="n">
        <f aca="false" ca="false" dt2D="false" dtr="false" t="normal">X95</f>
        <v>0</v>
      </c>
      <c r="Z95" s="120" t="s">
        <v>192</v>
      </c>
      <c r="AA95" s="131" t="s">
        <v>196</v>
      </c>
      <c r="AB95" s="136" t="n">
        <f aca="false" ca="false" dt2D="false" dtr="false" t="normal">MID(K94, 2, 1)</f>
        <v>0</v>
      </c>
      <c r="AC95" s="137" t="n">
        <f aca="false" ca="false" dt2D="false" dtr="false" t="normal">AB95</f>
        <v>0</v>
      </c>
      <c r="AD95" s="120" t="s">
        <v>192</v>
      </c>
      <c r="AE95" s="131" t="s">
        <v>196</v>
      </c>
      <c r="AF95" s="136" t="n">
        <f aca="false" ca="false" dt2D="false" dtr="false" t="normal">MID(L94, 2, 1)</f>
        <v>0</v>
      </c>
      <c r="AG95" s="137" t="n">
        <f aca="false" ca="false" dt2D="false" dtr="false" t="normal">AF95</f>
        <v>0</v>
      </c>
      <c r="AH95" s="120" t="s">
        <v>192</v>
      </c>
      <c r="AI95" s="131" t="s">
        <v>196</v>
      </c>
      <c r="AJ95" s="8079" t="s"/>
      <c r="AK95" s="8080" t="s"/>
    </row>
    <row hidden="false" ht="15" outlineLevel="0" r="96">
      <c r="C96" s="98" t="s">
        <v>194</v>
      </c>
      <c r="D96" s="149" t="n">
        <f aca="false" ca="false" dt2D="false" dtr="false" t="normal">D93</f>
        <v>7</v>
      </c>
      <c r="E96" s="149" t="str">
        <f aca="false" ca="false" dt2D="false" dtr="false" t="normal">E93</f>
        <v>A5</v>
      </c>
      <c r="F96" s="149" t="str">
        <f aca="false" ca="false" dt2D="false" dtr="false" t="normal">MID($A$12, 4, 2)</f>
        <v>G1</v>
      </c>
      <c r="G96" s="149" t="str">
        <f aca="false" ca="false" dt2D="false" dtr="false" t="normal">MID($A$12, 6, 2)</f>
        <v>G9</v>
      </c>
      <c r="N96" s="63" t="n"/>
      <c r="P96" s="136" t="n">
        <f aca="false" ca="false" dt2D="false" dtr="false" t="normal">MID(H94, 3, 1)</f>
        <v>0</v>
      </c>
      <c r="Q96" s="137" t="n">
        <f aca="false" ca="false" dt2D="false" dtr="false" t="normal">P96</f>
        <v>0</v>
      </c>
      <c r="R96" s="120" t="s">
        <v>195</v>
      </c>
      <c r="S96" s="131" t="s">
        <v>196</v>
      </c>
      <c r="T96" s="136" t="n">
        <f aca="false" ca="false" dt2D="false" dtr="false" t="normal">MID(I94, 3, 1)</f>
        <v>0</v>
      </c>
      <c r="U96" s="137" t="n">
        <f aca="false" ca="false" dt2D="false" dtr="false" t="normal">T96</f>
        <v>0</v>
      </c>
      <c r="V96" s="120" t="s">
        <v>195</v>
      </c>
      <c r="W96" s="131" t="s">
        <v>196</v>
      </c>
      <c r="X96" s="136" t="n">
        <f aca="false" ca="false" dt2D="false" dtr="false" t="normal">MID(J94, 3, 1)</f>
        <v>0</v>
      </c>
      <c r="Y96" s="137" t="n">
        <f aca="false" ca="false" dt2D="false" dtr="false" t="normal">X96</f>
        <v>0</v>
      </c>
      <c r="Z96" s="120" t="s">
        <v>195</v>
      </c>
      <c r="AA96" s="131" t="s">
        <v>196</v>
      </c>
      <c r="AB96" s="136" t="n">
        <f aca="false" ca="false" dt2D="false" dtr="false" t="normal">MID(K94, 3, 1)</f>
        <v>0</v>
      </c>
      <c r="AC96" s="137" t="n">
        <f aca="false" ca="false" dt2D="false" dtr="false" t="normal">AB96</f>
        <v>0</v>
      </c>
      <c r="AD96" s="120" t="s">
        <v>195</v>
      </c>
      <c r="AE96" s="131" t="s">
        <v>196</v>
      </c>
      <c r="AF96" s="136" t="n">
        <f aca="false" ca="false" dt2D="false" dtr="false" t="normal">MID(L94, 3, 1)</f>
        <v>0</v>
      </c>
      <c r="AG96" s="137" t="n">
        <f aca="false" ca="false" dt2D="false" dtr="false" t="normal">AF96</f>
        <v>0</v>
      </c>
      <c r="AH96" s="120" t="s">
        <v>195</v>
      </c>
      <c r="AI96" s="131" t="s">
        <v>196</v>
      </c>
      <c r="AJ96" s="8081" t="s"/>
      <c r="AK96" s="8082" t="s"/>
    </row>
    <row hidden="false" ht="15.75" outlineLevel="0" r="97">
      <c r="C97" s="98" t="n"/>
      <c r="N97" s="63" t="n"/>
      <c r="P97" s="136" t="n">
        <f aca="false" ca="false" dt2D="false" dtr="false" t="normal">MID(H94, 4, 1)</f>
        <v>0</v>
      </c>
      <c r="Q97" s="137" t="n">
        <f aca="false" ca="false" dt2D="false" dtr="false" t="normal">P97</f>
        <v>0</v>
      </c>
      <c r="R97" s="120" t="s">
        <v>197</v>
      </c>
      <c r="S97" s="131" t="s">
        <v>196</v>
      </c>
      <c r="T97" s="136" t="n">
        <f aca="false" ca="false" dt2D="false" dtr="false" t="normal">MID(I94, 4, 1)</f>
        <v>0</v>
      </c>
      <c r="U97" s="137" t="n">
        <f aca="false" ca="false" dt2D="false" dtr="false" t="normal">T97</f>
        <v>0</v>
      </c>
      <c r="V97" s="120" t="s">
        <v>197</v>
      </c>
      <c r="W97" s="131" t="s">
        <v>196</v>
      </c>
      <c r="X97" s="136" t="n">
        <f aca="false" ca="false" dt2D="false" dtr="false" t="normal">MID(J94, 4, 1)</f>
        <v>0</v>
      </c>
      <c r="Y97" s="137" t="n">
        <f aca="false" ca="false" dt2D="false" dtr="false" t="normal">X97</f>
        <v>0</v>
      </c>
      <c r="Z97" s="120" t="s">
        <v>197</v>
      </c>
      <c r="AA97" s="131" t="s">
        <v>196</v>
      </c>
      <c r="AB97" s="136" t="n">
        <f aca="false" ca="false" dt2D="false" dtr="false" t="normal">MID(K94, 4, 1)</f>
        <v>0</v>
      </c>
      <c r="AC97" s="137" t="n">
        <f aca="false" ca="false" dt2D="false" dtr="false" t="normal">AB97</f>
        <v>0</v>
      </c>
      <c r="AD97" s="120" t="s">
        <v>197</v>
      </c>
      <c r="AE97" s="131" t="s">
        <v>196</v>
      </c>
      <c r="AF97" s="136" t="n">
        <f aca="false" ca="false" dt2D="false" dtr="false" t="normal">MID(L94, 4, 1)</f>
        <v>0</v>
      </c>
      <c r="AG97" s="137" t="n">
        <f aca="false" ca="false" dt2D="false" dtr="false" t="normal">AF97</f>
        <v>0</v>
      </c>
      <c r="AH97" s="120" t="s">
        <v>197</v>
      </c>
      <c r="AI97" s="131" t="s">
        <v>196</v>
      </c>
      <c r="AJ97" s="8083" t="s"/>
      <c r="AK97" s="8084" t="s"/>
    </row>
    <row hidden="false" ht="15.75" outlineLevel="0" r="98">
      <c r="C98" s="98" t="s">
        <v>176</v>
      </c>
      <c r="D98" s="122" t="n">
        <f aca="false" ca="false" dt2D="false" dtr="false" t="normal">D93</f>
        <v>7</v>
      </c>
      <c r="E98" s="123" t="str">
        <f aca="false" ca="false" dt2D="false" dtr="false" t="normal">E93</f>
        <v>A5</v>
      </c>
      <c r="F98" s="123" t="n">
        <f aca="false" ca="false" dt2D="false" dtr="false" t="normal">F93</f>
        <v>1</v>
      </c>
      <c r="G98" s="124" t="n">
        <f aca="false" ca="false" dt2D="false" dtr="false" t="normal">G93</f>
        <v>9</v>
      </c>
      <c r="H98" s="162" t="n">
        <f aca="false" ca="false" dt2D="false" dtr="false" t="normal">BIN2HEX(H99, 2)</f>
        <v>0</v>
      </c>
      <c r="I98" s="163" t="n">
        <f aca="false" ca="false" dt2D="false" dtr="false" t="normal">BIN2HEX(I99, 2)</f>
        <v>0</v>
      </c>
      <c r="J98" s="164" t="n">
        <f aca="false" ca="false" dt2D="false" dtr="false" t="normal">BIN2HEX(J99, 2)</f>
        <v>0</v>
      </c>
      <c r="K98" s="165" t="n">
        <f aca="false" ca="false" dt2D="false" dtr="false" t="normal">BIN2HEX(K99, 2)</f>
        <v>0</v>
      </c>
      <c r="L98" s="288" t="n">
        <f aca="false" ca="false" dt2D="false" dtr="false" t="normal">BIN2HEX(L99, 2)</f>
        <v>0</v>
      </c>
      <c r="M98" s="166" t="str">
        <f aca="false" ca="false" dt2D="false" dtr="false" t="normal">IF(LEN(M99)&gt;2, MID(M99, 2, 2), M99)</f>
        <v>B6</v>
      </c>
      <c r="N98" s="63" t="s">
        <v>181</v>
      </c>
      <c r="P98" s="136" t="n">
        <f aca="false" ca="false" dt2D="false" dtr="false" t="normal">MID(H94, 5, 1)</f>
        <v>0</v>
      </c>
      <c r="Q98" s="137" t="n">
        <f aca="false" ca="false" dt2D="false" dtr="false" t="normal">P98</f>
        <v>0</v>
      </c>
      <c r="R98" s="120" t="s">
        <v>200</v>
      </c>
      <c r="S98" s="131" t="s">
        <v>196</v>
      </c>
      <c r="T98" s="136" t="n">
        <f aca="false" ca="false" dt2D="false" dtr="false" t="normal">MID(I94, 5, 1)</f>
        <v>0</v>
      </c>
      <c r="U98" s="137" t="n">
        <f aca="false" ca="false" dt2D="false" dtr="false" t="normal">T98</f>
        <v>0</v>
      </c>
      <c r="V98" s="120" t="s">
        <v>200</v>
      </c>
      <c r="W98" s="131" t="s">
        <v>196</v>
      </c>
      <c r="X98" s="136" t="n">
        <f aca="false" ca="false" dt2D="false" dtr="false" t="normal">MID(J94, 5, 1)</f>
        <v>0</v>
      </c>
      <c r="Y98" s="137" t="n">
        <f aca="false" ca="false" dt2D="false" dtr="false" t="normal">X98</f>
        <v>0</v>
      </c>
      <c r="Z98" s="120" t="s">
        <v>200</v>
      </c>
      <c r="AA98" s="131" t="s">
        <v>196</v>
      </c>
      <c r="AB98" s="136" t="n">
        <f aca="false" ca="false" dt2D="false" dtr="false" t="normal">MID(K94, 5, 1)</f>
        <v>0</v>
      </c>
      <c r="AC98" s="137" t="n">
        <f aca="false" ca="false" dt2D="false" dtr="false" t="normal">AB98</f>
        <v>0</v>
      </c>
      <c r="AD98" s="120" t="s">
        <v>200</v>
      </c>
      <c r="AE98" s="131" t="s">
        <v>196</v>
      </c>
      <c r="AF98" s="136" t="n">
        <f aca="false" ca="false" dt2D="false" dtr="false" t="normal">MID(L94, 5, 1)</f>
        <v>0</v>
      </c>
      <c r="AG98" s="137" t="n">
        <f aca="false" ca="false" dt2D="false" dtr="false" t="normal">AF98</f>
        <v>0</v>
      </c>
      <c r="AH98" s="120" t="s">
        <v>200</v>
      </c>
      <c r="AI98" s="131" t="s">
        <v>196</v>
      </c>
      <c r="AJ98" s="8085" t="s"/>
      <c r="AK98" s="8086" t="s"/>
    </row>
    <row hidden="false" ht="15" outlineLevel="0" r="99">
      <c r="C99" s="98" t="s">
        <v>185</v>
      </c>
      <c r="D99" s="149" t="n">
        <f aca="false" ca="false" dt2D="false" dtr="false" t="normal">HEX2BIN(D98, 8)</f>
        <v>111</v>
      </c>
      <c r="E99" s="149" t="n">
        <f aca="false" ca="false" dt2D="false" dtr="false" t="normal">HEX2BIN(E98, 8)</f>
        <v>10100101</v>
      </c>
      <c r="F99" s="149" t="n">
        <f aca="false" ca="false" dt2D="false" dtr="false" t="normal">HEX2BIN(F98, 8)</f>
        <v>1</v>
      </c>
      <c r="G99" s="149" t="n">
        <f aca="false" ca="false" dt2D="false" dtr="false" t="normal">HEX2BIN(G98, 8)</f>
        <v>1001</v>
      </c>
      <c r="H99" s="53" t="n">
        <f aca="false" ca="false" dt2D="false" dtr="false" t="normal">Q94&amp;Q95&amp;Q96&amp;Q97&amp;Q98&amp;Q99&amp;Q100&amp;Q101</f>
        <v>0</v>
      </c>
      <c r="I99" s="53" t="n">
        <f aca="false" ca="false" dt2D="false" dtr="false" t="normal">U94&amp;U95&amp;U96&amp;U97&amp;U98&amp;U99&amp;U100&amp;U101</f>
        <v>0</v>
      </c>
      <c r="J99" s="53" t="n">
        <f aca="false" ca="false" dt2D="false" dtr="false" t="normal">Y94&amp;Y95&amp;Y96&amp;Y97&amp;Y98&amp;Y99&amp;Y100&amp;Y101</f>
        <v>0</v>
      </c>
      <c r="K99" s="53" t="n">
        <f aca="false" ca="false" dt2D="false" dtr="false" t="normal">AC94&amp;AC95&amp;AC96&amp;AC97&amp;AC98&amp;AC99&amp;AC100&amp;AC101</f>
        <v>0</v>
      </c>
      <c r="L99" s="53" t="n">
        <f aca="false" ca="false" dt2D="false" dtr="false" t="normal">AG94&amp;AG95&amp;AG96&amp;AG97&amp;AG98&amp;AG99&amp;AG100&amp;AG101</f>
        <v>0</v>
      </c>
      <c r="M99" s="53" t="str">
        <f aca="false" ca="false" dt2D="false" dtr="false" t="normal">DEC2HEX(M100)</f>
        <v>B6</v>
      </c>
      <c r="N99" s="63" t="n"/>
      <c r="P99" s="136" t="n">
        <f aca="false" ca="false" dt2D="false" dtr="false" t="normal">MID(H94, 6, 1)</f>
        <v>0</v>
      </c>
      <c r="Q99" s="137" t="n">
        <f aca="false" ca="false" dt2D="false" dtr="false" t="normal">P99</f>
        <v>0</v>
      </c>
      <c r="R99" s="120" t="s">
        <v>203</v>
      </c>
      <c r="S99" s="131" t="s">
        <v>196</v>
      </c>
      <c r="T99" s="136" t="n">
        <f aca="false" ca="false" dt2D="false" dtr="false" t="normal">MID(I94, 6, 1)</f>
        <v>0</v>
      </c>
      <c r="U99" s="137" t="n">
        <f aca="false" ca="false" dt2D="false" dtr="false" t="normal">T99</f>
        <v>0</v>
      </c>
      <c r="V99" s="120" t="s">
        <v>203</v>
      </c>
      <c r="W99" s="131" t="s">
        <v>196</v>
      </c>
      <c r="X99" s="136" t="n">
        <f aca="false" ca="false" dt2D="false" dtr="false" t="normal">MID(J94, 6, 1)</f>
        <v>0</v>
      </c>
      <c r="Y99" s="137" t="n">
        <f aca="false" ca="false" dt2D="false" dtr="false" t="normal">X99</f>
        <v>0</v>
      </c>
      <c r="Z99" s="120" t="s">
        <v>203</v>
      </c>
      <c r="AA99" s="131" t="s">
        <v>196</v>
      </c>
      <c r="AB99" s="136" t="n">
        <f aca="false" ca="false" dt2D="false" dtr="false" t="normal">MID(K94, 6, 1)</f>
        <v>0</v>
      </c>
      <c r="AC99" s="137" t="n">
        <f aca="false" ca="false" dt2D="false" dtr="false" t="normal">AB99</f>
        <v>0</v>
      </c>
      <c r="AD99" s="120" t="s">
        <v>203</v>
      </c>
      <c r="AE99" s="131" t="s">
        <v>196</v>
      </c>
      <c r="AF99" s="136" t="n">
        <f aca="false" ca="false" dt2D="false" dtr="false" t="normal">MID(L94, 6, 1)</f>
        <v>0</v>
      </c>
      <c r="AG99" s="137" t="n">
        <f aca="false" ca="false" dt2D="false" dtr="false" t="normal">AF99</f>
        <v>0</v>
      </c>
      <c r="AH99" s="120" t="s">
        <v>203</v>
      </c>
      <c r="AI99" s="131" t="s">
        <v>196</v>
      </c>
      <c r="AJ99" s="8087" t="s"/>
      <c r="AK99" s="8088" t="s"/>
    </row>
    <row hidden="false" ht="15" outlineLevel="0" r="100">
      <c r="C100" s="98" t="s">
        <v>191</v>
      </c>
      <c r="D100" s="149" t="n">
        <f aca="false" ca="false" dt2D="false" dtr="false" t="normal">HEX2DEC(D98)</f>
        <v>7</v>
      </c>
      <c r="E100" s="149" t="n">
        <f aca="false" ca="false" dt2D="false" dtr="false" t="normal">HEX2DEC(E98)</f>
        <v>165</v>
      </c>
      <c r="F100" s="149" t="n">
        <f aca="false" ca="false" dt2D="false" dtr="false" t="normal">HEX2DEC(F98)</f>
        <v>1</v>
      </c>
      <c r="G100" s="149" t="n">
        <f aca="false" ca="false" dt2D="false" dtr="false" t="normal">HEX2DEC(G98)</f>
        <v>9</v>
      </c>
      <c r="H100" s="53" t="n">
        <f aca="false" ca="false" dt2D="false" dtr="false" t="normal">HEX2DEC(H98)</f>
        <v>0</v>
      </c>
      <c r="I100" s="53" t="n">
        <f aca="false" ca="false" dt2D="false" dtr="false" t="normal">HEX2DEC(I98)</f>
        <v>0</v>
      </c>
      <c r="J100" s="53" t="n">
        <f aca="false" ca="false" dt2D="false" dtr="false" t="normal">HEX2DEC(J98)</f>
        <v>0</v>
      </c>
      <c r="K100" s="53" t="n">
        <f aca="false" ca="false" dt2D="false" dtr="false" t="normal">HEX2DEC(K98)</f>
        <v>0</v>
      </c>
      <c r="L100" s="53" t="n">
        <f aca="false" ca="false" dt2D="false" dtr="false" t="normal">HEX2DEC(L98)</f>
        <v>0</v>
      </c>
      <c r="M100" s="53" t="n">
        <f aca="false" ca="false" dt2D="false" dtr="false" t="normal">SUM(D100:L100)</f>
        <v>182</v>
      </c>
      <c r="N100" s="63" t="n"/>
      <c r="P100" s="136" t="n">
        <f aca="false" ca="false" dt2D="false" dtr="false" t="normal">MID(H94, 7, 1)</f>
        <v>0</v>
      </c>
      <c r="Q100" s="137" t="n">
        <f aca="false" ca="false" dt2D="false" dtr="false" t="normal">P100</f>
        <v>0</v>
      </c>
      <c r="R100" s="120" t="s">
        <v>206</v>
      </c>
      <c r="S100" s="131" t="s">
        <v>196</v>
      </c>
      <c r="T100" s="136" t="n">
        <f aca="false" ca="false" dt2D="false" dtr="false" t="normal">MID(I94, 7, 1)</f>
        <v>0</v>
      </c>
      <c r="U100" s="137" t="n">
        <f aca="false" ca="false" dt2D="false" dtr="false" t="normal">T100</f>
        <v>0</v>
      </c>
      <c r="V100" s="120" t="s">
        <v>206</v>
      </c>
      <c r="W100" s="131" t="s">
        <v>196</v>
      </c>
      <c r="X100" s="136" t="n">
        <f aca="false" ca="false" dt2D="false" dtr="false" t="normal">MID(J94, 7, 1)</f>
        <v>0</v>
      </c>
      <c r="Y100" s="137" t="n">
        <f aca="false" ca="false" dt2D="false" dtr="false" t="normal">X100</f>
        <v>0</v>
      </c>
      <c r="Z100" s="120" t="s">
        <v>206</v>
      </c>
      <c r="AA100" s="131" t="s">
        <v>196</v>
      </c>
      <c r="AB100" s="136" t="n">
        <f aca="false" ca="false" dt2D="false" dtr="false" t="normal">MID(K94, 7, 1)</f>
        <v>0</v>
      </c>
      <c r="AC100" s="137" t="n">
        <f aca="false" ca="false" dt2D="false" dtr="false" t="normal">AB100</f>
        <v>0</v>
      </c>
      <c r="AD100" s="120" t="s">
        <v>206</v>
      </c>
      <c r="AE100" s="131" t="s">
        <v>196</v>
      </c>
      <c r="AF100" s="136" t="n">
        <f aca="false" ca="false" dt2D="false" dtr="false" t="normal">MID(L94, 7, 1)</f>
        <v>0</v>
      </c>
      <c r="AG100" s="137" t="n">
        <f aca="false" ca="false" dt2D="false" dtr="false" t="normal">AF100</f>
        <v>0</v>
      </c>
      <c r="AH100" s="120" t="s">
        <v>206</v>
      </c>
      <c r="AI100" s="131" t="s">
        <v>196</v>
      </c>
      <c r="AJ100" s="8089" t="s"/>
      <c r="AK100" s="8090" t="s"/>
    </row>
    <row hidden="false" ht="15.75" outlineLevel="0" r="101">
      <c r="C101" s="180" t="s">
        <v>194</v>
      </c>
      <c r="D101" s="181" t="n">
        <f aca="false" ca="false" dt2D="false" dtr="false" t="normal">D96</f>
        <v>7</v>
      </c>
      <c r="E101" s="181" t="str">
        <f aca="false" ca="false" dt2D="false" dtr="false" t="normal">E96</f>
        <v>A5</v>
      </c>
      <c r="F101" s="181" t="str">
        <f aca="false" ca="false" dt2D="false" dtr="false" t="normal">F96</f>
        <v>G1</v>
      </c>
      <c r="G101" s="181" t="str">
        <f aca="false" ca="false" dt2D="false" dtr="false" t="normal">G96</f>
        <v>G9</v>
      </c>
      <c r="H101" s="45" t="n"/>
      <c r="I101" s="45" t="n"/>
      <c r="J101" s="45" t="n"/>
      <c r="K101" s="45" t="n"/>
      <c r="L101" s="45" t="n"/>
      <c r="M101" s="45" t="n"/>
      <c r="N101" s="49" t="n"/>
      <c r="P101" s="182" t="n">
        <f aca="false" ca="false" dt2D="false" dtr="false" t="normal">MID(H94, 8, 1)</f>
        <v>0</v>
      </c>
      <c r="Q101" s="183" t="n">
        <f aca="false" ca="false" dt2D="false" dtr="false" t="normal">P101</f>
        <v>0</v>
      </c>
      <c r="R101" s="184" t="s">
        <v>208</v>
      </c>
      <c r="S101" s="185" t="s">
        <v>196</v>
      </c>
      <c r="T101" s="182" t="n">
        <f aca="false" ca="false" dt2D="false" dtr="false" t="normal">MID(I94, 8, 1)</f>
        <v>0</v>
      </c>
      <c r="U101" s="183" t="n">
        <f aca="false" ca="false" dt2D="false" dtr="false" t="normal">T101</f>
        <v>0</v>
      </c>
      <c r="V101" s="184" t="s">
        <v>208</v>
      </c>
      <c r="W101" s="185" t="s">
        <v>196</v>
      </c>
      <c r="X101" s="182" t="n">
        <f aca="false" ca="false" dt2D="false" dtr="false" t="normal">MID(J94, 8, 1)</f>
        <v>0</v>
      </c>
      <c r="Y101" s="183" t="n">
        <f aca="false" ca="false" dt2D="false" dtr="false" t="normal">X101</f>
        <v>0</v>
      </c>
      <c r="Z101" s="184" t="s">
        <v>208</v>
      </c>
      <c r="AA101" s="185" t="s">
        <v>196</v>
      </c>
      <c r="AB101" s="182" t="n">
        <f aca="false" ca="false" dt2D="false" dtr="false" t="normal">MID(K94, 8, 1)</f>
        <v>0</v>
      </c>
      <c r="AC101" s="183" t="n">
        <f aca="false" ca="false" dt2D="false" dtr="false" t="normal">AB101</f>
        <v>0</v>
      </c>
      <c r="AD101" s="184" t="s">
        <v>208</v>
      </c>
      <c r="AE101" s="185" t="s">
        <v>196</v>
      </c>
      <c r="AF101" s="182" t="n">
        <f aca="false" ca="false" dt2D="false" dtr="false" t="normal">MID(L94, 8, 1)</f>
        <v>0</v>
      </c>
      <c r="AG101" s="183" t="n">
        <f aca="false" ca="false" dt2D="false" dtr="false" t="normal">AF101</f>
        <v>0</v>
      </c>
      <c r="AH101" s="184" t="s">
        <v>208</v>
      </c>
      <c r="AI101" s="185" t="s">
        <v>196</v>
      </c>
      <c r="AJ101" s="8091" t="s"/>
      <c r="AK101" s="8092" t="s"/>
    </row>
    <row hidden="false" ht="15.75" outlineLevel="0" r="102">
      <c r="C102" s="93" t="n"/>
      <c r="D102" s="7585" t="n"/>
      <c r="E102" s="7585" t="n"/>
      <c r="F102" s="7585" t="n"/>
      <c r="G102" s="7585" t="n"/>
      <c r="H102" s="94" t="n"/>
      <c r="I102" s="94" t="n"/>
      <c r="J102" s="94" t="n"/>
      <c r="K102" s="94" t="n"/>
      <c r="L102" s="94" t="n"/>
      <c r="M102" s="94" t="s">
        <v>161</v>
      </c>
      <c r="N102" s="60" t="n"/>
      <c r="P102" s="95" t="str">
        <f aca="false" ca="false" dt2D="false" dtr="false" t="normal">RIGHT(D104, 1)&amp;E104&amp;"-"&amp;F104&amp;"-"&amp;G104</f>
        <v>7A5-01-10</v>
      </c>
      <c r="Q102" s="8093" t="s"/>
      <c r="R102" s="234" t="s">
        <v>4008</v>
      </c>
      <c r="S102" s="8094" t="s"/>
      <c r="T102" s="8095" t="s"/>
      <c r="U102" s="8096" t="s"/>
      <c r="V102" s="8097" t="s"/>
      <c r="W102" s="8098" t="s"/>
      <c r="X102" s="8099" t="s"/>
      <c r="Y102" s="8100" t="s"/>
      <c r="Z102" s="8101" t="s"/>
      <c r="AA102" s="8102" t="s"/>
      <c r="AB102" s="8103" t="s"/>
      <c r="AC102" s="8104" t="s"/>
      <c r="AD102" s="8105" t="s"/>
      <c r="AE102" s="8106" t="s"/>
      <c r="AF102" s="8107" t="s"/>
      <c r="AG102" s="8108" t="s"/>
      <c r="AH102" s="8109" t="s"/>
      <c r="AI102" s="8110" t="s"/>
      <c r="AJ102" s="8111" t="s"/>
      <c r="AK102" s="8112" t="s"/>
    </row>
    <row hidden="false" ht="15.75" outlineLevel="0" r="103">
      <c r="C103" s="98" t="n"/>
      <c r="D103" s="7606" t="s">
        <v>4009</v>
      </c>
      <c r="E103" s="8113" t="s"/>
      <c r="F103" s="8114" t="s"/>
      <c r="G103" s="8115" t="s"/>
      <c r="H103" s="53" t="s">
        <v>165</v>
      </c>
      <c r="I103" s="53" t="s">
        <v>166</v>
      </c>
      <c r="J103" s="53" t="s">
        <v>167</v>
      </c>
      <c r="K103" s="53" t="s">
        <v>168</v>
      </c>
      <c r="L103" s="53" t="s">
        <v>169</v>
      </c>
      <c r="M103" s="53" t="s">
        <v>221</v>
      </c>
      <c r="N103" s="63" t="n"/>
      <c r="P103" s="103" t="s">
        <v>4010</v>
      </c>
      <c r="Q103" s="8116" t="s"/>
      <c r="R103" s="8117" t="s"/>
      <c r="S103" s="8118" t="s"/>
      <c r="T103" s="103" t="s">
        <v>4011</v>
      </c>
      <c r="U103" s="8119" t="s"/>
      <c r="V103" s="8120" t="s"/>
      <c r="W103" s="8121" t="s"/>
      <c r="X103" s="103" t="s">
        <v>4012</v>
      </c>
      <c r="Y103" s="8122" t="s"/>
      <c r="Z103" s="8123" t="s"/>
      <c r="AA103" s="8124" t="s"/>
      <c r="AB103" s="103" t="s">
        <v>4013</v>
      </c>
      <c r="AC103" s="8125" t="s"/>
      <c r="AD103" s="8126" t="s"/>
      <c r="AE103" s="8127" t="s"/>
      <c r="AF103" s="103" t="s">
        <v>4014</v>
      </c>
      <c r="AG103" s="8128" t="s"/>
      <c r="AH103" s="8129" t="s"/>
      <c r="AI103" s="8130" t="s"/>
      <c r="AJ103" s="103" t="s">
        <v>4015</v>
      </c>
      <c r="AK103" s="8131" t="s"/>
    </row>
    <row hidden="false" ht="15.75" outlineLevel="0" r="104">
      <c r="C104" s="98" t="s">
        <v>176</v>
      </c>
      <c r="D104" s="122" t="s">
        <v>177</v>
      </c>
      <c r="E104" s="123" t="s">
        <v>3892</v>
      </c>
      <c r="F104" s="123" t="s">
        <v>179</v>
      </c>
      <c r="G104" s="124" t="s">
        <v>1184</v>
      </c>
      <c r="H104" s="273" t="n">
        <f aca="false" ca="false" dt2D="false" dtr="false" t="normal">MID($A$13, 8, 2)</f>
        <v>0</v>
      </c>
      <c r="I104" s="7626" t="n">
        <f aca="false" ca="false" dt2D="false" dtr="false" t="normal">MID($A$13, 10, 2)</f>
        <v>0</v>
      </c>
      <c r="J104" s="7626" t="n">
        <f aca="false" ca="false" dt2D="false" dtr="false" t="normal">MID($A$13, 12, 2)</f>
        <v>0</v>
      </c>
      <c r="K104" s="7626" t="n">
        <f aca="false" ca="false" dt2D="false" dtr="false" t="normal">MID($A$13, 14, 2)</f>
        <v>0</v>
      </c>
      <c r="L104" s="7627" t="n">
        <f aca="false" ca="false" dt2D="false" dtr="false" t="normal">MID($A$13, 16, 2)</f>
        <v>0</v>
      </c>
      <c r="M104" s="7553" t="str">
        <f aca="false" ca="false" dt2D="false" dtr="false" t="normal">MID($A$13, 18, 2)</f>
        <v>BD</v>
      </c>
      <c r="N104" s="63" t="s">
        <v>180</v>
      </c>
      <c r="P104" s="129" t="s">
        <v>180</v>
      </c>
      <c r="Q104" s="130" t="s">
        <v>181</v>
      </c>
      <c r="R104" s="121" t="s">
        <v>182</v>
      </c>
      <c r="S104" s="131" t="n"/>
      <c r="T104" s="129" t="s">
        <v>180</v>
      </c>
      <c r="U104" s="130" t="s">
        <v>181</v>
      </c>
      <c r="V104" s="121" t="s">
        <v>182</v>
      </c>
      <c r="W104" s="131" t="n"/>
      <c r="X104" s="129" t="s">
        <v>180</v>
      </c>
      <c r="Y104" s="130" t="s">
        <v>181</v>
      </c>
      <c r="Z104" s="121" t="s">
        <v>182</v>
      </c>
      <c r="AA104" s="131" t="n"/>
      <c r="AB104" s="129" t="s">
        <v>180</v>
      </c>
      <c r="AC104" s="130" t="s">
        <v>181</v>
      </c>
      <c r="AD104" s="121" t="s">
        <v>182</v>
      </c>
      <c r="AE104" s="131" t="n"/>
      <c r="AF104" s="129" t="s">
        <v>180</v>
      </c>
      <c r="AG104" s="130" t="s">
        <v>181</v>
      </c>
      <c r="AH104" s="121" t="s">
        <v>182</v>
      </c>
      <c r="AI104" s="121" t="n"/>
      <c r="AJ104" s="116" t="s">
        <v>183</v>
      </c>
      <c r="AK104" s="8132" t="s"/>
    </row>
    <row customHeight="true" hidden="false" ht="15" outlineLevel="0" r="105">
      <c r="C105" s="98" t="s">
        <v>185</v>
      </c>
      <c r="D105" s="149" t="n">
        <f aca="false" ca="false" dt2D="false" dtr="false" t="normal">HEX2BIN(D104, 8)</f>
        <v>111</v>
      </c>
      <c r="E105" s="149" t="n">
        <f aca="false" ca="false" dt2D="false" dtr="false" t="normal">HEX2BIN(E104, 8)</f>
        <v>10100101</v>
      </c>
      <c r="F105" s="149" t="n">
        <f aca="false" ca="false" dt2D="false" dtr="false" t="normal">HEX2BIN(F104, 8)</f>
        <v>1</v>
      </c>
      <c r="G105" s="149" t="n">
        <f aca="false" ca="false" dt2D="false" dtr="false" t="normal">HEX2BIN(G104, 8)</f>
        <v>10000</v>
      </c>
      <c r="H105" s="53" t="n">
        <f aca="false" ca="false" dt2D="false" dtr="false" t="normal">HEX2BIN(H104, 8)</f>
        <v>0</v>
      </c>
      <c r="I105" s="53" t="n">
        <f aca="false" ca="false" dt2D="false" dtr="false" t="normal">HEX2BIN(I104, 8)</f>
        <v>0</v>
      </c>
      <c r="J105" s="53" t="n">
        <f aca="false" ca="false" dt2D="false" dtr="false" t="normal">HEX2BIN(J104, 8)</f>
        <v>0</v>
      </c>
      <c r="K105" s="53" t="n">
        <f aca="false" ca="false" dt2D="false" dtr="false" t="normal">HEX2BIN(K104, 8)</f>
        <v>0</v>
      </c>
      <c r="L105" s="53" t="n">
        <f aca="false" ca="false" dt2D="false" dtr="false" t="normal">HEX2BIN(L104, 8)</f>
        <v>0</v>
      </c>
      <c r="M105" s="53" t="n"/>
      <c r="N105" s="63" t="n"/>
      <c r="P105" s="136" t="n">
        <f aca="false" ca="false" dt2D="false" dtr="false" t="normal">MID(H105, 1, 1)</f>
        <v>0</v>
      </c>
      <c r="Q105" s="137" t="n">
        <f aca="false" ca="false" dt2D="false" dtr="false" t="normal">P105</f>
        <v>0</v>
      </c>
      <c r="R105" s="120" t="s">
        <v>186</v>
      </c>
      <c r="S105" s="131" t="s">
        <v>196</v>
      </c>
      <c r="T105" s="136" t="n">
        <f aca="false" ca="false" dt2D="false" dtr="false" t="normal">MID(I105, 1, 1)</f>
        <v>0</v>
      </c>
      <c r="U105" s="137" t="n">
        <f aca="false" ca="false" dt2D="false" dtr="false" t="normal">T105</f>
        <v>0</v>
      </c>
      <c r="V105" s="120" t="s">
        <v>186</v>
      </c>
      <c r="W105" s="131" t="s">
        <v>196</v>
      </c>
      <c r="X105" s="136" t="n">
        <f aca="false" ca="false" dt2D="false" dtr="false" t="normal">MID(J105, 1, 1)</f>
        <v>0</v>
      </c>
      <c r="Y105" s="137" t="n">
        <f aca="false" ca="false" dt2D="false" dtr="false" t="normal">X105</f>
        <v>0</v>
      </c>
      <c r="Z105" s="120" t="s">
        <v>186</v>
      </c>
      <c r="AA105" s="131" t="s">
        <v>196</v>
      </c>
      <c r="AB105" s="136" t="n">
        <f aca="false" ca="false" dt2D="false" dtr="false" t="normal">MID(K105, 1, 1)</f>
        <v>0</v>
      </c>
      <c r="AC105" s="137" t="n">
        <f aca="false" ca="false" dt2D="false" dtr="false" t="normal">AB105</f>
        <v>0</v>
      </c>
      <c r="AD105" s="120" t="s">
        <v>186</v>
      </c>
      <c r="AE105" s="131" t="s">
        <v>196</v>
      </c>
      <c r="AF105" s="136" t="n">
        <f aca="false" ca="false" dt2D="false" dtr="false" t="normal">MID(L105, 1, 1)</f>
        <v>0</v>
      </c>
      <c r="AG105" s="137" t="n">
        <f aca="false" ca="false" dt2D="false" dtr="false" t="normal">AF105</f>
        <v>0</v>
      </c>
      <c r="AH105" s="120" t="s">
        <v>186</v>
      </c>
      <c r="AI105" s="131" t="s">
        <v>196</v>
      </c>
      <c r="AJ105" s="8133" t="s"/>
      <c r="AK105" s="8134" t="s"/>
    </row>
    <row hidden="false" ht="15" outlineLevel="0" r="106">
      <c r="C106" s="98" t="s">
        <v>191</v>
      </c>
      <c r="D106" s="149" t="n">
        <f aca="false" ca="false" dt2D="false" dtr="false" t="normal">HEX2DEC(D104)</f>
        <v>7</v>
      </c>
      <c r="E106" s="149" t="n">
        <f aca="false" ca="false" dt2D="false" dtr="false" t="normal">HEX2DEC(E104)</f>
        <v>165</v>
      </c>
      <c r="F106" s="149" t="n">
        <f aca="false" ca="false" dt2D="false" dtr="false" t="normal">HEX2DEC(F104)</f>
        <v>1</v>
      </c>
      <c r="G106" s="149" t="n">
        <f aca="false" ca="false" dt2D="false" dtr="false" t="normal">HEX2DEC(G104)</f>
        <v>16</v>
      </c>
      <c r="H106" s="53" t="n">
        <f aca="false" ca="false" dt2D="false" dtr="false" t="normal">HEX2DEC(H104)</f>
        <v>0</v>
      </c>
      <c r="I106" s="53" t="n">
        <f aca="false" ca="false" dt2D="false" dtr="false" t="normal">HEX2DEC(I104)</f>
        <v>0</v>
      </c>
      <c r="J106" s="53" t="n">
        <f aca="false" ca="false" dt2D="false" dtr="false" t="normal">HEX2DEC(J104)</f>
        <v>0</v>
      </c>
      <c r="K106" s="53" t="n">
        <f aca="false" ca="false" dt2D="false" dtr="false" t="normal">HEX2DEC(K104)</f>
        <v>0</v>
      </c>
      <c r="L106" s="53" t="n">
        <f aca="false" ca="false" dt2D="false" dtr="false" t="normal">HEX2DEC(L104)</f>
        <v>0</v>
      </c>
      <c r="M106" s="53" t="n">
        <f aca="false" ca="false" dt2D="false" dtr="false" t="normal">SUM(D106:L106)</f>
        <v>189</v>
      </c>
      <c r="N106" s="63" t="n"/>
      <c r="P106" s="136" t="n">
        <f aca="false" ca="false" dt2D="false" dtr="false" t="normal">MID(H105, 2, 1)</f>
        <v>0</v>
      </c>
      <c r="Q106" s="137" t="n">
        <f aca="false" ca="false" dt2D="false" dtr="false" t="normal">P106</f>
        <v>0</v>
      </c>
      <c r="R106" s="120" t="s">
        <v>192</v>
      </c>
      <c r="S106" s="131" t="s">
        <v>196</v>
      </c>
      <c r="T106" s="136" t="n">
        <f aca="false" ca="false" dt2D="false" dtr="false" t="normal">MID(I105, 2, 1)</f>
        <v>0</v>
      </c>
      <c r="U106" s="137" t="n">
        <f aca="false" ca="false" dt2D="false" dtr="false" t="normal">T106</f>
        <v>0</v>
      </c>
      <c r="V106" s="120" t="s">
        <v>192</v>
      </c>
      <c r="W106" s="131" t="s">
        <v>196</v>
      </c>
      <c r="X106" s="136" t="n">
        <f aca="false" ca="false" dt2D="false" dtr="false" t="normal">MID(J105, 2, 1)</f>
        <v>0</v>
      </c>
      <c r="Y106" s="137" t="n">
        <f aca="false" ca="false" dt2D="false" dtr="false" t="normal">X106</f>
        <v>0</v>
      </c>
      <c r="Z106" s="120" t="s">
        <v>192</v>
      </c>
      <c r="AA106" s="131" t="s">
        <v>196</v>
      </c>
      <c r="AB106" s="136" t="n">
        <f aca="false" ca="false" dt2D="false" dtr="false" t="normal">MID(K105, 2, 1)</f>
        <v>0</v>
      </c>
      <c r="AC106" s="137" t="n">
        <f aca="false" ca="false" dt2D="false" dtr="false" t="normal">AB106</f>
        <v>0</v>
      </c>
      <c r="AD106" s="120" t="s">
        <v>192</v>
      </c>
      <c r="AE106" s="131" t="s">
        <v>196</v>
      </c>
      <c r="AF106" s="136" t="n">
        <f aca="false" ca="false" dt2D="false" dtr="false" t="normal">MID(L105, 2, 1)</f>
        <v>0</v>
      </c>
      <c r="AG106" s="137" t="n">
        <f aca="false" ca="false" dt2D="false" dtr="false" t="normal">AF106</f>
        <v>0</v>
      </c>
      <c r="AH106" s="120" t="s">
        <v>192</v>
      </c>
      <c r="AI106" s="131" t="s">
        <v>196</v>
      </c>
      <c r="AJ106" s="8135" t="s"/>
      <c r="AK106" s="8136" t="s"/>
    </row>
    <row customHeight="true" hidden="false" ht="15" outlineLevel="0" r="107">
      <c r="C107" s="98" t="s">
        <v>194</v>
      </c>
      <c r="D107" s="149" t="n">
        <f aca="false" ca="false" dt2D="false" dtr="false" t="normal">D104</f>
        <v>7</v>
      </c>
      <c r="E107" s="149" t="str">
        <f aca="false" ca="false" dt2D="false" dtr="false" t="normal">E104</f>
        <v>A5</v>
      </c>
      <c r="F107" s="149" t="str">
        <f aca="false" ca="false" dt2D="false" dtr="false" t="normal">MID($A$13, 4, 2)</f>
        <v>G1</v>
      </c>
      <c r="G107" s="149" t="str">
        <f aca="false" ca="false" dt2D="false" dtr="false" t="normal">MID($A$13, 6, 2)</f>
        <v>GA</v>
      </c>
      <c r="N107" s="63" t="n"/>
      <c r="P107" s="136" t="n">
        <f aca="false" ca="false" dt2D="false" dtr="false" t="normal">MID(H105, 3, 1)</f>
        <v>0</v>
      </c>
      <c r="Q107" s="137" t="n">
        <f aca="false" ca="false" dt2D="false" dtr="false" t="normal">P107</f>
        <v>0</v>
      </c>
      <c r="R107" s="120" t="s">
        <v>195</v>
      </c>
      <c r="S107" s="131" t="s">
        <v>196</v>
      </c>
      <c r="T107" s="136" t="n">
        <f aca="false" ca="false" dt2D="false" dtr="false" t="normal">MID(I105, 3, 1)</f>
        <v>0</v>
      </c>
      <c r="U107" s="137" t="n">
        <f aca="false" ca="false" dt2D="false" dtr="false" t="normal">T107</f>
        <v>0</v>
      </c>
      <c r="V107" s="120" t="s">
        <v>195</v>
      </c>
      <c r="W107" s="131" t="s">
        <v>196</v>
      </c>
      <c r="X107" s="136" t="n">
        <f aca="false" ca="false" dt2D="false" dtr="false" t="normal">MID(J105, 3, 1)</f>
        <v>0</v>
      </c>
      <c r="Y107" s="137" t="n">
        <f aca="false" ca="false" dt2D="false" dtr="false" t="normal">X107</f>
        <v>0</v>
      </c>
      <c r="Z107" s="120" t="s">
        <v>195</v>
      </c>
      <c r="AA107" s="131" t="s">
        <v>196</v>
      </c>
      <c r="AB107" s="136" t="n">
        <f aca="false" ca="false" dt2D="false" dtr="false" t="normal">MID(K105, 3, 1)</f>
        <v>0</v>
      </c>
      <c r="AC107" s="137" t="n">
        <f aca="false" ca="false" dt2D="false" dtr="false" t="normal">AB107</f>
        <v>0</v>
      </c>
      <c r="AD107" s="120" t="s">
        <v>195</v>
      </c>
      <c r="AE107" s="131" t="s">
        <v>196</v>
      </c>
      <c r="AF107" s="136" t="n">
        <f aca="false" ca="false" dt2D="false" dtr="false" t="normal">MID(L105, 3, 1)</f>
        <v>0</v>
      </c>
      <c r="AG107" s="137" t="n">
        <f aca="false" ca="false" dt2D="false" dtr="false" t="normal">AF107</f>
        <v>0</v>
      </c>
      <c r="AH107" s="120" t="s">
        <v>195</v>
      </c>
      <c r="AI107" s="131" t="s">
        <v>196</v>
      </c>
      <c r="AJ107" s="8137" t="s"/>
      <c r="AK107" s="8138" t="s"/>
    </row>
    <row hidden="false" ht="15.75" outlineLevel="0" r="108">
      <c r="C108" s="98" t="n"/>
      <c r="N108" s="63" t="n"/>
      <c r="P108" s="136" t="n">
        <f aca="false" ca="false" dt2D="false" dtr="false" t="normal">MID(H105, 4, 1)</f>
        <v>0</v>
      </c>
      <c r="Q108" s="137" t="n">
        <f aca="false" ca="false" dt2D="false" dtr="false" t="normal">P108</f>
        <v>0</v>
      </c>
      <c r="R108" s="120" t="s">
        <v>197</v>
      </c>
      <c r="S108" s="131" t="s">
        <v>196</v>
      </c>
      <c r="T108" s="136" t="n">
        <f aca="false" ca="false" dt2D="false" dtr="false" t="normal">MID(I105, 4, 1)</f>
        <v>0</v>
      </c>
      <c r="U108" s="137" t="n">
        <f aca="false" ca="false" dt2D="false" dtr="false" t="normal">T108</f>
        <v>0</v>
      </c>
      <c r="V108" s="120" t="s">
        <v>197</v>
      </c>
      <c r="W108" s="131" t="s">
        <v>196</v>
      </c>
      <c r="X108" s="136" t="n">
        <f aca="false" ca="false" dt2D="false" dtr="false" t="normal">MID(J105, 4, 1)</f>
        <v>0</v>
      </c>
      <c r="Y108" s="137" t="n">
        <f aca="false" ca="false" dt2D="false" dtr="false" t="normal">X108</f>
        <v>0</v>
      </c>
      <c r="Z108" s="120" t="s">
        <v>197</v>
      </c>
      <c r="AA108" s="131" t="s">
        <v>196</v>
      </c>
      <c r="AB108" s="136" t="n">
        <f aca="false" ca="false" dt2D="false" dtr="false" t="normal">MID(K105, 4, 1)</f>
        <v>0</v>
      </c>
      <c r="AC108" s="137" t="n">
        <f aca="false" ca="false" dt2D="false" dtr="false" t="normal">AB108</f>
        <v>0</v>
      </c>
      <c r="AD108" s="120" t="s">
        <v>197</v>
      </c>
      <c r="AE108" s="131" t="s">
        <v>196</v>
      </c>
      <c r="AF108" s="136" t="n">
        <f aca="false" ca="false" dt2D="false" dtr="false" t="normal">MID(L105, 4, 1)</f>
        <v>0</v>
      </c>
      <c r="AG108" s="137" t="n">
        <f aca="false" ca="false" dt2D="false" dtr="false" t="normal">AF108</f>
        <v>0</v>
      </c>
      <c r="AH108" s="120" t="s">
        <v>197</v>
      </c>
      <c r="AI108" s="131" t="s">
        <v>196</v>
      </c>
      <c r="AJ108" s="8139" t="s"/>
      <c r="AK108" s="8140" t="s"/>
    </row>
    <row customHeight="true" hidden="false" ht="15.75" outlineLevel="0" r="109">
      <c r="C109" s="98" t="s">
        <v>176</v>
      </c>
      <c r="D109" s="122" t="n">
        <f aca="false" ca="false" dt2D="false" dtr="false" t="normal">D104</f>
        <v>7</v>
      </c>
      <c r="E109" s="123" t="str">
        <f aca="false" ca="false" dt2D="false" dtr="false" t="normal">E104</f>
        <v>A5</v>
      </c>
      <c r="F109" s="123" t="n">
        <f aca="false" ca="false" dt2D="false" dtr="false" t="normal">F104</f>
        <v>1</v>
      </c>
      <c r="G109" s="124" t="n">
        <f aca="false" ca="false" dt2D="false" dtr="false" t="normal">G104</f>
        <v>10</v>
      </c>
      <c r="H109" s="162" t="n">
        <f aca="false" ca="false" dt2D="false" dtr="false" t="normal">BIN2HEX(H110, 2)</f>
        <v>0</v>
      </c>
      <c r="I109" s="163" t="n">
        <f aca="false" ca="false" dt2D="false" dtr="false" t="normal">BIN2HEX(I110, 2)</f>
        <v>0</v>
      </c>
      <c r="J109" s="164" t="n">
        <f aca="false" ca="false" dt2D="false" dtr="false" t="normal">BIN2HEX(J110, 2)</f>
        <v>0</v>
      </c>
      <c r="K109" s="165" t="n">
        <f aca="false" ca="false" dt2D="false" dtr="false" t="normal">BIN2HEX(K110, 2)</f>
        <v>0</v>
      </c>
      <c r="L109" s="288" t="n">
        <f aca="false" ca="false" dt2D="false" dtr="false" t="normal">BIN2HEX(L110, 2)</f>
        <v>0</v>
      </c>
      <c r="M109" s="166" t="str">
        <f aca="false" ca="false" dt2D="false" dtr="false" t="normal">IF(LEN(M110)&gt;2, MID(M110, 2, 2), M110)</f>
        <v>BD</v>
      </c>
      <c r="N109" s="63" t="s">
        <v>181</v>
      </c>
      <c r="P109" s="136" t="n">
        <f aca="false" ca="false" dt2D="false" dtr="false" t="normal">MID(H105, 5, 1)</f>
        <v>0</v>
      </c>
      <c r="Q109" s="137" t="n">
        <f aca="false" ca="false" dt2D="false" dtr="false" t="normal">P109</f>
        <v>0</v>
      </c>
      <c r="R109" s="120" t="s">
        <v>200</v>
      </c>
      <c r="S109" s="131" t="s">
        <v>196</v>
      </c>
      <c r="T109" s="136" t="n">
        <f aca="false" ca="false" dt2D="false" dtr="false" t="normal">MID(I105, 5, 1)</f>
        <v>0</v>
      </c>
      <c r="U109" s="137" t="n">
        <f aca="false" ca="false" dt2D="false" dtr="false" t="normal">T109</f>
        <v>0</v>
      </c>
      <c r="V109" s="120" t="s">
        <v>200</v>
      </c>
      <c r="W109" s="131" t="s">
        <v>196</v>
      </c>
      <c r="X109" s="136" t="n">
        <f aca="false" ca="false" dt2D="false" dtr="false" t="normal">MID(J105, 5, 1)</f>
        <v>0</v>
      </c>
      <c r="Y109" s="137" t="n">
        <f aca="false" ca="false" dt2D="false" dtr="false" t="normal">X109</f>
        <v>0</v>
      </c>
      <c r="Z109" s="120" t="s">
        <v>200</v>
      </c>
      <c r="AA109" s="131" t="s">
        <v>196</v>
      </c>
      <c r="AB109" s="136" t="n">
        <f aca="false" ca="false" dt2D="false" dtr="false" t="normal">MID(K105, 5, 1)</f>
        <v>0</v>
      </c>
      <c r="AC109" s="137" t="n">
        <f aca="false" ca="false" dt2D="false" dtr="false" t="normal">AB109</f>
        <v>0</v>
      </c>
      <c r="AD109" s="120" t="s">
        <v>200</v>
      </c>
      <c r="AE109" s="131" t="s">
        <v>196</v>
      </c>
      <c r="AF109" s="136" t="n">
        <f aca="false" ca="false" dt2D="false" dtr="false" t="normal">MID(L105, 5, 1)</f>
        <v>0</v>
      </c>
      <c r="AG109" s="137" t="n">
        <f aca="false" ca="false" dt2D="false" dtr="false" t="normal">AF109</f>
        <v>0</v>
      </c>
      <c r="AH109" s="120" t="s">
        <v>200</v>
      </c>
      <c r="AI109" s="131" t="s">
        <v>196</v>
      </c>
      <c r="AJ109" s="8141" t="s"/>
      <c r="AK109" s="8142" t="s"/>
    </row>
    <row hidden="false" ht="15" outlineLevel="0" r="110">
      <c r="C110" s="98" t="s">
        <v>185</v>
      </c>
      <c r="D110" s="149" t="n">
        <f aca="false" ca="false" dt2D="false" dtr="false" t="normal">HEX2BIN(D109, 8)</f>
        <v>111</v>
      </c>
      <c r="E110" s="149" t="n">
        <f aca="false" ca="false" dt2D="false" dtr="false" t="normal">HEX2BIN(E109, 8)</f>
        <v>10100101</v>
      </c>
      <c r="F110" s="149" t="n">
        <f aca="false" ca="false" dt2D="false" dtr="false" t="normal">HEX2BIN(F109, 8)</f>
        <v>1</v>
      </c>
      <c r="G110" s="149" t="n">
        <f aca="false" ca="false" dt2D="false" dtr="false" t="normal">HEX2BIN(G109, 8)</f>
        <v>10000</v>
      </c>
      <c r="H110" s="53" t="n">
        <f aca="false" ca="false" dt2D="false" dtr="false" t="normal">Q105&amp;Q106&amp;Q107&amp;Q108&amp;Q109&amp;Q110&amp;Q111&amp;Q112</f>
        <v>0</v>
      </c>
      <c r="I110" s="53" t="n">
        <f aca="false" ca="false" dt2D="false" dtr="false" t="normal">U105&amp;U106&amp;U107&amp;U108&amp;U109&amp;U110&amp;U111&amp;U112</f>
        <v>0</v>
      </c>
      <c r="J110" s="53" t="n">
        <f aca="false" ca="false" dt2D="false" dtr="false" t="normal">Y105&amp;Y106&amp;Y107&amp;Y108&amp;Y109&amp;Y110&amp;Y111&amp;Y112</f>
        <v>0</v>
      </c>
      <c r="K110" s="53" t="n">
        <f aca="false" ca="false" dt2D="false" dtr="false" t="normal">AC105&amp;AC106&amp;AC107&amp;AC108&amp;AC109&amp;AC110&amp;AC111&amp;AC112</f>
        <v>0</v>
      </c>
      <c r="L110" s="53" t="n">
        <f aca="false" ca="false" dt2D="false" dtr="false" t="normal">AG105&amp;AG106&amp;AG107&amp;AG108&amp;AG109&amp;AG110&amp;AG111&amp;AG112</f>
        <v>0</v>
      </c>
      <c r="M110" s="53" t="str">
        <f aca="false" ca="false" dt2D="false" dtr="false" t="normal">DEC2HEX(M111)</f>
        <v>BD</v>
      </c>
      <c r="N110" s="63" t="n"/>
      <c r="P110" s="136" t="n">
        <f aca="false" ca="false" dt2D="false" dtr="false" t="normal">MID(H105, 6, 1)</f>
        <v>0</v>
      </c>
      <c r="Q110" s="137" t="n">
        <f aca="false" ca="false" dt2D="false" dtr="false" t="normal">P110</f>
        <v>0</v>
      </c>
      <c r="R110" s="120" t="s">
        <v>203</v>
      </c>
      <c r="S110" s="131" t="s">
        <v>196</v>
      </c>
      <c r="T110" s="136" t="n">
        <f aca="false" ca="false" dt2D="false" dtr="false" t="normal">MID(I105, 6, 1)</f>
        <v>0</v>
      </c>
      <c r="U110" s="137" t="n">
        <f aca="false" ca="false" dt2D="false" dtr="false" t="normal">T110</f>
        <v>0</v>
      </c>
      <c r="V110" s="120" t="s">
        <v>203</v>
      </c>
      <c r="W110" s="131" t="s">
        <v>196</v>
      </c>
      <c r="X110" s="136" t="n">
        <f aca="false" ca="false" dt2D="false" dtr="false" t="normal">MID(J105, 6, 1)</f>
        <v>0</v>
      </c>
      <c r="Y110" s="137" t="n">
        <f aca="false" ca="false" dt2D="false" dtr="false" t="normal">X110</f>
        <v>0</v>
      </c>
      <c r="Z110" s="120" t="s">
        <v>203</v>
      </c>
      <c r="AA110" s="131" t="s">
        <v>196</v>
      </c>
      <c r="AB110" s="136" t="n">
        <f aca="false" ca="false" dt2D="false" dtr="false" t="normal">MID(K105, 6, 1)</f>
        <v>0</v>
      </c>
      <c r="AC110" s="137" t="n">
        <f aca="false" ca="false" dt2D="false" dtr="false" t="normal">AB110</f>
        <v>0</v>
      </c>
      <c r="AD110" s="120" t="s">
        <v>203</v>
      </c>
      <c r="AE110" s="131" t="s">
        <v>196</v>
      </c>
      <c r="AF110" s="136" t="n">
        <f aca="false" ca="false" dt2D="false" dtr="false" t="normal">MID(L105, 6, 1)</f>
        <v>0</v>
      </c>
      <c r="AG110" s="137" t="n">
        <f aca="false" ca="false" dt2D="false" dtr="false" t="normal">AF110</f>
        <v>0</v>
      </c>
      <c r="AH110" s="120" t="s">
        <v>203</v>
      </c>
      <c r="AI110" s="131" t="s">
        <v>196</v>
      </c>
      <c r="AJ110" s="8143" t="s"/>
      <c r="AK110" s="8144" t="s"/>
    </row>
    <row customHeight="true" hidden="false" ht="15" outlineLevel="0" r="111">
      <c r="C111" s="98" t="s">
        <v>191</v>
      </c>
      <c r="D111" s="149" t="n">
        <f aca="false" ca="false" dt2D="false" dtr="false" t="normal">HEX2DEC(D109)</f>
        <v>7</v>
      </c>
      <c r="E111" s="149" t="n">
        <f aca="false" ca="false" dt2D="false" dtr="false" t="normal">HEX2DEC(E109)</f>
        <v>165</v>
      </c>
      <c r="F111" s="149" t="n">
        <f aca="false" ca="false" dt2D="false" dtr="false" t="normal">HEX2DEC(F109)</f>
        <v>1</v>
      </c>
      <c r="G111" s="149" t="n">
        <f aca="false" ca="false" dt2D="false" dtr="false" t="normal">HEX2DEC(G109)</f>
        <v>16</v>
      </c>
      <c r="H111" s="53" t="n">
        <f aca="false" ca="false" dt2D="false" dtr="false" t="normal">HEX2DEC(H109)</f>
        <v>0</v>
      </c>
      <c r="I111" s="53" t="n">
        <f aca="false" ca="false" dt2D="false" dtr="false" t="normal">HEX2DEC(I109)</f>
        <v>0</v>
      </c>
      <c r="J111" s="53" t="n">
        <f aca="false" ca="false" dt2D="false" dtr="false" t="normal">HEX2DEC(J109)</f>
        <v>0</v>
      </c>
      <c r="K111" s="53" t="n">
        <f aca="false" ca="false" dt2D="false" dtr="false" t="normal">HEX2DEC(K109)</f>
        <v>0</v>
      </c>
      <c r="L111" s="53" t="n">
        <f aca="false" ca="false" dt2D="false" dtr="false" t="normal">HEX2DEC(L109)</f>
        <v>0</v>
      </c>
      <c r="M111" s="53" t="n">
        <f aca="false" ca="false" dt2D="false" dtr="false" t="normal">SUM(D111:L111)</f>
        <v>189</v>
      </c>
      <c r="N111" s="63" t="n"/>
      <c r="P111" s="136" t="n">
        <f aca="false" ca="false" dt2D="false" dtr="false" t="normal">MID(H105, 7, 1)</f>
        <v>0</v>
      </c>
      <c r="Q111" s="137" t="n">
        <f aca="false" ca="false" dt2D="false" dtr="false" t="normal">P111</f>
        <v>0</v>
      </c>
      <c r="R111" s="120" t="s">
        <v>206</v>
      </c>
      <c r="S111" s="131" t="s">
        <v>196</v>
      </c>
      <c r="T111" s="136" t="n">
        <f aca="false" ca="false" dt2D="false" dtr="false" t="normal">MID(I105, 7, 1)</f>
        <v>0</v>
      </c>
      <c r="U111" s="137" t="n">
        <f aca="false" ca="false" dt2D="false" dtr="false" t="normal">T111</f>
        <v>0</v>
      </c>
      <c r="V111" s="120" t="s">
        <v>206</v>
      </c>
      <c r="W111" s="131" t="s">
        <v>196</v>
      </c>
      <c r="X111" s="136" t="n">
        <f aca="false" ca="false" dt2D="false" dtr="false" t="normal">MID(J105, 7, 1)</f>
        <v>0</v>
      </c>
      <c r="Y111" s="137" t="n">
        <f aca="false" ca="false" dt2D="false" dtr="false" t="normal">X111</f>
        <v>0</v>
      </c>
      <c r="Z111" s="120" t="s">
        <v>206</v>
      </c>
      <c r="AA111" s="131" t="s">
        <v>196</v>
      </c>
      <c r="AB111" s="136" t="n">
        <f aca="false" ca="false" dt2D="false" dtr="false" t="normal">MID(K105, 7, 1)</f>
        <v>0</v>
      </c>
      <c r="AC111" s="137" t="n">
        <f aca="false" ca="false" dt2D="false" dtr="false" t="normal">AB111</f>
        <v>0</v>
      </c>
      <c r="AD111" s="120" t="s">
        <v>206</v>
      </c>
      <c r="AE111" s="131" t="s">
        <v>196</v>
      </c>
      <c r="AF111" s="136" t="n">
        <f aca="false" ca="false" dt2D="false" dtr="false" t="normal">MID(L105, 7, 1)</f>
        <v>0</v>
      </c>
      <c r="AG111" s="137" t="n">
        <f aca="false" ca="false" dt2D="false" dtr="false" t="normal">AF111</f>
        <v>0</v>
      </c>
      <c r="AH111" s="120" t="s">
        <v>206</v>
      </c>
      <c r="AI111" s="131" t="s">
        <v>196</v>
      </c>
      <c r="AJ111" s="8145" t="s"/>
      <c r="AK111" s="8146" t="s"/>
    </row>
    <row hidden="false" ht="15.75" outlineLevel="0" r="112">
      <c r="C112" s="180" t="s">
        <v>194</v>
      </c>
      <c r="D112" s="181" t="n">
        <f aca="false" ca="false" dt2D="false" dtr="false" t="normal">D107</f>
        <v>7</v>
      </c>
      <c r="E112" s="181" t="str">
        <f aca="false" ca="false" dt2D="false" dtr="false" t="normal">E107</f>
        <v>A5</v>
      </c>
      <c r="F112" s="181" t="str">
        <f aca="false" ca="false" dt2D="false" dtr="false" t="normal">F107</f>
        <v>G1</v>
      </c>
      <c r="G112" s="181" t="str">
        <f aca="false" ca="false" dt2D="false" dtr="false" t="normal">G107</f>
        <v>GA</v>
      </c>
      <c r="H112" s="45" t="n"/>
      <c r="I112" s="45" t="n"/>
      <c r="J112" s="45" t="n"/>
      <c r="K112" s="45" t="n"/>
      <c r="L112" s="45" t="n"/>
      <c r="M112" s="45" t="n"/>
      <c r="N112" s="49" t="n"/>
      <c r="P112" s="182" t="n">
        <f aca="false" ca="false" dt2D="false" dtr="false" t="normal">MID(H105, 8, 1)</f>
        <v>0</v>
      </c>
      <c r="Q112" s="183" t="n">
        <f aca="false" ca="false" dt2D="false" dtr="false" t="normal">P112</f>
        <v>0</v>
      </c>
      <c r="R112" s="184" t="s">
        <v>208</v>
      </c>
      <c r="S112" s="185" t="s">
        <v>196</v>
      </c>
      <c r="T112" s="182" t="n">
        <f aca="false" ca="false" dt2D="false" dtr="false" t="normal">MID(I105, 8, 1)</f>
        <v>0</v>
      </c>
      <c r="U112" s="183" t="n">
        <f aca="false" ca="false" dt2D="false" dtr="false" t="normal">T112</f>
        <v>0</v>
      </c>
      <c r="V112" s="184" t="s">
        <v>208</v>
      </c>
      <c r="W112" s="185" t="s">
        <v>196</v>
      </c>
      <c r="X112" s="182" t="n">
        <f aca="false" ca="false" dt2D="false" dtr="false" t="normal">MID(J105, 8, 1)</f>
        <v>0</v>
      </c>
      <c r="Y112" s="183" t="n">
        <f aca="false" ca="false" dt2D="false" dtr="false" t="normal">X112</f>
        <v>0</v>
      </c>
      <c r="Z112" s="184" t="s">
        <v>208</v>
      </c>
      <c r="AA112" s="185" t="s">
        <v>196</v>
      </c>
      <c r="AB112" s="182" t="n">
        <f aca="false" ca="false" dt2D="false" dtr="false" t="normal">MID(K105, 8, 1)</f>
        <v>0</v>
      </c>
      <c r="AC112" s="183" t="n">
        <f aca="false" ca="false" dt2D="false" dtr="false" t="normal">AB112</f>
        <v>0</v>
      </c>
      <c r="AD112" s="184" t="s">
        <v>208</v>
      </c>
      <c r="AE112" s="185" t="s">
        <v>196</v>
      </c>
      <c r="AF112" s="182" t="n">
        <f aca="false" ca="false" dt2D="false" dtr="false" t="normal">MID(L105, 8, 1)</f>
        <v>0</v>
      </c>
      <c r="AG112" s="183" t="n">
        <f aca="false" ca="false" dt2D="false" dtr="false" t="normal">AF112</f>
        <v>0</v>
      </c>
      <c r="AH112" s="184" t="s">
        <v>208</v>
      </c>
      <c r="AI112" s="185" t="s">
        <v>196</v>
      </c>
      <c r="AJ112" s="8147" t="s"/>
      <c r="AK112" s="8148" t="s"/>
    </row>
    <row hidden="false" ht="15.75" outlineLevel="0" r="113">
      <c r="C113" s="93" t="n"/>
      <c r="D113" s="7585" t="n"/>
      <c r="E113" s="7585" t="n"/>
      <c r="F113" s="7585" t="n"/>
      <c r="G113" s="7585" t="n"/>
      <c r="H113" s="94" t="n"/>
      <c r="I113" s="94" t="n"/>
      <c r="J113" s="94" t="n"/>
      <c r="K113" s="94" t="n"/>
      <c r="L113" s="94" t="n"/>
      <c r="M113" s="94" t="s">
        <v>161</v>
      </c>
      <c r="N113" s="60" t="n"/>
      <c r="P113" s="95" t="str">
        <f aca="false" ca="false" dt2D="false" dtr="false" t="normal">RIGHT(D115, 1)&amp;E115&amp;"-"&amp;F115&amp;"-"&amp;G115</f>
        <v>7A5-01-11</v>
      </c>
      <c r="Q113" s="8149" t="s"/>
      <c r="R113" s="234" t="s">
        <v>4016</v>
      </c>
      <c r="S113" s="8150" t="s"/>
      <c r="T113" s="8151" t="s"/>
      <c r="U113" s="8152" t="s"/>
      <c r="V113" s="8153" t="s"/>
      <c r="W113" s="8154" t="s"/>
      <c r="X113" s="8155" t="s"/>
      <c r="Y113" s="8156" t="s"/>
      <c r="Z113" s="8157" t="s"/>
      <c r="AA113" s="8158" t="s"/>
      <c r="AB113" s="8159" t="s"/>
      <c r="AC113" s="8160" t="s"/>
      <c r="AD113" s="8161" t="s"/>
      <c r="AE113" s="8162" t="s"/>
      <c r="AF113" s="8163" t="s"/>
      <c r="AG113" s="8164" t="s"/>
      <c r="AH113" s="8165" t="s"/>
      <c r="AI113" s="8166" t="s"/>
      <c r="AJ113" s="8167" t="s"/>
      <c r="AK113" s="8168" t="s"/>
    </row>
    <row hidden="false" ht="15.75" outlineLevel="0" r="114">
      <c r="C114" s="98" t="n"/>
      <c r="D114" s="7606" t="s">
        <v>4017</v>
      </c>
      <c r="E114" s="8169" t="s"/>
      <c r="F114" s="8170" t="s"/>
      <c r="G114" s="8171" t="s"/>
      <c r="H114" s="53" t="s">
        <v>165</v>
      </c>
      <c r="I114" s="53" t="s">
        <v>166</v>
      </c>
      <c r="J114" s="53" t="s">
        <v>167</v>
      </c>
      <c r="K114" s="53" t="s">
        <v>168</v>
      </c>
      <c r="L114" s="53" t="s">
        <v>169</v>
      </c>
      <c r="M114" s="53" t="s">
        <v>221</v>
      </c>
      <c r="N114" s="63" t="n"/>
      <c r="P114" s="103" t="s">
        <v>4018</v>
      </c>
      <c r="Q114" s="8172" t="s"/>
      <c r="R114" s="8173" t="s"/>
      <c r="S114" s="8174" t="s"/>
      <c r="T114" s="103" t="s">
        <v>4019</v>
      </c>
      <c r="U114" s="8175" t="s"/>
      <c r="V114" s="8176" t="s"/>
      <c r="W114" s="8177" t="s"/>
      <c r="X114" s="103" t="s">
        <v>4020</v>
      </c>
      <c r="Y114" s="8178" t="s"/>
      <c r="Z114" s="8179" t="s"/>
      <c r="AA114" s="8180" t="s"/>
      <c r="AB114" s="103" t="s">
        <v>4021</v>
      </c>
      <c r="AC114" s="8181" t="s"/>
      <c r="AD114" s="8182" t="s"/>
      <c r="AE114" s="8183" t="s"/>
      <c r="AF114" s="103" t="s">
        <v>4022</v>
      </c>
      <c r="AG114" s="8184" t="s"/>
      <c r="AH114" s="8185" t="s"/>
      <c r="AI114" s="8186" t="s"/>
      <c r="AJ114" s="103" t="s">
        <v>4023</v>
      </c>
      <c r="AK114" s="8187" t="s"/>
    </row>
    <row hidden="false" ht="15.75" outlineLevel="0" r="115">
      <c r="C115" s="98" t="s">
        <v>176</v>
      </c>
      <c r="D115" s="122" t="s">
        <v>177</v>
      </c>
      <c r="E115" s="123" t="s">
        <v>3892</v>
      </c>
      <c r="F115" s="123" t="s">
        <v>179</v>
      </c>
      <c r="G115" s="124" t="s">
        <v>1205</v>
      </c>
      <c r="H115" s="273" t="n">
        <f aca="false" ca="false" dt2D="false" dtr="false" t="normal">MID($A$14, 8, 2)</f>
        <v>0</v>
      </c>
      <c r="I115" s="7626" t="n">
        <f aca="false" ca="false" dt2D="false" dtr="false" t="normal">MID($A$14, 10, 2)</f>
        <v>0</v>
      </c>
      <c r="J115" s="7626" t="n">
        <f aca="false" ca="false" dt2D="false" dtr="false" t="normal">MID($A$14, 12, 2)</f>
        <v>0</v>
      </c>
      <c r="K115" s="7626" t="n">
        <f aca="false" ca="false" dt2D="false" dtr="false" t="normal">MID($A$14, 14, 2)</f>
        <v>0</v>
      </c>
      <c r="L115" s="7627" t="n">
        <f aca="false" ca="false" dt2D="false" dtr="false" t="normal">MID($A$14, 16, 2)</f>
        <v>0</v>
      </c>
      <c r="M115" s="7553" t="str">
        <f aca="false" ca="false" dt2D="false" dtr="false" t="normal">MID($A$14, 18, 2)</f>
        <v>BE</v>
      </c>
      <c r="N115" s="63" t="s">
        <v>180</v>
      </c>
      <c r="P115" s="129" t="s">
        <v>180</v>
      </c>
      <c r="Q115" s="130" t="s">
        <v>181</v>
      </c>
      <c r="R115" s="121" t="s">
        <v>182</v>
      </c>
      <c r="S115" s="131" t="n"/>
      <c r="T115" s="129" t="s">
        <v>180</v>
      </c>
      <c r="U115" s="130" t="s">
        <v>181</v>
      </c>
      <c r="V115" s="121" t="s">
        <v>182</v>
      </c>
      <c r="W115" s="131" t="n"/>
      <c r="X115" s="129" t="s">
        <v>180</v>
      </c>
      <c r="Y115" s="130" t="s">
        <v>181</v>
      </c>
      <c r="Z115" s="121" t="s">
        <v>182</v>
      </c>
      <c r="AA115" s="131" t="n"/>
      <c r="AB115" s="129" t="s">
        <v>180</v>
      </c>
      <c r="AC115" s="130" t="s">
        <v>181</v>
      </c>
      <c r="AD115" s="121" t="s">
        <v>182</v>
      </c>
      <c r="AE115" s="131" t="n"/>
      <c r="AF115" s="129" t="s">
        <v>180</v>
      </c>
      <c r="AG115" s="130" t="s">
        <v>181</v>
      </c>
      <c r="AH115" s="121" t="s">
        <v>182</v>
      </c>
      <c r="AI115" s="121" t="n"/>
      <c r="AJ115" s="116" t="s">
        <v>183</v>
      </c>
      <c r="AK115" s="8188" t="s"/>
    </row>
    <row hidden="false" ht="15" outlineLevel="0" r="116">
      <c r="C116" s="98" t="s">
        <v>185</v>
      </c>
      <c r="D116" s="149" t="n">
        <f aca="false" ca="false" dt2D="false" dtr="false" t="normal">HEX2BIN(D115, 8)</f>
        <v>111</v>
      </c>
      <c r="E116" s="149" t="n">
        <f aca="false" ca="false" dt2D="false" dtr="false" t="normal">HEX2BIN(E115, 8)</f>
        <v>10100101</v>
      </c>
      <c r="F116" s="149" t="n">
        <f aca="false" ca="false" dt2D="false" dtr="false" t="normal">HEX2BIN(F115, 8)</f>
        <v>1</v>
      </c>
      <c r="G116" s="149" t="n">
        <f aca="false" ca="false" dt2D="false" dtr="false" t="normal">HEX2BIN(G115, 8)</f>
        <v>10001</v>
      </c>
      <c r="H116" s="53" t="n">
        <f aca="false" ca="false" dt2D="false" dtr="false" t="normal">HEX2BIN(H115, 8)</f>
        <v>0</v>
      </c>
      <c r="I116" s="53" t="n">
        <f aca="false" ca="false" dt2D="false" dtr="false" t="normal">HEX2BIN(I115, 8)</f>
        <v>0</v>
      </c>
      <c r="J116" s="53" t="n">
        <f aca="false" ca="false" dt2D="false" dtr="false" t="normal">HEX2BIN(J115, 8)</f>
        <v>0</v>
      </c>
      <c r="K116" s="53" t="n">
        <f aca="false" ca="false" dt2D="false" dtr="false" t="normal">HEX2BIN(K115, 8)</f>
        <v>0</v>
      </c>
      <c r="L116" s="53" t="n">
        <f aca="false" ca="false" dt2D="false" dtr="false" t="normal">HEX2BIN(L115, 8)</f>
        <v>0</v>
      </c>
      <c r="M116" s="53" t="n"/>
      <c r="N116" s="63" t="n"/>
      <c r="P116" s="136" t="n">
        <f aca="false" ca="false" dt2D="false" dtr="false" t="normal">MID(H116, 1, 1)</f>
        <v>0</v>
      </c>
      <c r="Q116" s="137" t="n">
        <f aca="false" ca="false" dt2D="false" dtr="false" t="normal">P116</f>
        <v>0</v>
      </c>
      <c r="R116" s="120" t="s">
        <v>186</v>
      </c>
      <c r="S116" s="131" t="s">
        <v>196</v>
      </c>
      <c r="T116" s="136" t="n">
        <f aca="false" ca="false" dt2D="false" dtr="false" t="normal">MID(I116, 1, 1)</f>
        <v>0</v>
      </c>
      <c r="U116" s="137" t="n">
        <f aca="false" ca="false" dt2D="false" dtr="false" t="normal">T116</f>
        <v>0</v>
      </c>
      <c r="V116" s="120" t="s">
        <v>186</v>
      </c>
      <c r="W116" s="131" t="s">
        <v>196</v>
      </c>
      <c r="X116" s="136" t="n">
        <f aca="false" ca="false" dt2D="false" dtr="false" t="normal">MID(J116, 1, 1)</f>
        <v>0</v>
      </c>
      <c r="Y116" s="137" t="n">
        <f aca="false" ca="false" dt2D="false" dtr="false" t="normal">X116</f>
        <v>0</v>
      </c>
      <c r="Z116" s="120" t="s">
        <v>186</v>
      </c>
      <c r="AA116" s="131" t="s">
        <v>196</v>
      </c>
      <c r="AB116" s="136" t="n">
        <f aca="false" ca="false" dt2D="false" dtr="false" t="normal">MID(K116, 1, 1)</f>
        <v>0</v>
      </c>
      <c r="AC116" s="137" t="n">
        <f aca="false" ca="false" dt2D="false" dtr="false" t="normal">AB116</f>
        <v>0</v>
      </c>
      <c r="AD116" s="120" t="s">
        <v>186</v>
      </c>
      <c r="AE116" s="131" t="s">
        <v>196</v>
      </c>
      <c r="AF116" s="136" t="n">
        <f aca="false" ca="false" dt2D="false" dtr="false" t="normal">MID(L116, 1, 1)</f>
        <v>0</v>
      </c>
      <c r="AG116" s="137" t="n">
        <f aca="false" ca="false" dt2D="false" dtr="false" t="normal">AF116</f>
        <v>0</v>
      </c>
      <c r="AH116" s="120" t="s">
        <v>186</v>
      </c>
      <c r="AI116" s="131" t="s">
        <v>196</v>
      </c>
      <c r="AJ116" s="8189" t="s"/>
      <c r="AK116" s="8190" t="s"/>
    </row>
    <row hidden="false" ht="15" outlineLevel="0" r="117">
      <c r="C117" s="98" t="s">
        <v>191</v>
      </c>
      <c r="D117" s="149" t="n">
        <f aca="false" ca="false" dt2D="false" dtr="false" t="normal">HEX2DEC(D115)</f>
        <v>7</v>
      </c>
      <c r="E117" s="149" t="n">
        <f aca="false" ca="false" dt2D="false" dtr="false" t="normal">HEX2DEC(E115)</f>
        <v>165</v>
      </c>
      <c r="F117" s="149" t="n">
        <f aca="false" ca="false" dt2D="false" dtr="false" t="normal">HEX2DEC(F115)</f>
        <v>1</v>
      </c>
      <c r="G117" s="149" t="n">
        <f aca="false" ca="false" dt2D="false" dtr="false" t="normal">HEX2DEC(G115)</f>
        <v>17</v>
      </c>
      <c r="H117" s="53" t="n">
        <f aca="false" ca="false" dt2D="false" dtr="false" t="normal">HEX2DEC(H115)</f>
        <v>0</v>
      </c>
      <c r="I117" s="53" t="n">
        <f aca="false" ca="false" dt2D="false" dtr="false" t="normal">HEX2DEC(I115)</f>
        <v>0</v>
      </c>
      <c r="J117" s="53" t="n">
        <f aca="false" ca="false" dt2D="false" dtr="false" t="normal">HEX2DEC(J115)</f>
        <v>0</v>
      </c>
      <c r="K117" s="53" t="n">
        <f aca="false" ca="false" dt2D="false" dtr="false" t="normal">HEX2DEC(K115)</f>
        <v>0</v>
      </c>
      <c r="L117" s="53" t="n">
        <f aca="false" ca="false" dt2D="false" dtr="false" t="normal">HEX2DEC(L115)</f>
        <v>0</v>
      </c>
      <c r="M117" s="53" t="n">
        <f aca="false" ca="false" dt2D="false" dtr="false" t="normal">SUM(D117:L117)</f>
        <v>190</v>
      </c>
      <c r="N117" s="63" t="n"/>
      <c r="P117" s="136" t="n">
        <f aca="false" ca="false" dt2D="false" dtr="false" t="normal">MID(H116, 2, 1)</f>
        <v>0</v>
      </c>
      <c r="Q117" s="137" t="n">
        <f aca="false" ca="false" dt2D="false" dtr="false" t="normal">P117</f>
        <v>0</v>
      </c>
      <c r="R117" s="120" t="s">
        <v>192</v>
      </c>
      <c r="S117" s="131" t="s">
        <v>196</v>
      </c>
      <c r="T117" s="136" t="n">
        <f aca="false" ca="false" dt2D="false" dtr="false" t="normal">MID(I116, 2, 1)</f>
        <v>0</v>
      </c>
      <c r="U117" s="137" t="n">
        <f aca="false" ca="false" dt2D="false" dtr="false" t="normal">T117</f>
        <v>0</v>
      </c>
      <c r="V117" s="120" t="s">
        <v>192</v>
      </c>
      <c r="W117" s="131" t="s">
        <v>196</v>
      </c>
      <c r="X117" s="136" t="n">
        <f aca="false" ca="false" dt2D="false" dtr="false" t="normal">MID(J116, 2, 1)</f>
        <v>0</v>
      </c>
      <c r="Y117" s="137" t="n">
        <f aca="false" ca="false" dt2D="false" dtr="false" t="normal">X117</f>
        <v>0</v>
      </c>
      <c r="Z117" s="120" t="s">
        <v>192</v>
      </c>
      <c r="AA117" s="131" t="s">
        <v>196</v>
      </c>
      <c r="AB117" s="136" t="n">
        <f aca="false" ca="false" dt2D="false" dtr="false" t="normal">MID(K116, 2, 1)</f>
        <v>0</v>
      </c>
      <c r="AC117" s="137" t="n">
        <f aca="false" ca="false" dt2D="false" dtr="false" t="normal">AB117</f>
        <v>0</v>
      </c>
      <c r="AD117" s="120" t="s">
        <v>192</v>
      </c>
      <c r="AE117" s="131" t="s">
        <v>196</v>
      </c>
      <c r="AF117" s="136" t="n">
        <f aca="false" ca="false" dt2D="false" dtr="false" t="normal">MID(L116, 2, 1)</f>
        <v>0</v>
      </c>
      <c r="AG117" s="137" t="n">
        <f aca="false" ca="false" dt2D="false" dtr="false" t="normal">AF117</f>
        <v>0</v>
      </c>
      <c r="AH117" s="120" t="s">
        <v>192</v>
      </c>
      <c r="AI117" s="131" t="s">
        <v>196</v>
      </c>
      <c r="AJ117" s="8191" t="s"/>
      <c r="AK117" s="8192" t="s"/>
    </row>
    <row hidden="false" ht="15" outlineLevel="0" r="118">
      <c r="C118" s="98" t="s">
        <v>194</v>
      </c>
      <c r="D118" s="149" t="n">
        <f aca="false" ca="false" dt2D="false" dtr="false" t="normal">D115</f>
        <v>7</v>
      </c>
      <c r="E118" s="149" t="str">
        <f aca="false" ca="false" dt2D="false" dtr="false" t="normal">E115</f>
        <v>A5</v>
      </c>
      <c r="F118" s="149" t="str">
        <f aca="false" ca="false" dt2D="false" dtr="false" t="normal">MID($A$14, 4, 2)</f>
        <v>G1</v>
      </c>
      <c r="G118" s="149" t="str">
        <f aca="false" ca="false" dt2D="false" dtr="false" t="normal">MID($A$14, 6, 2)</f>
        <v>GB</v>
      </c>
      <c r="N118" s="63" t="n"/>
      <c r="P118" s="136" t="n">
        <f aca="false" ca="false" dt2D="false" dtr="false" t="normal">MID(H116, 3, 1)</f>
        <v>0</v>
      </c>
      <c r="Q118" s="137" t="n">
        <f aca="false" ca="false" dt2D="false" dtr="false" t="normal">P118</f>
        <v>0</v>
      </c>
      <c r="R118" s="120" t="s">
        <v>195</v>
      </c>
      <c r="S118" s="131" t="s">
        <v>196</v>
      </c>
      <c r="T118" s="136" t="n">
        <f aca="false" ca="false" dt2D="false" dtr="false" t="normal">MID(I116, 3, 1)</f>
        <v>0</v>
      </c>
      <c r="U118" s="137" t="n">
        <f aca="false" ca="false" dt2D="false" dtr="false" t="normal">T118</f>
        <v>0</v>
      </c>
      <c r="V118" s="120" t="s">
        <v>195</v>
      </c>
      <c r="W118" s="131" t="s">
        <v>196</v>
      </c>
      <c r="X118" s="136" t="n">
        <f aca="false" ca="false" dt2D="false" dtr="false" t="normal">MID(J116, 3, 1)</f>
        <v>0</v>
      </c>
      <c r="Y118" s="137" t="n">
        <f aca="false" ca="false" dt2D="false" dtr="false" t="normal">X118</f>
        <v>0</v>
      </c>
      <c r="Z118" s="120" t="s">
        <v>195</v>
      </c>
      <c r="AA118" s="131" t="s">
        <v>196</v>
      </c>
      <c r="AB118" s="136" t="n">
        <f aca="false" ca="false" dt2D="false" dtr="false" t="normal">MID(K116, 3, 1)</f>
        <v>0</v>
      </c>
      <c r="AC118" s="137" t="n">
        <f aca="false" ca="false" dt2D="false" dtr="false" t="normal">AB118</f>
        <v>0</v>
      </c>
      <c r="AD118" s="120" t="s">
        <v>195</v>
      </c>
      <c r="AE118" s="131" t="s">
        <v>196</v>
      </c>
      <c r="AF118" s="136" t="n">
        <f aca="false" ca="false" dt2D="false" dtr="false" t="normal">MID(L116, 3, 1)</f>
        <v>0</v>
      </c>
      <c r="AG118" s="137" t="n">
        <f aca="false" ca="false" dt2D="false" dtr="false" t="normal">AF118</f>
        <v>0</v>
      </c>
      <c r="AH118" s="120" t="s">
        <v>195</v>
      </c>
      <c r="AI118" s="131" t="s">
        <v>196</v>
      </c>
      <c r="AJ118" s="8193" t="s"/>
      <c r="AK118" s="8194" t="s"/>
    </row>
    <row hidden="false" ht="15.75" outlineLevel="0" r="119">
      <c r="C119" s="98" t="n"/>
      <c r="N119" s="63" t="n"/>
      <c r="P119" s="136" t="n">
        <f aca="false" ca="false" dt2D="false" dtr="false" t="normal">MID(H116, 4, 1)</f>
        <v>0</v>
      </c>
      <c r="Q119" s="137" t="n">
        <f aca="false" ca="false" dt2D="false" dtr="false" t="normal">P119</f>
        <v>0</v>
      </c>
      <c r="R119" s="120" t="s">
        <v>197</v>
      </c>
      <c r="S119" s="131" t="s">
        <v>196</v>
      </c>
      <c r="T119" s="136" t="n">
        <f aca="false" ca="false" dt2D="false" dtr="false" t="normal">MID(I116, 4, 1)</f>
        <v>0</v>
      </c>
      <c r="U119" s="137" t="n">
        <f aca="false" ca="false" dt2D="false" dtr="false" t="normal">T119</f>
        <v>0</v>
      </c>
      <c r="V119" s="120" t="s">
        <v>197</v>
      </c>
      <c r="W119" s="131" t="s">
        <v>196</v>
      </c>
      <c r="X119" s="136" t="n">
        <f aca="false" ca="false" dt2D="false" dtr="false" t="normal">MID(J116, 4, 1)</f>
        <v>0</v>
      </c>
      <c r="Y119" s="137" t="n">
        <f aca="false" ca="false" dt2D="false" dtr="false" t="normal">X119</f>
        <v>0</v>
      </c>
      <c r="Z119" s="120" t="s">
        <v>197</v>
      </c>
      <c r="AA119" s="131" t="s">
        <v>196</v>
      </c>
      <c r="AB119" s="136" t="n">
        <f aca="false" ca="false" dt2D="false" dtr="false" t="normal">MID(K116, 4, 1)</f>
        <v>0</v>
      </c>
      <c r="AC119" s="137" t="n">
        <f aca="false" ca="false" dt2D="false" dtr="false" t="normal">AB119</f>
        <v>0</v>
      </c>
      <c r="AD119" s="120" t="s">
        <v>197</v>
      </c>
      <c r="AE119" s="131" t="s">
        <v>196</v>
      </c>
      <c r="AF119" s="136" t="n">
        <f aca="false" ca="false" dt2D="false" dtr="false" t="normal">MID(L116, 4, 1)</f>
        <v>0</v>
      </c>
      <c r="AG119" s="137" t="n">
        <f aca="false" ca="false" dt2D="false" dtr="false" t="normal">AF119</f>
        <v>0</v>
      </c>
      <c r="AH119" s="120" t="s">
        <v>197</v>
      </c>
      <c r="AI119" s="131" t="s">
        <v>196</v>
      </c>
      <c r="AJ119" s="8195" t="s"/>
      <c r="AK119" s="8196" t="s"/>
    </row>
    <row hidden="false" ht="15.75" outlineLevel="0" r="120">
      <c r="C120" s="98" t="s">
        <v>176</v>
      </c>
      <c r="D120" s="122" t="n">
        <f aca="false" ca="false" dt2D="false" dtr="false" t="normal">D115</f>
        <v>7</v>
      </c>
      <c r="E120" s="123" t="str">
        <f aca="false" ca="false" dt2D="false" dtr="false" t="normal">E115</f>
        <v>A5</v>
      </c>
      <c r="F120" s="123" t="n">
        <f aca="false" ca="false" dt2D="false" dtr="false" t="normal">F115</f>
        <v>1</v>
      </c>
      <c r="G120" s="124" t="n">
        <f aca="false" ca="false" dt2D="false" dtr="false" t="normal">G115</f>
        <v>11</v>
      </c>
      <c r="H120" s="162" t="n">
        <f aca="false" ca="false" dt2D="false" dtr="false" t="normal">BIN2HEX(H121, 2)</f>
        <v>0</v>
      </c>
      <c r="I120" s="163" t="n">
        <f aca="false" ca="false" dt2D="false" dtr="false" t="normal">BIN2HEX(I121, 2)</f>
        <v>0</v>
      </c>
      <c r="J120" s="164" t="n">
        <f aca="false" ca="false" dt2D="false" dtr="false" t="normal">BIN2HEX(J121, 2)</f>
        <v>0</v>
      </c>
      <c r="K120" s="165" t="n">
        <f aca="false" ca="false" dt2D="false" dtr="false" t="normal">BIN2HEX(K121, 2)</f>
        <v>0</v>
      </c>
      <c r="L120" s="288" t="n">
        <f aca="false" ca="false" dt2D="false" dtr="false" t="normal">BIN2HEX(L121, 2)</f>
        <v>0</v>
      </c>
      <c r="M120" s="166" t="str">
        <f aca="false" ca="false" dt2D="false" dtr="false" t="normal">IF(LEN(M121)&gt;2, MID(M121, 2, 2), M121)</f>
        <v>BE</v>
      </c>
      <c r="N120" s="63" t="s">
        <v>181</v>
      </c>
      <c r="P120" s="136" t="n">
        <f aca="false" ca="false" dt2D="false" dtr="false" t="normal">MID(H116, 5, 1)</f>
        <v>0</v>
      </c>
      <c r="Q120" s="137" t="n">
        <f aca="false" ca="false" dt2D="false" dtr="false" t="normal">P120</f>
        <v>0</v>
      </c>
      <c r="R120" s="120" t="s">
        <v>200</v>
      </c>
      <c r="S120" s="131" t="s">
        <v>196</v>
      </c>
      <c r="T120" s="136" t="n">
        <f aca="false" ca="false" dt2D="false" dtr="false" t="normal">MID(I116, 5, 1)</f>
        <v>0</v>
      </c>
      <c r="U120" s="137" t="n">
        <f aca="false" ca="false" dt2D="false" dtr="false" t="normal">T120</f>
        <v>0</v>
      </c>
      <c r="V120" s="120" t="s">
        <v>200</v>
      </c>
      <c r="W120" s="131" t="s">
        <v>196</v>
      </c>
      <c r="X120" s="136" t="n">
        <f aca="false" ca="false" dt2D="false" dtr="false" t="normal">MID(J116, 5, 1)</f>
        <v>0</v>
      </c>
      <c r="Y120" s="137" t="n">
        <f aca="false" ca="false" dt2D="false" dtr="false" t="normal">X120</f>
        <v>0</v>
      </c>
      <c r="Z120" s="120" t="s">
        <v>200</v>
      </c>
      <c r="AA120" s="131" t="s">
        <v>196</v>
      </c>
      <c r="AB120" s="136" t="n">
        <f aca="false" ca="false" dt2D="false" dtr="false" t="normal">MID(K116, 5, 1)</f>
        <v>0</v>
      </c>
      <c r="AC120" s="137" t="n">
        <f aca="false" ca="false" dt2D="false" dtr="false" t="normal">AB120</f>
        <v>0</v>
      </c>
      <c r="AD120" s="120" t="s">
        <v>200</v>
      </c>
      <c r="AE120" s="131" t="s">
        <v>196</v>
      </c>
      <c r="AF120" s="136" t="n">
        <f aca="false" ca="false" dt2D="false" dtr="false" t="normal">MID(L116, 5, 1)</f>
        <v>0</v>
      </c>
      <c r="AG120" s="137" t="n">
        <f aca="false" ca="false" dt2D="false" dtr="false" t="normal">AF120</f>
        <v>0</v>
      </c>
      <c r="AH120" s="120" t="s">
        <v>200</v>
      </c>
      <c r="AI120" s="131" t="s">
        <v>196</v>
      </c>
      <c r="AJ120" s="8197" t="s"/>
      <c r="AK120" s="8198" t="s"/>
    </row>
    <row hidden="false" ht="15" outlineLevel="0" r="121">
      <c r="C121" s="98" t="s">
        <v>185</v>
      </c>
      <c r="D121" s="149" t="n">
        <f aca="false" ca="false" dt2D="false" dtr="false" t="normal">HEX2BIN(D120, 8)</f>
        <v>111</v>
      </c>
      <c r="E121" s="149" t="n">
        <f aca="false" ca="false" dt2D="false" dtr="false" t="normal">HEX2BIN(E120, 8)</f>
        <v>10100101</v>
      </c>
      <c r="F121" s="149" t="n">
        <f aca="false" ca="false" dt2D="false" dtr="false" t="normal">HEX2BIN(F120, 8)</f>
        <v>1</v>
      </c>
      <c r="G121" s="149" t="n">
        <f aca="false" ca="false" dt2D="false" dtr="false" t="normal">HEX2BIN(G120, 8)</f>
        <v>10001</v>
      </c>
      <c r="H121" s="53" t="n">
        <f aca="false" ca="false" dt2D="false" dtr="false" t="normal">Q116&amp;Q117&amp;Q118&amp;Q119&amp;Q120&amp;Q121&amp;Q122&amp;Q123</f>
        <v>0</v>
      </c>
      <c r="I121" s="53" t="n">
        <f aca="false" ca="false" dt2D="false" dtr="false" t="normal">U116&amp;U117&amp;U118&amp;U119&amp;U120&amp;U121&amp;U122&amp;U123</f>
        <v>0</v>
      </c>
      <c r="J121" s="53" t="n">
        <f aca="false" ca="false" dt2D="false" dtr="false" t="normal">Y116&amp;Y117&amp;Y118&amp;Y119&amp;Y120&amp;Y121&amp;Y122&amp;Y123</f>
        <v>0</v>
      </c>
      <c r="K121" s="53" t="n">
        <f aca="false" ca="false" dt2D="false" dtr="false" t="normal">AC116&amp;AC117&amp;AC118&amp;AC119&amp;AC120&amp;AC121&amp;AC122&amp;AC123</f>
        <v>0</v>
      </c>
      <c r="L121" s="53" t="n">
        <f aca="false" ca="false" dt2D="false" dtr="false" t="normal">AG116&amp;AG117&amp;AG118&amp;AG119&amp;AG120&amp;AG121&amp;AG122&amp;AG123</f>
        <v>0</v>
      </c>
      <c r="M121" s="53" t="str">
        <f aca="false" ca="false" dt2D="false" dtr="false" t="normal">DEC2HEX(M122)</f>
        <v>BE</v>
      </c>
      <c r="N121" s="63" t="n"/>
      <c r="P121" s="136" t="n">
        <f aca="false" ca="false" dt2D="false" dtr="false" t="normal">MID(H116, 6, 1)</f>
        <v>0</v>
      </c>
      <c r="Q121" s="137" t="n">
        <f aca="false" ca="false" dt2D="false" dtr="false" t="normal">P121</f>
        <v>0</v>
      </c>
      <c r="R121" s="120" t="s">
        <v>203</v>
      </c>
      <c r="S121" s="131" t="s">
        <v>196</v>
      </c>
      <c r="T121" s="136" t="n">
        <f aca="false" ca="false" dt2D="false" dtr="false" t="normal">MID(I116, 6, 1)</f>
        <v>0</v>
      </c>
      <c r="U121" s="137" t="n">
        <f aca="false" ca="false" dt2D="false" dtr="false" t="normal">T121</f>
        <v>0</v>
      </c>
      <c r="V121" s="120" t="s">
        <v>203</v>
      </c>
      <c r="W121" s="131" t="s">
        <v>196</v>
      </c>
      <c r="X121" s="136" t="n">
        <f aca="false" ca="false" dt2D="false" dtr="false" t="normal">MID(J116, 6, 1)</f>
        <v>0</v>
      </c>
      <c r="Y121" s="137" t="n">
        <f aca="false" ca="false" dt2D="false" dtr="false" t="normal">X121</f>
        <v>0</v>
      </c>
      <c r="Z121" s="120" t="s">
        <v>203</v>
      </c>
      <c r="AA121" s="131" t="s">
        <v>196</v>
      </c>
      <c r="AB121" s="136" t="n">
        <f aca="false" ca="false" dt2D="false" dtr="false" t="normal">MID(K116, 6, 1)</f>
        <v>0</v>
      </c>
      <c r="AC121" s="137" t="n">
        <f aca="false" ca="false" dt2D="false" dtr="false" t="normal">AB121</f>
        <v>0</v>
      </c>
      <c r="AD121" s="120" t="s">
        <v>203</v>
      </c>
      <c r="AE121" s="131" t="s">
        <v>196</v>
      </c>
      <c r="AF121" s="136" t="n">
        <f aca="false" ca="false" dt2D="false" dtr="false" t="normal">MID(L116, 6, 1)</f>
        <v>0</v>
      </c>
      <c r="AG121" s="137" t="n">
        <f aca="false" ca="false" dt2D="false" dtr="false" t="normal">AF121</f>
        <v>0</v>
      </c>
      <c r="AH121" s="120" t="s">
        <v>203</v>
      </c>
      <c r="AI121" s="131" t="s">
        <v>196</v>
      </c>
      <c r="AJ121" s="8199" t="s"/>
      <c r="AK121" s="8200" t="s"/>
    </row>
    <row hidden="false" ht="15" outlineLevel="0" r="122">
      <c r="C122" s="98" t="s">
        <v>191</v>
      </c>
      <c r="D122" s="149" t="n">
        <f aca="false" ca="false" dt2D="false" dtr="false" t="normal">HEX2DEC(D120)</f>
        <v>7</v>
      </c>
      <c r="E122" s="149" t="n">
        <f aca="false" ca="false" dt2D="false" dtr="false" t="normal">HEX2DEC(E120)</f>
        <v>165</v>
      </c>
      <c r="F122" s="149" t="n">
        <f aca="false" ca="false" dt2D="false" dtr="false" t="normal">HEX2DEC(F120)</f>
        <v>1</v>
      </c>
      <c r="G122" s="149" t="n">
        <f aca="false" ca="false" dt2D="false" dtr="false" t="normal">HEX2DEC(G120)</f>
        <v>17</v>
      </c>
      <c r="H122" s="53" t="n">
        <f aca="false" ca="false" dt2D="false" dtr="false" t="normal">HEX2DEC(H120)</f>
        <v>0</v>
      </c>
      <c r="I122" s="53" t="n">
        <f aca="false" ca="false" dt2D="false" dtr="false" t="normal">HEX2DEC(I120)</f>
        <v>0</v>
      </c>
      <c r="J122" s="53" t="n">
        <f aca="false" ca="false" dt2D="false" dtr="false" t="normal">HEX2DEC(J120)</f>
        <v>0</v>
      </c>
      <c r="K122" s="53" t="n">
        <f aca="false" ca="false" dt2D="false" dtr="false" t="normal">HEX2DEC(K120)</f>
        <v>0</v>
      </c>
      <c r="L122" s="53" t="n">
        <f aca="false" ca="false" dt2D="false" dtr="false" t="normal">HEX2DEC(L120)</f>
        <v>0</v>
      </c>
      <c r="M122" s="53" t="n">
        <f aca="false" ca="false" dt2D="false" dtr="false" t="normal">SUM(D122:L122)</f>
        <v>190</v>
      </c>
      <c r="N122" s="63" t="n"/>
      <c r="P122" s="136" t="n">
        <f aca="false" ca="false" dt2D="false" dtr="false" t="normal">MID(H116, 7, 1)</f>
        <v>0</v>
      </c>
      <c r="Q122" s="137" t="n">
        <f aca="false" ca="false" dt2D="false" dtr="false" t="normal">P122</f>
        <v>0</v>
      </c>
      <c r="R122" s="120" t="s">
        <v>206</v>
      </c>
      <c r="S122" s="131" t="s">
        <v>196</v>
      </c>
      <c r="T122" s="136" t="n">
        <f aca="false" ca="false" dt2D="false" dtr="false" t="normal">MID(I116, 7, 1)</f>
        <v>0</v>
      </c>
      <c r="U122" s="137" t="n">
        <f aca="false" ca="false" dt2D="false" dtr="false" t="normal">T122</f>
        <v>0</v>
      </c>
      <c r="V122" s="120" t="s">
        <v>206</v>
      </c>
      <c r="W122" s="131" t="s">
        <v>196</v>
      </c>
      <c r="X122" s="136" t="n">
        <f aca="false" ca="false" dt2D="false" dtr="false" t="normal">MID(J116, 7, 1)</f>
        <v>0</v>
      </c>
      <c r="Y122" s="137" t="n">
        <f aca="false" ca="false" dt2D="false" dtr="false" t="normal">X122</f>
        <v>0</v>
      </c>
      <c r="Z122" s="120" t="s">
        <v>206</v>
      </c>
      <c r="AA122" s="131" t="s">
        <v>196</v>
      </c>
      <c r="AB122" s="136" t="n">
        <f aca="false" ca="false" dt2D="false" dtr="false" t="normal">MID(K116, 7, 1)</f>
        <v>0</v>
      </c>
      <c r="AC122" s="137" t="n">
        <f aca="false" ca="false" dt2D="false" dtr="false" t="normal">AB122</f>
        <v>0</v>
      </c>
      <c r="AD122" s="120" t="s">
        <v>206</v>
      </c>
      <c r="AE122" s="131" t="s">
        <v>196</v>
      </c>
      <c r="AF122" s="136" t="n">
        <f aca="false" ca="false" dt2D="false" dtr="false" t="normal">MID(L116, 7, 1)</f>
        <v>0</v>
      </c>
      <c r="AG122" s="137" t="n">
        <f aca="false" ca="false" dt2D="false" dtr="false" t="normal">AF122</f>
        <v>0</v>
      </c>
      <c r="AH122" s="120" t="s">
        <v>206</v>
      </c>
      <c r="AI122" s="131" t="s">
        <v>196</v>
      </c>
      <c r="AJ122" s="8201" t="s"/>
      <c r="AK122" s="8202" t="s"/>
    </row>
    <row hidden="false" ht="15.75" outlineLevel="0" r="123">
      <c r="C123" s="180" t="s">
        <v>194</v>
      </c>
      <c r="D123" s="181" t="n">
        <f aca="false" ca="false" dt2D="false" dtr="false" t="normal">D118</f>
        <v>7</v>
      </c>
      <c r="E123" s="181" t="str">
        <f aca="false" ca="false" dt2D="false" dtr="false" t="normal">E118</f>
        <v>A5</v>
      </c>
      <c r="F123" s="181" t="str">
        <f aca="false" ca="false" dt2D="false" dtr="false" t="normal">F118</f>
        <v>G1</v>
      </c>
      <c r="G123" s="181" t="str">
        <f aca="false" ca="false" dt2D="false" dtr="false" t="normal">G118</f>
        <v>GB</v>
      </c>
      <c r="H123" s="45" t="n"/>
      <c r="I123" s="45" t="n"/>
      <c r="J123" s="45" t="n"/>
      <c r="K123" s="45" t="n"/>
      <c r="L123" s="45" t="n"/>
      <c r="M123" s="45" t="n"/>
      <c r="N123" s="49" t="n"/>
      <c r="P123" s="182" t="n">
        <f aca="false" ca="false" dt2D="false" dtr="false" t="normal">MID(H116, 8, 1)</f>
        <v>0</v>
      </c>
      <c r="Q123" s="183" t="n">
        <f aca="false" ca="false" dt2D="false" dtr="false" t="normal">P123</f>
        <v>0</v>
      </c>
      <c r="R123" s="184" t="s">
        <v>208</v>
      </c>
      <c r="S123" s="185" t="s">
        <v>196</v>
      </c>
      <c r="T123" s="182" t="n">
        <f aca="false" ca="false" dt2D="false" dtr="false" t="normal">MID(I116, 8, 1)</f>
        <v>0</v>
      </c>
      <c r="U123" s="183" t="n">
        <f aca="false" ca="false" dt2D="false" dtr="false" t="normal">T123</f>
        <v>0</v>
      </c>
      <c r="V123" s="184" t="s">
        <v>208</v>
      </c>
      <c r="W123" s="185" t="s">
        <v>196</v>
      </c>
      <c r="X123" s="182" t="n">
        <f aca="false" ca="false" dt2D="false" dtr="false" t="normal">MID(J116, 8, 1)</f>
        <v>0</v>
      </c>
      <c r="Y123" s="183" t="n">
        <f aca="false" ca="false" dt2D="false" dtr="false" t="normal">X123</f>
        <v>0</v>
      </c>
      <c r="Z123" s="184" t="s">
        <v>208</v>
      </c>
      <c r="AA123" s="185" t="s">
        <v>196</v>
      </c>
      <c r="AB123" s="182" t="n">
        <f aca="false" ca="false" dt2D="false" dtr="false" t="normal">MID(K116, 8, 1)</f>
        <v>0</v>
      </c>
      <c r="AC123" s="183" t="n">
        <f aca="false" ca="false" dt2D="false" dtr="false" t="normal">AB123</f>
        <v>0</v>
      </c>
      <c r="AD123" s="184" t="s">
        <v>208</v>
      </c>
      <c r="AE123" s="185" t="s">
        <v>196</v>
      </c>
      <c r="AF123" s="182" t="n">
        <f aca="false" ca="false" dt2D="false" dtr="false" t="normal">MID(L116, 8, 1)</f>
        <v>0</v>
      </c>
      <c r="AG123" s="183" t="n">
        <f aca="false" ca="false" dt2D="false" dtr="false" t="normal">AF123</f>
        <v>0</v>
      </c>
      <c r="AH123" s="184" t="s">
        <v>208</v>
      </c>
      <c r="AI123" s="185" t="s">
        <v>196</v>
      </c>
      <c r="AJ123" s="8203" t="s"/>
      <c r="AK123" s="8204" t="s"/>
    </row>
    <row hidden="false" ht="15.75" outlineLevel="0" r="124">
      <c r="C124" s="93" t="n"/>
      <c r="D124" s="7585" t="n"/>
      <c r="E124" s="7585" t="n"/>
      <c r="F124" s="7585" t="n"/>
      <c r="G124" s="7585" t="n"/>
      <c r="H124" s="94" t="n"/>
      <c r="I124" s="94" t="n"/>
      <c r="J124" s="94" t="n"/>
      <c r="K124" s="94" t="n"/>
      <c r="L124" s="94" t="n"/>
      <c r="M124" s="94" t="s">
        <v>161</v>
      </c>
      <c r="N124" s="60" t="n"/>
      <c r="P124" s="95" t="str">
        <f aca="false" ca="false" dt2D="false" dtr="false" t="normal">RIGHT(D126, 1)&amp;E126&amp;"-"&amp;F126&amp;"-"&amp;G126</f>
        <v>7A5-01-12</v>
      </c>
      <c r="Q124" s="8205" t="s"/>
      <c r="R124" s="234" t="s">
        <v>4024</v>
      </c>
      <c r="S124" s="8206" t="s"/>
      <c r="T124" s="8207" t="s"/>
      <c r="U124" s="8208" t="s"/>
      <c r="V124" s="8209" t="s"/>
      <c r="W124" s="8210" t="s"/>
      <c r="X124" s="8211" t="s"/>
      <c r="Y124" s="8212" t="s"/>
      <c r="Z124" s="8213" t="s"/>
      <c r="AA124" s="8214" t="s"/>
      <c r="AB124" s="8215" t="s"/>
      <c r="AC124" s="8216" t="s"/>
      <c r="AD124" s="8217" t="s"/>
      <c r="AE124" s="8218" t="s"/>
      <c r="AF124" s="8219" t="s"/>
      <c r="AG124" s="8220" t="s"/>
      <c r="AH124" s="8221" t="s"/>
      <c r="AI124" s="8222" t="s"/>
      <c r="AJ124" s="8223" t="s"/>
      <c r="AK124" s="8224" t="s"/>
    </row>
    <row hidden="false" ht="15.75" outlineLevel="0" r="125">
      <c r="C125" s="98" t="n"/>
      <c r="D125" s="7606" t="s">
        <v>4025</v>
      </c>
      <c r="E125" s="8225" t="s"/>
      <c r="F125" s="8226" t="s"/>
      <c r="G125" s="8227" t="s"/>
      <c r="H125" s="53" t="s">
        <v>165</v>
      </c>
      <c r="I125" s="53" t="s">
        <v>166</v>
      </c>
      <c r="J125" s="53" t="s">
        <v>167</v>
      </c>
      <c r="K125" s="53" t="s">
        <v>168</v>
      </c>
      <c r="L125" s="53" t="s">
        <v>169</v>
      </c>
      <c r="M125" s="53" t="s">
        <v>221</v>
      </c>
      <c r="N125" s="63" t="n"/>
      <c r="P125" s="103" t="s">
        <v>4026</v>
      </c>
      <c r="Q125" s="8228" t="s"/>
      <c r="R125" s="8229" t="s"/>
      <c r="S125" s="8230" t="s"/>
      <c r="T125" s="103" t="s">
        <v>4027</v>
      </c>
      <c r="U125" s="8231" t="s"/>
      <c r="V125" s="8232" t="s"/>
      <c r="W125" s="8233" t="s"/>
      <c r="X125" s="103" t="s">
        <v>4028</v>
      </c>
      <c r="Y125" s="8234" t="s"/>
      <c r="Z125" s="8235" t="s"/>
      <c r="AA125" s="8236" t="s"/>
      <c r="AB125" s="103" t="s">
        <v>4029</v>
      </c>
      <c r="AC125" s="8237" t="s"/>
      <c r="AD125" s="8238" t="s"/>
      <c r="AE125" s="8239" t="s"/>
      <c r="AF125" s="103" t="s">
        <v>4030</v>
      </c>
      <c r="AG125" s="8240" t="s"/>
      <c r="AH125" s="8241" t="s"/>
      <c r="AI125" s="8242" t="s"/>
      <c r="AJ125" s="103" t="s">
        <v>4031</v>
      </c>
      <c r="AK125" s="8243" t="s"/>
    </row>
    <row hidden="false" ht="15.75" outlineLevel="0" r="126">
      <c r="C126" s="98" t="s">
        <v>176</v>
      </c>
      <c r="D126" s="122" t="s">
        <v>177</v>
      </c>
      <c r="E126" s="123" t="s">
        <v>3892</v>
      </c>
      <c r="F126" s="123" t="s">
        <v>179</v>
      </c>
      <c r="G126" s="124" t="s">
        <v>1238</v>
      </c>
      <c r="H126" s="273" t="n">
        <f aca="false" ca="false" dt2D="false" dtr="false" t="normal">MID($A$15, 8, 2)</f>
        <v>0</v>
      </c>
      <c r="I126" s="7626" t="n">
        <f aca="false" ca="false" dt2D="false" dtr="false" t="normal">MID($A$15, 10, 2)</f>
        <v>0</v>
      </c>
      <c r="J126" s="7626" t="n">
        <f aca="false" ca="false" dt2D="false" dtr="false" t="normal">MID($A$15, 12, 2)</f>
        <v>0</v>
      </c>
      <c r="K126" s="7626" t="n">
        <f aca="false" ca="false" dt2D="false" dtr="false" t="normal">MID($A$15, 14, 2)</f>
        <v>0</v>
      </c>
      <c r="L126" s="7627" t="n">
        <f aca="false" ca="false" dt2D="false" dtr="false" t="normal">MID($A$15, 16, 2)</f>
        <v>0</v>
      </c>
      <c r="M126" s="7553" t="str">
        <f aca="false" ca="false" dt2D="false" dtr="false" t="normal">MID($A$15, 18, 2)</f>
        <v>BF</v>
      </c>
      <c r="N126" s="63" t="s">
        <v>180</v>
      </c>
      <c r="P126" s="129" t="s">
        <v>180</v>
      </c>
      <c r="Q126" s="130" t="s">
        <v>181</v>
      </c>
      <c r="R126" s="121" t="s">
        <v>182</v>
      </c>
      <c r="S126" s="131" t="n"/>
      <c r="T126" s="129" t="s">
        <v>180</v>
      </c>
      <c r="U126" s="130" t="s">
        <v>181</v>
      </c>
      <c r="V126" s="121" t="s">
        <v>182</v>
      </c>
      <c r="W126" s="131" t="n"/>
      <c r="X126" s="129" t="s">
        <v>180</v>
      </c>
      <c r="Y126" s="130" t="s">
        <v>181</v>
      </c>
      <c r="Z126" s="121" t="s">
        <v>182</v>
      </c>
      <c r="AA126" s="131" t="n"/>
      <c r="AB126" s="129" t="s">
        <v>180</v>
      </c>
      <c r="AC126" s="130" t="s">
        <v>181</v>
      </c>
      <c r="AD126" s="121" t="s">
        <v>182</v>
      </c>
      <c r="AE126" s="131" t="n"/>
      <c r="AF126" s="129" t="s">
        <v>180</v>
      </c>
      <c r="AG126" s="130" t="s">
        <v>181</v>
      </c>
      <c r="AH126" s="121" t="s">
        <v>182</v>
      </c>
      <c r="AI126" s="121" t="n"/>
      <c r="AJ126" s="116" t="s">
        <v>183</v>
      </c>
      <c r="AK126" s="8244" t="s"/>
    </row>
    <row hidden="false" ht="15" outlineLevel="0" r="127">
      <c r="C127" s="98" t="s">
        <v>185</v>
      </c>
      <c r="D127" s="149" t="n">
        <f aca="false" ca="false" dt2D="false" dtr="false" t="normal">HEX2BIN(D126, 8)</f>
        <v>111</v>
      </c>
      <c r="E127" s="149" t="n">
        <f aca="false" ca="false" dt2D="false" dtr="false" t="normal">HEX2BIN(E126, 8)</f>
        <v>10100101</v>
      </c>
      <c r="F127" s="149" t="n">
        <f aca="false" ca="false" dt2D="false" dtr="false" t="normal">HEX2BIN(F126, 8)</f>
        <v>1</v>
      </c>
      <c r="G127" s="149" t="n">
        <f aca="false" ca="false" dt2D="false" dtr="false" t="normal">HEX2BIN(G126, 8)</f>
        <v>10010</v>
      </c>
      <c r="H127" s="53" t="n">
        <f aca="false" ca="false" dt2D="false" dtr="false" t="normal">HEX2BIN(H126, 8)</f>
        <v>0</v>
      </c>
      <c r="I127" s="53" t="n">
        <f aca="false" ca="false" dt2D="false" dtr="false" t="normal">HEX2BIN(I126, 8)</f>
        <v>0</v>
      </c>
      <c r="J127" s="53" t="n">
        <f aca="false" ca="false" dt2D="false" dtr="false" t="normal">HEX2BIN(J126, 8)</f>
        <v>0</v>
      </c>
      <c r="K127" s="53" t="n">
        <f aca="false" ca="false" dt2D="false" dtr="false" t="normal">HEX2BIN(K126, 8)</f>
        <v>0</v>
      </c>
      <c r="L127" s="53" t="n">
        <f aca="false" ca="false" dt2D="false" dtr="false" t="normal">HEX2BIN(L126, 8)</f>
        <v>0</v>
      </c>
      <c r="M127" s="53" t="n"/>
      <c r="N127" s="63" t="n"/>
      <c r="P127" s="136" t="n">
        <f aca="false" ca="false" dt2D="false" dtr="false" t="normal">MID(H127, 1, 1)</f>
        <v>0</v>
      </c>
      <c r="Q127" s="137" t="n">
        <f aca="false" ca="false" dt2D="false" dtr="false" t="normal">P127</f>
        <v>0</v>
      </c>
      <c r="R127" s="120" t="s">
        <v>186</v>
      </c>
      <c r="S127" s="131" t="s">
        <v>196</v>
      </c>
      <c r="T127" s="136" t="n">
        <f aca="false" ca="false" dt2D="false" dtr="false" t="normal">MID(I127, 1, 1)</f>
        <v>0</v>
      </c>
      <c r="U127" s="137" t="n">
        <f aca="false" ca="false" dt2D="false" dtr="false" t="normal">T127</f>
        <v>0</v>
      </c>
      <c r="V127" s="120" t="s">
        <v>186</v>
      </c>
      <c r="W127" s="131" t="s">
        <v>196</v>
      </c>
      <c r="X127" s="136" t="n">
        <f aca="false" ca="false" dt2D="false" dtr="false" t="normal">MID(J127, 1, 1)</f>
        <v>0</v>
      </c>
      <c r="Y127" s="137" t="n">
        <f aca="false" ca="false" dt2D="false" dtr="false" t="normal">X127</f>
        <v>0</v>
      </c>
      <c r="Z127" s="120" t="s">
        <v>186</v>
      </c>
      <c r="AA127" s="131" t="s">
        <v>196</v>
      </c>
      <c r="AB127" s="136" t="n">
        <f aca="false" ca="false" dt2D="false" dtr="false" t="normal">MID(K127, 1, 1)</f>
        <v>0</v>
      </c>
      <c r="AC127" s="137" t="n">
        <f aca="false" ca="false" dt2D="false" dtr="false" t="normal">AB127</f>
        <v>0</v>
      </c>
      <c r="AD127" s="120" t="s">
        <v>186</v>
      </c>
      <c r="AE127" s="131" t="s">
        <v>196</v>
      </c>
      <c r="AF127" s="136" t="n">
        <f aca="false" ca="false" dt2D="false" dtr="false" t="normal">MID(L127, 1, 1)</f>
        <v>0</v>
      </c>
      <c r="AG127" s="137" t="n">
        <f aca="false" ca="false" dt2D="false" dtr="false" t="normal">AF127</f>
        <v>0</v>
      </c>
      <c r="AH127" s="120" t="s">
        <v>186</v>
      </c>
      <c r="AI127" s="131" t="s">
        <v>196</v>
      </c>
      <c r="AJ127" s="8245" t="s"/>
      <c r="AK127" s="8246" t="s"/>
    </row>
    <row hidden="false" ht="15" outlineLevel="0" r="128">
      <c r="C128" s="98" t="s">
        <v>191</v>
      </c>
      <c r="D128" s="149" t="n">
        <f aca="false" ca="false" dt2D="false" dtr="false" t="normal">HEX2DEC(D126)</f>
        <v>7</v>
      </c>
      <c r="E128" s="149" t="n">
        <f aca="false" ca="false" dt2D="false" dtr="false" t="normal">HEX2DEC(E126)</f>
        <v>165</v>
      </c>
      <c r="F128" s="149" t="n">
        <f aca="false" ca="false" dt2D="false" dtr="false" t="normal">HEX2DEC(F126)</f>
        <v>1</v>
      </c>
      <c r="G128" s="149" t="n">
        <f aca="false" ca="false" dt2D="false" dtr="false" t="normal">HEX2DEC(G126)</f>
        <v>18</v>
      </c>
      <c r="H128" s="53" t="n">
        <f aca="false" ca="false" dt2D="false" dtr="false" t="normal">HEX2DEC(H126)</f>
        <v>0</v>
      </c>
      <c r="I128" s="53" t="n">
        <f aca="false" ca="false" dt2D="false" dtr="false" t="normal">HEX2DEC(I126)</f>
        <v>0</v>
      </c>
      <c r="J128" s="53" t="n">
        <f aca="false" ca="false" dt2D="false" dtr="false" t="normal">HEX2DEC(J126)</f>
        <v>0</v>
      </c>
      <c r="K128" s="53" t="n">
        <f aca="false" ca="false" dt2D="false" dtr="false" t="normal">HEX2DEC(K126)</f>
        <v>0</v>
      </c>
      <c r="L128" s="53" t="n">
        <f aca="false" ca="false" dt2D="false" dtr="false" t="normal">HEX2DEC(L126)</f>
        <v>0</v>
      </c>
      <c r="M128" s="53" t="n">
        <f aca="false" ca="false" dt2D="false" dtr="false" t="normal">SUM(D128:L128)</f>
        <v>191</v>
      </c>
      <c r="N128" s="63" t="n"/>
      <c r="P128" s="136" t="n">
        <f aca="false" ca="false" dt2D="false" dtr="false" t="normal">MID(H127, 2, 1)</f>
        <v>0</v>
      </c>
      <c r="Q128" s="137" t="n">
        <f aca="false" ca="false" dt2D="false" dtr="false" t="normal">P128</f>
        <v>0</v>
      </c>
      <c r="R128" s="120" t="s">
        <v>192</v>
      </c>
      <c r="S128" s="131" t="s">
        <v>196</v>
      </c>
      <c r="T128" s="136" t="n">
        <f aca="false" ca="false" dt2D="false" dtr="false" t="normal">MID(I127, 2, 1)</f>
        <v>0</v>
      </c>
      <c r="U128" s="137" t="n">
        <f aca="false" ca="false" dt2D="false" dtr="false" t="normal">T128</f>
        <v>0</v>
      </c>
      <c r="V128" s="120" t="s">
        <v>192</v>
      </c>
      <c r="W128" s="131" t="s">
        <v>196</v>
      </c>
      <c r="X128" s="136" t="n">
        <f aca="false" ca="false" dt2D="false" dtr="false" t="normal">MID(J127, 2, 1)</f>
        <v>0</v>
      </c>
      <c r="Y128" s="137" t="n">
        <f aca="false" ca="false" dt2D="false" dtr="false" t="normal">X128</f>
        <v>0</v>
      </c>
      <c r="Z128" s="120" t="s">
        <v>192</v>
      </c>
      <c r="AA128" s="131" t="s">
        <v>196</v>
      </c>
      <c r="AB128" s="136" t="n">
        <f aca="false" ca="false" dt2D="false" dtr="false" t="normal">MID(K127, 2, 1)</f>
        <v>0</v>
      </c>
      <c r="AC128" s="137" t="n">
        <f aca="false" ca="false" dt2D="false" dtr="false" t="normal">AB128</f>
        <v>0</v>
      </c>
      <c r="AD128" s="120" t="s">
        <v>192</v>
      </c>
      <c r="AE128" s="131" t="s">
        <v>196</v>
      </c>
      <c r="AF128" s="136" t="n">
        <f aca="false" ca="false" dt2D="false" dtr="false" t="normal">MID(L127, 2, 1)</f>
        <v>0</v>
      </c>
      <c r="AG128" s="137" t="n">
        <f aca="false" ca="false" dt2D="false" dtr="false" t="normal">AF128</f>
        <v>0</v>
      </c>
      <c r="AH128" s="120" t="s">
        <v>192</v>
      </c>
      <c r="AI128" s="131" t="s">
        <v>196</v>
      </c>
      <c r="AJ128" s="8247" t="s"/>
      <c r="AK128" s="8248" t="s"/>
    </row>
    <row hidden="false" ht="15" outlineLevel="0" r="129">
      <c r="C129" s="98" t="s">
        <v>194</v>
      </c>
      <c r="D129" s="149" t="n">
        <f aca="false" ca="false" dt2D="false" dtr="false" t="normal">D126</f>
        <v>7</v>
      </c>
      <c r="E129" s="149" t="str">
        <f aca="false" ca="false" dt2D="false" dtr="false" t="normal">E126</f>
        <v>A5</v>
      </c>
      <c r="F129" s="149" t="str">
        <f aca="false" ca="false" dt2D="false" dtr="false" t="normal">MID($A$15, 4, 2)</f>
        <v>G1</v>
      </c>
      <c r="G129" s="149" t="str">
        <f aca="false" ca="false" dt2D="false" dtr="false" t="normal">MID($A$15, 6, 2)</f>
        <v>GC</v>
      </c>
      <c r="N129" s="63" t="n"/>
      <c r="P129" s="136" t="n">
        <f aca="false" ca="false" dt2D="false" dtr="false" t="normal">MID(H127, 3, 1)</f>
        <v>0</v>
      </c>
      <c r="Q129" s="137" t="n">
        <f aca="false" ca="false" dt2D="false" dtr="false" t="normal">P129</f>
        <v>0</v>
      </c>
      <c r="R129" s="120" t="s">
        <v>195</v>
      </c>
      <c r="S129" s="131" t="s">
        <v>196</v>
      </c>
      <c r="T129" s="136" t="n">
        <f aca="false" ca="false" dt2D="false" dtr="false" t="normal">MID(I127, 3, 1)</f>
        <v>0</v>
      </c>
      <c r="U129" s="137" t="n">
        <f aca="false" ca="false" dt2D="false" dtr="false" t="normal">T129</f>
        <v>0</v>
      </c>
      <c r="V129" s="120" t="s">
        <v>195</v>
      </c>
      <c r="W129" s="131" t="s">
        <v>196</v>
      </c>
      <c r="X129" s="136" t="n">
        <f aca="false" ca="false" dt2D="false" dtr="false" t="normal">MID(J127, 3, 1)</f>
        <v>0</v>
      </c>
      <c r="Y129" s="137" t="n">
        <f aca="false" ca="false" dt2D="false" dtr="false" t="normal">X129</f>
        <v>0</v>
      </c>
      <c r="Z129" s="120" t="s">
        <v>195</v>
      </c>
      <c r="AA129" s="131" t="s">
        <v>196</v>
      </c>
      <c r="AB129" s="136" t="n">
        <f aca="false" ca="false" dt2D="false" dtr="false" t="normal">MID(K127, 3, 1)</f>
        <v>0</v>
      </c>
      <c r="AC129" s="137" t="n">
        <f aca="false" ca="false" dt2D="false" dtr="false" t="normal">AB129</f>
        <v>0</v>
      </c>
      <c r="AD129" s="120" t="s">
        <v>195</v>
      </c>
      <c r="AE129" s="131" t="s">
        <v>196</v>
      </c>
      <c r="AF129" s="136" t="n">
        <f aca="false" ca="false" dt2D="false" dtr="false" t="normal">MID(L127, 3, 1)</f>
        <v>0</v>
      </c>
      <c r="AG129" s="137" t="n">
        <f aca="false" ca="false" dt2D="false" dtr="false" t="normal">AF129</f>
        <v>0</v>
      </c>
      <c r="AH129" s="120" t="s">
        <v>195</v>
      </c>
      <c r="AI129" s="131" t="s">
        <v>196</v>
      </c>
      <c r="AJ129" s="8249" t="s"/>
      <c r="AK129" s="8250" t="s"/>
    </row>
    <row hidden="false" ht="15.75" outlineLevel="0" r="130">
      <c r="C130" s="98" t="n"/>
      <c r="N130" s="63" t="n"/>
      <c r="P130" s="136" t="n">
        <f aca="false" ca="false" dt2D="false" dtr="false" t="normal">MID(H127, 4, 1)</f>
        <v>0</v>
      </c>
      <c r="Q130" s="137" t="n">
        <f aca="false" ca="false" dt2D="false" dtr="false" t="normal">P130</f>
        <v>0</v>
      </c>
      <c r="R130" s="120" t="s">
        <v>197</v>
      </c>
      <c r="S130" s="131" t="s">
        <v>196</v>
      </c>
      <c r="T130" s="136" t="n">
        <f aca="false" ca="false" dt2D="false" dtr="false" t="normal">MID(I127, 4, 1)</f>
        <v>0</v>
      </c>
      <c r="U130" s="137" t="n">
        <f aca="false" ca="false" dt2D="false" dtr="false" t="normal">T130</f>
        <v>0</v>
      </c>
      <c r="V130" s="120" t="s">
        <v>197</v>
      </c>
      <c r="W130" s="131" t="s">
        <v>196</v>
      </c>
      <c r="X130" s="136" t="n">
        <f aca="false" ca="false" dt2D="false" dtr="false" t="normal">MID(J127, 4, 1)</f>
        <v>0</v>
      </c>
      <c r="Y130" s="137" t="n">
        <f aca="false" ca="false" dt2D="false" dtr="false" t="normal">X130</f>
        <v>0</v>
      </c>
      <c r="Z130" s="120" t="s">
        <v>197</v>
      </c>
      <c r="AA130" s="131" t="s">
        <v>196</v>
      </c>
      <c r="AB130" s="136" t="n">
        <f aca="false" ca="false" dt2D="false" dtr="false" t="normal">MID(K127, 4, 1)</f>
        <v>0</v>
      </c>
      <c r="AC130" s="137" t="n">
        <f aca="false" ca="false" dt2D="false" dtr="false" t="normal">AB130</f>
        <v>0</v>
      </c>
      <c r="AD130" s="120" t="s">
        <v>197</v>
      </c>
      <c r="AE130" s="131" t="s">
        <v>196</v>
      </c>
      <c r="AF130" s="136" t="n">
        <f aca="false" ca="false" dt2D="false" dtr="false" t="normal">MID(L127, 4, 1)</f>
        <v>0</v>
      </c>
      <c r="AG130" s="137" t="n">
        <f aca="false" ca="false" dt2D="false" dtr="false" t="normal">AF130</f>
        <v>0</v>
      </c>
      <c r="AH130" s="120" t="s">
        <v>197</v>
      </c>
      <c r="AI130" s="131" t="s">
        <v>196</v>
      </c>
      <c r="AJ130" s="8251" t="s"/>
      <c r="AK130" s="8252" t="s"/>
    </row>
    <row hidden="false" ht="15.75" outlineLevel="0" r="131">
      <c r="C131" s="98" t="s">
        <v>176</v>
      </c>
      <c r="D131" s="122" t="n">
        <f aca="false" ca="false" dt2D="false" dtr="false" t="normal">D126</f>
        <v>7</v>
      </c>
      <c r="E131" s="123" t="str">
        <f aca="false" ca="false" dt2D="false" dtr="false" t="normal">E126</f>
        <v>A5</v>
      </c>
      <c r="F131" s="123" t="n">
        <f aca="false" ca="false" dt2D="false" dtr="false" t="normal">F126</f>
        <v>1</v>
      </c>
      <c r="G131" s="124" t="n">
        <f aca="false" ca="false" dt2D="false" dtr="false" t="normal">G126</f>
        <v>12</v>
      </c>
      <c r="H131" s="162" t="n">
        <f aca="false" ca="false" dt2D="false" dtr="false" t="normal">BIN2HEX(H132, 2)</f>
        <v>0</v>
      </c>
      <c r="I131" s="163" t="n">
        <f aca="false" ca="false" dt2D="false" dtr="false" t="normal">BIN2HEX(I132, 2)</f>
        <v>0</v>
      </c>
      <c r="J131" s="164" t="n">
        <f aca="false" ca="false" dt2D="false" dtr="false" t="normal">BIN2HEX(J132, 2)</f>
        <v>0</v>
      </c>
      <c r="K131" s="165" t="n">
        <f aca="false" ca="false" dt2D="false" dtr="false" t="normal">BIN2HEX(K132, 2)</f>
        <v>0</v>
      </c>
      <c r="L131" s="288" t="n">
        <f aca="false" ca="false" dt2D="false" dtr="false" t="normal">BIN2HEX(L132, 2)</f>
        <v>0</v>
      </c>
      <c r="M131" s="166" t="str">
        <f aca="false" ca="false" dt2D="false" dtr="false" t="normal">IF(LEN(M132)&gt;2, MID(M132, 2, 2), M132)</f>
        <v>BF</v>
      </c>
      <c r="N131" s="63" t="s">
        <v>181</v>
      </c>
      <c r="P131" s="136" t="n">
        <f aca="false" ca="false" dt2D="false" dtr="false" t="normal">MID(H127, 5, 1)</f>
        <v>0</v>
      </c>
      <c r="Q131" s="137" t="n">
        <f aca="false" ca="false" dt2D="false" dtr="false" t="normal">P131</f>
        <v>0</v>
      </c>
      <c r="R131" s="120" t="s">
        <v>200</v>
      </c>
      <c r="S131" s="131" t="s">
        <v>196</v>
      </c>
      <c r="T131" s="136" t="n">
        <f aca="false" ca="false" dt2D="false" dtr="false" t="normal">MID(I127, 5, 1)</f>
        <v>0</v>
      </c>
      <c r="U131" s="137" t="n">
        <f aca="false" ca="false" dt2D="false" dtr="false" t="normal">T131</f>
        <v>0</v>
      </c>
      <c r="V131" s="120" t="s">
        <v>200</v>
      </c>
      <c r="W131" s="131" t="s">
        <v>196</v>
      </c>
      <c r="X131" s="136" t="n">
        <f aca="false" ca="false" dt2D="false" dtr="false" t="normal">MID(J127, 5, 1)</f>
        <v>0</v>
      </c>
      <c r="Y131" s="137" t="n">
        <f aca="false" ca="false" dt2D="false" dtr="false" t="normal">X131</f>
        <v>0</v>
      </c>
      <c r="Z131" s="120" t="s">
        <v>200</v>
      </c>
      <c r="AA131" s="131" t="s">
        <v>196</v>
      </c>
      <c r="AB131" s="136" t="n">
        <f aca="false" ca="false" dt2D="false" dtr="false" t="normal">MID(K127, 5, 1)</f>
        <v>0</v>
      </c>
      <c r="AC131" s="137" t="n">
        <f aca="false" ca="false" dt2D="false" dtr="false" t="normal">AB131</f>
        <v>0</v>
      </c>
      <c r="AD131" s="120" t="s">
        <v>200</v>
      </c>
      <c r="AE131" s="131" t="s">
        <v>196</v>
      </c>
      <c r="AF131" s="136" t="n">
        <f aca="false" ca="false" dt2D="false" dtr="false" t="normal">MID(L127, 5, 1)</f>
        <v>0</v>
      </c>
      <c r="AG131" s="137" t="n">
        <f aca="false" ca="false" dt2D="false" dtr="false" t="normal">AF131</f>
        <v>0</v>
      </c>
      <c r="AH131" s="120" t="s">
        <v>200</v>
      </c>
      <c r="AI131" s="131" t="s">
        <v>196</v>
      </c>
      <c r="AJ131" s="8253" t="s"/>
      <c r="AK131" s="8254" t="s"/>
    </row>
    <row hidden="false" ht="15" outlineLevel="0" r="132">
      <c r="C132" s="98" t="s">
        <v>185</v>
      </c>
      <c r="D132" s="149" t="n">
        <f aca="false" ca="false" dt2D="false" dtr="false" t="normal">HEX2BIN(D131, 8)</f>
        <v>111</v>
      </c>
      <c r="E132" s="149" t="n">
        <f aca="false" ca="false" dt2D="false" dtr="false" t="normal">HEX2BIN(E131, 8)</f>
        <v>10100101</v>
      </c>
      <c r="F132" s="149" t="n">
        <f aca="false" ca="false" dt2D="false" dtr="false" t="normal">HEX2BIN(F131, 8)</f>
        <v>1</v>
      </c>
      <c r="G132" s="149" t="n">
        <f aca="false" ca="false" dt2D="false" dtr="false" t="normal">HEX2BIN(G131, 8)</f>
        <v>10010</v>
      </c>
      <c r="H132" s="53" t="n">
        <f aca="false" ca="false" dt2D="false" dtr="false" t="normal">Q127&amp;Q128&amp;Q129&amp;Q130&amp;Q131&amp;Q132&amp;Q133&amp;Q134</f>
        <v>0</v>
      </c>
      <c r="I132" s="53" t="n">
        <f aca="false" ca="false" dt2D="false" dtr="false" t="normal">U127&amp;U128&amp;U129&amp;U130&amp;U131&amp;U132&amp;U133&amp;U134</f>
        <v>0</v>
      </c>
      <c r="J132" s="53" t="n">
        <f aca="false" ca="false" dt2D="false" dtr="false" t="normal">Y127&amp;Y128&amp;Y129&amp;Y130&amp;Y131&amp;Y132&amp;Y133&amp;Y134</f>
        <v>0</v>
      </c>
      <c r="K132" s="53" t="n">
        <f aca="false" ca="false" dt2D="false" dtr="false" t="normal">AC127&amp;AC128&amp;AC129&amp;AC130&amp;AC131&amp;AC132&amp;AC133&amp;AC134</f>
        <v>0</v>
      </c>
      <c r="L132" s="53" t="n">
        <f aca="false" ca="false" dt2D="false" dtr="false" t="normal">AG127&amp;AG128&amp;AG129&amp;AG130&amp;AG131&amp;AG132&amp;AG133&amp;AG134</f>
        <v>0</v>
      </c>
      <c r="M132" s="53" t="str">
        <f aca="false" ca="false" dt2D="false" dtr="false" t="normal">DEC2HEX(M133)</f>
        <v>BF</v>
      </c>
      <c r="N132" s="63" t="n"/>
      <c r="P132" s="136" t="n">
        <f aca="false" ca="false" dt2D="false" dtr="false" t="normal">MID(H127, 6, 1)</f>
        <v>0</v>
      </c>
      <c r="Q132" s="137" t="n">
        <f aca="false" ca="false" dt2D="false" dtr="false" t="normal">P132</f>
        <v>0</v>
      </c>
      <c r="R132" s="120" t="s">
        <v>203</v>
      </c>
      <c r="S132" s="131" t="s">
        <v>196</v>
      </c>
      <c r="T132" s="136" t="n">
        <f aca="false" ca="false" dt2D="false" dtr="false" t="normal">MID(I127, 6, 1)</f>
        <v>0</v>
      </c>
      <c r="U132" s="137" t="n">
        <f aca="false" ca="false" dt2D="false" dtr="false" t="normal">T132</f>
        <v>0</v>
      </c>
      <c r="V132" s="120" t="s">
        <v>203</v>
      </c>
      <c r="W132" s="131" t="s">
        <v>196</v>
      </c>
      <c r="X132" s="136" t="n">
        <f aca="false" ca="false" dt2D="false" dtr="false" t="normal">MID(J127, 6, 1)</f>
        <v>0</v>
      </c>
      <c r="Y132" s="137" t="n">
        <f aca="false" ca="false" dt2D="false" dtr="false" t="normal">X132</f>
        <v>0</v>
      </c>
      <c r="Z132" s="120" t="s">
        <v>203</v>
      </c>
      <c r="AA132" s="131" t="s">
        <v>196</v>
      </c>
      <c r="AB132" s="136" t="n">
        <f aca="false" ca="false" dt2D="false" dtr="false" t="normal">MID(K127, 6, 1)</f>
        <v>0</v>
      </c>
      <c r="AC132" s="137" t="n">
        <f aca="false" ca="false" dt2D="false" dtr="false" t="normal">AB132</f>
        <v>0</v>
      </c>
      <c r="AD132" s="120" t="s">
        <v>203</v>
      </c>
      <c r="AE132" s="131" t="s">
        <v>196</v>
      </c>
      <c r="AF132" s="136" t="n">
        <f aca="false" ca="false" dt2D="false" dtr="false" t="normal">MID(L127, 6, 1)</f>
        <v>0</v>
      </c>
      <c r="AG132" s="137" t="n">
        <f aca="false" ca="false" dt2D="false" dtr="false" t="normal">AF132</f>
        <v>0</v>
      </c>
      <c r="AH132" s="120" t="s">
        <v>203</v>
      </c>
      <c r="AI132" s="131" t="s">
        <v>196</v>
      </c>
      <c r="AJ132" s="8255" t="s"/>
      <c r="AK132" s="8256" t="s"/>
    </row>
    <row hidden="false" ht="15" outlineLevel="0" r="133">
      <c r="C133" s="98" t="s">
        <v>191</v>
      </c>
      <c r="D133" s="149" t="n">
        <f aca="false" ca="false" dt2D="false" dtr="false" t="normal">HEX2DEC(D131)</f>
        <v>7</v>
      </c>
      <c r="E133" s="149" t="n">
        <f aca="false" ca="false" dt2D="false" dtr="false" t="normal">HEX2DEC(E131)</f>
        <v>165</v>
      </c>
      <c r="F133" s="149" t="n">
        <f aca="false" ca="false" dt2D="false" dtr="false" t="normal">HEX2DEC(F131)</f>
        <v>1</v>
      </c>
      <c r="G133" s="149" t="n">
        <f aca="false" ca="false" dt2D="false" dtr="false" t="normal">HEX2DEC(G131)</f>
        <v>18</v>
      </c>
      <c r="H133" s="53" t="n">
        <f aca="false" ca="false" dt2D="false" dtr="false" t="normal">HEX2DEC(H131)</f>
        <v>0</v>
      </c>
      <c r="I133" s="53" t="n">
        <f aca="false" ca="false" dt2D="false" dtr="false" t="normal">HEX2DEC(I131)</f>
        <v>0</v>
      </c>
      <c r="J133" s="53" t="n">
        <f aca="false" ca="false" dt2D="false" dtr="false" t="normal">HEX2DEC(J131)</f>
        <v>0</v>
      </c>
      <c r="K133" s="53" t="n">
        <f aca="false" ca="false" dt2D="false" dtr="false" t="normal">HEX2DEC(K131)</f>
        <v>0</v>
      </c>
      <c r="L133" s="53" t="n">
        <f aca="false" ca="false" dt2D="false" dtr="false" t="normal">HEX2DEC(L131)</f>
        <v>0</v>
      </c>
      <c r="M133" s="53" t="n">
        <f aca="false" ca="false" dt2D="false" dtr="false" t="normal">SUM(D133:L133)</f>
        <v>191</v>
      </c>
      <c r="N133" s="63" t="n"/>
      <c r="P133" s="136" t="n">
        <f aca="false" ca="false" dt2D="false" dtr="false" t="normal">MID(H127, 7, 1)</f>
        <v>0</v>
      </c>
      <c r="Q133" s="137" t="n">
        <f aca="false" ca="false" dt2D="false" dtr="false" t="normal">P133</f>
        <v>0</v>
      </c>
      <c r="R133" s="120" t="s">
        <v>206</v>
      </c>
      <c r="S133" s="131" t="s">
        <v>196</v>
      </c>
      <c r="T133" s="136" t="n">
        <f aca="false" ca="false" dt2D="false" dtr="false" t="normal">MID(I127, 7, 1)</f>
        <v>0</v>
      </c>
      <c r="U133" s="137" t="n">
        <f aca="false" ca="false" dt2D="false" dtr="false" t="normal">T133</f>
        <v>0</v>
      </c>
      <c r="V133" s="120" t="s">
        <v>206</v>
      </c>
      <c r="W133" s="131" t="s">
        <v>196</v>
      </c>
      <c r="X133" s="136" t="n">
        <f aca="false" ca="false" dt2D="false" dtr="false" t="normal">MID(J127, 7, 1)</f>
        <v>0</v>
      </c>
      <c r="Y133" s="137" t="n">
        <f aca="false" ca="false" dt2D="false" dtr="false" t="normal">X133</f>
        <v>0</v>
      </c>
      <c r="Z133" s="120" t="s">
        <v>206</v>
      </c>
      <c r="AA133" s="131" t="s">
        <v>196</v>
      </c>
      <c r="AB133" s="136" t="n">
        <f aca="false" ca="false" dt2D="false" dtr="false" t="normal">MID(K127, 7, 1)</f>
        <v>0</v>
      </c>
      <c r="AC133" s="137" t="n">
        <f aca="false" ca="false" dt2D="false" dtr="false" t="normal">AB133</f>
        <v>0</v>
      </c>
      <c r="AD133" s="120" t="s">
        <v>206</v>
      </c>
      <c r="AE133" s="131" t="s">
        <v>196</v>
      </c>
      <c r="AF133" s="136" t="n">
        <f aca="false" ca="false" dt2D="false" dtr="false" t="normal">MID(L127, 7, 1)</f>
        <v>0</v>
      </c>
      <c r="AG133" s="137" t="n">
        <f aca="false" ca="false" dt2D="false" dtr="false" t="normal">AF133</f>
        <v>0</v>
      </c>
      <c r="AH133" s="120" t="s">
        <v>206</v>
      </c>
      <c r="AI133" s="131" t="s">
        <v>196</v>
      </c>
      <c r="AJ133" s="8257" t="s"/>
      <c r="AK133" s="8258" t="s"/>
    </row>
    <row hidden="false" ht="15.75" outlineLevel="0" r="134">
      <c r="C134" s="180" t="s">
        <v>194</v>
      </c>
      <c r="D134" s="181" t="n">
        <f aca="false" ca="false" dt2D="false" dtr="false" t="normal">D129</f>
        <v>7</v>
      </c>
      <c r="E134" s="181" t="str">
        <f aca="false" ca="false" dt2D="false" dtr="false" t="normal">E129</f>
        <v>A5</v>
      </c>
      <c r="F134" s="181" t="str">
        <f aca="false" ca="false" dt2D="false" dtr="false" t="normal">F129</f>
        <v>G1</v>
      </c>
      <c r="G134" s="181" t="str">
        <f aca="false" ca="false" dt2D="false" dtr="false" t="normal">G129</f>
        <v>GC</v>
      </c>
      <c r="H134" s="45" t="n"/>
      <c r="I134" s="45" t="n"/>
      <c r="J134" s="45" t="n"/>
      <c r="K134" s="45" t="n"/>
      <c r="L134" s="45" t="n"/>
      <c r="M134" s="45" t="n"/>
      <c r="N134" s="49" t="n"/>
      <c r="P134" s="182" t="n">
        <f aca="false" ca="false" dt2D="false" dtr="false" t="normal">MID(H127, 8, 1)</f>
        <v>0</v>
      </c>
      <c r="Q134" s="183" t="n">
        <f aca="false" ca="false" dt2D="false" dtr="false" t="normal">P134</f>
        <v>0</v>
      </c>
      <c r="R134" s="184" t="s">
        <v>208</v>
      </c>
      <c r="S134" s="185" t="s">
        <v>196</v>
      </c>
      <c r="T134" s="182" t="n">
        <f aca="false" ca="false" dt2D="false" dtr="false" t="normal">MID(I127, 8, 1)</f>
        <v>0</v>
      </c>
      <c r="U134" s="183" t="n">
        <f aca="false" ca="false" dt2D="false" dtr="false" t="normal">T134</f>
        <v>0</v>
      </c>
      <c r="V134" s="184" t="s">
        <v>208</v>
      </c>
      <c r="W134" s="185" t="s">
        <v>196</v>
      </c>
      <c r="X134" s="182" t="n">
        <f aca="false" ca="false" dt2D="false" dtr="false" t="normal">MID(J127, 8, 1)</f>
        <v>0</v>
      </c>
      <c r="Y134" s="183" t="n">
        <f aca="false" ca="false" dt2D="false" dtr="false" t="normal">X134</f>
        <v>0</v>
      </c>
      <c r="Z134" s="184" t="s">
        <v>208</v>
      </c>
      <c r="AA134" s="185" t="s">
        <v>196</v>
      </c>
      <c r="AB134" s="182" t="n">
        <f aca="false" ca="false" dt2D="false" dtr="false" t="normal">MID(K127, 8, 1)</f>
        <v>0</v>
      </c>
      <c r="AC134" s="183" t="n">
        <f aca="false" ca="false" dt2D="false" dtr="false" t="normal">AB134</f>
        <v>0</v>
      </c>
      <c r="AD134" s="184" t="s">
        <v>208</v>
      </c>
      <c r="AE134" s="185" t="s">
        <v>196</v>
      </c>
      <c r="AF134" s="182" t="n">
        <f aca="false" ca="false" dt2D="false" dtr="false" t="normal">MID(L127, 8, 1)</f>
        <v>0</v>
      </c>
      <c r="AG134" s="183" t="n">
        <f aca="false" ca="false" dt2D="false" dtr="false" t="normal">AF134</f>
        <v>0</v>
      </c>
      <c r="AH134" s="184" t="s">
        <v>208</v>
      </c>
      <c r="AI134" s="185" t="s">
        <v>196</v>
      </c>
      <c r="AJ134" s="8259" t="s"/>
      <c r="AK134" s="8260" t="s"/>
    </row>
    <row hidden="false" ht="15.75" outlineLevel="0" r="135">
      <c r="C135" s="93" t="n"/>
      <c r="D135" s="7585" t="n"/>
      <c r="E135" s="7585" t="n"/>
      <c r="F135" s="7585" t="n"/>
      <c r="G135" s="7585" t="n"/>
      <c r="H135" s="94" t="n"/>
      <c r="I135" s="94" t="n"/>
      <c r="J135" s="94" t="n"/>
      <c r="K135" s="94" t="n"/>
      <c r="L135" s="94" t="n"/>
      <c r="M135" s="94" t="s">
        <v>161</v>
      </c>
      <c r="N135" s="60" t="n"/>
      <c r="P135" s="95" t="str">
        <f aca="false" ca="false" dt2D="false" dtr="false" t="normal">RIGHT(D137, 1)&amp;E137&amp;"-"&amp;F137&amp;"-"&amp;G137</f>
        <v>7A5-01-13</v>
      </c>
      <c r="Q135" s="8261" t="s"/>
      <c r="R135" s="234" t="s">
        <v>4032</v>
      </c>
      <c r="S135" s="8262" t="s"/>
      <c r="T135" s="8263" t="s"/>
      <c r="U135" s="8264" t="s"/>
      <c r="V135" s="8265" t="s"/>
      <c r="W135" s="8266" t="s"/>
      <c r="X135" s="8267" t="s"/>
      <c r="Y135" s="8268" t="s"/>
      <c r="Z135" s="8269" t="s"/>
      <c r="AA135" s="8270" t="s"/>
      <c r="AB135" s="8271" t="s"/>
      <c r="AC135" s="8272" t="s"/>
      <c r="AD135" s="8273" t="s"/>
      <c r="AE135" s="8274" t="s"/>
      <c r="AF135" s="8275" t="s"/>
      <c r="AG135" s="8276" t="s"/>
      <c r="AH135" s="8277" t="s"/>
      <c r="AI135" s="8278" t="s"/>
      <c r="AJ135" s="8279" t="s"/>
      <c r="AK135" s="8280" t="s"/>
    </row>
    <row hidden="false" ht="15.75" outlineLevel="0" r="136">
      <c r="C136" s="98" t="n"/>
      <c r="D136" s="7606" t="s">
        <v>4033</v>
      </c>
      <c r="E136" s="8281" t="s"/>
      <c r="F136" s="8282" t="s"/>
      <c r="G136" s="8283" t="s"/>
      <c r="H136" s="53" t="s">
        <v>165</v>
      </c>
      <c r="I136" s="53" t="s">
        <v>166</v>
      </c>
      <c r="J136" s="53" t="s">
        <v>167</v>
      </c>
      <c r="K136" s="53" t="s">
        <v>168</v>
      </c>
      <c r="L136" s="53" t="s">
        <v>169</v>
      </c>
      <c r="M136" s="53" t="s">
        <v>221</v>
      </c>
      <c r="N136" s="63" t="n"/>
      <c r="P136" s="103" t="s">
        <v>4034</v>
      </c>
      <c r="Q136" s="8284" t="s"/>
      <c r="R136" s="8285" t="s"/>
      <c r="S136" s="8286" t="s"/>
      <c r="T136" s="103" t="s">
        <v>4035</v>
      </c>
      <c r="U136" s="8287" t="s"/>
      <c r="V136" s="8288" t="s"/>
      <c r="W136" s="8289" t="s"/>
      <c r="X136" s="103" t="s">
        <v>4036</v>
      </c>
      <c r="Y136" s="8290" t="s"/>
      <c r="Z136" s="8291" t="s"/>
      <c r="AA136" s="8292" t="s"/>
      <c r="AB136" s="103" t="s">
        <v>4037</v>
      </c>
      <c r="AC136" s="8293" t="s"/>
      <c r="AD136" s="8294" t="s"/>
      <c r="AE136" s="8295" t="s"/>
      <c r="AF136" s="103" t="s">
        <v>4038</v>
      </c>
      <c r="AG136" s="8296" t="s"/>
      <c r="AH136" s="8297" t="s"/>
      <c r="AI136" s="8298" t="s"/>
      <c r="AJ136" s="103" t="s">
        <v>4039</v>
      </c>
      <c r="AK136" s="8299" t="s"/>
    </row>
    <row customHeight="true" hidden="false" ht="15.75" outlineLevel="0" r="137">
      <c r="C137" s="98" t="s">
        <v>176</v>
      </c>
      <c r="D137" s="122" t="s">
        <v>177</v>
      </c>
      <c r="E137" s="123" t="s">
        <v>3892</v>
      </c>
      <c r="F137" s="123" t="s">
        <v>179</v>
      </c>
      <c r="G137" s="124" t="s">
        <v>1267</v>
      </c>
      <c r="H137" s="273" t="n">
        <f aca="false" ca="false" dt2D="false" dtr="false" t="normal">MID($A$16, 8, 2)</f>
        <v>0</v>
      </c>
      <c r="I137" s="7626" t="n">
        <f aca="false" ca="false" dt2D="false" dtr="false" t="normal">MID($A$16, 10, 2)</f>
        <v>0</v>
      </c>
      <c r="J137" s="7626" t="n">
        <f aca="false" ca="false" dt2D="false" dtr="false" t="normal">MID($A$16, 12, 2)</f>
        <v>0</v>
      </c>
      <c r="K137" s="7626" t="n">
        <f aca="false" ca="false" dt2D="false" dtr="false" t="normal">MID($A$16, 14, 2)</f>
        <v>0</v>
      </c>
      <c r="L137" s="7627" t="n">
        <f aca="false" ca="false" dt2D="false" dtr="false" t="normal">MID($A$16, 16, 2)</f>
        <v>0</v>
      </c>
      <c r="M137" s="7553" t="str">
        <f aca="false" ca="false" dt2D="false" dtr="false" t="normal">MID($A$16, 18, 2)</f>
        <v>C0</v>
      </c>
      <c r="N137" s="63" t="s">
        <v>180</v>
      </c>
      <c r="P137" s="129" t="s">
        <v>180</v>
      </c>
      <c r="Q137" s="130" t="s">
        <v>181</v>
      </c>
      <c r="R137" s="121" t="s">
        <v>182</v>
      </c>
      <c r="S137" s="131" t="n"/>
      <c r="T137" s="129" t="s">
        <v>180</v>
      </c>
      <c r="U137" s="130" t="s">
        <v>181</v>
      </c>
      <c r="V137" s="121" t="s">
        <v>182</v>
      </c>
      <c r="W137" s="131" t="n"/>
      <c r="X137" s="129" t="s">
        <v>180</v>
      </c>
      <c r="Y137" s="130" t="s">
        <v>181</v>
      </c>
      <c r="Z137" s="121" t="s">
        <v>182</v>
      </c>
      <c r="AA137" s="131" t="n"/>
      <c r="AB137" s="129" t="s">
        <v>180</v>
      </c>
      <c r="AC137" s="130" t="s">
        <v>181</v>
      </c>
      <c r="AD137" s="121" t="s">
        <v>182</v>
      </c>
      <c r="AE137" s="131" t="n"/>
      <c r="AF137" s="129" t="s">
        <v>180</v>
      </c>
      <c r="AG137" s="130" t="s">
        <v>181</v>
      </c>
      <c r="AH137" s="121" t="s">
        <v>182</v>
      </c>
      <c r="AI137" s="121" t="n"/>
      <c r="AJ137" s="116" t="s">
        <v>183</v>
      </c>
      <c r="AK137" s="8300" t="s"/>
    </row>
    <row customHeight="true" hidden="false" ht="15" outlineLevel="0" r="138">
      <c r="C138" s="98" t="s">
        <v>185</v>
      </c>
      <c r="D138" s="149" t="n">
        <f aca="false" ca="false" dt2D="false" dtr="false" t="normal">HEX2BIN(D137, 8)</f>
        <v>111</v>
      </c>
      <c r="E138" s="149" t="n">
        <f aca="false" ca="false" dt2D="false" dtr="false" t="normal">HEX2BIN(E137, 8)</f>
        <v>10100101</v>
      </c>
      <c r="F138" s="149" t="n">
        <f aca="false" ca="false" dt2D="false" dtr="false" t="normal">HEX2BIN(F137, 8)</f>
        <v>1</v>
      </c>
      <c r="G138" s="149" t="n">
        <f aca="false" ca="false" dt2D="false" dtr="false" t="normal">HEX2BIN(G137, 8)</f>
        <v>10011</v>
      </c>
      <c r="H138" s="53" t="n">
        <f aca="false" ca="false" dt2D="false" dtr="false" t="normal">HEX2BIN(H137, 8)</f>
        <v>0</v>
      </c>
      <c r="I138" s="53" t="n">
        <f aca="false" ca="false" dt2D="false" dtr="false" t="normal">HEX2BIN(I137, 8)</f>
        <v>0</v>
      </c>
      <c r="J138" s="53" t="n">
        <f aca="false" ca="false" dt2D="false" dtr="false" t="normal">HEX2BIN(J137, 8)</f>
        <v>0</v>
      </c>
      <c r="K138" s="53" t="n">
        <f aca="false" ca="false" dt2D="false" dtr="false" t="normal">HEX2BIN(K137, 8)</f>
        <v>0</v>
      </c>
      <c r="L138" s="53" t="n">
        <f aca="false" ca="false" dt2D="false" dtr="false" t="normal">HEX2BIN(L137, 8)</f>
        <v>0</v>
      </c>
      <c r="M138" s="53" t="n"/>
      <c r="N138" s="63" t="n"/>
      <c r="P138" s="136" t="n">
        <f aca="false" ca="false" dt2D="false" dtr="false" t="normal">MID(H138, 1, 1)</f>
        <v>0</v>
      </c>
      <c r="Q138" s="137" t="n">
        <f aca="false" ca="false" dt2D="false" dtr="false" t="normal">P138</f>
        <v>0</v>
      </c>
      <c r="R138" s="120" t="s">
        <v>186</v>
      </c>
      <c r="S138" s="131" t="s">
        <v>196</v>
      </c>
      <c r="T138" s="136" t="n">
        <f aca="false" ca="false" dt2D="false" dtr="false" t="normal">MID(I138, 1, 1)</f>
        <v>0</v>
      </c>
      <c r="U138" s="137" t="n">
        <f aca="false" ca="false" dt2D="false" dtr="false" t="normal">T138</f>
        <v>0</v>
      </c>
      <c r="V138" s="120" t="s">
        <v>186</v>
      </c>
      <c r="W138" s="131" t="s">
        <v>196</v>
      </c>
      <c r="X138" s="136" t="n">
        <f aca="false" ca="false" dt2D="false" dtr="false" t="normal">MID(J138, 1, 1)</f>
        <v>0</v>
      </c>
      <c r="Y138" s="137" t="n">
        <f aca="false" ca="false" dt2D="false" dtr="false" t="normal">X138</f>
        <v>0</v>
      </c>
      <c r="Z138" s="120" t="s">
        <v>186</v>
      </c>
      <c r="AA138" s="131" t="s">
        <v>196</v>
      </c>
      <c r="AB138" s="136" t="n">
        <f aca="false" ca="false" dt2D="false" dtr="false" t="normal">MID(K138, 1, 1)</f>
        <v>0</v>
      </c>
      <c r="AC138" s="137" t="n">
        <f aca="false" ca="false" dt2D="false" dtr="false" t="normal">AB138</f>
        <v>0</v>
      </c>
      <c r="AD138" s="120" t="s">
        <v>186</v>
      </c>
      <c r="AE138" s="131" t="s">
        <v>196</v>
      </c>
      <c r="AF138" s="136" t="n">
        <f aca="false" ca="false" dt2D="false" dtr="false" t="normal">MID(L138, 1, 1)</f>
        <v>0</v>
      </c>
      <c r="AG138" s="137" t="n">
        <f aca="false" ca="false" dt2D="false" dtr="false" t="normal">AF138</f>
        <v>0</v>
      </c>
      <c r="AH138" s="120" t="s">
        <v>186</v>
      </c>
      <c r="AI138" s="131" t="s">
        <v>196</v>
      </c>
      <c r="AJ138" s="8301" t="s"/>
      <c r="AK138" s="8302" t="s"/>
    </row>
    <row customHeight="true" hidden="false" ht="15" outlineLevel="0" r="139">
      <c r="C139" s="98" t="s">
        <v>191</v>
      </c>
      <c r="D139" s="149" t="n">
        <f aca="false" ca="false" dt2D="false" dtr="false" t="normal">HEX2DEC(D137)</f>
        <v>7</v>
      </c>
      <c r="E139" s="149" t="n">
        <f aca="false" ca="false" dt2D="false" dtr="false" t="normal">HEX2DEC(E137)</f>
        <v>165</v>
      </c>
      <c r="F139" s="149" t="n">
        <f aca="false" ca="false" dt2D="false" dtr="false" t="normal">HEX2DEC(F137)</f>
        <v>1</v>
      </c>
      <c r="G139" s="149" t="n">
        <f aca="false" ca="false" dt2D="false" dtr="false" t="normal">HEX2DEC(G137)</f>
        <v>19</v>
      </c>
      <c r="H139" s="53" t="n">
        <f aca="false" ca="false" dt2D="false" dtr="false" t="normal">HEX2DEC(H137)</f>
        <v>0</v>
      </c>
      <c r="I139" s="53" t="n">
        <f aca="false" ca="false" dt2D="false" dtr="false" t="normal">HEX2DEC(I137)</f>
        <v>0</v>
      </c>
      <c r="J139" s="53" t="n">
        <f aca="false" ca="false" dt2D="false" dtr="false" t="normal">HEX2DEC(J137)</f>
        <v>0</v>
      </c>
      <c r="K139" s="53" t="n">
        <f aca="false" ca="false" dt2D="false" dtr="false" t="normal">HEX2DEC(K137)</f>
        <v>0</v>
      </c>
      <c r="L139" s="53" t="n">
        <f aca="false" ca="false" dt2D="false" dtr="false" t="normal">HEX2DEC(L137)</f>
        <v>0</v>
      </c>
      <c r="M139" s="53" t="n">
        <f aca="false" ca="false" dt2D="false" dtr="false" t="normal">SUM(D139:L139)</f>
        <v>192</v>
      </c>
      <c r="N139" s="63" t="n"/>
      <c r="P139" s="136" t="n">
        <f aca="false" ca="false" dt2D="false" dtr="false" t="normal">MID(H138, 2, 1)</f>
        <v>0</v>
      </c>
      <c r="Q139" s="137" t="n">
        <f aca="false" ca="false" dt2D="false" dtr="false" t="normal">P139</f>
        <v>0</v>
      </c>
      <c r="R139" s="120" t="s">
        <v>192</v>
      </c>
      <c r="S139" s="131" t="s">
        <v>196</v>
      </c>
      <c r="T139" s="136" t="n">
        <f aca="false" ca="false" dt2D="false" dtr="false" t="normal">MID(I138, 2, 1)</f>
        <v>0</v>
      </c>
      <c r="U139" s="137" t="n">
        <f aca="false" ca="false" dt2D="false" dtr="false" t="normal">T139</f>
        <v>0</v>
      </c>
      <c r="V139" s="120" t="s">
        <v>192</v>
      </c>
      <c r="W139" s="131" t="s">
        <v>196</v>
      </c>
      <c r="X139" s="136" t="n">
        <f aca="false" ca="false" dt2D="false" dtr="false" t="normal">MID(J138, 2, 1)</f>
        <v>0</v>
      </c>
      <c r="Y139" s="137" t="n">
        <f aca="false" ca="false" dt2D="false" dtr="false" t="normal">X139</f>
        <v>0</v>
      </c>
      <c r="Z139" s="120" t="s">
        <v>192</v>
      </c>
      <c r="AA139" s="131" t="s">
        <v>196</v>
      </c>
      <c r="AB139" s="136" t="n">
        <f aca="false" ca="false" dt2D="false" dtr="false" t="normal">MID(K138, 2, 1)</f>
        <v>0</v>
      </c>
      <c r="AC139" s="137" t="n">
        <f aca="false" ca="false" dt2D="false" dtr="false" t="normal">AB139</f>
        <v>0</v>
      </c>
      <c r="AD139" s="120" t="s">
        <v>192</v>
      </c>
      <c r="AE139" s="131" t="s">
        <v>196</v>
      </c>
      <c r="AF139" s="136" t="n">
        <f aca="false" ca="false" dt2D="false" dtr="false" t="normal">MID(L138, 2, 1)</f>
        <v>0</v>
      </c>
      <c r="AG139" s="137" t="n">
        <f aca="false" ca="false" dt2D="false" dtr="false" t="normal">AF139</f>
        <v>0</v>
      </c>
      <c r="AH139" s="120" t="s">
        <v>192</v>
      </c>
      <c r="AI139" s="131" t="s">
        <v>196</v>
      </c>
      <c r="AJ139" s="8303" t="s"/>
      <c r="AK139" s="8304" t="s"/>
    </row>
    <row customHeight="true" hidden="false" ht="15" outlineLevel="0" r="140">
      <c r="C140" s="98" t="s">
        <v>194</v>
      </c>
      <c r="D140" s="149" t="n">
        <f aca="false" ca="false" dt2D="false" dtr="false" t="normal">D137</f>
        <v>7</v>
      </c>
      <c r="E140" s="149" t="str">
        <f aca="false" ca="false" dt2D="false" dtr="false" t="normal">E137</f>
        <v>A5</v>
      </c>
      <c r="F140" s="149" t="str">
        <f aca="false" ca="false" dt2D="false" dtr="false" t="normal">MID($A$16, 4, 2)</f>
        <v>G1</v>
      </c>
      <c r="G140" s="149" t="str">
        <f aca="false" ca="false" dt2D="false" dtr="false" t="normal">MID($A$16, 6, 2)</f>
        <v>GD</v>
      </c>
      <c r="N140" s="63" t="n"/>
      <c r="P140" s="136" t="n">
        <f aca="false" ca="false" dt2D="false" dtr="false" t="normal">MID(H138, 3, 1)</f>
        <v>0</v>
      </c>
      <c r="Q140" s="137" t="n">
        <f aca="false" ca="false" dt2D="false" dtr="false" t="normal">P140</f>
        <v>0</v>
      </c>
      <c r="R140" s="120" t="s">
        <v>195</v>
      </c>
      <c r="S140" s="131" t="s">
        <v>196</v>
      </c>
      <c r="T140" s="136" t="n">
        <f aca="false" ca="false" dt2D="false" dtr="false" t="normal">MID(I138, 3, 1)</f>
        <v>0</v>
      </c>
      <c r="U140" s="137" t="n">
        <f aca="false" ca="false" dt2D="false" dtr="false" t="normal">T140</f>
        <v>0</v>
      </c>
      <c r="V140" s="120" t="s">
        <v>195</v>
      </c>
      <c r="W140" s="131" t="s">
        <v>196</v>
      </c>
      <c r="X140" s="136" t="n">
        <f aca="false" ca="false" dt2D="false" dtr="false" t="normal">MID(J138, 3, 1)</f>
        <v>0</v>
      </c>
      <c r="Y140" s="137" t="n">
        <f aca="false" ca="false" dt2D="false" dtr="false" t="normal">X140</f>
        <v>0</v>
      </c>
      <c r="Z140" s="120" t="s">
        <v>195</v>
      </c>
      <c r="AA140" s="131" t="s">
        <v>196</v>
      </c>
      <c r="AB140" s="136" t="n">
        <f aca="false" ca="false" dt2D="false" dtr="false" t="normal">MID(K138, 3, 1)</f>
        <v>0</v>
      </c>
      <c r="AC140" s="137" t="n">
        <f aca="false" ca="false" dt2D="false" dtr="false" t="normal">AB140</f>
        <v>0</v>
      </c>
      <c r="AD140" s="120" t="s">
        <v>195</v>
      </c>
      <c r="AE140" s="131" t="s">
        <v>196</v>
      </c>
      <c r="AF140" s="136" t="n">
        <f aca="false" ca="false" dt2D="false" dtr="false" t="normal">MID(L138, 3, 1)</f>
        <v>0</v>
      </c>
      <c r="AG140" s="137" t="n">
        <f aca="false" ca="false" dt2D="false" dtr="false" t="normal">AF140</f>
        <v>0</v>
      </c>
      <c r="AH140" s="120" t="s">
        <v>195</v>
      </c>
      <c r="AI140" s="131" t="s">
        <v>196</v>
      </c>
      <c r="AJ140" s="8305" t="s"/>
      <c r="AK140" s="8306" t="s"/>
    </row>
    <row customHeight="true" hidden="false" ht="15.75" outlineLevel="0" r="141">
      <c r="C141" s="98" t="n"/>
      <c r="N141" s="63" t="n"/>
      <c r="P141" s="136" t="n">
        <f aca="false" ca="false" dt2D="false" dtr="false" t="normal">MID(H138, 4, 1)</f>
        <v>0</v>
      </c>
      <c r="Q141" s="137" t="n">
        <f aca="false" ca="false" dt2D="false" dtr="false" t="normal">P141</f>
        <v>0</v>
      </c>
      <c r="R141" s="120" t="s">
        <v>197</v>
      </c>
      <c r="S141" s="131" t="s">
        <v>196</v>
      </c>
      <c r="T141" s="136" t="n">
        <f aca="false" ca="false" dt2D="false" dtr="false" t="normal">MID(I138, 4, 1)</f>
        <v>0</v>
      </c>
      <c r="U141" s="137" t="n">
        <f aca="false" ca="false" dt2D="false" dtr="false" t="normal">T141</f>
        <v>0</v>
      </c>
      <c r="V141" s="120" t="s">
        <v>197</v>
      </c>
      <c r="W141" s="131" t="s">
        <v>196</v>
      </c>
      <c r="X141" s="136" t="n">
        <f aca="false" ca="false" dt2D="false" dtr="false" t="normal">MID(J138, 4, 1)</f>
        <v>0</v>
      </c>
      <c r="Y141" s="137" t="n">
        <f aca="false" ca="false" dt2D="false" dtr="false" t="normal">X141</f>
        <v>0</v>
      </c>
      <c r="Z141" s="120" t="s">
        <v>197</v>
      </c>
      <c r="AA141" s="131" t="s">
        <v>196</v>
      </c>
      <c r="AB141" s="136" t="n">
        <f aca="false" ca="false" dt2D="false" dtr="false" t="normal">MID(K138, 4, 1)</f>
        <v>0</v>
      </c>
      <c r="AC141" s="137" t="n">
        <f aca="false" ca="false" dt2D="false" dtr="false" t="normal">AB141</f>
        <v>0</v>
      </c>
      <c r="AD141" s="120" t="s">
        <v>197</v>
      </c>
      <c r="AE141" s="131" t="s">
        <v>196</v>
      </c>
      <c r="AF141" s="136" t="n">
        <f aca="false" ca="false" dt2D="false" dtr="false" t="normal">MID(L138, 4, 1)</f>
        <v>0</v>
      </c>
      <c r="AG141" s="137" t="n">
        <f aca="false" ca="false" dt2D="false" dtr="false" t="normal">AF141</f>
        <v>0</v>
      </c>
      <c r="AH141" s="120" t="s">
        <v>197</v>
      </c>
      <c r="AI141" s="131" t="s">
        <v>196</v>
      </c>
      <c r="AJ141" s="8307" t="s"/>
      <c r="AK141" s="8308" t="s"/>
    </row>
    <row customHeight="true" hidden="false" ht="15.75" outlineLevel="0" r="142">
      <c r="C142" s="98" t="s">
        <v>176</v>
      </c>
      <c r="D142" s="122" t="n">
        <f aca="false" ca="false" dt2D="false" dtr="false" t="normal">D137</f>
        <v>7</v>
      </c>
      <c r="E142" s="123" t="str">
        <f aca="false" ca="false" dt2D="false" dtr="false" t="normal">E137</f>
        <v>A5</v>
      </c>
      <c r="F142" s="123" t="n">
        <f aca="false" ca="false" dt2D="false" dtr="false" t="normal">F137</f>
        <v>1</v>
      </c>
      <c r="G142" s="124" t="n">
        <f aca="false" ca="false" dt2D="false" dtr="false" t="normal">G137</f>
        <v>13</v>
      </c>
      <c r="H142" s="162" t="n">
        <f aca="false" ca="false" dt2D="false" dtr="false" t="normal">BIN2HEX(H143, 2)</f>
        <v>0</v>
      </c>
      <c r="I142" s="163" t="n">
        <f aca="false" ca="false" dt2D="false" dtr="false" t="normal">BIN2HEX(I143, 2)</f>
        <v>0</v>
      </c>
      <c r="J142" s="164" t="n">
        <f aca="false" ca="false" dt2D="false" dtr="false" t="normal">BIN2HEX(J143, 2)</f>
        <v>0</v>
      </c>
      <c r="K142" s="165" t="n">
        <f aca="false" ca="false" dt2D="false" dtr="false" t="normal">BIN2HEX(K143, 2)</f>
        <v>0</v>
      </c>
      <c r="L142" s="288" t="n">
        <f aca="false" ca="false" dt2D="false" dtr="false" t="normal">BIN2HEX(L143, 2)</f>
        <v>0</v>
      </c>
      <c r="M142" s="166" t="str">
        <f aca="false" ca="false" dt2D="false" dtr="false" t="normal">IF(LEN(M143)&gt;2, MID(M143, 2, 2), M143)</f>
        <v>C0</v>
      </c>
      <c r="N142" s="63" t="s">
        <v>181</v>
      </c>
      <c r="P142" s="136" t="n">
        <f aca="false" ca="false" dt2D="false" dtr="false" t="normal">MID(H138, 5, 1)</f>
        <v>0</v>
      </c>
      <c r="Q142" s="137" t="n">
        <f aca="false" ca="false" dt2D="false" dtr="false" t="normal">P142</f>
        <v>0</v>
      </c>
      <c r="R142" s="120" t="s">
        <v>200</v>
      </c>
      <c r="S142" s="131" t="s">
        <v>196</v>
      </c>
      <c r="T142" s="136" t="n">
        <f aca="false" ca="false" dt2D="false" dtr="false" t="normal">MID(I138, 5, 1)</f>
        <v>0</v>
      </c>
      <c r="U142" s="137" t="n">
        <f aca="false" ca="false" dt2D="false" dtr="false" t="normal">T142</f>
        <v>0</v>
      </c>
      <c r="V142" s="120" t="s">
        <v>200</v>
      </c>
      <c r="W142" s="131" t="s">
        <v>196</v>
      </c>
      <c r="X142" s="136" t="n">
        <f aca="false" ca="false" dt2D="false" dtr="false" t="normal">MID(J138, 5, 1)</f>
        <v>0</v>
      </c>
      <c r="Y142" s="137" t="n">
        <f aca="false" ca="false" dt2D="false" dtr="false" t="normal">X142</f>
        <v>0</v>
      </c>
      <c r="Z142" s="120" t="s">
        <v>200</v>
      </c>
      <c r="AA142" s="131" t="s">
        <v>196</v>
      </c>
      <c r="AB142" s="136" t="n">
        <f aca="false" ca="false" dt2D="false" dtr="false" t="normal">MID(K138, 5, 1)</f>
        <v>0</v>
      </c>
      <c r="AC142" s="137" t="n">
        <f aca="false" ca="false" dt2D="false" dtr="false" t="normal">AB142</f>
        <v>0</v>
      </c>
      <c r="AD142" s="120" t="s">
        <v>200</v>
      </c>
      <c r="AE142" s="131" t="s">
        <v>196</v>
      </c>
      <c r="AF142" s="136" t="n">
        <f aca="false" ca="false" dt2D="false" dtr="false" t="normal">MID(L138, 5, 1)</f>
        <v>0</v>
      </c>
      <c r="AG142" s="137" t="n">
        <f aca="false" ca="false" dt2D="false" dtr="false" t="normal">AF142</f>
        <v>0</v>
      </c>
      <c r="AH142" s="120" t="s">
        <v>200</v>
      </c>
      <c r="AI142" s="131" t="s">
        <v>196</v>
      </c>
      <c r="AJ142" s="8309" t="s"/>
      <c r="AK142" s="8310" t="s"/>
    </row>
    <row customHeight="true" hidden="false" ht="15" outlineLevel="0" r="143">
      <c r="C143" s="98" t="s">
        <v>185</v>
      </c>
      <c r="D143" s="149" t="n">
        <f aca="false" ca="false" dt2D="false" dtr="false" t="normal">HEX2BIN(D142, 8)</f>
        <v>111</v>
      </c>
      <c r="E143" s="149" t="n">
        <f aca="false" ca="false" dt2D="false" dtr="false" t="normal">HEX2BIN(E142, 8)</f>
        <v>10100101</v>
      </c>
      <c r="F143" s="149" t="n">
        <f aca="false" ca="false" dt2D="false" dtr="false" t="normal">HEX2BIN(F142, 8)</f>
        <v>1</v>
      </c>
      <c r="G143" s="149" t="n">
        <f aca="false" ca="false" dt2D="false" dtr="false" t="normal">HEX2BIN(G142, 8)</f>
        <v>10011</v>
      </c>
      <c r="H143" s="53" t="n">
        <f aca="false" ca="false" dt2D="false" dtr="false" t="normal">Q138&amp;Q139&amp;Q140&amp;Q141&amp;Q142&amp;Q143&amp;Q144&amp;Q145</f>
        <v>0</v>
      </c>
      <c r="I143" s="53" t="n">
        <f aca="false" ca="false" dt2D="false" dtr="false" t="normal">U138&amp;U139&amp;U140&amp;U141&amp;U142&amp;U143&amp;U144&amp;U145</f>
        <v>0</v>
      </c>
      <c r="J143" s="53" t="n">
        <f aca="false" ca="false" dt2D="false" dtr="false" t="normal">Y138&amp;Y139&amp;Y140&amp;Y141&amp;Y142&amp;Y143&amp;Y144&amp;Y145</f>
        <v>0</v>
      </c>
      <c r="K143" s="53" t="n">
        <f aca="false" ca="false" dt2D="false" dtr="false" t="normal">AC138&amp;AC139&amp;AC140&amp;AC141&amp;AC142&amp;AC143&amp;AC144&amp;AC145</f>
        <v>0</v>
      </c>
      <c r="L143" s="53" t="n">
        <f aca="false" ca="false" dt2D="false" dtr="false" t="normal">AG138&amp;AG139&amp;AG140&amp;AG141&amp;AG142&amp;AG143&amp;AG144&amp;AG145</f>
        <v>0</v>
      </c>
      <c r="M143" s="53" t="str">
        <f aca="false" ca="false" dt2D="false" dtr="false" t="normal">DEC2HEX(M144)</f>
        <v>C0</v>
      </c>
      <c r="N143" s="63" t="n"/>
      <c r="P143" s="136" t="n">
        <f aca="false" ca="false" dt2D="false" dtr="false" t="normal">MID(H138, 6, 1)</f>
        <v>0</v>
      </c>
      <c r="Q143" s="137" t="n">
        <f aca="false" ca="false" dt2D="false" dtr="false" t="normal">P143</f>
        <v>0</v>
      </c>
      <c r="R143" s="120" t="s">
        <v>203</v>
      </c>
      <c r="S143" s="131" t="s">
        <v>196</v>
      </c>
      <c r="T143" s="136" t="n">
        <f aca="false" ca="false" dt2D="false" dtr="false" t="normal">MID(I138, 6, 1)</f>
        <v>0</v>
      </c>
      <c r="U143" s="137" t="n">
        <f aca="false" ca="false" dt2D="false" dtr="false" t="normal">T143</f>
        <v>0</v>
      </c>
      <c r="V143" s="120" t="s">
        <v>203</v>
      </c>
      <c r="W143" s="131" t="s">
        <v>196</v>
      </c>
      <c r="X143" s="136" t="n">
        <f aca="false" ca="false" dt2D="false" dtr="false" t="normal">MID(J138, 6, 1)</f>
        <v>0</v>
      </c>
      <c r="Y143" s="137" t="n">
        <f aca="false" ca="false" dt2D="false" dtr="false" t="normal">X143</f>
        <v>0</v>
      </c>
      <c r="Z143" s="120" t="s">
        <v>203</v>
      </c>
      <c r="AA143" s="131" t="s">
        <v>196</v>
      </c>
      <c r="AB143" s="136" t="n">
        <f aca="false" ca="false" dt2D="false" dtr="false" t="normal">MID(K138, 6, 1)</f>
        <v>0</v>
      </c>
      <c r="AC143" s="137" t="n">
        <f aca="false" ca="false" dt2D="false" dtr="false" t="normal">AB143</f>
        <v>0</v>
      </c>
      <c r="AD143" s="120" t="s">
        <v>203</v>
      </c>
      <c r="AE143" s="131" t="s">
        <v>196</v>
      </c>
      <c r="AF143" s="136" t="n">
        <f aca="false" ca="false" dt2D="false" dtr="false" t="normal">MID(L138, 6, 1)</f>
        <v>0</v>
      </c>
      <c r="AG143" s="137" t="n">
        <f aca="false" ca="false" dt2D="false" dtr="false" t="normal">AF143</f>
        <v>0</v>
      </c>
      <c r="AH143" s="120" t="s">
        <v>203</v>
      </c>
      <c r="AI143" s="131" t="s">
        <v>196</v>
      </c>
      <c r="AJ143" s="8311" t="s"/>
      <c r="AK143" s="8312" t="s"/>
    </row>
    <row customHeight="true" hidden="false" ht="15" outlineLevel="0" r="144">
      <c r="C144" s="98" t="s">
        <v>191</v>
      </c>
      <c r="D144" s="149" t="n">
        <f aca="false" ca="false" dt2D="false" dtr="false" t="normal">HEX2DEC(D142)</f>
        <v>7</v>
      </c>
      <c r="E144" s="149" t="n">
        <f aca="false" ca="false" dt2D="false" dtr="false" t="normal">HEX2DEC(E142)</f>
        <v>165</v>
      </c>
      <c r="F144" s="149" t="n">
        <f aca="false" ca="false" dt2D="false" dtr="false" t="normal">HEX2DEC(F142)</f>
        <v>1</v>
      </c>
      <c r="G144" s="149" t="n">
        <f aca="false" ca="false" dt2D="false" dtr="false" t="normal">HEX2DEC(G142)</f>
        <v>19</v>
      </c>
      <c r="H144" s="53" t="n">
        <f aca="false" ca="false" dt2D="false" dtr="false" t="normal">HEX2DEC(H142)</f>
        <v>0</v>
      </c>
      <c r="I144" s="53" t="n">
        <f aca="false" ca="false" dt2D="false" dtr="false" t="normal">HEX2DEC(I142)</f>
        <v>0</v>
      </c>
      <c r="J144" s="53" t="n">
        <f aca="false" ca="false" dt2D="false" dtr="false" t="normal">HEX2DEC(J142)</f>
        <v>0</v>
      </c>
      <c r="K144" s="53" t="n">
        <f aca="false" ca="false" dt2D="false" dtr="false" t="normal">HEX2DEC(K142)</f>
        <v>0</v>
      </c>
      <c r="L144" s="53" t="n">
        <f aca="false" ca="false" dt2D="false" dtr="false" t="normal">HEX2DEC(L142)</f>
        <v>0</v>
      </c>
      <c r="M144" s="53" t="n">
        <f aca="false" ca="false" dt2D="false" dtr="false" t="normal">SUM(D144:L144)</f>
        <v>192</v>
      </c>
      <c r="N144" s="63" t="n"/>
      <c r="P144" s="136" t="n">
        <f aca="false" ca="false" dt2D="false" dtr="false" t="normal">MID(H138, 7, 1)</f>
        <v>0</v>
      </c>
      <c r="Q144" s="137" t="n">
        <f aca="false" ca="false" dt2D="false" dtr="false" t="normal">P144</f>
        <v>0</v>
      </c>
      <c r="R144" s="120" t="s">
        <v>206</v>
      </c>
      <c r="S144" s="131" t="s">
        <v>196</v>
      </c>
      <c r="T144" s="136" t="n">
        <f aca="false" ca="false" dt2D="false" dtr="false" t="normal">MID(I138, 7, 1)</f>
        <v>0</v>
      </c>
      <c r="U144" s="137" t="n">
        <f aca="false" ca="false" dt2D="false" dtr="false" t="normal">T144</f>
        <v>0</v>
      </c>
      <c r="V144" s="120" t="s">
        <v>206</v>
      </c>
      <c r="W144" s="131" t="s">
        <v>196</v>
      </c>
      <c r="X144" s="136" t="n">
        <f aca="false" ca="false" dt2D="false" dtr="false" t="normal">MID(J138, 7, 1)</f>
        <v>0</v>
      </c>
      <c r="Y144" s="137" t="n">
        <f aca="false" ca="false" dt2D="false" dtr="false" t="normal">X144</f>
        <v>0</v>
      </c>
      <c r="Z144" s="120" t="s">
        <v>206</v>
      </c>
      <c r="AA144" s="131" t="s">
        <v>196</v>
      </c>
      <c r="AB144" s="136" t="n">
        <f aca="false" ca="false" dt2D="false" dtr="false" t="normal">MID(K138, 7, 1)</f>
        <v>0</v>
      </c>
      <c r="AC144" s="137" t="n">
        <f aca="false" ca="false" dt2D="false" dtr="false" t="normal">AB144</f>
        <v>0</v>
      </c>
      <c r="AD144" s="120" t="s">
        <v>206</v>
      </c>
      <c r="AE144" s="131" t="s">
        <v>196</v>
      </c>
      <c r="AF144" s="136" t="n">
        <f aca="false" ca="false" dt2D="false" dtr="false" t="normal">MID(L138, 7, 1)</f>
        <v>0</v>
      </c>
      <c r="AG144" s="137" t="n">
        <f aca="false" ca="false" dt2D="false" dtr="false" t="normal">AF144</f>
        <v>0</v>
      </c>
      <c r="AH144" s="120" t="s">
        <v>206</v>
      </c>
      <c r="AI144" s="131" t="s">
        <v>196</v>
      </c>
      <c r="AJ144" s="8313" t="s"/>
      <c r="AK144" s="8314" t="s"/>
    </row>
    <row customHeight="true" hidden="false" ht="15.75" outlineLevel="0" r="145">
      <c r="C145" s="180" t="s">
        <v>194</v>
      </c>
      <c r="D145" s="181" t="n">
        <f aca="false" ca="false" dt2D="false" dtr="false" t="normal">D140</f>
        <v>7</v>
      </c>
      <c r="E145" s="181" t="str">
        <f aca="false" ca="false" dt2D="false" dtr="false" t="normal">E140</f>
        <v>A5</v>
      </c>
      <c r="F145" s="181" t="str">
        <f aca="false" ca="false" dt2D="false" dtr="false" t="normal">F140</f>
        <v>G1</v>
      </c>
      <c r="G145" s="181" t="str">
        <f aca="false" ca="false" dt2D="false" dtr="false" t="normal">G140</f>
        <v>GD</v>
      </c>
      <c r="H145" s="45" t="n"/>
      <c r="I145" s="45" t="n"/>
      <c r="J145" s="45" t="n"/>
      <c r="K145" s="45" t="n"/>
      <c r="L145" s="45" t="n"/>
      <c r="M145" s="45" t="n"/>
      <c r="N145" s="49" t="n"/>
      <c r="P145" s="182" t="n">
        <f aca="false" ca="false" dt2D="false" dtr="false" t="normal">MID(H138, 8, 1)</f>
        <v>0</v>
      </c>
      <c r="Q145" s="183" t="n">
        <f aca="false" ca="false" dt2D="false" dtr="false" t="normal">P145</f>
        <v>0</v>
      </c>
      <c r="R145" s="184" t="s">
        <v>208</v>
      </c>
      <c r="S145" s="185" t="s">
        <v>196</v>
      </c>
      <c r="T145" s="182" t="n">
        <f aca="false" ca="false" dt2D="false" dtr="false" t="normal">MID(I138, 8, 1)</f>
        <v>0</v>
      </c>
      <c r="U145" s="183" t="n">
        <f aca="false" ca="false" dt2D="false" dtr="false" t="normal">T145</f>
        <v>0</v>
      </c>
      <c r="V145" s="184" t="s">
        <v>208</v>
      </c>
      <c r="W145" s="185" t="s">
        <v>196</v>
      </c>
      <c r="X145" s="182" t="n">
        <f aca="false" ca="false" dt2D="false" dtr="false" t="normal">MID(J138, 8, 1)</f>
        <v>0</v>
      </c>
      <c r="Y145" s="183" t="n">
        <f aca="false" ca="false" dt2D="false" dtr="false" t="normal">X145</f>
        <v>0</v>
      </c>
      <c r="Z145" s="184" t="s">
        <v>208</v>
      </c>
      <c r="AA145" s="185" t="s">
        <v>196</v>
      </c>
      <c r="AB145" s="182" t="n">
        <f aca="false" ca="false" dt2D="false" dtr="false" t="normal">MID(K138, 8, 1)</f>
        <v>0</v>
      </c>
      <c r="AC145" s="183" t="n">
        <f aca="false" ca="false" dt2D="false" dtr="false" t="normal">AB145</f>
        <v>0</v>
      </c>
      <c r="AD145" s="184" t="s">
        <v>208</v>
      </c>
      <c r="AE145" s="185" t="s">
        <v>196</v>
      </c>
      <c r="AF145" s="182" t="n">
        <f aca="false" ca="false" dt2D="false" dtr="false" t="normal">MID(L138, 8, 1)</f>
        <v>0</v>
      </c>
      <c r="AG145" s="183" t="n">
        <f aca="false" ca="false" dt2D="false" dtr="false" t="normal">AF145</f>
        <v>0</v>
      </c>
      <c r="AH145" s="184" t="s">
        <v>208</v>
      </c>
      <c r="AI145" s="185" t="s">
        <v>196</v>
      </c>
      <c r="AJ145" s="8315" t="s"/>
      <c r="AK145" s="8316" t="s"/>
    </row>
    <row hidden="false" ht="15.75" outlineLevel="0" r="146">
      <c r="C146" s="93" t="n"/>
      <c r="D146" s="7585" t="n"/>
      <c r="E146" s="7585" t="n"/>
      <c r="F146" s="7585" t="n"/>
      <c r="G146" s="7585" t="n"/>
      <c r="H146" s="94" t="n"/>
      <c r="I146" s="94" t="n"/>
      <c r="J146" s="94" t="n"/>
      <c r="K146" s="94" t="n"/>
      <c r="L146" s="94" t="n"/>
      <c r="M146" s="94" t="s">
        <v>161</v>
      </c>
      <c r="N146" s="60" t="n"/>
      <c r="P146" s="95" t="str">
        <f aca="false" ca="false" dt2D="false" dtr="false" t="normal">RIGHT(D148, 1)&amp;E148&amp;"-"&amp;F148&amp;"-"&amp;G148</f>
        <v>7A5-01-14</v>
      </c>
      <c r="Q146" s="8317" t="s"/>
      <c r="R146" s="234" t="s">
        <v>4040</v>
      </c>
      <c r="S146" s="8318" t="s"/>
      <c r="T146" s="8319" t="s"/>
      <c r="U146" s="8320" t="s"/>
      <c r="V146" s="8321" t="s"/>
      <c r="W146" s="8322" t="s"/>
      <c r="X146" s="8323" t="s"/>
      <c r="Y146" s="8324" t="s"/>
      <c r="Z146" s="8325" t="s"/>
      <c r="AA146" s="8326" t="s"/>
      <c r="AB146" s="8327" t="s"/>
      <c r="AC146" s="8328" t="s"/>
      <c r="AD146" s="8329" t="s"/>
      <c r="AE146" s="8330" t="s"/>
      <c r="AF146" s="8331" t="s"/>
      <c r="AG146" s="8332" t="s"/>
      <c r="AH146" s="8333" t="s"/>
      <c r="AI146" s="8334" t="s"/>
      <c r="AJ146" s="8335" t="s"/>
      <c r="AK146" s="8336" t="s"/>
    </row>
    <row hidden="false" ht="15.75" outlineLevel="0" r="147">
      <c r="C147" s="98" t="n"/>
      <c r="D147" s="7606" t="s">
        <v>4041</v>
      </c>
      <c r="E147" s="8337" t="s"/>
      <c r="F147" s="8338" t="s"/>
      <c r="G147" s="8339" t="s"/>
      <c r="H147" s="53" t="s">
        <v>165</v>
      </c>
      <c r="I147" s="53" t="s">
        <v>166</v>
      </c>
      <c r="J147" s="53" t="s">
        <v>167</v>
      </c>
      <c r="K147" s="53" t="s">
        <v>168</v>
      </c>
      <c r="L147" s="53" t="s">
        <v>169</v>
      </c>
      <c r="M147" s="53" t="s">
        <v>221</v>
      </c>
      <c r="N147" s="63" t="n"/>
      <c r="P147" s="103" t="s">
        <v>4042</v>
      </c>
      <c r="Q147" s="8340" t="s"/>
      <c r="R147" s="8341" t="s"/>
      <c r="S147" s="8342" t="s"/>
      <c r="T147" s="103" t="s">
        <v>4043</v>
      </c>
      <c r="U147" s="8343" t="s"/>
      <c r="V147" s="8344" t="s"/>
      <c r="W147" s="8345" t="s"/>
      <c r="X147" s="103" t="s">
        <v>4044</v>
      </c>
      <c r="Y147" s="8346" t="s"/>
      <c r="Z147" s="8347" t="s"/>
      <c r="AA147" s="8348" t="s"/>
      <c r="AB147" s="103" t="s">
        <v>4045</v>
      </c>
      <c r="AC147" s="8349" t="s"/>
      <c r="AD147" s="8350" t="s"/>
      <c r="AE147" s="8351" t="s"/>
      <c r="AF147" s="103" t="s">
        <v>4046</v>
      </c>
      <c r="AG147" s="8352" t="s"/>
      <c r="AH147" s="8353" t="s"/>
      <c r="AI147" s="8354" t="s"/>
      <c r="AJ147" s="103" t="s">
        <v>4047</v>
      </c>
      <c r="AK147" s="8355" t="s"/>
    </row>
    <row customHeight="true" hidden="false" ht="15.75" outlineLevel="0" r="148">
      <c r="C148" s="98" t="s">
        <v>176</v>
      </c>
      <c r="D148" s="122" t="s">
        <v>177</v>
      </c>
      <c r="E148" s="123" t="s">
        <v>3892</v>
      </c>
      <c r="F148" s="123" t="s">
        <v>179</v>
      </c>
      <c r="G148" s="124" t="s">
        <v>1298</v>
      </c>
      <c r="H148" s="273" t="n">
        <f aca="false" ca="false" dt2D="false" dtr="false" t="normal">MID($A$17, 8, 2)</f>
        <v>0</v>
      </c>
      <c r="I148" s="7626" t="n">
        <f aca="false" ca="false" dt2D="false" dtr="false" t="normal">MID($A$17, 10, 2)</f>
        <v>0</v>
      </c>
      <c r="J148" s="7626" t="n">
        <f aca="false" ca="false" dt2D="false" dtr="false" t="normal">MID($A$17, 12, 2)</f>
        <v>0</v>
      </c>
      <c r="K148" s="7626" t="n">
        <f aca="false" ca="false" dt2D="false" dtr="false" t="normal">MID($A$17, 14, 2)</f>
        <v>0</v>
      </c>
      <c r="L148" s="7627" t="n">
        <f aca="false" ca="false" dt2D="false" dtr="false" t="normal">MID($A$17, 16, 2)</f>
        <v>0</v>
      </c>
      <c r="M148" s="7553" t="str">
        <f aca="false" ca="false" dt2D="false" dtr="false" t="normal">MID($A$17, 18, 2)</f>
        <v>C1</v>
      </c>
      <c r="N148" s="63" t="s">
        <v>180</v>
      </c>
      <c r="P148" s="129" t="s">
        <v>180</v>
      </c>
      <c r="Q148" s="130" t="s">
        <v>181</v>
      </c>
      <c r="R148" s="121" t="s">
        <v>182</v>
      </c>
      <c r="S148" s="131" t="n"/>
      <c r="T148" s="129" t="s">
        <v>180</v>
      </c>
      <c r="U148" s="130" t="s">
        <v>181</v>
      </c>
      <c r="V148" s="121" t="s">
        <v>182</v>
      </c>
      <c r="W148" s="131" t="n"/>
      <c r="X148" s="129" t="s">
        <v>180</v>
      </c>
      <c r="Y148" s="130" t="s">
        <v>181</v>
      </c>
      <c r="Z148" s="121" t="s">
        <v>182</v>
      </c>
      <c r="AA148" s="131" t="n"/>
      <c r="AB148" s="129" t="s">
        <v>180</v>
      </c>
      <c r="AC148" s="130" t="s">
        <v>181</v>
      </c>
      <c r="AD148" s="121" t="s">
        <v>182</v>
      </c>
      <c r="AE148" s="131" t="n"/>
      <c r="AF148" s="129" t="s">
        <v>180</v>
      </c>
      <c r="AG148" s="130" t="s">
        <v>181</v>
      </c>
      <c r="AH148" s="121" t="s">
        <v>182</v>
      </c>
      <c r="AI148" s="121" t="n"/>
      <c r="AJ148" s="116" t="s">
        <v>183</v>
      </c>
      <c r="AK148" s="8356" t="s"/>
    </row>
    <row customHeight="true" hidden="false" ht="15" outlineLevel="0" r="149">
      <c r="C149" s="98" t="s">
        <v>185</v>
      </c>
      <c r="D149" s="149" t="n">
        <f aca="false" ca="false" dt2D="false" dtr="false" t="normal">HEX2BIN(D148, 8)</f>
        <v>111</v>
      </c>
      <c r="E149" s="149" t="n">
        <f aca="false" ca="false" dt2D="false" dtr="false" t="normal">HEX2BIN(E148, 8)</f>
        <v>10100101</v>
      </c>
      <c r="F149" s="149" t="n">
        <f aca="false" ca="false" dt2D="false" dtr="false" t="normal">HEX2BIN(F148, 8)</f>
        <v>1</v>
      </c>
      <c r="G149" s="149" t="n">
        <f aca="false" ca="false" dt2D="false" dtr="false" t="normal">HEX2BIN(G148, 8)</f>
        <v>10100</v>
      </c>
      <c r="H149" s="53" t="n">
        <f aca="false" ca="false" dt2D="false" dtr="false" t="normal">HEX2BIN(H148, 8)</f>
        <v>0</v>
      </c>
      <c r="I149" s="53" t="n">
        <f aca="false" ca="false" dt2D="false" dtr="false" t="normal">HEX2BIN(I148, 8)</f>
        <v>0</v>
      </c>
      <c r="J149" s="53" t="n">
        <f aca="false" ca="false" dt2D="false" dtr="false" t="normal">HEX2BIN(J148, 8)</f>
        <v>0</v>
      </c>
      <c r="K149" s="53" t="n">
        <f aca="false" ca="false" dt2D="false" dtr="false" t="normal">HEX2BIN(K148, 8)</f>
        <v>0</v>
      </c>
      <c r="L149" s="53" t="n">
        <f aca="false" ca="false" dt2D="false" dtr="false" t="normal">HEX2BIN(L148, 8)</f>
        <v>0</v>
      </c>
      <c r="M149" s="53" t="n"/>
      <c r="N149" s="63" t="n"/>
      <c r="P149" s="136" t="n">
        <f aca="false" ca="false" dt2D="false" dtr="false" t="normal">MID(H149, 1, 1)</f>
        <v>0</v>
      </c>
      <c r="Q149" s="137" t="n">
        <f aca="false" ca="false" dt2D="false" dtr="false" t="normal">P149</f>
        <v>0</v>
      </c>
      <c r="R149" s="120" t="s">
        <v>186</v>
      </c>
      <c r="S149" s="131" t="s">
        <v>196</v>
      </c>
      <c r="T149" s="136" t="n">
        <f aca="false" ca="false" dt2D="false" dtr="false" t="normal">MID(I149, 1, 1)</f>
        <v>0</v>
      </c>
      <c r="U149" s="137" t="n">
        <f aca="false" ca="false" dt2D="false" dtr="false" t="normal">T149</f>
        <v>0</v>
      </c>
      <c r="V149" s="120" t="s">
        <v>186</v>
      </c>
      <c r="W149" s="131" t="s">
        <v>196</v>
      </c>
      <c r="X149" s="136" t="n">
        <f aca="false" ca="false" dt2D="false" dtr="false" t="normal">MID(J149, 1, 1)</f>
        <v>0</v>
      </c>
      <c r="Y149" s="137" t="n">
        <f aca="false" ca="false" dt2D="false" dtr="false" t="normal">X149</f>
        <v>0</v>
      </c>
      <c r="Z149" s="120" t="s">
        <v>186</v>
      </c>
      <c r="AA149" s="131" t="s">
        <v>196</v>
      </c>
      <c r="AB149" s="136" t="n">
        <f aca="false" ca="false" dt2D="false" dtr="false" t="normal">MID(K149, 1, 1)</f>
        <v>0</v>
      </c>
      <c r="AC149" s="137" t="n">
        <f aca="false" ca="false" dt2D="false" dtr="false" t="normal">AB149</f>
        <v>0</v>
      </c>
      <c r="AD149" s="120" t="s">
        <v>186</v>
      </c>
      <c r="AE149" s="131" t="s">
        <v>196</v>
      </c>
      <c r="AF149" s="136" t="n">
        <f aca="false" ca="false" dt2D="false" dtr="false" t="normal">MID(L149, 1, 1)</f>
        <v>0</v>
      </c>
      <c r="AG149" s="137" t="n">
        <f aca="false" ca="false" dt2D="false" dtr="false" t="normal">AF149</f>
        <v>0</v>
      </c>
      <c r="AH149" s="120" t="s">
        <v>186</v>
      </c>
      <c r="AI149" s="131" t="s">
        <v>196</v>
      </c>
      <c r="AJ149" s="8357" t="s"/>
      <c r="AK149" s="8358" t="s"/>
    </row>
    <row customHeight="true" hidden="false" ht="15" outlineLevel="0" r="150">
      <c r="C150" s="98" t="s">
        <v>191</v>
      </c>
      <c r="D150" s="149" t="n">
        <f aca="false" ca="false" dt2D="false" dtr="false" t="normal">HEX2DEC(D148)</f>
        <v>7</v>
      </c>
      <c r="E150" s="149" t="n">
        <f aca="false" ca="false" dt2D="false" dtr="false" t="normal">HEX2DEC(E148)</f>
        <v>165</v>
      </c>
      <c r="F150" s="149" t="n">
        <f aca="false" ca="false" dt2D="false" dtr="false" t="normal">HEX2DEC(F148)</f>
        <v>1</v>
      </c>
      <c r="G150" s="149" t="n">
        <f aca="false" ca="false" dt2D="false" dtr="false" t="normal">HEX2DEC(G148)</f>
        <v>20</v>
      </c>
      <c r="H150" s="53" t="n">
        <f aca="false" ca="false" dt2D="false" dtr="false" t="normal">HEX2DEC(H148)</f>
        <v>0</v>
      </c>
      <c r="I150" s="53" t="n">
        <f aca="false" ca="false" dt2D="false" dtr="false" t="normal">HEX2DEC(I148)</f>
        <v>0</v>
      </c>
      <c r="J150" s="53" t="n">
        <f aca="false" ca="false" dt2D="false" dtr="false" t="normal">HEX2DEC(J148)</f>
        <v>0</v>
      </c>
      <c r="K150" s="53" t="n">
        <f aca="false" ca="false" dt2D="false" dtr="false" t="normal">HEX2DEC(K148)</f>
        <v>0</v>
      </c>
      <c r="L150" s="53" t="n">
        <f aca="false" ca="false" dt2D="false" dtr="false" t="normal">HEX2DEC(L148)</f>
        <v>0</v>
      </c>
      <c r="M150" s="53" t="n">
        <f aca="false" ca="false" dt2D="false" dtr="false" t="normal">SUM(D150:L150)</f>
        <v>193</v>
      </c>
      <c r="N150" s="63" t="n"/>
      <c r="P150" s="136" t="n">
        <f aca="false" ca="false" dt2D="false" dtr="false" t="normal">MID(H149, 2, 1)</f>
        <v>0</v>
      </c>
      <c r="Q150" s="137" t="n">
        <f aca="false" ca="false" dt2D="false" dtr="false" t="normal">P150</f>
        <v>0</v>
      </c>
      <c r="R150" s="120" t="s">
        <v>192</v>
      </c>
      <c r="S150" s="131" t="s">
        <v>196</v>
      </c>
      <c r="T150" s="136" t="n">
        <f aca="false" ca="false" dt2D="false" dtr="false" t="normal">MID(I149, 2, 1)</f>
        <v>0</v>
      </c>
      <c r="U150" s="137" t="n">
        <f aca="false" ca="false" dt2D="false" dtr="false" t="normal">T150</f>
        <v>0</v>
      </c>
      <c r="V150" s="120" t="s">
        <v>192</v>
      </c>
      <c r="W150" s="131" t="s">
        <v>196</v>
      </c>
      <c r="X150" s="136" t="n">
        <f aca="false" ca="false" dt2D="false" dtr="false" t="normal">MID(J149, 2, 1)</f>
        <v>0</v>
      </c>
      <c r="Y150" s="137" t="n">
        <f aca="false" ca="false" dt2D="false" dtr="false" t="normal">X150</f>
        <v>0</v>
      </c>
      <c r="Z150" s="120" t="s">
        <v>192</v>
      </c>
      <c r="AA150" s="131" t="s">
        <v>196</v>
      </c>
      <c r="AB150" s="136" t="n">
        <f aca="false" ca="false" dt2D="false" dtr="false" t="normal">MID(K149, 2, 1)</f>
        <v>0</v>
      </c>
      <c r="AC150" s="137" t="n">
        <f aca="false" ca="false" dt2D="false" dtr="false" t="normal">AB150</f>
        <v>0</v>
      </c>
      <c r="AD150" s="120" t="s">
        <v>192</v>
      </c>
      <c r="AE150" s="131" t="s">
        <v>196</v>
      </c>
      <c r="AF150" s="136" t="n">
        <f aca="false" ca="false" dt2D="false" dtr="false" t="normal">MID(L149, 2, 1)</f>
        <v>0</v>
      </c>
      <c r="AG150" s="137" t="n">
        <f aca="false" ca="false" dt2D="false" dtr="false" t="normal">AF150</f>
        <v>0</v>
      </c>
      <c r="AH150" s="120" t="s">
        <v>192</v>
      </c>
      <c r="AI150" s="131" t="s">
        <v>196</v>
      </c>
      <c r="AJ150" s="8359" t="s"/>
      <c r="AK150" s="8360" t="s"/>
    </row>
    <row customHeight="true" hidden="false" ht="15" outlineLevel="0" r="151">
      <c r="C151" s="98" t="s">
        <v>194</v>
      </c>
      <c r="D151" s="149" t="n">
        <f aca="false" ca="false" dt2D="false" dtr="false" t="normal">D148</f>
        <v>7</v>
      </c>
      <c r="E151" s="149" t="str">
        <f aca="false" ca="false" dt2D="false" dtr="false" t="normal">E148</f>
        <v>A5</v>
      </c>
      <c r="F151" s="149" t="str">
        <f aca="false" ca="false" dt2D="false" dtr="false" t="normal">MID($A$17, 4, 2)</f>
        <v>G1</v>
      </c>
      <c r="G151" s="149" t="str">
        <f aca="false" ca="false" dt2D="false" dtr="false" t="normal">MID($A$17, 6, 2)</f>
        <v>GE</v>
      </c>
      <c r="N151" s="63" t="n"/>
      <c r="P151" s="136" t="n">
        <f aca="false" ca="false" dt2D="false" dtr="false" t="normal">MID(H149, 3, 1)</f>
        <v>0</v>
      </c>
      <c r="Q151" s="137" t="n">
        <f aca="false" ca="false" dt2D="false" dtr="false" t="normal">P151</f>
        <v>0</v>
      </c>
      <c r="R151" s="120" t="s">
        <v>195</v>
      </c>
      <c r="S151" s="131" t="s">
        <v>196</v>
      </c>
      <c r="T151" s="136" t="n">
        <f aca="false" ca="false" dt2D="false" dtr="false" t="normal">MID(I149, 3, 1)</f>
        <v>0</v>
      </c>
      <c r="U151" s="137" t="n">
        <f aca="false" ca="false" dt2D="false" dtr="false" t="normal">T151</f>
        <v>0</v>
      </c>
      <c r="V151" s="120" t="s">
        <v>195</v>
      </c>
      <c r="W151" s="131" t="s">
        <v>196</v>
      </c>
      <c r="X151" s="136" t="n">
        <f aca="false" ca="false" dt2D="false" dtr="false" t="normal">MID(J149, 3, 1)</f>
        <v>0</v>
      </c>
      <c r="Y151" s="137" t="n">
        <f aca="false" ca="false" dt2D="false" dtr="false" t="normal">X151</f>
        <v>0</v>
      </c>
      <c r="Z151" s="120" t="s">
        <v>195</v>
      </c>
      <c r="AA151" s="131" t="s">
        <v>196</v>
      </c>
      <c r="AB151" s="136" t="n">
        <f aca="false" ca="false" dt2D="false" dtr="false" t="normal">MID(K149, 3, 1)</f>
        <v>0</v>
      </c>
      <c r="AC151" s="137" t="n">
        <f aca="false" ca="false" dt2D="false" dtr="false" t="normal">AB151</f>
        <v>0</v>
      </c>
      <c r="AD151" s="120" t="s">
        <v>195</v>
      </c>
      <c r="AE151" s="131" t="s">
        <v>196</v>
      </c>
      <c r="AF151" s="136" t="n">
        <f aca="false" ca="false" dt2D="false" dtr="false" t="normal">MID(L149, 3, 1)</f>
        <v>0</v>
      </c>
      <c r="AG151" s="137" t="n">
        <f aca="false" ca="false" dt2D="false" dtr="false" t="normal">AF151</f>
        <v>0</v>
      </c>
      <c r="AH151" s="120" t="s">
        <v>195</v>
      </c>
      <c r="AI151" s="131" t="s">
        <v>196</v>
      </c>
      <c r="AJ151" s="8361" t="s"/>
      <c r="AK151" s="8362" t="s"/>
    </row>
    <row customHeight="true" hidden="false" ht="15.75" outlineLevel="0" r="152">
      <c r="C152" s="98" t="n"/>
      <c r="N152" s="63" t="n"/>
      <c r="P152" s="136" t="n">
        <f aca="false" ca="false" dt2D="false" dtr="false" t="normal">MID(H149, 4, 1)</f>
        <v>0</v>
      </c>
      <c r="Q152" s="137" t="n">
        <f aca="false" ca="false" dt2D="false" dtr="false" t="normal">P152</f>
        <v>0</v>
      </c>
      <c r="R152" s="120" t="s">
        <v>197</v>
      </c>
      <c r="S152" s="131" t="s">
        <v>196</v>
      </c>
      <c r="T152" s="136" t="n">
        <f aca="false" ca="false" dt2D="false" dtr="false" t="normal">MID(I149, 4, 1)</f>
        <v>0</v>
      </c>
      <c r="U152" s="137" t="n">
        <f aca="false" ca="false" dt2D="false" dtr="false" t="normal">T152</f>
        <v>0</v>
      </c>
      <c r="V152" s="120" t="s">
        <v>197</v>
      </c>
      <c r="W152" s="131" t="s">
        <v>196</v>
      </c>
      <c r="X152" s="136" t="n">
        <f aca="false" ca="false" dt2D="false" dtr="false" t="normal">MID(J149, 4, 1)</f>
        <v>0</v>
      </c>
      <c r="Y152" s="137" t="n">
        <f aca="false" ca="false" dt2D="false" dtr="false" t="normal">X152</f>
        <v>0</v>
      </c>
      <c r="Z152" s="120" t="s">
        <v>197</v>
      </c>
      <c r="AA152" s="131" t="s">
        <v>196</v>
      </c>
      <c r="AB152" s="136" t="n">
        <f aca="false" ca="false" dt2D="false" dtr="false" t="normal">MID(K149, 4, 1)</f>
        <v>0</v>
      </c>
      <c r="AC152" s="137" t="n">
        <f aca="false" ca="false" dt2D="false" dtr="false" t="normal">AB152</f>
        <v>0</v>
      </c>
      <c r="AD152" s="120" t="s">
        <v>197</v>
      </c>
      <c r="AE152" s="131" t="s">
        <v>196</v>
      </c>
      <c r="AF152" s="136" t="n">
        <f aca="false" ca="false" dt2D="false" dtr="false" t="normal">MID(L149, 4, 1)</f>
        <v>0</v>
      </c>
      <c r="AG152" s="137" t="n">
        <f aca="false" ca="false" dt2D="false" dtr="false" t="normal">AF152</f>
        <v>0</v>
      </c>
      <c r="AH152" s="120" t="s">
        <v>197</v>
      </c>
      <c r="AI152" s="131" t="s">
        <v>196</v>
      </c>
      <c r="AJ152" s="8363" t="s"/>
      <c r="AK152" s="8364" t="s"/>
    </row>
    <row customHeight="true" hidden="false" ht="15.75" outlineLevel="0" r="153">
      <c r="C153" s="98" t="s">
        <v>176</v>
      </c>
      <c r="D153" s="122" t="n">
        <f aca="false" ca="false" dt2D="false" dtr="false" t="normal">D148</f>
        <v>7</v>
      </c>
      <c r="E153" s="123" t="str">
        <f aca="false" ca="false" dt2D="false" dtr="false" t="normal">E148</f>
        <v>A5</v>
      </c>
      <c r="F153" s="123" t="n">
        <f aca="false" ca="false" dt2D="false" dtr="false" t="normal">F148</f>
        <v>1</v>
      </c>
      <c r="G153" s="124" t="n">
        <f aca="false" ca="false" dt2D="false" dtr="false" t="normal">G148</f>
        <v>14</v>
      </c>
      <c r="H153" s="162" t="n">
        <f aca="false" ca="false" dt2D="false" dtr="false" t="normal">BIN2HEX(H154, 2)</f>
        <v>0</v>
      </c>
      <c r="I153" s="163" t="n">
        <f aca="false" ca="false" dt2D="false" dtr="false" t="normal">BIN2HEX(I154, 2)</f>
        <v>0</v>
      </c>
      <c r="J153" s="164" t="n">
        <f aca="false" ca="false" dt2D="false" dtr="false" t="normal">BIN2HEX(J154, 2)</f>
        <v>0</v>
      </c>
      <c r="K153" s="165" t="n">
        <f aca="false" ca="false" dt2D="false" dtr="false" t="normal">BIN2HEX(K154, 2)</f>
        <v>0</v>
      </c>
      <c r="L153" s="288" t="n">
        <f aca="false" ca="false" dt2D="false" dtr="false" t="normal">BIN2HEX(L154, 2)</f>
        <v>0</v>
      </c>
      <c r="M153" s="166" t="str">
        <f aca="false" ca="false" dt2D="false" dtr="false" t="normal">IF(LEN(M154)&gt;2, MID(M154, 2, 2), M154)</f>
        <v>C1</v>
      </c>
      <c r="N153" s="63" t="s">
        <v>181</v>
      </c>
      <c r="P153" s="136" t="n">
        <f aca="false" ca="false" dt2D="false" dtr="false" t="normal">MID(H149, 5, 1)</f>
        <v>0</v>
      </c>
      <c r="Q153" s="137" t="n">
        <f aca="false" ca="false" dt2D="false" dtr="false" t="normal">P153</f>
        <v>0</v>
      </c>
      <c r="R153" s="120" t="s">
        <v>200</v>
      </c>
      <c r="S153" s="131" t="s">
        <v>196</v>
      </c>
      <c r="T153" s="136" t="n">
        <f aca="false" ca="false" dt2D="false" dtr="false" t="normal">MID(I149, 5, 1)</f>
        <v>0</v>
      </c>
      <c r="U153" s="137" t="n">
        <f aca="false" ca="false" dt2D="false" dtr="false" t="normal">T153</f>
        <v>0</v>
      </c>
      <c r="V153" s="120" t="s">
        <v>200</v>
      </c>
      <c r="W153" s="131" t="s">
        <v>196</v>
      </c>
      <c r="X153" s="136" t="n">
        <f aca="false" ca="false" dt2D="false" dtr="false" t="normal">MID(J149, 5, 1)</f>
        <v>0</v>
      </c>
      <c r="Y153" s="137" t="n">
        <f aca="false" ca="false" dt2D="false" dtr="false" t="normal">X153</f>
        <v>0</v>
      </c>
      <c r="Z153" s="120" t="s">
        <v>200</v>
      </c>
      <c r="AA153" s="131" t="s">
        <v>196</v>
      </c>
      <c r="AB153" s="136" t="n">
        <f aca="false" ca="false" dt2D="false" dtr="false" t="normal">MID(K149, 5, 1)</f>
        <v>0</v>
      </c>
      <c r="AC153" s="137" t="n">
        <f aca="false" ca="false" dt2D="false" dtr="false" t="normal">AB153</f>
        <v>0</v>
      </c>
      <c r="AD153" s="120" t="s">
        <v>200</v>
      </c>
      <c r="AE153" s="131" t="s">
        <v>196</v>
      </c>
      <c r="AF153" s="136" t="n">
        <f aca="false" ca="false" dt2D="false" dtr="false" t="normal">MID(L149, 5, 1)</f>
        <v>0</v>
      </c>
      <c r="AG153" s="137" t="n">
        <f aca="false" ca="false" dt2D="false" dtr="false" t="normal">AF153</f>
        <v>0</v>
      </c>
      <c r="AH153" s="120" t="s">
        <v>200</v>
      </c>
      <c r="AI153" s="131" t="s">
        <v>196</v>
      </c>
      <c r="AJ153" s="8365" t="s"/>
      <c r="AK153" s="8366" t="s"/>
    </row>
    <row customHeight="true" hidden="false" ht="15" outlineLevel="0" r="154">
      <c r="C154" s="98" t="s">
        <v>185</v>
      </c>
      <c r="D154" s="149" t="n">
        <f aca="false" ca="false" dt2D="false" dtr="false" t="normal">HEX2BIN(D153, 8)</f>
        <v>111</v>
      </c>
      <c r="E154" s="149" t="n">
        <f aca="false" ca="false" dt2D="false" dtr="false" t="normal">HEX2BIN(E153, 8)</f>
        <v>10100101</v>
      </c>
      <c r="F154" s="149" t="n">
        <f aca="false" ca="false" dt2D="false" dtr="false" t="normal">HEX2BIN(F153, 8)</f>
        <v>1</v>
      </c>
      <c r="G154" s="149" t="n">
        <f aca="false" ca="false" dt2D="false" dtr="false" t="normal">HEX2BIN(G153, 8)</f>
        <v>10100</v>
      </c>
      <c r="H154" s="53" t="n">
        <f aca="false" ca="false" dt2D="false" dtr="false" t="normal">Q149&amp;Q150&amp;Q151&amp;Q152&amp;Q153&amp;Q154&amp;Q155&amp;Q156</f>
        <v>0</v>
      </c>
      <c r="I154" s="53" t="n">
        <f aca="false" ca="false" dt2D="false" dtr="false" t="normal">U149&amp;U150&amp;U151&amp;U152&amp;U153&amp;U154&amp;U155&amp;U156</f>
        <v>0</v>
      </c>
      <c r="J154" s="53" t="n">
        <f aca="false" ca="false" dt2D="false" dtr="false" t="normal">Y149&amp;Y150&amp;Y151&amp;Y152&amp;Y153&amp;Y154&amp;Y155&amp;Y156</f>
        <v>0</v>
      </c>
      <c r="K154" s="53" t="n">
        <f aca="false" ca="false" dt2D="false" dtr="false" t="normal">AC149&amp;AC150&amp;AC151&amp;AC152&amp;AC153&amp;AC154&amp;AC155&amp;AC156</f>
        <v>0</v>
      </c>
      <c r="L154" s="53" t="n">
        <f aca="false" ca="false" dt2D="false" dtr="false" t="normal">AG149&amp;AG150&amp;AG151&amp;AG152&amp;AG153&amp;AG154&amp;AG155&amp;AG156</f>
        <v>0</v>
      </c>
      <c r="M154" s="53" t="str">
        <f aca="false" ca="false" dt2D="false" dtr="false" t="normal">DEC2HEX(M155)</f>
        <v>C1</v>
      </c>
      <c r="N154" s="63" t="n"/>
      <c r="P154" s="136" t="n">
        <f aca="false" ca="false" dt2D="false" dtr="false" t="normal">MID(H149, 6, 1)</f>
        <v>0</v>
      </c>
      <c r="Q154" s="137" t="n">
        <f aca="false" ca="false" dt2D="false" dtr="false" t="normal">P154</f>
        <v>0</v>
      </c>
      <c r="R154" s="120" t="s">
        <v>203</v>
      </c>
      <c r="S154" s="131" t="s">
        <v>196</v>
      </c>
      <c r="T154" s="136" t="n">
        <f aca="false" ca="false" dt2D="false" dtr="false" t="normal">MID(I149, 6, 1)</f>
        <v>0</v>
      </c>
      <c r="U154" s="137" t="n">
        <f aca="false" ca="false" dt2D="false" dtr="false" t="normal">T154</f>
        <v>0</v>
      </c>
      <c r="V154" s="120" t="s">
        <v>203</v>
      </c>
      <c r="W154" s="131" t="s">
        <v>196</v>
      </c>
      <c r="X154" s="136" t="n">
        <f aca="false" ca="false" dt2D="false" dtr="false" t="normal">MID(J149, 6, 1)</f>
        <v>0</v>
      </c>
      <c r="Y154" s="137" t="n">
        <f aca="false" ca="false" dt2D="false" dtr="false" t="normal">X154</f>
        <v>0</v>
      </c>
      <c r="Z154" s="120" t="s">
        <v>203</v>
      </c>
      <c r="AA154" s="131" t="s">
        <v>196</v>
      </c>
      <c r="AB154" s="136" t="n">
        <f aca="false" ca="false" dt2D="false" dtr="false" t="normal">MID(K149, 6, 1)</f>
        <v>0</v>
      </c>
      <c r="AC154" s="137" t="n">
        <f aca="false" ca="false" dt2D="false" dtr="false" t="normal">AB154</f>
        <v>0</v>
      </c>
      <c r="AD154" s="120" t="s">
        <v>203</v>
      </c>
      <c r="AE154" s="131" t="s">
        <v>196</v>
      </c>
      <c r="AF154" s="136" t="n">
        <f aca="false" ca="false" dt2D="false" dtr="false" t="normal">MID(L149, 6, 1)</f>
        <v>0</v>
      </c>
      <c r="AG154" s="137" t="n">
        <f aca="false" ca="false" dt2D="false" dtr="false" t="normal">AF154</f>
        <v>0</v>
      </c>
      <c r="AH154" s="120" t="s">
        <v>203</v>
      </c>
      <c r="AI154" s="131" t="s">
        <v>196</v>
      </c>
      <c r="AJ154" s="8367" t="s"/>
      <c r="AK154" s="8368" t="s"/>
    </row>
    <row customHeight="true" hidden="false" ht="15" outlineLevel="0" r="155">
      <c r="C155" s="98" t="s">
        <v>191</v>
      </c>
      <c r="D155" s="149" t="n">
        <f aca="false" ca="false" dt2D="false" dtr="false" t="normal">HEX2DEC(D153)</f>
        <v>7</v>
      </c>
      <c r="E155" s="149" t="n">
        <f aca="false" ca="false" dt2D="false" dtr="false" t="normal">HEX2DEC(E153)</f>
        <v>165</v>
      </c>
      <c r="F155" s="149" t="n">
        <f aca="false" ca="false" dt2D="false" dtr="false" t="normal">HEX2DEC(F153)</f>
        <v>1</v>
      </c>
      <c r="G155" s="149" t="n">
        <f aca="false" ca="false" dt2D="false" dtr="false" t="normal">HEX2DEC(G153)</f>
        <v>20</v>
      </c>
      <c r="H155" s="53" t="n">
        <f aca="false" ca="false" dt2D="false" dtr="false" t="normal">HEX2DEC(H153)</f>
        <v>0</v>
      </c>
      <c r="I155" s="53" t="n">
        <f aca="false" ca="false" dt2D="false" dtr="false" t="normal">HEX2DEC(I153)</f>
        <v>0</v>
      </c>
      <c r="J155" s="53" t="n">
        <f aca="false" ca="false" dt2D="false" dtr="false" t="normal">HEX2DEC(J153)</f>
        <v>0</v>
      </c>
      <c r="K155" s="53" t="n">
        <f aca="false" ca="false" dt2D="false" dtr="false" t="normal">HEX2DEC(K153)</f>
        <v>0</v>
      </c>
      <c r="L155" s="53" t="n">
        <f aca="false" ca="false" dt2D="false" dtr="false" t="normal">HEX2DEC(L153)</f>
        <v>0</v>
      </c>
      <c r="M155" s="53" t="n">
        <f aca="false" ca="false" dt2D="false" dtr="false" t="normal">SUM(D155:L155)</f>
        <v>193</v>
      </c>
      <c r="N155" s="63" t="n"/>
      <c r="P155" s="136" t="n">
        <f aca="false" ca="false" dt2D="false" dtr="false" t="normal">MID(H149, 7, 1)</f>
        <v>0</v>
      </c>
      <c r="Q155" s="137" t="n">
        <f aca="false" ca="false" dt2D="false" dtr="false" t="normal">P155</f>
        <v>0</v>
      </c>
      <c r="R155" s="120" t="s">
        <v>206</v>
      </c>
      <c r="S155" s="131" t="s">
        <v>196</v>
      </c>
      <c r="T155" s="136" t="n">
        <f aca="false" ca="false" dt2D="false" dtr="false" t="normal">MID(I149, 7, 1)</f>
        <v>0</v>
      </c>
      <c r="U155" s="137" t="n">
        <f aca="false" ca="false" dt2D="false" dtr="false" t="normal">T155</f>
        <v>0</v>
      </c>
      <c r="V155" s="120" t="s">
        <v>206</v>
      </c>
      <c r="W155" s="131" t="s">
        <v>196</v>
      </c>
      <c r="X155" s="136" t="n">
        <f aca="false" ca="false" dt2D="false" dtr="false" t="normal">MID(J149, 7, 1)</f>
        <v>0</v>
      </c>
      <c r="Y155" s="137" t="n">
        <f aca="false" ca="false" dt2D="false" dtr="false" t="normal">X155</f>
        <v>0</v>
      </c>
      <c r="Z155" s="120" t="s">
        <v>206</v>
      </c>
      <c r="AA155" s="131" t="s">
        <v>196</v>
      </c>
      <c r="AB155" s="136" t="n">
        <f aca="false" ca="false" dt2D="false" dtr="false" t="normal">MID(K149, 7, 1)</f>
        <v>0</v>
      </c>
      <c r="AC155" s="137" t="n">
        <f aca="false" ca="false" dt2D="false" dtr="false" t="normal">AB155</f>
        <v>0</v>
      </c>
      <c r="AD155" s="120" t="s">
        <v>206</v>
      </c>
      <c r="AE155" s="131" t="s">
        <v>196</v>
      </c>
      <c r="AF155" s="136" t="n">
        <f aca="false" ca="false" dt2D="false" dtr="false" t="normal">MID(L149, 7, 1)</f>
        <v>0</v>
      </c>
      <c r="AG155" s="137" t="n">
        <f aca="false" ca="false" dt2D="false" dtr="false" t="normal">AF155</f>
        <v>0</v>
      </c>
      <c r="AH155" s="120" t="s">
        <v>206</v>
      </c>
      <c r="AI155" s="131" t="s">
        <v>196</v>
      </c>
      <c r="AJ155" s="8369" t="s"/>
      <c r="AK155" s="8370" t="s"/>
    </row>
    <row customHeight="true" hidden="false" ht="15.75" outlineLevel="0" r="156">
      <c r="C156" s="180" t="s">
        <v>194</v>
      </c>
      <c r="D156" s="181" t="n">
        <f aca="false" ca="false" dt2D="false" dtr="false" t="normal">D151</f>
        <v>7</v>
      </c>
      <c r="E156" s="181" t="str">
        <f aca="false" ca="false" dt2D="false" dtr="false" t="normal">E151</f>
        <v>A5</v>
      </c>
      <c r="F156" s="181" t="str">
        <f aca="false" ca="false" dt2D="false" dtr="false" t="normal">F151</f>
        <v>G1</v>
      </c>
      <c r="G156" s="181" t="str">
        <f aca="false" ca="false" dt2D="false" dtr="false" t="normal">G151</f>
        <v>GE</v>
      </c>
      <c r="H156" s="45" t="n"/>
      <c r="I156" s="45" t="n"/>
      <c r="J156" s="45" t="n"/>
      <c r="K156" s="45" t="n"/>
      <c r="L156" s="45" t="n"/>
      <c r="M156" s="45" t="n"/>
      <c r="N156" s="49" t="n"/>
      <c r="P156" s="182" t="n">
        <f aca="false" ca="false" dt2D="false" dtr="false" t="normal">MID(H149, 8, 1)</f>
        <v>0</v>
      </c>
      <c r="Q156" s="183" t="n">
        <f aca="false" ca="false" dt2D="false" dtr="false" t="normal">P156</f>
        <v>0</v>
      </c>
      <c r="R156" s="184" t="s">
        <v>208</v>
      </c>
      <c r="S156" s="185" t="s">
        <v>196</v>
      </c>
      <c r="T156" s="182" t="n">
        <f aca="false" ca="false" dt2D="false" dtr="false" t="normal">MID(I149, 8, 1)</f>
        <v>0</v>
      </c>
      <c r="U156" s="183" t="n">
        <f aca="false" ca="false" dt2D="false" dtr="false" t="normal">T156</f>
        <v>0</v>
      </c>
      <c r="V156" s="184" t="s">
        <v>208</v>
      </c>
      <c r="W156" s="185" t="s">
        <v>196</v>
      </c>
      <c r="X156" s="182" t="n">
        <f aca="false" ca="false" dt2D="false" dtr="false" t="normal">MID(J149, 8, 1)</f>
        <v>0</v>
      </c>
      <c r="Y156" s="183" t="n">
        <f aca="false" ca="false" dt2D="false" dtr="false" t="normal">X156</f>
        <v>0</v>
      </c>
      <c r="Z156" s="184" t="s">
        <v>208</v>
      </c>
      <c r="AA156" s="185" t="s">
        <v>196</v>
      </c>
      <c r="AB156" s="182" t="n">
        <f aca="false" ca="false" dt2D="false" dtr="false" t="normal">MID(K149, 8, 1)</f>
        <v>0</v>
      </c>
      <c r="AC156" s="183" t="n">
        <f aca="false" ca="false" dt2D="false" dtr="false" t="normal">AB156</f>
        <v>0</v>
      </c>
      <c r="AD156" s="184" t="s">
        <v>208</v>
      </c>
      <c r="AE156" s="185" t="s">
        <v>196</v>
      </c>
      <c r="AF156" s="182" t="n">
        <f aca="false" ca="false" dt2D="false" dtr="false" t="normal">MID(L149, 8, 1)</f>
        <v>0</v>
      </c>
      <c r="AG156" s="183" t="n">
        <f aca="false" ca="false" dt2D="false" dtr="false" t="normal">AF156</f>
        <v>0</v>
      </c>
      <c r="AH156" s="184" t="s">
        <v>208</v>
      </c>
      <c r="AI156" s="185" t="s">
        <v>196</v>
      </c>
      <c r="AJ156" s="8371" t="s"/>
      <c r="AK156" s="8372" t="s"/>
    </row>
    <row hidden="false" ht="15.75" outlineLevel="0" r="157">
      <c r="C157" s="93" t="n"/>
      <c r="D157" s="7585" t="n"/>
      <c r="E157" s="7585" t="n"/>
      <c r="F157" s="7585" t="n"/>
      <c r="G157" s="7585" t="n"/>
      <c r="H157" s="94" t="n"/>
      <c r="I157" s="94" t="n"/>
      <c r="J157" s="94" t="n"/>
      <c r="K157" s="94" t="n"/>
      <c r="L157" s="94" t="n"/>
      <c r="M157" s="94" t="s">
        <v>161</v>
      </c>
      <c r="N157" s="60" t="n"/>
      <c r="P157" s="95" t="str">
        <f aca="false" ca="false" dt2D="false" dtr="false" t="normal">RIGHT(D159, 1)&amp;E159&amp;"-"&amp;F159&amp;"-"&amp;G159</f>
        <v>7A5-01-15</v>
      </c>
      <c r="Q157" s="8373" t="s"/>
      <c r="R157" s="234" t="s">
        <v>4048</v>
      </c>
      <c r="S157" s="8374" t="s"/>
      <c r="T157" s="8375" t="s"/>
      <c r="U157" s="8376" t="s"/>
      <c r="V157" s="8377" t="s"/>
      <c r="W157" s="8378" t="s"/>
      <c r="X157" s="8379" t="s"/>
      <c r="Y157" s="8380" t="s"/>
      <c r="Z157" s="8381" t="s"/>
      <c r="AA157" s="8382" t="s"/>
      <c r="AB157" s="8383" t="s"/>
      <c r="AC157" s="8384" t="s"/>
      <c r="AD157" s="8385" t="s"/>
      <c r="AE157" s="8386" t="s"/>
      <c r="AF157" s="8387" t="s"/>
      <c r="AG157" s="8388" t="s"/>
      <c r="AH157" s="8389" t="s"/>
      <c r="AI157" s="8390" t="s"/>
      <c r="AJ157" s="8391" t="s"/>
      <c r="AK157" s="8392" t="s"/>
    </row>
    <row hidden="false" ht="15.75" outlineLevel="0" r="158">
      <c r="C158" s="98" t="n"/>
      <c r="D158" s="7606" t="s">
        <v>4049</v>
      </c>
      <c r="E158" s="8393" t="s"/>
      <c r="F158" s="8394" t="s"/>
      <c r="G158" s="8395" t="s"/>
      <c r="H158" s="53" t="s">
        <v>165</v>
      </c>
      <c r="I158" s="53" t="s">
        <v>166</v>
      </c>
      <c r="J158" s="53" t="s">
        <v>167</v>
      </c>
      <c r="K158" s="53" t="s">
        <v>168</v>
      </c>
      <c r="L158" s="53" t="s">
        <v>169</v>
      </c>
      <c r="M158" s="53" t="s">
        <v>221</v>
      </c>
      <c r="N158" s="63" t="n"/>
      <c r="P158" s="103" t="s">
        <v>4050</v>
      </c>
      <c r="Q158" s="8396" t="s"/>
      <c r="R158" s="8397" t="s"/>
      <c r="S158" s="8398" t="s"/>
      <c r="T158" s="103" t="s">
        <v>4051</v>
      </c>
      <c r="U158" s="8399" t="s"/>
      <c r="V158" s="8400" t="s"/>
      <c r="W158" s="8401" t="s"/>
      <c r="X158" s="103" t="s">
        <v>4052</v>
      </c>
      <c r="Y158" s="8402" t="s"/>
      <c r="Z158" s="8403" t="s"/>
      <c r="AA158" s="8404" t="s"/>
      <c r="AB158" s="103" t="s">
        <v>4053</v>
      </c>
      <c r="AC158" s="8405" t="s"/>
      <c r="AD158" s="8406" t="s"/>
      <c r="AE158" s="8407" t="s"/>
      <c r="AF158" s="103" t="s">
        <v>4054</v>
      </c>
      <c r="AG158" s="8408" t="s"/>
      <c r="AH158" s="8409" t="s"/>
      <c r="AI158" s="8410" t="s"/>
      <c r="AJ158" s="103" t="s">
        <v>4055</v>
      </c>
      <c r="AK158" s="8411" t="s"/>
    </row>
    <row customHeight="true" hidden="false" ht="15.75" outlineLevel="0" r="159">
      <c r="C159" s="98" t="s">
        <v>176</v>
      </c>
      <c r="D159" s="122" t="s">
        <v>177</v>
      </c>
      <c r="E159" s="123" t="s">
        <v>3892</v>
      </c>
      <c r="F159" s="123" t="s">
        <v>179</v>
      </c>
      <c r="G159" s="124" t="s">
        <v>1336</v>
      </c>
      <c r="H159" s="273" t="n">
        <f aca="false" ca="false" dt2D="false" dtr="false" t="normal">MID($A$18, 8, 2)</f>
        <v>0</v>
      </c>
      <c r="I159" s="7626" t="n">
        <f aca="false" ca="false" dt2D="false" dtr="false" t="normal">MID($A$18, 10, 2)</f>
        <v>0</v>
      </c>
      <c r="J159" s="7626" t="n">
        <f aca="false" ca="false" dt2D="false" dtr="false" t="normal">MID($A$18, 12, 2)</f>
        <v>0</v>
      </c>
      <c r="K159" s="7626" t="n">
        <f aca="false" ca="false" dt2D="false" dtr="false" t="normal">MID($A$18, 14, 2)</f>
        <v>0</v>
      </c>
      <c r="L159" s="7627" t="n">
        <f aca="false" ca="false" dt2D="false" dtr="false" t="normal">MID($A$18, 16, 2)</f>
        <v>0</v>
      </c>
      <c r="M159" s="7553" t="str">
        <f aca="false" ca="false" dt2D="false" dtr="false" t="normal">MID($A$18, 18, 2)</f>
        <v>C2</v>
      </c>
      <c r="N159" s="63" t="s">
        <v>180</v>
      </c>
      <c r="P159" s="129" t="s">
        <v>180</v>
      </c>
      <c r="Q159" s="130" t="s">
        <v>181</v>
      </c>
      <c r="R159" s="121" t="s">
        <v>182</v>
      </c>
      <c r="S159" s="131" t="n"/>
      <c r="T159" s="129" t="s">
        <v>180</v>
      </c>
      <c r="U159" s="130" t="s">
        <v>181</v>
      </c>
      <c r="V159" s="121" t="s">
        <v>182</v>
      </c>
      <c r="W159" s="131" t="n"/>
      <c r="X159" s="129" t="s">
        <v>180</v>
      </c>
      <c r="Y159" s="130" t="s">
        <v>181</v>
      </c>
      <c r="Z159" s="121" t="s">
        <v>182</v>
      </c>
      <c r="AA159" s="131" t="n"/>
      <c r="AB159" s="129" t="s">
        <v>180</v>
      </c>
      <c r="AC159" s="130" t="s">
        <v>181</v>
      </c>
      <c r="AD159" s="121" t="s">
        <v>182</v>
      </c>
      <c r="AE159" s="131" t="n"/>
      <c r="AF159" s="129" t="s">
        <v>180</v>
      </c>
      <c r="AG159" s="130" t="s">
        <v>181</v>
      </c>
      <c r="AH159" s="121" t="s">
        <v>182</v>
      </c>
      <c r="AI159" s="121" t="n"/>
      <c r="AJ159" s="116" t="s">
        <v>183</v>
      </c>
      <c r="AK159" s="8412" t="s"/>
    </row>
    <row customHeight="true" hidden="false" ht="15" outlineLevel="0" r="160">
      <c r="C160" s="98" t="s">
        <v>185</v>
      </c>
      <c r="D160" s="149" t="n">
        <f aca="false" ca="false" dt2D="false" dtr="false" t="normal">HEX2BIN(D159, 8)</f>
        <v>111</v>
      </c>
      <c r="E160" s="149" t="n">
        <f aca="false" ca="false" dt2D="false" dtr="false" t="normal">HEX2BIN(E159, 8)</f>
        <v>10100101</v>
      </c>
      <c r="F160" s="149" t="n">
        <f aca="false" ca="false" dt2D="false" dtr="false" t="normal">HEX2BIN(F159, 8)</f>
        <v>1</v>
      </c>
      <c r="G160" s="149" t="n">
        <f aca="false" ca="false" dt2D="false" dtr="false" t="normal">HEX2BIN(G159, 8)</f>
        <v>10101</v>
      </c>
      <c r="H160" s="53" t="n">
        <f aca="false" ca="false" dt2D="false" dtr="false" t="normal">HEX2BIN(H159, 8)</f>
        <v>0</v>
      </c>
      <c r="I160" s="53" t="n">
        <f aca="false" ca="false" dt2D="false" dtr="false" t="normal">HEX2BIN(I159, 8)</f>
        <v>0</v>
      </c>
      <c r="J160" s="53" t="n">
        <f aca="false" ca="false" dt2D="false" dtr="false" t="normal">HEX2BIN(J159, 8)</f>
        <v>0</v>
      </c>
      <c r="K160" s="53" t="n">
        <f aca="false" ca="false" dt2D="false" dtr="false" t="normal">HEX2BIN(K159, 8)</f>
        <v>0</v>
      </c>
      <c r="L160" s="53" t="n">
        <f aca="false" ca="false" dt2D="false" dtr="false" t="normal">HEX2BIN(L159, 8)</f>
        <v>0</v>
      </c>
      <c r="M160" s="53" t="n"/>
      <c r="N160" s="63" t="n"/>
      <c r="P160" s="136" t="n">
        <f aca="false" ca="false" dt2D="false" dtr="false" t="normal">MID(H160, 1, 1)</f>
        <v>0</v>
      </c>
      <c r="Q160" s="137" t="n">
        <f aca="false" ca="false" dt2D="false" dtr="false" t="normal">P160</f>
        <v>0</v>
      </c>
      <c r="R160" s="120" t="s">
        <v>186</v>
      </c>
      <c r="S160" s="131" t="s">
        <v>196</v>
      </c>
      <c r="T160" s="136" t="n">
        <f aca="false" ca="false" dt2D="false" dtr="false" t="normal">MID(I160, 1, 1)</f>
        <v>0</v>
      </c>
      <c r="U160" s="137" t="n">
        <f aca="false" ca="false" dt2D="false" dtr="false" t="normal">T160</f>
        <v>0</v>
      </c>
      <c r="V160" s="120" t="s">
        <v>186</v>
      </c>
      <c r="W160" s="131" t="s">
        <v>196</v>
      </c>
      <c r="X160" s="136" t="n">
        <f aca="false" ca="false" dt2D="false" dtr="false" t="normal">MID(J160, 1, 1)</f>
        <v>0</v>
      </c>
      <c r="Y160" s="137" t="n">
        <f aca="false" ca="false" dt2D="false" dtr="false" t="normal">X160</f>
        <v>0</v>
      </c>
      <c r="Z160" s="120" t="s">
        <v>186</v>
      </c>
      <c r="AA160" s="131" t="s">
        <v>196</v>
      </c>
      <c r="AB160" s="136" t="n">
        <f aca="false" ca="false" dt2D="false" dtr="false" t="normal">MID(K160, 1, 1)</f>
        <v>0</v>
      </c>
      <c r="AC160" s="137" t="n">
        <f aca="false" ca="false" dt2D="false" dtr="false" t="normal">AB160</f>
        <v>0</v>
      </c>
      <c r="AD160" s="120" t="s">
        <v>186</v>
      </c>
      <c r="AE160" s="131" t="s">
        <v>196</v>
      </c>
      <c r="AF160" s="136" t="n">
        <f aca="false" ca="false" dt2D="false" dtr="false" t="normal">MID(L160, 1, 1)</f>
        <v>0</v>
      </c>
      <c r="AG160" s="137" t="n">
        <f aca="false" ca="false" dt2D="false" dtr="false" t="normal">AF160</f>
        <v>0</v>
      </c>
      <c r="AH160" s="120" t="s">
        <v>186</v>
      </c>
      <c r="AI160" s="131" t="s">
        <v>196</v>
      </c>
      <c r="AJ160" s="8413" t="s"/>
      <c r="AK160" s="8414" t="s"/>
    </row>
    <row customHeight="true" hidden="false" ht="15" outlineLevel="0" r="161">
      <c r="C161" s="98" t="s">
        <v>191</v>
      </c>
      <c r="D161" s="149" t="n">
        <f aca="false" ca="false" dt2D="false" dtr="false" t="normal">HEX2DEC(D159)</f>
        <v>7</v>
      </c>
      <c r="E161" s="149" t="n">
        <f aca="false" ca="false" dt2D="false" dtr="false" t="normal">HEX2DEC(E159)</f>
        <v>165</v>
      </c>
      <c r="F161" s="149" t="n">
        <f aca="false" ca="false" dt2D="false" dtr="false" t="normal">HEX2DEC(F159)</f>
        <v>1</v>
      </c>
      <c r="G161" s="149" t="n">
        <f aca="false" ca="false" dt2D="false" dtr="false" t="normal">HEX2DEC(G159)</f>
        <v>21</v>
      </c>
      <c r="H161" s="53" t="n">
        <f aca="false" ca="false" dt2D="false" dtr="false" t="normal">HEX2DEC(H159)</f>
        <v>0</v>
      </c>
      <c r="I161" s="53" t="n">
        <f aca="false" ca="false" dt2D="false" dtr="false" t="normal">HEX2DEC(I159)</f>
        <v>0</v>
      </c>
      <c r="J161" s="53" t="n">
        <f aca="false" ca="false" dt2D="false" dtr="false" t="normal">HEX2DEC(J159)</f>
        <v>0</v>
      </c>
      <c r="K161" s="53" t="n">
        <f aca="false" ca="false" dt2D="false" dtr="false" t="normal">HEX2DEC(K159)</f>
        <v>0</v>
      </c>
      <c r="L161" s="53" t="n">
        <f aca="false" ca="false" dt2D="false" dtr="false" t="normal">HEX2DEC(L159)</f>
        <v>0</v>
      </c>
      <c r="M161" s="53" t="n">
        <f aca="false" ca="false" dt2D="false" dtr="false" t="normal">SUM(D161:L161)</f>
        <v>194</v>
      </c>
      <c r="N161" s="63" t="n"/>
      <c r="P161" s="136" t="n">
        <f aca="false" ca="false" dt2D="false" dtr="false" t="normal">MID(H160, 2, 1)</f>
        <v>0</v>
      </c>
      <c r="Q161" s="137" t="n">
        <f aca="false" ca="false" dt2D="false" dtr="false" t="normal">P161</f>
        <v>0</v>
      </c>
      <c r="R161" s="120" t="s">
        <v>192</v>
      </c>
      <c r="S161" s="131" t="s">
        <v>196</v>
      </c>
      <c r="T161" s="136" t="n">
        <f aca="false" ca="false" dt2D="false" dtr="false" t="normal">MID(I160, 2, 1)</f>
        <v>0</v>
      </c>
      <c r="U161" s="137" t="n">
        <f aca="false" ca="false" dt2D="false" dtr="false" t="normal">T161</f>
        <v>0</v>
      </c>
      <c r="V161" s="120" t="s">
        <v>192</v>
      </c>
      <c r="W161" s="131" t="s">
        <v>196</v>
      </c>
      <c r="X161" s="136" t="n">
        <f aca="false" ca="false" dt2D="false" dtr="false" t="normal">MID(J160, 2, 1)</f>
        <v>0</v>
      </c>
      <c r="Y161" s="137" t="n">
        <f aca="false" ca="false" dt2D="false" dtr="false" t="normal">X161</f>
        <v>0</v>
      </c>
      <c r="Z161" s="120" t="s">
        <v>192</v>
      </c>
      <c r="AA161" s="131" t="s">
        <v>196</v>
      </c>
      <c r="AB161" s="136" t="n">
        <f aca="false" ca="false" dt2D="false" dtr="false" t="normal">MID(K160, 2, 1)</f>
        <v>0</v>
      </c>
      <c r="AC161" s="137" t="n">
        <f aca="false" ca="false" dt2D="false" dtr="false" t="normal">AB161</f>
        <v>0</v>
      </c>
      <c r="AD161" s="120" t="s">
        <v>192</v>
      </c>
      <c r="AE161" s="131" t="s">
        <v>196</v>
      </c>
      <c r="AF161" s="136" t="n">
        <f aca="false" ca="false" dt2D="false" dtr="false" t="normal">MID(L160, 2, 1)</f>
        <v>0</v>
      </c>
      <c r="AG161" s="137" t="n">
        <f aca="false" ca="false" dt2D="false" dtr="false" t="normal">AF161</f>
        <v>0</v>
      </c>
      <c r="AH161" s="120" t="s">
        <v>192</v>
      </c>
      <c r="AI161" s="131" t="s">
        <v>196</v>
      </c>
      <c r="AJ161" s="8415" t="s"/>
      <c r="AK161" s="8416" t="s"/>
    </row>
    <row customHeight="true" hidden="false" ht="15" outlineLevel="0" r="162">
      <c r="C162" s="98" t="s">
        <v>194</v>
      </c>
      <c r="D162" s="149" t="n">
        <f aca="false" ca="false" dt2D="false" dtr="false" t="normal">D159</f>
        <v>7</v>
      </c>
      <c r="E162" s="149" t="str">
        <f aca="false" ca="false" dt2D="false" dtr="false" t="normal">E159</f>
        <v>A5</v>
      </c>
      <c r="F162" s="149" t="str">
        <f aca="false" ca="false" dt2D="false" dtr="false" t="normal">MID($A$18, 4, 2)</f>
        <v>G1</v>
      </c>
      <c r="G162" s="149" t="str">
        <f aca="false" ca="false" dt2D="false" dtr="false" t="normal">MID($A$18, 6, 2)</f>
        <v>GF</v>
      </c>
      <c r="N162" s="63" t="n"/>
      <c r="P162" s="136" t="n">
        <f aca="false" ca="false" dt2D="false" dtr="false" t="normal">MID(H160, 3, 1)</f>
        <v>0</v>
      </c>
      <c r="Q162" s="137" t="n">
        <f aca="false" ca="false" dt2D="false" dtr="false" t="normal">P162</f>
        <v>0</v>
      </c>
      <c r="R162" s="120" t="s">
        <v>195</v>
      </c>
      <c r="S162" s="131" t="s">
        <v>196</v>
      </c>
      <c r="T162" s="136" t="n">
        <f aca="false" ca="false" dt2D="false" dtr="false" t="normal">MID(I160, 3, 1)</f>
        <v>0</v>
      </c>
      <c r="U162" s="137" t="n">
        <f aca="false" ca="false" dt2D="false" dtr="false" t="normal">T162</f>
        <v>0</v>
      </c>
      <c r="V162" s="120" t="s">
        <v>195</v>
      </c>
      <c r="W162" s="131" t="s">
        <v>196</v>
      </c>
      <c r="X162" s="136" t="n">
        <f aca="false" ca="false" dt2D="false" dtr="false" t="normal">MID(J160, 3, 1)</f>
        <v>0</v>
      </c>
      <c r="Y162" s="137" t="n">
        <f aca="false" ca="false" dt2D="false" dtr="false" t="normal">X162</f>
        <v>0</v>
      </c>
      <c r="Z162" s="120" t="s">
        <v>195</v>
      </c>
      <c r="AA162" s="131" t="s">
        <v>196</v>
      </c>
      <c r="AB162" s="136" t="n">
        <f aca="false" ca="false" dt2D="false" dtr="false" t="normal">MID(K160, 3, 1)</f>
        <v>0</v>
      </c>
      <c r="AC162" s="137" t="n">
        <f aca="false" ca="false" dt2D="false" dtr="false" t="normal">AB162</f>
        <v>0</v>
      </c>
      <c r="AD162" s="120" t="s">
        <v>195</v>
      </c>
      <c r="AE162" s="131" t="s">
        <v>196</v>
      </c>
      <c r="AF162" s="136" t="n">
        <f aca="false" ca="false" dt2D="false" dtr="false" t="normal">MID(L160, 3, 1)</f>
        <v>0</v>
      </c>
      <c r="AG162" s="137" t="n">
        <f aca="false" ca="false" dt2D="false" dtr="false" t="normal">AF162</f>
        <v>0</v>
      </c>
      <c r="AH162" s="120" t="s">
        <v>195</v>
      </c>
      <c r="AI162" s="131" t="s">
        <v>196</v>
      </c>
      <c r="AJ162" s="8417" t="s"/>
      <c r="AK162" s="8418" t="s"/>
    </row>
    <row customHeight="true" hidden="false" ht="15.75" outlineLevel="0" r="163">
      <c r="C163" s="98" t="n"/>
      <c r="N163" s="63" t="n"/>
      <c r="P163" s="136" t="n">
        <f aca="false" ca="false" dt2D="false" dtr="false" t="normal">MID(H160, 4, 1)</f>
        <v>0</v>
      </c>
      <c r="Q163" s="137" t="n">
        <f aca="false" ca="false" dt2D="false" dtr="false" t="normal">P163</f>
        <v>0</v>
      </c>
      <c r="R163" s="120" t="s">
        <v>197</v>
      </c>
      <c r="S163" s="131" t="s">
        <v>196</v>
      </c>
      <c r="T163" s="136" t="n">
        <f aca="false" ca="false" dt2D="false" dtr="false" t="normal">MID(I160, 4, 1)</f>
        <v>0</v>
      </c>
      <c r="U163" s="137" t="n">
        <f aca="false" ca="false" dt2D="false" dtr="false" t="normal">T163</f>
        <v>0</v>
      </c>
      <c r="V163" s="120" t="s">
        <v>197</v>
      </c>
      <c r="W163" s="131" t="s">
        <v>196</v>
      </c>
      <c r="X163" s="136" t="n">
        <f aca="false" ca="false" dt2D="false" dtr="false" t="normal">MID(J160, 4, 1)</f>
        <v>0</v>
      </c>
      <c r="Y163" s="137" t="n">
        <f aca="false" ca="false" dt2D="false" dtr="false" t="normal">X163</f>
        <v>0</v>
      </c>
      <c r="Z163" s="120" t="s">
        <v>197</v>
      </c>
      <c r="AA163" s="131" t="s">
        <v>196</v>
      </c>
      <c r="AB163" s="136" t="n">
        <f aca="false" ca="false" dt2D="false" dtr="false" t="normal">MID(K160, 4, 1)</f>
        <v>0</v>
      </c>
      <c r="AC163" s="137" t="n">
        <f aca="false" ca="false" dt2D="false" dtr="false" t="normal">AB163</f>
        <v>0</v>
      </c>
      <c r="AD163" s="120" t="s">
        <v>197</v>
      </c>
      <c r="AE163" s="131" t="s">
        <v>196</v>
      </c>
      <c r="AF163" s="136" t="n">
        <f aca="false" ca="false" dt2D="false" dtr="false" t="normal">MID(L160, 4, 1)</f>
        <v>0</v>
      </c>
      <c r="AG163" s="137" t="n">
        <f aca="false" ca="false" dt2D="false" dtr="false" t="normal">AF163</f>
        <v>0</v>
      </c>
      <c r="AH163" s="120" t="s">
        <v>197</v>
      </c>
      <c r="AI163" s="131" t="s">
        <v>196</v>
      </c>
      <c r="AJ163" s="8419" t="s"/>
      <c r="AK163" s="8420" t="s"/>
    </row>
    <row customHeight="true" hidden="false" ht="15.75" outlineLevel="0" r="164">
      <c r="C164" s="98" t="s">
        <v>176</v>
      </c>
      <c r="D164" s="122" t="n">
        <f aca="false" ca="false" dt2D="false" dtr="false" t="normal">D159</f>
        <v>7</v>
      </c>
      <c r="E164" s="123" t="str">
        <f aca="false" ca="false" dt2D="false" dtr="false" t="normal">E159</f>
        <v>A5</v>
      </c>
      <c r="F164" s="123" t="n">
        <f aca="false" ca="false" dt2D="false" dtr="false" t="normal">F159</f>
        <v>1</v>
      </c>
      <c r="G164" s="124" t="n">
        <f aca="false" ca="false" dt2D="false" dtr="false" t="normal">G159</f>
        <v>15</v>
      </c>
      <c r="H164" s="162" t="n">
        <f aca="false" ca="false" dt2D="false" dtr="false" t="normal">BIN2HEX(H165, 2)</f>
        <v>0</v>
      </c>
      <c r="I164" s="163" t="n">
        <f aca="false" ca="false" dt2D="false" dtr="false" t="normal">BIN2HEX(I165, 2)</f>
        <v>0</v>
      </c>
      <c r="J164" s="164" t="n">
        <f aca="false" ca="false" dt2D="false" dtr="false" t="normal">BIN2HEX(J165, 2)</f>
        <v>0</v>
      </c>
      <c r="K164" s="165" t="n">
        <f aca="false" ca="false" dt2D="false" dtr="false" t="normal">BIN2HEX(K165, 2)</f>
        <v>0</v>
      </c>
      <c r="L164" s="288" t="n">
        <f aca="false" ca="false" dt2D="false" dtr="false" t="normal">BIN2HEX(L165, 2)</f>
        <v>0</v>
      </c>
      <c r="M164" s="166" t="str">
        <f aca="false" ca="false" dt2D="false" dtr="false" t="normal">IF(LEN(M165)&gt;2, MID(M165, 2, 2), M165)</f>
        <v>C2</v>
      </c>
      <c r="N164" s="63" t="s">
        <v>181</v>
      </c>
      <c r="P164" s="136" t="n">
        <f aca="false" ca="false" dt2D="false" dtr="false" t="normal">MID(H160, 5, 1)</f>
        <v>0</v>
      </c>
      <c r="Q164" s="137" t="n">
        <f aca="false" ca="false" dt2D="false" dtr="false" t="normal">P164</f>
        <v>0</v>
      </c>
      <c r="R164" s="120" t="s">
        <v>200</v>
      </c>
      <c r="S164" s="131" t="s">
        <v>196</v>
      </c>
      <c r="T164" s="136" t="n">
        <f aca="false" ca="false" dt2D="false" dtr="false" t="normal">MID(I160, 5, 1)</f>
        <v>0</v>
      </c>
      <c r="U164" s="137" t="n">
        <f aca="false" ca="false" dt2D="false" dtr="false" t="normal">T164</f>
        <v>0</v>
      </c>
      <c r="V164" s="120" t="s">
        <v>200</v>
      </c>
      <c r="W164" s="131" t="s">
        <v>196</v>
      </c>
      <c r="X164" s="136" t="n">
        <f aca="false" ca="false" dt2D="false" dtr="false" t="normal">MID(J160, 5, 1)</f>
        <v>0</v>
      </c>
      <c r="Y164" s="137" t="n">
        <f aca="false" ca="false" dt2D="false" dtr="false" t="normal">X164</f>
        <v>0</v>
      </c>
      <c r="Z164" s="120" t="s">
        <v>200</v>
      </c>
      <c r="AA164" s="131" t="s">
        <v>196</v>
      </c>
      <c r="AB164" s="136" t="n">
        <f aca="false" ca="false" dt2D="false" dtr="false" t="normal">MID(K160, 5, 1)</f>
        <v>0</v>
      </c>
      <c r="AC164" s="137" t="n">
        <f aca="false" ca="false" dt2D="false" dtr="false" t="normal">AB164</f>
        <v>0</v>
      </c>
      <c r="AD164" s="120" t="s">
        <v>200</v>
      </c>
      <c r="AE164" s="131" t="s">
        <v>196</v>
      </c>
      <c r="AF164" s="136" t="n">
        <f aca="false" ca="false" dt2D="false" dtr="false" t="normal">MID(L160, 5, 1)</f>
        <v>0</v>
      </c>
      <c r="AG164" s="137" t="n">
        <f aca="false" ca="false" dt2D="false" dtr="false" t="normal">AF164</f>
        <v>0</v>
      </c>
      <c r="AH164" s="120" t="s">
        <v>200</v>
      </c>
      <c r="AI164" s="131" t="s">
        <v>196</v>
      </c>
      <c r="AJ164" s="8421" t="s"/>
      <c r="AK164" s="8422" t="s"/>
    </row>
    <row customHeight="true" hidden="false" ht="15" outlineLevel="0" r="165">
      <c r="C165" s="98" t="s">
        <v>185</v>
      </c>
      <c r="D165" s="149" t="n">
        <f aca="false" ca="false" dt2D="false" dtr="false" t="normal">HEX2BIN(D164, 8)</f>
        <v>111</v>
      </c>
      <c r="E165" s="149" t="n">
        <f aca="false" ca="false" dt2D="false" dtr="false" t="normal">HEX2BIN(E164, 8)</f>
        <v>10100101</v>
      </c>
      <c r="F165" s="149" t="n">
        <f aca="false" ca="false" dt2D="false" dtr="false" t="normal">HEX2BIN(F164, 8)</f>
        <v>1</v>
      </c>
      <c r="G165" s="149" t="n">
        <f aca="false" ca="false" dt2D="false" dtr="false" t="normal">HEX2BIN(G164, 8)</f>
        <v>10101</v>
      </c>
      <c r="H165" s="53" t="n">
        <f aca="false" ca="false" dt2D="false" dtr="false" t="normal">Q160&amp;Q161&amp;Q162&amp;Q163&amp;Q164&amp;Q165&amp;Q166&amp;Q167</f>
        <v>0</v>
      </c>
      <c r="I165" s="53" t="n">
        <f aca="false" ca="false" dt2D="false" dtr="false" t="normal">U160&amp;U161&amp;U162&amp;U163&amp;U164&amp;U165&amp;U166&amp;U167</f>
        <v>0</v>
      </c>
      <c r="J165" s="53" t="n">
        <f aca="false" ca="false" dt2D="false" dtr="false" t="normal">Y160&amp;Y161&amp;Y162&amp;Y163&amp;Y164&amp;Y165&amp;Y166&amp;Y167</f>
        <v>0</v>
      </c>
      <c r="K165" s="53" t="n">
        <f aca="false" ca="false" dt2D="false" dtr="false" t="normal">AC160&amp;AC161&amp;AC162&amp;AC163&amp;AC164&amp;AC165&amp;AC166&amp;AC167</f>
        <v>0</v>
      </c>
      <c r="L165" s="53" t="n">
        <f aca="false" ca="false" dt2D="false" dtr="false" t="normal">AG160&amp;AG161&amp;AG162&amp;AG163&amp;AG164&amp;AG165&amp;AG166&amp;AG167</f>
        <v>0</v>
      </c>
      <c r="M165" s="53" t="str">
        <f aca="false" ca="false" dt2D="false" dtr="false" t="normal">DEC2HEX(M166)</f>
        <v>C2</v>
      </c>
      <c r="N165" s="63" t="n"/>
      <c r="P165" s="136" t="n">
        <f aca="false" ca="false" dt2D="false" dtr="false" t="normal">MID(H160, 6, 1)</f>
        <v>0</v>
      </c>
      <c r="Q165" s="137" t="n">
        <f aca="false" ca="false" dt2D="false" dtr="false" t="normal">P165</f>
        <v>0</v>
      </c>
      <c r="R165" s="120" t="s">
        <v>203</v>
      </c>
      <c r="S165" s="131" t="s">
        <v>196</v>
      </c>
      <c r="T165" s="136" t="n">
        <f aca="false" ca="false" dt2D="false" dtr="false" t="normal">MID(I160, 6, 1)</f>
        <v>0</v>
      </c>
      <c r="U165" s="137" t="n">
        <f aca="false" ca="false" dt2D="false" dtr="false" t="normal">T165</f>
        <v>0</v>
      </c>
      <c r="V165" s="120" t="s">
        <v>203</v>
      </c>
      <c r="W165" s="131" t="s">
        <v>196</v>
      </c>
      <c r="X165" s="136" t="n">
        <f aca="false" ca="false" dt2D="false" dtr="false" t="normal">MID(J160, 6, 1)</f>
        <v>0</v>
      </c>
      <c r="Y165" s="137" t="n">
        <f aca="false" ca="false" dt2D="false" dtr="false" t="normal">X165</f>
        <v>0</v>
      </c>
      <c r="Z165" s="120" t="s">
        <v>203</v>
      </c>
      <c r="AA165" s="131" t="s">
        <v>196</v>
      </c>
      <c r="AB165" s="136" t="n">
        <f aca="false" ca="false" dt2D="false" dtr="false" t="normal">MID(K160, 6, 1)</f>
        <v>0</v>
      </c>
      <c r="AC165" s="137" t="n">
        <f aca="false" ca="false" dt2D="false" dtr="false" t="normal">AB165</f>
        <v>0</v>
      </c>
      <c r="AD165" s="120" t="s">
        <v>203</v>
      </c>
      <c r="AE165" s="131" t="s">
        <v>196</v>
      </c>
      <c r="AF165" s="136" t="n">
        <f aca="false" ca="false" dt2D="false" dtr="false" t="normal">MID(L160, 6, 1)</f>
        <v>0</v>
      </c>
      <c r="AG165" s="137" t="n">
        <f aca="false" ca="false" dt2D="false" dtr="false" t="normal">AF165</f>
        <v>0</v>
      </c>
      <c r="AH165" s="120" t="s">
        <v>203</v>
      </c>
      <c r="AI165" s="131" t="s">
        <v>196</v>
      </c>
      <c r="AJ165" s="8423" t="s"/>
      <c r="AK165" s="8424" t="s"/>
    </row>
    <row customHeight="true" hidden="false" ht="15" outlineLevel="0" r="166">
      <c r="C166" s="98" t="s">
        <v>191</v>
      </c>
      <c r="D166" s="149" t="n">
        <f aca="false" ca="false" dt2D="false" dtr="false" t="normal">HEX2DEC(D164)</f>
        <v>7</v>
      </c>
      <c r="E166" s="149" t="n">
        <f aca="false" ca="false" dt2D="false" dtr="false" t="normal">HEX2DEC(E164)</f>
        <v>165</v>
      </c>
      <c r="F166" s="149" t="n">
        <f aca="false" ca="false" dt2D="false" dtr="false" t="normal">HEX2DEC(F164)</f>
        <v>1</v>
      </c>
      <c r="G166" s="149" t="n">
        <f aca="false" ca="false" dt2D="false" dtr="false" t="normal">HEX2DEC(G164)</f>
        <v>21</v>
      </c>
      <c r="H166" s="53" t="n">
        <f aca="false" ca="false" dt2D="false" dtr="false" t="normal">HEX2DEC(H164)</f>
        <v>0</v>
      </c>
      <c r="I166" s="53" t="n">
        <f aca="false" ca="false" dt2D="false" dtr="false" t="normal">HEX2DEC(I164)</f>
        <v>0</v>
      </c>
      <c r="J166" s="53" t="n">
        <f aca="false" ca="false" dt2D="false" dtr="false" t="normal">HEX2DEC(J164)</f>
        <v>0</v>
      </c>
      <c r="K166" s="53" t="n">
        <f aca="false" ca="false" dt2D="false" dtr="false" t="normal">HEX2DEC(K164)</f>
        <v>0</v>
      </c>
      <c r="L166" s="53" t="n">
        <f aca="false" ca="false" dt2D="false" dtr="false" t="normal">HEX2DEC(L164)</f>
        <v>0</v>
      </c>
      <c r="M166" s="53" t="n">
        <f aca="false" ca="false" dt2D="false" dtr="false" t="normal">SUM(D166:L166)</f>
        <v>194</v>
      </c>
      <c r="N166" s="63" t="n"/>
      <c r="P166" s="136" t="n">
        <f aca="false" ca="false" dt2D="false" dtr="false" t="normal">MID(H160, 7, 1)</f>
        <v>0</v>
      </c>
      <c r="Q166" s="137" t="n">
        <f aca="false" ca="false" dt2D="false" dtr="false" t="normal">P166</f>
        <v>0</v>
      </c>
      <c r="R166" s="120" t="s">
        <v>206</v>
      </c>
      <c r="S166" s="131" t="s">
        <v>196</v>
      </c>
      <c r="T166" s="136" t="n">
        <f aca="false" ca="false" dt2D="false" dtr="false" t="normal">MID(I160, 7, 1)</f>
        <v>0</v>
      </c>
      <c r="U166" s="137" t="n">
        <f aca="false" ca="false" dt2D="false" dtr="false" t="normal">T166</f>
        <v>0</v>
      </c>
      <c r="V166" s="120" t="s">
        <v>206</v>
      </c>
      <c r="W166" s="131" t="s">
        <v>196</v>
      </c>
      <c r="X166" s="136" t="n">
        <f aca="false" ca="false" dt2D="false" dtr="false" t="normal">MID(J160, 7, 1)</f>
        <v>0</v>
      </c>
      <c r="Y166" s="137" t="n">
        <f aca="false" ca="false" dt2D="false" dtr="false" t="normal">X166</f>
        <v>0</v>
      </c>
      <c r="Z166" s="120" t="s">
        <v>206</v>
      </c>
      <c r="AA166" s="131" t="s">
        <v>196</v>
      </c>
      <c r="AB166" s="136" t="n">
        <f aca="false" ca="false" dt2D="false" dtr="false" t="normal">MID(K160, 7, 1)</f>
        <v>0</v>
      </c>
      <c r="AC166" s="137" t="n">
        <f aca="false" ca="false" dt2D="false" dtr="false" t="normal">AB166</f>
        <v>0</v>
      </c>
      <c r="AD166" s="120" t="s">
        <v>206</v>
      </c>
      <c r="AE166" s="131" t="s">
        <v>196</v>
      </c>
      <c r="AF166" s="136" t="n">
        <f aca="false" ca="false" dt2D="false" dtr="false" t="normal">MID(L160, 7, 1)</f>
        <v>0</v>
      </c>
      <c r="AG166" s="137" t="n">
        <f aca="false" ca="false" dt2D="false" dtr="false" t="normal">AF166</f>
        <v>0</v>
      </c>
      <c r="AH166" s="120" t="s">
        <v>206</v>
      </c>
      <c r="AI166" s="131" t="s">
        <v>196</v>
      </c>
      <c r="AJ166" s="8425" t="s"/>
      <c r="AK166" s="8426" t="s"/>
    </row>
    <row customHeight="true" hidden="false" ht="15.75" outlineLevel="0" r="167">
      <c r="C167" s="180" t="s">
        <v>194</v>
      </c>
      <c r="D167" s="181" t="n">
        <f aca="false" ca="false" dt2D="false" dtr="false" t="normal">D162</f>
        <v>7</v>
      </c>
      <c r="E167" s="181" t="str">
        <f aca="false" ca="false" dt2D="false" dtr="false" t="normal">E162</f>
        <v>A5</v>
      </c>
      <c r="F167" s="181" t="str">
        <f aca="false" ca="false" dt2D="false" dtr="false" t="normal">F162</f>
        <v>G1</v>
      </c>
      <c r="G167" s="181" t="str">
        <f aca="false" ca="false" dt2D="false" dtr="false" t="normal">G162</f>
        <v>GF</v>
      </c>
      <c r="H167" s="45" t="n"/>
      <c r="I167" s="45" t="n"/>
      <c r="J167" s="45" t="n"/>
      <c r="K167" s="45" t="n"/>
      <c r="L167" s="45" t="n"/>
      <c r="M167" s="45" t="n"/>
      <c r="N167" s="49" t="n"/>
      <c r="P167" s="182" t="n">
        <f aca="false" ca="false" dt2D="false" dtr="false" t="normal">MID(H160, 8, 1)</f>
        <v>0</v>
      </c>
      <c r="Q167" s="183" t="n">
        <f aca="false" ca="false" dt2D="false" dtr="false" t="normal">P167</f>
        <v>0</v>
      </c>
      <c r="R167" s="184" t="s">
        <v>208</v>
      </c>
      <c r="S167" s="185" t="s">
        <v>196</v>
      </c>
      <c r="T167" s="182" t="n">
        <f aca="false" ca="false" dt2D="false" dtr="false" t="normal">MID(I160, 8, 1)</f>
        <v>0</v>
      </c>
      <c r="U167" s="183" t="n">
        <f aca="false" ca="false" dt2D="false" dtr="false" t="normal">T167</f>
        <v>0</v>
      </c>
      <c r="V167" s="184" t="s">
        <v>208</v>
      </c>
      <c r="W167" s="185" t="s">
        <v>196</v>
      </c>
      <c r="X167" s="182" t="n">
        <f aca="false" ca="false" dt2D="false" dtr="false" t="normal">MID(J160, 8, 1)</f>
        <v>0</v>
      </c>
      <c r="Y167" s="183" t="n">
        <f aca="false" ca="false" dt2D="false" dtr="false" t="normal">X167</f>
        <v>0</v>
      </c>
      <c r="Z167" s="184" t="s">
        <v>208</v>
      </c>
      <c r="AA167" s="185" t="s">
        <v>196</v>
      </c>
      <c r="AB167" s="182" t="n">
        <f aca="false" ca="false" dt2D="false" dtr="false" t="normal">MID(K160, 8, 1)</f>
        <v>0</v>
      </c>
      <c r="AC167" s="183" t="n">
        <f aca="false" ca="false" dt2D="false" dtr="false" t="normal">AB167</f>
        <v>0</v>
      </c>
      <c r="AD167" s="184" t="s">
        <v>208</v>
      </c>
      <c r="AE167" s="185" t="s">
        <v>196</v>
      </c>
      <c r="AF167" s="182" t="n">
        <f aca="false" ca="false" dt2D="false" dtr="false" t="normal">MID(L160, 8, 1)</f>
        <v>0</v>
      </c>
      <c r="AG167" s="183" t="n">
        <f aca="false" ca="false" dt2D="false" dtr="false" t="normal">AF167</f>
        <v>0</v>
      </c>
      <c r="AH167" s="184" t="s">
        <v>208</v>
      </c>
      <c r="AI167" s="185" t="s">
        <v>196</v>
      </c>
      <c r="AJ167" s="8427" t="s"/>
      <c r="AK167" s="8428" t="s"/>
    </row>
    <row hidden="false" ht="15.75" outlineLevel="0" r="168">
      <c r="C168" s="93" t="n"/>
      <c r="D168" s="7585" t="n"/>
      <c r="E168" s="7585" t="n"/>
      <c r="F168" s="7585" t="n"/>
      <c r="G168" s="7585" t="n"/>
      <c r="H168" s="94" t="n"/>
      <c r="I168" s="94" t="n"/>
      <c r="J168" s="94" t="n"/>
      <c r="K168" s="94" t="n"/>
      <c r="L168" s="94" t="n"/>
      <c r="M168" s="94" t="s">
        <v>161</v>
      </c>
      <c r="N168" s="60" t="n"/>
      <c r="P168" s="95" t="str">
        <f aca="false" ca="false" dt2D="false" dtr="false" t="normal">RIGHT(D170, 1)&amp;E170&amp;"-"&amp;F170&amp;"-"&amp;G170</f>
        <v>7A5-01-16</v>
      </c>
      <c r="Q168" s="8429" t="s"/>
      <c r="R168" s="234" t="s">
        <v>4056</v>
      </c>
      <c r="S168" s="8430" t="s"/>
      <c r="T168" s="8431" t="s"/>
      <c r="U168" s="8432" t="s"/>
      <c r="V168" s="8433" t="s"/>
      <c r="W168" s="8434" t="s"/>
      <c r="X168" s="8435" t="s"/>
      <c r="Y168" s="8436" t="s"/>
      <c r="Z168" s="8437" t="s"/>
      <c r="AA168" s="8438" t="s"/>
      <c r="AB168" s="8439" t="s"/>
      <c r="AC168" s="8440" t="s"/>
      <c r="AD168" s="8441" t="s"/>
      <c r="AE168" s="8442" t="s"/>
      <c r="AF168" s="8443" t="s"/>
      <c r="AG168" s="8444" t="s"/>
      <c r="AH168" s="8445" t="s"/>
      <c r="AI168" s="8446" t="s"/>
      <c r="AJ168" s="8447" t="s"/>
      <c r="AK168" s="8448" t="s"/>
    </row>
    <row hidden="false" ht="15.75" outlineLevel="0" r="169">
      <c r="C169" s="98" t="n"/>
      <c r="D169" s="7606" t="s">
        <v>4057</v>
      </c>
      <c r="E169" s="8449" t="s"/>
      <c r="F169" s="8450" t="s"/>
      <c r="G169" s="8451" t="s"/>
      <c r="H169" s="53" t="s">
        <v>165</v>
      </c>
      <c r="I169" s="53" t="s">
        <v>166</v>
      </c>
      <c r="J169" s="53" t="s">
        <v>167</v>
      </c>
      <c r="K169" s="53" t="s">
        <v>168</v>
      </c>
      <c r="L169" s="53" t="s">
        <v>169</v>
      </c>
      <c r="M169" s="53" t="s">
        <v>221</v>
      </c>
      <c r="N169" s="63" t="n"/>
      <c r="P169" s="103" t="s">
        <v>4058</v>
      </c>
      <c r="Q169" s="8452" t="s"/>
      <c r="R169" s="8453" t="s"/>
      <c r="S169" s="8454" t="s"/>
      <c r="T169" s="103" t="s">
        <v>4059</v>
      </c>
      <c r="U169" s="8455" t="s"/>
      <c r="V169" s="8456" t="s"/>
      <c r="W169" s="8457" t="s"/>
      <c r="X169" s="103" t="s">
        <v>4060</v>
      </c>
      <c r="Y169" s="8458" t="s"/>
      <c r="Z169" s="8459" t="s"/>
      <c r="AA169" s="8460" t="s"/>
      <c r="AB169" s="103" t="s">
        <v>4061</v>
      </c>
      <c r="AC169" s="8461" t="s"/>
      <c r="AD169" s="8462" t="s"/>
      <c r="AE169" s="8463" t="s"/>
      <c r="AF169" s="103" t="s">
        <v>4062</v>
      </c>
      <c r="AG169" s="8464" t="s"/>
      <c r="AH169" s="8465" t="s"/>
      <c r="AI169" s="8466" t="s"/>
      <c r="AJ169" s="103" t="s">
        <v>4063</v>
      </c>
      <c r="AK169" s="8467" t="s"/>
    </row>
    <row customHeight="true" hidden="false" ht="15.75" outlineLevel="0" r="170">
      <c r="C170" s="98" t="s">
        <v>176</v>
      </c>
      <c r="D170" s="122" t="s">
        <v>177</v>
      </c>
      <c r="E170" s="123" t="s">
        <v>3892</v>
      </c>
      <c r="F170" s="123" t="s">
        <v>179</v>
      </c>
      <c r="G170" s="124" t="s">
        <v>1366</v>
      </c>
      <c r="H170" s="273" t="n">
        <f aca="false" ca="false" dt2D="false" dtr="false" t="normal">MID($A$19, 8, 2)</f>
        <v>0</v>
      </c>
      <c r="I170" s="7626" t="n">
        <f aca="false" ca="false" dt2D="false" dtr="false" t="normal">MID($A$19, 10, 2)</f>
        <v>0</v>
      </c>
      <c r="J170" s="7626" t="n">
        <f aca="false" ca="false" dt2D="false" dtr="false" t="normal">MID($A$19, 12, 2)</f>
        <v>0</v>
      </c>
      <c r="K170" s="7626" t="n">
        <f aca="false" ca="false" dt2D="false" dtr="false" t="normal">MID($A$19, 14, 2)</f>
        <v>0</v>
      </c>
      <c r="L170" s="7627" t="n">
        <f aca="false" ca="false" dt2D="false" dtr="false" t="normal">MID($A$19, 16, 2)</f>
        <v>0</v>
      </c>
      <c r="M170" s="7553" t="str">
        <f aca="false" ca="false" dt2D="false" dtr="false" t="normal">MID($A$19, 18, 2)</f>
        <v>C3</v>
      </c>
      <c r="N170" s="63" t="s">
        <v>180</v>
      </c>
      <c r="P170" s="129" t="s">
        <v>180</v>
      </c>
      <c r="Q170" s="130" t="s">
        <v>181</v>
      </c>
      <c r="R170" s="121" t="s">
        <v>182</v>
      </c>
      <c r="S170" s="131" t="n"/>
      <c r="T170" s="129" t="s">
        <v>180</v>
      </c>
      <c r="U170" s="130" t="s">
        <v>181</v>
      </c>
      <c r="V170" s="121" t="s">
        <v>182</v>
      </c>
      <c r="W170" s="131" t="n"/>
      <c r="X170" s="129" t="s">
        <v>180</v>
      </c>
      <c r="Y170" s="130" t="s">
        <v>181</v>
      </c>
      <c r="Z170" s="121" t="s">
        <v>182</v>
      </c>
      <c r="AA170" s="131" t="n"/>
      <c r="AB170" s="129" t="s">
        <v>180</v>
      </c>
      <c r="AC170" s="130" t="s">
        <v>181</v>
      </c>
      <c r="AD170" s="121" t="s">
        <v>182</v>
      </c>
      <c r="AE170" s="131" t="n"/>
      <c r="AF170" s="129" t="s">
        <v>180</v>
      </c>
      <c r="AG170" s="130" t="s">
        <v>181</v>
      </c>
      <c r="AH170" s="121" t="s">
        <v>182</v>
      </c>
      <c r="AI170" s="121" t="n"/>
      <c r="AJ170" s="116" t="s">
        <v>183</v>
      </c>
      <c r="AK170" s="8468" t="s"/>
    </row>
    <row customHeight="true" hidden="false" ht="15" outlineLevel="0" r="171">
      <c r="C171" s="98" t="s">
        <v>185</v>
      </c>
      <c r="D171" s="149" t="n">
        <f aca="false" ca="false" dt2D="false" dtr="false" t="normal">HEX2BIN(D170, 8)</f>
        <v>111</v>
      </c>
      <c r="E171" s="149" t="n">
        <f aca="false" ca="false" dt2D="false" dtr="false" t="normal">HEX2BIN(E170, 8)</f>
        <v>10100101</v>
      </c>
      <c r="F171" s="149" t="n">
        <f aca="false" ca="false" dt2D="false" dtr="false" t="normal">HEX2BIN(F170, 8)</f>
        <v>1</v>
      </c>
      <c r="G171" s="149" t="n">
        <f aca="false" ca="false" dt2D="false" dtr="false" t="normal">HEX2BIN(G170, 8)</f>
        <v>10110</v>
      </c>
      <c r="H171" s="53" t="n">
        <f aca="false" ca="false" dt2D="false" dtr="false" t="normal">HEX2BIN(H170, 8)</f>
        <v>0</v>
      </c>
      <c r="I171" s="53" t="n">
        <f aca="false" ca="false" dt2D="false" dtr="false" t="normal">HEX2BIN(I170, 8)</f>
        <v>0</v>
      </c>
      <c r="J171" s="53" t="n">
        <f aca="false" ca="false" dt2D="false" dtr="false" t="normal">HEX2BIN(J170, 8)</f>
        <v>0</v>
      </c>
      <c r="K171" s="53" t="n">
        <f aca="false" ca="false" dt2D="false" dtr="false" t="normal">HEX2BIN(K170, 8)</f>
        <v>0</v>
      </c>
      <c r="L171" s="53" t="n">
        <f aca="false" ca="false" dt2D="false" dtr="false" t="normal">HEX2BIN(L170, 8)</f>
        <v>0</v>
      </c>
      <c r="M171" s="53" t="n"/>
      <c r="N171" s="63" t="n"/>
      <c r="P171" s="136" t="n">
        <f aca="false" ca="false" dt2D="false" dtr="false" t="normal">MID(H171, 1, 1)</f>
        <v>0</v>
      </c>
      <c r="Q171" s="137" t="n">
        <f aca="false" ca="false" dt2D="false" dtr="false" t="normal">P171</f>
        <v>0</v>
      </c>
      <c r="R171" s="120" t="s">
        <v>186</v>
      </c>
      <c r="S171" s="131" t="s">
        <v>196</v>
      </c>
      <c r="T171" s="136" t="n">
        <f aca="false" ca="false" dt2D="false" dtr="false" t="normal">MID(I171, 1, 1)</f>
        <v>0</v>
      </c>
      <c r="U171" s="137" t="n">
        <f aca="false" ca="false" dt2D="false" dtr="false" t="normal">T171</f>
        <v>0</v>
      </c>
      <c r="V171" s="120" t="s">
        <v>186</v>
      </c>
      <c r="W171" s="131" t="s">
        <v>196</v>
      </c>
      <c r="X171" s="136" t="n">
        <f aca="false" ca="false" dt2D="false" dtr="false" t="normal">MID(J171, 1, 1)</f>
        <v>0</v>
      </c>
      <c r="Y171" s="137" t="n">
        <f aca="false" ca="false" dt2D="false" dtr="false" t="normal">X171</f>
        <v>0</v>
      </c>
      <c r="Z171" s="120" t="s">
        <v>186</v>
      </c>
      <c r="AA171" s="131" t="s">
        <v>196</v>
      </c>
      <c r="AB171" s="136" t="n">
        <f aca="false" ca="false" dt2D="false" dtr="false" t="normal">MID(K171, 1, 1)</f>
        <v>0</v>
      </c>
      <c r="AC171" s="137" t="n">
        <f aca="false" ca="false" dt2D="false" dtr="false" t="normal">AB171</f>
        <v>0</v>
      </c>
      <c r="AD171" s="120" t="s">
        <v>186</v>
      </c>
      <c r="AE171" s="131" t="s">
        <v>196</v>
      </c>
      <c r="AF171" s="136" t="n">
        <f aca="false" ca="false" dt2D="false" dtr="false" t="normal">MID(L171, 1, 1)</f>
        <v>0</v>
      </c>
      <c r="AG171" s="137" t="n">
        <f aca="false" ca="false" dt2D="false" dtr="false" t="normal">AF171</f>
        <v>0</v>
      </c>
      <c r="AH171" s="120" t="s">
        <v>186</v>
      </c>
      <c r="AI171" s="131" t="s">
        <v>196</v>
      </c>
      <c r="AJ171" s="8469" t="s"/>
      <c r="AK171" s="8470" t="s"/>
    </row>
    <row customHeight="true" hidden="false" ht="15" outlineLevel="0" r="172">
      <c r="C172" s="98" t="s">
        <v>191</v>
      </c>
      <c r="D172" s="149" t="n">
        <f aca="false" ca="false" dt2D="false" dtr="false" t="normal">HEX2DEC(D170)</f>
        <v>7</v>
      </c>
      <c r="E172" s="149" t="n">
        <f aca="false" ca="false" dt2D="false" dtr="false" t="normal">HEX2DEC(E170)</f>
        <v>165</v>
      </c>
      <c r="F172" s="149" t="n">
        <f aca="false" ca="false" dt2D="false" dtr="false" t="normal">HEX2DEC(F170)</f>
        <v>1</v>
      </c>
      <c r="G172" s="149" t="n">
        <f aca="false" ca="false" dt2D="false" dtr="false" t="normal">HEX2DEC(G170)</f>
        <v>22</v>
      </c>
      <c r="H172" s="53" t="n">
        <f aca="false" ca="false" dt2D="false" dtr="false" t="normal">HEX2DEC(H170)</f>
        <v>0</v>
      </c>
      <c r="I172" s="53" t="n">
        <f aca="false" ca="false" dt2D="false" dtr="false" t="normal">HEX2DEC(I170)</f>
        <v>0</v>
      </c>
      <c r="J172" s="53" t="n">
        <f aca="false" ca="false" dt2D="false" dtr="false" t="normal">HEX2DEC(J170)</f>
        <v>0</v>
      </c>
      <c r="K172" s="53" t="n">
        <f aca="false" ca="false" dt2D="false" dtr="false" t="normal">HEX2DEC(K170)</f>
        <v>0</v>
      </c>
      <c r="L172" s="53" t="n">
        <f aca="false" ca="false" dt2D="false" dtr="false" t="normal">HEX2DEC(L170)</f>
        <v>0</v>
      </c>
      <c r="M172" s="53" t="n">
        <f aca="false" ca="false" dt2D="false" dtr="false" t="normal">SUM(D172:L172)</f>
        <v>195</v>
      </c>
      <c r="N172" s="63" t="n"/>
      <c r="P172" s="136" t="n">
        <f aca="false" ca="false" dt2D="false" dtr="false" t="normal">MID(H171, 2, 1)</f>
        <v>0</v>
      </c>
      <c r="Q172" s="137" t="n">
        <f aca="false" ca="false" dt2D="false" dtr="false" t="normal">P172</f>
        <v>0</v>
      </c>
      <c r="R172" s="120" t="s">
        <v>192</v>
      </c>
      <c r="S172" s="131" t="s">
        <v>196</v>
      </c>
      <c r="T172" s="136" t="n">
        <f aca="false" ca="false" dt2D="false" dtr="false" t="normal">MID(I171, 2, 1)</f>
        <v>0</v>
      </c>
      <c r="U172" s="137" t="n">
        <f aca="false" ca="false" dt2D="false" dtr="false" t="normal">T172</f>
        <v>0</v>
      </c>
      <c r="V172" s="120" t="s">
        <v>192</v>
      </c>
      <c r="W172" s="131" t="s">
        <v>196</v>
      </c>
      <c r="X172" s="136" t="n">
        <f aca="false" ca="false" dt2D="false" dtr="false" t="normal">MID(J171, 2, 1)</f>
        <v>0</v>
      </c>
      <c r="Y172" s="137" t="n">
        <f aca="false" ca="false" dt2D="false" dtr="false" t="normal">X172</f>
        <v>0</v>
      </c>
      <c r="Z172" s="120" t="s">
        <v>192</v>
      </c>
      <c r="AA172" s="131" t="s">
        <v>196</v>
      </c>
      <c r="AB172" s="136" t="n">
        <f aca="false" ca="false" dt2D="false" dtr="false" t="normal">MID(K171, 2, 1)</f>
        <v>0</v>
      </c>
      <c r="AC172" s="137" t="n">
        <f aca="false" ca="false" dt2D="false" dtr="false" t="normal">AB172</f>
        <v>0</v>
      </c>
      <c r="AD172" s="120" t="s">
        <v>192</v>
      </c>
      <c r="AE172" s="131" t="s">
        <v>196</v>
      </c>
      <c r="AF172" s="136" t="n">
        <f aca="false" ca="false" dt2D="false" dtr="false" t="normal">MID(L171, 2, 1)</f>
        <v>0</v>
      </c>
      <c r="AG172" s="137" t="n">
        <f aca="false" ca="false" dt2D="false" dtr="false" t="normal">AF172</f>
        <v>0</v>
      </c>
      <c r="AH172" s="120" t="s">
        <v>192</v>
      </c>
      <c r="AI172" s="131" t="s">
        <v>196</v>
      </c>
      <c r="AJ172" s="8471" t="s"/>
      <c r="AK172" s="8472" t="s"/>
    </row>
    <row customHeight="true" hidden="false" ht="15" outlineLevel="0" r="173">
      <c r="C173" s="98" t="s">
        <v>194</v>
      </c>
      <c r="D173" s="149" t="n">
        <f aca="false" ca="false" dt2D="false" dtr="false" t="normal">D170</f>
        <v>7</v>
      </c>
      <c r="E173" s="149" t="str">
        <f aca="false" ca="false" dt2D="false" dtr="false" t="normal">E170</f>
        <v>A5</v>
      </c>
      <c r="F173" s="149" t="str">
        <f aca="false" ca="false" dt2D="false" dtr="false" t="normal">MID($A$19, 4, 2)</f>
        <v>G1</v>
      </c>
      <c r="G173" s="149" t="str">
        <f aca="false" ca="false" dt2D="false" dtr="false" t="normal">MID($A$19, 6, 2)</f>
        <v>H0</v>
      </c>
      <c r="N173" s="63" t="n"/>
      <c r="P173" s="136" t="n">
        <f aca="false" ca="false" dt2D="false" dtr="false" t="normal">MID(H171, 3, 1)</f>
        <v>0</v>
      </c>
      <c r="Q173" s="137" t="n">
        <f aca="false" ca="false" dt2D="false" dtr="false" t="normal">P173</f>
        <v>0</v>
      </c>
      <c r="R173" s="120" t="s">
        <v>195</v>
      </c>
      <c r="S173" s="131" t="s">
        <v>196</v>
      </c>
      <c r="T173" s="136" t="n">
        <f aca="false" ca="false" dt2D="false" dtr="false" t="normal">MID(I171, 3, 1)</f>
        <v>0</v>
      </c>
      <c r="U173" s="137" t="n">
        <f aca="false" ca="false" dt2D="false" dtr="false" t="normal">T173</f>
        <v>0</v>
      </c>
      <c r="V173" s="120" t="s">
        <v>195</v>
      </c>
      <c r="W173" s="131" t="s">
        <v>196</v>
      </c>
      <c r="X173" s="136" t="n">
        <f aca="false" ca="false" dt2D="false" dtr="false" t="normal">MID(J171, 3, 1)</f>
        <v>0</v>
      </c>
      <c r="Y173" s="137" t="n">
        <f aca="false" ca="false" dt2D="false" dtr="false" t="normal">X173</f>
        <v>0</v>
      </c>
      <c r="Z173" s="120" t="s">
        <v>195</v>
      </c>
      <c r="AA173" s="131" t="s">
        <v>196</v>
      </c>
      <c r="AB173" s="136" t="n">
        <f aca="false" ca="false" dt2D="false" dtr="false" t="normal">MID(K171, 3, 1)</f>
        <v>0</v>
      </c>
      <c r="AC173" s="137" t="n">
        <f aca="false" ca="false" dt2D="false" dtr="false" t="normal">AB173</f>
        <v>0</v>
      </c>
      <c r="AD173" s="120" t="s">
        <v>195</v>
      </c>
      <c r="AE173" s="131" t="s">
        <v>196</v>
      </c>
      <c r="AF173" s="136" t="n">
        <f aca="false" ca="false" dt2D="false" dtr="false" t="normal">MID(L171, 3, 1)</f>
        <v>0</v>
      </c>
      <c r="AG173" s="137" t="n">
        <f aca="false" ca="false" dt2D="false" dtr="false" t="normal">AF173</f>
        <v>0</v>
      </c>
      <c r="AH173" s="120" t="s">
        <v>195</v>
      </c>
      <c r="AI173" s="131" t="s">
        <v>196</v>
      </c>
      <c r="AJ173" s="8473" t="s"/>
      <c r="AK173" s="8474" t="s"/>
    </row>
    <row customHeight="true" hidden="false" ht="15.75" outlineLevel="0" r="174">
      <c r="C174" s="98" t="n"/>
      <c r="N174" s="63" t="n"/>
      <c r="P174" s="136" t="n">
        <f aca="false" ca="false" dt2D="false" dtr="false" t="normal">MID(H171, 4, 1)</f>
        <v>0</v>
      </c>
      <c r="Q174" s="137" t="n">
        <f aca="false" ca="false" dt2D="false" dtr="false" t="normal">P174</f>
        <v>0</v>
      </c>
      <c r="R174" s="120" t="s">
        <v>197</v>
      </c>
      <c r="S174" s="131" t="s">
        <v>196</v>
      </c>
      <c r="T174" s="136" t="n">
        <f aca="false" ca="false" dt2D="false" dtr="false" t="normal">MID(I171, 4, 1)</f>
        <v>0</v>
      </c>
      <c r="U174" s="137" t="n">
        <f aca="false" ca="false" dt2D="false" dtr="false" t="normal">T174</f>
        <v>0</v>
      </c>
      <c r="V174" s="120" t="s">
        <v>197</v>
      </c>
      <c r="W174" s="131" t="s">
        <v>196</v>
      </c>
      <c r="X174" s="136" t="n">
        <f aca="false" ca="false" dt2D="false" dtr="false" t="normal">MID(J171, 4, 1)</f>
        <v>0</v>
      </c>
      <c r="Y174" s="137" t="n">
        <f aca="false" ca="false" dt2D="false" dtr="false" t="normal">X174</f>
        <v>0</v>
      </c>
      <c r="Z174" s="120" t="s">
        <v>197</v>
      </c>
      <c r="AA174" s="131" t="s">
        <v>196</v>
      </c>
      <c r="AB174" s="136" t="n">
        <f aca="false" ca="false" dt2D="false" dtr="false" t="normal">MID(K171, 4, 1)</f>
        <v>0</v>
      </c>
      <c r="AC174" s="137" t="n">
        <f aca="false" ca="false" dt2D="false" dtr="false" t="normal">AB174</f>
        <v>0</v>
      </c>
      <c r="AD174" s="120" t="s">
        <v>197</v>
      </c>
      <c r="AE174" s="131" t="s">
        <v>196</v>
      </c>
      <c r="AF174" s="136" t="n">
        <f aca="false" ca="false" dt2D="false" dtr="false" t="normal">MID(L171, 4, 1)</f>
        <v>0</v>
      </c>
      <c r="AG174" s="137" t="n">
        <f aca="false" ca="false" dt2D="false" dtr="false" t="normal">AF174</f>
        <v>0</v>
      </c>
      <c r="AH174" s="120" t="s">
        <v>197</v>
      </c>
      <c r="AI174" s="131" t="s">
        <v>196</v>
      </c>
      <c r="AJ174" s="8475" t="s"/>
      <c r="AK174" s="8476" t="s"/>
    </row>
    <row customHeight="true" hidden="false" ht="15.75" outlineLevel="0" r="175">
      <c r="C175" s="98" t="s">
        <v>176</v>
      </c>
      <c r="D175" s="122" t="n">
        <f aca="false" ca="false" dt2D="false" dtr="false" t="normal">D170</f>
        <v>7</v>
      </c>
      <c r="E175" s="123" t="str">
        <f aca="false" ca="false" dt2D="false" dtr="false" t="normal">E170</f>
        <v>A5</v>
      </c>
      <c r="F175" s="123" t="n">
        <f aca="false" ca="false" dt2D="false" dtr="false" t="normal">F170</f>
        <v>1</v>
      </c>
      <c r="G175" s="124" t="n">
        <f aca="false" ca="false" dt2D="false" dtr="false" t="normal">G170</f>
        <v>16</v>
      </c>
      <c r="H175" s="162" t="n">
        <f aca="false" ca="false" dt2D="false" dtr="false" t="normal">BIN2HEX(H176, 2)</f>
        <v>0</v>
      </c>
      <c r="I175" s="163" t="n">
        <f aca="false" ca="false" dt2D="false" dtr="false" t="normal">BIN2HEX(I176, 2)</f>
        <v>0</v>
      </c>
      <c r="J175" s="164" t="n">
        <f aca="false" ca="false" dt2D="false" dtr="false" t="normal">BIN2HEX(J176, 2)</f>
        <v>0</v>
      </c>
      <c r="K175" s="165" t="n">
        <f aca="false" ca="false" dt2D="false" dtr="false" t="normal">BIN2HEX(K176, 2)</f>
        <v>0</v>
      </c>
      <c r="L175" s="288" t="n">
        <f aca="false" ca="false" dt2D="false" dtr="false" t="normal">BIN2HEX(L176, 2)</f>
        <v>0</v>
      </c>
      <c r="M175" s="166" t="str">
        <f aca="false" ca="false" dt2D="false" dtr="false" t="normal">IF(LEN(M176)&gt;2, MID(M176, 2, 2), M176)</f>
        <v>C3</v>
      </c>
      <c r="N175" s="63" t="s">
        <v>181</v>
      </c>
      <c r="P175" s="136" t="n">
        <f aca="false" ca="false" dt2D="false" dtr="false" t="normal">MID(H171, 5, 1)</f>
        <v>0</v>
      </c>
      <c r="Q175" s="137" t="n">
        <f aca="false" ca="false" dt2D="false" dtr="false" t="normal">P175</f>
        <v>0</v>
      </c>
      <c r="R175" s="120" t="s">
        <v>200</v>
      </c>
      <c r="S175" s="131" t="s">
        <v>196</v>
      </c>
      <c r="T175" s="136" t="n">
        <f aca="false" ca="false" dt2D="false" dtr="false" t="normal">MID(I171, 5, 1)</f>
        <v>0</v>
      </c>
      <c r="U175" s="137" t="n">
        <f aca="false" ca="false" dt2D="false" dtr="false" t="normal">T175</f>
        <v>0</v>
      </c>
      <c r="V175" s="120" t="s">
        <v>200</v>
      </c>
      <c r="W175" s="131" t="s">
        <v>196</v>
      </c>
      <c r="X175" s="136" t="n">
        <f aca="false" ca="false" dt2D="false" dtr="false" t="normal">MID(J171, 5, 1)</f>
        <v>0</v>
      </c>
      <c r="Y175" s="137" t="n">
        <f aca="false" ca="false" dt2D="false" dtr="false" t="normal">X175</f>
        <v>0</v>
      </c>
      <c r="Z175" s="120" t="s">
        <v>200</v>
      </c>
      <c r="AA175" s="131" t="s">
        <v>196</v>
      </c>
      <c r="AB175" s="136" t="n">
        <f aca="false" ca="false" dt2D="false" dtr="false" t="normal">MID(K171, 5, 1)</f>
        <v>0</v>
      </c>
      <c r="AC175" s="137" t="n">
        <f aca="false" ca="false" dt2D="false" dtr="false" t="normal">AB175</f>
        <v>0</v>
      </c>
      <c r="AD175" s="120" t="s">
        <v>200</v>
      </c>
      <c r="AE175" s="131" t="s">
        <v>196</v>
      </c>
      <c r="AF175" s="136" t="n">
        <f aca="false" ca="false" dt2D="false" dtr="false" t="normal">MID(L171, 5, 1)</f>
        <v>0</v>
      </c>
      <c r="AG175" s="137" t="n">
        <f aca="false" ca="false" dt2D="false" dtr="false" t="normal">AF175</f>
        <v>0</v>
      </c>
      <c r="AH175" s="120" t="s">
        <v>200</v>
      </c>
      <c r="AI175" s="131" t="s">
        <v>196</v>
      </c>
      <c r="AJ175" s="8477" t="s"/>
      <c r="AK175" s="8478" t="s"/>
    </row>
    <row customHeight="true" hidden="false" ht="15" outlineLevel="0" r="176">
      <c r="C176" s="98" t="s">
        <v>185</v>
      </c>
      <c r="D176" s="149" t="n">
        <f aca="false" ca="false" dt2D="false" dtr="false" t="normal">HEX2BIN(D175, 8)</f>
        <v>111</v>
      </c>
      <c r="E176" s="149" t="n">
        <f aca="false" ca="false" dt2D="false" dtr="false" t="normal">HEX2BIN(E175, 8)</f>
        <v>10100101</v>
      </c>
      <c r="F176" s="149" t="n">
        <f aca="false" ca="false" dt2D="false" dtr="false" t="normal">HEX2BIN(F175, 8)</f>
        <v>1</v>
      </c>
      <c r="G176" s="149" t="n">
        <f aca="false" ca="false" dt2D="false" dtr="false" t="normal">HEX2BIN(G175, 8)</f>
        <v>10110</v>
      </c>
      <c r="H176" s="53" t="n">
        <f aca="false" ca="false" dt2D="false" dtr="false" t="normal">Q171&amp;Q172&amp;Q173&amp;Q174&amp;Q175&amp;Q176&amp;Q177&amp;Q178</f>
        <v>0</v>
      </c>
      <c r="I176" s="53" t="n">
        <f aca="false" ca="false" dt2D="false" dtr="false" t="normal">U171&amp;U172&amp;U173&amp;U174&amp;U175&amp;U176&amp;U177&amp;U178</f>
        <v>0</v>
      </c>
      <c r="J176" s="53" t="n">
        <f aca="false" ca="false" dt2D="false" dtr="false" t="normal">Y171&amp;Y172&amp;Y173&amp;Y174&amp;Y175&amp;Y176&amp;Y177&amp;Y178</f>
        <v>0</v>
      </c>
      <c r="K176" s="53" t="n">
        <f aca="false" ca="false" dt2D="false" dtr="false" t="normal">AC171&amp;AC172&amp;AC173&amp;AC174&amp;AC175&amp;AC176&amp;AC177&amp;AC178</f>
        <v>0</v>
      </c>
      <c r="L176" s="53" t="n">
        <f aca="false" ca="false" dt2D="false" dtr="false" t="normal">AG171&amp;AG172&amp;AG173&amp;AG174&amp;AG175&amp;AG176&amp;AG177&amp;AG178</f>
        <v>0</v>
      </c>
      <c r="M176" s="53" t="str">
        <f aca="false" ca="false" dt2D="false" dtr="false" t="normal">DEC2HEX(M177)</f>
        <v>C3</v>
      </c>
      <c r="N176" s="63" t="n"/>
      <c r="P176" s="136" t="n">
        <f aca="false" ca="false" dt2D="false" dtr="false" t="normal">MID(H171, 6, 1)</f>
        <v>0</v>
      </c>
      <c r="Q176" s="137" t="n">
        <f aca="false" ca="false" dt2D="false" dtr="false" t="normal">P176</f>
        <v>0</v>
      </c>
      <c r="R176" s="120" t="s">
        <v>203</v>
      </c>
      <c r="S176" s="131" t="s">
        <v>196</v>
      </c>
      <c r="T176" s="136" t="n">
        <f aca="false" ca="false" dt2D="false" dtr="false" t="normal">MID(I171, 6, 1)</f>
        <v>0</v>
      </c>
      <c r="U176" s="137" t="n">
        <f aca="false" ca="false" dt2D="false" dtr="false" t="normal">T176</f>
        <v>0</v>
      </c>
      <c r="V176" s="120" t="s">
        <v>203</v>
      </c>
      <c r="W176" s="131" t="s">
        <v>196</v>
      </c>
      <c r="X176" s="136" t="n">
        <f aca="false" ca="false" dt2D="false" dtr="false" t="normal">MID(J171, 6, 1)</f>
        <v>0</v>
      </c>
      <c r="Y176" s="137" t="n">
        <f aca="false" ca="false" dt2D="false" dtr="false" t="normal">X176</f>
        <v>0</v>
      </c>
      <c r="Z176" s="120" t="s">
        <v>203</v>
      </c>
      <c r="AA176" s="131" t="s">
        <v>196</v>
      </c>
      <c r="AB176" s="136" t="n">
        <f aca="false" ca="false" dt2D="false" dtr="false" t="normal">MID(K171, 6, 1)</f>
        <v>0</v>
      </c>
      <c r="AC176" s="137" t="n">
        <f aca="false" ca="false" dt2D="false" dtr="false" t="normal">AB176</f>
        <v>0</v>
      </c>
      <c r="AD176" s="120" t="s">
        <v>203</v>
      </c>
      <c r="AE176" s="131" t="s">
        <v>196</v>
      </c>
      <c r="AF176" s="136" t="n">
        <f aca="false" ca="false" dt2D="false" dtr="false" t="normal">MID(L171, 6, 1)</f>
        <v>0</v>
      </c>
      <c r="AG176" s="137" t="n">
        <f aca="false" ca="false" dt2D="false" dtr="false" t="normal">AF176</f>
        <v>0</v>
      </c>
      <c r="AH176" s="120" t="s">
        <v>203</v>
      </c>
      <c r="AI176" s="131" t="s">
        <v>196</v>
      </c>
      <c r="AJ176" s="8479" t="s"/>
      <c r="AK176" s="8480" t="s"/>
    </row>
    <row customHeight="true" hidden="false" ht="15" outlineLevel="0" r="177">
      <c r="C177" s="98" t="s">
        <v>191</v>
      </c>
      <c r="D177" s="149" t="n">
        <f aca="false" ca="false" dt2D="false" dtr="false" t="normal">HEX2DEC(D175)</f>
        <v>7</v>
      </c>
      <c r="E177" s="149" t="n">
        <f aca="false" ca="false" dt2D="false" dtr="false" t="normal">HEX2DEC(E175)</f>
        <v>165</v>
      </c>
      <c r="F177" s="149" t="n">
        <f aca="false" ca="false" dt2D="false" dtr="false" t="normal">HEX2DEC(F175)</f>
        <v>1</v>
      </c>
      <c r="G177" s="149" t="n">
        <f aca="false" ca="false" dt2D="false" dtr="false" t="normal">HEX2DEC(G175)</f>
        <v>22</v>
      </c>
      <c r="H177" s="53" t="n">
        <f aca="false" ca="false" dt2D="false" dtr="false" t="normal">HEX2DEC(H175)</f>
        <v>0</v>
      </c>
      <c r="I177" s="53" t="n">
        <f aca="false" ca="false" dt2D="false" dtr="false" t="normal">HEX2DEC(I175)</f>
        <v>0</v>
      </c>
      <c r="J177" s="53" t="n">
        <f aca="false" ca="false" dt2D="false" dtr="false" t="normal">HEX2DEC(J175)</f>
        <v>0</v>
      </c>
      <c r="K177" s="53" t="n">
        <f aca="false" ca="false" dt2D="false" dtr="false" t="normal">HEX2DEC(K175)</f>
        <v>0</v>
      </c>
      <c r="L177" s="53" t="n">
        <f aca="false" ca="false" dt2D="false" dtr="false" t="normal">HEX2DEC(L175)</f>
        <v>0</v>
      </c>
      <c r="M177" s="53" t="n">
        <f aca="false" ca="false" dt2D="false" dtr="false" t="normal">SUM(D177:L177)</f>
        <v>195</v>
      </c>
      <c r="N177" s="63" t="n"/>
      <c r="P177" s="136" t="n">
        <f aca="false" ca="false" dt2D="false" dtr="false" t="normal">MID(H171, 7, 1)</f>
        <v>0</v>
      </c>
      <c r="Q177" s="137" t="n">
        <f aca="false" ca="false" dt2D="false" dtr="false" t="normal">P177</f>
        <v>0</v>
      </c>
      <c r="R177" s="120" t="s">
        <v>206</v>
      </c>
      <c r="S177" s="131" t="s">
        <v>196</v>
      </c>
      <c r="T177" s="136" t="n">
        <f aca="false" ca="false" dt2D="false" dtr="false" t="normal">MID(I171, 7, 1)</f>
        <v>0</v>
      </c>
      <c r="U177" s="137" t="n">
        <f aca="false" ca="false" dt2D="false" dtr="false" t="normal">T177</f>
        <v>0</v>
      </c>
      <c r="V177" s="120" t="s">
        <v>206</v>
      </c>
      <c r="W177" s="131" t="s">
        <v>196</v>
      </c>
      <c r="X177" s="136" t="n">
        <f aca="false" ca="false" dt2D="false" dtr="false" t="normal">MID(J171, 7, 1)</f>
        <v>0</v>
      </c>
      <c r="Y177" s="137" t="n">
        <f aca="false" ca="false" dt2D="false" dtr="false" t="normal">X177</f>
        <v>0</v>
      </c>
      <c r="Z177" s="120" t="s">
        <v>206</v>
      </c>
      <c r="AA177" s="131" t="s">
        <v>196</v>
      </c>
      <c r="AB177" s="136" t="n">
        <f aca="false" ca="false" dt2D="false" dtr="false" t="normal">MID(K171, 7, 1)</f>
        <v>0</v>
      </c>
      <c r="AC177" s="137" t="n">
        <f aca="false" ca="false" dt2D="false" dtr="false" t="normal">AB177</f>
        <v>0</v>
      </c>
      <c r="AD177" s="120" t="s">
        <v>206</v>
      </c>
      <c r="AE177" s="131" t="s">
        <v>196</v>
      </c>
      <c r="AF177" s="136" t="n">
        <f aca="false" ca="false" dt2D="false" dtr="false" t="normal">MID(L171, 7, 1)</f>
        <v>0</v>
      </c>
      <c r="AG177" s="137" t="n">
        <f aca="false" ca="false" dt2D="false" dtr="false" t="normal">AF177</f>
        <v>0</v>
      </c>
      <c r="AH177" s="120" t="s">
        <v>206</v>
      </c>
      <c r="AI177" s="131" t="s">
        <v>196</v>
      </c>
      <c r="AJ177" s="8481" t="s"/>
      <c r="AK177" s="8482" t="s"/>
    </row>
    <row customHeight="true" hidden="false" ht="15.75" outlineLevel="0" r="178">
      <c r="C178" s="180" t="s">
        <v>194</v>
      </c>
      <c r="D178" s="181" t="n">
        <f aca="false" ca="false" dt2D="false" dtr="false" t="normal">D173</f>
        <v>7</v>
      </c>
      <c r="E178" s="181" t="str">
        <f aca="false" ca="false" dt2D="false" dtr="false" t="normal">E173</f>
        <v>A5</v>
      </c>
      <c r="F178" s="181" t="str">
        <f aca="false" ca="false" dt2D="false" dtr="false" t="normal">F173</f>
        <v>G1</v>
      </c>
      <c r="G178" s="181" t="str">
        <f aca="false" ca="false" dt2D="false" dtr="false" t="normal">G173</f>
        <v>H0</v>
      </c>
      <c r="H178" s="45" t="n"/>
      <c r="I178" s="45" t="n"/>
      <c r="J178" s="45" t="n"/>
      <c r="K178" s="45" t="n"/>
      <c r="L178" s="45" t="n"/>
      <c r="M178" s="45" t="n"/>
      <c r="N178" s="49" t="n"/>
      <c r="P178" s="182" t="n">
        <f aca="false" ca="false" dt2D="false" dtr="false" t="normal">MID(H171, 8, 1)</f>
        <v>0</v>
      </c>
      <c r="Q178" s="183" t="n">
        <f aca="false" ca="false" dt2D="false" dtr="false" t="normal">P178</f>
        <v>0</v>
      </c>
      <c r="R178" s="184" t="s">
        <v>208</v>
      </c>
      <c r="S178" s="185" t="s">
        <v>196</v>
      </c>
      <c r="T178" s="182" t="n">
        <f aca="false" ca="false" dt2D="false" dtr="false" t="normal">MID(I171, 8, 1)</f>
        <v>0</v>
      </c>
      <c r="U178" s="183" t="n">
        <f aca="false" ca="false" dt2D="false" dtr="false" t="normal">T178</f>
        <v>0</v>
      </c>
      <c r="V178" s="184" t="s">
        <v>208</v>
      </c>
      <c r="W178" s="185" t="s">
        <v>196</v>
      </c>
      <c r="X178" s="182" t="n">
        <f aca="false" ca="false" dt2D="false" dtr="false" t="normal">MID(J171, 8, 1)</f>
        <v>0</v>
      </c>
      <c r="Y178" s="183" t="n">
        <f aca="false" ca="false" dt2D="false" dtr="false" t="normal">X178</f>
        <v>0</v>
      </c>
      <c r="Z178" s="184" t="s">
        <v>208</v>
      </c>
      <c r="AA178" s="185" t="s">
        <v>196</v>
      </c>
      <c r="AB178" s="182" t="n">
        <f aca="false" ca="false" dt2D="false" dtr="false" t="normal">MID(K171, 8, 1)</f>
        <v>0</v>
      </c>
      <c r="AC178" s="183" t="n">
        <f aca="false" ca="false" dt2D="false" dtr="false" t="normal">AB178</f>
        <v>0</v>
      </c>
      <c r="AD178" s="184" t="s">
        <v>208</v>
      </c>
      <c r="AE178" s="185" t="s">
        <v>196</v>
      </c>
      <c r="AF178" s="182" t="n">
        <f aca="false" ca="false" dt2D="false" dtr="false" t="normal">MID(L171, 8, 1)</f>
        <v>0</v>
      </c>
      <c r="AG178" s="183" t="n">
        <f aca="false" ca="false" dt2D="false" dtr="false" t="normal">AF178</f>
        <v>0</v>
      </c>
      <c r="AH178" s="184" t="s">
        <v>208</v>
      </c>
      <c r="AI178" s="185" t="s">
        <v>196</v>
      </c>
      <c r="AJ178" s="8483" t="s"/>
      <c r="AK178" s="8484" t="s"/>
    </row>
    <row hidden="false" ht="15.75" outlineLevel="0" r="179">
      <c r="C179" s="93" t="n"/>
      <c r="D179" s="7585" t="n"/>
      <c r="E179" s="7585" t="n"/>
      <c r="F179" s="7585" t="n"/>
      <c r="G179" s="7585" t="n"/>
      <c r="H179" s="94" t="n"/>
      <c r="I179" s="94" t="n"/>
      <c r="J179" s="94" t="n"/>
      <c r="K179" s="94" t="n"/>
      <c r="L179" s="94" t="n"/>
      <c r="M179" s="94" t="s">
        <v>161</v>
      </c>
      <c r="N179" s="60" t="n"/>
      <c r="P179" s="95" t="str">
        <f aca="false" ca="false" dt2D="false" dtr="false" t="normal">RIGHT(D181, 1)&amp;E181&amp;"-"&amp;F181&amp;"-"&amp;G181</f>
        <v>7A5-01-17</v>
      </c>
      <c r="Q179" s="8485" t="s"/>
      <c r="R179" s="234" t="s">
        <v>4064</v>
      </c>
      <c r="S179" s="8486" t="s"/>
      <c r="T179" s="8487" t="s"/>
      <c r="U179" s="8488" t="s"/>
      <c r="V179" s="8489" t="s"/>
      <c r="W179" s="8490" t="s"/>
      <c r="X179" s="8491" t="s"/>
      <c r="Y179" s="8492" t="s"/>
      <c r="Z179" s="8493" t="s"/>
      <c r="AA179" s="8494" t="s"/>
      <c r="AB179" s="8495" t="s"/>
      <c r="AC179" s="8496" t="s"/>
      <c r="AD179" s="8497" t="s"/>
      <c r="AE179" s="8498" t="s"/>
      <c r="AF179" s="8499" t="s"/>
      <c r="AG179" s="8500" t="s"/>
      <c r="AH179" s="8501" t="s"/>
      <c r="AI179" s="8502" t="s"/>
      <c r="AJ179" s="8503" t="s"/>
      <c r="AK179" s="8504" t="s"/>
    </row>
    <row hidden="false" ht="15.75" outlineLevel="0" r="180">
      <c r="C180" s="98" t="n"/>
      <c r="D180" s="7606" t="s">
        <v>4065</v>
      </c>
      <c r="E180" s="8505" t="s"/>
      <c r="F180" s="8506" t="s"/>
      <c r="G180" s="8507" t="s"/>
      <c r="H180" s="53" t="s">
        <v>165</v>
      </c>
      <c r="I180" s="53" t="s">
        <v>166</v>
      </c>
      <c r="J180" s="53" t="s">
        <v>167</v>
      </c>
      <c r="K180" s="53" t="s">
        <v>168</v>
      </c>
      <c r="L180" s="53" t="s">
        <v>169</v>
      </c>
      <c r="M180" s="53" t="s">
        <v>221</v>
      </c>
      <c r="N180" s="63" t="n"/>
      <c r="P180" s="103" t="s">
        <v>4066</v>
      </c>
      <c r="Q180" s="8508" t="s"/>
      <c r="R180" s="8509" t="s"/>
      <c r="S180" s="8510" t="s"/>
      <c r="T180" s="103" t="s">
        <v>4067</v>
      </c>
      <c r="U180" s="8511" t="s"/>
      <c r="V180" s="8512" t="s"/>
      <c r="W180" s="8513" t="s"/>
      <c r="X180" s="103" t="s">
        <v>4068</v>
      </c>
      <c r="Y180" s="8514" t="s"/>
      <c r="Z180" s="8515" t="s"/>
      <c r="AA180" s="8516" t="s"/>
      <c r="AB180" s="103" t="s">
        <v>4069</v>
      </c>
      <c r="AC180" s="8517" t="s"/>
      <c r="AD180" s="8518" t="s"/>
      <c r="AE180" s="8519" t="s"/>
      <c r="AF180" s="103" t="s">
        <v>4070</v>
      </c>
      <c r="AG180" s="8520" t="s"/>
      <c r="AH180" s="8521" t="s"/>
      <c r="AI180" s="8522" t="s"/>
      <c r="AJ180" s="103" t="s">
        <v>4071</v>
      </c>
      <c r="AK180" s="8523" t="s"/>
    </row>
    <row customHeight="true" hidden="false" ht="15.75" outlineLevel="0" r="181">
      <c r="C181" s="98" t="s">
        <v>176</v>
      </c>
      <c r="D181" s="122" t="s">
        <v>177</v>
      </c>
      <c r="E181" s="123" t="s">
        <v>3892</v>
      </c>
      <c r="F181" s="123" t="s">
        <v>179</v>
      </c>
      <c r="G181" s="124" t="s">
        <v>1396</v>
      </c>
      <c r="H181" s="273" t="n">
        <f aca="false" ca="false" dt2D="false" dtr="false" t="normal">MID($A$20, 8, 2)</f>
        <v>0</v>
      </c>
      <c r="I181" s="7626" t="n">
        <f aca="false" ca="false" dt2D="false" dtr="false" t="normal">MID($A$20, 10, 2)</f>
        <v>0</v>
      </c>
      <c r="J181" s="7626" t="n">
        <f aca="false" ca="false" dt2D="false" dtr="false" t="normal">MID($A$20, 12, 2)</f>
        <v>0</v>
      </c>
      <c r="K181" s="7626" t="n">
        <f aca="false" ca="false" dt2D="false" dtr="false" t="normal">MID($A$20, 14, 2)</f>
        <v>0</v>
      </c>
      <c r="L181" s="7627" t="n">
        <f aca="false" ca="false" dt2D="false" dtr="false" t="normal">MID($A$20, 16, 2)</f>
        <v>0</v>
      </c>
      <c r="M181" s="7553" t="str">
        <f aca="false" ca="false" dt2D="false" dtr="false" t="normal">MID($A$20, 18, 2)</f>
        <v>C4</v>
      </c>
      <c r="N181" s="63" t="s">
        <v>180</v>
      </c>
      <c r="P181" s="129" t="s">
        <v>180</v>
      </c>
      <c r="Q181" s="130" t="s">
        <v>181</v>
      </c>
      <c r="R181" s="121" t="s">
        <v>182</v>
      </c>
      <c r="S181" s="131" t="n"/>
      <c r="T181" s="129" t="s">
        <v>180</v>
      </c>
      <c r="U181" s="130" t="s">
        <v>181</v>
      </c>
      <c r="V181" s="121" t="s">
        <v>182</v>
      </c>
      <c r="W181" s="131" t="n"/>
      <c r="X181" s="129" t="s">
        <v>180</v>
      </c>
      <c r="Y181" s="130" t="s">
        <v>181</v>
      </c>
      <c r="Z181" s="121" t="s">
        <v>182</v>
      </c>
      <c r="AA181" s="131" t="n"/>
      <c r="AB181" s="129" t="s">
        <v>180</v>
      </c>
      <c r="AC181" s="130" t="s">
        <v>181</v>
      </c>
      <c r="AD181" s="121" t="s">
        <v>182</v>
      </c>
      <c r="AE181" s="131" t="n"/>
      <c r="AF181" s="129" t="s">
        <v>180</v>
      </c>
      <c r="AG181" s="130" t="s">
        <v>181</v>
      </c>
      <c r="AH181" s="121" t="s">
        <v>182</v>
      </c>
      <c r="AI181" s="121" t="n"/>
      <c r="AJ181" s="116" t="s">
        <v>183</v>
      </c>
      <c r="AK181" s="8524" t="s"/>
    </row>
    <row customHeight="true" hidden="false" ht="15" outlineLevel="0" r="182">
      <c r="C182" s="98" t="s">
        <v>185</v>
      </c>
      <c r="D182" s="149" t="n">
        <f aca="false" ca="false" dt2D="false" dtr="false" t="normal">HEX2BIN(D181, 8)</f>
        <v>111</v>
      </c>
      <c r="E182" s="149" t="n">
        <f aca="false" ca="false" dt2D="false" dtr="false" t="normal">HEX2BIN(E181, 8)</f>
        <v>10100101</v>
      </c>
      <c r="F182" s="149" t="n">
        <f aca="false" ca="false" dt2D="false" dtr="false" t="normal">HEX2BIN(F181, 8)</f>
        <v>1</v>
      </c>
      <c r="G182" s="149" t="n">
        <f aca="false" ca="false" dt2D="false" dtr="false" t="normal">HEX2BIN(G181, 8)</f>
        <v>10111</v>
      </c>
      <c r="H182" s="53" t="n">
        <f aca="false" ca="false" dt2D="false" dtr="false" t="normal">HEX2BIN(H181, 8)</f>
        <v>0</v>
      </c>
      <c r="I182" s="53" t="n">
        <f aca="false" ca="false" dt2D="false" dtr="false" t="normal">HEX2BIN(I181, 8)</f>
        <v>0</v>
      </c>
      <c r="J182" s="53" t="n">
        <f aca="false" ca="false" dt2D="false" dtr="false" t="normal">HEX2BIN(J181, 8)</f>
        <v>0</v>
      </c>
      <c r="K182" s="53" t="n">
        <f aca="false" ca="false" dt2D="false" dtr="false" t="normal">HEX2BIN(K181, 8)</f>
        <v>0</v>
      </c>
      <c r="L182" s="53" t="n">
        <f aca="false" ca="false" dt2D="false" dtr="false" t="normal">HEX2BIN(L181, 8)</f>
        <v>0</v>
      </c>
      <c r="M182" s="53" t="n"/>
      <c r="N182" s="63" t="n"/>
      <c r="P182" s="136" t="n">
        <f aca="false" ca="false" dt2D="false" dtr="false" t="normal">MID(H182, 1, 1)</f>
        <v>0</v>
      </c>
      <c r="Q182" s="137" t="n">
        <f aca="false" ca="false" dt2D="false" dtr="false" t="normal">P182</f>
        <v>0</v>
      </c>
      <c r="R182" s="120" t="s">
        <v>186</v>
      </c>
      <c r="S182" s="131" t="s">
        <v>196</v>
      </c>
      <c r="T182" s="136" t="n">
        <f aca="false" ca="false" dt2D="false" dtr="false" t="normal">MID(I182, 1, 1)</f>
        <v>0</v>
      </c>
      <c r="U182" s="137" t="n">
        <f aca="false" ca="false" dt2D="false" dtr="false" t="normal">T182</f>
        <v>0</v>
      </c>
      <c r="V182" s="120" t="s">
        <v>186</v>
      </c>
      <c r="W182" s="131" t="s">
        <v>196</v>
      </c>
      <c r="X182" s="136" t="n">
        <f aca="false" ca="false" dt2D="false" dtr="false" t="normal">MID(J182, 1, 1)</f>
        <v>0</v>
      </c>
      <c r="Y182" s="137" t="n">
        <f aca="false" ca="false" dt2D="false" dtr="false" t="normal">X182</f>
        <v>0</v>
      </c>
      <c r="Z182" s="120" t="s">
        <v>186</v>
      </c>
      <c r="AA182" s="131" t="s">
        <v>196</v>
      </c>
      <c r="AB182" s="136" t="n">
        <f aca="false" ca="false" dt2D="false" dtr="false" t="normal">MID(K182, 1, 1)</f>
        <v>0</v>
      </c>
      <c r="AC182" s="137" t="n">
        <f aca="false" ca="false" dt2D="false" dtr="false" t="normal">AB182</f>
        <v>0</v>
      </c>
      <c r="AD182" s="120" t="s">
        <v>186</v>
      </c>
      <c r="AE182" s="131" t="s">
        <v>196</v>
      </c>
      <c r="AF182" s="136" t="n">
        <f aca="false" ca="false" dt2D="false" dtr="false" t="normal">MID(L182, 1, 1)</f>
        <v>0</v>
      </c>
      <c r="AG182" s="137" t="n">
        <f aca="false" ca="false" dt2D="false" dtr="false" t="normal">AF182</f>
        <v>0</v>
      </c>
      <c r="AH182" s="120" t="s">
        <v>186</v>
      </c>
      <c r="AI182" s="131" t="s">
        <v>196</v>
      </c>
      <c r="AJ182" s="8525" t="s"/>
      <c r="AK182" s="8526" t="s"/>
    </row>
    <row customHeight="true" hidden="false" ht="15" outlineLevel="0" r="183">
      <c r="C183" s="98" t="s">
        <v>191</v>
      </c>
      <c r="D183" s="149" t="n">
        <f aca="false" ca="false" dt2D="false" dtr="false" t="normal">HEX2DEC(D181)</f>
        <v>7</v>
      </c>
      <c r="E183" s="149" t="n">
        <f aca="false" ca="false" dt2D="false" dtr="false" t="normal">HEX2DEC(E181)</f>
        <v>165</v>
      </c>
      <c r="F183" s="149" t="n">
        <f aca="false" ca="false" dt2D="false" dtr="false" t="normal">HEX2DEC(F181)</f>
        <v>1</v>
      </c>
      <c r="G183" s="149" t="n">
        <f aca="false" ca="false" dt2D="false" dtr="false" t="normal">HEX2DEC(G181)</f>
        <v>23</v>
      </c>
      <c r="H183" s="53" t="n">
        <f aca="false" ca="false" dt2D="false" dtr="false" t="normal">HEX2DEC(H181)</f>
        <v>0</v>
      </c>
      <c r="I183" s="53" t="n">
        <f aca="false" ca="false" dt2D="false" dtr="false" t="normal">HEX2DEC(I181)</f>
        <v>0</v>
      </c>
      <c r="J183" s="53" t="n">
        <f aca="false" ca="false" dt2D="false" dtr="false" t="normal">HEX2DEC(J181)</f>
        <v>0</v>
      </c>
      <c r="K183" s="53" t="n">
        <f aca="false" ca="false" dt2D="false" dtr="false" t="normal">HEX2DEC(K181)</f>
        <v>0</v>
      </c>
      <c r="L183" s="53" t="n">
        <f aca="false" ca="false" dt2D="false" dtr="false" t="normal">HEX2DEC(L181)</f>
        <v>0</v>
      </c>
      <c r="M183" s="53" t="n">
        <f aca="false" ca="false" dt2D="false" dtr="false" t="normal">SUM(D183:L183)</f>
        <v>196</v>
      </c>
      <c r="N183" s="63" t="n"/>
      <c r="P183" s="136" t="n">
        <f aca="false" ca="false" dt2D="false" dtr="false" t="normal">MID(H182, 2, 1)</f>
        <v>0</v>
      </c>
      <c r="Q183" s="137" t="n">
        <f aca="false" ca="false" dt2D="false" dtr="false" t="normal">P183</f>
        <v>0</v>
      </c>
      <c r="R183" s="120" t="s">
        <v>192</v>
      </c>
      <c r="S183" s="131" t="s">
        <v>196</v>
      </c>
      <c r="T183" s="136" t="n">
        <f aca="false" ca="false" dt2D="false" dtr="false" t="normal">MID(I182, 2, 1)</f>
        <v>0</v>
      </c>
      <c r="U183" s="137" t="n">
        <f aca="false" ca="false" dt2D="false" dtr="false" t="normal">T183</f>
        <v>0</v>
      </c>
      <c r="V183" s="120" t="s">
        <v>192</v>
      </c>
      <c r="W183" s="131" t="s">
        <v>196</v>
      </c>
      <c r="X183" s="136" t="n">
        <f aca="false" ca="false" dt2D="false" dtr="false" t="normal">MID(J182, 2, 1)</f>
        <v>0</v>
      </c>
      <c r="Y183" s="137" t="n">
        <f aca="false" ca="false" dt2D="false" dtr="false" t="normal">X183</f>
        <v>0</v>
      </c>
      <c r="Z183" s="120" t="s">
        <v>192</v>
      </c>
      <c r="AA183" s="131" t="s">
        <v>196</v>
      </c>
      <c r="AB183" s="136" t="n">
        <f aca="false" ca="false" dt2D="false" dtr="false" t="normal">MID(K182, 2, 1)</f>
        <v>0</v>
      </c>
      <c r="AC183" s="137" t="n">
        <f aca="false" ca="false" dt2D="false" dtr="false" t="normal">AB183</f>
        <v>0</v>
      </c>
      <c r="AD183" s="120" t="s">
        <v>192</v>
      </c>
      <c r="AE183" s="131" t="s">
        <v>196</v>
      </c>
      <c r="AF183" s="136" t="n">
        <f aca="false" ca="false" dt2D="false" dtr="false" t="normal">MID(L182, 2, 1)</f>
        <v>0</v>
      </c>
      <c r="AG183" s="137" t="n">
        <f aca="false" ca="false" dt2D="false" dtr="false" t="normal">AF183</f>
        <v>0</v>
      </c>
      <c r="AH183" s="120" t="s">
        <v>192</v>
      </c>
      <c r="AI183" s="131" t="s">
        <v>196</v>
      </c>
      <c r="AJ183" s="8527" t="s"/>
      <c r="AK183" s="8528" t="s"/>
    </row>
    <row customHeight="true" hidden="false" ht="15" outlineLevel="0" r="184">
      <c r="C184" s="98" t="s">
        <v>194</v>
      </c>
      <c r="D184" s="149" t="n">
        <f aca="false" ca="false" dt2D="false" dtr="false" t="normal">D181</f>
        <v>7</v>
      </c>
      <c r="E184" s="149" t="str">
        <f aca="false" ca="false" dt2D="false" dtr="false" t="normal">E181</f>
        <v>A5</v>
      </c>
      <c r="F184" s="149" t="str">
        <f aca="false" ca="false" dt2D="false" dtr="false" t="normal">MID($A$20, 4, 2)</f>
        <v>G1</v>
      </c>
      <c r="G184" s="149" t="str">
        <f aca="false" ca="false" dt2D="false" dtr="false" t="normal">MID($A$20, 6, 2)</f>
        <v>H1</v>
      </c>
      <c r="N184" s="63" t="n"/>
      <c r="P184" s="136" t="n">
        <f aca="false" ca="false" dt2D="false" dtr="false" t="normal">MID(H182, 3, 1)</f>
        <v>0</v>
      </c>
      <c r="Q184" s="137" t="n">
        <f aca="false" ca="false" dt2D="false" dtr="false" t="normal">P184</f>
        <v>0</v>
      </c>
      <c r="R184" s="120" t="s">
        <v>195</v>
      </c>
      <c r="S184" s="131" t="s">
        <v>196</v>
      </c>
      <c r="T184" s="136" t="n">
        <f aca="false" ca="false" dt2D="false" dtr="false" t="normal">MID(I182, 3, 1)</f>
        <v>0</v>
      </c>
      <c r="U184" s="137" t="n">
        <f aca="false" ca="false" dt2D="false" dtr="false" t="normal">T184</f>
        <v>0</v>
      </c>
      <c r="V184" s="120" t="s">
        <v>195</v>
      </c>
      <c r="W184" s="131" t="s">
        <v>196</v>
      </c>
      <c r="X184" s="136" t="n">
        <f aca="false" ca="false" dt2D="false" dtr="false" t="normal">MID(J182, 3, 1)</f>
        <v>0</v>
      </c>
      <c r="Y184" s="137" t="n">
        <f aca="false" ca="false" dt2D="false" dtr="false" t="normal">X184</f>
        <v>0</v>
      </c>
      <c r="Z184" s="120" t="s">
        <v>195</v>
      </c>
      <c r="AA184" s="131" t="s">
        <v>196</v>
      </c>
      <c r="AB184" s="136" t="n">
        <f aca="false" ca="false" dt2D="false" dtr="false" t="normal">MID(K182, 3, 1)</f>
        <v>0</v>
      </c>
      <c r="AC184" s="137" t="n">
        <f aca="false" ca="false" dt2D="false" dtr="false" t="normal">AB184</f>
        <v>0</v>
      </c>
      <c r="AD184" s="120" t="s">
        <v>195</v>
      </c>
      <c r="AE184" s="131" t="s">
        <v>196</v>
      </c>
      <c r="AF184" s="136" t="n">
        <f aca="false" ca="false" dt2D="false" dtr="false" t="normal">MID(L182, 3, 1)</f>
        <v>0</v>
      </c>
      <c r="AG184" s="137" t="n">
        <f aca="false" ca="false" dt2D="false" dtr="false" t="normal">AF184</f>
        <v>0</v>
      </c>
      <c r="AH184" s="120" t="s">
        <v>195</v>
      </c>
      <c r="AI184" s="131" t="s">
        <v>196</v>
      </c>
      <c r="AJ184" s="8529" t="s"/>
      <c r="AK184" s="8530" t="s"/>
    </row>
    <row customHeight="true" hidden="false" ht="15.75" outlineLevel="0" r="185">
      <c r="C185" s="98" t="n"/>
      <c r="N185" s="63" t="n"/>
      <c r="P185" s="136" t="n">
        <f aca="false" ca="false" dt2D="false" dtr="false" t="normal">MID(H182, 4, 1)</f>
        <v>0</v>
      </c>
      <c r="Q185" s="137" t="n">
        <f aca="false" ca="false" dt2D="false" dtr="false" t="normal">P185</f>
        <v>0</v>
      </c>
      <c r="R185" s="120" t="s">
        <v>197</v>
      </c>
      <c r="S185" s="131" t="s">
        <v>196</v>
      </c>
      <c r="T185" s="136" t="n">
        <f aca="false" ca="false" dt2D="false" dtr="false" t="normal">MID(I182, 4, 1)</f>
        <v>0</v>
      </c>
      <c r="U185" s="137" t="n">
        <f aca="false" ca="false" dt2D="false" dtr="false" t="normal">T185</f>
        <v>0</v>
      </c>
      <c r="V185" s="120" t="s">
        <v>197</v>
      </c>
      <c r="W185" s="131" t="s">
        <v>196</v>
      </c>
      <c r="X185" s="136" t="n">
        <f aca="false" ca="false" dt2D="false" dtr="false" t="normal">MID(J182, 4, 1)</f>
        <v>0</v>
      </c>
      <c r="Y185" s="137" t="n">
        <f aca="false" ca="false" dt2D="false" dtr="false" t="normal">X185</f>
        <v>0</v>
      </c>
      <c r="Z185" s="120" t="s">
        <v>197</v>
      </c>
      <c r="AA185" s="131" t="s">
        <v>196</v>
      </c>
      <c r="AB185" s="136" t="n">
        <f aca="false" ca="false" dt2D="false" dtr="false" t="normal">MID(K182, 4, 1)</f>
        <v>0</v>
      </c>
      <c r="AC185" s="137" t="n">
        <f aca="false" ca="false" dt2D="false" dtr="false" t="normal">AB185</f>
        <v>0</v>
      </c>
      <c r="AD185" s="120" t="s">
        <v>197</v>
      </c>
      <c r="AE185" s="131" t="s">
        <v>196</v>
      </c>
      <c r="AF185" s="136" t="n">
        <f aca="false" ca="false" dt2D="false" dtr="false" t="normal">MID(L182, 4, 1)</f>
        <v>0</v>
      </c>
      <c r="AG185" s="137" t="n">
        <f aca="false" ca="false" dt2D="false" dtr="false" t="normal">AF185</f>
        <v>0</v>
      </c>
      <c r="AH185" s="120" t="s">
        <v>197</v>
      </c>
      <c r="AI185" s="131" t="s">
        <v>196</v>
      </c>
      <c r="AJ185" s="8531" t="s"/>
      <c r="AK185" s="8532" t="s"/>
    </row>
    <row customHeight="true" hidden="false" ht="15.75" outlineLevel="0" r="186">
      <c r="C186" s="98" t="s">
        <v>176</v>
      </c>
      <c r="D186" s="122" t="n">
        <f aca="false" ca="false" dt2D="false" dtr="false" t="normal">D181</f>
        <v>7</v>
      </c>
      <c r="E186" s="123" t="str">
        <f aca="false" ca="false" dt2D="false" dtr="false" t="normal">E181</f>
        <v>A5</v>
      </c>
      <c r="F186" s="123" t="n">
        <f aca="false" ca="false" dt2D="false" dtr="false" t="normal">F181</f>
        <v>1</v>
      </c>
      <c r="G186" s="124" t="n">
        <f aca="false" ca="false" dt2D="false" dtr="false" t="normal">G181</f>
        <v>17</v>
      </c>
      <c r="H186" s="162" t="n">
        <f aca="false" ca="false" dt2D="false" dtr="false" t="normal">BIN2HEX(H187, 2)</f>
        <v>0</v>
      </c>
      <c r="I186" s="163" t="n">
        <f aca="false" ca="false" dt2D="false" dtr="false" t="normal">BIN2HEX(I187, 2)</f>
        <v>0</v>
      </c>
      <c r="J186" s="164" t="n">
        <f aca="false" ca="false" dt2D="false" dtr="false" t="normal">BIN2HEX(J187, 2)</f>
        <v>0</v>
      </c>
      <c r="K186" s="165" t="n">
        <f aca="false" ca="false" dt2D="false" dtr="false" t="normal">BIN2HEX(K187, 2)</f>
        <v>0</v>
      </c>
      <c r="L186" s="288" t="n">
        <f aca="false" ca="false" dt2D="false" dtr="false" t="normal">BIN2HEX(L187, 2)</f>
        <v>0</v>
      </c>
      <c r="M186" s="166" t="str">
        <f aca="false" ca="false" dt2D="false" dtr="false" t="normal">IF(LEN(M187)&gt;2, MID(M187, 2, 2), M187)</f>
        <v>C4</v>
      </c>
      <c r="N186" s="63" t="s">
        <v>181</v>
      </c>
      <c r="P186" s="136" t="n">
        <f aca="false" ca="false" dt2D="false" dtr="false" t="normal">MID(H182, 5, 1)</f>
        <v>0</v>
      </c>
      <c r="Q186" s="137" t="n">
        <f aca="false" ca="false" dt2D="false" dtr="false" t="normal">P186</f>
        <v>0</v>
      </c>
      <c r="R186" s="120" t="s">
        <v>200</v>
      </c>
      <c r="S186" s="131" t="s">
        <v>196</v>
      </c>
      <c r="T186" s="136" t="n">
        <f aca="false" ca="false" dt2D="false" dtr="false" t="normal">MID(I182, 5, 1)</f>
        <v>0</v>
      </c>
      <c r="U186" s="137" t="n">
        <f aca="false" ca="false" dt2D="false" dtr="false" t="normal">T186</f>
        <v>0</v>
      </c>
      <c r="V186" s="120" t="s">
        <v>200</v>
      </c>
      <c r="W186" s="131" t="s">
        <v>196</v>
      </c>
      <c r="X186" s="136" t="n">
        <f aca="false" ca="false" dt2D="false" dtr="false" t="normal">MID(J182, 5, 1)</f>
        <v>0</v>
      </c>
      <c r="Y186" s="137" t="n">
        <f aca="false" ca="false" dt2D="false" dtr="false" t="normal">X186</f>
        <v>0</v>
      </c>
      <c r="Z186" s="120" t="s">
        <v>200</v>
      </c>
      <c r="AA186" s="131" t="s">
        <v>196</v>
      </c>
      <c r="AB186" s="136" t="n">
        <f aca="false" ca="false" dt2D="false" dtr="false" t="normal">MID(K182, 5, 1)</f>
        <v>0</v>
      </c>
      <c r="AC186" s="137" t="n">
        <f aca="false" ca="false" dt2D="false" dtr="false" t="normal">AB186</f>
        <v>0</v>
      </c>
      <c r="AD186" s="120" t="s">
        <v>200</v>
      </c>
      <c r="AE186" s="131" t="s">
        <v>196</v>
      </c>
      <c r="AF186" s="136" t="n">
        <f aca="false" ca="false" dt2D="false" dtr="false" t="normal">MID(L182, 5, 1)</f>
        <v>0</v>
      </c>
      <c r="AG186" s="137" t="n">
        <f aca="false" ca="false" dt2D="false" dtr="false" t="normal">AF186</f>
        <v>0</v>
      </c>
      <c r="AH186" s="120" t="s">
        <v>200</v>
      </c>
      <c r="AI186" s="131" t="s">
        <v>196</v>
      </c>
      <c r="AJ186" s="8533" t="s"/>
      <c r="AK186" s="8534" t="s"/>
    </row>
    <row customHeight="true" hidden="false" ht="15" outlineLevel="0" r="187">
      <c r="C187" s="98" t="s">
        <v>185</v>
      </c>
      <c r="D187" s="149" t="n">
        <f aca="false" ca="false" dt2D="false" dtr="false" t="normal">HEX2BIN(D186, 8)</f>
        <v>111</v>
      </c>
      <c r="E187" s="149" t="n">
        <f aca="false" ca="false" dt2D="false" dtr="false" t="normal">HEX2BIN(E186, 8)</f>
        <v>10100101</v>
      </c>
      <c r="F187" s="149" t="n">
        <f aca="false" ca="false" dt2D="false" dtr="false" t="normal">HEX2BIN(F186, 8)</f>
        <v>1</v>
      </c>
      <c r="G187" s="149" t="n">
        <f aca="false" ca="false" dt2D="false" dtr="false" t="normal">HEX2BIN(G186, 8)</f>
        <v>10111</v>
      </c>
      <c r="H187" s="53" t="n">
        <f aca="false" ca="false" dt2D="false" dtr="false" t="normal">Q182&amp;Q183&amp;Q184&amp;Q185&amp;Q186&amp;Q187&amp;Q188&amp;Q189</f>
        <v>0</v>
      </c>
      <c r="I187" s="53" t="n">
        <f aca="false" ca="false" dt2D="false" dtr="false" t="normal">U182&amp;U183&amp;U184&amp;U185&amp;U186&amp;U187&amp;U188&amp;U189</f>
        <v>0</v>
      </c>
      <c r="J187" s="53" t="n">
        <f aca="false" ca="false" dt2D="false" dtr="false" t="normal">Y182&amp;Y183&amp;Y184&amp;Y185&amp;Y186&amp;Y187&amp;Y188&amp;Y189</f>
        <v>0</v>
      </c>
      <c r="K187" s="53" t="n">
        <f aca="false" ca="false" dt2D="false" dtr="false" t="normal">AC182&amp;AC183&amp;AC184&amp;AC185&amp;AC186&amp;AC187&amp;AC188&amp;AC189</f>
        <v>0</v>
      </c>
      <c r="L187" s="53" t="n">
        <f aca="false" ca="false" dt2D="false" dtr="false" t="normal">AG182&amp;AG183&amp;AG184&amp;AG185&amp;AG186&amp;AG187&amp;AG188&amp;AG189</f>
        <v>0</v>
      </c>
      <c r="M187" s="53" t="str">
        <f aca="false" ca="false" dt2D="false" dtr="false" t="normal">DEC2HEX(M188)</f>
        <v>C4</v>
      </c>
      <c r="N187" s="63" t="n"/>
      <c r="P187" s="136" t="n">
        <f aca="false" ca="false" dt2D="false" dtr="false" t="normal">MID(H182, 6, 1)</f>
        <v>0</v>
      </c>
      <c r="Q187" s="137" t="n">
        <f aca="false" ca="false" dt2D="false" dtr="false" t="normal">P187</f>
        <v>0</v>
      </c>
      <c r="R187" s="120" t="s">
        <v>203</v>
      </c>
      <c r="S187" s="131" t="s">
        <v>196</v>
      </c>
      <c r="T187" s="136" t="n">
        <f aca="false" ca="false" dt2D="false" dtr="false" t="normal">MID(I182, 6, 1)</f>
        <v>0</v>
      </c>
      <c r="U187" s="137" t="n">
        <f aca="false" ca="false" dt2D="false" dtr="false" t="normal">T187</f>
        <v>0</v>
      </c>
      <c r="V187" s="120" t="s">
        <v>203</v>
      </c>
      <c r="W187" s="131" t="s">
        <v>196</v>
      </c>
      <c r="X187" s="136" t="n">
        <f aca="false" ca="false" dt2D="false" dtr="false" t="normal">MID(J182, 6, 1)</f>
        <v>0</v>
      </c>
      <c r="Y187" s="137" t="n">
        <f aca="false" ca="false" dt2D="false" dtr="false" t="normal">X187</f>
        <v>0</v>
      </c>
      <c r="Z187" s="120" t="s">
        <v>203</v>
      </c>
      <c r="AA187" s="131" t="s">
        <v>196</v>
      </c>
      <c r="AB187" s="136" t="n">
        <f aca="false" ca="false" dt2D="false" dtr="false" t="normal">MID(K182, 6, 1)</f>
        <v>0</v>
      </c>
      <c r="AC187" s="137" t="n">
        <f aca="false" ca="false" dt2D="false" dtr="false" t="normal">AB187</f>
        <v>0</v>
      </c>
      <c r="AD187" s="120" t="s">
        <v>203</v>
      </c>
      <c r="AE187" s="131" t="s">
        <v>196</v>
      </c>
      <c r="AF187" s="136" t="n">
        <f aca="false" ca="false" dt2D="false" dtr="false" t="normal">MID(L182, 6, 1)</f>
        <v>0</v>
      </c>
      <c r="AG187" s="137" t="n">
        <f aca="false" ca="false" dt2D="false" dtr="false" t="normal">AF187</f>
        <v>0</v>
      </c>
      <c r="AH187" s="120" t="s">
        <v>203</v>
      </c>
      <c r="AI187" s="131" t="s">
        <v>196</v>
      </c>
      <c r="AJ187" s="8535" t="s"/>
      <c r="AK187" s="8536" t="s"/>
    </row>
    <row customHeight="true" hidden="false" ht="15" outlineLevel="0" r="188">
      <c r="C188" s="98" t="s">
        <v>191</v>
      </c>
      <c r="D188" s="149" t="n">
        <f aca="false" ca="false" dt2D="false" dtr="false" t="normal">HEX2DEC(D186)</f>
        <v>7</v>
      </c>
      <c r="E188" s="149" t="n">
        <f aca="false" ca="false" dt2D="false" dtr="false" t="normal">HEX2DEC(E186)</f>
        <v>165</v>
      </c>
      <c r="F188" s="149" t="n">
        <f aca="false" ca="false" dt2D="false" dtr="false" t="normal">HEX2DEC(F186)</f>
        <v>1</v>
      </c>
      <c r="G188" s="149" t="n">
        <f aca="false" ca="false" dt2D="false" dtr="false" t="normal">HEX2DEC(G186)</f>
        <v>23</v>
      </c>
      <c r="H188" s="53" t="n">
        <f aca="false" ca="false" dt2D="false" dtr="false" t="normal">HEX2DEC(H186)</f>
        <v>0</v>
      </c>
      <c r="I188" s="53" t="n">
        <f aca="false" ca="false" dt2D="false" dtr="false" t="normal">HEX2DEC(I186)</f>
        <v>0</v>
      </c>
      <c r="J188" s="53" t="n">
        <f aca="false" ca="false" dt2D="false" dtr="false" t="normal">HEX2DEC(J186)</f>
        <v>0</v>
      </c>
      <c r="K188" s="53" t="n">
        <f aca="false" ca="false" dt2D="false" dtr="false" t="normal">HEX2DEC(K186)</f>
        <v>0</v>
      </c>
      <c r="L188" s="53" t="n">
        <f aca="false" ca="false" dt2D="false" dtr="false" t="normal">HEX2DEC(L186)</f>
        <v>0</v>
      </c>
      <c r="M188" s="53" t="n">
        <f aca="false" ca="false" dt2D="false" dtr="false" t="normal">SUM(D188:L188)</f>
        <v>196</v>
      </c>
      <c r="N188" s="63" t="n"/>
      <c r="P188" s="136" t="n">
        <f aca="false" ca="false" dt2D="false" dtr="false" t="normal">MID(H182, 7, 1)</f>
        <v>0</v>
      </c>
      <c r="Q188" s="137" t="n">
        <f aca="false" ca="false" dt2D="false" dtr="false" t="normal">P188</f>
        <v>0</v>
      </c>
      <c r="R188" s="120" t="s">
        <v>206</v>
      </c>
      <c r="S188" s="131" t="s">
        <v>196</v>
      </c>
      <c r="T188" s="136" t="n">
        <f aca="false" ca="false" dt2D="false" dtr="false" t="normal">MID(I182, 7, 1)</f>
        <v>0</v>
      </c>
      <c r="U188" s="137" t="n">
        <f aca="false" ca="false" dt2D="false" dtr="false" t="normal">T188</f>
        <v>0</v>
      </c>
      <c r="V188" s="120" t="s">
        <v>206</v>
      </c>
      <c r="W188" s="131" t="s">
        <v>196</v>
      </c>
      <c r="X188" s="136" t="n">
        <f aca="false" ca="false" dt2D="false" dtr="false" t="normal">MID(J182, 7, 1)</f>
        <v>0</v>
      </c>
      <c r="Y188" s="137" t="n">
        <f aca="false" ca="false" dt2D="false" dtr="false" t="normal">X188</f>
        <v>0</v>
      </c>
      <c r="Z188" s="120" t="s">
        <v>206</v>
      </c>
      <c r="AA188" s="131" t="s">
        <v>196</v>
      </c>
      <c r="AB188" s="136" t="n">
        <f aca="false" ca="false" dt2D="false" dtr="false" t="normal">MID(K182, 7, 1)</f>
        <v>0</v>
      </c>
      <c r="AC188" s="137" t="n">
        <f aca="false" ca="false" dt2D="false" dtr="false" t="normal">AB188</f>
        <v>0</v>
      </c>
      <c r="AD188" s="120" t="s">
        <v>206</v>
      </c>
      <c r="AE188" s="131" t="s">
        <v>196</v>
      </c>
      <c r="AF188" s="136" t="n">
        <f aca="false" ca="false" dt2D="false" dtr="false" t="normal">MID(L182, 7, 1)</f>
        <v>0</v>
      </c>
      <c r="AG188" s="137" t="n">
        <f aca="false" ca="false" dt2D="false" dtr="false" t="normal">AF188</f>
        <v>0</v>
      </c>
      <c r="AH188" s="120" t="s">
        <v>206</v>
      </c>
      <c r="AI188" s="131" t="s">
        <v>196</v>
      </c>
      <c r="AJ188" s="8537" t="s"/>
      <c r="AK188" s="8538" t="s"/>
    </row>
    <row customHeight="true" hidden="false" ht="15.75" outlineLevel="0" r="189">
      <c r="C189" s="180" t="s">
        <v>194</v>
      </c>
      <c r="D189" s="181" t="n">
        <f aca="false" ca="false" dt2D="false" dtr="false" t="normal">D184</f>
        <v>7</v>
      </c>
      <c r="E189" s="181" t="str">
        <f aca="false" ca="false" dt2D="false" dtr="false" t="normal">E184</f>
        <v>A5</v>
      </c>
      <c r="F189" s="181" t="str">
        <f aca="false" ca="false" dt2D="false" dtr="false" t="normal">F184</f>
        <v>G1</v>
      </c>
      <c r="G189" s="181" t="str">
        <f aca="false" ca="false" dt2D="false" dtr="false" t="normal">G184</f>
        <v>H1</v>
      </c>
      <c r="H189" s="45" t="n"/>
      <c r="I189" s="45" t="n"/>
      <c r="J189" s="45" t="n"/>
      <c r="K189" s="45" t="n"/>
      <c r="L189" s="45" t="n"/>
      <c r="M189" s="45" t="n"/>
      <c r="N189" s="49" t="n"/>
      <c r="P189" s="182" t="n">
        <f aca="false" ca="false" dt2D="false" dtr="false" t="normal">MID(H182, 8, 1)</f>
        <v>0</v>
      </c>
      <c r="Q189" s="183" t="n">
        <f aca="false" ca="false" dt2D="false" dtr="false" t="normal">P189</f>
        <v>0</v>
      </c>
      <c r="R189" s="184" t="s">
        <v>208</v>
      </c>
      <c r="S189" s="185" t="s">
        <v>196</v>
      </c>
      <c r="T189" s="182" t="n">
        <f aca="false" ca="false" dt2D="false" dtr="false" t="normal">MID(I182, 8, 1)</f>
        <v>0</v>
      </c>
      <c r="U189" s="183" t="n">
        <f aca="false" ca="false" dt2D="false" dtr="false" t="normal">T189</f>
        <v>0</v>
      </c>
      <c r="V189" s="184" t="s">
        <v>208</v>
      </c>
      <c r="W189" s="185" t="s">
        <v>196</v>
      </c>
      <c r="X189" s="182" t="n">
        <f aca="false" ca="false" dt2D="false" dtr="false" t="normal">MID(J182, 8, 1)</f>
        <v>0</v>
      </c>
      <c r="Y189" s="183" t="n">
        <f aca="false" ca="false" dt2D="false" dtr="false" t="normal">X189</f>
        <v>0</v>
      </c>
      <c r="Z189" s="184" t="s">
        <v>208</v>
      </c>
      <c r="AA189" s="185" t="s">
        <v>196</v>
      </c>
      <c r="AB189" s="182" t="n">
        <f aca="false" ca="false" dt2D="false" dtr="false" t="normal">MID(K182, 8, 1)</f>
        <v>0</v>
      </c>
      <c r="AC189" s="183" t="n">
        <f aca="false" ca="false" dt2D="false" dtr="false" t="normal">AB189</f>
        <v>0</v>
      </c>
      <c r="AD189" s="184" t="s">
        <v>208</v>
      </c>
      <c r="AE189" s="185" t="s">
        <v>196</v>
      </c>
      <c r="AF189" s="182" t="n">
        <f aca="false" ca="false" dt2D="false" dtr="false" t="normal">MID(L182, 8, 1)</f>
        <v>0</v>
      </c>
      <c r="AG189" s="183" t="n">
        <f aca="false" ca="false" dt2D="false" dtr="false" t="normal">AF189</f>
        <v>0</v>
      </c>
      <c r="AH189" s="184" t="s">
        <v>208</v>
      </c>
      <c r="AI189" s="185" t="s">
        <v>196</v>
      </c>
      <c r="AJ189" s="8539" t="s"/>
      <c r="AK189" s="8540" t="s"/>
    </row>
    <row hidden="false" ht="15.75" outlineLevel="0" r="190">
      <c r="C190" s="93" t="n"/>
      <c r="D190" s="7585" t="n"/>
      <c r="E190" s="7585" t="n"/>
      <c r="F190" s="7585" t="n"/>
      <c r="G190" s="7585" t="n"/>
      <c r="H190" s="94" t="n"/>
      <c r="I190" s="94" t="n"/>
      <c r="J190" s="94" t="n"/>
      <c r="K190" s="94" t="n"/>
      <c r="L190" s="94" t="n"/>
      <c r="M190" s="94" t="s">
        <v>161</v>
      </c>
      <c r="N190" s="60" t="n"/>
      <c r="P190" s="95" t="str">
        <f aca="false" ca="false" dt2D="false" dtr="false" t="normal">RIGHT(D192, 1)&amp;E192&amp;"-"&amp;F192&amp;"-"&amp;G192</f>
        <v>7A5-01-18</v>
      </c>
      <c r="Q190" s="8541" t="s"/>
      <c r="R190" s="234" t="s">
        <v>4072</v>
      </c>
      <c r="S190" s="8542" t="s"/>
      <c r="T190" s="8543" t="s"/>
      <c r="U190" s="8544" t="s"/>
      <c r="V190" s="8545" t="s"/>
      <c r="W190" s="8546" t="s"/>
      <c r="X190" s="8547" t="s"/>
      <c r="Y190" s="8548" t="s"/>
      <c r="Z190" s="8549" t="s"/>
      <c r="AA190" s="8550" t="s"/>
      <c r="AB190" s="8551" t="s"/>
      <c r="AC190" s="8552" t="s"/>
      <c r="AD190" s="8553" t="s"/>
      <c r="AE190" s="8554" t="s"/>
      <c r="AF190" s="8555" t="s"/>
      <c r="AG190" s="8556" t="s"/>
      <c r="AH190" s="8557" t="s"/>
      <c r="AI190" s="8558" t="s"/>
      <c r="AJ190" s="8559" t="s"/>
      <c r="AK190" s="8560" t="s"/>
    </row>
    <row hidden="false" ht="15.75" outlineLevel="0" r="191">
      <c r="C191" s="98" t="n"/>
      <c r="D191" s="7606" t="s">
        <v>4073</v>
      </c>
      <c r="E191" s="8561" t="s"/>
      <c r="F191" s="8562" t="s"/>
      <c r="G191" s="8563" t="s"/>
      <c r="H191" s="53" t="s">
        <v>165</v>
      </c>
      <c r="I191" s="53" t="s">
        <v>166</v>
      </c>
      <c r="J191" s="53" t="s">
        <v>167</v>
      </c>
      <c r="K191" s="53" t="s">
        <v>168</v>
      </c>
      <c r="L191" s="53" t="s">
        <v>169</v>
      </c>
      <c r="M191" s="53" t="s">
        <v>221</v>
      </c>
      <c r="N191" s="63" t="n"/>
      <c r="P191" s="103" t="s">
        <v>4074</v>
      </c>
      <c r="Q191" s="8564" t="s"/>
      <c r="R191" s="8565" t="s"/>
      <c r="S191" s="8566" t="s"/>
      <c r="T191" s="103" t="s">
        <v>4075</v>
      </c>
      <c r="U191" s="8567" t="s"/>
      <c r="V191" s="8568" t="s"/>
      <c r="W191" s="8569" t="s"/>
      <c r="X191" s="103" t="s">
        <v>4076</v>
      </c>
      <c r="Y191" s="8570" t="s"/>
      <c r="Z191" s="8571" t="s"/>
      <c r="AA191" s="8572" t="s"/>
      <c r="AB191" s="103" t="s">
        <v>4077</v>
      </c>
      <c r="AC191" s="8573" t="s"/>
      <c r="AD191" s="8574" t="s"/>
      <c r="AE191" s="8575" t="s"/>
      <c r="AF191" s="103" t="s">
        <v>4078</v>
      </c>
      <c r="AG191" s="8576" t="s"/>
      <c r="AH191" s="8577" t="s"/>
      <c r="AI191" s="8578" t="s"/>
      <c r="AJ191" s="103" t="s">
        <v>4079</v>
      </c>
      <c r="AK191" s="8579" t="s"/>
    </row>
    <row hidden="false" ht="15.75" outlineLevel="0" r="192">
      <c r="C192" s="98" t="s">
        <v>176</v>
      </c>
      <c r="D192" s="122" t="s">
        <v>177</v>
      </c>
      <c r="E192" s="123" t="s">
        <v>3892</v>
      </c>
      <c r="F192" s="123" t="s">
        <v>179</v>
      </c>
      <c r="G192" s="124" t="s">
        <v>1420</v>
      </c>
      <c r="H192" s="273" t="n">
        <f aca="false" ca="false" dt2D="false" dtr="false" t="normal">MID($A$21, 8, 2)</f>
        <v>0</v>
      </c>
      <c r="I192" s="7626" t="n">
        <f aca="false" ca="false" dt2D="false" dtr="false" t="normal">MID($A$21, 10, 2)</f>
        <v>0</v>
      </c>
      <c r="J192" s="7626" t="n">
        <f aca="false" ca="false" dt2D="false" dtr="false" t="normal">MID($A$21, 12, 2)</f>
        <v>0</v>
      </c>
      <c r="K192" s="7626" t="n">
        <f aca="false" ca="false" dt2D="false" dtr="false" t="normal">MID($A$21, 14, 2)</f>
        <v>0</v>
      </c>
      <c r="L192" s="7627" t="n">
        <f aca="false" ca="false" dt2D="false" dtr="false" t="normal">MID($A$21, 16, 2)</f>
        <v>0</v>
      </c>
      <c r="M192" s="7553" t="str">
        <f aca="false" ca="false" dt2D="false" dtr="false" t="normal">MID($A$21, 18, 2)</f>
        <v>C5</v>
      </c>
      <c r="N192" s="63" t="s">
        <v>180</v>
      </c>
      <c r="P192" s="129" t="s">
        <v>180</v>
      </c>
      <c r="Q192" s="130" t="s">
        <v>181</v>
      </c>
      <c r="R192" s="121" t="s">
        <v>182</v>
      </c>
      <c r="S192" s="131" t="n"/>
      <c r="T192" s="129" t="s">
        <v>180</v>
      </c>
      <c r="U192" s="130" t="s">
        <v>181</v>
      </c>
      <c r="V192" s="121" t="s">
        <v>182</v>
      </c>
      <c r="W192" s="131" t="n"/>
      <c r="X192" s="129" t="s">
        <v>180</v>
      </c>
      <c r="Y192" s="130" t="s">
        <v>181</v>
      </c>
      <c r="Z192" s="121" t="s">
        <v>182</v>
      </c>
      <c r="AA192" s="131" t="n"/>
      <c r="AB192" s="129" t="s">
        <v>180</v>
      </c>
      <c r="AC192" s="130" t="s">
        <v>181</v>
      </c>
      <c r="AD192" s="121" t="s">
        <v>182</v>
      </c>
      <c r="AE192" s="131" t="n"/>
      <c r="AF192" s="129" t="s">
        <v>180</v>
      </c>
      <c r="AG192" s="130" t="s">
        <v>181</v>
      </c>
      <c r="AH192" s="121" t="s">
        <v>182</v>
      </c>
      <c r="AI192" s="121" t="n"/>
      <c r="AJ192" s="116" t="s">
        <v>183</v>
      </c>
      <c r="AK192" s="8580" t="s"/>
    </row>
    <row hidden="false" ht="15" outlineLevel="0" r="193">
      <c r="C193" s="98" t="s">
        <v>185</v>
      </c>
      <c r="D193" s="149" t="n">
        <f aca="false" ca="false" dt2D="false" dtr="false" t="normal">HEX2BIN(D192, 8)</f>
        <v>111</v>
      </c>
      <c r="E193" s="149" t="n">
        <f aca="false" ca="false" dt2D="false" dtr="false" t="normal">HEX2BIN(E192, 8)</f>
        <v>10100101</v>
      </c>
      <c r="F193" s="149" t="n">
        <f aca="false" ca="false" dt2D="false" dtr="false" t="normal">HEX2BIN(F192, 8)</f>
        <v>1</v>
      </c>
      <c r="G193" s="149" t="n">
        <f aca="false" ca="false" dt2D="false" dtr="false" t="normal">HEX2BIN(G192, 8)</f>
        <v>11000</v>
      </c>
      <c r="H193" s="53" t="n">
        <f aca="false" ca="false" dt2D="false" dtr="false" t="normal">HEX2BIN(H192, 8)</f>
        <v>0</v>
      </c>
      <c r="I193" s="53" t="n">
        <f aca="false" ca="false" dt2D="false" dtr="false" t="normal">HEX2BIN(I192, 8)</f>
        <v>0</v>
      </c>
      <c r="J193" s="53" t="n">
        <f aca="false" ca="false" dt2D="false" dtr="false" t="normal">HEX2BIN(J192, 8)</f>
        <v>0</v>
      </c>
      <c r="K193" s="53" t="n">
        <f aca="false" ca="false" dt2D="false" dtr="false" t="normal">HEX2BIN(K192, 8)</f>
        <v>0</v>
      </c>
      <c r="L193" s="53" t="n">
        <f aca="false" ca="false" dt2D="false" dtr="false" t="normal">HEX2BIN(L192, 8)</f>
        <v>0</v>
      </c>
      <c r="M193" s="53" t="n"/>
      <c r="N193" s="63" t="n"/>
      <c r="P193" s="136" t="n">
        <f aca="false" ca="false" dt2D="false" dtr="false" t="normal">MID(H193, 1, 1)</f>
        <v>0</v>
      </c>
      <c r="Q193" s="137" t="n">
        <f aca="false" ca="false" dt2D="false" dtr="false" t="normal">P193</f>
        <v>0</v>
      </c>
      <c r="R193" s="120" t="s">
        <v>186</v>
      </c>
      <c r="S193" s="131" t="s">
        <v>196</v>
      </c>
      <c r="T193" s="136" t="n">
        <f aca="false" ca="false" dt2D="false" dtr="false" t="normal">MID(I193, 1, 1)</f>
        <v>0</v>
      </c>
      <c r="U193" s="137" t="n">
        <f aca="false" ca="false" dt2D="false" dtr="false" t="normal">T193</f>
        <v>0</v>
      </c>
      <c r="V193" s="120" t="s">
        <v>186</v>
      </c>
      <c r="W193" s="131" t="s">
        <v>196</v>
      </c>
      <c r="X193" s="136" t="n">
        <f aca="false" ca="false" dt2D="false" dtr="false" t="normal">MID(J193, 1, 1)</f>
        <v>0</v>
      </c>
      <c r="Y193" s="137" t="n">
        <f aca="false" ca="false" dt2D="false" dtr="false" t="normal">X193</f>
        <v>0</v>
      </c>
      <c r="Z193" s="120" t="s">
        <v>186</v>
      </c>
      <c r="AA193" s="131" t="s">
        <v>196</v>
      </c>
      <c r="AB193" s="136" t="n">
        <f aca="false" ca="false" dt2D="false" dtr="false" t="normal">MID(K193, 1, 1)</f>
        <v>0</v>
      </c>
      <c r="AC193" s="137" t="n">
        <f aca="false" ca="false" dt2D="false" dtr="false" t="normal">AB193</f>
        <v>0</v>
      </c>
      <c r="AD193" s="120" t="s">
        <v>186</v>
      </c>
      <c r="AE193" s="131" t="s">
        <v>196</v>
      </c>
      <c r="AF193" s="136" t="n">
        <f aca="false" ca="false" dt2D="false" dtr="false" t="normal">MID(L193, 1, 1)</f>
        <v>0</v>
      </c>
      <c r="AG193" s="137" t="n">
        <f aca="false" ca="false" dt2D="false" dtr="false" t="normal">AF193</f>
        <v>0</v>
      </c>
      <c r="AH193" s="120" t="s">
        <v>186</v>
      </c>
      <c r="AI193" s="131" t="s">
        <v>196</v>
      </c>
      <c r="AJ193" s="8581" t="s"/>
      <c r="AK193" s="8582" t="s"/>
    </row>
    <row hidden="false" ht="15" outlineLevel="0" r="194">
      <c r="C194" s="98" t="s">
        <v>191</v>
      </c>
      <c r="D194" s="149" t="n">
        <f aca="false" ca="false" dt2D="false" dtr="false" t="normal">HEX2DEC(D192)</f>
        <v>7</v>
      </c>
      <c r="E194" s="149" t="n">
        <f aca="false" ca="false" dt2D="false" dtr="false" t="normal">HEX2DEC(E192)</f>
        <v>165</v>
      </c>
      <c r="F194" s="149" t="n">
        <f aca="false" ca="false" dt2D="false" dtr="false" t="normal">HEX2DEC(F192)</f>
        <v>1</v>
      </c>
      <c r="G194" s="149" t="n">
        <f aca="false" ca="false" dt2D="false" dtr="false" t="normal">HEX2DEC(G192)</f>
        <v>24</v>
      </c>
      <c r="H194" s="53" t="n">
        <f aca="false" ca="false" dt2D="false" dtr="false" t="normal">HEX2DEC(H192)</f>
        <v>0</v>
      </c>
      <c r="I194" s="53" t="n">
        <f aca="false" ca="false" dt2D="false" dtr="false" t="normal">HEX2DEC(I192)</f>
        <v>0</v>
      </c>
      <c r="J194" s="53" t="n">
        <f aca="false" ca="false" dt2D="false" dtr="false" t="normal">HEX2DEC(J192)</f>
        <v>0</v>
      </c>
      <c r="K194" s="53" t="n">
        <f aca="false" ca="false" dt2D="false" dtr="false" t="normal">HEX2DEC(K192)</f>
        <v>0</v>
      </c>
      <c r="L194" s="53" t="n">
        <f aca="false" ca="false" dt2D="false" dtr="false" t="normal">HEX2DEC(L192)</f>
        <v>0</v>
      </c>
      <c r="M194" s="53" t="n">
        <f aca="false" ca="false" dt2D="false" dtr="false" t="normal">SUM(D194:L194)</f>
        <v>197</v>
      </c>
      <c r="N194" s="63" t="n"/>
      <c r="P194" s="136" t="n">
        <f aca="false" ca="false" dt2D="false" dtr="false" t="normal">MID(H193, 2, 1)</f>
        <v>0</v>
      </c>
      <c r="Q194" s="137" t="n">
        <f aca="false" ca="false" dt2D="false" dtr="false" t="normal">P194</f>
        <v>0</v>
      </c>
      <c r="R194" s="120" t="s">
        <v>192</v>
      </c>
      <c r="S194" s="131" t="s">
        <v>196</v>
      </c>
      <c r="T194" s="136" t="n">
        <f aca="false" ca="false" dt2D="false" dtr="false" t="normal">MID(I193, 2, 1)</f>
        <v>0</v>
      </c>
      <c r="U194" s="137" t="n">
        <f aca="false" ca="false" dt2D="false" dtr="false" t="normal">T194</f>
        <v>0</v>
      </c>
      <c r="V194" s="120" t="s">
        <v>192</v>
      </c>
      <c r="W194" s="131" t="s">
        <v>196</v>
      </c>
      <c r="X194" s="136" t="n">
        <f aca="false" ca="false" dt2D="false" dtr="false" t="normal">MID(J193, 2, 1)</f>
        <v>0</v>
      </c>
      <c r="Y194" s="137" t="n">
        <f aca="false" ca="false" dt2D="false" dtr="false" t="normal">X194</f>
        <v>0</v>
      </c>
      <c r="Z194" s="120" t="s">
        <v>192</v>
      </c>
      <c r="AA194" s="131" t="s">
        <v>196</v>
      </c>
      <c r="AB194" s="136" t="n">
        <f aca="false" ca="false" dt2D="false" dtr="false" t="normal">MID(K193, 2, 1)</f>
        <v>0</v>
      </c>
      <c r="AC194" s="137" t="n">
        <f aca="false" ca="false" dt2D="false" dtr="false" t="normal">AB194</f>
        <v>0</v>
      </c>
      <c r="AD194" s="120" t="s">
        <v>192</v>
      </c>
      <c r="AE194" s="131" t="s">
        <v>196</v>
      </c>
      <c r="AF194" s="136" t="n">
        <f aca="false" ca="false" dt2D="false" dtr="false" t="normal">MID(L193, 2, 1)</f>
        <v>0</v>
      </c>
      <c r="AG194" s="137" t="n">
        <f aca="false" ca="false" dt2D="false" dtr="false" t="normal">AF194</f>
        <v>0</v>
      </c>
      <c r="AH194" s="120" t="s">
        <v>192</v>
      </c>
      <c r="AI194" s="131" t="s">
        <v>196</v>
      </c>
      <c r="AJ194" s="8583" t="s"/>
      <c r="AK194" s="8584" t="s"/>
    </row>
    <row customHeight="true" hidden="false" ht="15" outlineLevel="0" r="195">
      <c r="C195" s="98" t="s">
        <v>194</v>
      </c>
      <c r="D195" s="149" t="n">
        <f aca="false" ca="false" dt2D="false" dtr="false" t="normal">D192</f>
        <v>7</v>
      </c>
      <c r="E195" s="149" t="str">
        <f aca="false" ca="false" dt2D="false" dtr="false" t="normal">E192</f>
        <v>A5</v>
      </c>
      <c r="F195" s="149" t="str">
        <f aca="false" ca="false" dt2D="false" dtr="false" t="normal">MID($A$21, 4, 2)</f>
        <v>G1</v>
      </c>
      <c r="G195" s="149" t="str">
        <f aca="false" ca="false" dt2D="false" dtr="false" t="normal">MID($A$21, 6, 2)</f>
        <v>H2</v>
      </c>
      <c r="N195" s="63" t="n"/>
      <c r="P195" s="136" t="n">
        <f aca="false" ca="false" dt2D="false" dtr="false" t="normal">MID(H193, 3, 1)</f>
        <v>0</v>
      </c>
      <c r="Q195" s="137" t="n">
        <f aca="false" ca="false" dt2D="false" dtr="false" t="normal">P195</f>
        <v>0</v>
      </c>
      <c r="R195" s="120" t="s">
        <v>195</v>
      </c>
      <c r="S195" s="131" t="s">
        <v>196</v>
      </c>
      <c r="T195" s="136" t="n">
        <f aca="false" ca="false" dt2D="false" dtr="false" t="normal">MID(I193, 3, 1)</f>
        <v>0</v>
      </c>
      <c r="U195" s="137" t="n">
        <f aca="false" ca="false" dt2D="false" dtr="false" t="normal">T195</f>
        <v>0</v>
      </c>
      <c r="V195" s="120" t="s">
        <v>195</v>
      </c>
      <c r="W195" s="131" t="s">
        <v>196</v>
      </c>
      <c r="X195" s="136" t="n">
        <f aca="false" ca="false" dt2D="false" dtr="false" t="normal">MID(J193, 3, 1)</f>
        <v>0</v>
      </c>
      <c r="Y195" s="137" t="n">
        <f aca="false" ca="false" dt2D="false" dtr="false" t="normal">X195</f>
        <v>0</v>
      </c>
      <c r="Z195" s="120" t="s">
        <v>195</v>
      </c>
      <c r="AA195" s="131" t="s">
        <v>196</v>
      </c>
      <c r="AB195" s="136" t="n">
        <f aca="false" ca="false" dt2D="false" dtr="false" t="normal">MID(K193, 3, 1)</f>
        <v>0</v>
      </c>
      <c r="AC195" s="137" t="n">
        <f aca="false" ca="false" dt2D="false" dtr="false" t="normal">AB195</f>
        <v>0</v>
      </c>
      <c r="AD195" s="120" t="s">
        <v>195</v>
      </c>
      <c r="AE195" s="131" t="s">
        <v>196</v>
      </c>
      <c r="AF195" s="136" t="n">
        <f aca="false" ca="false" dt2D="false" dtr="false" t="normal">MID(L193, 3, 1)</f>
        <v>0</v>
      </c>
      <c r="AG195" s="137" t="n">
        <f aca="false" ca="false" dt2D="false" dtr="false" t="normal">AF195</f>
        <v>0</v>
      </c>
      <c r="AH195" s="120" t="s">
        <v>195</v>
      </c>
      <c r="AI195" s="131" t="s">
        <v>196</v>
      </c>
      <c r="AJ195" s="8585" t="s"/>
      <c r="AK195" s="8586" t="s"/>
    </row>
    <row hidden="false" ht="15.75" outlineLevel="0" r="196">
      <c r="C196" s="98" t="n"/>
      <c r="N196" s="63" t="n"/>
      <c r="P196" s="136" t="n">
        <f aca="false" ca="false" dt2D="false" dtr="false" t="normal">MID(H193, 4, 1)</f>
        <v>0</v>
      </c>
      <c r="Q196" s="137" t="n">
        <f aca="false" ca="false" dt2D="false" dtr="false" t="normal">P196</f>
        <v>0</v>
      </c>
      <c r="R196" s="120" t="s">
        <v>197</v>
      </c>
      <c r="S196" s="131" t="s">
        <v>196</v>
      </c>
      <c r="T196" s="136" t="n">
        <f aca="false" ca="false" dt2D="false" dtr="false" t="normal">MID(I193, 4, 1)</f>
        <v>0</v>
      </c>
      <c r="U196" s="137" t="n">
        <f aca="false" ca="false" dt2D="false" dtr="false" t="normal">T196</f>
        <v>0</v>
      </c>
      <c r="V196" s="120" t="s">
        <v>197</v>
      </c>
      <c r="W196" s="131" t="s">
        <v>196</v>
      </c>
      <c r="X196" s="136" t="n">
        <f aca="false" ca="false" dt2D="false" dtr="false" t="normal">MID(J193, 4, 1)</f>
        <v>0</v>
      </c>
      <c r="Y196" s="137" t="n">
        <f aca="false" ca="false" dt2D="false" dtr="false" t="normal">X196</f>
        <v>0</v>
      </c>
      <c r="Z196" s="120" t="s">
        <v>197</v>
      </c>
      <c r="AA196" s="131" t="s">
        <v>196</v>
      </c>
      <c r="AB196" s="136" t="n">
        <f aca="false" ca="false" dt2D="false" dtr="false" t="normal">MID(K193, 4, 1)</f>
        <v>0</v>
      </c>
      <c r="AC196" s="137" t="n">
        <f aca="false" ca="false" dt2D="false" dtr="false" t="normal">AB196</f>
        <v>0</v>
      </c>
      <c r="AD196" s="120" t="s">
        <v>197</v>
      </c>
      <c r="AE196" s="131" t="s">
        <v>196</v>
      </c>
      <c r="AF196" s="136" t="n">
        <f aca="false" ca="false" dt2D="false" dtr="false" t="normal">MID(L193, 4, 1)</f>
        <v>0</v>
      </c>
      <c r="AG196" s="137" t="n">
        <f aca="false" ca="false" dt2D="false" dtr="false" t="normal">AF196</f>
        <v>0</v>
      </c>
      <c r="AH196" s="120" t="s">
        <v>197</v>
      </c>
      <c r="AI196" s="131" t="s">
        <v>196</v>
      </c>
      <c r="AJ196" s="8587" t="s"/>
      <c r="AK196" s="8588" t="s"/>
    </row>
    <row hidden="false" ht="15.75" outlineLevel="0" r="197">
      <c r="C197" s="98" t="s">
        <v>176</v>
      </c>
      <c r="D197" s="122" t="n">
        <f aca="false" ca="false" dt2D="false" dtr="false" t="normal">D192</f>
        <v>7</v>
      </c>
      <c r="E197" s="123" t="str">
        <f aca="false" ca="false" dt2D="false" dtr="false" t="normal">E192</f>
        <v>A5</v>
      </c>
      <c r="F197" s="123" t="n">
        <f aca="false" ca="false" dt2D="false" dtr="false" t="normal">F192</f>
        <v>1</v>
      </c>
      <c r="G197" s="124" t="n">
        <f aca="false" ca="false" dt2D="false" dtr="false" t="normal">G192</f>
        <v>18</v>
      </c>
      <c r="H197" s="162" t="n">
        <f aca="false" ca="false" dt2D="false" dtr="false" t="normal">BIN2HEX(H198, 2)</f>
        <v>0</v>
      </c>
      <c r="I197" s="163" t="n">
        <f aca="false" ca="false" dt2D="false" dtr="false" t="normal">BIN2HEX(I198, 2)</f>
        <v>0</v>
      </c>
      <c r="J197" s="164" t="n">
        <f aca="false" ca="false" dt2D="false" dtr="false" t="normal">BIN2HEX(J198, 2)</f>
        <v>0</v>
      </c>
      <c r="K197" s="165" t="n">
        <f aca="false" ca="false" dt2D="false" dtr="false" t="normal">BIN2HEX(K198, 2)</f>
        <v>0</v>
      </c>
      <c r="L197" s="288" t="n">
        <f aca="false" ca="false" dt2D="false" dtr="false" t="normal">BIN2HEX(L198, 2)</f>
        <v>0</v>
      </c>
      <c r="M197" s="166" t="str">
        <f aca="false" ca="false" dt2D="false" dtr="false" t="normal">IF(LEN(M198)&gt;2, MID(M198, 2, 2), M198)</f>
        <v>C5</v>
      </c>
      <c r="N197" s="63" t="s">
        <v>181</v>
      </c>
      <c r="P197" s="136" t="n">
        <f aca="false" ca="false" dt2D="false" dtr="false" t="normal">MID(H193, 5, 1)</f>
        <v>0</v>
      </c>
      <c r="Q197" s="137" t="n">
        <f aca="false" ca="false" dt2D="false" dtr="false" t="normal">P197</f>
        <v>0</v>
      </c>
      <c r="R197" s="120" t="s">
        <v>200</v>
      </c>
      <c r="S197" s="131" t="s">
        <v>196</v>
      </c>
      <c r="T197" s="136" t="n">
        <f aca="false" ca="false" dt2D="false" dtr="false" t="normal">MID(I193, 5, 1)</f>
        <v>0</v>
      </c>
      <c r="U197" s="137" t="n">
        <f aca="false" ca="false" dt2D="false" dtr="false" t="normal">T197</f>
        <v>0</v>
      </c>
      <c r="V197" s="120" t="s">
        <v>200</v>
      </c>
      <c r="W197" s="131" t="s">
        <v>196</v>
      </c>
      <c r="X197" s="136" t="n">
        <f aca="false" ca="false" dt2D="false" dtr="false" t="normal">MID(J193, 5, 1)</f>
        <v>0</v>
      </c>
      <c r="Y197" s="137" t="n">
        <f aca="false" ca="false" dt2D="false" dtr="false" t="normal">X197</f>
        <v>0</v>
      </c>
      <c r="Z197" s="120" t="s">
        <v>200</v>
      </c>
      <c r="AA197" s="131" t="s">
        <v>196</v>
      </c>
      <c r="AB197" s="136" t="n">
        <f aca="false" ca="false" dt2D="false" dtr="false" t="normal">MID(K193, 5, 1)</f>
        <v>0</v>
      </c>
      <c r="AC197" s="137" t="n">
        <f aca="false" ca="false" dt2D="false" dtr="false" t="normal">AB197</f>
        <v>0</v>
      </c>
      <c r="AD197" s="120" t="s">
        <v>200</v>
      </c>
      <c r="AE197" s="131" t="s">
        <v>196</v>
      </c>
      <c r="AF197" s="136" t="n">
        <f aca="false" ca="false" dt2D="false" dtr="false" t="normal">MID(L193, 5, 1)</f>
        <v>0</v>
      </c>
      <c r="AG197" s="137" t="n">
        <f aca="false" ca="false" dt2D="false" dtr="false" t="normal">AF197</f>
        <v>0</v>
      </c>
      <c r="AH197" s="120" t="s">
        <v>200</v>
      </c>
      <c r="AI197" s="131" t="s">
        <v>196</v>
      </c>
      <c r="AJ197" s="8589" t="s"/>
      <c r="AK197" s="8590" t="s"/>
    </row>
    <row customHeight="true" hidden="false" ht="15" outlineLevel="0" r="198">
      <c r="C198" s="98" t="s">
        <v>185</v>
      </c>
      <c r="D198" s="149" t="n">
        <f aca="false" ca="false" dt2D="false" dtr="false" t="normal">HEX2BIN(D197, 8)</f>
        <v>111</v>
      </c>
      <c r="E198" s="149" t="n">
        <f aca="false" ca="false" dt2D="false" dtr="false" t="normal">HEX2BIN(E197, 8)</f>
        <v>10100101</v>
      </c>
      <c r="F198" s="149" t="n">
        <f aca="false" ca="false" dt2D="false" dtr="false" t="normal">HEX2BIN(F197, 8)</f>
        <v>1</v>
      </c>
      <c r="G198" s="149" t="n">
        <f aca="false" ca="false" dt2D="false" dtr="false" t="normal">HEX2BIN(G197, 8)</f>
        <v>11000</v>
      </c>
      <c r="H198" s="53" t="n">
        <f aca="false" ca="false" dt2D="false" dtr="false" t="normal">Q193&amp;Q194&amp;Q195&amp;Q196&amp;Q197&amp;Q198&amp;Q199&amp;Q200</f>
        <v>0</v>
      </c>
      <c r="I198" s="53" t="n">
        <f aca="false" ca="false" dt2D="false" dtr="false" t="normal">U193&amp;U194&amp;U195&amp;U196&amp;U197&amp;U198&amp;U199&amp;U200</f>
        <v>0</v>
      </c>
      <c r="J198" s="53" t="n">
        <f aca="false" ca="false" dt2D="false" dtr="false" t="normal">Y193&amp;Y194&amp;Y195&amp;Y196&amp;Y197&amp;Y198&amp;Y199&amp;Y200</f>
        <v>0</v>
      </c>
      <c r="K198" s="53" t="n">
        <f aca="false" ca="false" dt2D="false" dtr="false" t="normal">AC193&amp;AC194&amp;AC195&amp;AC196&amp;AC197&amp;AC198&amp;AC199&amp;AC200</f>
        <v>0</v>
      </c>
      <c r="L198" s="53" t="n">
        <f aca="false" ca="false" dt2D="false" dtr="false" t="normal">AG193&amp;AG194&amp;AG195&amp;AG196&amp;AG197&amp;AG198&amp;AG199&amp;AG200</f>
        <v>0</v>
      </c>
      <c r="M198" s="53" t="str">
        <f aca="false" ca="false" dt2D="false" dtr="false" t="normal">DEC2HEX(M199)</f>
        <v>C5</v>
      </c>
      <c r="N198" s="63" t="n"/>
      <c r="P198" s="136" t="n">
        <f aca="false" ca="false" dt2D="false" dtr="false" t="normal">MID(H193, 6, 1)</f>
        <v>0</v>
      </c>
      <c r="Q198" s="137" t="n">
        <f aca="false" ca="false" dt2D="false" dtr="false" t="normal">P198</f>
        <v>0</v>
      </c>
      <c r="R198" s="120" t="s">
        <v>203</v>
      </c>
      <c r="S198" s="131" t="s">
        <v>196</v>
      </c>
      <c r="T198" s="136" t="n">
        <f aca="false" ca="false" dt2D="false" dtr="false" t="normal">MID(I193, 6, 1)</f>
        <v>0</v>
      </c>
      <c r="U198" s="137" t="n">
        <f aca="false" ca="false" dt2D="false" dtr="false" t="normal">T198</f>
        <v>0</v>
      </c>
      <c r="V198" s="120" t="s">
        <v>203</v>
      </c>
      <c r="W198" s="131" t="s">
        <v>196</v>
      </c>
      <c r="X198" s="136" t="n">
        <f aca="false" ca="false" dt2D="false" dtr="false" t="normal">MID(J193, 6, 1)</f>
        <v>0</v>
      </c>
      <c r="Y198" s="137" t="n">
        <f aca="false" ca="false" dt2D="false" dtr="false" t="normal">X198</f>
        <v>0</v>
      </c>
      <c r="Z198" s="120" t="s">
        <v>203</v>
      </c>
      <c r="AA198" s="131" t="s">
        <v>196</v>
      </c>
      <c r="AB198" s="136" t="n">
        <f aca="false" ca="false" dt2D="false" dtr="false" t="normal">MID(K193, 6, 1)</f>
        <v>0</v>
      </c>
      <c r="AC198" s="137" t="n">
        <f aca="false" ca="false" dt2D="false" dtr="false" t="normal">AB198</f>
        <v>0</v>
      </c>
      <c r="AD198" s="120" t="s">
        <v>203</v>
      </c>
      <c r="AE198" s="131" t="s">
        <v>196</v>
      </c>
      <c r="AF198" s="136" t="n">
        <f aca="false" ca="false" dt2D="false" dtr="false" t="normal">MID(L193, 6, 1)</f>
        <v>0</v>
      </c>
      <c r="AG198" s="137" t="n">
        <f aca="false" ca="false" dt2D="false" dtr="false" t="normal">AF198</f>
        <v>0</v>
      </c>
      <c r="AH198" s="120" t="s">
        <v>203</v>
      </c>
      <c r="AI198" s="131" t="s">
        <v>196</v>
      </c>
      <c r="AJ198" s="8591" t="s"/>
      <c r="AK198" s="8592" t="s"/>
    </row>
    <row customHeight="true" hidden="false" ht="15" outlineLevel="0" r="199">
      <c r="C199" s="98" t="s">
        <v>191</v>
      </c>
      <c r="D199" s="149" t="n">
        <f aca="false" ca="false" dt2D="false" dtr="false" t="normal">HEX2DEC(D197)</f>
        <v>7</v>
      </c>
      <c r="E199" s="149" t="n">
        <f aca="false" ca="false" dt2D="false" dtr="false" t="normal">HEX2DEC(E197)</f>
        <v>165</v>
      </c>
      <c r="F199" s="149" t="n">
        <f aca="false" ca="false" dt2D="false" dtr="false" t="normal">HEX2DEC(F197)</f>
        <v>1</v>
      </c>
      <c r="G199" s="149" t="n">
        <f aca="false" ca="false" dt2D="false" dtr="false" t="normal">HEX2DEC(G197)</f>
        <v>24</v>
      </c>
      <c r="H199" s="53" t="n">
        <f aca="false" ca="false" dt2D="false" dtr="false" t="normal">HEX2DEC(H197)</f>
        <v>0</v>
      </c>
      <c r="I199" s="53" t="n">
        <f aca="false" ca="false" dt2D="false" dtr="false" t="normal">HEX2DEC(I197)</f>
        <v>0</v>
      </c>
      <c r="J199" s="53" t="n">
        <f aca="false" ca="false" dt2D="false" dtr="false" t="normal">HEX2DEC(J197)</f>
        <v>0</v>
      </c>
      <c r="K199" s="53" t="n">
        <f aca="false" ca="false" dt2D="false" dtr="false" t="normal">HEX2DEC(K197)</f>
        <v>0</v>
      </c>
      <c r="L199" s="53" t="n">
        <f aca="false" ca="false" dt2D="false" dtr="false" t="normal">HEX2DEC(L197)</f>
        <v>0</v>
      </c>
      <c r="M199" s="53" t="n">
        <f aca="false" ca="false" dt2D="false" dtr="false" t="normal">SUM(D199:L199)</f>
        <v>197</v>
      </c>
      <c r="N199" s="63" t="n"/>
      <c r="P199" s="136" t="n">
        <f aca="false" ca="false" dt2D="false" dtr="false" t="normal">MID(H193, 7, 1)</f>
        <v>0</v>
      </c>
      <c r="Q199" s="137" t="n">
        <f aca="false" ca="false" dt2D="false" dtr="false" t="normal">P199</f>
        <v>0</v>
      </c>
      <c r="R199" s="120" t="s">
        <v>206</v>
      </c>
      <c r="S199" s="131" t="s">
        <v>196</v>
      </c>
      <c r="T199" s="136" t="n">
        <f aca="false" ca="false" dt2D="false" dtr="false" t="normal">MID(I193, 7, 1)</f>
        <v>0</v>
      </c>
      <c r="U199" s="137" t="n">
        <f aca="false" ca="false" dt2D="false" dtr="false" t="normal">T199</f>
        <v>0</v>
      </c>
      <c r="V199" s="120" t="s">
        <v>206</v>
      </c>
      <c r="W199" s="131" t="s">
        <v>196</v>
      </c>
      <c r="X199" s="136" t="n">
        <f aca="false" ca="false" dt2D="false" dtr="false" t="normal">MID(J193, 7, 1)</f>
        <v>0</v>
      </c>
      <c r="Y199" s="137" t="n">
        <f aca="false" ca="false" dt2D="false" dtr="false" t="normal">X199</f>
        <v>0</v>
      </c>
      <c r="Z199" s="120" t="s">
        <v>206</v>
      </c>
      <c r="AA199" s="131" t="s">
        <v>196</v>
      </c>
      <c r="AB199" s="136" t="n">
        <f aca="false" ca="false" dt2D="false" dtr="false" t="normal">MID(K193, 7, 1)</f>
        <v>0</v>
      </c>
      <c r="AC199" s="137" t="n">
        <f aca="false" ca="false" dt2D="false" dtr="false" t="normal">AB199</f>
        <v>0</v>
      </c>
      <c r="AD199" s="120" t="s">
        <v>206</v>
      </c>
      <c r="AE199" s="131" t="s">
        <v>196</v>
      </c>
      <c r="AF199" s="136" t="n">
        <f aca="false" ca="false" dt2D="false" dtr="false" t="normal">MID(L193, 7, 1)</f>
        <v>0</v>
      </c>
      <c r="AG199" s="137" t="n">
        <f aca="false" ca="false" dt2D="false" dtr="false" t="normal">AF199</f>
        <v>0</v>
      </c>
      <c r="AH199" s="120" t="s">
        <v>206</v>
      </c>
      <c r="AI199" s="131" t="s">
        <v>196</v>
      </c>
      <c r="AJ199" s="8593" t="s"/>
      <c r="AK199" s="8594" t="s"/>
    </row>
    <row hidden="false" ht="15.75" outlineLevel="0" r="200">
      <c r="C200" s="180" t="s">
        <v>194</v>
      </c>
      <c r="D200" s="181" t="n">
        <f aca="false" ca="false" dt2D="false" dtr="false" t="normal">D195</f>
        <v>7</v>
      </c>
      <c r="E200" s="181" t="str">
        <f aca="false" ca="false" dt2D="false" dtr="false" t="normal">E195</f>
        <v>A5</v>
      </c>
      <c r="F200" s="181" t="str">
        <f aca="false" ca="false" dt2D="false" dtr="false" t="normal">F195</f>
        <v>G1</v>
      </c>
      <c r="G200" s="181" t="str">
        <f aca="false" ca="false" dt2D="false" dtr="false" t="normal">G195</f>
        <v>H2</v>
      </c>
      <c r="H200" s="45" t="n"/>
      <c r="I200" s="45" t="n"/>
      <c r="J200" s="45" t="n"/>
      <c r="K200" s="45" t="n"/>
      <c r="L200" s="45" t="n"/>
      <c r="M200" s="45" t="n"/>
      <c r="N200" s="49" t="n"/>
      <c r="P200" s="182" t="n">
        <f aca="false" ca="false" dt2D="false" dtr="false" t="normal">MID(H193, 8, 1)</f>
        <v>0</v>
      </c>
      <c r="Q200" s="183" t="n">
        <f aca="false" ca="false" dt2D="false" dtr="false" t="normal">P200</f>
        <v>0</v>
      </c>
      <c r="R200" s="184" t="s">
        <v>208</v>
      </c>
      <c r="S200" s="185" t="s">
        <v>196</v>
      </c>
      <c r="T200" s="182" t="n">
        <f aca="false" ca="false" dt2D="false" dtr="false" t="normal">MID(I193, 8, 1)</f>
        <v>0</v>
      </c>
      <c r="U200" s="183" t="n">
        <f aca="false" ca="false" dt2D="false" dtr="false" t="normal">T200</f>
        <v>0</v>
      </c>
      <c r="V200" s="184" t="s">
        <v>208</v>
      </c>
      <c r="W200" s="185" t="s">
        <v>196</v>
      </c>
      <c r="X200" s="182" t="n">
        <f aca="false" ca="false" dt2D="false" dtr="false" t="normal">MID(J193, 8, 1)</f>
        <v>0</v>
      </c>
      <c r="Y200" s="183" t="n">
        <f aca="false" ca="false" dt2D="false" dtr="false" t="normal">X200</f>
        <v>0</v>
      </c>
      <c r="Z200" s="184" t="s">
        <v>208</v>
      </c>
      <c r="AA200" s="185" t="s">
        <v>196</v>
      </c>
      <c r="AB200" s="182" t="n">
        <f aca="false" ca="false" dt2D="false" dtr="false" t="normal">MID(K193, 8, 1)</f>
        <v>0</v>
      </c>
      <c r="AC200" s="183" t="n">
        <f aca="false" ca="false" dt2D="false" dtr="false" t="normal">AB200</f>
        <v>0</v>
      </c>
      <c r="AD200" s="184" t="s">
        <v>208</v>
      </c>
      <c r="AE200" s="185" t="s">
        <v>196</v>
      </c>
      <c r="AF200" s="182" t="n">
        <f aca="false" ca="false" dt2D="false" dtr="false" t="normal">MID(L193, 8, 1)</f>
        <v>0</v>
      </c>
      <c r="AG200" s="183" t="n">
        <f aca="false" ca="false" dt2D="false" dtr="false" t="normal">AF200</f>
        <v>0</v>
      </c>
      <c r="AH200" s="184" t="s">
        <v>208</v>
      </c>
      <c r="AI200" s="185" t="s">
        <v>196</v>
      </c>
      <c r="AJ200" s="8595" t="s"/>
      <c r="AK200" s="8596" t="s"/>
    </row>
    <row hidden="false" ht="15.75" outlineLevel="0" r="201">
      <c r="C201" s="93" t="n"/>
      <c r="D201" s="7585" t="n"/>
      <c r="E201" s="7585" t="n"/>
      <c r="F201" s="7585" t="n"/>
      <c r="G201" s="7585" t="n"/>
      <c r="H201" s="94" t="n"/>
      <c r="I201" s="94" t="n"/>
      <c r="J201" s="94" t="n"/>
      <c r="K201" s="94" t="n"/>
      <c r="L201" s="94" t="n"/>
      <c r="M201" s="94" t="s">
        <v>161</v>
      </c>
      <c r="N201" s="60" t="n"/>
      <c r="P201" s="95" t="str">
        <f aca="false" ca="false" dt2D="false" dtr="false" t="normal">RIGHT(D203, 1)&amp;E203&amp;"-"&amp;F203&amp;"-"&amp;G203</f>
        <v>7A5-01-19</v>
      </c>
      <c r="Q201" s="8597" t="s"/>
      <c r="R201" s="234" t="s">
        <v>4080</v>
      </c>
      <c r="S201" s="8598" t="s"/>
      <c r="T201" s="8599" t="s"/>
      <c r="U201" s="8600" t="s"/>
      <c r="V201" s="8601" t="s"/>
      <c r="W201" s="8602" t="s"/>
      <c r="X201" s="8603" t="s"/>
      <c r="Y201" s="8604" t="s"/>
      <c r="Z201" s="8605" t="s"/>
      <c r="AA201" s="8606" t="s"/>
      <c r="AB201" s="8607" t="s"/>
      <c r="AC201" s="8608" t="s"/>
      <c r="AD201" s="8609" t="s"/>
      <c r="AE201" s="8610" t="s"/>
      <c r="AF201" s="8611" t="s"/>
      <c r="AG201" s="8612" t="s"/>
      <c r="AH201" s="8613" t="s"/>
      <c r="AI201" s="8614" t="s"/>
      <c r="AJ201" s="8615" t="s"/>
      <c r="AK201" s="8616" t="s"/>
    </row>
    <row hidden="false" ht="15.75" outlineLevel="0" r="202">
      <c r="C202" s="98" t="n"/>
      <c r="D202" s="7606" t="s">
        <v>4081</v>
      </c>
      <c r="E202" s="8617" t="s"/>
      <c r="F202" s="8618" t="s"/>
      <c r="G202" s="8619" t="s"/>
      <c r="H202" s="53" t="s">
        <v>165</v>
      </c>
      <c r="I202" s="53" t="s">
        <v>166</v>
      </c>
      <c r="J202" s="53" t="s">
        <v>167</v>
      </c>
      <c r="K202" s="53" t="s">
        <v>168</v>
      </c>
      <c r="L202" s="53" t="s">
        <v>169</v>
      </c>
      <c r="M202" s="53" t="s">
        <v>221</v>
      </c>
      <c r="N202" s="63" t="n"/>
      <c r="P202" s="103" t="s">
        <v>4082</v>
      </c>
      <c r="Q202" s="8620" t="s"/>
      <c r="R202" s="8621" t="s"/>
      <c r="S202" s="8622" t="s"/>
      <c r="T202" s="103" t="s">
        <v>4083</v>
      </c>
      <c r="U202" s="8623" t="s"/>
      <c r="V202" s="8624" t="s"/>
      <c r="W202" s="8625" t="s"/>
      <c r="X202" s="103" t="s">
        <v>4084</v>
      </c>
      <c r="Y202" s="8626" t="s"/>
      <c r="Z202" s="8627" t="s"/>
      <c r="AA202" s="8628" t="s"/>
      <c r="AB202" s="103" t="s">
        <v>4085</v>
      </c>
      <c r="AC202" s="8629" t="s"/>
      <c r="AD202" s="8630" t="s"/>
      <c r="AE202" s="8631" t="s"/>
      <c r="AF202" s="103" t="s">
        <v>4086</v>
      </c>
      <c r="AG202" s="8632" t="s"/>
      <c r="AH202" s="8633" t="s"/>
      <c r="AI202" s="8634" t="s"/>
      <c r="AJ202" s="103" t="s">
        <v>4087</v>
      </c>
      <c r="AK202" s="8635" t="s"/>
    </row>
    <row hidden="false" ht="15.75" outlineLevel="0" r="203">
      <c r="C203" s="98" t="s">
        <v>176</v>
      </c>
      <c r="D203" s="122" t="s">
        <v>177</v>
      </c>
      <c r="E203" s="123" t="s">
        <v>3892</v>
      </c>
      <c r="F203" s="123" t="s">
        <v>179</v>
      </c>
      <c r="G203" s="124" t="s">
        <v>1439</v>
      </c>
      <c r="H203" s="273" t="n">
        <f aca="false" ca="false" dt2D="false" dtr="false" t="normal">MID($A$22, 8, 2)</f>
        <v>0</v>
      </c>
      <c r="I203" s="7626" t="n">
        <f aca="false" ca="false" dt2D="false" dtr="false" t="normal">MID($A$22, 10, 2)</f>
        <v>0</v>
      </c>
      <c r="J203" s="7626" t="n">
        <f aca="false" ca="false" dt2D="false" dtr="false" t="normal">MID($A$22, 12, 2)</f>
        <v>0</v>
      </c>
      <c r="K203" s="7626" t="n">
        <f aca="false" ca="false" dt2D="false" dtr="false" t="normal">MID($A$22, 14, 2)</f>
        <v>0</v>
      </c>
      <c r="L203" s="7627" t="n">
        <f aca="false" ca="false" dt2D="false" dtr="false" t="normal">MID($A$22, 16, 2)</f>
        <v>0</v>
      </c>
      <c r="M203" s="7553" t="str">
        <f aca="false" ca="false" dt2D="false" dtr="false" t="normal">MID($A$22, 18, 2)</f>
        <v>C6</v>
      </c>
      <c r="N203" s="63" t="s">
        <v>180</v>
      </c>
      <c r="P203" s="129" t="s">
        <v>180</v>
      </c>
      <c r="Q203" s="130" t="s">
        <v>181</v>
      </c>
      <c r="R203" s="121" t="s">
        <v>182</v>
      </c>
      <c r="S203" s="131" t="n"/>
      <c r="T203" s="129" t="s">
        <v>180</v>
      </c>
      <c r="U203" s="130" t="s">
        <v>181</v>
      </c>
      <c r="V203" s="121" t="s">
        <v>182</v>
      </c>
      <c r="W203" s="131" t="n"/>
      <c r="X203" s="129" t="s">
        <v>180</v>
      </c>
      <c r="Y203" s="130" t="s">
        <v>181</v>
      </c>
      <c r="Z203" s="121" t="s">
        <v>182</v>
      </c>
      <c r="AA203" s="131" t="n"/>
      <c r="AB203" s="129" t="s">
        <v>180</v>
      </c>
      <c r="AC203" s="130" t="s">
        <v>181</v>
      </c>
      <c r="AD203" s="121" t="s">
        <v>182</v>
      </c>
      <c r="AE203" s="131" t="n"/>
      <c r="AF203" s="129" t="s">
        <v>180</v>
      </c>
      <c r="AG203" s="130" t="s">
        <v>181</v>
      </c>
      <c r="AH203" s="121" t="s">
        <v>182</v>
      </c>
      <c r="AI203" s="121" t="n"/>
      <c r="AJ203" s="116" t="s">
        <v>183</v>
      </c>
      <c r="AK203" s="8636" t="s"/>
    </row>
    <row hidden="false" ht="15" outlineLevel="0" r="204">
      <c r="C204" s="98" t="s">
        <v>185</v>
      </c>
      <c r="D204" s="149" t="n">
        <f aca="false" ca="false" dt2D="false" dtr="false" t="normal">HEX2BIN(D203, 8)</f>
        <v>111</v>
      </c>
      <c r="E204" s="149" t="n">
        <f aca="false" ca="false" dt2D="false" dtr="false" t="normal">HEX2BIN(E203, 8)</f>
        <v>10100101</v>
      </c>
      <c r="F204" s="149" t="n">
        <f aca="false" ca="false" dt2D="false" dtr="false" t="normal">HEX2BIN(F203, 8)</f>
        <v>1</v>
      </c>
      <c r="G204" s="149" t="n">
        <f aca="false" ca="false" dt2D="false" dtr="false" t="normal">HEX2BIN(G203, 8)</f>
        <v>11001</v>
      </c>
      <c r="H204" s="53" t="n">
        <f aca="false" ca="false" dt2D="false" dtr="false" t="normal">HEX2BIN(H203, 8)</f>
        <v>0</v>
      </c>
      <c r="I204" s="53" t="n">
        <f aca="false" ca="false" dt2D="false" dtr="false" t="normal">HEX2BIN(I203, 8)</f>
        <v>0</v>
      </c>
      <c r="J204" s="53" t="n">
        <f aca="false" ca="false" dt2D="false" dtr="false" t="normal">HEX2BIN(J203, 8)</f>
        <v>0</v>
      </c>
      <c r="K204" s="53" t="n">
        <f aca="false" ca="false" dt2D="false" dtr="false" t="normal">HEX2BIN(K203, 8)</f>
        <v>0</v>
      </c>
      <c r="L204" s="53" t="n">
        <f aca="false" ca="false" dt2D="false" dtr="false" t="normal">HEX2BIN(L203, 8)</f>
        <v>0</v>
      </c>
      <c r="M204" s="53" t="n"/>
      <c r="N204" s="63" t="n"/>
      <c r="P204" s="136" t="n">
        <f aca="false" ca="false" dt2D="false" dtr="false" t="normal">MID(H204, 1, 1)</f>
        <v>0</v>
      </c>
      <c r="Q204" s="137" t="n">
        <f aca="false" ca="false" dt2D="false" dtr="false" t="normal">P204</f>
        <v>0</v>
      </c>
      <c r="R204" s="120" t="s">
        <v>186</v>
      </c>
      <c r="S204" s="131" t="s">
        <v>196</v>
      </c>
      <c r="T204" s="136" t="n">
        <f aca="false" ca="false" dt2D="false" dtr="false" t="normal">MID(I204, 1, 1)</f>
        <v>0</v>
      </c>
      <c r="U204" s="137" t="n">
        <f aca="false" ca="false" dt2D="false" dtr="false" t="normal">T204</f>
        <v>0</v>
      </c>
      <c r="V204" s="120" t="s">
        <v>186</v>
      </c>
      <c r="W204" s="131" t="s">
        <v>196</v>
      </c>
      <c r="X204" s="136" t="n">
        <f aca="false" ca="false" dt2D="false" dtr="false" t="normal">MID(J204, 1, 1)</f>
        <v>0</v>
      </c>
      <c r="Y204" s="137" t="n">
        <f aca="false" ca="false" dt2D="false" dtr="false" t="normal">X204</f>
        <v>0</v>
      </c>
      <c r="Z204" s="120" t="s">
        <v>186</v>
      </c>
      <c r="AA204" s="131" t="s">
        <v>196</v>
      </c>
      <c r="AB204" s="136" t="n">
        <f aca="false" ca="false" dt2D="false" dtr="false" t="normal">MID(K204, 1, 1)</f>
        <v>0</v>
      </c>
      <c r="AC204" s="137" t="n">
        <f aca="false" ca="false" dt2D="false" dtr="false" t="normal">AB204</f>
        <v>0</v>
      </c>
      <c r="AD204" s="120" t="s">
        <v>186</v>
      </c>
      <c r="AE204" s="131" t="s">
        <v>196</v>
      </c>
      <c r="AF204" s="136" t="n">
        <f aca="false" ca="false" dt2D="false" dtr="false" t="normal">MID(L204, 1, 1)</f>
        <v>0</v>
      </c>
      <c r="AG204" s="137" t="n">
        <f aca="false" ca="false" dt2D="false" dtr="false" t="normal">AF204</f>
        <v>0</v>
      </c>
      <c r="AH204" s="120" t="s">
        <v>186</v>
      </c>
      <c r="AI204" s="131" t="s">
        <v>196</v>
      </c>
      <c r="AJ204" s="8637" t="s"/>
      <c r="AK204" s="8638" t="s"/>
    </row>
    <row hidden="false" ht="15" outlineLevel="0" r="205">
      <c r="C205" s="98" t="s">
        <v>191</v>
      </c>
      <c r="D205" s="149" t="n">
        <f aca="false" ca="false" dt2D="false" dtr="false" t="normal">HEX2DEC(D203)</f>
        <v>7</v>
      </c>
      <c r="E205" s="149" t="n">
        <f aca="false" ca="false" dt2D="false" dtr="false" t="normal">HEX2DEC(E203)</f>
        <v>165</v>
      </c>
      <c r="F205" s="149" t="n">
        <f aca="false" ca="false" dt2D="false" dtr="false" t="normal">HEX2DEC(F203)</f>
        <v>1</v>
      </c>
      <c r="G205" s="149" t="n">
        <f aca="false" ca="false" dt2D="false" dtr="false" t="normal">HEX2DEC(G203)</f>
        <v>25</v>
      </c>
      <c r="H205" s="53" t="n">
        <f aca="false" ca="false" dt2D="false" dtr="false" t="normal">HEX2DEC(H203)</f>
        <v>0</v>
      </c>
      <c r="I205" s="53" t="n">
        <f aca="false" ca="false" dt2D="false" dtr="false" t="normal">HEX2DEC(I203)</f>
        <v>0</v>
      </c>
      <c r="J205" s="53" t="n">
        <f aca="false" ca="false" dt2D="false" dtr="false" t="normal">HEX2DEC(J203)</f>
        <v>0</v>
      </c>
      <c r="K205" s="53" t="n">
        <f aca="false" ca="false" dt2D="false" dtr="false" t="normal">HEX2DEC(K203)</f>
        <v>0</v>
      </c>
      <c r="L205" s="53" t="n">
        <f aca="false" ca="false" dt2D="false" dtr="false" t="normal">HEX2DEC(L203)</f>
        <v>0</v>
      </c>
      <c r="M205" s="53" t="n">
        <f aca="false" ca="false" dt2D="false" dtr="false" t="normal">SUM(D205:L205)</f>
        <v>198</v>
      </c>
      <c r="N205" s="63" t="n"/>
      <c r="P205" s="136" t="n">
        <f aca="false" ca="false" dt2D="false" dtr="false" t="normal">MID(H204, 2, 1)</f>
        <v>0</v>
      </c>
      <c r="Q205" s="137" t="n">
        <f aca="false" ca="false" dt2D="false" dtr="false" t="normal">P205</f>
        <v>0</v>
      </c>
      <c r="R205" s="120" t="s">
        <v>192</v>
      </c>
      <c r="S205" s="131" t="s">
        <v>196</v>
      </c>
      <c r="T205" s="136" t="n">
        <f aca="false" ca="false" dt2D="false" dtr="false" t="normal">MID(I204, 2, 1)</f>
        <v>0</v>
      </c>
      <c r="U205" s="137" t="n">
        <f aca="false" ca="false" dt2D="false" dtr="false" t="normal">T205</f>
        <v>0</v>
      </c>
      <c r="V205" s="120" t="s">
        <v>192</v>
      </c>
      <c r="W205" s="131" t="s">
        <v>196</v>
      </c>
      <c r="X205" s="136" t="n">
        <f aca="false" ca="false" dt2D="false" dtr="false" t="normal">MID(J204, 2, 1)</f>
        <v>0</v>
      </c>
      <c r="Y205" s="137" t="n">
        <f aca="false" ca="false" dt2D="false" dtr="false" t="normal">X205</f>
        <v>0</v>
      </c>
      <c r="Z205" s="120" t="s">
        <v>192</v>
      </c>
      <c r="AA205" s="131" t="s">
        <v>196</v>
      </c>
      <c r="AB205" s="136" t="n">
        <f aca="false" ca="false" dt2D="false" dtr="false" t="normal">MID(K204, 2, 1)</f>
        <v>0</v>
      </c>
      <c r="AC205" s="137" t="n">
        <f aca="false" ca="false" dt2D="false" dtr="false" t="normal">AB205</f>
        <v>0</v>
      </c>
      <c r="AD205" s="120" t="s">
        <v>192</v>
      </c>
      <c r="AE205" s="131" t="s">
        <v>196</v>
      </c>
      <c r="AF205" s="136" t="n">
        <f aca="false" ca="false" dt2D="false" dtr="false" t="normal">MID(L204, 2, 1)</f>
        <v>0</v>
      </c>
      <c r="AG205" s="137" t="n">
        <f aca="false" ca="false" dt2D="false" dtr="false" t="normal">AF205</f>
        <v>0</v>
      </c>
      <c r="AH205" s="120" t="s">
        <v>192</v>
      </c>
      <c r="AI205" s="131" t="s">
        <v>196</v>
      </c>
      <c r="AJ205" s="8639" t="s"/>
      <c r="AK205" s="8640" t="s"/>
    </row>
    <row hidden="false" ht="15" outlineLevel="0" r="206">
      <c r="C206" s="98" t="s">
        <v>194</v>
      </c>
      <c r="D206" s="149" t="n">
        <f aca="false" ca="false" dt2D="false" dtr="false" t="normal">D203</f>
        <v>7</v>
      </c>
      <c r="E206" s="149" t="str">
        <f aca="false" ca="false" dt2D="false" dtr="false" t="normal">E203</f>
        <v>A5</v>
      </c>
      <c r="F206" s="149" t="str">
        <f aca="false" ca="false" dt2D="false" dtr="false" t="normal">MID($A$22, 4, 2)</f>
        <v>G1</v>
      </c>
      <c r="G206" s="149" t="str">
        <f aca="false" ca="false" dt2D="false" dtr="false" t="normal">MID($A$22, 6, 2)</f>
        <v>H3</v>
      </c>
      <c r="N206" s="63" t="n"/>
      <c r="P206" s="136" t="n">
        <f aca="false" ca="false" dt2D="false" dtr="false" t="normal">MID(H204, 3, 1)</f>
        <v>0</v>
      </c>
      <c r="Q206" s="137" t="n">
        <f aca="false" ca="false" dt2D="false" dtr="false" t="normal">P206</f>
        <v>0</v>
      </c>
      <c r="R206" s="120" t="s">
        <v>195</v>
      </c>
      <c r="S206" s="131" t="s">
        <v>196</v>
      </c>
      <c r="T206" s="136" t="n">
        <f aca="false" ca="false" dt2D="false" dtr="false" t="normal">MID(I204, 3, 1)</f>
        <v>0</v>
      </c>
      <c r="U206" s="137" t="n">
        <f aca="false" ca="false" dt2D="false" dtr="false" t="normal">T206</f>
        <v>0</v>
      </c>
      <c r="V206" s="120" t="s">
        <v>195</v>
      </c>
      <c r="W206" s="131" t="s">
        <v>196</v>
      </c>
      <c r="X206" s="136" t="n">
        <f aca="false" ca="false" dt2D="false" dtr="false" t="normal">MID(J204, 3, 1)</f>
        <v>0</v>
      </c>
      <c r="Y206" s="137" t="n">
        <f aca="false" ca="false" dt2D="false" dtr="false" t="normal">X206</f>
        <v>0</v>
      </c>
      <c r="Z206" s="120" t="s">
        <v>195</v>
      </c>
      <c r="AA206" s="131" t="s">
        <v>196</v>
      </c>
      <c r="AB206" s="136" t="n">
        <f aca="false" ca="false" dt2D="false" dtr="false" t="normal">MID(K204, 3, 1)</f>
        <v>0</v>
      </c>
      <c r="AC206" s="137" t="n">
        <f aca="false" ca="false" dt2D="false" dtr="false" t="normal">AB206</f>
        <v>0</v>
      </c>
      <c r="AD206" s="120" t="s">
        <v>195</v>
      </c>
      <c r="AE206" s="131" t="s">
        <v>196</v>
      </c>
      <c r="AF206" s="136" t="n">
        <f aca="false" ca="false" dt2D="false" dtr="false" t="normal">MID(L204, 3, 1)</f>
        <v>0</v>
      </c>
      <c r="AG206" s="137" t="n">
        <f aca="false" ca="false" dt2D="false" dtr="false" t="normal">AF206</f>
        <v>0</v>
      </c>
      <c r="AH206" s="120" t="s">
        <v>195</v>
      </c>
      <c r="AI206" s="131" t="s">
        <v>196</v>
      </c>
      <c r="AJ206" s="8641" t="s"/>
      <c r="AK206" s="8642" t="s"/>
    </row>
    <row hidden="false" ht="15.75" outlineLevel="0" r="207">
      <c r="C207" s="98" t="n"/>
      <c r="N207" s="63" t="n"/>
      <c r="P207" s="136" t="n">
        <f aca="false" ca="false" dt2D="false" dtr="false" t="normal">MID(H204, 4, 1)</f>
        <v>0</v>
      </c>
      <c r="Q207" s="137" t="n">
        <f aca="false" ca="false" dt2D="false" dtr="false" t="normal">P207</f>
        <v>0</v>
      </c>
      <c r="R207" s="120" t="s">
        <v>197</v>
      </c>
      <c r="S207" s="131" t="s">
        <v>196</v>
      </c>
      <c r="T207" s="136" t="n">
        <f aca="false" ca="false" dt2D="false" dtr="false" t="normal">MID(I204, 4, 1)</f>
        <v>0</v>
      </c>
      <c r="U207" s="137" t="n">
        <f aca="false" ca="false" dt2D="false" dtr="false" t="normal">T207</f>
        <v>0</v>
      </c>
      <c r="V207" s="120" t="s">
        <v>197</v>
      </c>
      <c r="W207" s="131" t="s">
        <v>196</v>
      </c>
      <c r="X207" s="136" t="n">
        <f aca="false" ca="false" dt2D="false" dtr="false" t="normal">MID(J204, 4, 1)</f>
        <v>0</v>
      </c>
      <c r="Y207" s="137" t="n">
        <f aca="false" ca="false" dt2D="false" dtr="false" t="normal">X207</f>
        <v>0</v>
      </c>
      <c r="Z207" s="120" t="s">
        <v>197</v>
      </c>
      <c r="AA207" s="131" t="s">
        <v>196</v>
      </c>
      <c r="AB207" s="136" t="n">
        <f aca="false" ca="false" dt2D="false" dtr="false" t="normal">MID(K204, 4, 1)</f>
        <v>0</v>
      </c>
      <c r="AC207" s="137" t="n">
        <f aca="false" ca="false" dt2D="false" dtr="false" t="normal">AB207</f>
        <v>0</v>
      </c>
      <c r="AD207" s="120" t="s">
        <v>197</v>
      </c>
      <c r="AE207" s="131" t="s">
        <v>196</v>
      </c>
      <c r="AF207" s="136" t="n">
        <f aca="false" ca="false" dt2D="false" dtr="false" t="normal">MID(L204, 4, 1)</f>
        <v>0</v>
      </c>
      <c r="AG207" s="137" t="n">
        <f aca="false" ca="false" dt2D="false" dtr="false" t="normal">AF207</f>
        <v>0</v>
      </c>
      <c r="AH207" s="120" t="s">
        <v>197</v>
      </c>
      <c r="AI207" s="131" t="s">
        <v>196</v>
      </c>
      <c r="AJ207" s="8643" t="s"/>
      <c r="AK207" s="8644" t="s"/>
    </row>
    <row hidden="false" ht="15.75" outlineLevel="0" r="208">
      <c r="C208" s="98" t="s">
        <v>176</v>
      </c>
      <c r="D208" s="122" t="n">
        <f aca="false" ca="false" dt2D="false" dtr="false" t="normal">D203</f>
        <v>7</v>
      </c>
      <c r="E208" s="123" t="str">
        <f aca="false" ca="false" dt2D="false" dtr="false" t="normal">E203</f>
        <v>A5</v>
      </c>
      <c r="F208" s="123" t="n">
        <f aca="false" ca="false" dt2D="false" dtr="false" t="normal">F203</f>
        <v>1</v>
      </c>
      <c r="G208" s="124" t="n">
        <f aca="false" ca="false" dt2D="false" dtr="false" t="normal">G203</f>
        <v>19</v>
      </c>
      <c r="H208" s="162" t="n">
        <f aca="false" ca="false" dt2D="false" dtr="false" t="normal">BIN2HEX(H209, 2)</f>
        <v>0</v>
      </c>
      <c r="I208" s="163" t="n">
        <f aca="false" ca="false" dt2D="false" dtr="false" t="normal">BIN2HEX(I209, 2)</f>
        <v>0</v>
      </c>
      <c r="J208" s="164" t="n">
        <f aca="false" ca="false" dt2D="false" dtr="false" t="normal">BIN2HEX(J209, 2)</f>
        <v>0</v>
      </c>
      <c r="K208" s="165" t="n">
        <f aca="false" ca="false" dt2D="false" dtr="false" t="normal">BIN2HEX(K209, 2)</f>
        <v>0</v>
      </c>
      <c r="L208" s="288" t="n">
        <f aca="false" ca="false" dt2D="false" dtr="false" t="normal">BIN2HEX(L209, 2)</f>
        <v>0</v>
      </c>
      <c r="M208" s="166" t="str">
        <f aca="false" ca="false" dt2D="false" dtr="false" t="normal">IF(LEN(M209)&gt;2, MID(M209, 2, 2), M209)</f>
        <v>C6</v>
      </c>
      <c r="N208" s="63" t="s">
        <v>181</v>
      </c>
      <c r="P208" s="136" t="n">
        <f aca="false" ca="false" dt2D="false" dtr="false" t="normal">MID(H204, 5, 1)</f>
        <v>0</v>
      </c>
      <c r="Q208" s="137" t="n">
        <f aca="false" ca="false" dt2D="false" dtr="false" t="normal">P208</f>
        <v>0</v>
      </c>
      <c r="R208" s="120" t="s">
        <v>200</v>
      </c>
      <c r="S208" s="131" t="s">
        <v>196</v>
      </c>
      <c r="T208" s="136" t="n">
        <f aca="false" ca="false" dt2D="false" dtr="false" t="normal">MID(I204, 5, 1)</f>
        <v>0</v>
      </c>
      <c r="U208" s="137" t="n">
        <f aca="false" ca="false" dt2D="false" dtr="false" t="normal">T208</f>
        <v>0</v>
      </c>
      <c r="V208" s="120" t="s">
        <v>200</v>
      </c>
      <c r="W208" s="131" t="s">
        <v>196</v>
      </c>
      <c r="X208" s="136" t="n">
        <f aca="false" ca="false" dt2D="false" dtr="false" t="normal">MID(J204, 5, 1)</f>
        <v>0</v>
      </c>
      <c r="Y208" s="137" t="n">
        <f aca="false" ca="false" dt2D="false" dtr="false" t="normal">X208</f>
        <v>0</v>
      </c>
      <c r="Z208" s="120" t="s">
        <v>200</v>
      </c>
      <c r="AA208" s="131" t="s">
        <v>196</v>
      </c>
      <c r="AB208" s="136" t="n">
        <f aca="false" ca="false" dt2D="false" dtr="false" t="normal">MID(K204, 5, 1)</f>
        <v>0</v>
      </c>
      <c r="AC208" s="137" t="n">
        <f aca="false" ca="false" dt2D="false" dtr="false" t="normal">AB208</f>
        <v>0</v>
      </c>
      <c r="AD208" s="120" t="s">
        <v>200</v>
      </c>
      <c r="AE208" s="131" t="s">
        <v>196</v>
      </c>
      <c r="AF208" s="136" t="n">
        <f aca="false" ca="false" dt2D="false" dtr="false" t="normal">MID(L204, 5, 1)</f>
        <v>0</v>
      </c>
      <c r="AG208" s="137" t="n">
        <f aca="false" ca="false" dt2D="false" dtr="false" t="normal">AF208</f>
        <v>0</v>
      </c>
      <c r="AH208" s="120" t="s">
        <v>200</v>
      </c>
      <c r="AI208" s="131" t="s">
        <v>196</v>
      </c>
      <c r="AJ208" s="8645" t="s"/>
      <c r="AK208" s="8646" t="s"/>
    </row>
    <row hidden="false" ht="15" outlineLevel="0" r="209">
      <c r="C209" s="98" t="s">
        <v>185</v>
      </c>
      <c r="D209" s="149" t="n">
        <f aca="false" ca="false" dt2D="false" dtr="false" t="normal">HEX2BIN(D208, 8)</f>
        <v>111</v>
      </c>
      <c r="E209" s="149" t="n">
        <f aca="false" ca="false" dt2D="false" dtr="false" t="normal">HEX2BIN(E208, 8)</f>
        <v>10100101</v>
      </c>
      <c r="F209" s="149" t="n">
        <f aca="false" ca="false" dt2D="false" dtr="false" t="normal">HEX2BIN(F208, 8)</f>
        <v>1</v>
      </c>
      <c r="G209" s="149" t="n">
        <f aca="false" ca="false" dt2D="false" dtr="false" t="normal">HEX2BIN(G208, 8)</f>
        <v>11001</v>
      </c>
      <c r="H209" s="53" t="n">
        <f aca="false" ca="false" dt2D="false" dtr="false" t="normal">Q204&amp;Q205&amp;Q206&amp;Q207&amp;Q208&amp;Q209&amp;Q210&amp;Q211</f>
        <v>0</v>
      </c>
      <c r="I209" s="53" t="n">
        <f aca="false" ca="false" dt2D="false" dtr="false" t="normal">U204&amp;U205&amp;U206&amp;U207&amp;U208&amp;U209&amp;U210&amp;U211</f>
        <v>0</v>
      </c>
      <c r="J209" s="53" t="n">
        <f aca="false" ca="false" dt2D="false" dtr="false" t="normal">Y204&amp;Y205&amp;Y206&amp;Y207&amp;Y208&amp;Y209&amp;Y210&amp;Y211</f>
        <v>0</v>
      </c>
      <c r="K209" s="53" t="n">
        <f aca="false" ca="false" dt2D="false" dtr="false" t="normal">AC204&amp;AC205&amp;AC206&amp;AC207&amp;AC208&amp;AC209&amp;AC210&amp;AC211</f>
        <v>0</v>
      </c>
      <c r="L209" s="53" t="n">
        <f aca="false" ca="false" dt2D="false" dtr="false" t="normal">AG204&amp;AG205&amp;AG206&amp;AG207&amp;AG208&amp;AG209&amp;AG210&amp;AG211</f>
        <v>0</v>
      </c>
      <c r="M209" s="53" t="str">
        <f aca="false" ca="false" dt2D="false" dtr="false" t="normal">DEC2HEX(M210)</f>
        <v>C6</v>
      </c>
      <c r="N209" s="63" t="n"/>
      <c r="P209" s="136" t="n">
        <f aca="false" ca="false" dt2D="false" dtr="false" t="normal">MID(H204, 6, 1)</f>
        <v>0</v>
      </c>
      <c r="Q209" s="137" t="n">
        <f aca="false" ca="false" dt2D="false" dtr="false" t="normal">P209</f>
        <v>0</v>
      </c>
      <c r="R209" s="120" t="s">
        <v>203</v>
      </c>
      <c r="S209" s="131" t="s">
        <v>196</v>
      </c>
      <c r="T209" s="136" t="n">
        <f aca="false" ca="false" dt2D="false" dtr="false" t="normal">MID(I204, 6, 1)</f>
        <v>0</v>
      </c>
      <c r="U209" s="137" t="n">
        <f aca="false" ca="false" dt2D="false" dtr="false" t="normal">T209</f>
        <v>0</v>
      </c>
      <c r="V209" s="120" t="s">
        <v>203</v>
      </c>
      <c r="W209" s="131" t="s">
        <v>196</v>
      </c>
      <c r="X209" s="136" t="n">
        <f aca="false" ca="false" dt2D="false" dtr="false" t="normal">MID(J204, 6, 1)</f>
        <v>0</v>
      </c>
      <c r="Y209" s="137" t="n">
        <f aca="false" ca="false" dt2D="false" dtr="false" t="normal">X209</f>
        <v>0</v>
      </c>
      <c r="Z209" s="120" t="s">
        <v>203</v>
      </c>
      <c r="AA209" s="131" t="s">
        <v>196</v>
      </c>
      <c r="AB209" s="136" t="n">
        <f aca="false" ca="false" dt2D="false" dtr="false" t="normal">MID(K204, 6, 1)</f>
        <v>0</v>
      </c>
      <c r="AC209" s="137" t="n">
        <f aca="false" ca="false" dt2D="false" dtr="false" t="normal">AB209</f>
        <v>0</v>
      </c>
      <c r="AD209" s="120" t="s">
        <v>203</v>
      </c>
      <c r="AE209" s="131" t="s">
        <v>196</v>
      </c>
      <c r="AF209" s="136" t="n">
        <f aca="false" ca="false" dt2D="false" dtr="false" t="normal">MID(L204, 6, 1)</f>
        <v>0</v>
      </c>
      <c r="AG209" s="137" t="n">
        <f aca="false" ca="false" dt2D="false" dtr="false" t="normal">AF209</f>
        <v>0</v>
      </c>
      <c r="AH209" s="120" t="s">
        <v>203</v>
      </c>
      <c r="AI209" s="131" t="s">
        <v>196</v>
      </c>
      <c r="AJ209" s="8647" t="s"/>
      <c r="AK209" s="8648" t="s"/>
    </row>
    <row hidden="false" ht="15" outlineLevel="0" r="210">
      <c r="C210" s="98" t="s">
        <v>191</v>
      </c>
      <c r="D210" s="149" t="n">
        <f aca="false" ca="false" dt2D="false" dtr="false" t="normal">HEX2DEC(D208)</f>
        <v>7</v>
      </c>
      <c r="E210" s="149" t="n">
        <f aca="false" ca="false" dt2D="false" dtr="false" t="normal">HEX2DEC(E208)</f>
        <v>165</v>
      </c>
      <c r="F210" s="149" t="n">
        <f aca="false" ca="false" dt2D="false" dtr="false" t="normal">HEX2DEC(F208)</f>
        <v>1</v>
      </c>
      <c r="G210" s="149" t="n">
        <f aca="false" ca="false" dt2D="false" dtr="false" t="normal">HEX2DEC(G208)</f>
        <v>25</v>
      </c>
      <c r="H210" s="53" t="n">
        <f aca="false" ca="false" dt2D="false" dtr="false" t="normal">HEX2DEC(H208)</f>
        <v>0</v>
      </c>
      <c r="I210" s="53" t="n">
        <f aca="false" ca="false" dt2D="false" dtr="false" t="normal">HEX2DEC(I208)</f>
        <v>0</v>
      </c>
      <c r="J210" s="53" t="n">
        <f aca="false" ca="false" dt2D="false" dtr="false" t="normal">HEX2DEC(J208)</f>
        <v>0</v>
      </c>
      <c r="K210" s="53" t="n">
        <f aca="false" ca="false" dt2D="false" dtr="false" t="normal">HEX2DEC(K208)</f>
        <v>0</v>
      </c>
      <c r="L210" s="53" t="n">
        <f aca="false" ca="false" dt2D="false" dtr="false" t="normal">HEX2DEC(L208)</f>
        <v>0</v>
      </c>
      <c r="M210" s="53" t="n">
        <f aca="false" ca="false" dt2D="false" dtr="false" t="normal">SUM(D210:L210)</f>
        <v>198</v>
      </c>
      <c r="N210" s="63" t="n"/>
      <c r="P210" s="136" t="n">
        <f aca="false" ca="false" dt2D="false" dtr="false" t="normal">MID(H204, 7, 1)</f>
        <v>0</v>
      </c>
      <c r="Q210" s="137" t="n">
        <f aca="false" ca="false" dt2D="false" dtr="false" t="normal">P210</f>
        <v>0</v>
      </c>
      <c r="R210" s="120" t="s">
        <v>206</v>
      </c>
      <c r="S210" s="131" t="s">
        <v>196</v>
      </c>
      <c r="T210" s="136" t="n">
        <f aca="false" ca="false" dt2D="false" dtr="false" t="normal">MID(I204, 7, 1)</f>
        <v>0</v>
      </c>
      <c r="U210" s="137" t="n">
        <f aca="false" ca="false" dt2D="false" dtr="false" t="normal">T210</f>
        <v>0</v>
      </c>
      <c r="V210" s="120" t="s">
        <v>206</v>
      </c>
      <c r="W210" s="131" t="s">
        <v>196</v>
      </c>
      <c r="X210" s="136" t="n">
        <f aca="false" ca="false" dt2D="false" dtr="false" t="normal">MID(J204, 7, 1)</f>
        <v>0</v>
      </c>
      <c r="Y210" s="137" t="n">
        <f aca="false" ca="false" dt2D="false" dtr="false" t="normal">X210</f>
        <v>0</v>
      </c>
      <c r="Z210" s="120" t="s">
        <v>206</v>
      </c>
      <c r="AA210" s="131" t="s">
        <v>196</v>
      </c>
      <c r="AB210" s="136" t="n">
        <f aca="false" ca="false" dt2D="false" dtr="false" t="normal">MID(K204, 7, 1)</f>
        <v>0</v>
      </c>
      <c r="AC210" s="137" t="n">
        <f aca="false" ca="false" dt2D="false" dtr="false" t="normal">AB210</f>
        <v>0</v>
      </c>
      <c r="AD210" s="120" t="s">
        <v>206</v>
      </c>
      <c r="AE210" s="131" t="s">
        <v>196</v>
      </c>
      <c r="AF210" s="136" t="n">
        <f aca="false" ca="false" dt2D="false" dtr="false" t="normal">MID(L204, 7, 1)</f>
        <v>0</v>
      </c>
      <c r="AG210" s="137" t="n">
        <f aca="false" ca="false" dt2D="false" dtr="false" t="normal">AF210</f>
        <v>0</v>
      </c>
      <c r="AH210" s="120" t="s">
        <v>206</v>
      </c>
      <c r="AI210" s="131" t="s">
        <v>196</v>
      </c>
      <c r="AJ210" s="8649" t="s"/>
      <c r="AK210" s="8650" t="s"/>
    </row>
    <row hidden="false" ht="15.75" outlineLevel="0" r="211">
      <c r="C211" s="180" t="s">
        <v>194</v>
      </c>
      <c r="D211" s="181" t="n">
        <f aca="false" ca="false" dt2D="false" dtr="false" t="normal">D206</f>
        <v>7</v>
      </c>
      <c r="E211" s="181" t="str">
        <f aca="false" ca="false" dt2D="false" dtr="false" t="normal">E206</f>
        <v>A5</v>
      </c>
      <c r="F211" s="181" t="str">
        <f aca="false" ca="false" dt2D="false" dtr="false" t="normal">F206</f>
        <v>G1</v>
      </c>
      <c r="G211" s="181" t="str">
        <f aca="false" ca="false" dt2D="false" dtr="false" t="normal">G206</f>
        <v>H3</v>
      </c>
      <c r="H211" s="45" t="n"/>
      <c r="I211" s="45" t="n"/>
      <c r="J211" s="45" t="n"/>
      <c r="K211" s="45" t="n"/>
      <c r="L211" s="45" t="n"/>
      <c r="M211" s="45" t="n"/>
      <c r="N211" s="49" t="n"/>
      <c r="P211" s="182" t="n">
        <f aca="false" ca="false" dt2D="false" dtr="false" t="normal">MID(H204, 8, 1)</f>
        <v>0</v>
      </c>
      <c r="Q211" s="183" t="n">
        <f aca="false" ca="false" dt2D="false" dtr="false" t="normal">P211</f>
        <v>0</v>
      </c>
      <c r="R211" s="184" t="s">
        <v>208</v>
      </c>
      <c r="S211" s="185" t="s">
        <v>196</v>
      </c>
      <c r="T211" s="182" t="n">
        <f aca="false" ca="false" dt2D="false" dtr="false" t="normal">MID(I204, 8, 1)</f>
        <v>0</v>
      </c>
      <c r="U211" s="183" t="n">
        <f aca="false" ca="false" dt2D="false" dtr="false" t="normal">T211</f>
        <v>0</v>
      </c>
      <c r="V211" s="184" t="s">
        <v>208</v>
      </c>
      <c r="W211" s="185" t="s">
        <v>196</v>
      </c>
      <c r="X211" s="182" t="n">
        <f aca="false" ca="false" dt2D="false" dtr="false" t="normal">MID(J204, 8, 1)</f>
        <v>0</v>
      </c>
      <c r="Y211" s="183" t="n">
        <f aca="false" ca="false" dt2D="false" dtr="false" t="normal">X211</f>
        <v>0</v>
      </c>
      <c r="Z211" s="184" t="s">
        <v>208</v>
      </c>
      <c r="AA211" s="185" t="s">
        <v>196</v>
      </c>
      <c r="AB211" s="182" t="n">
        <f aca="false" ca="false" dt2D="false" dtr="false" t="normal">MID(K204, 8, 1)</f>
        <v>0</v>
      </c>
      <c r="AC211" s="183" t="n">
        <f aca="false" ca="false" dt2D="false" dtr="false" t="normal">AB211</f>
        <v>0</v>
      </c>
      <c r="AD211" s="184" t="s">
        <v>208</v>
      </c>
      <c r="AE211" s="185" t="s">
        <v>196</v>
      </c>
      <c r="AF211" s="182" t="n">
        <f aca="false" ca="false" dt2D="false" dtr="false" t="normal">MID(L204, 8, 1)</f>
        <v>0</v>
      </c>
      <c r="AG211" s="183" t="n">
        <f aca="false" ca="false" dt2D="false" dtr="false" t="normal">AF211</f>
        <v>0</v>
      </c>
      <c r="AH211" s="184" t="s">
        <v>208</v>
      </c>
      <c r="AI211" s="185" t="s">
        <v>196</v>
      </c>
      <c r="AJ211" s="8651" t="s"/>
      <c r="AK211" s="8652" t="s"/>
    </row>
    <row hidden="false" ht="15.75" outlineLevel="0" r="212">
      <c r="C212" s="93" t="n"/>
      <c r="D212" s="7585" t="n"/>
      <c r="E212" s="7585" t="n"/>
      <c r="F212" s="7585" t="n"/>
      <c r="G212" s="7585" t="n"/>
      <c r="H212" s="94" t="n"/>
      <c r="I212" s="94" t="n"/>
      <c r="J212" s="94" t="n"/>
      <c r="K212" s="94" t="n"/>
      <c r="L212" s="94" t="n"/>
      <c r="M212" s="94" t="s">
        <v>161</v>
      </c>
      <c r="N212" s="60" t="n"/>
      <c r="P212" s="95" t="str">
        <f aca="false" ca="false" dt2D="false" dtr="false" t="normal">RIGHT(D214, 1)&amp;E214&amp;"-"&amp;F214&amp;"-"&amp;G214</f>
        <v>7A5-01-20</v>
      </c>
      <c r="Q212" s="8653" t="s"/>
      <c r="R212" s="234" t="s">
        <v>4088</v>
      </c>
      <c r="S212" s="8654" t="s"/>
      <c r="T212" s="8655" t="s"/>
      <c r="U212" s="8656" t="s"/>
      <c r="V212" s="8657" t="s"/>
      <c r="W212" s="8658" t="s"/>
      <c r="X212" s="8659" t="s"/>
      <c r="Y212" s="8660" t="s"/>
      <c r="Z212" s="8661" t="s"/>
      <c r="AA212" s="8662" t="s"/>
      <c r="AB212" s="8663" t="s"/>
      <c r="AC212" s="8664" t="s"/>
      <c r="AD212" s="8665" t="s"/>
      <c r="AE212" s="8666" t="s"/>
      <c r="AF212" s="8667" t="s"/>
      <c r="AG212" s="8668" t="s"/>
      <c r="AH212" s="8669" t="s"/>
      <c r="AI212" s="8670" t="s"/>
      <c r="AJ212" s="8671" t="s"/>
      <c r="AK212" s="8672" t="s"/>
    </row>
    <row hidden="false" ht="15.75" outlineLevel="0" r="213">
      <c r="C213" s="98" t="n"/>
      <c r="D213" s="7606" t="s">
        <v>4089</v>
      </c>
      <c r="E213" s="8673" t="s"/>
      <c r="F213" s="8674" t="s"/>
      <c r="G213" s="8675" t="s"/>
      <c r="H213" s="53" t="s">
        <v>165</v>
      </c>
      <c r="I213" s="53" t="s">
        <v>166</v>
      </c>
      <c r="J213" s="53" t="s">
        <v>167</v>
      </c>
      <c r="K213" s="53" t="s">
        <v>168</v>
      </c>
      <c r="L213" s="53" t="s">
        <v>169</v>
      </c>
      <c r="M213" s="53" t="s">
        <v>221</v>
      </c>
      <c r="N213" s="63" t="n"/>
      <c r="P213" s="103" t="s">
        <v>4090</v>
      </c>
      <c r="Q213" s="8676" t="s"/>
      <c r="R213" s="8677" t="s"/>
      <c r="S213" s="8678" t="s"/>
      <c r="T213" s="103" t="s">
        <v>4091</v>
      </c>
      <c r="U213" s="8679" t="s"/>
      <c r="V213" s="8680" t="s"/>
      <c r="W213" s="8681" t="s"/>
      <c r="X213" s="103" t="s">
        <v>4092</v>
      </c>
      <c r="Y213" s="8682" t="s"/>
      <c r="Z213" s="8683" t="s"/>
      <c r="AA213" s="8684" t="s"/>
      <c r="AB213" s="103" t="s">
        <v>4093</v>
      </c>
      <c r="AC213" s="8685" t="s"/>
      <c r="AD213" s="8686" t="s"/>
      <c r="AE213" s="8687" t="s"/>
      <c r="AF213" s="103" t="s">
        <v>4094</v>
      </c>
      <c r="AG213" s="8688" t="s"/>
      <c r="AH213" s="8689" t="s"/>
      <c r="AI213" s="8690" t="s"/>
      <c r="AJ213" s="103" t="s">
        <v>4095</v>
      </c>
      <c r="AK213" s="8691" t="s"/>
    </row>
    <row hidden="false" ht="15.75" outlineLevel="0" r="214">
      <c r="C214" s="98" t="s">
        <v>176</v>
      </c>
      <c r="D214" s="122" t="s">
        <v>177</v>
      </c>
      <c r="E214" s="123" t="s">
        <v>3892</v>
      </c>
      <c r="F214" s="123" t="s">
        <v>179</v>
      </c>
      <c r="G214" s="124" t="s">
        <v>693</v>
      </c>
      <c r="H214" s="273" t="n">
        <f aca="false" ca="false" dt2D="false" dtr="false" t="normal">MID($A$23, 8, 2)</f>
        <v>0</v>
      </c>
      <c r="I214" s="7626" t="n">
        <f aca="false" ca="false" dt2D="false" dtr="false" t="normal">MID($A$23, 10, 2)</f>
        <v>0</v>
      </c>
      <c r="J214" s="7626" t="n">
        <f aca="false" ca="false" dt2D="false" dtr="false" t="normal">MID($A$23, 12, 2)</f>
        <v>0</v>
      </c>
      <c r="K214" s="7626" t="n">
        <f aca="false" ca="false" dt2D="false" dtr="false" t="normal">MID($A$23, 14, 2)</f>
        <v>0</v>
      </c>
      <c r="L214" s="7627" t="n">
        <f aca="false" ca="false" dt2D="false" dtr="false" t="normal">MID($A$23, 16, 2)</f>
        <v>0</v>
      </c>
      <c r="M214" s="7553" t="str">
        <f aca="false" ca="false" dt2D="false" dtr="false" t="normal">MID($A$23, 18, 2)</f>
        <v>CD</v>
      </c>
      <c r="N214" s="63" t="s">
        <v>180</v>
      </c>
      <c r="P214" s="129" t="s">
        <v>180</v>
      </c>
      <c r="Q214" s="130" t="s">
        <v>181</v>
      </c>
      <c r="R214" s="121" t="s">
        <v>182</v>
      </c>
      <c r="S214" s="131" t="n"/>
      <c r="T214" s="129" t="s">
        <v>180</v>
      </c>
      <c r="U214" s="130" t="s">
        <v>181</v>
      </c>
      <c r="V214" s="121" t="s">
        <v>182</v>
      </c>
      <c r="W214" s="131" t="n"/>
      <c r="X214" s="129" t="s">
        <v>180</v>
      </c>
      <c r="Y214" s="130" t="s">
        <v>181</v>
      </c>
      <c r="Z214" s="121" t="s">
        <v>182</v>
      </c>
      <c r="AA214" s="131" t="n"/>
      <c r="AB214" s="129" t="s">
        <v>180</v>
      </c>
      <c r="AC214" s="130" t="s">
        <v>181</v>
      </c>
      <c r="AD214" s="121" t="s">
        <v>182</v>
      </c>
      <c r="AE214" s="131" t="n"/>
      <c r="AF214" s="129" t="s">
        <v>180</v>
      </c>
      <c r="AG214" s="130" t="s">
        <v>181</v>
      </c>
      <c r="AH214" s="121" t="s">
        <v>182</v>
      </c>
      <c r="AI214" s="121" t="n"/>
      <c r="AJ214" s="116" t="s">
        <v>183</v>
      </c>
      <c r="AK214" s="8692" t="s"/>
    </row>
    <row hidden="false" ht="15" outlineLevel="0" r="215">
      <c r="C215" s="98" t="s">
        <v>185</v>
      </c>
      <c r="D215" s="149" t="n">
        <f aca="false" ca="false" dt2D="false" dtr="false" t="normal">HEX2BIN(D214, 8)</f>
        <v>111</v>
      </c>
      <c r="E215" s="149" t="n">
        <f aca="false" ca="false" dt2D="false" dtr="false" t="normal">HEX2BIN(E214, 8)</f>
        <v>10100101</v>
      </c>
      <c r="F215" s="149" t="n">
        <f aca="false" ca="false" dt2D="false" dtr="false" t="normal">HEX2BIN(F214, 8)</f>
        <v>1</v>
      </c>
      <c r="G215" s="149" t="n">
        <f aca="false" ca="false" dt2D="false" dtr="false" t="normal">HEX2BIN(G214, 8)</f>
        <v>100000</v>
      </c>
      <c r="H215" s="53" t="n">
        <f aca="false" ca="false" dt2D="false" dtr="false" t="normal">HEX2BIN(H214, 8)</f>
        <v>0</v>
      </c>
      <c r="I215" s="53" t="n">
        <f aca="false" ca="false" dt2D="false" dtr="false" t="normal">HEX2BIN(I214, 8)</f>
        <v>0</v>
      </c>
      <c r="J215" s="53" t="n">
        <f aca="false" ca="false" dt2D="false" dtr="false" t="normal">HEX2BIN(J214, 8)</f>
        <v>0</v>
      </c>
      <c r="K215" s="53" t="n">
        <f aca="false" ca="false" dt2D="false" dtr="false" t="normal">HEX2BIN(K214, 8)</f>
        <v>0</v>
      </c>
      <c r="L215" s="53" t="n">
        <f aca="false" ca="false" dt2D="false" dtr="false" t="normal">HEX2BIN(L214, 8)</f>
        <v>0</v>
      </c>
      <c r="M215" s="53" t="n"/>
      <c r="N215" s="63" t="n"/>
      <c r="P215" s="136" t="n">
        <f aca="false" ca="false" dt2D="false" dtr="false" t="normal">MID(H215, 1, 1)</f>
        <v>0</v>
      </c>
      <c r="Q215" s="137" t="n">
        <f aca="false" ca="false" dt2D="false" dtr="false" t="normal">P215</f>
        <v>0</v>
      </c>
      <c r="R215" s="120" t="s">
        <v>186</v>
      </c>
      <c r="S215" s="131" t="s">
        <v>196</v>
      </c>
      <c r="T215" s="136" t="n">
        <f aca="false" ca="false" dt2D="false" dtr="false" t="normal">MID(I215, 1, 1)</f>
        <v>0</v>
      </c>
      <c r="U215" s="137" t="n">
        <f aca="false" ca="false" dt2D="false" dtr="false" t="normal">T215</f>
        <v>0</v>
      </c>
      <c r="V215" s="120" t="s">
        <v>186</v>
      </c>
      <c r="W215" s="131" t="s">
        <v>196</v>
      </c>
      <c r="X215" s="136" t="n">
        <f aca="false" ca="false" dt2D="false" dtr="false" t="normal">MID(J215, 1, 1)</f>
        <v>0</v>
      </c>
      <c r="Y215" s="137" t="n">
        <f aca="false" ca="false" dt2D="false" dtr="false" t="normal">X215</f>
        <v>0</v>
      </c>
      <c r="Z215" s="120" t="s">
        <v>186</v>
      </c>
      <c r="AA215" s="131" t="s">
        <v>196</v>
      </c>
      <c r="AB215" s="136" t="n">
        <f aca="false" ca="false" dt2D="false" dtr="false" t="normal">MID(K215, 1, 1)</f>
        <v>0</v>
      </c>
      <c r="AC215" s="137" t="n">
        <f aca="false" ca="false" dt2D="false" dtr="false" t="normal">AB215</f>
        <v>0</v>
      </c>
      <c r="AD215" s="120" t="s">
        <v>186</v>
      </c>
      <c r="AE215" s="131" t="s">
        <v>196</v>
      </c>
      <c r="AF215" s="136" t="n">
        <f aca="false" ca="false" dt2D="false" dtr="false" t="normal">MID(L215, 1, 1)</f>
        <v>0</v>
      </c>
      <c r="AG215" s="137" t="n">
        <f aca="false" ca="false" dt2D="false" dtr="false" t="normal">AF215</f>
        <v>0</v>
      </c>
      <c r="AH215" s="120" t="s">
        <v>186</v>
      </c>
      <c r="AI215" s="131" t="s">
        <v>196</v>
      </c>
      <c r="AJ215" s="8693" t="s"/>
      <c r="AK215" s="8694" t="s"/>
    </row>
    <row hidden="false" ht="15" outlineLevel="0" r="216">
      <c r="C216" s="98" t="s">
        <v>191</v>
      </c>
      <c r="D216" s="149" t="n">
        <f aca="false" ca="false" dt2D="false" dtr="false" t="normal">HEX2DEC(D214)</f>
        <v>7</v>
      </c>
      <c r="E216" s="149" t="n">
        <f aca="false" ca="false" dt2D="false" dtr="false" t="normal">HEX2DEC(E214)</f>
        <v>165</v>
      </c>
      <c r="F216" s="149" t="n">
        <f aca="false" ca="false" dt2D="false" dtr="false" t="normal">HEX2DEC(F214)</f>
        <v>1</v>
      </c>
      <c r="G216" s="149" t="n">
        <f aca="false" ca="false" dt2D="false" dtr="false" t="normal">HEX2DEC(G214)</f>
        <v>32</v>
      </c>
      <c r="H216" s="53" t="n">
        <f aca="false" ca="false" dt2D="false" dtr="false" t="normal">HEX2DEC(H214)</f>
        <v>0</v>
      </c>
      <c r="I216" s="53" t="n">
        <f aca="false" ca="false" dt2D="false" dtr="false" t="normal">HEX2DEC(I214)</f>
        <v>0</v>
      </c>
      <c r="J216" s="53" t="n">
        <f aca="false" ca="false" dt2D="false" dtr="false" t="normal">HEX2DEC(J214)</f>
        <v>0</v>
      </c>
      <c r="K216" s="53" t="n">
        <f aca="false" ca="false" dt2D="false" dtr="false" t="normal">HEX2DEC(K214)</f>
        <v>0</v>
      </c>
      <c r="L216" s="53" t="n">
        <f aca="false" ca="false" dt2D="false" dtr="false" t="normal">HEX2DEC(L214)</f>
        <v>0</v>
      </c>
      <c r="M216" s="53" t="n">
        <f aca="false" ca="false" dt2D="false" dtr="false" t="normal">SUM(D216:L216)</f>
        <v>205</v>
      </c>
      <c r="N216" s="63" t="n"/>
      <c r="P216" s="136" t="n">
        <f aca="false" ca="false" dt2D="false" dtr="false" t="normal">MID(H215, 2, 1)</f>
        <v>0</v>
      </c>
      <c r="Q216" s="137" t="n">
        <f aca="false" ca="false" dt2D="false" dtr="false" t="normal">P216</f>
        <v>0</v>
      </c>
      <c r="R216" s="120" t="s">
        <v>192</v>
      </c>
      <c r="S216" s="131" t="s">
        <v>196</v>
      </c>
      <c r="T216" s="136" t="n">
        <f aca="false" ca="false" dt2D="false" dtr="false" t="normal">MID(I215, 2, 1)</f>
        <v>0</v>
      </c>
      <c r="U216" s="137" t="n">
        <f aca="false" ca="false" dt2D="false" dtr="false" t="normal">T216</f>
        <v>0</v>
      </c>
      <c r="V216" s="120" t="s">
        <v>192</v>
      </c>
      <c r="W216" s="131" t="s">
        <v>196</v>
      </c>
      <c r="X216" s="136" t="n">
        <f aca="false" ca="false" dt2D="false" dtr="false" t="normal">MID(J215, 2, 1)</f>
        <v>0</v>
      </c>
      <c r="Y216" s="137" t="n">
        <f aca="false" ca="false" dt2D="false" dtr="false" t="normal">X216</f>
        <v>0</v>
      </c>
      <c r="Z216" s="120" t="s">
        <v>192</v>
      </c>
      <c r="AA216" s="131" t="s">
        <v>196</v>
      </c>
      <c r="AB216" s="136" t="n">
        <f aca="false" ca="false" dt2D="false" dtr="false" t="normal">MID(K215, 2, 1)</f>
        <v>0</v>
      </c>
      <c r="AC216" s="137" t="n">
        <f aca="false" ca="false" dt2D="false" dtr="false" t="normal">AB216</f>
        <v>0</v>
      </c>
      <c r="AD216" s="120" t="s">
        <v>192</v>
      </c>
      <c r="AE216" s="131" t="s">
        <v>196</v>
      </c>
      <c r="AF216" s="136" t="n">
        <f aca="false" ca="false" dt2D="false" dtr="false" t="normal">MID(L215, 2, 1)</f>
        <v>0</v>
      </c>
      <c r="AG216" s="137" t="n">
        <f aca="false" ca="false" dt2D="false" dtr="false" t="normal">AF216</f>
        <v>0</v>
      </c>
      <c r="AH216" s="120" t="s">
        <v>192</v>
      </c>
      <c r="AI216" s="131" t="s">
        <v>196</v>
      </c>
      <c r="AJ216" s="8695" t="s"/>
      <c r="AK216" s="8696" t="s"/>
    </row>
    <row hidden="false" ht="15" outlineLevel="0" r="217">
      <c r="C217" s="98" t="s">
        <v>194</v>
      </c>
      <c r="D217" s="149" t="n">
        <f aca="false" ca="false" dt2D="false" dtr="false" t="normal">D214</f>
        <v>7</v>
      </c>
      <c r="E217" s="149" t="str">
        <f aca="false" ca="false" dt2D="false" dtr="false" t="normal">E214</f>
        <v>A5</v>
      </c>
      <c r="F217" s="149" t="str">
        <f aca="false" ca="false" dt2D="false" dtr="false" t="normal">MID($A$23, 4, 2)</f>
        <v>G1</v>
      </c>
      <c r="G217" s="149" t="str">
        <f aca="false" ca="false" dt2D="false" dtr="false" t="normal">MID($A$23, 6, 2)</f>
        <v>H4</v>
      </c>
      <c r="N217" s="63" t="n"/>
      <c r="P217" s="136" t="n">
        <f aca="false" ca="false" dt2D="false" dtr="false" t="normal">MID(H215, 3, 1)</f>
        <v>0</v>
      </c>
      <c r="Q217" s="137" t="n">
        <f aca="false" ca="false" dt2D="false" dtr="false" t="normal">P217</f>
        <v>0</v>
      </c>
      <c r="R217" s="120" t="s">
        <v>195</v>
      </c>
      <c r="S217" s="131" t="s">
        <v>196</v>
      </c>
      <c r="T217" s="136" t="n">
        <f aca="false" ca="false" dt2D="false" dtr="false" t="normal">MID(I215, 3, 1)</f>
        <v>0</v>
      </c>
      <c r="U217" s="137" t="n">
        <f aca="false" ca="false" dt2D="false" dtr="false" t="normal">T217</f>
        <v>0</v>
      </c>
      <c r="V217" s="120" t="s">
        <v>195</v>
      </c>
      <c r="W217" s="131" t="s">
        <v>196</v>
      </c>
      <c r="X217" s="136" t="n">
        <f aca="false" ca="false" dt2D="false" dtr="false" t="normal">MID(J215, 3, 1)</f>
        <v>0</v>
      </c>
      <c r="Y217" s="137" t="n">
        <f aca="false" ca="false" dt2D="false" dtr="false" t="normal">X217</f>
        <v>0</v>
      </c>
      <c r="Z217" s="120" t="s">
        <v>195</v>
      </c>
      <c r="AA217" s="131" t="s">
        <v>196</v>
      </c>
      <c r="AB217" s="136" t="n">
        <f aca="false" ca="false" dt2D="false" dtr="false" t="normal">MID(K215, 3, 1)</f>
        <v>0</v>
      </c>
      <c r="AC217" s="137" t="n">
        <f aca="false" ca="false" dt2D="false" dtr="false" t="normal">AB217</f>
        <v>0</v>
      </c>
      <c r="AD217" s="120" t="s">
        <v>195</v>
      </c>
      <c r="AE217" s="131" t="s">
        <v>196</v>
      </c>
      <c r="AF217" s="136" t="n">
        <f aca="false" ca="false" dt2D="false" dtr="false" t="normal">MID(L215, 3, 1)</f>
        <v>0</v>
      </c>
      <c r="AG217" s="137" t="n">
        <f aca="false" ca="false" dt2D="false" dtr="false" t="normal">AF217</f>
        <v>0</v>
      </c>
      <c r="AH217" s="120" t="s">
        <v>195</v>
      </c>
      <c r="AI217" s="131" t="s">
        <v>196</v>
      </c>
      <c r="AJ217" s="8697" t="s"/>
      <c r="AK217" s="8698" t="s"/>
    </row>
    <row hidden="false" ht="15.75" outlineLevel="0" r="218">
      <c r="C218" s="98" t="n"/>
      <c r="N218" s="63" t="n"/>
      <c r="P218" s="136" t="n">
        <f aca="false" ca="false" dt2D="false" dtr="false" t="normal">MID(H215, 4, 1)</f>
        <v>0</v>
      </c>
      <c r="Q218" s="137" t="n">
        <f aca="false" ca="false" dt2D="false" dtr="false" t="normal">P218</f>
        <v>0</v>
      </c>
      <c r="R218" s="120" t="s">
        <v>197</v>
      </c>
      <c r="S218" s="131" t="s">
        <v>196</v>
      </c>
      <c r="T218" s="136" t="n">
        <f aca="false" ca="false" dt2D="false" dtr="false" t="normal">MID(I215, 4, 1)</f>
        <v>0</v>
      </c>
      <c r="U218" s="137" t="n">
        <f aca="false" ca="false" dt2D="false" dtr="false" t="normal">T218</f>
        <v>0</v>
      </c>
      <c r="V218" s="120" t="s">
        <v>197</v>
      </c>
      <c r="W218" s="131" t="s">
        <v>196</v>
      </c>
      <c r="X218" s="136" t="n">
        <f aca="false" ca="false" dt2D="false" dtr="false" t="normal">MID(J215, 4, 1)</f>
        <v>0</v>
      </c>
      <c r="Y218" s="137" t="n">
        <f aca="false" ca="false" dt2D="false" dtr="false" t="normal">X218</f>
        <v>0</v>
      </c>
      <c r="Z218" s="120" t="s">
        <v>197</v>
      </c>
      <c r="AA218" s="131" t="s">
        <v>196</v>
      </c>
      <c r="AB218" s="136" t="n">
        <f aca="false" ca="false" dt2D="false" dtr="false" t="normal">MID(K215, 4, 1)</f>
        <v>0</v>
      </c>
      <c r="AC218" s="137" t="n">
        <f aca="false" ca="false" dt2D="false" dtr="false" t="normal">AB218</f>
        <v>0</v>
      </c>
      <c r="AD218" s="120" t="s">
        <v>197</v>
      </c>
      <c r="AE218" s="131" t="s">
        <v>196</v>
      </c>
      <c r="AF218" s="136" t="n">
        <f aca="false" ca="false" dt2D="false" dtr="false" t="normal">MID(L215, 4, 1)</f>
        <v>0</v>
      </c>
      <c r="AG218" s="137" t="n">
        <f aca="false" ca="false" dt2D="false" dtr="false" t="normal">AF218</f>
        <v>0</v>
      </c>
      <c r="AH218" s="120" t="s">
        <v>197</v>
      </c>
      <c r="AI218" s="131" t="s">
        <v>196</v>
      </c>
      <c r="AJ218" s="8699" t="s"/>
      <c r="AK218" s="8700" t="s"/>
    </row>
    <row hidden="false" ht="15.75" outlineLevel="0" r="219">
      <c r="C219" s="98" t="s">
        <v>176</v>
      </c>
      <c r="D219" s="122" t="n">
        <f aca="false" ca="false" dt2D="false" dtr="false" t="normal">D214</f>
        <v>7</v>
      </c>
      <c r="E219" s="123" t="str">
        <f aca="false" ca="false" dt2D="false" dtr="false" t="normal">E214</f>
        <v>A5</v>
      </c>
      <c r="F219" s="123" t="n">
        <f aca="false" ca="false" dt2D="false" dtr="false" t="normal">F214</f>
        <v>1</v>
      </c>
      <c r="G219" s="124" t="n">
        <f aca="false" ca="false" dt2D="false" dtr="false" t="normal">G214</f>
        <v>20</v>
      </c>
      <c r="H219" s="162" t="n">
        <f aca="false" ca="false" dt2D="false" dtr="false" t="normal">BIN2HEX(H220, 2)</f>
        <v>0</v>
      </c>
      <c r="I219" s="163" t="n">
        <f aca="false" ca="false" dt2D="false" dtr="false" t="normal">BIN2HEX(I220, 2)</f>
        <v>0</v>
      </c>
      <c r="J219" s="164" t="n">
        <f aca="false" ca="false" dt2D="false" dtr="false" t="normal">BIN2HEX(J220, 2)</f>
        <v>0</v>
      </c>
      <c r="K219" s="165" t="n">
        <f aca="false" ca="false" dt2D="false" dtr="false" t="normal">BIN2HEX(K220, 2)</f>
        <v>0</v>
      </c>
      <c r="L219" s="288" t="n">
        <f aca="false" ca="false" dt2D="false" dtr="false" t="normal">BIN2HEX(L220, 2)</f>
        <v>0</v>
      </c>
      <c r="M219" s="166" t="str">
        <f aca="false" ca="false" dt2D="false" dtr="false" t="normal">IF(LEN(M220)&gt;2, MID(M220, 2, 2), M220)</f>
        <v>CD</v>
      </c>
      <c r="N219" s="63" t="s">
        <v>181</v>
      </c>
      <c r="P219" s="136" t="n">
        <f aca="false" ca="false" dt2D="false" dtr="false" t="normal">MID(H215, 5, 1)</f>
        <v>0</v>
      </c>
      <c r="Q219" s="137" t="n">
        <f aca="false" ca="false" dt2D="false" dtr="false" t="normal">P219</f>
        <v>0</v>
      </c>
      <c r="R219" s="120" t="s">
        <v>200</v>
      </c>
      <c r="S219" s="131" t="s">
        <v>196</v>
      </c>
      <c r="T219" s="136" t="n">
        <f aca="false" ca="false" dt2D="false" dtr="false" t="normal">MID(I215, 5, 1)</f>
        <v>0</v>
      </c>
      <c r="U219" s="137" t="n">
        <f aca="false" ca="false" dt2D="false" dtr="false" t="normal">T219</f>
        <v>0</v>
      </c>
      <c r="V219" s="120" t="s">
        <v>200</v>
      </c>
      <c r="W219" s="131" t="s">
        <v>196</v>
      </c>
      <c r="X219" s="136" t="n">
        <f aca="false" ca="false" dt2D="false" dtr="false" t="normal">MID(J215, 5, 1)</f>
        <v>0</v>
      </c>
      <c r="Y219" s="137" t="n">
        <f aca="false" ca="false" dt2D="false" dtr="false" t="normal">X219</f>
        <v>0</v>
      </c>
      <c r="Z219" s="120" t="s">
        <v>200</v>
      </c>
      <c r="AA219" s="131" t="s">
        <v>196</v>
      </c>
      <c r="AB219" s="136" t="n">
        <f aca="false" ca="false" dt2D="false" dtr="false" t="normal">MID(K215, 5, 1)</f>
        <v>0</v>
      </c>
      <c r="AC219" s="137" t="n">
        <f aca="false" ca="false" dt2D="false" dtr="false" t="normal">AB219</f>
        <v>0</v>
      </c>
      <c r="AD219" s="120" t="s">
        <v>200</v>
      </c>
      <c r="AE219" s="131" t="s">
        <v>196</v>
      </c>
      <c r="AF219" s="136" t="n">
        <f aca="false" ca="false" dt2D="false" dtr="false" t="normal">MID(L215, 5, 1)</f>
        <v>0</v>
      </c>
      <c r="AG219" s="137" t="n">
        <f aca="false" ca="false" dt2D="false" dtr="false" t="normal">AF219</f>
        <v>0</v>
      </c>
      <c r="AH219" s="120" t="s">
        <v>200</v>
      </c>
      <c r="AI219" s="131" t="s">
        <v>196</v>
      </c>
      <c r="AJ219" s="8701" t="s"/>
      <c r="AK219" s="8702" t="s"/>
    </row>
    <row hidden="false" ht="15" outlineLevel="0" r="220">
      <c r="C220" s="98" t="s">
        <v>185</v>
      </c>
      <c r="D220" s="149" t="n">
        <f aca="false" ca="false" dt2D="false" dtr="false" t="normal">HEX2BIN(D219, 8)</f>
        <v>111</v>
      </c>
      <c r="E220" s="149" t="n">
        <f aca="false" ca="false" dt2D="false" dtr="false" t="normal">HEX2BIN(E219, 8)</f>
        <v>10100101</v>
      </c>
      <c r="F220" s="149" t="n">
        <f aca="false" ca="false" dt2D="false" dtr="false" t="normal">HEX2BIN(F219, 8)</f>
        <v>1</v>
      </c>
      <c r="G220" s="149" t="n">
        <f aca="false" ca="false" dt2D="false" dtr="false" t="normal">HEX2BIN(G219, 8)</f>
        <v>100000</v>
      </c>
      <c r="H220" s="53" t="n">
        <f aca="false" ca="false" dt2D="false" dtr="false" t="normal">Q215&amp;Q216&amp;Q217&amp;Q218&amp;Q219&amp;Q220&amp;Q221&amp;Q222</f>
        <v>0</v>
      </c>
      <c r="I220" s="53" t="n">
        <f aca="false" ca="false" dt2D="false" dtr="false" t="normal">U215&amp;U216&amp;U217&amp;U218&amp;U219&amp;U220&amp;U221&amp;U222</f>
        <v>0</v>
      </c>
      <c r="J220" s="53" t="n">
        <f aca="false" ca="false" dt2D="false" dtr="false" t="normal">Y215&amp;Y216&amp;Y217&amp;Y218&amp;Y219&amp;Y220&amp;Y221&amp;Y222</f>
        <v>0</v>
      </c>
      <c r="K220" s="53" t="n">
        <f aca="false" ca="false" dt2D="false" dtr="false" t="normal">AC215&amp;AC216&amp;AC217&amp;AC218&amp;AC219&amp;AC220&amp;AC221&amp;AC222</f>
        <v>0</v>
      </c>
      <c r="L220" s="53" t="n">
        <f aca="false" ca="false" dt2D="false" dtr="false" t="normal">AG215&amp;AG216&amp;AG217&amp;AG218&amp;AG219&amp;AG220&amp;AG221&amp;AG222</f>
        <v>0</v>
      </c>
      <c r="M220" s="53" t="str">
        <f aca="false" ca="false" dt2D="false" dtr="false" t="normal">DEC2HEX(M221)</f>
        <v>CD</v>
      </c>
      <c r="N220" s="63" t="n"/>
      <c r="P220" s="136" t="n">
        <f aca="false" ca="false" dt2D="false" dtr="false" t="normal">MID(H215, 6, 1)</f>
        <v>0</v>
      </c>
      <c r="Q220" s="137" t="n">
        <f aca="false" ca="false" dt2D="false" dtr="false" t="normal">P220</f>
        <v>0</v>
      </c>
      <c r="R220" s="120" t="s">
        <v>203</v>
      </c>
      <c r="S220" s="131" t="s">
        <v>196</v>
      </c>
      <c r="T220" s="136" t="n">
        <f aca="false" ca="false" dt2D="false" dtr="false" t="normal">MID(I215, 6, 1)</f>
        <v>0</v>
      </c>
      <c r="U220" s="137" t="n">
        <f aca="false" ca="false" dt2D="false" dtr="false" t="normal">T220</f>
        <v>0</v>
      </c>
      <c r="V220" s="120" t="s">
        <v>203</v>
      </c>
      <c r="W220" s="131" t="s">
        <v>196</v>
      </c>
      <c r="X220" s="136" t="n">
        <f aca="false" ca="false" dt2D="false" dtr="false" t="normal">MID(J215, 6, 1)</f>
        <v>0</v>
      </c>
      <c r="Y220" s="137" t="n">
        <f aca="false" ca="false" dt2D="false" dtr="false" t="normal">X220</f>
        <v>0</v>
      </c>
      <c r="Z220" s="120" t="s">
        <v>203</v>
      </c>
      <c r="AA220" s="131" t="s">
        <v>196</v>
      </c>
      <c r="AB220" s="136" t="n">
        <f aca="false" ca="false" dt2D="false" dtr="false" t="normal">MID(K215, 6, 1)</f>
        <v>0</v>
      </c>
      <c r="AC220" s="137" t="n">
        <f aca="false" ca="false" dt2D="false" dtr="false" t="normal">AB220</f>
        <v>0</v>
      </c>
      <c r="AD220" s="120" t="s">
        <v>203</v>
      </c>
      <c r="AE220" s="131" t="s">
        <v>196</v>
      </c>
      <c r="AF220" s="136" t="n">
        <f aca="false" ca="false" dt2D="false" dtr="false" t="normal">MID(L215, 6, 1)</f>
        <v>0</v>
      </c>
      <c r="AG220" s="137" t="n">
        <f aca="false" ca="false" dt2D="false" dtr="false" t="normal">AF220</f>
        <v>0</v>
      </c>
      <c r="AH220" s="120" t="s">
        <v>203</v>
      </c>
      <c r="AI220" s="131" t="s">
        <v>196</v>
      </c>
      <c r="AJ220" s="8703" t="s"/>
      <c r="AK220" s="8704" t="s"/>
    </row>
    <row hidden="false" ht="15" outlineLevel="0" r="221">
      <c r="C221" s="98" t="s">
        <v>191</v>
      </c>
      <c r="D221" s="149" t="n">
        <f aca="false" ca="false" dt2D="false" dtr="false" t="normal">HEX2DEC(D219)</f>
        <v>7</v>
      </c>
      <c r="E221" s="149" t="n">
        <f aca="false" ca="false" dt2D="false" dtr="false" t="normal">HEX2DEC(E219)</f>
        <v>165</v>
      </c>
      <c r="F221" s="149" t="n">
        <f aca="false" ca="false" dt2D="false" dtr="false" t="normal">HEX2DEC(F219)</f>
        <v>1</v>
      </c>
      <c r="G221" s="149" t="n">
        <f aca="false" ca="false" dt2D="false" dtr="false" t="normal">HEX2DEC(G219)</f>
        <v>32</v>
      </c>
      <c r="H221" s="53" t="n">
        <f aca="false" ca="false" dt2D="false" dtr="false" t="normal">HEX2DEC(H219)</f>
        <v>0</v>
      </c>
      <c r="I221" s="53" t="n">
        <f aca="false" ca="false" dt2D="false" dtr="false" t="normal">HEX2DEC(I219)</f>
        <v>0</v>
      </c>
      <c r="J221" s="53" t="n">
        <f aca="false" ca="false" dt2D="false" dtr="false" t="normal">HEX2DEC(J219)</f>
        <v>0</v>
      </c>
      <c r="K221" s="53" t="n">
        <f aca="false" ca="false" dt2D="false" dtr="false" t="normal">HEX2DEC(K219)</f>
        <v>0</v>
      </c>
      <c r="L221" s="53" t="n">
        <f aca="false" ca="false" dt2D="false" dtr="false" t="normal">HEX2DEC(L219)</f>
        <v>0</v>
      </c>
      <c r="M221" s="53" t="n">
        <f aca="false" ca="false" dt2D="false" dtr="false" t="normal">SUM(D221:L221)</f>
        <v>205</v>
      </c>
      <c r="N221" s="63" t="n"/>
      <c r="P221" s="136" t="n">
        <f aca="false" ca="false" dt2D="false" dtr="false" t="normal">MID(H215, 7, 1)</f>
        <v>0</v>
      </c>
      <c r="Q221" s="137" t="n">
        <f aca="false" ca="false" dt2D="false" dtr="false" t="normal">P221</f>
        <v>0</v>
      </c>
      <c r="R221" s="120" t="s">
        <v>206</v>
      </c>
      <c r="S221" s="131" t="s">
        <v>196</v>
      </c>
      <c r="T221" s="136" t="n">
        <f aca="false" ca="false" dt2D="false" dtr="false" t="normal">MID(I215, 7, 1)</f>
        <v>0</v>
      </c>
      <c r="U221" s="137" t="n">
        <f aca="false" ca="false" dt2D="false" dtr="false" t="normal">T221</f>
        <v>0</v>
      </c>
      <c r="V221" s="120" t="s">
        <v>206</v>
      </c>
      <c r="W221" s="131" t="s">
        <v>196</v>
      </c>
      <c r="X221" s="136" t="n">
        <f aca="false" ca="false" dt2D="false" dtr="false" t="normal">MID(J215, 7, 1)</f>
        <v>0</v>
      </c>
      <c r="Y221" s="137" t="n">
        <f aca="false" ca="false" dt2D="false" dtr="false" t="normal">X221</f>
        <v>0</v>
      </c>
      <c r="Z221" s="120" t="s">
        <v>206</v>
      </c>
      <c r="AA221" s="131" t="s">
        <v>196</v>
      </c>
      <c r="AB221" s="136" t="n">
        <f aca="false" ca="false" dt2D="false" dtr="false" t="normal">MID(K215, 7, 1)</f>
        <v>0</v>
      </c>
      <c r="AC221" s="137" t="n">
        <f aca="false" ca="false" dt2D="false" dtr="false" t="normal">AB221</f>
        <v>0</v>
      </c>
      <c r="AD221" s="120" t="s">
        <v>206</v>
      </c>
      <c r="AE221" s="131" t="s">
        <v>196</v>
      </c>
      <c r="AF221" s="136" t="n">
        <f aca="false" ca="false" dt2D="false" dtr="false" t="normal">MID(L215, 7, 1)</f>
        <v>0</v>
      </c>
      <c r="AG221" s="137" t="n">
        <f aca="false" ca="false" dt2D="false" dtr="false" t="normal">AF221</f>
        <v>0</v>
      </c>
      <c r="AH221" s="120" t="s">
        <v>206</v>
      </c>
      <c r="AI221" s="131" t="s">
        <v>196</v>
      </c>
      <c r="AJ221" s="8705" t="s"/>
      <c r="AK221" s="8706" t="s"/>
    </row>
    <row hidden="false" ht="15.75" outlineLevel="0" r="222">
      <c r="C222" s="180" t="s">
        <v>194</v>
      </c>
      <c r="D222" s="181" t="n">
        <f aca="false" ca="false" dt2D="false" dtr="false" t="normal">D217</f>
        <v>7</v>
      </c>
      <c r="E222" s="181" t="str">
        <f aca="false" ca="false" dt2D="false" dtr="false" t="normal">E217</f>
        <v>A5</v>
      </c>
      <c r="F222" s="181" t="str">
        <f aca="false" ca="false" dt2D="false" dtr="false" t="normal">F217</f>
        <v>G1</v>
      </c>
      <c r="G222" s="181" t="str">
        <f aca="false" ca="false" dt2D="false" dtr="false" t="normal">G217</f>
        <v>H4</v>
      </c>
      <c r="H222" s="45" t="n"/>
      <c r="I222" s="45" t="n"/>
      <c r="J222" s="45" t="n"/>
      <c r="K222" s="45" t="n"/>
      <c r="L222" s="45" t="n"/>
      <c r="M222" s="45" t="n"/>
      <c r="N222" s="49" t="n"/>
      <c r="P222" s="182" t="n">
        <f aca="false" ca="false" dt2D="false" dtr="false" t="normal">MID(H215, 8, 1)</f>
        <v>0</v>
      </c>
      <c r="Q222" s="183" t="n">
        <f aca="false" ca="false" dt2D="false" dtr="false" t="normal">P222</f>
        <v>0</v>
      </c>
      <c r="R222" s="184" t="s">
        <v>208</v>
      </c>
      <c r="S222" s="185" t="s">
        <v>196</v>
      </c>
      <c r="T222" s="182" t="n">
        <f aca="false" ca="false" dt2D="false" dtr="false" t="normal">MID(I215, 8, 1)</f>
        <v>0</v>
      </c>
      <c r="U222" s="183" t="n">
        <f aca="false" ca="false" dt2D="false" dtr="false" t="normal">T222</f>
        <v>0</v>
      </c>
      <c r="V222" s="184" t="s">
        <v>208</v>
      </c>
      <c r="W222" s="185" t="s">
        <v>196</v>
      </c>
      <c r="X222" s="182" t="n">
        <f aca="false" ca="false" dt2D="false" dtr="false" t="normal">MID(J215, 8, 1)</f>
        <v>0</v>
      </c>
      <c r="Y222" s="183" t="n">
        <f aca="false" ca="false" dt2D="false" dtr="false" t="normal">X222</f>
        <v>0</v>
      </c>
      <c r="Z222" s="184" t="s">
        <v>208</v>
      </c>
      <c r="AA222" s="185" t="s">
        <v>196</v>
      </c>
      <c r="AB222" s="182" t="n">
        <f aca="false" ca="false" dt2D="false" dtr="false" t="normal">MID(K215, 8, 1)</f>
        <v>0</v>
      </c>
      <c r="AC222" s="183" t="n">
        <f aca="false" ca="false" dt2D="false" dtr="false" t="normal">AB222</f>
        <v>0</v>
      </c>
      <c r="AD222" s="184" t="s">
        <v>208</v>
      </c>
      <c r="AE222" s="185" t="s">
        <v>196</v>
      </c>
      <c r="AF222" s="182" t="n">
        <f aca="false" ca="false" dt2D="false" dtr="false" t="normal">MID(L215, 8, 1)</f>
        <v>0</v>
      </c>
      <c r="AG222" s="183" t="n">
        <f aca="false" ca="false" dt2D="false" dtr="false" t="normal">AF222</f>
        <v>0</v>
      </c>
      <c r="AH222" s="184" t="s">
        <v>208</v>
      </c>
      <c r="AI222" s="185" t="s">
        <v>196</v>
      </c>
      <c r="AJ222" s="8707" t="s"/>
      <c r="AK222" s="8708" t="s"/>
    </row>
    <row hidden="false" ht="15.75" outlineLevel="0" r="223">
      <c r="C223" s="93" t="n"/>
      <c r="D223" s="7585" t="n"/>
      <c r="E223" s="7585" t="n"/>
      <c r="F223" s="7585" t="n"/>
      <c r="G223" s="7585" t="n"/>
      <c r="H223" s="94" t="n"/>
      <c r="I223" s="94" t="n"/>
      <c r="J223" s="94" t="n"/>
      <c r="K223" s="94" t="n"/>
      <c r="L223" s="94" t="n"/>
      <c r="M223" s="94" t="s">
        <v>161</v>
      </c>
      <c r="N223" s="60" t="n"/>
      <c r="P223" s="95" t="str">
        <f aca="false" ca="false" dt2D="false" dtr="false" t="normal">RIGHT(D225, 1)&amp;E225&amp;"-"&amp;F225&amp;"-"&amp;G225</f>
        <v>7A5-01-21</v>
      </c>
      <c r="Q223" s="8709" t="s"/>
      <c r="R223" s="234" t="s">
        <v>4096</v>
      </c>
      <c r="S223" s="8710" t="s"/>
      <c r="T223" s="8711" t="s"/>
      <c r="U223" s="8712" t="s"/>
      <c r="V223" s="8713" t="s"/>
      <c r="W223" s="8714" t="s"/>
      <c r="X223" s="8715" t="s"/>
      <c r="Y223" s="8716" t="s"/>
      <c r="Z223" s="8717" t="s"/>
      <c r="AA223" s="8718" t="s"/>
      <c r="AB223" s="8719" t="s"/>
      <c r="AC223" s="8720" t="s"/>
      <c r="AD223" s="8721" t="s"/>
      <c r="AE223" s="8722" t="s"/>
      <c r="AF223" s="8723" t="s"/>
      <c r="AG223" s="8724" t="s"/>
      <c r="AH223" s="8725" t="s"/>
      <c r="AI223" s="8726" t="s"/>
      <c r="AJ223" s="8727" t="s"/>
      <c r="AK223" s="8728" t="s"/>
    </row>
    <row hidden="false" ht="15.75" outlineLevel="0" r="224">
      <c r="C224" s="98" t="n"/>
      <c r="D224" s="7606" t="s">
        <v>4097</v>
      </c>
      <c r="E224" s="8729" t="s"/>
      <c r="F224" s="8730" t="s"/>
      <c r="G224" s="8731" t="s"/>
      <c r="H224" s="53" t="s">
        <v>165</v>
      </c>
      <c r="I224" s="53" t="s">
        <v>166</v>
      </c>
      <c r="J224" s="53" t="s">
        <v>167</v>
      </c>
      <c r="K224" s="53" t="s">
        <v>168</v>
      </c>
      <c r="L224" s="53" t="s">
        <v>169</v>
      </c>
      <c r="M224" s="53" t="s">
        <v>221</v>
      </c>
      <c r="N224" s="63" t="n"/>
      <c r="P224" s="103" t="s">
        <v>4098</v>
      </c>
      <c r="Q224" s="8732" t="s"/>
      <c r="R224" s="8733" t="s"/>
      <c r="S224" s="8734" t="s"/>
      <c r="T224" s="103" t="s">
        <v>4099</v>
      </c>
      <c r="U224" s="8735" t="s"/>
      <c r="V224" s="8736" t="s"/>
      <c r="W224" s="8737" t="s"/>
      <c r="X224" s="103" t="s">
        <v>4100</v>
      </c>
      <c r="Y224" s="8738" t="s"/>
      <c r="Z224" s="8739" t="s"/>
      <c r="AA224" s="8740" t="s"/>
      <c r="AB224" s="103" t="s">
        <v>4101</v>
      </c>
      <c r="AC224" s="8741" t="s"/>
      <c r="AD224" s="8742" t="s"/>
      <c r="AE224" s="8743" t="s"/>
      <c r="AF224" s="103" t="s">
        <v>4102</v>
      </c>
      <c r="AG224" s="8744" t="s"/>
      <c r="AH224" s="8745" t="s"/>
      <c r="AI224" s="8746" t="s"/>
      <c r="AJ224" s="103" t="s">
        <v>4103</v>
      </c>
      <c r="AK224" s="8747" t="s"/>
    </row>
    <row hidden="false" ht="15.75" outlineLevel="0" r="225">
      <c r="C225" s="98" t="s">
        <v>176</v>
      </c>
      <c r="D225" s="122" t="s">
        <v>177</v>
      </c>
      <c r="E225" s="123" t="s">
        <v>3892</v>
      </c>
      <c r="F225" s="123" t="s">
        <v>179</v>
      </c>
      <c r="G225" s="124" t="s">
        <v>1511</v>
      </c>
      <c r="H225" s="273" t="n">
        <f aca="false" ca="false" dt2D="false" dtr="false" t="normal">MID($A$24, 8, 2)</f>
        <v>0</v>
      </c>
      <c r="I225" s="7626" t="n">
        <f aca="false" ca="false" dt2D="false" dtr="false" t="normal">MID($A$24, 10, 2)</f>
        <v>0</v>
      </c>
      <c r="J225" s="7626" t="n">
        <f aca="false" ca="false" dt2D="false" dtr="false" t="normal">MID($A$24, 12, 2)</f>
        <v>0</v>
      </c>
      <c r="K225" s="7626" t="n">
        <f aca="false" ca="false" dt2D="false" dtr="false" t="normal">MID($A$24, 14, 2)</f>
        <v>0</v>
      </c>
      <c r="L225" s="7627" t="n">
        <f aca="false" ca="false" dt2D="false" dtr="false" t="normal">MID($A$24, 16, 2)</f>
        <v>0</v>
      </c>
      <c r="M225" s="7553" t="str">
        <f aca="false" ca="false" dt2D="false" dtr="false" t="normal">MID($A$24, 18, 2)</f>
        <v>CE</v>
      </c>
      <c r="N225" s="63" t="s">
        <v>180</v>
      </c>
      <c r="P225" s="129" t="s">
        <v>180</v>
      </c>
      <c r="Q225" s="130" t="s">
        <v>181</v>
      </c>
      <c r="R225" s="121" t="s">
        <v>182</v>
      </c>
      <c r="S225" s="131" t="n"/>
      <c r="T225" s="129" t="s">
        <v>180</v>
      </c>
      <c r="U225" s="130" t="s">
        <v>181</v>
      </c>
      <c r="V225" s="121" t="s">
        <v>182</v>
      </c>
      <c r="W225" s="131" t="n"/>
      <c r="X225" s="129" t="s">
        <v>180</v>
      </c>
      <c r="Y225" s="130" t="s">
        <v>181</v>
      </c>
      <c r="Z225" s="121" t="s">
        <v>182</v>
      </c>
      <c r="AA225" s="131" t="n"/>
      <c r="AB225" s="129" t="s">
        <v>180</v>
      </c>
      <c r="AC225" s="130" t="s">
        <v>181</v>
      </c>
      <c r="AD225" s="121" t="s">
        <v>182</v>
      </c>
      <c r="AE225" s="131" t="n"/>
      <c r="AF225" s="129" t="s">
        <v>180</v>
      </c>
      <c r="AG225" s="130" t="s">
        <v>181</v>
      </c>
      <c r="AH225" s="121" t="s">
        <v>182</v>
      </c>
      <c r="AI225" s="121" t="n"/>
      <c r="AJ225" s="116" t="s">
        <v>183</v>
      </c>
      <c r="AK225" s="8748" t="s"/>
    </row>
    <row customHeight="true" hidden="false" ht="15" outlineLevel="0" r="226">
      <c r="C226" s="98" t="s">
        <v>185</v>
      </c>
      <c r="D226" s="149" t="n">
        <f aca="false" ca="false" dt2D="false" dtr="false" t="normal">HEX2BIN(D225, 8)</f>
        <v>111</v>
      </c>
      <c r="E226" s="149" t="n">
        <f aca="false" ca="false" dt2D="false" dtr="false" t="normal">HEX2BIN(E225, 8)</f>
        <v>10100101</v>
      </c>
      <c r="F226" s="149" t="n">
        <f aca="false" ca="false" dt2D="false" dtr="false" t="normal">HEX2BIN(F225, 8)</f>
        <v>1</v>
      </c>
      <c r="G226" s="149" t="n">
        <f aca="false" ca="false" dt2D="false" dtr="false" t="normal">HEX2BIN(G225, 8)</f>
        <v>100001</v>
      </c>
      <c r="H226" s="53" t="n">
        <f aca="false" ca="false" dt2D="false" dtr="false" t="normal">HEX2BIN(H225, 8)</f>
        <v>0</v>
      </c>
      <c r="I226" s="53" t="n">
        <f aca="false" ca="false" dt2D="false" dtr="false" t="normal">HEX2BIN(I225, 8)</f>
        <v>0</v>
      </c>
      <c r="J226" s="53" t="n">
        <f aca="false" ca="false" dt2D="false" dtr="false" t="normal">HEX2BIN(J225, 8)</f>
        <v>0</v>
      </c>
      <c r="K226" s="53" t="n">
        <f aca="false" ca="false" dt2D="false" dtr="false" t="normal">HEX2BIN(K225, 8)</f>
        <v>0</v>
      </c>
      <c r="L226" s="53" t="n">
        <f aca="false" ca="false" dt2D="false" dtr="false" t="normal">HEX2BIN(L225, 8)</f>
        <v>0</v>
      </c>
      <c r="M226" s="53" t="n"/>
      <c r="N226" s="63" t="n"/>
      <c r="P226" s="136" t="n">
        <f aca="false" ca="false" dt2D="false" dtr="false" t="normal">MID(H226, 1, 1)</f>
        <v>0</v>
      </c>
      <c r="Q226" s="137" t="n">
        <f aca="false" ca="false" dt2D="false" dtr="false" t="normal">P226</f>
        <v>0</v>
      </c>
      <c r="R226" s="120" t="s">
        <v>186</v>
      </c>
      <c r="S226" s="131" t="s">
        <v>196</v>
      </c>
      <c r="T226" s="136" t="n">
        <f aca="false" ca="false" dt2D="false" dtr="false" t="normal">MID(I226, 1, 1)</f>
        <v>0</v>
      </c>
      <c r="U226" s="137" t="n">
        <f aca="false" ca="false" dt2D="false" dtr="false" t="normal">T226</f>
        <v>0</v>
      </c>
      <c r="V226" s="120" t="s">
        <v>186</v>
      </c>
      <c r="W226" s="131" t="s">
        <v>196</v>
      </c>
      <c r="X226" s="136" t="n">
        <f aca="false" ca="false" dt2D="false" dtr="false" t="normal">MID(J226, 1, 1)</f>
        <v>0</v>
      </c>
      <c r="Y226" s="137" t="n">
        <f aca="false" ca="false" dt2D="false" dtr="false" t="normal">X226</f>
        <v>0</v>
      </c>
      <c r="Z226" s="120" t="s">
        <v>186</v>
      </c>
      <c r="AA226" s="131" t="s">
        <v>196</v>
      </c>
      <c r="AB226" s="136" t="n">
        <f aca="false" ca="false" dt2D="false" dtr="false" t="normal">MID(K226, 1, 1)</f>
        <v>0</v>
      </c>
      <c r="AC226" s="137" t="n">
        <f aca="false" ca="false" dt2D="false" dtr="false" t="normal">AB226</f>
        <v>0</v>
      </c>
      <c r="AD226" s="120" t="s">
        <v>186</v>
      </c>
      <c r="AE226" s="131" t="s">
        <v>196</v>
      </c>
      <c r="AF226" s="136" t="n">
        <f aca="false" ca="false" dt2D="false" dtr="false" t="normal">MID(L226, 1, 1)</f>
        <v>0</v>
      </c>
      <c r="AG226" s="137" t="n">
        <f aca="false" ca="false" dt2D="false" dtr="false" t="normal">AF226</f>
        <v>0</v>
      </c>
      <c r="AH226" s="120" t="s">
        <v>186</v>
      </c>
      <c r="AI226" s="131" t="s">
        <v>196</v>
      </c>
      <c r="AJ226" s="8749" t="s"/>
      <c r="AK226" s="8750" t="s"/>
    </row>
    <row hidden="false" ht="15" outlineLevel="0" r="227">
      <c r="C227" s="98" t="s">
        <v>191</v>
      </c>
      <c r="D227" s="149" t="n">
        <f aca="false" ca="false" dt2D="false" dtr="false" t="normal">HEX2DEC(D225)</f>
        <v>7</v>
      </c>
      <c r="E227" s="149" t="n">
        <f aca="false" ca="false" dt2D="false" dtr="false" t="normal">HEX2DEC(E225)</f>
        <v>165</v>
      </c>
      <c r="F227" s="149" t="n">
        <f aca="false" ca="false" dt2D="false" dtr="false" t="normal">HEX2DEC(F225)</f>
        <v>1</v>
      </c>
      <c r="G227" s="149" t="n">
        <f aca="false" ca="false" dt2D="false" dtr="false" t="normal">HEX2DEC(G225)</f>
        <v>33</v>
      </c>
      <c r="H227" s="53" t="n">
        <f aca="false" ca="false" dt2D="false" dtr="false" t="normal">HEX2DEC(H225)</f>
        <v>0</v>
      </c>
      <c r="I227" s="53" t="n">
        <f aca="false" ca="false" dt2D="false" dtr="false" t="normal">HEX2DEC(I225)</f>
        <v>0</v>
      </c>
      <c r="J227" s="53" t="n">
        <f aca="false" ca="false" dt2D="false" dtr="false" t="normal">HEX2DEC(J225)</f>
        <v>0</v>
      </c>
      <c r="K227" s="53" t="n">
        <f aca="false" ca="false" dt2D="false" dtr="false" t="normal">HEX2DEC(K225)</f>
        <v>0</v>
      </c>
      <c r="L227" s="53" t="n">
        <f aca="false" ca="false" dt2D="false" dtr="false" t="normal">HEX2DEC(L225)</f>
        <v>0</v>
      </c>
      <c r="M227" s="53" t="n">
        <f aca="false" ca="false" dt2D="false" dtr="false" t="normal">SUM(D227:L227)</f>
        <v>206</v>
      </c>
      <c r="N227" s="63" t="n"/>
      <c r="P227" s="136" t="n">
        <f aca="false" ca="false" dt2D="false" dtr="false" t="normal">MID(H226, 2, 1)</f>
        <v>0</v>
      </c>
      <c r="Q227" s="137" t="n">
        <f aca="false" ca="false" dt2D="false" dtr="false" t="normal">P227</f>
        <v>0</v>
      </c>
      <c r="R227" s="120" t="s">
        <v>192</v>
      </c>
      <c r="S227" s="131" t="s">
        <v>196</v>
      </c>
      <c r="T227" s="136" t="n">
        <f aca="false" ca="false" dt2D="false" dtr="false" t="normal">MID(I226, 2, 1)</f>
        <v>0</v>
      </c>
      <c r="U227" s="137" t="n">
        <f aca="false" ca="false" dt2D="false" dtr="false" t="normal">T227</f>
        <v>0</v>
      </c>
      <c r="V227" s="120" t="s">
        <v>192</v>
      </c>
      <c r="W227" s="131" t="s">
        <v>196</v>
      </c>
      <c r="X227" s="136" t="n">
        <f aca="false" ca="false" dt2D="false" dtr="false" t="normal">MID(J226, 2, 1)</f>
        <v>0</v>
      </c>
      <c r="Y227" s="137" t="n">
        <f aca="false" ca="false" dt2D="false" dtr="false" t="normal">X227</f>
        <v>0</v>
      </c>
      <c r="Z227" s="120" t="s">
        <v>192</v>
      </c>
      <c r="AA227" s="131" t="s">
        <v>196</v>
      </c>
      <c r="AB227" s="136" t="n">
        <f aca="false" ca="false" dt2D="false" dtr="false" t="normal">MID(K226, 2, 1)</f>
        <v>0</v>
      </c>
      <c r="AC227" s="137" t="n">
        <f aca="false" ca="false" dt2D="false" dtr="false" t="normal">AB227</f>
        <v>0</v>
      </c>
      <c r="AD227" s="120" t="s">
        <v>192</v>
      </c>
      <c r="AE227" s="131" t="s">
        <v>196</v>
      </c>
      <c r="AF227" s="136" t="n">
        <f aca="false" ca="false" dt2D="false" dtr="false" t="normal">MID(L226, 2, 1)</f>
        <v>0</v>
      </c>
      <c r="AG227" s="137" t="n">
        <f aca="false" ca="false" dt2D="false" dtr="false" t="normal">AF227</f>
        <v>0</v>
      </c>
      <c r="AH227" s="120" t="s">
        <v>192</v>
      </c>
      <c r="AI227" s="131" t="s">
        <v>196</v>
      </c>
      <c r="AJ227" s="8751" t="s"/>
      <c r="AK227" s="8752" t="s"/>
    </row>
    <row hidden="false" ht="15" outlineLevel="0" r="228">
      <c r="C228" s="98" t="s">
        <v>194</v>
      </c>
      <c r="D228" s="149" t="n">
        <f aca="false" ca="false" dt2D="false" dtr="false" t="normal">D225</f>
        <v>7</v>
      </c>
      <c r="E228" s="149" t="str">
        <f aca="false" ca="false" dt2D="false" dtr="false" t="normal">E225</f>
        <v>A5</v>
      </c>
      <c r="F228" s="149" t="str">
        <f aca="false" ca="false" dt2D="false" dtr="false" t="normal">MID($A$24, 4, 2)</f>
        <v>G1</v>
      </c>
      <c r="G228" s="149" t="str">
        <f aca="false" ca="false" dt2D="false" dtr="false" t="normal">MID($A$24, 6, 2)</f>
        <v>H5</v>
      </c>
      <c r="N228" s="63" t="n"/>
      <c r="P228" s="136" t="n">
        <f aca="false" ca="false" dt2D="false" dtr="false" t="normal">MID(H226, 3, 1)</f>
        <v>0</v>
      </c>
      <c r="Q228" s="137" t="n">
        <f aca="false" ca="false" dt2D="false" dtr="false" t="normal">P228</f>
        <v>0</v>
      </c>
      <c r="R228" s="120" t="s">
        <v>195</v>
      </c>
      <c r="S228" s="131" t="s">
        <v>196</v>
      </c>
      <c r="T228" s="136" t="n">
        <f aca="false" ca="false" dt2D="false" dtr="false" t="normal">MID(I226, 3, 1)</f>
        <v>0</v>
      </c>
      <c r="U228" s="137" t="n">
        <f aca="false" ca="false" dt2D="false" dtr="false" t="normal">T228</f>
        <v>0</v>
      </c>
      <c r="V228" s="120" t="s">
        <v>195</v>
      </c>
      <c r="W228" s="131" t="s">
        <v>196</v>
      </c>
      <c r="X228" s="136" t="n">
        <f aca="false" ca="false" dt2D="false" dtr="false" t="normal">MID(J226, 3, 1)</f>
        <v>0</v>
      </c>
      <c r="Y228" s="137" t="n">
        <f aca="false" ca="false" dt2D="false" dtr="false" t="normal">X228</f>
        <v>0</v>
      </c>
      <c r="Z228" s="120" t="s">
        <v>195</v>
      </c>
      <c r="AA228" s="131" t="s">
        <v>196</v>
      </c>
      <c r="AB228" s="136" t="n">
        <f aca="false" ca="false" dt2D="false" dtr="false" t="normal">MID(K226, 3, 1)</f>
        <v>0</v>
      </c>
      <c r="AC228" s="137" t="n">
        <f aca="false" ca="false" dt2D="false" dtr="false" t="normal">AB228</f>
        <v>0</v>
      </c>
      <c r="AD228" s="120" t="s">
        <v>195</v>
      </c>
      <c r="AE228" s="131" t="s">
        <v>196</v>
      </c>
      <c r="AF228" s="136" t="n">
        <f aca="false" ca="false" dt2D="false" dtr="false" t="normal">MID(L226, 3, 1)</f>
        <v>0</v>
      </c>
      <c r="AG228" s="137" t="n">
        <f aca="false" ca="false" dt2D="false" dtr="false" t="normal">AF228</f>
        <v>0</v>
      </c>
      <c r="AH228" s="120" t="s">
        <v>195</v>
      </c>
      <c r="AI228" s="131" t="s">
        <v>196</v>
      </c>
      <c r="AJ228" s="8753" t="s"/>
      <c r="AK228" s="8754" t="s"/>
    </row>
    <row hidden="false" ht="15.75" outlineLevel="0" r="229">
      <c r="C229" s="98" t="n"/>
      <c r="N229" s="63" t="n"/>
      <c r="P229" s="136" t="n">
        <f aca="false" ca="false" dt2D="false" dtr="false" t="normal">MID(H226, 4, 1)</f>
        <v>0</v>
      </c>
      <c r="Q229" s="137" t="n">
        <f aca="false" ca="false" dt2D="false" dtr="false" t="normal">P229</f>
        <v>0</v>
      </c>
      <c r="R229" s="120" t="s">
        <v>197</v>
      </c>
      <c r="S229" s="131" t="s">
        <v>196</v>
      </c>
      <c r="T229" s="136" t="n">
        <f aca="false" ca="false" dt2D="false" dtr="false" t="normal">MID(I226, 4, 1)</f>
        <v>0</v>
      </c>
      <c r="U229" s="137" t="n">
        <f aca="false" ca="false" dt2D="false" dtr="false" t="normal">T229</f>
        <v>0</v>
      </c>
      <c r="V229" s="120" t="s">
        <v>197</v>
      </c>
      <c r="W229" s="131" t="s">
        <v>196</v>
      </c>
      <c r="X229" s="136" t="n">
        <f aca="false" ca="false" dt2D="false" dtr="false" t="normal">MID(J226, 4, 1)</f>
        <v>0</v>
      </c>
      <c r="Y229" s="137" t="n">
        <f aca="false" ca="false" dt2D="false" dtr="false" t="normal">X229</f>
        <v>0</v>
      </c>
      <c r="Z229" s="120" t="s">
        <v>197</v>
      </c>
      <c r="AA229" s="131" t="s">
        <v>196</v>
      </c>
      <c r="AB229" s="136" t="n">
        <f aca="false" ca="false" dt2D="false" dtr="false" t="normal">MID(K226, 4, 1)</f>
        <v>0</v>
      </c>
      <c r="AC229" s="137" t="n">
        <f aca="false" ca="false" dt2D="false" dtr="false" t="normal">AB229</f>
        <v>0</v>
      </c>
      <c r="AD229" s="120" t="s">
        <v>197</v>
      </c>
      <c r="AE229" s="131" t="s">
        <v>196</v>
      </c>
      <c r="AF229" s="136" t="n">
        <f aca="false" ca="false" dt2D="false" dtr="false" t="normal">MID(L226, 4, 1)</f>
        <v>0</v>
      </c>
      <c r="AG229" s="137" t="n">
        <f aca="false" ca="false" dt2D="false" dtr="false" t="normal">AF229</f>
        <v>0</v>
      </c>
      <c r="AH229" s="120" t="s">
        <v>197</v>
      </c>
      <c r="AI229" s="131" t="s">
        <v>196</v>
      </c>
      <c r="AJ229" s="8755" t="s"/>
      <c r="AK229" s="8756" t="s"/>
    </row>
    <row hidden="false" ht="15.75" outlineLevel="0" r="230">
      <c r="C230" s="98" t="s">
        <v>176</v>
      </c>
      <c r="D230" s="122" t="n">
        <f aca="false" ca="false" dt2D="false" dtr="false" t="normal">D225</f>
        <v>7</v>
      </c>
      <c r="E230" s="123" t="str">
        <f aca="false" ca="false" dt2D="false" dtr="false" t="normal">E225</f>
        <v>A5</v>
      </c>
      <c r="F230" s="123" t="n">
        <f aca="false" ca="false" dt2D="false" dtr="false" t="normal">F225</f>
        <v>1</v>
      </c>
      <c r="G230" s="124" t="n">
        <f aca="false" ca="false" dt2D="false" dtr="false" t="normal">G225</f>
        <v>21</v>
      </c>
      <c r="H230" s="162" t="n">
        <f aca="false" ca="false" dt2D="false" dtr="false" t="normal">BIN2HEX(H231, 2)</f>
        <v>0</v>
      </c>
      <c r="I230" s="163" t="n">
        <f aca="false" ca="false" dt2D="false" dtr="false" t="normal">BIN2HEX(I231, 2)</f>
        <v>0</v>
      </c>
      <c r="J230" s="164" t="n">
        <f aca="false" ca="false" dt2D="false" dtr="false" t="normal">BIN2HEX(J231, 2)</f>
        <v>0</v>
      </c>
      <c r="K230" s="165" t="n">
        <f aca="false" ca="false" dt2D="false" dtr="false" t="normal">BIN2HEX(K231, 2)</f>
        <v>0</v>
      </c>
      <c r="L230" s="288" t="n">
        <f aca="false" ca="false" dt2D="false" dtr="false" t="normal">BIN2HEX(L231, 2)</f>
        <v>0</v>
      </c>
      <c r="M230" s="166" t="str">
        <f aca="false" ca="false" dt2D="false" dtr="false" t="normal">IF(LEN(M231)&gt;2, MID(M231, 2, 2), M231)</f>
        <v>CE</v>
      </c>
      <c r="N230" s="63" t="s">
        <v>181</v>
      </c>
      <c r="P230" s="136" t="n">
        <f aca="false" ca="false" dt2D="false" dtr="false" t="normal">MID(H226, 5, 1)</f>
        <v>0</v>
      </c>
      <c r="Q230" s="137" t="n">
        <f aca="false" ca="false" dt2D="false" dtr="false" t="normal">P230</f>
        <v>0</v>
      </c>
      <c r="R230" s="120" t="s">
        <v>200</v>
      </c>
      <c r="S230" s="131" t="s">
        <v>196</v>
      </c>
      <c r="T230" s="136" t="n">
        <f aca="false" ca="false" dt2D="false" dtr="false" t="normal">MID(I226, 5, 1)</f>
        <v>0</v>
      </c>
      <c r="U230" s="137" t="n">
        <f aca="false" ca="false" dt2D="false" dtr="false" t="normal">T230</f>
        <v>0</v>
      </c>
      <c r="V230" s="120" t="s">
        <v>200</v>
      </c>
      <c r="W230" s="131" t="s">
        <v>196</v>
      </c>
      <c r="X230" s="136" t="n">
        <f aca="false" ca="false" dt2D="false" dtr="false" t="normal">MID(J226, 5, 1)</f>
        <v>0</v>
      </c>
      <c r="Y230" s="137" t="n">
        <f aca="false" ca="false" dt2D="false" dtr="false" t="normal">X230</f>
        <v>0</v>
      </c>
      <c r="Z230" s="120" t="s">
        <v>200</v>
      </c>
      <c r="AA230" s="131" t="s">
        <v>196</v>
      </c>
      <c r="AB230" s="136" t="n">
        <f aca="false" ca="false" dt2D="false" dtr="false" t="normal">MID(K226, 5, 1)</f>
        <v>0</v>
      </c>
      <c r="AC230" s="137" t="n">
        <f aca="false" ca="false" dt2D="false" dtr="false" t="normal">AB230</f>
        <v>0</v>
      </c>
      <c r="AD230" s="120" t="s">
        <v>200</v>
      </c>
      <c r="AE230" s="131" t="s">
        <v>196</v>
      </c>
      <c r="AF230" s="136" t="n">
        <f aca="false" ca="false" dt2D="false" dtr="false" t="normal">MID(L226, 5, 1)</f>
        <v>0</v>
      </c>
      <c r="AG230" s="137" t="n">
        <f aca="false" ca="false" dt2D="false" dtr="false" t="normal">AF230</f>
        <v>0</v>
      </c>
      <c r="AH230" s="120" t="s">
        <v>200</v>
      </c>
      <c r="AI230" s="131" t="s">
        <v>196</v>
      </c>
      <c r="AJ230" s="8757" t="s"/>
      <c r="AK230" s="8758" t="s"/>
    </row>
    <row hidden="false" ht="15" outlineLevel="0" r="231">
      <c r="C231" s="98" t="s">
        <v>185</v>
      </c>
      <c r="D231" s="149" t="n">
        <f aca="false" ca="false" dt2D="false" dtr="false" t="normal">HEX2BIN(D230, 8)</f>
        <v>111</v>
      </c>
      <c r="E231" s="149" t="n">
        <f aca="false" ca="false" dt2D="false" dtr="false" t="normal">HEX2BIN(E230, 8)</f>
        <v>10100101</v>
      </c>
      <c r="F231" s="149" t="n">
        <f aca="false" ca="false" dt2D="false" dtr="false" t="normal">HEX2BIN(F230, 8)</f>
        <v>1</v>
      </c>
      <c r="G231" s="149" t="n">
        <f aca="false" ca="false" dt2D="false" dtr="false" t="normal">HEX2BIN(G230, 8)</f>
        <v>100001</v>
      </c>
      <c r="H231" s="53" t="n">
        <f aca="false" ca="false" dt2D="false" dtr="false" t="normal">Q226&amp;Q227&amp;Q228&amp;Q229&amp;Q230&amp;Q231&amp;Q232&amp;Q233</f>
        <v>0</v>
      </c>
      <c r="I231" s="53" t="n">
        <f aca="false" ca="false" dt2D="false" dtr="false" t="normal">U226&amp;U227&amp;U228&amp;U229&amp;U230&amp;U231&amp;U232&amp;U233</f>
        <v>0</v>
      </c>
      <c r="J231" s="53" t="n">
        <f aca="false" ca="false" dt2D="false" dtr="false" t="normal">Y226&amp;Y227&amp;Y228&amp;Y229&amp;Y230&amp;Y231&amp;Y232&amp;Y233</f>
        <v>0</v>
      </c>
      <c r="K231" s="53" t="n">
        <f aca="false" ca="false" dt2D="false" dtr="false" t="normal">AC226&amp;AC227&amp;AC228&amp;AC229&amp;AC230&amp;AC231&amp;AC232&amp;AC233</f>
        <v>0</v>
      </c>
      <c r="L231" s="53" t="n">
        <f aca="false" ca="false" dt2D="false" dtr="false" t="normal">AG226&amp;AG227&amp;AG228&amp;AG229&amp;AG230&amp;AG231&amp;AG232&amp;AG233</f>
        <v>0</v>
      </c>
      <c r="M231" s="53" t="str">
        <f aca="false" ca="false" dt2D="false" dtr="false" t="normal">DEC2HEX(M232)</f>
        <v>CE</v>
      </c>
      <c r="N231" s="63" t="n"/>
      <c r="P231" s="136" t="n">
        <f aca="false" ca="false" dt2D="false" dtr="false" t="normal">MID(H226, 6, 1)</f>
        <v>0</v>
      </c>
      <c r="Q231" s="137" t="n">
        <f aca="false" ca="false" dt2D="false" dtr="false" t="normal">P231</f>
        <v>0</v>
      </c>
      <c r="R231" s="120" t="s">
        <v>203</v>
      </c>
      <c r="S231" s="131" t="s">
        <v>196</v>
      </c>
      <c r="T231" s="136" t="n">
        <f aca="false" ca="false" dt2D="false" dtr="false" t="normal">MID(I226, 6, 1)</f>
        <v>0</v>
      </c>
      <c r="U231" s="137" t="n">
        <f aca="false" ca="false" dt2D="false" dtr="false" t="normal">T231</f>
        <v>0</v>
      </c>
      <c r="V231" s="120" t="s">
        <v>203</v>
      </c>
      <c r="W231" s="131" t="s">
        <v>196</v>
      </c>
      <c r="X231" s="136" t="n">
        <f aca="false" ca="false" dt2D="false" dtr="false" t="normal">MID(J226, 6, 1)</f>
        <v>0</v>
      </c>
      <c r="Y231" s="137" t="n">
        <f aca="false" ca="false" dt2D="false" dtr="false" t="normal">X231</f>
        <v>0</v>
      </c>
      <c r="Z231" s="120" t="s">
        <v>203</v>
      </c>
      <c r="AA231" s="131" t="s">
        <v>196</v>
      </c>
      <c r="AB231" s="136" t="n">
        <f aca="false" ca="false" dt2D="false" dtr="false" t="normal">MID(K226, 6, 1)</f>
        <v>0</v>
      </c>
      <c r="AC231" s="137" t="n">
        <f aca="false" ca="false" dt2D="false" dtr="false" t="normal">AB231</f>
        <v>0</v>
      </c>
      <c r="AD231" s="120" t="s">
        <v>203</v>
      </c>
      <c r="AE231" s="131" t="s">
        <v>196</v>
      </c>
      <c r="AF231" s="136" t="n">
        <f aca="false" ca="false" dt2D="false" dtr="false" t="normal">MID(L226, 6, 1)</f>
        <v>0</v>
      </c>
      <c r="AG231" s="137" t="n">
        <f aca="false" ca="false" dt2D="false" dtr="false" t="normal">AF231</f>
        <v>0</v>
      </c>
      <c r="AH231" s="120" t="s">
        <v>203</v>
      </c>
      <c r="AI231" s="131" t="s">
        <v>196</v>
      </c>
      <c r="AJ231" s="8759" t="s"/>
      <c r="AK231" s="8760" t="s"/>
    </row>
    <row hidden="false" ht="15" outlineLevel="0" r="232">
      <c r="C232" s="98" t="s">
        <v>191</v>
      </c>
      <c r="D232" s="149" t="n">
        <f aca="false" ca="false" dt2D="false" dtr="false" t="normal">HEX2DEC(D230)</f>
        <v>7</v>
      </c>
      <c r="E232" s="149" t="n">
        <f aca="false" ca="false" dt2D="false" dtr="false" t="normal">HEX2DEC(E230)</f>
        <v>165</v>
      </c>
      <c r="F232" s="149" t="n">
        <f aca="false" ca="false" dt2D="false" dtr="false" t="normal">HEX2DEC(F230)</f>
        <v>1</v>
      </c>
      <c r="G232" s="149" t="n">
        <f aca="false" ca="false" dt2D="false" dtr="false" t="normal">HEX2DEC(G230)</f>
        <v>33</v>
      </c>
      <c r="H232" s="53" t="n">
        <f aca="false" ca="false" dt2D="false" dtr="false" t="normal">HEX2DEC(H230)</f>
        <v>0</v>
      </c>
      <c r="I232" s="53" t="n">
        <f aca="false" ca="false" dt2D="false" dtr="false" t="normal">HEX2DEC(I230)</f>
        <v>0</v>
      </c>
      <c r="J232" s="53" t="n">
        <f aca="false" ca="false" dt2D="false" dtr="false" t="normal">HEX2DEC(J230)</f>
        <v>0</v>
      </c>
      <c r="K232" s="53" t="n">
        <f aca="false" ca="false" dt2D="false" dtr="false" t="normal">HEX2DEC(K230)</f>
        <v>0</v>
      </c>
      <c r="L232" s="53" t="n">
        <f aca="false" ca="false" dt2D="false" dtr="false" t="normal">HEX2DEC(L230)</f>
        <v>0</v>
      </c>
      <c r="M232" s="53" t="n">
        <f aca="false" ca="false" dt2D="false" dtr="false" t="normal">SUM(D232:L232)</f>
        <v>206</v>
      </c>
      <c r="N232" s="63" t="n"/>
      <c r="P232" s="136" t="n">
        <f aca="false" ca="false" dt2D="false" dtr="false" t="normal">MID(H226, 7, 1)</f>
        <v>0</v>
      </c>
      <c r="Q232" s="137" t="n">
        <f aca="false" ca="false" dt2D="false" dtr="false" t="normal">P232</f>
        <v>0</v>
      </c>
      <c r="R232" s="120" t="s">
        <v>206</v>
      </c>
      <c r="S232" s="131" t="s">
        <v>196</v>
      </c>
      <c r="T232" s="136" t="n">
        <f aca="false" ca="false" dt2D="false" dtr="false" t="normal">MID(I226, 7, 1)</f>
        <v>0</v>
      </c>
      <c r="U232" s="137" t="n">
        <f aca="false" ca="false" dt2D="false" dtr="false" t="normal">T232</f>
        <v>0</v>
      </c>
      <c r="V232" s="120" t="s">
        <v>206</v>
      </c>
      <c r="W232" s="131" t="s">
        <v>196</v>
      </c>
      <c r="X232" s="136" t="n">
        <f aca="false" ca="false" dt2D="false" dtr="false" t="normal">MID(J226, 7, 1)</f>
        <v>0</v>
      </c>
      <c r="Y232" s="137" t="n">
        <f aca="false" ca="false" dt2D="false" dtr="false" t="normal">X232</f>
        <v>0</v>
      </c>
      <c r="Z232" s="120" t="s">
        <v>206</v>
      </c>
      <c r="AA232" s="131" t="s">
        <v>196</v>
      </c>
      <c r="AB232" s="136" t="n">
        <f aca="false" ca="false" dt2D="false" dtr="false" t="normal">MID(K226, 7, 1)</f>
        <v>0</v>
      </c>
      <c r="AC232" s="137" t="n">
        <f aca="false" ca="false" dt2D="false" dtr="false" t="normal">AB232</f>
        <v>0</v>
      </c>
      <c r="AD232" s="120" t="s">
        <v>206</v>
      </c>
      <c r="AE232" s="131" t="s">
        <v>196</v>
      </c>
      <c r="AF232" s="136" t="n">
        <f aca="false" ca="false" dt2D="false" dtr="false" t="normal">MID(L226, 7, 1)</f>
        <v>0</v>
      </c>
      <c r="AG232" s="137" t="n">
        <f aca="false" ca="false" dt2D="false" dtr="false" t="normal">AF232</f>
        <v>0</v>
      </c>
      <c r="AH232" s="120" t="s">
        <v>206</v>
      </c>
      <c r="AI232" s="131" t="s">
        <v>196</v>
      </c>
      <c r="AJ232" s="8761" t="s"/>
      <c r="AK232" s="8762" t="s"/>
    </row>
    <row hidden="false" ht="15.75" outlineLevel="0" r="233">
      <c r="C233" s="180" t="s">
        <v>194</v>
      </c>
      <c r="D233" s="181" t="n">
        <f aca="false" ca="false" dt2D="false" dtr="false" t="normal">D228</f>
        <v>7</v>
      </c>
      <c r="E233" s="181" t="str">
        <f aca="false" ca="false" dt2D="false" dtr="false" t="normal">E228</f>
        <v>A5</v>
      </c>
      <c r="F233" s="181" t="str">
        <f aca="false" ca="false" dt2D="false" dtr="false" t="normal">F228</f>
        <v>G1</v>
      </c>
      <c r="G233" s="181" t="str">
        <f aca="false" ca="false" dt2D="false" dtr="false" t="normal">G228</f>
        <v>H5</v>
      </c>
      <c r="H233" s="45" t="n"/>
      <c r="I233" s="45" t="n"/>
      <c r="J233" s="45" t="n"/>
      <c r="K233" s="45" t="n"/>
      <c r="L233" s="45" t="n"/>
      <c r="M233" s="45" t="n"/>
      <c r="N233" s="49" t="n"/>
      <c r="P233" s="182" t="n">
        <f aca="false" ca="false" dt2D="false" dtr="false" t="normal">MID(H226, 8, 1)</f>
        <v>0</v>
      </c>
      <c r="Q233" s="183" t="n">
        <f aca="false" ca="false" dt2D="false" dtr="false" t="normal">P233</f>
        <v>0</v>
      </c>
      <c r="R233" s="184" t="s">
        <v>208</v>
      </c>
      <c r="S233" s="185" t="s">
        <v>196</v>
      </c>
      <c r="T233" s="182" t="n">
        <f aca="false" ca="false" dt2D="false" dtr="false" t="normal">MID(I226, 8, 1)</f>
        <v>0</v>
      </c>
      <c r="U233" s="183" t="n">
        <f aca="false" ca="false" dt2D="false" dtr="false" t="normal">T233</f>
        <v>0</v>
      </c>
      <c r="V233" s="184" t="s">
        <v>208</v>
      </c>
      <c r="W233" s="185" t="s">
        <v>196</v>
      </c>
      <c r="X233" s="182" t="n">
        <f aca="false" ca="false" dt2D="false" dtr="false" t="normal">MID(J226, 8, 1)</f>
        <v>0</v>
      </c>
      <c r="Y233" s="183" t="n">
        <f aca="false" ca="false" dt2D="false" dtr="false" t="normal">X233</f>
        <v>0</v>
      </c>
      <c r="Z233" s="184" t="s">
        <v>208</v>
      </c>
      <c r="AA233" s="185" t="s">
        <v>196</v>
      </c>
      <c r="AB233" s="182" t="n">
        <f aca="false" ca="false" dt2D="false" dtr="false" t="normal">MID(K226, 8, 1)</f>
        <v>0</v>
      </c>
      <c r="AC233" s="183" t="n">
        <f aca="false" ca="false" dt2D="false" dtr="false" t="normal">AB233</f>
        <v>0</v>
      </c>
      <c r="AD233" s="184" t="s">
        <v>208</v>
      </c>
      <c r="AE233" s="185" t="s">
        <v>196</v>
      </c>
      <c r="AF233" s="182" t="n">
        <f aca="false" ca="false" dt2D="false" dtr="false" t="normal">MID(L226, 8, 1)</f>
        <v>0</v>
      </c>
      <c r="AG233" s="183" t="n">
        <f aca="false" ca="false" dt2D="false" dtr="false" t="normal">AF233</f>
        <v>0</v>
      </c>
      <c r="AH233" s="184" t="s">
        <v>208</v>
      </c>
      <c r="AI233" s="185" t="s">
        <v>196</v>
      </c>
      <c r="AJ233" s="8763" t="s"/>
      <c r="AK233" s="8764" t="s"/>
    </row>
    <row hidden="false" ht="15.75" outlineLevel="0" r="234">
      <c r="C234" s="93" t="n"/>
      <c r="D234" s="7585" t="n"/>
      <c r="E234" s="7585" t="n"/>
      <c r="F234" s="7585" t="n"/>
      <c r="G234" s="7585" t="n"/>
      <c r="H234" s="94" t="n"/>
      <c r="I234" s="94" t="n"/>
      <c r="J234" s="94" t="n"/>
      <c r="K234" s="94" t="n"/>
      <c r="L234" s="94" t="n"/>
      <c r="M234" s="94" t="s">
        <v>161</v>
      </c>
      <c r="N234" s="60" t="n"/>
      <c r="P234" s="95" t="str">
        <f aca="false" ca="false" dt2D="false" dtr="false" t="normal">RIGHT(D236, 1)&amp;E236&amp;"-"&amp;F236&amp;"-"&amp;G236</f>
        <v>7A5-01-22</v>
      </c>
      <c r="Q234" s="8765" t="s"/>
      <c r="R234" s="234" t="s">
        <v>4104</v>
      </c>
      <c r="S234" s="8766" t="s"/>
      <c r="T234" s="8767" t="s"/>
      <c r="U234" s="8768" t="s"/>
      <c r="V234" s="8769" t="s"/>
      <c r="W234" s="8770" t="s"/>
      <c r="X234" s="8771" t="s"/>
      <c r="Y234" s="8772" t="s"/>
      <c r="Z234" s="8773" t="s"/>
      <c r="AA234" s="8774" t="s"/>
      <c r="AB234" s="8775" t="s"/>
      <c r="AC234" s="8776" t="s"/>
      <c r="AD234" s="8777" t="s"/>
      <c r="AE234" s="8778" t="s"/>
      <c r="AF234" s="8779" t="s"/>
      <c r="AG234" s="8780" t="s"/>
      <c r="AH234" s="8781" t="s"/>
      <c r="AI234" s="8782" t="s"/>
      <c r="AJ234" s="8783" t="s"/>
      <c r="AK234" s="8784" t="s"/>
    </row>
    <row hidden="false" ht="15.75" outlineLevel="0" r="235">
      <c r="C235" s="98" t="n"/>
      <c r="D235" s="7606" t="s">
        <v>4105</v>
      </c>
      <c r="E235" s="8785" t="s"/>
      <c r="F235" s="8786" t="s"/>
      <c r="G235" s="8787" t="s"/>
      <c r="H235" s="53" t="s">
        <v>165</v>
      </c>
      <c r="I235" s="53" t="s">
        <v>166</v>
      </c>
      <c r="J235" s="53" t="s">
        <v>167</v>
      </c>
      <c r="K235" s="53" t="s">
        <v>168</v>
      </c>
      <c r="L235" s="53" t="s">
        <v>169</v>
      </c>
      <c r="M235" s="53" t="s">
        <v>221</v>
      </c>
      <c r="N235" s="63" t="n"/>
      <c r="P235" s="103" t="s">
        <v>4106</v>
      </c>
      <c r="Q235" s="8788" t="s"/>
      <c r="R235" s="8789" t="s"/>
      <c r="S235" s="8790" t="s"/>
      <c r="T235" s="103" t="s">
        <v>4107</v>
      </c>
      <c r="U235" s="8791" t="s"/>
      <c r="V235" s="8792" t="s"/>
      <c r="W235" s="8793" t="s"/>
      <c r="X235" s="103" t="s">
        <v>4108</v>
      </c>
      <c r="Y235" s="8794" t="s"/>
      <c r="Z235" s="8795" t="s"/>
      <c r="AA235" s="8796" t="s"/>
      <c r="AB235" s="103" t="s">
        <v>4109</v>
      </c>
      <c r="AC235" s="8797" t="s"/>
      <c r="AD235" s="8798" t="s"/>
      <c r="AE235" s="8799" t="s"/>
      <c r="AF235" s="103" t="s">
        <v>4110</v>
      </c>
      <c r="AG235" s="8800" t="s"/>
      <c r="AH235" s="8801" t="s"/>
      <c r="AI235" s="8802" t="s"/>
      <c r="AJ235" s="103" t="s">
        <v>4111</v>
      </c>
      <c r="AK235" s="8803" t="s"/>
    </row>
    <row hidden="false" ht="15.75" outlineLevel="0" r="236">
      <c r="C236" s="98" t="s">
        <v>176</v>
      </c>
      <c r="D236" s="122" t="s">
        <v>177</v>
      </c>
      <c r="E236" s="123" t="s">
        <v>3892</v>
      </c>
      <c r="F236" s="123" t="s">
        <v>179</v>
      </c>
      <c r="G236" s="124" t="s">
        <v>1543</v>
      </c>
      <c r="H236" s="273" t="n">
        <f aca="false" ca="false" dt2D="false" dtr="false" t="normal">MID($A$25, 8, 2)</f>
        <v>0</v>
      </c>
      <c r="I236" s="7626" t="n">
        <f aca="false" ca="false" dt2D="false" dtr="false" t="normal">MID($A$25, 10, 2)</f>
        <v>0</v>
      </c>
      <c r="J236" s="7626" t="n">
        <f aca="false" ca="false" dt2D="false" dtr="false" t="normal">MID($A$25, 12, 2)</f>
        <v>0</v>
      </c>
      <c r="K236" s="7626" t="n">
        <f aca="false" ca="false" dt2D="false" dtr="false" t="normal">MID($A$25, 14, 2)</f>
        <v>0</v>
      </c>
      <c r="L236" s="7627" t="n">
        <f aca="false" ca="false" dt2D="false" dtr="false" t="normal">MID($A$25, 16, 2)</f>
        <v>0</v>
      </c>
      <c r="M236" s="7553" t="str">
        <f aca="false" ca="false" dt2D="false" dtr="false" t="normal">MID($A$25, 18, 2)</f>
        <v>CF</v>
      </c>
      <c r="N236" s="63" t="s">
        <v>180</v>
      </c>
      <c r="P236" s="129" t="s">
        <v>180</v>
      </c>
      <c r="Q236" s="130" t="s">
        <v>181</v>
      </c>
      <c r="R236" s="121" t="s">
        <v>182</v>
      </c>
      <c r="S236" s="131" t="n"/>
      <c r="T236" s="129" t="s">
        <v>180</v>
      </c>
      <c r="U236" s="130" t="s">
        <v>181</v>
      </c>
      <c r="V236" s="121" t="s">
        <v>182</v>
      </c>
      <c r="W236" s="131" t="n"/>
      <c r="X236" s="129" t="s">
        <v>180</v>
      </c>
      <c r="Y236" s="130" t="s">
        <v>181</v>
      </c>
      <c r="Z236" s="121" t="s">
        <v>182</v>
      </c>
      <c r="AA236" s="131" t="n"/>
      <c r="AB236" s="129" t="s">
        <v>180</v>
      </c>
      <c r="AC236" s="130" t="s">
        <v>181</v>
      </c>
      <c r="AD236" s="121" t="s">
        <v>182</v>
      </c>
      <c r="AE236" s="131" t="n"/>
      <c r="AF236" s="129" t="s">
        <v>180</v>
      </c>
      <c r="AG236" s="130" t="s">
        <v>181</v>
      </c>
      <c r="AH236" s="121" t="s">
        <v>182</v>
      </c>
      <c r="AI236" s="121" t="n"/>
      <c r="AJ236" s="116" t="s">
        <v>183</v>
      </c>
      <c r="AK236" s="8804" t="s"/>
    </row>
    <row hidden="false" ht="15" outlineLevel="0" r="237">
      <c r="C237" s="98" t="s">
        <v>185</v>
      </c>
      <c r="D237" s="149" t="n">
        <f aca="false" ca="false" dt2D="false" dtr="false" t="normal">HEX2BIN(D236, 8)</f>
        <v>111</v>
      </c>
      <c r="E237" s="149" t="n">
        <f aca="false" ca="false" dt2D="false" dtr="false" t="normal">HEX2BIN(E236, 8)</f>
        <v>10100101</v>
      </c>
      <c r="F237" s="149" t="n">
        <f aca="false" ca="false" dt2D="false" dtr="false" t="normal">HEX2BIN(F236, 8)</f>
        <v>1</v>
      </c>
      <c r="G237" s="149" t="n">
        <f aca="false" ca="false" dt2D="false" dtr="false" t="normal">HEX2BIN(G236, 8)</f>
        <v>100010</v>
      </c>
      <c r="H237" s="53" t="n">
        <f aca="false" ca="false" dt2D="false" dtr="false" t="normal">HEX2BIN(H236, 8)</f>
        <v>0</v>
      </c>
      <c r="I237" s="53" t="n">
        <f aca="false" ca="false" dt2D="false" dtr="false" t="normal">HEX2BIN(I236, 8)</f>
        <v>0</v>
      </c>
      <c r="J237" s="53" t="n">
        <f aca="false" ca="false" dt2D="false" dtr="false" t="normal">HEX2BIN(J236, 8)</f>
        <v>0</v>
      </c>
      <c r="K237" s="53" t="n">
        <f aca="false" ca="false" dt2D="false" dtr="false" t="normal">HEX2BIN(K236, 8)</f>
        <v>0</v>
      </c>
      <c r="L237" s="53" t="n">
        <f aca="false" ca="false" dt2D="false" dtr="false" t="normal">HEX2BIN(L236, 8)</f>
        <v>0</v>
      </c>
      <c r="M237" s="53" t="n"/>
      <c r="N237" s="63" t="n"/>
      <c r="P237" s="136" t="n">
        <f aca="false" ca="false" dt2D="false" dtr="false" t="normal">MID(H237, 1, 1)</f>
        <v>0</v>
      </c>
      <c r="Q237" s="137" t="n">
        <f aca="false" ca="false" dt2D="false" dtr="false" t="normal">P237</f>
        <v>0</v>
      </c>
      <c r="R237" s="120" t="s">
        <v>186</v>
      </c>
      <c r="S237" s="131" t="s">
        <v>196</v>
      </c>
      <c r="T237" s="136" t="n">
        <f aca="false" ca="false" dt2D="false" dtr="false" t="normal">MID(I237, 1, 1)</f>
        <v>0</v>
      </c>
      <c r="U237" s="137" t="n">
        <f aca="false" ca="false" dt2D="false" dtr="false" t="normal">T237</f>
        <v>0</v>
      </c>
      <c r="V237" s="120" t="s">
        <v>186</v>
      </c>
      <c r="W237" s="131" t="s">
        <v>196</v>
      </c>
      <c r="X237" s="136" t="n">
        <f aca="false" ca="false" dt2D="false" dtr="false" t="normal">MID(J237, 1, 1)</f>
        <v>0</v>
      </c>
      <c r="Y237" s="137" t="n">
        <f aca="false" ca="false" dt2D="false" dtr="false" t="normal">X237</f>
        <v>0</v>
      </c>
      <c r="Z237" s="120" t="s">
        <v>186</v>
      </c>
      <c r="AA237" s="131" t="s">
        <v>196</v>
      </c>
      <c r="AB237" s="136" t="n">
        <f aca="false" ca="false" dt2D="false" dtr="false" t="normal">MID(K237, 1, 1)</f>
        <v>0</v>
      </c>
      <c r="AC237" s="137" t="n">
        <f aca="false" ca="false" dt2D="false" dtr="false" t="normal">AB237</f>
        <v>0</v>
      </c>
      <c r="AD237" s="120" t="s">
        <v>186</v>
      </c>
      <c r="AE237" s="131" t="s">
        <v>196</v>
      </c>
      <c r="AF237" s="136" t="n">
        <f aca="false" ca="false" dt2D="false" dtr="false" t="normal">MID(L237, 1, 1)</f>
        <v>0</v>
      </c>
      <c r="AG237" s="137" t="n">
        <f aca="false" ca="false" dt2D="false" dtr="false" t="normal">AF237</f>
        <v>0</v>
      </c>
      <c r="AH237" s="120" t="s">
        <v>186</v>
      </c>
      <c r="AI237" s="131" t="s">
        <v>196</v>
      </c>
      <c r="AJ237" s="8805" t="s"/>
      <c r="AK237" s="8806" t="s"/>
    </row>
    <row hidden="false" ht="15" outlineLevel="0" r="238">
      <c r="C238" s="98" t="s">
        <v>191</v>
      </c>
      <c r="D238" s="149" t="n">
        <f aca="false" ca="false" dt2D="false" dtr="false" t="normal">HEX2DEC(D236)</f>
        <v>7</v>
      </c>
      <c r="E238" s="149" t="n">
        <f aca="false" ca="false" dt2D="false" dtr="false" t="normal">HEX2DEC(E236)</f>
        <v>165</v>
      </c>
      <c r="F238" s="149" t="n">
        <f aca="false" ca="false" dt2D="false" dtr="false" t="normal">HEX2DEC(F236)</f>
        <v>1</v>
      </c>
      <c r="G238" s="149" t="n">
        <f aca="false" ca="false" dt2D="false" dtr="false" t="normal">HEX2DEC(G236)</f>
        <v>34</v>
      </c>
      <c r="H238" s="53" t="n">
        <f aca="false" ca="false" dt2D="false" dtr="false" t="normal">HEX2DEC(H236)</f>
        <v>0</v>
      </c>
      <c r="I238" s="53" t="n">
        <f aca="false" ca="false" dt2D="false" dtr="false" t="normal">HEX2DEC(I236)</f>
        <v>0</v>
      </c>
      <c r="J238" s="53" t="n">
        <f aca="false" ca="false" dt2D="false" dtr="false" t="normal">HEX2DEC(J236)</f>
        <v>0</v>
      </c>
      <c r="K238" s="53" t="n">
        <f aca="false" ca="false" dt2D="false" dtr="false" t="normal">HEX2DEC(K236)</f>
        <v>0</v>
      </c>
      <c r="L238" s="53" t="n">
        <f aca="false" ca="false" dt2D="false" dtr="false" t="normal">HEX2DEC(L236)</f>
        <v>0</v>
      </c>
      <c r="M238" s="53" t="n">
        <f aca="false" ca="false" dt2D="false" dtr="false" t="normal">SUM(D238:L238)</f>
        <v>207</v>
      </c>
      <c r="N238" s="63" t="n"/>
      <c r="P238" s="136" t="n">
        <f aca="false" ca="false" dt2D="false" dtr="false" t="normal">MID(H237, 2, 1)</f>
        <v>0</v>
      </c>
      <c r="Q238" s="137" t="n">
        <f aca="false" ca="false" dt2D="false" dtr="false" t="normal">P238</f>
        <v>0</v>
      </c>
      <c r="R238" s="120" t="s">
        <v>192</v>
      </c>
      <c r="S238" s="131" t="s">
        <v>196</v>
      </c>
      <c r="T238" s="136" t="n">
        <f aca="false" ca="false" dt2D="false" dtr="false" t="normal">MID(I237, 2, 1)</f>
        <v>0</v>
      </c>
      <c r="U238" s="137" t="n">
        <f aca="false" ca="false" dt2D="false" dtr="false" t="normal">T238</f>
        <v>0</v>
      </c>
      <c r="V238" s="120" t="s">
        <v>192</v>
      </c>
      <c r="W238" s="131" t="s">
        <v>196</v>
      </c>
      <c r="X238" s="136" t="n">
        <f aca="false" ca="false" dt2D="false" dtr="false" t="normal">MID(J237, 2, 1)</f>
        <v>0</v>
      </c>
      <c r="Y238" s="137" t="n">
        <f aca="false" ca="false" dt2D="false" dtr="false" t="normal">X238</f>
        <v>0</v>
      </c>
      <c r="Z238" s="120" t="s">
        <v>192</v>
      </c>
      <c r="AA238" s="131" t="s">
        <v>196</v>
      </c>
      <c r="AB238" s="136" t="n">
        <f aca="false" ca="false" dt2D="false" dtr="false" t="normal">MID(K237, 2, 1)</f>
        <v>0</v>
      </c>
      <c r="AC238" s="137" t="n">
        <f aca="false" ca="false" dt2D="false" dtr="false" t="normal">AB238</f>
        <v>0</v>
      </c>
      <c r="AD238" s="120" t="s">
        <v>192</v>
      </c>
      <c r="AE238" s="131" t="s">
        <v>196</v>
      </c>
      <c r="AF238" s="136" t="n">
        <f aca="false" ca="false" dt2D="false" dtr="false" t="normal">MID(L237, 2, 1)</f>
        <v>0</v>
      </c>
      <c r="AG238" s="137" t="n">
        <f aca="false" ca="false" dt2D="false" dtr="false" t="normal">AF238</f>
        <v>0</v>
      </c>
      <c r="AH238" s="120" t="s">
        <v>192</v>
      </c>
      <c r="AI238" s="131" t="s">
        <v>196</v>
      </c>
      <c r="AJ238" s="8807" t="s"/>
      <c r="AK238" s="8808" t="s"/>
    </row>
    <row hidden="false" ht="15" outlineLevel="0" r="239">
      <c r="C239" s="98" t="s">
        <v>194</v>
      </c>
      <c r="D239" s="149" t="n">
        <f aca="false" ca="false" dt2D="false" dtr="false" t="normal">D236</f>
        <v>7</v>
      </c>
      <c r="E239" s="149" t="str">
        <f aca="false" ca="false" dt2D="false" dtr="false" t="normal">E236</f>
        <v>A5</v>
      </c>
      <c r="F239" s="149" t="str">
        <f aca="false" ca="false" dt2D="false" dtr="false" t="normal">MID($A$25, 4, 2)</f>
        <v>G1</v>
      </c>
      <c r="G239" s="149" t="str">
        <f aca="false" ca="false" dt2D="false" dtr="false" t="normal">MID($A$25, 6, 2)</f>
        <v>H6</v>
      </c>
      <c r="N239" s="63" t="n"/>
      <c r="P239" s="136" t="n">
        <f aca="false" ca="false" dt2D="false" dtr="false" t="normal">MID(H237, 3, 1)</f>
        <v>0</v>
      </c>
      <c r="Q239" s="137" t="n">
        <f aca="false" ca="false" dt2D="false" dtr="false" t="normal">P239</f>
        <v>0</v>
      </c>
      <c r="R239" s="120" t="s">
        <v>195</v>
      </c>
      <c r="S239" s="131" t="s">
        <v>196</v>
      </c>
      <c r="T239" s="136" t="n">
        <f aca="false" ca="false" dt2D="false" dtr="false" t="normal">MID(I237, 3, 1)</f>
        <v>0</v>
      </c>
      <c r="U239" s="137" t="n">
        <f aca="false" ca="false" dt2D="false" dtr="false" t="normal">T239</f>
        <v>0</v>
      </c>
      <c r="V239" s="120" t="s">
        <v>195</v>
      </c>
      <c r="W239" s="131" t="s">
        <v>196</v>
      </c>
      <c r="X239" s="136" t="n">
        <f aca="false" ca="false" dt2D="false" dtr="false" t="normal">MID(J237, 3, 1)</f>
        <v>0</v>
      </c>
      <c r="Y239" s="137" t="n">
        <f aca="false" ca="false" dt2D="false" dtr="false" t="normal">X239</f>
        <v>0</v>
      </c>
      <c r="Z239" s="120" t="s">
        <v>195</v>
      </c>
      <c r="AA239" s="131" t="s">
        <v>196</v>
      </c>
      <c r="AB239" s="136" t="n">
        <f aca="false" ca="false" dt2D="false" dtr="false" t="normal">MID(K237, 3, 1)</f>
        <v>0</v>
      </c>
      <c r="AC239" s="137" t="n">
        <f aca="false" ca="false" dt2D="false" dtr="false" t="normal">AB239</f>
        <v>0</v>
      </c>
      <c r="AD239" s="120" t="s">
        <v>195</v>
      </c>
      <c r="AE239" s="131" t="s">
        <v>196</v>
      </c>
      <c r="AF239" s="136" t="n">
        <f aca="false" ca="false" dt2D="false" dtr="false" t="normal">MID(L237, 3, 1)</f>
        <v>0</v>
      </c>
      <c r="AG239" s="137" t="n">
        <f aca="false" ca="false" dt2D="false" dtr="false" t="normal">AF239</f>
        <v>0</v>
      </c>
      <c r="AH239" s="120" t="s">
        <v>195</v>
      </c>
      <c r="AI239" s="131" t="s">
        <v>196</v>
      </c>
      <c r="AJ239" s="8809" t="s"/>
      <c r="AK239" s="8810" t="s"/>
    </row>
    <row hidden="false" ht="15.75" outlineLevel="0" r="240">
      <c r="C240" s="98" t="n"/>
      <c r="N240" s="63" t="n"/>
      <c r="P240" s="136" t="n">
        <f aca="false" ca="false" dt2D="false" dtr="false" t="normal">MID(H237, 4, 1)</f>
        <v>0</v>
      </c>
      <c r="Q240" s="137" t="n">
        <f aca="false" ca="false" dt2D="false" dtr="false" t="normal">P240</f>
        <v>0</v>
      </c>
      <c r="R240" s="120" t="s">
        <v>197</v>
      </c>
      <c r="S240" s="131" t="s">
        <v>196</v>
      </c>
      <c r="T240" s="136" t="n">
        <f aca="false" ca="false" dt2D="false" dtr="false" t="normal">MID(I237, 4, 1)</f>
        <v>0</v>
      </c>
      <c r="U240" s="137" t="n">
        <f aca="false" ca="false" dt2D="false" dtr="false" t="normal">T240</f>
        <v>0</v>
      </c>
      <c r="V240" s="120" t="s">
        <v>197</v>
      </c>
      <c r="W240" s="131" t="s">
        <v>196</v>
      </c>
      <c r="X240" s="136" t="n">
        <f aca="false" ca="false" dt2D="false" dtr="false" t="normal">MID(J237, 4, 1)</f>
        <v>0</v>
      </c>
      <c r="Y240" s="137" t="n">
        <f aca="false" ca="false" dt2D="false" dtr="false" t="normal">X240</f>
        <v>0</v>
      </c>
      <c r="Z240" s="120" t="s">
        <v>197</v>
      </c>
      <c r="AA240" s="131" t="s">
        <v>196</v>
      </c>
      <c r="AB240" s="136" t="n">
        <f aca="false" ca="false" dt2D="false" dtr="false" t="normal">MID(K237, 4, 1)</f>
        <v>0</v>
      </c>
      <c r="AC240" s="137" t="n">
        <f aca="false" ca="false" dt2D="false" dtr="false" t="normal">AB240</f>
        <v>0</v>
      </c>
      <c r="AD240" s="120" t="s">
        <v>197</v>
      </c>
      <c r="AE240" s="131" t="s">
        <v>196</v>
      </c>
      <c r="AF240" s="136" t="n">
        <f aca="false" ca="false" dt2D="false" dtr="false" t="normal">MID(L237, 4, 1)</f>
        <v>0</v>
      </c>
      <c r="AG240" s="137" t="n">
        <f aca="false" ca="false" dt2D="false" dtr="false" t="normal">AF240</f>
        <v>0</v>
      </c>
      <c r="AH240" s="120" t="s">
        <v>197</v>
      </c>
      <c r="AI240" s="131" t="s">
        <v>196</v>
      </c>
      <c r="AJ240" s="8811" t="s"/>
      <c r="AK240" s="8812" t="s"/>
    </row>
    <row hidden="false" ht="15.75" outlineLevel="0" r="241">
      <c r="C241" s="98" t="s">
        <v>176</v>
      </c>
      <c r="D241" s="122" t="n">
        <f aca="false" ca="false" dt2D="false" dtr="false" t="normal">D236</f>
        <v>7</v>
      </c>
      <c r="E241" s="123" t="str">
        <f aca="false" ca="false" dt2D="false" dtr="false" t="normal">E236</f>
        <v>A5</v>
      </c>
      <c r="F241" s="123" t="n">
        <f aca="false" ca="false" dt2D="false" dtr="false" t="normal">F236</f>
        <v>1</v>
      </c>
      <c r="G241" s="124" t="n">
        <f aca="false" ca="false" dt2D="false" dtr="false" t="normal">G236</f>
        <v>22</v>
      </c>
      <c r="H241" s="162" t="n">
        <f aca="false" ca="false" dt2D="false" dtr="false" t="normal">BIN2HEX(H242, 2)</f>
        <v>0</v>
      </c>
      <c r="I241" s="163" t="n">
        <f aca="false" ca="false" dt2D="false" dtr="false" t="normal">BIN2HEX(I242, 2)</f>
        <v>0</v>
      </c>
      <c r="J241" s="164" t="n">
        <f aca="false" ca="false" dt2D="false" dtr="false" t="normal">BIN2HEX(J242, 2)</f>
        <v>0</v>
      </c>
      <c r="K241" s="165" t="n">
        <f aca="false" ca="false" dt2D="false" dtr="false" t="normal">BIN2HEX(K242, 2)</f>
        <v>0</v>
      </c>
      <c r="L241" s="288" t="n">
        <f aca="false" ca="false" dt2D="false" dtr="false" t="normal">BIN2HEX(L242, 2)</f>
        <v>0</v>
      </c>
      <c r="M241" s="166" t="str">
        <f aca="false" ca="false" dt2D="false" dtr="false" t="normal">IF(LEN(M242)&gt;2, MID(M242, 2, 2), M242)</f>
        <v>CF</v>
      </c>
      <c r="N241" s="63" t="s">
        <v>181</v>
      </c>
      <c r="P241" s="136" t="n">
        <f aca="false" ca="false" dt2D="false" dtr="false" t="normal">MID(H237, 5, 1)</f>
        <v>0</v>
      </c>
      <c r="Q241" s="137" t="n">
        <f aca="false" ca="false" dt2D="false" dtr="false" t="normal">P241</f>
        <v>0</v>
      </c>
      <c r="R241" s="120" t="s">
        <v>200</v>
      </c>
      <c r="S241" s="131" t="s">
        <v>196</v>
      </c>
      <c r="T241" s="136" t="n">
        <f aca="false" ca="false" dt2D="false" dtr="false" t="normal">MID(I237, 5, 1)</f>
        <v>0</v>
      </c>
      <c r="U241" s="137" t="n">
        <f aca="false" ca="false" dt2D="false" dtr="false" t="normal">T241</f>
        <v>0</v>
      </c>
      <c r="V241" s="120" t="s">
        <v>200</v>
      </c>
      <c r="W241" s="131" t="s">
        <v>196</v>
      </c>
      <c r="X241" s="136" t="n">
        <f aca="false" ca="false" dt2D="false" dtr="false" t="normal">MID(J237, 5, 1)</f>
        <v>0</v>
      </c>
      <c r="Y241" s="137" t="n">
        <f aca="false" ca="false" dt2D="false" dtr="false" t="normal">X241</f>
        <v>0</v>
      </c>
      <c r="Z241" s="120" t="s">
        <v>200</v>
      </c>
      <c r="AA241" s="131" t="s">
        <v>196</v>
      </c>
      <c r="AB241" s="136" t="n">
        <f aca="false" ca="false" dt2D="false" dtr="false" t="normal">MID(K237, 5, 1)</f>
        <v>0</v>
      </c>
      <c r="AC241" s="137" t="n">
        <f aca="false" ca="false" dt2D="false" dtr="false" t="normal">AB241</f>
        <v>0</v>
      </c>
      <c r="AD241" s="120" t="s">
        <v>200</v>
      </c>
      <c r="AE241" s="131" t="s">
        <v>196</v>
      </c>
      <c r="AF241" s="136" t="n">
        <f aca="false" ca="false" dt2D="false" dtr="false" t="normal">MID(L237, 5, 1)</f>
        <v>0</v>
      </c>
      <c r="AG241" s="137" t="n">
        <f aca="false" ca="false" dt2D="false" dtr="false" t="normal">AF241</f>
        <v>0</v>
      </c>
      <c r="AH241" s="120" t="s">
        <v>200</v>
      </c>
      <c r="AI241" s="131" t="s">
        <v>196</v>
      </c>
      <c r="AJ241" s="8813" t="s"/>
      <c r="AK241" s="8814" t="s"/>
    </row>
    <row hidden="false" ht="15" outlineLevel="0" r="242">
      <c r="C242" s="98" t="s">
        <v>185</v>
      </c>
      <c r="D242" s="149" t="n">
        <f aca="false" ca="false" dt2D="false" dtr="false" t="normal">HEX2BIN(D241, 8)</f>
        <v>111</v>
      </c>
      <c r="E242" s="149" t="n">
        <f aca="false" ca="false" dt2D="false" dtr="false" t="normal">HEX2BIN(E241, 8)</f>
        <v>10100101</v>
      </c>
      <c r="F242" s="149" t="n">
        <f aca="false" ca="false" dt2D="false" dtr="false" t="normal">HEX2BIN(F241, 8)</f>
        <v>1</v>
      </c>
      <c r="G242" s="149" t="n">
        <f aca="false" ca="false" dt2D="false" dtr="false" t="normal">HEX2BIN(G241, 8)</f>
        <v>100010</v>
      </c>
      <c r="H242" s="53" t="n">
        <f aca="false" ca="false" dt2D="false" dtr="false" t="normal">Q237&amp;Q238&amp;Q239&amp;Q240&amp;Q241&amp;Q242&amp;Q243&amp;Q244</f>
        <v>0</v>
      </c>
      <c r="I242" s="53" t="n">
        <f aca="false" ca="false" dt2D="false" dtr="false" t="normal">U237&amp;U238&amp;U239&amp;U240&amp;U241&amp;U242&amp;U243&amp;U244</f>
        <v>0</v>
      </c>
      <c r="J242" s="53" t="n">
        <f aca="false" ca="false" dt2D="false" dtr="false" t="normal">Y237&amp;Y238&amp;Y239&amp;Y240&amp;Y241&amp;Y242&amp;Y243&amp;Y244</f>
        <v>0</v>
      </c>
      <c r="K242" s="53" t="n">
        <f aca="false" ca="false" dt2D="false" dtr="false" t="normal">AC237&amp;AC238&amp;AC239&amp;AC240&amp;AC241&amp;AC242&amp;AC243&amp;AC244</f>
        <v>0</v>
      </c>
      <c r="L242" s="53" t="n">
        <f aca="false" ca="false" dt2D="false" dtr="false" t="normal">AG237&amp;AG238&amp;AG239&amp;AG240&amp;AG241&amp;AG242&amp;AG243&amp;AG244</f>
        <v>0</v>
      </c>
      <c r="M242" s="53" t="str">
        <f aca="false" ca="false" dt2D="false" dtr="false" t="normal">DEC2HEX(M243)</f>
        <v>CF</v>
      </c>
      <c r="N242" s="63" t="n"/>
      <c r="P242" s="136" t="n">
        <f aca="false" ca="false" dt2D="false" dtr="false" t="normal">MID(H237, 6, 1)</f>
        <v>0</v>
      </c>
      <c r="Q242" s="137" t="n">
        <f aca="false" ca="false" dt2D="false" dtr="false" t="normal">P242</f>
        <v>0</v>
      </c>
      <c r="R242" s="120" t="s">
        <v>203</v>
      </c>
      <c r="S242" s="131" t="s">
        <v>196</v>
      </c>
      <c r="T242" s="136" t="n">
        <f aca="false" ca="false" dt2D="false" dtr="false" t="normal">MID(I237, 6, 1)</f>
        <v>0</v>
      </c>
      <c r="U242" s="137" t="n">
        <f aca="false" ca="false" dt2D="false" dtr="false" t="normal">T242</f>
        <v>0</v>
      </c>
      <c r="V242" s="120" t="s">
        <v>203</v>
      </c>
      <c r="W242" s="131" t="s">
        <v>196</v>
      </c>
      <c r="X242" s="136" t="n">
        <f aca="false" ca="false" dt2D="false" dtr="false" t="normal">MID(J237, 6, 1)</f>
        <v>0</v>
      </c>
      <c r="Y242" s="137" t="n">
        <f aca="false" ca="false" dt2D="false" dtr="false" t="normal">X242</f>
        <v>0</v>
      </c>
      <c r="Z242" s="120" t="s">
        <v>203</v>
      </c>
      <c r="AA242" s="131" t="s">
        <v>196</v>
      </c>
      <c r="AB242" s="136" t="n">
        <f aca="false" ca="false" dt2D="false" dtr="false" t="normal">MID(K237, 6, 1)</f>
        <v>0</v>
      </c>
      <c r="AC242" s="137" t="n">
        <f aca="false" ca="false" dt2D="false" dtr="false" t="normal">AB242</f>
        <v>0</v>
      </c>
      <c r="AD242" s="120" t="s">
        <v>203</v>
      </c>
      <c r="AE242" s="131" t="s">
        <v>196</v>
      </c>
      <c r="AF242" s="136" t="n">
        <f aca="false" ca="false" dt2D="false" dtr="false" t="normal">MID(L237, 6, 1)</f>
        <v>0</v>
      </c>
      <c r="AG242" s="137" t="n">
        <f aca="false" ca="false" dt2D="false" dtr="false" t="normal">AF242</f>
        <v>0</v>
      </c>
      <c r="AH242" s="120" t="s">
        <v>203</v>
      </c>
      <c r="AI242" s="131" t="s">
        <v>196</v>
      </c>
      <c r="AJ242" s="8815" t="s"/>
      <c r="AK242" s="8816" t="s"/>
    </row>
    <row hidden="false" ht="15" outlineLevel="0" r="243">
      <c r="C243" s="98" t="s">
        <v>191</v>
      </c>
      <c r="D243" s="149" t="n">
        <f aca="false" ca="false" dt2D="false" dtr="false" t="normal">HEX2DEC(D241)</f>
        <v>7</v>
      </c>
      <c r="E243" s="149" t="n">
        <f aca="false" ca="false" dt2D="false" dtr="false" t="normal">HEX2DEC(E241)</f>
        <v>165</v>
      </c>
      <c r="F243" s="149" t="n">
        <f aca="false" ca="false" dt2D="false" dtr="false" t="normal">HEX2DEC(F241)</f>
        <v>1</v>
      </c>
      <c r="G243" s="149" t="n">
        <f aca="false" ca="false" dt2D="false" dtr="false" t="normal">HEX2DEC(G241)</f>
        <v>34</v>
      </c>
      <c r="H243" s="53" t="n">
        <f aca="false" ca="false" dt2D="false" dtr="false" t="normal">HEX2DEC(H241)</f>
        <v>0</v>
      </c>
      <c r="I243" s="53" t="n">
        <f aca="false" ca="false" dt2D="false" dtr="false" t="normal">HEX2DEC(I241)</f>
        <v>0</v>
      </c>
      <c r="J243" s="53" t="n">
        <f aca="false" ca="false" dt2D="false" dtr="false" t="normal">HEX2DEC(J241)</f>
        <v>0</v>
      </c>
      <c r="K243" s="53" t="n">
        <f aca="false" ca="false" dt2D="false" dtr="false" t="normal">HEX2DEC(K241)</f>
        <v>0</v>
      </c>
      <c r="L243" s="53" t="n">
        <f aca="false" ca="false" dt2D="false" dtr="false" t="normal">HEX2DEC(L241)</f>
        <v>0</v>
      </c>
      <c r="M243" s="53" t="n">
        <f aca="false" ca="false" dt2D="false" dtr="false" t="normal">SUM(D243:L243)</f>
        <v>207</v>
      </c>
      <c r="N243" s="63" t="n"/>
      <c r="P243" s="136" t="n">
        <f aca="false" ca="false" dt2D="false" dtr="false" t="normal">MID(H237, 7, 1)</f>
        <v>0</v>
      </c>
      <c r="Q243" s="137" t="n">
        <f aca="false" ca="false" dt2D="false" dtr="false" t="normal">P243</f>
        <v>0</v>
      </c>
      <c r="R243" s="120" t="s">
        <v>206</v>
      </c>
      <c r="S243" s="131" t="s">
        <v>196</v>
      </c>
      <c r="T243" s="136" t="n">
        <f aca="false" ca="false" dt2D="false" dtr="false" t="normal">MID(I237, 7, 1)</f>
        <v>0</v>
      </c>
      <c r="U243" s="137" t="n">
        <f aca="false" ca="false" dt2D="false" dtr="false" t="normal">T243</f>
        <v>0</v>
      </c>
      <c r="V243" s="120" t="s">
        <v>206</v>
      </c>
      <c r="W243" s="131" t="s">
        <v>196</v>
      </c>
      <c r="X243" s="136" t="n">
        <f aca="false" ca="false" dt2D="false" dtr="false" t="normal">MID(J237, 7, 1)</f>
        <v>0</v>
      </c>
      <c r="Y243" s="137" t="n">
        <f aca="false" ca="false" dt2D="false" dtr="false" t="normal">X243</f>
        <v>0</v>
      </c>
      <c r="Z243" s="120" t="s">
        <v>206</v>
      </c>
      <c r="AA243" s="131" t="s">
        <v>196</v>
      </c>
      <c r="AB243" s="136" t="n">
        <f aca="false" ca="false" dt2D="false" dtr="false" t="normal">MID(K237, 7, 1)</f>
        <v>0</v>
      </c>
      <c r="AC243" s="137" t="n">
        <f aca="false" ca="false" dt2D="false" dtr="false" t="normal">AB243</f>
        <v>0</v>
      </c>
      <c r="AD243" s="120" t="s">
        <v>206</v>
      </c>
      <c r="AE243" s="131" t="s">
        <v>196</v>
      </c>
      <c r="AF243" s="136" t="n">
        <f aca="false" ca="false" dt2D="false" dtr="false" t="normal">MID(L237, 7, 1)</f>
        <v>0</v>
      </c>
      <c r="AG243" s="137" t="n">
        <f aca="false" ca="false" dt2D="false" dtr="false" t="normal">AF243</f>
        <v>0</v>
      </c>
      <c r="AH243" s="120" t="s">
        <v>206</v>
      </c>
      <c r="AI243" s="131" t="s">
        <v>196</v>
      </c>
      <c r="AJ243" s="8817" t="s"/>
      <c r="AK243" s="8818" t="s"/>
    </row>
    <row hidden="false" ht="15.75" outlineLevel="0" r="244">
      <c r="C244" s="180" t="s">
        <v>194</v>
      </c>
      <c r="D244" s="181" t="n">
        <f aca="false" ca="false" dt2D="false" dtr="false" t="normal">D239</f>
        <v>7</v>
      </c>
      <c r="E244" s="181" t="str">
        <f aca="false" ca="false" dt2D="false" dtr="false" t="normal">E239</f>
        <v>A5</v>
      </c>
      <c r="F244" s="181" t="str">
        <f aca="false" ca="false" dt2D="false" dtr="false" t="normal">F239</f>
        <v>G1</v>
      </c>
      <c r="G244" s="181" t="str">
        <f aca="false" ca="false" dt2D="false" dtr="false" t="normal">G239</f>
        <v>H6</v>
      </c>
      <c r="H244" s="45" t="n"/>
      <c r="I244" s="45" t="n"/>
      <c r="J244" s="45" t="n"/>
      <c r="K244" s="45" t="n"/>
      <c r="L244" s="45" t="n"/>
      <c r="M244" s="45" t="n"/>
      <c r="N244" s="49" t="n"/>
      <c r="P244" s="182" t="n">
        <f aca="false" ca="false" dt2D="false" dtr="false" t="normal">MID(H237, 8, 1)</f>
        <v>0</v>
      </c>
      <c r="Q244" s="183" t="n">
        <f aca="false" ca="false" dt2D="false" dtr="false" t="normal">P244</f>
        <v>0</v>
      </c>
      <c r="R244" s="184" t="s">
        <v>208</v>
      </c>
      <c r="S244" s="185" t="s">
        <v>196</v>
      </c>
      <c r="T244" s="182" t="n">
        <f aca="false" ca="false" dt2D="false" dtr="false" t="normal">MID(I237, 8, 1)</f>
        <v>0</v>
      </c>
      <c r="U244" s="183" t="n">
        <f aca="false" ca="false" dt2D="false" dtr="false" t="normal">T244</f>
        <v>0</v>
      </c>
      <c r="V244" s="184" t="s">
        <v>208</v>
      </c>
      <c r="W244" s="185" t="s">
        <v>196</v>
      </c>
      <c r="X244" s="182" t="n">
        <f aca="false" ca="false" dt2D="false" dtr="false" t="normal">MID(J237, 8, 1)</f>
        <v>0</v>
      </c>
      <c r="Y244" s="183" t="n">
        <f aca="false" ca="false" dt2D="false" dtr="false" t="normal">X244</f>
        <v>0</v>
      </c>
      <c r="Z244" s="184" t="s">
        <v>208</v>
      </c>
      <c r="AA244" s="185" t="s">
        <v>196</v>
      </c>
      <c r="AB244" s="182" t="n">
        <f aca="false" ca="false" dt2D="false" dtr="false" t="normal">MID(K237, 8, 1)</f>
        <v>0</v>
      </c>
      <c r="AC244" s="183" t="n">
        <f aca="false" ca="false" dt2D="false" dtr="false" t="normal">AB244</f>
        <v>0</v>
      </c>
      <c r="AD244" s="184" t="s">
        <v>208</v>
      </c>
      <c r="AE244" s="185" t="s">
        <v>196</v>
      </c>
      <c r="AF244" s="182" t="n">
        <f aca="false" ca="false" dt2D="false" dtr="false" t="normal">MID(L237, 8, 1)</f>
        <v>0</v>
      </c>
      <c r="AG244" s="183" t="n">
        <f aca="false" ca="false" dt2D="false" dtr="false" t="normal">AF244</f>
        <v>0</v>
      </c>
      <c r="AH244" s="184" t="s">
        <v>208</v>
      </c>
      <c r="AI244" s="185" t="s">
        <v>196</v>
      </c>
      <c r="AJ244" s="8819" t="s"/>
      <c r="AK244" s="8820" t="s"/>
    </row>
    <row hidden="false" ht="15.75" outlineLevel="0" r="245">
      <c r="C245" s="93" t="n"/>
      <c r="D245" s="7585" t="n"/>
      <c r="E245" s="7585" t="n"/>
      <c r="F245" s="7585" t="n"/>
      <c r="G245" s="7585" t="n"/>
      <c r="H245" s="94" t="n"/>
      <c r="I245" s="94" t="n"/>
      <c r="J245" s="94" t="n"/>
      <c r="K245" s="94" t="n"/>
      <c r="L245" s="94" t="n"/>
      <c r="M245" s="94" t="s">
        <v>161</v>
      </c>
      <c r="N245" s="60" t="n"/>
      <c r="P245" s="95" t="str">
        <f aca="false" ca="false" dt2D="false" dtr="false" t="normal">RIGHT(D247, 1)&amp;E247&amp;"-"&amp;F247&amp;"-"&amp;G247</f>
        <v>7A5-01-23</v>
      </c>
      <c r="Q245" s="8821" t="s"/>
      <c r="R245" s="234" t="s">
        <v>4112</v>
      </c>
      <c r="S245" s="8822" t="s"/>
      <c r="T245" s="8823" t="s"/>
      <c r="U245" s="8824" t="s"/>
      <c r="V245" s="8825" t="s"/>
      <c r="W245" s="8826" t="s"/>
      <c r="X245" s="8827" t="s"/>
      <c r="Y245" s="8828" t="s"/>
      <c r="Z245" s="8829" t="s"/>
      <c r="AA245" s="8830" t="s"/>
      <c r="AB245" s="8831" t="s"/>
      <c r="AC245" s="8832" t="s"/>
      <c r="AD245" s="8833" t="s"/>
      <c r="AE245" s="8834" t="s"/>
      <c r="AF245" s="8835" t="s"/>
      <c r="AG245" s="8836" t="s"/>
      <c r="AH245" s="8837" t="s"/>
      <c r="AI245" s="8838" t="s"/>
      <c r="AJ245" s="8839" t="s"/>
      <c r="AK245" s="8840" t="s"/>
    </row>
    <row hidden="false" ht="15.75" outlineLevel="0" r="246">
      <c r="C246" s="98" t="n"/>
      <c r="D246" s="7606" t="s">
        <v>4113</v>
      </c>
      <c r="E246" s="8841" t="s"/>
      <c r="F246" s="8842" t="s"/>
      <c r="G246" s="8843" t="s"/>
      <c r="H246" s="53" t="s">
        <v>165</v>
      </c>
      <c r="I246" s="53" t="s">
        <v>166</v>
      </c>
      <c r="J246" s="53" t="s">
        <v>167</v>
      </c>
      <c r="K246" s="53" t="s">
        <v>168</v>
      </c>
      <c r="L246" s="53" t="s">
        <v>169</v>
      </c>
      <c r="M246" s="53" t="s">
        <v>221</v>
      </c>
      <c r="N246" s="63" t="n"/>
      <c r="P246" s="103" t="s">
        <v>4114</v>
      </c>
      <c r="Q246" s="8844" t="s"/>
      <c r="R246" s="8845" t="s"/>
      <c r="S246" s="8846" t="s"/>
      <c r="T246" s="103" t="s">
        <v>4115</v>
      </c>
      <c r="U246" s="8847" t="s"/>
      <c r="V246" s="8848" t="s"/>
      <c r="W246" s="8849" t="s"/>
      <c r="X246" s="103" t="s">
        <v>4116</v>
      </c>
      <c r="Y246" s="8850" t="s"/>
      <c r="Z246" s="8851" t="s"/>
      <c r="AA246" s="8852" t="s"/>
      <c r="AB246" s="103" t="s">
        <v>4117</v>
      </c>
      <c r="AC246" s="8853" t="s"/>
      <c r="AD246" s="8854" t="s"/>
      <c r="AE246" s="8855" t="s"/>
      <c r="AF246" s="103" t="s">
        <v>4118</v>
      </c>
      <c r="AG246" s="8856" t="s"/>
      <c r="AH246" s="8857" t="s"/>
      <c r="AI246" s="8858" t="s"/>
      <c r="AJ246" s="103" t="s">
        <v>4119</v>
      </c>
      <c r="AK246" s="8859" t="s"/>
    </row>
    <row hidden="false" ht="15.75" outlineLevel="0" r="247">
      <c r="C247" s="98" t="s">
        <v>176</v>
      </c>
      <c r="D247" s="122" t="s">
        <v>177</v>
      </c>
      <c r="E247" s="123" t="s">
        <v>3892</v>
      </c>
      <c r="F247" s="123" t="s">
        <v>179</v>
      </c>
      <c r="G247" s="124" t="s">
        <v>1564</v>
      </c>
      <c r="H247" s="273" t="n">
        <f aca="false" ca="false" dt2D="false" dtr="false" t="normal">MID($A$26, 8, 2)</f>
        <v>0</v>
      </c>
      <c r="I247" s="7626" t="n">
        <f aca="false" ca="false" dt2D="false" dtr="false" t="normal">MID($A$26, 10, 2)</f>
        <v>0</v>
      </c>
      <c r="J247" s="7626" t="n">
        <f aca="false" ca="false" dt2D="false" dtr="false" t="normal">MID($A$26, 12, 2)</f>
        <v>0</v>
      </c>
      <c r="K247" s="7626" t="n">
        <f aca="false" ca="false" dt2D="false" dtr="false" t="normal">MID($A$26, 14, 2)</f>
        <v>0</v>
      </c>
      <c r="L247" s="7627" t="n">
        <f aca="false" ca="false" dt2D="false" dtr="false" t="normal">MID($A$26, 16, 2)</f>
        <v>0</v>
      </c>
      <c r="M247" s="7553" t="str">
        <f aca="false" ca="false" dt2D="false" dtr="false" t="normal">MID($A$26, 18, 2)</f>
        <v>D0</v>
      </c>
      <c r="N247" s="63" t="s">
        <v>180</v>
      </c>
      <c r="P247" s="129" t="s">
        <v>180</v>
      </c>
      <c r="Q247" s="130" t="s">
        <v>181</v>
      </c>
      <c r="R247" s="121" t="s">
        <v>182</v>
      </c>
      <c r="S247" s="131" t="n"/>
      <c r="T247" s="129" t="s">
        <v>180</v>
      </c>
      <c r="U247" s="130" t="s">
        <v>181</v>
      </c>
      <c r="V247" s="121" t="s">
        <v>182</v>
      </c>
      <c r="W247" s="131" t="n"/>
      <c r="X247" s="129" t="s">
        <v>180</v>
      </c>
      <c r="Y247" s="130" t="s">
        <v>181</v>
      </c>
      <c r="Z247" s="121" t="s">
        <v>182</v>
      </c>
      <c r="AA247" s="131" t="n"/>
      <c r="AB247" s="129" t="s">
        <v>180</v>
      </c>
      <c r="AC247" s="130" t="s">
        <v>181</v>
      </c>
      <c r="AD247" s="121" t="s">
        <v>182</v>
      </c>
      <c r="AE247" s="131" t="n"/>
      <c r="AF247" s="129" t="s">
        <v>180</v>
      </c>
      <c r="AG247" s="130" t="s">
        <v>181</v>
      </c>
      <c r="AH247" s="121" t="s">
        <v>182</v>
      </c>
      <c r="AI247" s="121" t="n"/>
      <c r="AJ247" s="116" t="s">
        <v>183</v>
      </c>
      <c r="AK247" s="8860" t="s"/>
    </row>
    <row hidden="false" ht="15" outlineLevel="0" r="248">
      <c r="C248" s="98" t="s">
        <v>185</v>
      </c>
      <c r="D248" s="149" t="n">
        <f aca="false" ca="false" dt2D="false" dtr="false" t="normal">HEX2BIN(D247, 8)</f>
        <v>111</v>
      </c>
      <c r="E248" s="149" t="n">
        <f aca="false" ca="false" dt2D="false" dtr="false" t="normal">HEX2BIN(E247, 8)</f>
        <v>10100101</v>
      </c>
      <c r="F248" s="149" t="n">
        <f aca="false" ca="false" dt2D="false" dtr="false" t="normal">HEX2BIN(F247, 8)</f>
        <v>1</v>
      </c>
      <c r="G248" s="149" t="n">
        <f aca="false" ca="false" dt2D="false" dtr="false" t="normal">HEX2BIN(G247, 8)</f>
        <v>100011</v>
      </c>
      <c r="H248" s="53" t="n">
        <f aca="false" ca="false" dt2D="false" dtr="false" t="normal">HEX2BIN(H247, 8)</f>
        <v>0</v>
      </c>
      <c r="I248" s="53" t="n">
        <f aca="false" ca="false" dt2D="false" dtr="false" t="normal">HEX2BIN(I247, 8)</f>
        <v>0</v>
      </c>
      <c r="J248" s="53" t="n">
        <f aca="false" ca="false" dt2D="false" dtr="false" t="normal">HEX2BIN(J247, 8)</f>
        <v>0</v>
      </c>
      <c r="K248" s="53" t="n">
        <f aca="false" ca="false" dt2D="false" dtr="false" t="normal">HEX2BIN(K247, 8)</f>
        <v>0</v>
      </c>
      <c r="L248" s="53" t="n">
        <f aca="false" ca="false" dt2D="false" dtr="false" t="normal">HEX2BIN(L247, 8)</f>
        <v>0</v>
      </c>
      <c r="M248" s="53" t="n"/>
      <c r="N248" s="63" t="n"/>
      <c r="P248" s="136" t="n">
        <f aca="false" ca="false" dt2D="false" dtr="false" t="normal">MID(H248, 1, 1)</f>
        <v>0</v>
      </c>
      <c r="Q248" s="137" t="n">
        <f aca="false" ca="false" dt2D="false" dtr="false" t="normal">P248</f>
        <v>0</v>
      </c>
      <c r="R248" s="120" t="s">
        <v>186</v>
      </c>
      <c r="S248" s="131" t="s">
        <v>196</v>
      </c>
      <c r="T248" s="136" t="n">
        <f aca="false" ca="false" dt2D="false" dtr="false" t="normal">MID(I248, 1, 1)</f>
        <v>0</v>
      </c>
      <c r="U248" s="137" t="n">
        <f aca="false" ca="false" dt2D="false" dtr="false" t="normal">T248</f>
        <v>0</v>
      </c>
      <c r="V248" s="120" t="s">
        <v>186</v>
      </c>
      <c r="W248" s="131" t="s">
        <v>196</v>
      </c>
      <c r="X248" s="136" t="n">
        <f aca="false" ca="false" dt2D="false" dtr="false" t="normal">MID(J248, 1, 1)</f>
        <v>0</v>
      </c>
      <c r="Y248" s="137" t="n">
        <f aca="false" ca="false" dt2D="false" dtr="false" t="normal">X248</f>
        <v>0</v>
      </c>
      <c r="Z248" s="120" t="s">
        <v>186</v>
      </c>
      <c r="AA248" s="131" t="s">
        <v>196</v>
      </c>
      <c r="AB248" s="136" t="n">
        <f aca="false" ca="false" dt2D="false" dtr="false" t="normal">MID(K248, 1, 1)</f>
        <v>0</v>
      </c>
      <c r="AC248" s="137" t="n">
        <f aca="false" ca="false" dt2D="false" dtr="false" t="normal">AB248</f>
        <v>0</v>
      </c>
      <c r="AD248" s="120" t="s">
        <v>186</v>
      </c>
      <c r="AE248" s="131" t="s">
        <v>196</v>
      </c>
      <c r="AF248" s="136" t="n">
        <f aca="false" ca="false" dt2D="false" dtr="false" t="normal">MID(L248, 1, 1)</f>
        <v>0</v>
      </c>
      <c r="AG248" s="137" t="n">
        <f aca="false" ca="false" dt2D="false" dtr="false" t="normal">AF248</f>
        <v>0</v>
      </c>
      <c r="AH248" s="120" t="s">
        <v>186</v>
      </c>
      <c r="AI248" s="131" t="s">
        <v>196</v>
      </c>
      <c r="AJ248" s="8861" t="s"/>
      <c r="AK248" s="8862" t="s"/>
    </row>
    <row hidden="false" ht="15" outlineLevel="0" r="249">
      <c r="C249" s="98" t="s">
        <v>191</v>
      </c>
      <c r="D249" s="149" t="n">
        <f aca="false" ca="false" dt2D="false" dtr="false" t="normal">HEX2DEC(D247)</f>
        <v>7</v>
      </c>
      <c r="E249" s="149" t="n">
        <f aca="false" ca="false" dt2D="false" dtr="false" t="normal">HEX2DEC(E247)</f>
        <v>165</v>
      </c>
      <c r="F249" s="149" t="n">
        <f aca="false" ca="false" dt2D="false" dtr="false" t="normal">HEX2DEC(F247)</f>
        <v>1</v>
      </c>
      <c r="G249" s="149" t="n">
        <f aca="false" ca="false" dt2D="false" dtr="false" t="normal">HEX2DEC(G247)</f>
        <v>35</v>
      </c>
      <c r="H249" s="53" t="n">
        <f aca="false" ca="false" dt2D="false" dtr="false" t="normal">HEX2DEC(H247)</f>
        <v>0</v>
      </c>
      <c r="I249" s="53" t="n">
        <f aca="false" ca="false" dt2D="false" dtr="false" t="normal">HEX2DEC(I247)</f>
        <v>0</v>
      </c>
      <c r="J249" s="53" t="n">
        <f aca="false" ca="false" dt2D="false" dtr="false" t="normal">HEX2DEC(J247)</f>
        <v>0</v>
      </c>
      <c r="K249" s="53" t="n">
        <f aca="false" ca="false" dt2D="false" dtr="false" t="normal">HEX2DEC(K247)</f>
        <v>0</v>
      </c>
      <c r="L249" s="53" t="n">
        <f aca="false" ca="false" dt2D="false" dtr="false" t="normal">HEX2DEC(L247)</f>
        <v>0</v>
      </c>
      <c r="M249" s="53" t="n">
        <f aca="false" ca="false" dt2D="false" dtr="false" t="normal">SUM(D249:L249)</f>
        <v>208</v>
      </c>
      <c r="N249" s="63" t="n"/>
      <c r="P249" s="136" t="n">
        <f aca="false" ca="false" dt2D="false" dtr="false" t="normal">MID(H248, 2, 1)</f>
        <v>0</v>
      </c>
      <c r="Q249" s="137" t="n">
        <f aca="false" ca="false" dt2D="false" dtr="false" t="normal">P249</f>
        <v>0</v>
      </c>
      <c r="R249" s="120" t="s">
        <v>192</v>
      </c>
      <c r="S249" s="131" t="s">
        <v>196</v>
      </c>
      <c r="T249" s="136" t="n">
        <f aca="false" ca="false" dt2D="false" dtr="false" t="normal">MID(I248, 2, 1)</f>
        <v>0</v>
      </c>
      <c r="U249" s="137" t="n">
        <f aca="false" ca="false" dt2D="false" dtr="false" t="normal">T249</f>
        <v>0</v>
      </c>
      <c r="V249" s="120" t="s">
        <v>192</v>
      </c>
      <c r="W249" s="131" t="s">
        <v>196</v>
      </c>
      <c r="X249" s="136" t="n">
        <f aca="false" ca="false" dt2D="false" dtr="false" t="normal">MID(J248, 2, 1)</f>
        <v>0</v>
      </c>
      <c r="Y249" s="137" t="n">
        <f aca="false" ca="false" dt2D="false" dtr="false" t="normal">X249</f>
        <v>0</v>
      </c>
      <c r="Z249" s="120" t="s">
        <v>192</v>
      </c>
      <c r="AA249" s="131" t="s">
        <v>196</v>
      </c>
      <c r="AB249" s="136" t="n">
        <f aca="false" ca="false" dt2D="false" dtr="false" t="normal">MID(K248, 2, 1)</f>
        <v>0</v>
      </c>
      <c r="AC249" s="137" t="n">
        <f aca="false" ca="false" dt2D="false" dtr="false" t="normal">AB249</f>
        <v>0</v>
      </c>
      <c r="AD249" s="120" t="s">
        <v>192</v>
      </c>
      <c r="AE249" s="131" t="s">
        <v>196</v>
      </c>
      <c r="AF249" s="136" t="n">
        <f aca="false" ca="false" dt2D="false" dtr="false" t="normal">MID(L248, 2, 1)</f>
        <v>0</v>
      </c>
      <c r="AG249" s="137" t="n">
        <f aca="false" ca="false" dt2D="false" dtr="false" t="normal">AF249</f>
        <v>0</v>
      </c>
      <c r="AH249" s="120" t="s">
        <v>192</v>
      </c>
      <c r="AI249" s="131" t="s">
        <v>196</v>
      </c>
      <c r="AJ249" s="8863" t="s"/>
      <c r="AK249" s="8864" t="s"/>
    </row>
    <row hidden="false" ht="15" outlineLevel="0" r="250">
      <c r="C250" s="98" t="s">
        <v>194</v>
      </c>
      <c r="D250" s="149" t="n">
        <f aca="false" ca="false" dt2D="false" dtr="false" t="normal">D247</f>
        <v>7</v>
      </c>
      <c r="E250" s="149" t="str">
        <f aca="false" ca="false" dt2D="false" dtr="false" t="normal">E247</f>
        <v>A5</v>
      </c>
      <c r="F250" s="149" t="str">
        <f aca="false" ca="false" dt2D="false" dtr="false" t="normal">MID($A$26, 4, 2)</f>
        <v>G1</v>
      </c>
      <c r="G250" s="149" t="str">
        <f aca="false" ca="false" dt2D="false" dtr="false" t="normal">MID($A$26, 6, 2)</f>
        <v>H7</v>
      </c>
      <c r="N250" s="63" t="n"/>
      <c r="P250" s="136" t="n">
        <f aca="false" ca="false" dt2D="false" dtr="false" t="normal">MID(H248, 3, 1)</f>
        <v>0</v>
      </c>
      <c r="Q250" s="137" t="n">
        <f aca="false" ca="false" dt2D="false" dtr="false" t="normal">P250</f>
        <v>0</v>
      </c>
      <c r="R250" s="120" t="s">
        <v>195</v>
      </c>
      <c r="S250" s="131" t="s">
        <v>196</v>
      </c>
      <c r="T250" s="136" t="n">
        <f aca="false" ca="false" dt2D="false" dtr="false" t="normal">MID(I248, 3, 1)</f>
        <v>0</v>
      </c>
      <c r="U250" s="137" t="n">
        <f aca="false" ca="false" dt2D="false" dtr="false" t="normal">T250</f>
        <v>0</v>
      </c>
      <c r="V250" s="120" t="s">
        <v>195</v>
      </c>
      <c r="W250" s="131" t="s">
        <v>196</v>
      </c>
      <c r="X250" s="136" t="n">
        <f aca="false" ca="false" dt2D="false" dtr="false" t="normal">MID(J248, 3, 1)</f>
        <v>0</v>
      </c>
      <c r="Y250" s="137" t="n">
        <f aca="false" ca="false" dt2D="false" dtr="false" t="normal">X250</f>
        <v>0</v>
      </c>
      <c r="Z250" s="120" t="s">
        <v>195</v>
      </c>
      <c r="AA250" s="131" t="s">
        <v>196</v>
      </c>
      <c r="AB250" s="136" t="n">
        <f aca="false" ca="false" dt2D="false" dtr="false" t="normal">MID(K248, 3, 1)</f>
        <v>0</v>
      </c>
      <c r="AC250" s="137" t="n">
        <f aca="false" ca="false" dt2D="false" dtr="false" t="normal">AB250</f>
        <v>0</v>
      </c>
      <c r="AD250" s="120" t="s">
        <v>195</v>
      </c>
      <c r="AE250" s="131" t="s">
        <v>196</v>
      </c>
      <c r="AF250" s="136" t="n">
        <f aca="false" ca="false" dt2D="false" dtr="false" t="normal">MID(L248, 3, 1)</f>
        <v>0</v>
      </c>
      <c r="AG250" s="137" t="n">
        <f aca="false" ca="false" dt2D="false" dtr="false" t="normal">AF250</f>
        <v>0</v>
      </c>
      <c r="AH250" s="120" t="s">
        <v>195</v>
      </c>
      <c r="AI250" s="131" t="s">
        <v>196</v>
      </c>
      <c r="AJ250" s="8865" t="s"/>
      <c r="AK250" s="8866" t="s"/>
    </row>
    <row hidden="false" ht="15.75" outlineLevel="0" r="251">
      <c r="C251" s="98" t="n"/>
      <c r="N251" s="63" t="n"/>
      <c r="P251" s="136" t="n">
        <f aca="false" ca="false" dt2D="false" dtr="false" t="normal">MID(H248, 4, 1)</f>
        <v>0</v>
      </c>
      <c r="Q251" s="137" t="n">
        <f aca="false" ca="false" dt2D="false" dtr="false" t="normal">P251</f>
        <v>0</v>
      </c>
      <c r="R251" s="120" t="s">
        <v>197</v>
      </c>
      <c r="S251" s="131" t="s">
        <v>196</v>
      </c>
      <c r="T251" s="136" t="n">
        <f aca="false" ca="false" dt2D="false" dtr="false" t="normal">MID(I248, 4, 1)</f>
        <v>0</v>
      </c>
      <c r="U251" s="137" t="n">
        <f aca="false" ca="false" dt2D="false" dtr="false" t="normal">T251</f>
        <v>0</v>
      </c>
      <c r="V251" s="120" t="s">
        <v>197</v>
      </c>
      <c r="W251" s="131" t="s">
        <v>196</v>
      </c>
      <c r="X251" s="136" t="n">
        <f aca="false" ca="false" dt2D="false" dtr="false" t="normal">MID(J248, 4, 1)</f>
        <v>0</v>
      </c>
      <c r="Y251" s="137" t="n">
        <f aca="false" ca="false" dt2D="false" dtr="false" t="normal">X251</f>
        <v>0</v>
      </c>
      <c r="Z251" s="120" t="s">
        <v>197</v>
      </c>
      <c r="AA251" s="131" t="s">
        <v>196</v>
      </c>
      <c r="AB251" s="136" t="n">
        <f aca="false" ca="false" dt2D="false" dtr="false" t="normal">MID(K248, 4, 1)</f>
        <v>0</v>
      </c>
      <c r="AC251" s="137" t="n">
        <f aca="false" ca="false" dt2D="false" dtr="false" t="normal">AB251</f>
        <v>0</v>
      </c>
      <c r="AD251" s="120" t="s">
        <v>197</v>
      </c>
      <c r="AE251" s="131" t="s">
        <v>196</v>
      </c>
      <c r="AF251" s="136" t="n">
        <f aca="false" ca="false" dt2D="false" dtr="false" t="normal">MID(L248, 4, 1)</f>
        <v>0</v>
      </c>
      <c r="AG251" s="137" t="n">
        <f aca="false" ca="false" dt2D="false" dtr="false" t="normal">AF251</f>
        <v>0</v>
      </c>
      <c r="AH251" s="120" t="s">
        <v>197</v>
      </c>
      <c r="AI251" s="131" t="s">
        <v>196</v>
      </c>
      <c r="AJ251" s="8867" t="s"/>
      <c r="AK251" s="8868" t="s"/>
    </row>
    <row hidden="false" ht="15.75" outlineLevel="0" r="252">
      <c r="C252" s="98" t="s">
        <v>176</v>
      </c>
      <c r="D252" s="122" t="n">
        <f aca="false" ca="false" dt2D="false" dtr="false" t="normal">D247</f>
        <v>7</v>
      </c>
      <c r="E252" s="123" t="str">
        <f aca="false" ca="false" dt2D="false" dtr="false" t="normal">E247</f>
        <v>A5</v>
      </c>
      <c r="F252" s="123" t="n">
        <f aca="false" ca="false" dt2D="false" dtr="false" t="normal">F247</f>
        <v>1</v>
      </c>
      <c r="G252" s="124" t="n">
        <f aca="false" ca="false" dt2D="false" dtr="false" t="normal">G247</f>
        <v>23</v>
      </c>
      <c r="H252" s="162" t="n">
        <f aca="false" ca="false" dt2D="false" dtr="false" t="normal">BIN2HEX(H253, 2)</f>
        <v>0</v>
      </c>
      <c r="I252" s="163" t="n">
        <f aca="false" ca="false" dt2D="false" dtr="false" t="normal">BIN2HEX(I253, 2)</f>
        <v>0</v>
      </c>
      <c r="J252" s="164" t="n">
        <f aca="false" ca="false" dt2D="false" dtr="false" t="normal">BIN2HEX(J253, 2)</f>
        <v>0</v>
      </c>
      <c r="K252" s="165" t="n">
        <f aca="false" ca="false" dt2D="false" dtr="false" t="normal">BIN2HEX(K253, 2)</f>
        <v>0</v>
      </c>
      <c r="L252" s="288" t="n">
        <f aca="false" ca="false" dt2D="false" dtr="false" t="normal">BIN2HEX(L253, 2)</f>
        <v>0</v>
      </c>
      <c r="M252" s="166" t="str">
        <f aca="false" ca="false" dt2D="false" dtr="false" t="normal">IF(LEN(M253)&gt;2, MID(M253, 2, 2), M253)</f>
        <v>D0</v>
      </c>
      <c r="N252" s="63" t="s">
        <v>181</v>
      </c>
      <c r="P252" s="136" t="n">
        <f aca="false" ca="false" dt2D="false" dtr="false" t="normal">MID(H248, 5, 1)</f>
        <v>0</v>
      </c>
      <c r="Q252" s="137" t="n">
        <f aca="false" ca="false" dt2D="false" dtr="false" t="normal">P252</f>
        <v>0</v>
      </c>
      <c r="R252" s="120" t="s">
        <v>200</v>
      </c>
      <c r="S252" s="131" t="s">
        <v>196</v>
      </c>
      <c r="T252" s="136" t="n">
        <f aca="false" ca="false" dt2D="false" dtr="false" t="normal">MID(I248, 5, 1)</f>
        <v>0</v>
      </c>
      <c r="U252" s="137" t="n">
        <f aca="false" ca="false" dt2D="false" dtr="false" t="normal">T252</f>
        <v>0</v>
      </c>
      <c r="V252" s="120" t="s">
        <v>200</v>
      </c>
      <c r="W252" s="131" t="s">
        <v>196</v>
      </c>
      <c r="X252" s="136" t="n">
        <f aca="false" ca="false" dt2D="false" dtr="false" t="normal">MID(J248, 5, 1)</f>
        <v>0</v>
      </c>
      <c r="Y252" s="137" t="n">
        <f aca="false" ca="false" dt2D="false" dtr="false" t="normal">X252</f>
        <v>0</v>
      </c>
      <c r="Z252" s="120" t="s">
        <v>200</v>
      </c>
      <c r="AA252" s="131" t="s">
        <v>196</v>
      </c>
      <c r="AB252" s="136" t="n">
        <f aca="false" ca="false" dt2D="false" dtr="false" t="normal">MID(K248, 5, 1)</f>
        <v>0</v>
      </c>
      <c r="AC252" s="137" t="n">
        <f aca="false" ca="false" dt2D="false" dtr="false" t="normal">AB252</f>
        <v>0</v>
      </c>
      <c r="AD252" s="120" t="s">
        <v>200</v>
      </c>
      <c r="AE252" s="131" t="s">
        <v>196</v>
      </c>
      <c r="AF252" s="136" t="n">
        <f aca="false" ca="false" dt2D="false" dtr="false" t="normal">MID(L248, 5, 1)</f>
        <v>0</v>
      </c>
      <c r="AG252" s="137" t="n">
        <f aca="false" ca="false" dt2D="false" dtr="false" t="normal">AF252</f>
        <v>0</v>
      </c>
      <c r="AH252" s="120" t="s">
        <v>200</v>
      </c>
      <c r="AI252" s="131" t="s">
        <v>196</v>
      </c>
      <c r="AJ252" s="8869" t="s"/>
      <c r="AK252" s="8870" t="s"/>
    </row>
    <row hidden="false" ht="15" outlineLevel="0" r="253">
      <c r="C253" s="98" t="s">
        <v>185</v>
      </c>
      <c r="D253" s="149" t="n">
        <f aca="false" ca="false" dt2D="false" dtr="false" t="normal">HEX2BIN(D252, 8)</f>
        <v>111</v>
      </c>
      <c r="E253" s="149" t="n">
        <f aca="false" ca="false" dt2D="false" dtr="false" t="normal">HEX2BIN(E252, 8)</f>
        <v>10100101</v>
      </c>
      <c r="F253" s="149" t="n">
        <f aca="false" ca="false" dt2D="false" dtr="false" t="normal">HEX2BIN(F252, 8)</f>
        <v>1</v>
      </c>
      <c r="G253" s="149" t="n">
        <f aca="false" ca="false" dt2D="false" dtr="false" t="normal">HEX2BIN(G252, 8)</f>
        <v>100011</v>
      </c>
      <c r="H253" s="53" t="n">
        <f aca="false" ca="false" dt2D="false" dtr="false" t="normal">Q248&amp;Q249&amp;Q250&amp;Q251&amp;Q252&amp;Q253&amp;Q254&amp;Q255</f>
        <v>0</v>
      </c>
      <c r="I253" s="53" t="n">
        <f aca="false" ca="false" dt2D="false" dtr="false" t="normal">U248&amp;U249&amp;U250&amp;U251&amp;U252&amp;U253&amp;U254&amp;U255</f>
        <v>0</v>
      </c>
      <c r="J253" s="53" t="n">
        <f aca="false" ca="false" dt2D="false" dtr="false" t="normal">Y248&amp;Y249&amp;Y250&amp;Y251&amp;Y252&amp;Y253&amp;Y254&amp;Y255</f>
        <v>0</v>
      </c>
      <c r="K253" s="53" t="n">
        <f aca="false" ca="false" dt2D="false" dtr="false" t="normal">AC248&amp;AC249&amp;AC250&amp;AC251&amp;AC252&amp;AC253&amp;AC254&amp;AC255</f>
        <v>0</v>
      </c>
      <c r="L253" s="53" t="n">
        <f aca="false" ca="false" dt2D="false" dtr="false" t="normal">AG248&amp;AG249&amp;AG250&amp;AG251&amp;AG252&amp;AG253&amp;AG254&amp;AG255</f>
        <v>0</v>
      </c>
      <c r="M253" s="53" t="str">
        <f aca="false" ca="false" dt2D="false" dtr="false" t="normal">DEC2HEX(M254)</f>
        <v>D0</v>
      </c>
      <c r="N253" s="63" t="n"/>
      <c r="P253" s="136" t="n">
        <f aca="false" ca="false" dt2D="false" dtr="false" t="normal">MID(H248, 6, 1)</f>
        <v>0</v>
      </c>
      <c r="Q253" s="137" t="n">
        <f aca="false" ca="false" dt2D="false" dtr="false" t="normal">P253</f>
        <v>0</v>
      </c>
      <c r="R253" s="120" t="s">
        <v>203</v>
      </c>
      <c r="S253" s="131" t="s">
        <v>196</v>
      </c>
      <c r="T253" s="136" t="n">
        <f aca="false" ca="false" dt2D="false" dtr="false" t="normal">MID(I248, 6, 1)</f>
        <v>0</v>
      </c>
      <c r="U253" s="137" t="n">
        <f aca="false" ca="false" dt2D="false" dtr="false" t="normal">T253</f>
        <v>0</v>
      </c>
      <c r="V253" s="120" t="s">
        <v>203</v>
      </c>
      <c r="W253" s="131" t="s">
        <v>196</v>
      </c>
      <c r="X253" s="136" t="n">
        <f aca="false" ca="false" dt2D="false" dtr="false" t="normal">MID(J248, 6, 1)</f>
        <v>0</v>
      </c>
      <c r="Y253" s="137" t="n">
        <f aca="false" ca="false" dt2D="false" dtr="false" t="normal">X253</f>
        <v>0</v>
      </c>
      <c r="Z253" s="120" t="s">
        <v>203</v>
      </c>
      <c r="AA253" s="131" t="s">
        <v>196</v>
      </c>
      <c r="AB253" s="136" t="n">
        <f aca="false" ca="false" dt2D="false" dtr="false" t="normal">MID(K248, 6, 1)</f>
        <v>0</v>
      </c>
      <c r="AC253" s="137" t="n">
        <f aca="false" ca="false" dt2D="false" dtr="false" t="normal">AB253</f>
        <v>0</v>
      </c>
      <c r="AD253" s="120" t="s">
        <v>203</v>
      </c>
      <c r="AE253" s="131" t="s">
        <v>196</v>
      </c>
      <c r="AF253" s="136" t="n">
        <f aca="false" ca="false" dt2D="false" dtr="false" t="normal">MID(L248, 6, 1)</f>
        <v>0</v>
      </c>
      <c r="AG253" s="137" t="n">
        <f aca="false" ca="false" dt2D="false" dtr="false" t="normal">AF253</f>
        <v>0</v>
      </c>
      <c r="AH253" s="120" t="s">
        <v>203</v>
      </c>
      <c r="AI253" s="131" t="s">
        <v>196</v>
      </c>
      <c r="AJ253" s="8871" t="s"/>
      <c r="AK253" s="8872" t="s"/>
    </row>
    <row hidden="false" ht="15" outlineLevel="0" r="254">
      <c r="C254" s="98" t="s">
        <v>191</v>
      </c>
      <c r="D254" s="149" t="n">
        <f aca="false" ca="false" dt2D="false" dtr="false" t="normal">HEX2DEC(D252)</f>
        <v>7</v>
      </c>
      <c r="E254" s="149" t="n">
        <f aca="false" ca="false" dt2D="false" dtr="false" t="normal">HEX2DEC(E252)</f>
        <v>165</v>
      </c>
      <c r="F254" s="149" t="n">
        <f aca="false" ca="false" dt2D="false" dtr="false" t="normal">HEX2DEC(F252)</f>
        <v>1</v>
      </c>
      <c r="G254" s="149" t="n">
        <f aca="false" ca="false" dt2D="false" dtr="false" t="normal">HEX2DEC(G252)</f>
        <v>35</v>
      </c>
      <c r="H254" s="53" t="n">
        <f aca="false" ca="false" dt2D="false" dtr="false" t="normal">HEX2DEC(H252)</f>
        <v>0</v>
      </c>
      <c r="I254" s="53" t="n">
        <f aca="false" ca="false" dt2D="false" dtr="false" t="normal">HEX2DEC(I252)</f>
        <v>0</v>
      </c>
      <c r="J254" s="53" t="n">
        <f aca="false" ca="false" dt2D="false" dtr="false" t="normal">HEX2DEC(J252)</f>
        <v>0</v>
      </c>
      <c r="K254" s="53" t="n">
        <f aca="false" ca="false" dt2D="false" dtr="false" t="normal">HEX2DEC(K252)</f>
        <v>0</v>
      </c>
      <c r="L254" s="53" t="n">
        <f aca="false" ca="false" dt2D="false" dtr="false" t="normal">HEX2DEC(L252)</f>
        <v>0</v>
      </c>
      <c r="M254" s="53" t="n">
        <f aca="false" ca="false" dt2D="false" dtr="false" t="normal">SUM(D254:L254)</f>
        <v>208</v>
      </c>
      <c r="N254" s="63" t="n"/>
      <c r="P254" s="136" t="n">
        <f aca="false" ca="false" dt2D="false" dtr="false" t="normal">MID(H248, 7, 1)</f>
        <v>0</v>
      </c>
      <c r="Q254" s="137" t="n">
        <f aca="false" ca="false" dt2D="false" dtr="false" t="normal">P254</f>
        <v>0</v>
      </c>
      <c r="R254" s="120" t="s">
        <v>206</v>
      </c>
      <c r="S254" s="131" t="s">
        <v>196</v>
      </c>
      <c r="T254" s="136" t="n">
        <f aca="false" ca="false" dt2D="false" dtr="false" t="normal">MID(I248, 7, 1)</f>
        <v>0</v>
      </c>
      <c r="U254" s="137" t="n">
        <f aca="false" ca="false" dt2D="false" dtr="false" t="normal">T254</f>
        <v>0</v>
      </c>
      <c r="V254" s="120" t="s">
        <v>206</v>
      </c>
      <c r="W254" s="131" t="s">
        <v>196</v>
      </c>
      <c r="X254" s="136" t="n">
        <f aca="false" ca="false" dt2D="false" dtr="false" t="normal">MID(J248, 7, 1)</f>
        <v>0</v>
      </c>
      <c r="Y254" s="137" t="n">
        <f aca="false" ca="false" dt2D="false" dtr="false" t="normal">X254</f>
        <v>0</v>
      </c>
      <c r="Z254" s="120" t="s">
        <v>206</v>
      </c>
      <c r="AA254" s="131" t="s">
        <v>196</v>
      </c>
      <c r="AB254" s="136" t="n">
        <f aca="false" ca="false" dt2D="false" dtr="false" t="normal">MID(K248, 7, 1)</f>
        <v>0</v>
      </c>
      <c r="AC254" s="137" t="n">
        <f aca="false" ca="false" dt2D="false" dtr="false" t="normal">AB254</f>
        <v>0</v>
      </c>
      <c r="AD254" s="120" t="s">
        <v>206</v>
      </c>
      <c r="AE254" s="131" t="s">
        <v>196</v>
      </c>
      <c r="AF254" s="136" t="n">
        <f aca="false" ca="false" dt2D="false" dtr="false" t="normal">MID(L248, 7, 1)</f>
        <v>0</v>
      </c>
      <c r="AG254" s="137" t="n">
        <f aca="false" ca="false" dt2D="false" dtr="false" t="normal">AF254</f>
        <v>0</v>
      </c>
      <c r="AH254" s="120" t="s">
        <v>206</v>
      </c>
      <c r="AI254" s="131" t="s">
        <v>196</v>
      </c>
      <c r="AJ254" s="8873" t="s"/>
      <c r="AK254" s="8874" t="s"/>
    </row>
    <row hidden="false" ht="15.75" outlineLevel="0" r="255">
      <c r="C255" s="180" t="s">
        <v>194</v>
      </c>
      <c r="D255" s="181" t="n">
        <f aca="false" ca="false" dt2D="false" dtr="false" t="normal">D250</f>
        <v>7</v>
      </c>
      <c r="E255" s="181" t="str">
        <f aca="false" ca="false" dt2D="false" dtr="false" t="normal">E250</f>
        <v>A5</v>
      </c>
      <c r="F255" s="181" t="str">
        <f aca="false" ca="false" dt2D="false" dtr="false" t="normal">F250</f>
        <v>G1</v>
      </c>
      <c r="G255" s="181" t="str">
        <f aca="false" ca="false" dt2D="false" dtr="false" t="normal">G250</f>
        <v>H7</v>
      </c>
      <c r="H255" s="45" t="n"/>
      <c r="I255" s="45" t="n"/>
      <c r="J255" s="45" t="n"/>
      <c r="K255" s="45" t="n"/>
      <c r="L255" s="45" t="n"/>
      <c r="M255" s="45" t="n"/>
      <c r="N255" s="49" t="n"/>
      <c r="P255" s="182" t="n">
        <f aca="false" ca="false" dt2D="false" dtr="false" t="normal">MID(H248, 8, 1)</f>
        <v>0</v>
      </c>
      <c r="Q255" s="183" t="n">
        <f aca="false" ca="false" dt2D="false" dtr="false" t="normal">P255</f>
        <v>0</v>
      </c>
      <c r="R255" s="184" t="s">
        <v>208</v>
      </c>
      <c r="S255" s="185" t="s">
        <v>196</v>
      </c>
      <c r="T255" s="182" t="n">
        <f aca="false" ca="false" dt2D="false" dtr="false" t="normal">MID(I248, 8, 1)</f>
        <v>0</v>
      </c>
      <c r="U255" s="183" t="n">
        <f aca="false" ca="false" dt2D="false" dtr="false" t="normal">T255</f>
        <v>0</v>
      </c>
      <c r="V255" s="184" t="s">
        <v>208</v>
      </c>
      <c r="W255" s="185" t="s">
        <v>196</v>
      </c>
      <c r="X255" s="182" t="n">
        <f aca="false" ca="false" dt2D="false" dtr="false" t="normal">MID(J248, 8, 1)</f>
        <v>0</v>
      </c>
      <c r="Y255" s="183" t="n">
        <f aca="false" ca="false" dt2D="false" dtr="false" t="normal">X255</f>
        <v>0</v>
      </c>
      <c r="Z255" s="184" t="s">
        <v>208</v>
      </c>
      <c r="AA255" s="185" t="s">
        <v>196</v>
      </c>
      <c r="AB255" s="182" t="n">
        <f aca="false" ca="false" dt2D="false" dtr="false" t="normal">MID(K248, 8, 1)</f>
        <v>0</v>
      </c>
      <c r="AC255" s="183" t="n">
        <f aca="false" ca="false" dt2D="false" dtr="false" t="normal">AB255</f>
        <v>0</v>
      </c>
      <c r="AD255" s="184" t="s">
        <v>208</v>
      </c>
      <c r="AE255" s="185" t="s">
        <v>196</v>
      </c>
      <c r="AF255" s="182" t="n">
        <f aca="false" ca="false" dt2D="false" dtr="false" t="normal">MID(L248, 8, 1)</f>
        <v>0</v>
      </c>
      <c r="AG255" s="183" t="n">
        <f aca="false" ca="false" dt2D="false" dtr="false" t="normal">AF255</f>
        <v>0</v>
      </c>
      <c r="AH255" s="184" t="s">
        <v>208</v>
      </c>
      <c r="AI255" s="185" t="s">
        <v>196</v>
      </c>
      <c r="AJ255" s="8875" t="s"/>
      <c r="AK255" s="8876" t="s"/>
    </row>
    <row hidden="false" ht="15.75" outlineLevel="0" r="256">
      <c r="C256" s="93" t="n"/>
      <c r="D256" s="7585" t="n"/>
      <c r="E256" s="7585" t="n"/>
      <c r="F256" s="7585" t="n"/>
      <c r="G256" s="7585" t="n"/>
      <c r="H256" s="94" t="n"/>
      <c r="I256" s="94" t="n"/>
      <c r="J256" s="94" t="n"/>
      <c r="K256" s="94" t="n"/>
      <c r="L256" s="94" t="n"/>
      <c r="M256" s="94" t="s">
        <v>161</v>
      </c>
      <c r="N256" s="60" t="n"/>
      <c r="P256" s="95" t="str">
        <f aca="false" ca="false" dt2D="false" dtr="false" t="normal">RIGHT(D258, 1)&amp;E258&amp;"-"&amp;F258&amp;"-"&amp;G258</f>
        <v>7A5-01-24</v>
      </c>
      <c r="Q256" s="8877" t="s"/>
      <c r="R256" s="234" t="s">
        <v>4120</v>
      </c>
      <c r="S256" s="8878" t="s"/>
      <c r="T256" s="8879" t="s"/>
      <c r="U256" s="8880" t="s"/>
      <c r="V256" s="8881" t="s"/>
      <c r="W256" s="8882" t="s"/>
      <c r="X256" s="8883" t="s"/>
      <c r="Y256" s="8884" t="s"/>
      <c r="Z256" s="8885" t="s"/>
      <c r="AA256" s="8886" t="s"/>
      <c r="AB256" s="8887" t="s"/>
      <c r="AC256" s="8888" t="s"/>
      <c r="AD256" s="8889" t="s"/>
      <c r="AE256" s="8890" t="s"/>
      <c r="AF256" s="8891" t="s"/>
      <c r="AG256" s="8892" t="s"/>
      <c r="AH256" s="8893" t="s"/>
      <c r="AI256" s="8894" t="s"/>
      <c r="AJ256" s="8895" t="s"/>
      <c r="AK256" s="8896" t="s"/>
    </row>
    <row hidden="false" ht="15.75" outlineLevel="0" r="257">
      <c r="C257" s="98" t="n"/>
      <c r="D257" s="7606" t="s">
        <v>4121</v>
      </c>
      <c r="E257" s="8897" t="s"/>
      <c r="F257" s="8898" t="s"/>
      <c r="G257" s="8899" t="s"/>
      <c r="H257" s="53" t="s">
        <v>165</v>
      </c>
      <c r="I257" s="53" t="s">
        <v>166</v>
      </c>
      <c r="J257" s="53" t="s">
        <v>167</v>
      </c>
      <c r="K257" s="53" t="s">
        <v>168</v>
      </c>
      <c r="L257" s="53" t="s">
        <v>169</v>
      </c>
      <c r="M257" s="53" t="s">
        <v>221</v>
      </c>
      <c r="N257" s="63" t="n"/>
      <c r="P257" s="103" t="s">
        <v>4122</v>
      </c>
      <c r="Q257" s="8900" t="s"/>
      <c r="R257" s="8901" t="s"/>
      <c r="S257" s="8902" t="s"/>
      <c r="T257" s="103" t="s">
        <v>4123</v>
      </c>
      <c r="U257" s="8903" t="s"/>
      <c r="V257" s="8904" t="s"/>
      <c r="W257" s="8905" t="s"/>
      <c r="X257" s="103" t="s">
        <v>4124</v>
      </c>
      <c r="Y257" s="8906" t="s"/>
      <c r="Z257" s="8907" t="s"/>
      <c r="AA257" s="8908" t="s"/>
      <c r="AB257" s="103" t="s">
        <v>4125</v>
      </c>
      <c r="AC257" s="8909" t="s"/>
      <c r="AD257" s="8910" t="s"/>
      <c r="AE257" s="8911" t="s"/>
      <c r="AF257" s="103" t="s">
        <v>4126</v>
      </c>
      <c r="AG257" s="8912" t="s"/>
      <c r="AH257" s="8913" t="s"/>
      <c r="AI257" s="8914" t="s"/>
      <c r="AJ257" s="103" t="s">
        <v>4127</v>
      </c>
      <c r="AK257" s="8915" t="s"/>
    </row>
    <row hidden="false" ht="15.75" outlineLevel="0" r="258">
      <c r="C258" s="98" t="s">
        <v>176</v>
      </c>
      <c r="D258" s="122" t="s">
        <v>177</v>
      </c>
      <c r="E258" s="123" t="s">
        <v>3892</v>
      </c>
      <c r="F258" s="123" t="s">
        <v>179</v>
      </c>
      <c r="G258" s="124" t="s">
        <v>1586</v>
      </c>
      <c r="H258" s="273" t="n">
        <f aca="false" ca="false" dt2D="false" dtr="false" t="normal">MID($A$27, 8, 2)</f>
        <v>0</v>
      </c>
      <c r="I258" s="7626" t="n">
        <f aca="false" ca="false" dt2D="false" dtr="false" t="normal">MID($A$27, 10, 2)</f>
        <v>0</v>
      </c>
      <c r="J258" s="7626" t="n">
        <f aca="false" ca="false" dt2D="false" dtr="false" t="normal">MID($A$27, 12, 2)</f>
        <v>0</v>
      </c>
      <c r="K258" s="7626" t="n">
        <f aca="false" ca="false" dt2D="false" dtr="false" t="normal">MID($A$27, 14, 2)</f>
        <v>0</v>
      </c>
      <c r="L258" s="7627" t="n">
        <f aca="false" ca="false" dt2D="false" dtr="false" t="normal">MID($A$27, 16, 2)</f>
        <v>0</v>
      </c>
      <c r="M258" s="7553" t="str">
        <f aca="false" ca="false" dt2D="false" dtr="false" t="normal">MID($A$27, 18, 2)</f>
        <v>D1</v>
      </c>
      <c r="N258" s="63" t="s">
        <v>180</v>
      </c>
      <c r="P258" s="129" t="s">
        <v>180</v>
      </c>
      <c r="Q258" s="130" t="s">
        <v>181</v>
      </c>
      <c r="R258" s="121" t="s">
        <v>182</v>
      </c>
      <c r="S258" s="131" t="n"/>
      <c r="T258" s="129" t="s">
        <v>180</v>
      </c>
      <c r="U258" s="130" t="s">
        <v>181</v>
      </c>
      <c r="V258" s="121" t="s">
        <v>182</v>
      </c>
      <c r="W258" s="131" t="n"/>
      <c r="X258" s="129" t="s">
        <v>180</v>
      </c>
      <c r="Y258" s="130" t="s">
        <v>181</v>
      </c>
      <c r="Z258" s="121" t="s">
        <v>182</v>
      </c>
      <c r="AA258" s="131" t="n"/>
      <c r="AB258" s="129" t="s">
        <v>180</v>
      </c>
      <c r="AC258" s="130" t="s">
        <v>181</v>
      </c>
      <c r="AD258" s="121" t="s">
        <v>182</v>
      </c>
      <c r="AE258" s="131" t="n"/>
      <c r="AF258" s="129" t="s">
        <v>180</v>
      </c>
      <c r="AG258" s="130" t="s">
        <v>181</v>
      </c>
      <c r="AH258" s="121" t="s">
        <v>182</v>
      </c>
      <c r="AI258" s="121" t="n"/>
      <c r="AJ258" s="116" t="s">
        <v>183</v>
      </c>
      <c r="AK258" s="8916" t="s"/>
    </row>
    <row hidden="false" ht="15" outlineLevel="0" r="259">
      <c r="C259" s="98" t="s">
        <v>185</v>
      </c>
      <c r="D259" s="149" t="n">
        <f aca="false" ca="false" dt2D="false" dtr="false" t="normal">HEX2BIN(D258, 8)</f>
        <v>111</v>
      </c>
      <c r="E259" s="149" t="n">
        <f aca="false" ca="false" dt2D="false" dtr="false" t="normal">HEX2BIN(E258, 8)</f>
        <v>10100101</v>
      </c>
      <c r="F259" s="149" t="n">
        <f aca="false" ca="false" dt2D="false" dtr="false" t="normal">HEX2BIN(F258, 8)</f>
        <v>1</v>
      </c>
      <c r="G259" s="149" t="n">
        <f aca="false" ca="false" dt2D="false" dtr="false" t="normal">HEX2BIN(G258, 8)</f>
        <v>100100</v>
      </c>
      <c r="H259" s="53" t="n">
        <f aca="false" ca="false" dt2D="false" dtr="false" t="normal">HEX2BIN(H258, 8)</f>
        <v>0</v>
      </c>
      <c r="I259" s="53" t="n">
        <f aca="false" ca="false" dt2D="false" dtr="false" t="normal">HEX2BIN(I258, 8)</f>
        <v>0</v>
      </c>
      <c r="J259" s="53" t="n">
        <f aca="false" ca="false" dt2D="false" dtr="false" t="normal">HEX2BIN(J258, 8)</f>
        <v>0</v>
      </c>
      <c r="K259" s="53" t="n">
        <f aca="false" ca="false" dt2D="false" dtr="false" t="normal">HEX2BIN(K258, 8)</f>
        <v>0</v>
      </c>
      <c r="L259" s="53" t="n">
        <f aca="false" ca="false" dt2D="false" dtr="false" t="normal">HEX2BIN(L258, 8)</f>
        <v>0</v>
      </c>
      <c r="M259" s="53" t="n"/>
      <c r="N259" s="63" t="n"/>
      <c r="P259" s="136" t="n">
        <f aca="false" ca="false" dt2D="false" dtr="false" t="normal">MID(H259, 1, 1)</f>
        <v>0</v>
      </c>
      <c r="Q259" s="137" t="n">
        <f aca="false" ca="false" dt2D="false" dtr="false" t="normal">P259</f>
        <v>0</v>
      </c>
      <c r="R259" s="120" t="s">
        <v>186</v>
      </c>
      <c r="S259" s="131" t="s">
        <v>196</v>
      </c>
      <c r="T259" s="136" t="n">
        <f aca="false" ca="false" dt2D="false" dtr="false" t="normal">MID(I259, 1, 1)</f>
        <v>0</v>
      </c>
      <c r="U259" s="137" t="n">
        <f aca="false" ca="false" dt2D="false" dtr="false" t="normal">T259</f>
        <v>0</v>
      </c>
      <c r="V259" s="120" t="s">
        <v>186</v>
      </c>
      <c r="W259" s="131" t="s">
        <v>196</v>
      </c>
      <c r="X259" s="136" t="n">
        <f aca="false" ca="false" dt2D="false" dtr="false" t="normal">MID(J259, 1, 1)</f>
        <v>0</v>
      </c>
      <c r="Y259" s="137" t="n">
        <f aca="false" ca="false" dt2D="false" dtr="false" t="normal">X259</f>
        <v>0</v>
      </c>
      <c r="Z259" s="120" t="s">
        <v>186</v>
      </c>
      <c r="AA259" s="131" t="s">
        <v>196</v>
      </c>
      <c r="AB259" s="136" t="n">
        <f aca="false" ca="false" dt2D="false" dtr="false" t="normal">MID(K259, 1, 1)</f>
        <v>0</v>
      </c>
      <c r="AC259" s="137" t="n">
        <f aca="false" ca="false" dt2D="false" dtr="false" t="normal">AB259</f>
        <v>0</v>
      </c>
      <c r="AD259" s="120" t="s">
        <v>186</v>
      </c>
      <c r="AE259" s="131" t="s">
        <v>196</v>
      </c>
      <c r="AF259" s="136" t="n">
        <f aca="false" ca="false" dt2D="false" dtr="false" t="normal">MID(L259, 1, 1)</f>
        <v>0</v>
      </c>
      <c r="AG259" s="137" t="n">
        <f aca="false" ca="false" dt2D="false" dtr="false" t="normal">AF259</f>
        <v>0</v>
      </c>
      <c r="AH259" s="120" t="s">
        <v>186</v>
      </c>
      <c r="AI259" s="131" t="s">
        <v>196</v>
      </c>
      <c r="AJ259" s="8917" t="s"/>
      <c r="AK259" s="8918" t="s"/>
    </row>
    <row customHeight="true" hidden="false" ht="15" outlineLevel="0" r="260">
      <c r="C260" s="98" t="s">
        <v>191</v>
      </c>
      <c r="D260" s="149" t="n">
        <f aca="false" ca="false" dt2D="false" dtr="false" t="normal">HEX2DEC(D258)</f>
        <v>7</v>
      </c>
      <c r="E260" s="149" t="n">
        <f aca="false" ca="false" dt2D="false" dtr="false" t="normal">HEX2DEC(E258)</f>
        <v>165</v>
      </c>
      <c r="F260" s="149" t="n">
        <f aca="false" ca="false" dt2D="false" dtr="false" t="normal">HEX2DEC(F258)</f>
        <v>1</v>
      </c>
      <c r="G260" s="149" t="n">
        <f aca="false" ca="false" dt2D="false" dtr="false" t="normal">HEX2DEC(G258)</f>
        <v>36</v>
      </c>
      <c r="H260" s="53" t="n">
        <f aca="false" ca="false" dt2D="false" dtr="false" t="normal">HEX2DEC(H258)</f>
        <v>0</v>
      </c>
      <c r="I260" s="53" t="n">
        <f aca="false" ca="false" dt2D="false" dtr="false" t="normal">HEX2DEC(I258)</f>
        <v>0</v>
      </c>
      <c r="J260" s="53" t="n">
        <f aca="false" ca="false" dt2D="false" dtr="false" t="normal">HEX2DEC(J258)</f>
        <v>0</v>
      </c>
      <c r="K260" s="53" t="n">
        <f aca="false" ca="false" dt2D="false" dtr="false" t="normal">HEX2DEC(K258)</f>
        <v>0</v>
      </c>
      <c r="L260" s="53" t="n">
        <f aca="false" ca="false" dt2D="false" dtr="false" t="normal">HEX2DEC(L258)</f>
        <v>0</v>
      </c>
      <c r="M260" s="53" t="n">
        <f aca="false" ca="false" dt2D="false" dtr="false" t="normal">SUM(D260:L260)</f>
        <v>209</v>
      </c>
      <c r="N260" s="63" t="n"/>
      <c r="P260" s="136" t="n">
        <f aca="false" ca="false" dt2D="false" dtr="false" t="normal">MID(H259, 2, 1)</f>
        <v>0</v>
      </c>
      <c r="Q260" s="137" t="n">
        <f aca="false" ca="false" dt2D="false" dtr="false" t="normal">P260</f>
        <v>0</v>
      </c>
      <c r="R260" s="120" t="s">
        <v>192</v>
      </c>
      <c r="S260" s="131" t="s">
        <v>196</v>
      </c>
      <c r="T260" s="136" t="n">
        <f aca="false" ca="false" dt2D="false" dtr="false" t="normal">MID(I259, 2, 1)</f>
        <v>0</v>
      </c>
      <c r="U260" s="137" t="n">
        <f aca="false" ca="false" dt2D="false" dtr="false" t="normal">T260</f>
        <v>0</v>
      </c>
      <c r="V260" s="120" t="s">
        <v>192</v>
      </c>
      <c r="W260" s="131" t="s">
        <v>196</v>
      </c>
      <c r="X260" s="136" t="n">
        <f aca="false" ca="false" dt2D="false" dtr="false" t="normal">MID(J259, 2, 1)</f>
        <v>0</v>
      </c>
      <c r="Y260" s="137" t="n">
        <f aca="false" ca="false" dt2D="false" dtr="false" t="normal">X260</f>
        <v>0</v>
      </c>
      <c r="Z260" s="120" t="s">
        <v>192</v>
      </c>
      <c r="AA260" s="131" t="s">
        <v>196</v>
      </c>
      <c r="AB260" s="136" t="n">
        <f aca="false" ca="false" dt2D="false" dtr="false" t="normal">MID(K259, 2, 1)</f>
        <v>0</v>
      </c>
      <c r="AC260" s="137" t="n">
        <f aca="false" ca="false" dt2D="false" dtr="false" t="normal">AB260</f>
        <v>0</v>
      </c>
      <c r="AD260" s="120" t="s">
        <v>192</v>
      </c>
      <c r="AE260" s="131" t="s">
        <v>196</v>
      </c>
      <c r="AF260" s="136" t="n">
        <f aca="false" ca="false" dt2D="false" dtr="false" t="normal">MID(L259, 2, 1)</f>
        <v>0</v>
      </c>
      <c r="AG260" s="137" t="n">
        <f aca="false" ca="false" dt2D="false" dtr="false" t="normal">AF260</f>
        <v>0</v>
      </c>
      <c r="AH260" s="120" t="s">
        <v>192</v>
      </c>
      <c r="AI260" s="131" t="s">
        <v>196</v>
      </c>
      <c r="AJ260" s="8919" t="s"/>
      <c r="AK260" s="8920" t="s"/>
    </row>
    <row hidden="false" ht="15" outlineLevel="0" r="261">
      <c r="C261" s="98" t="s">
        <v>194</v>
      </c>
      <c r="D261" s="149" t="n">
        <f aca="false" ca="false" dt2D="false" dtr="false" t="normal">D258</f>
        <v>7</v>
      </c>
      <c r="E261" s="149" t="str">
        <f aca="false" ca="false" dt2D="false" dtr="false" t="normal">E258</f>
        <v>A5</v>
      </c>
      <c r="F261" s="149" t="str">
        <f aca="false" ca="false" dt2D="false" dtr="false" t="normal">MID($A$27, 4, 2)</f>
        <v>G1</v>
      </c>
      <c r="G261" s="149" t="str">
        <f aca="false" ca="false" dt2D="false" dtr="false" t="normal">MID($A$27, 6, 2)</f>
        <v>H8</v>
      </c>
      <c r="N261" s="63" t="n"/>
      <c r="P261" s="136" t="n">
        <f aca="false" ca="false" dt2D="false" dtr="false" t="normal">MID(H259, 3, 1)</f>
        <v>0</v>
      </c>
      <c r="Q261" s="137" t="n">
        <f aca="false" ca="false" dt2D="false" dtr="false" t="normal">P261</f>
        <v>0</v>
      </c>
      <c r="R261" s="120" t="s">
        <v>195</v>
      </c>
      <c r="S261" s="131" t="s">
        <v>196</v>
      </c>
      <c r="T261" s="136" t="n">
        <f aca="false" ca="false" dt2D="false" dtr="false" t="normal">MID(I259, 3, 1)</f>
        <v>0</v>
      </c>
      <c r="U261" s="137" t="n">
        <f aca="false" ca="false" dt2D="false" dtr="false" t="normal">T261</f>
        <v>0</v>
      </c>
      <c r="V261" s="120" t="s">
        <v>195</v>
      </c>
      <c r="W261" s="131" t="s">
        <v>196</v>
      </c>
      <c r="X261" s="136" t="n">
        <f aca="false" ca="false" dt2D="false" dtr="false" t="normal">MID(J259, 3, 1)</f>
        <v>0</v>
      </c>
      <c r="Y261" s="137" t="n">
        <f aca="false" ca="false" dt2D="false" dtr="false" t="normal">X261</f>
        <v>0</v>
      </c>
      <c r="Z261" s="120" t="s">
        <v>195</v>
      </c>
      <c r="AA261" s="131" t="s">
        <v>196</v>
      </c>
      <c r="AB261" s="136" t="n">
        <f aca="false" ca="false" dt2D="false" dtr="false" t="normal">MID(K259, 3, 1)</f>
        <v>0</v>
      </c>
      <c r="AC261" s="137" t="n">
        <f aca="false" ca="false" dt2D="false" dtr="false" t="normal">AB261</f>
        <v>0</v>
      </c>
      <c r="AD261" s="120" t="s">
        <v>195</v>
      </c>
      <c r="AE261" s="131" t="s">
        <v>196</v>
      </c>
      <c r="AF261" s="136" t="n">
        <f aca="false" ca="false" dt2D="false" dtr="false" t="normal">MID(L259, 3, 1)</f>
        <v>0</v>
      </c>
      <c r="AG261" s="137" t="n">
        <f aca="false" ca="false" dt2D="false" dtr="false" t="normal">AF261</f>
        <v>0</v>
      </c>
      <c r="AH261" s="120" t="s">
        <v>195</v>
      </c>
      <c r="AI261" s="131" t="s">
        <v>196</v>
      </c>
      <c r="AJ261" s="8921" t="s"/>
      <c r="AK261" s="8922" t="s"/>
    </row>
    <row hidden="false" ht="15.75" outlineLevel="0" r="262">
      <c r="C262" s="98" t="n"/>
      <c r="N262" s="63" t="n"/>
      <c r="P262" s="136" t="n">
        <f aca="false" ca="false" dt2D="false" dtr="false" t="normal">MID(H259, 4, 1)</f>
        <v>0</v>
      </c>
      <c r="Q262" s="137" t="n">
        <f aca="false" ca="false" dt2D="false" dtr="false" t="normal">P262</f>
        <v>0</v>
      </c>
      <c r="R262" s="120" t="s">
        <v>197</v>
      </c>
      <c r="S262" s="131" t="s">
        <v>196</v>
      </c>
      <c r="T262" s="136" t="n">
        <f aca="false" ca="false" dt2D="false" dtr="false" t="normal">MID(I259, 4, 1)</f>
        <v>0</v>
      </c>
      <c r="U262" s="137" t="n">
        <f aca="false" ca="false" dt2D="false" dtr="false" t="normal">T262</f>
        <v>0</v>
      </c>
      <c r="V262" s="120" t="s">
        <v>197</v>
      </c>
      <c r="W262" s="131" t="s">
        <v>196</v>
      </c>
      <c r="X262" s="136" t="n">
        <f aca="false" ca="false" dt2D="false" dtr="false" t="normal">MID(J259, 4, 1)</f>
        <v>0</v>
      </c>
      <c r="Y262" s="137" t="n">
        <f aca="false" ca="false" dt2D="false" dtr="false" t="normal">X262</f>
        <v>0</v>
      </c>
      <c r="Z262" s="120" t="s">
        <v>197</v>
      </c>
      <c r="AA262" s="131" t="s">
        <v>196</v>
      </c>
      <c r="AB262" s="136" t="n">
        <f aca="false" ca="false" dt2D="false" dtr="false" t="normal">MID(K259, 4, 1)</f>
        <v>0</v>
      </c>
      <c r="AC262" s="137" t="n">
        <f aca="false" ca="false" dt2D="false" dtr="false" t="normal">AB262</f>
        <v>0</v>
      </c>
      <c r="AD262" s="120" t="s">
        <v>197</v>
      </c>
      <c r="AE262" s="131" t="s">
        <v>196</v>
      </c>
      <c r="AF262" s="136" t="n">
        <f aca="false" ca="false" dt2D="false" dtr="false" t="normal">MID(L259, 4, 1)</f>
        <v>0</v>
      </c>
      <c r="AG262" s="137" t="n">
        <f aca="false" ca="false" dt2D="false" dtr="false" t="normal">AF262</f>
        <v>0</v>
      </c>
      <c r="AH262" s="120" t="s">
        <v>197</v>
      </c>
      <c r="AI262" s="131" t="s">
        <v>196</v>
      </c>
      <c r="AJ262" s="8923" t="s"/>
      <c r="AK262" s="8924" t="s"/>
    </row>
    <row hidden="false" ht="15.75" outlineLevel="0" r="263">
      <c r="C263" s="98" t="s">
        <v>176</v>
      </c>
      <c r="D263" s="122" t="n">
        <f aca="false" ca="false" dt2D="false" dtr="false" t="normal">D258</f>
        <v>7</v>
      </c>
      <c r="E263" s="123" t="str">
        <f aca="false" ca="false" dt2D="false" dtr="false" t="normal">E258</f>
        <v>A5</v>
      </c>
      <c r="F263" s="123" t="n">
        <f aca="false" ca="false" dt2D="false" dtr="false" t="normal">F258</f>
        <v>1</v>
      </c>
      <c r="G263" s="124" t="n">
        <f aca="false" ca="false" dt2D="false" dtr="false" t="normal">G258</f>
        <v>24</v>
      </c>
      <c r="H263" s="162" t="n">
        <f aca="false" ca="false" dt2D="false" dtr="false" t="normal">BIN2HEX(H264, 2)</f>
        <v>0</v>
      </c>
      <c r="I263" s="163" t="n">
        <f aca="false" ca="false" dt2D="false" dtr="false" t="normal">BIN2HEX(I264, 2)</f>
        <v>0</v>
      </c>
      <c r="J263" s="164" t="n">
        <f aca="false" ca="false" dt2D="false" dtr="false" t="normal">BIN2HEX(J264, 2)</f>
        <v>0</v>
      </c>
      <c r="K263" s="165" t="n">
        <f aca="false" ca="false" dt2D="false" dtr="false" t="normal">BIN2HEX(K264, 2)</f>
        <v>0</v>
      </c>
      <c r="L263" s="288" t="n">
        <f aca="false" ca="false" dt2D="false" dtr="false" t="normal">BIN2HEX(L264, 2)</f>
        <v>0</v>
      </c>
      <c r="M263" s="166" t="str">
        <f aca="false" ca="false" dt2D="false" dtr="false" t="normal">IF(LEN(M264)&gt;2, MID(M264, 2, 2), M264)</f>
        <v>D1</v>
      </c>
      <c r="N263" s="63" t="s">
        <v>181</v>
      </c>
      <c r="P263" s="136" t="n">
        <f aca="false" ca="false" dt2D="false" dtr="false" t="normal">MID(H259, 5, 1)</f>
        <v>0</v>
      </c>
      <c r="Q263" s="137" t="n">
        <f aca="false" ca="false" dt2D="false" dtr="false" t="normal">P263</f>
        <v>0</v>
      </c>
      <c r="R263" s="120" t="s">
        <v>200</v>
      </c>
      <c r="S263" s="131" t="s">
        <v>196</v>
      </c>
      <c r="T263" s="136" t="n">
        <f aca="false" ca="false" dt2D="false" dtr="false" t="normal">MID(I259, 5, 1)</f>
        <v>0</v>
      </c>
      <c r="U263" s="137" t="n">
        <f aca="false" ca="false" dt2D="false" dtr="false" t="normal">T263</f>
        <v>0</v>
      </c>
      <c r="V263" s="120" t="s">
        <v>200</v>
      </c>
      <c r="W263" s="131" t="s">
        <v>196</v>
      </c>
      <c r="X263" s="136" t="n">
        <f aca="false" ca="false" dt2D="false" dtr="false" t="normal">MID(J259, 5, 1)</f>
        <v>0</v>
      </c>
      <c r="Y263" s="137" t="n">
        <f aca="false" ca="false" dt2D="false" dtr="false" t="normal">X263</f>
        <v>0</v>
      </c>
      <c r="Z263" s="120" t="s">
        <v>200</v>
      </c>
      <c r="AA263" s="131" t="s">
        <v>196</v>
      </c>
      <c r="AB263" s="136" t="n">
        <f aca="false" ca="false" dt2D="false" dtr="false" t="normal">MID(K259, 5, 1)</f>
        <v>0</v>
      </c>
      <c r="AC263" s="137" t="n">
        <f aca="false" ca="false" dt2D="false" dtr="false" t="normal">AB263</f>
        <v>0</v>
      </c>
      <c r="AD263" s="120" t="s">
        <v>200</v>
      </c>
      <c r="AE263" s="131" t="s">
        <v>196</v>
      </c>
      <c r="AF263" s="136" t="n">
        <f aca="false" ca="false" dt2D="false" dtr="false" t="normal">MID(L259, 5, 1)</f>
        <v>0</v>
      </c>
      <c r="AG263" s="137" t="n">
        <f aca="false" ca="false" dt2D="false" dtr="false" t="normal">AF263</f>
        <v>0</v>
      </c>
      <c r="AH263" s="120" t="s">
        <v>200</v>
      </c>
      <c r="AI263" s="131" t="s">
        <v>196</v>
      </c>
      <c r="AJ263" s="8925" t="s"/>
      <c r="AK263" s="8926" t="s"/>
    </row>
    <row hidden="false" ht="15" outlineLevel="0" r="264">
      <c r="C264" s="98" t="s">
        <v>185</v>
      </c>
      <c r="D264" s="149" t="n">
        <f aca="false" ca="false" dt2D="false" dtr="false" t="normal">HEX2BIN(D263, 8)</f>
        <v>111</v>
      </c>
      <c r="E264" s="149" t="n">
        <f aca="false" ca="false" dt2D="false" dtr="false" t="normal">HEX2BIN(E263, 8)</f>
        <v>10100101</v>
      </c>
      <c r="F264" s="149" t="n">
        <f aca="false" ca="false" dt2D="false" dtr="false" t="normal">HEX2BIN(F263, 8)</f>
        <v>1</v>
      </c>
      <c r="G264" s="149" t="n">
        <f aca="false" ca="false" dt2D="false" dtr="false" t="normal">HEX2BIN(G263, 8)</f>
        <v>100100</v>
      </c>
      <c r="H264" s="53" t="n">
        <f aca="false" ca="false" dt2D="false" dtr="false" t="normal">Q259&amp;Q260&amp;Q261&amp;Q262&amp;Q263&amp;Q264&amp;Q265&amp;Q266</f>
        <v>0</v>
      </c>
      <c r="I264" s="53" t="n">
        <f aca="false" ca="false" dt2D="false" dtr="false" t="normal">U259&amp;U260&amp;U261&amp;U262&amp;U263&amp;U264&amp;U265&amp;U266</f>
        <v>0</v>
      </c>
      <c r="J264" s="53" t="n">
        <f aca="false" ca="false" dt2D="false" dtr="false" t="normal">Y259&amp;Y260&amp;Y261&amp;Y262&amp;Y263&amp;Y264&amp;Y265&amp;Y266</f>
        <v>0</v>
      </c>
      <c r="K264" s="53" t="n">
        <f aca="false" ca="false" dt2D="false" dtr="false" t="normal">AC259&amp;AC260&amp;AC261&amp;AC262&amp;AC263&amp;AC264&amp;AC265&amp;AC266</f>
        <v>0</v>
      </c>
      <c r="L264" s="53" t="n">
        <f aca="false" ca="false" dt2D="false" dtr="false" t="normal">AG259&amp;AG260&amp;AG261&amp;AG262&amp;AG263&amp;AG264&amp;AG265&amp;AG266</f>
        <v>0</v>
      </c>
      <c r="M264" s="53" t="str">
        <f aca="false" ca="false" dt2D="false" dtr="false" t="normal">DEC2HEX(M265)</f>
        <v>D1</v>
      </c>
      <c r="N264" s="63" t="n"/>
      <c r="P264" s="136" t="n">
        <f aca="false" ca="false" dt2D="false" dtr="false" t="normal">MID(H259, 6, 1)</f>
        <v>0</v>
      </c>
      <c r="Q264" s="137" t="n">
        <f aca="false" ca="false" dt2D="false" dtr="false" t="normal">P264</f>
        <v>0</v>
      </c>
      <c r="R264" s="120" t="s">
        <v>203</v>
      </c>
      <c r="S264" s="131" t="s">
        <v>196</v>
      </c>
      <c r="T264" s="136" t="n">
        <f aca="false" ca="false" dt2D="false" dtr="false" t="normal">MID(I259, 6, 1)</f>
        <v>0</v>
      </c>
      <c r="U264" s="137" t="n">
        <f aca="false" ca="false" dt2D="false" dtr="false" t="normal">T264</f>
        <v>0</v>
      </c>
      <c r="V264" s="120" t="s">
        <v>203</v>
      </c>
      <c r="W264" s="131" t="s">
        <v>196</v>
      </c>
      <c r="X264" s="136" t="n">
        <f aca="false" ca="false" dt2D="false" dtr="false" t="normal">MID(J259, 6, 1)</f>
        <v>0</v>
      </c>
      <c r="Y264" s="137" t="n">
        <f aca="false" ca="false" dt2D="false" dtr="false" t="normal">X264</f>
        <v>0</v>
      </c>
      <c r="Z264" s="120" t="s">
        <v>203</v>
      </c>
      <c r="AA264" s="131" t="s">
        <v>196</v>
      </c>
      <c r="AB264" s="136" t="n">
        <f aca="false" ca="false" dt2D="false" dtr="false" t="normal">MID(K259, 6, 1)</f>
        <v>0</v>
      </c>
      <c r="AC264" s="137" t="n">
        <f aca="false" ca="false" dt2D="false" dtr="false" t="normal">AB264</f>
        <v>0</v>
      </c>
      <c r="AD264" s="120" t="s">
        <v>203</v>
      </c>
      <c r="AE264" s="131" t="s">
        <v>196</v>
      </c>
      <c r="AF264" s="136" t="n">
        <f aca="false" ca="false" dt2D="false" dtr="false" t="normal">MID(L259, 6, 1)</f>
        <v>0</v>
      </c>
      <c r="AG264" s="137" t="n">
        <f aca="false" ca="false" dt2D="false" dtr="false" t="normal">AF264</f>
        <v>0</v>
      </c>
      <c r="AH264" s="120" t="s">
        <v>203</v>
      </c>
      <c r="AI264" s="131" t="s">
        <v>196</v>
      </c>
      <c r="AJ264" s="8927" t="s"/>
      <c r="AK264" s="8928" t="s"/>
    </row>
    <row customHeight="true" hidden="false" ht="15" outlineLevel="0" r="265">
      <c r="C265" s="98" t="s">
        <v>191</v>
      </c>
      <c r="D265" s="149" t="n">
        <f aca="false" ca="false" dt2D="false" dtr="false" t="normal">HEX2DEC(D263)</f>
        <v>7</v>
      </c>
      <c r="E265" s="149" t="n">
        <f aca="false" ca="false" dt2D="false" dtr="false" t="normal">HEX2DEC(E263)</f>
        <v>165</v>
      </c>
      <c r="F265" s="149" t="n">
        <f aca="false" ca="false" dt2D="false" dtr="false" t="normal">HEX2DEC(F263)</f>
        <v>1</v>
      </c>
      <c r="G265" s="149" t="n">
        <f aca="false" ca="false" dt2D="false" dtr="false" t="normal">HEX2DEC(G263)</f>
        <v>36</v>
      </c>
      <c r="H265" s="53" t="n">
        <f aca="false" ca="false" dt2D="false" dtr="false" t="normal">HEX2DEC(H263)</f>
        <v>0</v>
      </c>
      <c r="I265" s="53" t="n">
        <f aca="false" ca="false" dt2D="false" dtr="false" t="normal">HEX2DEC(I263)</f>
        <v>0</v>
      </c>
      <c r="J265" s="53" t="n">
        <f aca="false" ca="false" dt2D="false" dtr="false" t="normal">HEX2DEC(J263)</f>
        <v>0</v>
      </c>
      <c r="K265" s="53" t="n">
        <f aca="false" ca="false" dt2D="false" dtr="false" t="normal">HEX2DEC(K263)</f>
        <v>0</v>
      </c>
      <c r="L265" s="53" t="n">
        <f aca="false" ca="false" dt2D="false" dtr="false" t="normal">HEX2DEC(L263)</f>
        <v>0</v>
      </c>
      <c r="M265" s="53" t="n">
        <f aca="false" ca="false" dt2D="false" dtr="false" t="normal">SUM(D265:L265)</f>
        <v>209</v>
      </c>
      <c r="N265" s="63" t="n"/>
      <c r="P265" s="136" t="n">
        <f aca="false" ca="false" dt2D="false" dtr="false" t="normal">MID(H259, 7, 1)</f>
        <v>0</v>
      </c>
      <c r="Q265" s="137" t="n">
        <f aca="false" ca="false" dt2D="false" dtr="false" t="normal">P265</f>
        <v>0</v>
      </c>
      <c r="R265" s="120" t="s">
        <v>206</v>
      </c>
      <c r="S265" s="131" t="s">
        <v>196</v>
      </c>
      <c r="T265" s="136" t="n">
        <f aca="false" ca="false" dt2D="false" dtr="false" t="normal">MID(I259, 7, 1)</f>
        <v>0</v>
      </c>
      <c r="U265" s="137" t="n">
        <f aca="false" ca="false" dt2D="false" dtr="false" t="normal">T265</f>
        <v>0</v>
      </c>
      <c r="V265" s="120" t="s">
        <v>206</v>
      </c>
      <c r="W265" s="131" t="s">
        <v>196</v>
      </c>
      <c r="X265" s="136" t="n">
        <f aca="false" ca="false" dt2D="false" dtr="false" t="normal">MID(J259, 7, 1)</f>
        <v>0</v>
      </c>
      <c r="Y265" s="137" t="n">
        <f aca="false" ca="false" dt2D="false" dtr="false" t="normal">X265</f>
        <v>0</v>
      </c>
      <c r="Z265" s="120" t="s">
        <v>206</v>
      </c>
      <c r="AA265" s="131" t="s">
        <v>196</v>
      </c>
      <c r="AB265" s="136" t="n">
        <f aca="false" ca="false" dt2D="false" dtr="false" t="normal">MID(K259, 7, 1)</f>
        <v>0</v>
      </c>
      <c r="AC265" s="137" t="n">
        <f aca="false" ca="false" dt2D="false" dtr="false" t="normal">AB265</f>
        <v>0</v>
      </c>
      <c r="AD265" s="120" t="s">
        <v>206</v>
      </c>
      <c r="AE265" s="131" t="s">
        <v>196</v>
      </c>
      <c r="AF265" s="136" t="n">
        <f aca="false" ca="false" dt2D="false" dtr="false" t="normal">MID(L259, 7, 1)</f>
        <v>0</v>
      </c>
      <c r="AG265" s="137" t="n">
        <f aca="false" ca="false" dt2D="false" dtr="false" t="normal">AF265</f>
        <v>0</v>
      </c>
      <c r="AH265" s="120" t="s">
        <v>206</v>
      </c>
      <c r="AI265" s="131" t="s">
        <v>196</v>
      </c>
      <c r="AJ265" s="8929" t="s"/>
      <c r="AK265" s="8930" t="s"/>
    </row>
    <row hidden="false" ht="15.75" outlineLevel="0" r="266">
      <c r="C266" s="180" t="s">
        <v>194</v>
      </c>
      <c r="D266" s="181" t="n">
        <f aca="false" ca="false" dt2D="false" dtr="false" t="normal">D261</f>
        <v>7</v>
      </c>
      <c r="E266" s="181" t="str">
        <f aca="false" ca="false" dt2D="false" dtr="false" t="normal">E261</f>
        <v>A5</v>
      </c>
      <c r="F266" s="181" t="str">
        <f aca="false" ca="false" dt2D="false" dtr="false" t="normal">F261</f>
        <v>G1</v>
      </c>
      <c r="G266" s="181" t="str">
        <f aca="false" ca="false" dt2D="false" dtr="false" t="normal">G261</f>
        <v>H8</v>
      </c>
      <c r="H266" s="45" t="n"/>
      <c r="I266" s="45" t="n"/>
      <c r="J266" s="45" t="n"/>
      <c r="K266" s="45" t="n"/>
      <c r="L266" s="45" t="n"/>
      <c r="M266" s="45" t="n"/>
      <c r="N266" s="49" t="n"/>
      <c r="P266" s="182" t="n">
        <f aca="false" ca="false" dt2D="false" dtr="false" t="normal">MID(H259, 8, 1)</f>
        <v>0</v>
      </c>
      <c r="Q266" s="183" t="n">
        <f aca="false" ca="false" dt2D="false" dtr="false" t="normal">P266</f>
        <v>0</v>
      </c>
      <c r="R266" s="184" t="s">
        <v>208</v>
      </c>
      <c r="S266" s="185" t="s">
        <v>196</v>
      </c>
      <c r="T266" s="182" t="n">
        <f aca="false" ca="false" dt2D="false" dtr="false" t="normal">MID(I259, 8, 1)</f>
        <v>0</v>
      </c>
      <c r="U266" s="183" t="n">
        <f aca="false" ca="false" dt2D="false" dtr="false" t="normal">T266</f>
        <v>0</v>
      </c>
      <c r="V266" s="184" t="s">
        <v>208</v>
      </c>
      <c r="W266" s="185" t="s">
        <v>196</v>
      </c>
      <c r="X266" s="182" t="n">
        <f aca="false" ca="false" dt2D="false" dtr="false" t="normal">MID(J259, 8, 1)</f>
        <v>0</v>
      </c>
      <c r="Y266" s="183" t="n">
        <f aca="false" ca="false" dt2D="false" dtr="false" t="normal">X266</f>
        <v>0</v>
      </c>
      <c r="Z266" s="184" t="s">
        <v>208</v>
      </c>
      <c r="AA266" s="185" t="s">
        <v>196</v>
      </c>
      <c r="AB266" s="182" t="n">
        <f aca="false" ca="false" dt2D="false" dtr="false" t="normal">MID(K259, 8, 1)</f>
        <v>0</v>
      </c>
      <c r="AC266" s="183" t="n">
        <f aca="false" ca="false" dt2D="false" dtr="false" t="normal">AB266</f>
        <v>0</v>
      </c>
      <c r="AD266" s="184" t="s">
        <v>208</v>
      </c>
      <c r="AE266" s="185" t="s">
        <v>196</v>
      </c>
      <c r="AF266" s="182" t="n">
        <f aca="false" ca="false" dt2D="false" dtr="false" t="normal">MID(L259, 8, 1)</f>
        <v>0</v>
      </c>
      <c r="AG266" s="183" t="n">
        <f aca="false" ca="false" dt2D="false" dtr="false" t="normal">AF266</f>
        <v>0</v>
      </c>
      <c r="AH266" s="184" t="s">
        <v>208</v>
      </c>
      <c r="AI266" s="185" t="s">
        <v>196</v>
      </c>
      <c r="AJ266" s="8931" t="s"/>
      <c r="AK266" s="8932" t="s"/>
    </row>
    <row hidden="false" ht="15.75" outlineLevel="0" r="267">
      <c r="C267" s="93" t="n"/>
      <c r="D267" s="7585" t="n"/>
      <c r="E267" s="7585" t="n"/>
      <c r="F267" s="7585" t="n"/>
      <c r="G267" s="7585" t="n"/>
      <c r="H267" s="94" t="n"/>
      <c r="I267" s="94" t="n"/>
      <c r="J267" s="94" t="n"/>
      <c r="K267" s="94" t="n"/>
      <c r="L267" s="94" t="n"/>
      <c r="M267" s="94" t="s">
        <v>161</v>
      </c>
      <c r="N267" s="60" t="n"/>
      <c r="P267" s="95" t="str">
        <f aca="false" ca="false" dt2D="false" dtr="false" t="normal">RIGHT(D269, 1)&amp;E269&amp;"-"&amp;F269&amp;"-"&amp;G269</f>
        <v>7A5-01-25</v>
      </c>
      <c r="Q267" s="8933" t="s"/>
      <c r="R267" s="234" t="s">
        <v>4128</v>
      </c>
      <c r="S267" s="8934" t="s"/>
      <c r="T267" s="8935" t="s"/>
      <c r="U267" s="8936" t="s"/>
      <c r="V267" s="8937" t="s"/>
      <c r="W267" s="8938" t="s"/>
      <c r="X267" s="8939" t="s"/>
      <c r="Y267" s="8940" t="s"/>
      <c r="Z267" s="8941" t="s"/>
      <c r="AA267" s="8942" t="s"/>
      <c r="AB267" s="8943" t="s"/>
      <c r="AC267" s="8944" t="s"/>
      <c r="AD267" s="8945" t="s"/>
      <c r="AE267" s="8946" t="s"/>
      <c r="AF267" s="8947" t="s"/>
      <c r="AG267" s="8948" t="s"/>
      <c r="AH267" s="8949" t="s"/>
      <c r="AI267" s="8950" t="s"/>
      <c r="AJ267" s="8951" t="s"/>
      <c r="AK267" s="8952" t="s"/>
    </row>
    <row hidden="false" ht="15.75" outlineLevel="0" r="268">
      <c r="C268" s="98" t="n"/>
      <c r="D268" s="7606" t="s">
        <v>4129</v>
      </c>
      <c r="E268" s="8953" t="s"/>
      <c r="F268" s="8954" t="s"/>
      <c r="G268" s="8955" t="s"/>
      <c r="H268" s="53" t="s">
        <v>165</v>
      </c>
      <c r="I268" s="53" t="s">
        <v>166</v>
      </c>
      <c r="J268" s="53" t="s">
        <v>167</v>
      </c>
      <c r="K268" s="53" t="s">
        <v>168</v>
      </c>
      <c r="L268" s="53" t="s">
        <v>169</v>
      </c>
      <c r="M268" s="53" t="s">
        <v>221</v>
      </c>
      <c r="N268" s="63" t="n"/>
      <c r="P268" s="103" t="s">
        <v>4130</v>
      </c>
      <c r="Q268" s="8956" t="s"/>
      <c r="R268" s="8957" t="s"/>
      <c r="S268" s="8958" t="s"/>
      <c r="T268" s="103" t="s">
        <v>4131</v>
      </c>
      <c r="U268" s="8959" t="s"/>
      <c r="V268" s="8960" t="s"/>
      <c r="W268" s="8961" t="s"/>
      <c r="X268" s="103" t="s">
        <v>4132</v>
      </c>
      <c r="Y268" s="8962" t="s"/>
      <c r="Z268" s="8963" t="s"/>
      <c r="AA268" s="8964" t="s"/>
      <c r="AB268" s="103" t="s">
        <v>4133</v>
      </c>
      <c r="AC268" s="8965" t="s"/>
      <c r="AD268" s="8966" t="s"/>
      <c r="AE268" s="8967" t="s"/>
      <c r="AF268" s="103" t="s">
        <v>4134</v>
      </c>
      <c r="AG268" s="8968" t="s"/>
      <c r="AH268" s="8969" t="s"/>
      <c r="AI268" s="8970" t="s"/>
      <c r="AJ268" s="103" t="s">
        <v>4135</v>
      </c>
      <c r="AK268" s="8971" t="s"/>
    </row>
    <row hidden="false" ht="15.75" outlineLevel="0" r="269">
      <c r="C269" s="98" t="s">
        <v>176</v>
      </c>
      <c r="D269" s="122" t="s">
        <v>177</v>
      </c>
      <c r="E269" s="123" t="s">
        <v>3892</v>
      </c>
      <c r="F269" s="123" t="s">
        <v>179</v>
      </c>
      <c r="G269" s="124" t="s">
        <v>1615</v>
      </c>
      <c r="H269" s="273" t="n">
        <f aca="false" ca="false" dt2D="false" dtr="false" t="normal">MID($A$28, 8, 2)</f>
        <v>0</v>
      </c>
      <c r="I269" s="7626" t="n">
        <f aca="false" ca="false" dt2D="false" dtr="false" t="normal">MID($A$28, 10, 2)</f>
        <v>0</v>
      </c>
      <c r="J269" s="7626" t="n">
        <f aca="false" ca="false" dt2D="false" dtr="false" t="normal">MID($A$28, 12, 2)</f>
        <v>0</v>
      </c>
      <c r="K269" s="7626" t="n">
        <f aca="false" ca="false" dt2D="false" dtr="false" t="normal">MID($A$28, 14, 2)</f>
        <v>0</v>
      </c>
      <c r="L269" s="7627" t="n">
        <f aca="false" ca="false" dt2D="false" dtr="false" t="normal">MID($A$28, 16, 2)</f>
        <v>0</v>
      </c>
      <c r="M269" s="7553" t="str">
        <f aca="false" ca="false" dt2D="false" dtr="false" t="normal">MID($A$28, 18, 2)</f>
        <v>D2</v>
      </c>
      <c r="N269" s="63" t="s">
        <v>180</v>
      </c>
      <c r="P269" s="129" t="s">
        <v>180</v>
      </c>
      <c r="Q269" s="130" t="s">
        <v>181</v>
      </c>
      <c r="R269" s="121" t="s">
        <v>182</v>
      </c>
      <c r="S269" s="131" t="n"/>
      <c r="T269" s="129" t="s">
        <v>180</v>
      </c>
      <c r="U269" s="130" t="s">
        <v>181</v>
      </c>
      <c r="V269" s="121" t="s">
        <v>182</v>
      </c>
      <c r="W269" s="131" t="n"/>
      <c r="X269" s="129" t="s">
        <v>180</v>
      </c>
      <c r="Y269" s="130" t="s">
        <v>181</v>
      </c>
      <c r="Z269" s="121" t="s">
        <v>182</v>
      </c>
      <c r="AA269" s="131" t="n"/>
      <c r="AB269" s="129" t="s">
        <v>180</v>
      </c>
      <c r="AC269" s="130" t="s">
        <v>181</v>
      </c>
      <c r="AD269" s="121" t="s">
        <v>182</v>
      </c>
      <c r="AE269" s="131" t="n"/>
      <c r="AF269" s="129" t="s">
        <v>180</v>
      </c>
      <c r="AG269" s="130" t="s">
        <v>181</v>
      </c>
      <c r="AH269" s="121" t="s">
        <v>182</v>
      </c>
      <c r="AI269" s="121" t="n"/>
      <c r="AJ269" s="116" t="s">
        <v>183</v>
      </c>
      <c r="AK269" s="8972" t="s"/>
    </row>
    <row hidden="false" ht="15" outlineLevel="0" r="270">
      <c r="C270" s="98" t="s">
        <v>185</v>
      </c>
      <c r="D270" s="149" t="n">
        <f aca="false" ca="false" dt2D="false" dtr="false" t="normal">HEX2BIN(D269, 8)</f>
        <v>111</v>
      </c>
      <c r="E270" s="149" t="n">
        <f aca="false" ca="false" dt2D="false" dtr="false" t="normal">HEX2BIN(E269, 8)</f>
        <v>10100101</v>
      </c>
      <c r="F270" s="149" t="n">
        <f aca="false" ca="false" dt2D="false" dtr="false" t="normal">HEX2BIN(F269, 8)</f>
        <v>1</v>
      </c>
      <c r="G270" s="149" t="n">
        <f aca="false" ca="false" dt2D="false" dtr="false" t="normal">HEX2BIN(G269, 8)</f>
        <v>100101</v>
      </c>
      <c r="H270" s="53" t="n">
        <f aca="false" ca="false" dt2D="false" dtr="false" t="normal">HEX2BIN(H269, 8)</f>
        <v>0</v>
      </c>
      <c r="I270" s="53" t="n">
        <f aca="false" ca="false" dt2D="false" dtr="false" t="normal">HEX2BIN(I269, 8)</f>
        <v>0</v>
      </c>
      <c r="J270" s="53" t="n">
        <f aca="false" ca="false" dt2D="false" dtr="false" t="normal">HEX2BIN(J269, 8)</f>
        <v>0</v>
      </c>
      <c r="K270" s="53" t="n">
        <f aca="false" ca="false" dt2D="false" dtr="false" t="normal">HEX2BIN(K269, 8)</f>
        <v>0</v>
      </c>
      <c r="L270" s="53" t="n">
        <f aca="false" ca="false" dt2D="false" dtr="false" t="normal">HEX2BIN(L269, 8)</f>
        <v>0</v>
      </c>
      <c r="M270" s="53" t="n"/>
      <c r="N270" s="63" t="n"/>
      <c r="P270" s="136" t="n">
        <f aca="false" ca="false" dt2D="false" dtr="false" t="normal">MID(H270, 1, 1)</f>
        <v>0</v>
      </c>
      <c r="Q270" s="137" t="n">
        <f aca="false" ca="false" dt2D="false" dtr="false" t="normal">P270</f>
        <v>0</v>
      </c>
      <c r="R270" s="120" t="s">
        <v>186</v>
      </c>
      <c r="S270" s="131" t="s">
        <v>196</v>
      </c>
      <c r="T270" s="136" t="n">
        <f aca="false" ca="false" dt2D="false" dtr="false" t="normal">MID(I270, 1, 1)</f>
        <v>0</v>
      </c>
      <c r="U270" s="137" t="n">
        <f aca="false" ca="false" dt2D="false" dtr="false" t="normal">T270</f>
        <v>0</v>
      </c>
      <c r="V270" s="120" t="s">
        <v>186</v>
      </c>
      <c r="W270" s="131" t="s">
        <v>196</v>
      </c>
      <c r="X270" s="136" t="n">
        <f aca="false" ca="false" dt2D="false" dtr="false" t="normal">MID(J270, 1, 1)</f>
        <v>0</v>
      </c>
      <c r="Y270" s="137" t="n">
        <f aca="false" ca="false" dt2D="false" dtr="false" t="normal">X270</f>
        <v>0</v>
      </c>
      <c r="Z270" s="120" t="s">
        <v>186</v>
      </c>
      <c r="AA270" s="131" t="s">
        <v>196</v>
      </c>
      <c r="AB270" s="136" t="n">
        <f aca="false" ca="false" dt2D="false" dtr="false" t="normal">MID(K270, 1, 1)</f>
        <v>0</v>
      </c>
      <c r="AC270" s="137" t="n">
        <f aca="false" ca="false" dt2D="false" dtr="false" t="normal">AB270</f>
        <v>0</v>
      </c>
      <c r="AD270" s="120" t="s">
        <v>186</v>
      </c>
      <c r="AE270" s="131" t="s">
        <v>196</v>
      </c>
      <c r="AF270" s="136" t="n">
        <f aca="false" ca="false" dt2D="false" dtr="false" t="normal">MID(L270, 1, 1)</f>
        <v>0</v>
      </c>
      <c r="AG270" s="137" t="n">
        <f aca="false" ca="false" dt2D="false" dtr="false" t="normal">AF270</f>
        <v>0</v>
      </c>
      <c r="AH270" s="120" t="s">
        <v>186</v>
      </c>
      <c r="AI270" s="131" t="s">
        <v>196</v>
      </c>
      <c r="AJ270" s="8973" t="s"/>
      <c r="AK270" s="8974" t="s"/>
    </row>
    <row hidden="false" ht="15" outlineLevel="0" r="271">
      <c r="C271" s="98" t="s">
        <v>191</v>
      </c>
      <c r="D271" s="149" t="n">
        <f aca="false" ca="false" dt2D="false" dtr="false" t="normal">HEX2DEC(D269)</f>
        <v>7</v>
      </c>
      <c r="E271" s="149" t="n">
        <f aca="false" ca="false" dt2D="false" dtr="false" t="normal">HEX2DEC(E269)</f>
        <v>165</v>
      </c>
      <c r="F271" s="149" t="n">
        <f aca="false" ca="false" dt2D="false" dtr="false" t="normal">HEX2DEC(F269)</f>
        <v>1</v>
      </c>
      <c r="G271" s="149" t="n">
        <f aca="false" ca="false" dt2D="false" dtr="false" t="normal">HEX2DEC(G269)</f>
        <v>37</v>
      </c>
      <c r="H271" s="53" t="n">
        <f aca="false" ca="false" dt2D="false" dtr="false" t="normal">HEX2DEC(H269)</f>
        <v>0</v>
      </c>
      <c r="I271" s="53" t="n">
        <f aca="false" ca="false" dt2D="false" dtr="false" t="normal">HEX2DEC(I269)</f>
        <v>0</v>
      </c>
      <c r="J271" s="53" t="n">
        <f aca="false" ca="false" dt2D="false" dtr="false" t="normal">HEX2DEC(J269)</f>
        <v>0</v>
      </c>
      <c r="K271" s="53" t="n">
        <f aca="false" ca="false" dt2D="false" dtr="false" t="normal">HEX2DEC(K269)</f>
        <v>0</v>
      </c>
      <c r="L271" s="53" t="n">
        <f aca="false" ca="false" dt2D="false" dtr="false" t="normal">HEX2DEC(L269)</f>
        <v>0</v>
      </c>
      <c r="M271" s="53" t="n">
        <f aca="false" ca="false" dt2D="false" dtr="false" t="normal">SUM(D271:L271)</f>
        <v>210</v>
      </c>
      <c r="N271" s="63" t="n"/>
      <c r="P271" s="136" t="n">
        <f aca="false" ca="false" dt2D="false" dtr="false" t="normal">MID(H270, 2, 1)</f>
        <v>0</v>
      </c>
      <c r="Q271" s="137" t="n">
        <f aca="false" ca="false" dt2D="false" dtr="false" t="normal">P271</f>
        <v>0</v>
      </c>
      <c r="R271" s="120" t="s">
        <v>192</v>
      </c>
      <c r="S271" s="131" t="s">
        <v>196</v>
      </c>
      <c r="T271" s="136" t="n">
        <f aca="false" ca="false" dt2D="false" dtr="false" t="normal">MID(I270, 2, 1)</f>
        <v>0</v>
      </c>
      <c r="U271" s="137" t="n">
        <f aca="false" ca="false" dt2D="false" dtr="false" t="normal">T271</f>
        <v>0</v>
      </c>
      <c r="V271" s="120" t="s">
        <v>192</v>
      </c>
      <c r="W271" s="131" t="s">
        <v>196</v>
      </c>
      <c r="X271" s="136" t="n">
        <f aca="false" ca="false" dt2D="false" dtr="false" t="normal">MID(J270, 2, 1)</f>
        <v>0</v>
      </c>
      <c r="Y271" s="137" t="n">
        <f aca="false" ca="false" dt2D="false" dtr="false" t="normal">X271</f>
        <v>0</v>
      </c>
      <c r="Z271" s="120" t="s">
        <v>192</v>
      </c>
      <c r="AA271" s="131" t="s">
        <v>196</v>
      </c>
      <c r="AB271" s="136" t="n">
        <f aca="false" ca="false" dt2D="false" dtr="false" t="normal">MID(K270, 2, 1)</f>
        <v>0</v>
      </c>
      <c r="AC271" s="137" t="n">
        <f aca="false" ca="false" dt2D="false" dtr="false" t="normal">AB271</f>
        <v>0</v>
      </c>
      <c r="AD271" s="120" t="s">
        <v>192</v>
      </c>
      <c r="AE271" s="131" t="s">
        <v>196</v>
      </c>
      <c r="AF271" s="136" t="n">
        <f aca="false" ca="false" dt2D="false" dtr="false" t="normal">MID(L270, 2, 1)</f>
        <v>0</v>
      </c>
      <c r="AG271" s="137" t="n">
        <f aca="false" ca="false" dt2D="false" dtr="false" t="normal">AF271</f>
        <v>0</v>
      </c>
      <c r="AH271" s="120" t="s">
        <v>192</v>
      </c>
      <c r="AI271" s="131" t="s">
        <v>196</v>
      </c>
      <c r="AJ271" s="8975" t="s"/>
      <c r="AK271" s="8976" t="s"/>
    </row>
    <row hidden="false" ht="15" outlineLevel="0" r="272">
      <c r="C272" s="98" t="s">
        <v>194</v>
      </c>
      <c r="D272" s="149" t="n">
        <f aca="false" ca="false" dt2D="false" dtr="false" t="normal">D269</f>
        <v>7</v>
      </c>
      <c r="E272" s="149" t="str">
        <f aca="false" ca="false" dt2D="false" dtr="false" t="normal">E269</f>
        <v>A5</v>
      </c>
      <c r="F272" s="149" t="str">
        <f aca="false" ca="false" dt2D="false" dtr="false" t="normal">MID($A$28, 4, 2)</f>
        <v>G1</v>
      </c>
      <c r="G272" s="149" t="str">
        <f aca="false" ca="false" dt2D="false" dtr="false" t="normal">MID($A$28, 6, 2)</f>
        <v>H9</v>
      </c>
      <c r="N272" s="63" t="n"/>
      <c r="P272" s="136" t="n">
        <f aca="false" ca="false" dt2D="false" dtr="false" t="normal">MID(H270, 3, 1)</f>
        <v>0</v>
      </c>
      <c r="Q272" s="137" t="n">
        <f aca="false" ca="false" dt2D="false" dtr="false" t="normal">P272</f>
        <v>0</v>
      </c>
      <c r="R272" s="120" t="s">
        <v>195</v>
      </c>
      <c r="S272" s="131" t="s">
        <v>196</v>
      </c>
      <c r="T272" s="136" t="n">
        <f aca="false" ca="false" dt2D="false" dtr="false" t="normal">MID(I270, 3, 1)</f>
        <v>0</v>
      </c>
      <c r="U272" s="137" t="n">
        <f aca="false" ca="false" dt2D="false" dtr="false" t="normal">T272</f>
        <v>0</v>
      </c>
      <c r="V272" s="120" t="s">
        <v>195</v>
      </c>
      <c r="W272" s="131" t="s">
        <v>196</v>
      </c>
      <c r="X272" s="136" t="n">
        <f aca="false" ca="false" dt2D="false" dtr="false" t="normal">MID(J270, 3, 1)</f>
        <v>0</v>
      </c>
      <c r="Y272" s="137" t="n">
        <f aca="false" ca="false" dt2D="false" dtr="false" t="normal">X272</f>
        <v>0</v>
      </c>
      <c r="Z272" s="120" t="s">
        <v>195</v>
      </c>
      <c r="AA272" s="131" t="s">
        <v>196</v>
      </c>
      <c r="AB272" s="136" t="n">
        <f aca="false" ca="false" dt2D="false" dtr="false" t="normal">MID(K270, 3, 1)</f>
        <v>0</v>
      </c>
      <c r="AC272" s="137" t="n">
        <f aca="false" ca="false" dt2D="false" dtr="false" t="normal">AB272</f>
        <v>0</v>
      </c>
      <c r="AD272" s="120" t="s">
        <v>195</v>
      </c>
      <c r="AE272" s="131" t="s">
        <v>196</v>
      </c>
      <c r="AF272" s="136" t="n">
        <f aca="false" ca="false" dt2D="false" dtr="false" t="normal">MID(L270, 3, 1)</f>
        <v>0</v>
      </c>
      <c r="AG272" s="137" t="n">
        <f aca="false" ca="false" dt2D="false" dtr="false" t="normal">AF272</f>
        <v>0</v>
      </c>
      <c r="AH272" s="120" t="s">
        <v>195</v>
      </c>
      <c r="AI272" s="131" t="s">
        <v>196</v>
      </c>
      <c r="AJ272" s="8977" t="s"/>
      <c r="AK272" s="8978" t="s"/>
    </row>
    <row hidden="false" ht="15.75" outlineLevel="0" r="273">
      <c r="C273" s="98" t="n"/>
      <c r="N273" s="63" t="n"/>
      <c r="P273" s="136" t="n">
        <f aca="false" ca="false" dt2D="false" dtr="false" t="normal">MID(H270, 4, 1)</f>
        <v>0</v>
      </c>
      <c r="Q273" s="137" t="n">
        <f aca="false" ca="false" dt2D="false" dtr="false" t="normal">P273</f>
        <v>0</v>
      </c>
      <c r="R273" s="120" t="s">
        <v>197</v>
      </c>
      <c r="S273" s="131" t="s">
        <v>196</v>
      </c>
      <c r="T273" s="136" t="n">
        <f aca="false" ca="false" dt2D="false" dtr="false" t="normal">MID(I270, 4, 1)</f>
        <v>0</v>
      </c>
      <c r="U273" s="137" t="n">
        <f aca="false" ca="false" dt2D="false" dtr="false" t="normal">T273</f>
        <v>0</v>
      </c>
      <c r="V273" s="120" t="s">
        <v>197</v>
      </c>
      <c r="W273" s="131" t="s">
        <v>196</v>
      </c>
      <c r="X273" s="136" t="n">
        <f aca="false" ca="false" dt2D="false" dtr="false" t="normal">MID(J270, 4, 1)</f>
        <v>0</v>
      </c>
      <c r="Y273" s="137" t="n">
        <f aca="false" ca="false" dt2D="false" dtr="false" t="normal">X273</f>
        <v>0</v>
      </c>
      <c r="Z273" s="120" t="s">
        <v>197</v>
      </c>
      <c r="AA273" s="131" t="s">
        <v>196</v>
      </c>
      <c r="AB273" s="136" t="n">
        <f aca="false" ca="false" dt2D="false" dtr="false" t="normal">MID(K270, 4, 1)</f>
        <v>0</v>
      </c>
      <c r="AC273" s="137" t="n">
        <f aca="false" ca="false" dt2D="false" dtr="false" t="normal">AB273</f>
        <v>0</v>
      </c>
      <c r="AD273" s="120" t="s">
        <v>197</v>
      </c>
      <c r="AE273" s="131" t="s">
        <v>196</v>
      </c>
      <c r="AF273" s="136" t="n">
        <f aca="false" ca="false" dt2D="false" dtr="false" t="normal">MID(L270, 4, 1)</f>
        <v>0</v>
      </c>
      <c r="AG273" s="137" t="n">
        <f aca="false" ca="false" dt2D="false" dtr="false" t="normal">AF273</f>
        <v>0</v>
      </c>
      <c r="AH273" s="120" t="s">
        <v>197</v>
      </c>
      <c r="AI273" s="131" t="s">
        <v>196</v>
      </c>
      <c r="AJ273" s="8979" t="s"/>
      <c r="AK273" s="8980" t="s"/>
    </row>
    <row hidden="false" ht="15.75" outlineLevel="0" r="274">
      <c r="C274" s="98" t="s">
        <v>176</v>
      </c>
      <c r="D274" s="122" t="n">
        <f aca="false" ca="false" dt2D="false" dtr="false" t="normal">D269</f>
        <v>7</v>
      </c>
      <c r="E274" s="123" t="str">
        <f aca="false" ca="false" dt2D="false" dtr="false" t="normal">E269</f>
        <v>A5</v>
      </c>
      <c r="F274" s="123" t="n">
        <f aca="false" ca="false" dt2D="false" dtr="false" t="normal">F269</f>
        <v>1</v>
      </c>
      <c r="G274" s="124" t="n">
        <f aca="false" ca="false" dt2D="false" dtr="false" t="normal">G269</f>
        <v>25</v>
      </c>
      <c r="H274" s="162" t="n">
        <f aca="false" ca="false" dt2D="false" dtr="false" t="normal">BIN2HEX(H275, 2)</f>
        <v>0</v>
      </c>
      <c r="I274" s="163" t="n">
        <f aca="false" ca="false" dt2D="false" dtr="false" t="normal">BIN2HEX(I275, 2)</f>
        <v>0</v>
      </c>
      <c r="J274" s="164" t="n">
        <f aca="false" ca="false" dt2D="false" dtr="false" t="normal">BIN2HEX(J275, 2)</f>
        <v>0</v>
      </c>
      <c r="K274" s="165" t="n">
        <f aca="false" ca="false" dt2D="false" dtr="false" t="normal">BIN2HEX(K275, 2)</f>
        <v>0</v>
      </c>
      <c r="L274" s="288" t="n">
        <f aca="false" ca="false" dt2D="false" dtr="false" t="normal">BIN2HEX(L275, 2)</f>
        <v>0</v>
      </c>
      <c r="M274" s="166" t="str">
        <f aca="false" ca="false" dt2D="false" dtr="false" t="normal">IF(LEN(M275)&gt;2, MID(M275, 2, 2), M275)</f>
        <v>D2</v>
      </c>
      <c r="N274" s="63" t="s">
        <v>181</v>
      </c>
      <c r="P274" s="136" t="n">
        <f aca="false" ca="false" dt2D="false" dtr="false" t="normal">MID(H270, 5, 1)</f>
        <v>0</v>
      </c>
      <c r="Q274" s="137" t="n">
        <f aca="false" ca="false" dt2D="false" dtr="false" t="normal">P274</f>
        <v>0</v>
      </c>
      <c r="R274" s="120" t="s">
        <v>200</v>
      </c>
      <c r="S274" s="131" t="s">
        <v>196</v>
      </c>
      <c r="T274" s="136" t="n">
        <f aca="false" ca="false" dt2D="false" dtr="false" t="normal">MID(I270, 5, 1)</f>
        <v>0</v>
      </c>
      <c r="U274" s="137" t="n">
        <f aca="false" ca="false" dt2D="false" dtr="false" t="normal">T274</f>
        <v>0</v>
      </c>
      <c r="V274" s="120" t="s">
        <v>200</v>
      </c>
      <c r="W274" s="131" t="s">
        <v>196</v>
      </c>
      <c r="X274" s="136" t="n">
        <f aca="false" ca="false" dt2D="false" dtr="false" t="normal">MID(J270, 5, 1)</f>
        <v>0</v>
      </c>
      <c r="Y274" s="137" t="n">
        <f aca="false" ca="false" dt2D="false" dtr="false" t="normal">X274</f>
        <v>0</v>
      </c>
      <c r="Z274" s="120" t="s">
        <v>200</v>
      </c>
      <c r="AA274" s="131" t="s">
        <v>196</v>
      </c>
      <c r="AB274" s="136" t="n">
        <f aca="false" ca="false" dt2D="false" dtr="false" t="normal">MID(K270, 5, 1)</f>
        <v>0</v>
      </c>
      <c r="AC274" s="137" t="n">
        <f aca="false" ca="false" dt2D="false" dtr="false" t="normal">AB274</f>
        <v>0</v>
      </c>
      <c r="AD274" s="120" t="s">
        <v>200</v>
      </c>
      <c r="AE274" s="131" t="s">
        <v>196</v>
      </c>
      <c r="AF274" s="136" t="n">
        <f aca="false" ca="false" dt2D="false" dtr="false" t="normal">MID(L270, 5, 1)</f>
        <v>0</v>
      </c>
      <c r="AG274" s="137" t="n">
        <f aca="false" ca="false" dt2D="false" dtr="false" t="normal">AF274</f>
        <v>0</v>
      </c>
      <c r="AH274" s="120" t="s">
        <v>200</v>
      </c>
      <c r="AI274" s="131" t="s">
        <v>196</v>
      </c>
      <c r="AJ274" s="8981" t="s"/>
      <c r="AK274" s="8982" t="s"/>
    </row>
    <row hidden="false" ht="15" outlineLevel="0" r="275">
      <c r="C275" s="98" t="s">
        <v>185</v>
      </c>
      <c r="D275" s="149" t="n">
        <f aca="false" ca="false" dt2D="false" dtr="false" t="normal">HEX2BIN(D274, 8)</f>
        <v>111</v>
      </c>
      <c r="E275" s="149" t="n">
        <f aca="false" ca="false" dt2D="false" dtr="false" t="normal">HEX2BIN(E274, 8)</f>
        <v>10100101</v>
      </c>
      <c r="F275" s="149" t="n">
        <f aca="false" ca="false" dt2D="false" dtr="false" t="normal">HEX2BIN(F274, 8)</f>
        <v>1</v>
      </c>
      <c r="G275" s="149" t="n">
        <f aca="false" ca="false" dt2D="false" dtr="false" t="normal">HEX2BIN(G274, 8)</f>
        <v>100101</v>
      </c>
      <c r="H275" s="53" t="n">
        <f aca="false" ca="false" dt2D="false" dtr="false" t="normal">Q270&amp;Q271&amp;Q272&amp;Q273&amp;Q274&amp;Q275&amp;Q276&amp;Q277</f>
        <v>0</v>
      </c>
      <c r="I275" s="53" t="n">
        <f aca="false" ca="false" dt2D="false" dtr="false" t="normal">U270&amp;U271&amp;U272&amp;U273&amp;U274&amp;U275&amp;U276&amp;U277</f>
        <v>0</v>
      </c>
      <c r="J275" s="53" t="n">
        <f aca="false" ca="false" dt2D="false" dtr="false" t="normal">Y270&amp;Y271&amp;Y272&amp;Y273&amp;Y274&amp;Y275&amp;Y276&amp;Y277</f>
        <v>0</v>
      </c>
      <c r="K275" s="53" t="n">
        <f aca="false" ca="false" dt2D="false" dtr="false" t="normal">AC270&amp;AC271&amp;AC272&amp;AC273&amp;AC274&amp;AC275&amp;AC276&amp;AC277</f>
        <v>0</v>
      </c>
      <c r="L275" s="53" t="n">
        <f aca="false" ca="false" dt2D="false" dtr="false" t="normal">AG270&amp;AG271&amp;AG272&amp;AG273&amp;AG274&amp;AG275&amp;AG276&amp;AG277</f>
        <v>0</v>
      </c>
      <c r="M275" s="53" t="str">
        <f aca="false" ca="false" dt2D="false" dtr="false" t="normal">DEC2HEX(M276)</f>
        <v>D2</v>
      </c>
      <c r="N275" s="63" t="n"/>
      <c r="P275" s="136" t="n">
        <f aca="false" ca="false" dt2D="false" dtr="false" t="normal">MID(H270, 6, 1)</f>
        <v>0</v>
      </c>
      <c r="Q275" s="137" t="n">
        <f aca="false" ca="false" dt2D="false" dtr="false" t="normal">P275</f>
        <v>0</v>
      </c>
      <c r="R275" s="120" t="s">
        <v>203</v>
      </c>
      <c r="S275" s="131" t="s">
        <v>196</v>
      </c>
      <c r="T275" s="136" t="n">
        <f aca="false" ca="false" dt2D="false" dtr="false" t="normal">MID(I270, 6, 1)</f>
        <v>0</v>
      </c>
      <c r="U275" s="137" t="n">
        <f aca="false" ca="false" dt2D="false" dtr="false" t="normal">T275</f>
        <v>0</v>
      </c>
      <c r="V275" s="120" t="s">
        <v>203</v>
      </c>
      <c r="W275" s="131" t="s">
        <v>196</v>
      </c>
      <c r="X275" s="136" t="n">
        <f aca="false" ca="false" dt2D="false" dtr="false" t="normal">MID(J270, 6, 1)</f>
        <v>0</v>
      </c>
      <c r="Y275" s="137" t="n">
        <f aca="false" ca="false" dt2D="false" dtr="false" t="normal">X275</f>
        <v>0</v>
      </c>
      <c r="Z275" s="120" t="s">
        <v>203</v>
      </c>
      <c r="AA275" s="131" t="s">
        <v>196</v>
      </c>
      <c r="AB275" s="136" t="n">
        <f aca="false" ca="false" dt2D="false" dtr="false" t="normal">MID(K270, 6, 1)</f>
        <v>0</v>
      </c>
      <c r="AC275" s="137" t="n">
        <f aca="false" ca="false" dt2D="false" dtr="false" t="normal">AB275</f>
        <v>0</v>
      </c>
      <c r="AD275" s="120" t="s">
        <v>203</v>
      </c>
      <c r="AE275" s="131" t="s">
        <v>196</v>
      </c>
      <c r="AF275" s="136" t="n">
        <f aca="false" ca="false" dt2D="false" dtr="false" t="normal">MID(L270, 6, 1)</f>
        <v>0</v>
      </c>
      <c r="AG275" s="137" t="n">
        <f aca="false" ca="false" dt2D="false" dtr="false" t="normal">AF275</f>
        <v>0</v>
      </c>
      <c r="AH275" s="120" t="s">
        <v>203</v>
      </c>
      <c r="AI275" s="131" t="s">
        <v>196</v>
      </c>
      <c r="AJ275" s="8983" t="s"/>
      <c r="AK275" s="8984" t="s"/>
    </row>
    <row hidden="false" ht="15" outlineLevel="0" r="276">
      <c r="C276" s="98" t="s">
        <v>191</v>
      </c>
      <c r="D276" s="149" t="n">
        <f aca="false" ca="false" dt2D="false" dtr="false" t="normal">HEX2DEC(D274)</f>
        <v>7</v>
      </c>
      <c r="E276" s="149" t="n">
        <f aca="false" ca="false" dt2D="false" dtr="false" t="normal">HEX2DEC(E274)</f>
        <v>165</v>
      </c>
      <c r="F276" s="149" t="n">
        <f aca="false" ca="false" dt2D="false" dtr="false" t="normal">HEX2DEC(F274)</f>
        <v>1</v>
      </c>
      <c r="G276" s="149" t="n">
        <f aca="false" ca="false" dt2D="false" dtr="false" t="normal">HEX2DEC(G274)</f>
        <v>37</v>
      </c>
      <c r="H276" s="53" t="n">
        <f aca="false" ca="false" dt2D="false" dtr="false" t="normal">HEX2DEC(H274)</f>
        <v>0</v>
      </c>
      <c r="I276" s="53" t="n">
        <f aca="false" ca="false" dt2D="false" dtr="false" t="normal">HEX2DEC(I274)</f>
        <v>0</v>
      </c>
      <c r="J276" s="53" t="n">
        <f aca="false" ca="false" dt2D="false" dtr="false" t="normal">HEX2DEC(J274)</f>
        <v>0</v>
      </c>
      <c r="K276" s="53" t="n">
        <f aca="false" ca="false" dt2D="false" dtr="false" t="normal">HEX2DEC(K274)</f>
        <v>0</v>
      </c>
      <c r="L276" s="53" t="n">
        <f aca="false" ca="false" dt2D="false" dtr="false" t="normal">HEX2DEC(L274)</f>
        <v>0</v>
      </c>
      <c r="M276" s="53" t="n">
        <f aca="false" ca="false" dt2D="false" dtr="false" t="normal">SUM(D276:L276)</f>
        <v>210</v>
      </c>
      <c r="N276" s="63" t="n"/>
      <c r="P276" s="136" t="n">
        <f aca="false" ca="false" dt2D="false" dtr="false" t="normal">MID(H270, 7, 1)</f>
        <v>0</v>
      </c>
      <c r="Q276" s="137" t="n">
        <f aca="false" ca="false" dt2D="false" dtr="false" t="normal">P276</f>
        <v>0</v>
      </c>
      <c r="R276" s="120" t="s">
        <v>206</v>
      </c>
      <c r="S276" s="131" t="s">
        <v>196</v>
      </c>
      <c r="T276" s="136" t="n">
        <f aca="false" ca="false" dt2D="false" dtr="false" t="normal">MID(I270, 7, 1)</f>
        <v>0</v>
      </c>
      <c r="U276" s="137" t="n">
        <f aca="false" ca="false" dt2D="false" dtr="false" t="normal">T276</f>
        <v>0</v>
      </c>
      <c r="V276" s="120" t="s">
        <v>206</v>
      </c>
      <c r="W276" s="131" t="s">
        <v>196</v>
      </c>
      <c r="X276" s="136" t="n">
        <f aca="false" ca="false" dt2D="false" dtr="false" t="normal">MID(J270, 7, 1)</f>
        <v>0</v>
      </c>
      <c r="Y276" s="137" t="n">
        <f aca="false" ca="false" dt2D="false" dtr="false" t="normal">X276</f>
        <v>0</v>
      </c>
      <c r="Z276" s="120" t="s">
        <v>206</v>
      </c>
      <c r="AA276" s="131" t="s">
        <v>196</v>
      </c>
      <c r="AB276" s="136" t="n">
        <f aca="false" ca="false" dt2D="false" dtr="false" t="normal">MID(K270, 7, 1)</f>
        <v>0</v>
      </c>
      <c r="AC276" s="137" t="n">
        <f aca="false" ca="false" dt2D="false" dtr="false" t="normal">AB276</f>
        <v>0</v>
      </c>
      <c r="AD276" s="120" t="s">
        <v>206</v>
      </c>
      <c r="AE276" s="131" t="s">
        <v>196</v>
      </c>
      <c r="AF276" s="136" t="n">
        <f aca="false" ca="false" dt2D="false" dtr="false" t="normal">MID(L270, 7, 1)</f>
        <v>0</v>
      </c>
      <c r="AG276" s="137" t="n">
        <f aca="false" ca="false" dt2D="false" dtr="false" t="normal">AF276</f>
        <v>0</v>
      </c>
      <c r="AH276" s="120" t="s">
        <v>206</v>
      </c>
      <c r="AI276" s="131" t="s">
        <v>196</v>
      </c>
      <c r="AJ276" s="8985" t="s"/>
      <c r="AK276" s="8986" t="s"/>
    </row>
    <row hidden="false" ht="15.75" outlineLevel="0" r="277">
      <c r="C277" s="180" t="s">
        <v>194</v>
      </c>
      <c r="D277" s="181" t="n">
        <f aca="false" ca="false" dt2D="false" dtr="false" t="normal">D272</f>
        <v>7</v>
      </c>
      <c r="E277" s="181" t="str">
        <f aca="false" ca="false" dt2D="false" dtr="false" t="normal">E272</f>
        <v>A5</v>
      </c>
      <c r="F277" s="181" t="str">
        <f aca="false" ca="false" dt2D="false" dtr="false" t="normal">F272</f>
        <v>G1</v>
      </c>
      <c r="G277" s="181" t="str">
        <f aca="false" ca="false" dt2D="false" dtr="false" t="normal">G272</f>
        <v>H9</v>
      </c>
      <c r="H277" s="45" t="n"/>
      <c r="I277" s="45" t="n"/>
      <c r="J277" s="45" t="n"/>
      <c r="K277" s="45" t="n"/>
      <c r="L277" s="45" t="n"/>
      <c r="M277" s="45" t="n"/>
      <c r="N277" s="49" t="n"/>
      <c r="P277" s="182" t="n">
        <f aca="false" ca="false" dt2D="false" dtr="false" t="normal">MID(H270, 8, 1)</f>
        <v>0</v>
      </c>
      <c r="Q277" s="183" t="n">
        <f aca="false" ca="false" dt2D="false" dtr="false" t="normal">P277</f>
        <v>0</v>
      </c>
      <c r="R277" s="184" t="s">
        <v>208</v>
      </c>
      <c r="S277" s="185" t="s">
        <v>196</v>
      </c>
      <c r="T277" s="182" t="n">
        <f aca="false" ca="false" dt2D="false" dtr="false" t="normal">MID(I270, 8, 1)</f>
        <v>0</v>
      </c>
      <c r="U277" s="183" t="n">
        <f aca="false" ca="false" dt2D="false" dtr="false" t="normal">T277</f>
        <v>0</v>
      </c>
      <c r="V277" s="184" t="s">
        <v>208</v>
      </c>
      <c r="W277" s="185" t="s">
        <v>196</v>
      </c>
      <c r="X277" s="182" t="n">
        <f aca="false" ca="false" dt2D="false" dtr="false" t="normal">MID(J270, 8, 1)</f>
        <v>0</v>
      </c>
      <c r="Y277" s="183" t="n">
        <f aca="false" ca="false" dt2D="false" dtr="false" t="normal">X277</f>
        <v>0</v>
      </c>
      <c r="Z277" s="184" t="s">
        <v>208</v>
      </c>
      <c r="AA277" s="185" t="s">
        <v>196</v>
      </c>
      <c r="AB277" s="182" t="n">
        <f aca="false" ca="false" dt2D="false" dtr="false" t="normal">MID(K270, 8, 1)</f>
        <v>0</v>
      </c>
      <c r="AC277" s="183" t="n">
        <f aca="false" ca="false" dt2D="false" dtr="false" t="normal">AB277</f>
        <v>0</v>
      </c>
      <c r="AD277" s="184" t="s">
        <v>208</v>
      </c>
      <c r="AE277" s="185" t="s">
        <v>196</v>
      </c>
      <c r="AF277" s="182" t="n">
        <f aca="false" ca="false" dt2D="false" dtr="false" t="normal">MID(L270, 8, 1)</f>
        <v>0</v>
      </c>
      <c r="AG277" s="183" t="n">
        <f aca="false" ca="false" dt2D="false" dtr="false" t="normal">AF277</f>
        <v>0</v>
      </c>
      <c r="AH277" s="184" t="s">
        <v>208</v>
      </c>
      <c r="AI277" s="185" t="s">
        <v>196</v>
      </c>
      <c r="AJ277" s="8987" t="s"/>
      <c r="AK277" s="8988" t="s"/>
    </row>
    <row hidden="false" ht="15.75" outlineLevel="0" r="278">
      <c r="C278" s="93" t="n"/>
      <c r="D278" s="7585" t="n"/>
      <c r="E278" s="7585" t="n"/>
      <c r="F278" s="7585" t="n"/>
      <c r="G278" s="7585" t="n"/>
      <c r="H278" s="94" t="n"/>
      <c r="I278" s="94" t="n"/>
      <c r="J278" s="94" t="n"/>
      <c r="K278" s="94" t="n"/>
      <c r="L278" s="94" t="n"/>
      <c r="M278" s="94" t="s">
        <v>161</v>
      </c>
      <c r="N278" s="60" t="n"/>
      <c r="P278" s="95" t="str">
        <f aca="false" ca="false" dt2D="false" dtr="false" t="normal">RIGHT(D280, 1)&amp;E280&amp;"-"&amp;F280&amp;"-"&amp;G280</f>
        <v>7A5-01-26</v>
      </c>
      <c r="Q278" s="8989" t="s"/>
      <c r="R278" s="234" t="s">
        <v>4136</v>
      </c>
      <c r="S278" s="8990" t="s"/>
      <c r="T278" s="8991" t="s"/>
      <c r="U278" s="8992" t="s"/>
      <c r="V278" s="8993" t="s"/>
      <c r="W278" s="8994" t="s"/>
      <c r="X278" s="8995" t="s"/>
      <c r="Y278" s="8996" t="s"/>
      <c r="Z278" s="8997" t="s"/>
      <c r="AA278" s="8998" t="s"/>
      <c r="AB278" s="8999" t="s"/>
      <c r="AC278" s="9000" t="s"/>
      <c r="AD278" s="9001" t="s"/>
      <c r="AE278" s="9002" t="s"/>
      <c r="AF278" s="9003" t="s"/>
      <c r="AG278" s="9004" t="s"/>
      <c r="AH278" s="9005" t="s"/>
      <c r="AI278" s="9006" t="s"/>
      <c r="AJ278" s="9007" t="s"/>
      <c r="AK278" s="9008" t="s"/>
    </row>
    <row hidden="false" ht="15.75" outlineLevel="0" r="279">
      <c r="C279" s="98" t="n"/>
      <c r="D279" s="7606" t="s">
        <v>4137</v>
      </c>
      <c r="E279" s="9009" t="s"/>
      <c r="F279" s="9010" t="s"/>
      <c r="G279" s="9011" t="s"/>
      <c r="H279" s="53" t="s">
        <v>165</v>
      </c>
      <c r="I279" s="53" t="s">
        <v>166</v>
      </c>
      <c r="J279" s="53" t="s">
        <v>167</v>
      </c>
      <c r="K279" s="53" t="s">
        <v>168</v>
      </c>
      <c r="L279" s="53" t="s">
        <v>169</v>
      </c>
      <c r="M279" s="53" t="s">
        <v>221</v>
      </c>
      <c r="N279" s="63" t="n"/>
      <c r="P279" s="103" t="s">
        <v>4138</v>
      </c>
      <c r="Q279" s="9012" t="s"/>
      <c r="R279" s="9013" t="s"/>
      <c r="S279" s="9014" t="s"/>
      <c r="T279" s="103" t="s">
        <v>4139</v>
      </c>
      <c r="U279" s="9015" t="s"/>
      <c r="V279" s="9016" t="s"/>
      <c r="W279" s="9017" t="s"/>
      <c r="X279" s="103" t="s">
        <v>4140</v>
      </c>
      <c r="Y279" s="9018" t="s"/>
      <c r="Z279" s="9019" t="s"/>
      <c r="AA279" s="9020" t="s"/>
      <c r="AB279" s="103" t="s">
        <v>4141</v>
      </c>
      <c r="AC279" s="9021" t="s"/>
      <c r="AD279" s="9022" t="s"/>
      <c r="AE279" s="9023" t="s"/>
      <c r="AF279" s="103" t="s">
        <v>4142</v>
      </c>
      <c r="AG279" s="9024" t="s"/>
      <c r="AH279" s="9025" t="s"/>
      <c r="AI279" s="9026" t="s"/>
      <c r="AJ279" s="103" t="s">
        <v>4143</v>
      </c>
      <c r="AK279" s="9027" t="s"/>
    </row>
    <row hidden="false" ht="15.75" outlineLevel="0" r="280">
      <c r="C280" s="98" t="s">
        <v>176</v>
      </c>
      <c r="D280" s="122" t="s">
        <v>177</v>
      </c>
      <c r="E280" s="123" t="s">
        <v>3892</v>
      </c>
      <c r="F280" s="123" t="s">
        <v>179</v>
      </c>
      <c r="G280" s="124" t="s">
        <v>178</v>
      </c>
      <c r="H280" s="273" t="n">
        <f aca="false" ca="false" dt2D="false" dtr="false" t="normal">MID($A$29, 8, 2)</f>
        <v>0</v>
      </c>
      <c r="I280" s="7626" t="n">
        <f aca="false" ca="false" dt2D="false" dtr="false" t="normal">MID($A$29, 10, 2)</f>
        <v>0</v>
      </c>
      <c r="J280" s="7626" t="n">
        <f aca="false" ca="false" dt2D="false" dtr="false" t="normal">MID($A$29, 12, 2)</f>
        <v>0</v>
      </c>
      <c r="K280" s="7626" t="n">
        <f aca="false" ca="false" dt2D="false" dtr="false" t="normal">MID($A$29, 14, 2)</f>
        <v>0</v>
      </c>
      <c r="L280" s="7627" t="n">
        <f aca="false" ca="false" dt2D="false" dtr="false" t="normal">MID($A$29, 16, 2)</f>
        <v>0</v>
      </c>
      <c r="M280" s="7553" t="str">
        <f aca="false" ca="false" dt2D="false" dtr="false" t="normal">MID($A$29, 18, 2)</f>
        <v>D3</v>
      </c>
      <c r="N280" s="63" t="s">
        <v>180</v>
      </c>
      <c r="P280" s="129" t="s">
        <v>180</v>
      </c>
      <c r="Q280" s="130" t="s">
        <v>181</v>
      </c>
      <c r="R280" s="121" t="s">
        <v>182</v>
      </c>
      <c r="S280" s="131" t="n"/>
      <c r="T280" s="129" t="s">
        <v>180</v>
      </c>
      <c r="U280" s="130" t="s">
        <v>181</v>
      </c>
      <c r="V280" s="121" t="s">
        <v>182</v>
      </c>
      <c r="W280" s="131" t="n"/>
      <c r="X280" s="129" t="s">
        <v>180</v>
      </c>
      <c r="Y280" s="130" t="s">
        <v>181</v>
      </c>
      <c r="Z280" s="121" t="s">
        <v>182</v>
      </c>
      <c r="AA280" s="131" t="n"/>
      <c r="AB280" s="129" t="s">
        <v>180</v>
      </c>
      <c r="AC280" s="130" t="s">
        <v>181</v>
      </c>
      <c r="AD280" s="121" t="s">
        <v>182</v>
      </c>
      <c r="AE280" s="131" t="n"/>
      <c r="AF280" s="129" t="s">
        <v>180</v>
      </c>
      <c r="AG280" s="130" t="s">
        <v>181</v>
      </c>
      <c r="AH280" s="121" t="s">
        <v>182</v>
      </c>
      <c r="AI280" s="121" t="n"/>
      <c r="AJ280" s="116" t="s">
        <v>183</v>
      </c>
      <c r="AK280" s="9028" t="s"/>
    </row>
    <row hidden="false" ht="15" outlineLevel="0" r="281">
      <c r="C281" s="98" t="s">
        <v>185</v>
      </c>
      <c r="D281" s="149" t="n">
        <f aca="false" ca="false" dt2D="false" dtr="false" t="normal">HEX2BIN(D280, 8)</f>
        <v>111</v>
      </c>
      <c r="E281" s="149" t="n">
        <f aca="false" ca="false" dt2D="false" dtr="false" t="normal">HEX2BIN(E280, 8)</f>
        <v>10100101</v>
      </c>
      <c r="F281" s="149" t="n">
        <f aca="false" ca="false" dt2D="false" dtr="false" t="normal">HEX2BIN(F280, 8)</f>
        <v>1</v>
      </c>
      <c r="G281" s="149" t="n">
        <f aca="false" ca="false" dt2D="false" dtr="false" t="normal">HEX2BIN(G280, 8)</f>
        <v>100110</v>
      </c>
      <c r="H281" s="53" t="n">
        <f aca="false" ca="false" dt2D="false" dtr="false" t="normal">HEX2BIN(H280, 8)</f>
        <v>0</v>
      </c>
      <c r="I281" s="53" t="n">
        <f aca="false" ca="false" dt2D="false" dtr="false" t="normal">HEX2BIN(I280, 8)</f>
        <v>0</v>
      </c>
      <c r="J281" s="53" t="n">
        <f aca="false" ca="false" dt2D="false" dtr="false" t="normal">HEX2BIN(J280, 8)</f>
        <v>0</v>
      </c>
      <c r="K281" s="53" t="n">
        <f aca="false" ca="false" dt2D="false" dtr="false" t="normal">HEX2BIN(K280, 8)</f>
        <v>0</v>
      </c>
      <c r="L281" s="53" t="n">
        <f aca="false" ca="false" dt2D="false" dtr="false" t="normal">HEX2BIN(L280, 8)</f>
        <v>0</v>
      </c>
      <c r="M281" s="53" t="n"/>
      <c r="N281" s="63" t="n"/>
      <c r="P281" s="136" t="n">
        <f aca="false" ca="false" dt2D="false" dtr="false" t="normal">MID(H281, 1, 1)</f>
        <v>0</v>
      </c>
      <c r="Q281" s="137" t="n">
        <f aca="false" ca="false" dt2D="false" dtr="false" t="normal">P281</f>
        <v>0</v>
      </c>
      <c r="R281" s="120" t="s">
        <v>186</v>
      </c>
      <c r="S281" s="131" t="s">
        <v>196</v>
      </c>
      <c r="T281" s="136" t="n">
        <f aca="false" ca="false" dt2D="false" dtr="false" t="normal">MID(I281, 1, 1)</f>
        <v>0</v>
      </c>
      <c r="U281" s="137" t="n">
        <f aca="false" ca="false" dt2D="false" dtr="false" t="normal">T281</f>
        <v>0</v>
      </c>
      <c r="V281" s="120" t="s">
        <v>186</v>
      </c>
      <c r="W281" s="131" t="s">
        <v>196</v>
      </c>
      <c r="X281" s="136" t="n">
        <f aca="false" ca="false" dt2D="false" dtr="false" t="normal">MID(J281, 1, 1)</f>
        <v>0</v>
      </c>
      <c r="Y281" s="137" t="n">
        <f aca="false" ca="false" dt2D="false" dtr="false" t="normal">X281</f>
        <v>0</v>
      </c>
      <c r="Z281" s="120" t="s">
        <v>186</v>
      </c>
      <c r="AA281" s="131" t="s">
        <v>196</v>
      </c>
      <c r="AB281" s="136" t="n">
        <f aca="false" ca="false" dt2D="false" dtr="false" t="normal">MID(K281, 1, 1)</f>
        <v>0</v>
      </c>
      <c r="AC281" s="137" t="n">
        <f aca="false" ca="false" dt2D="false" dtr="false" t="normal">AB281</f>
        <v>0</v>
      </c>
      <c r="AD281" s="120" t="s">
        <v>186</v>
      </c>
      <c r="AE281" s="131" t="s">
        <v>196</v>
      </c>
      <c r="AF281" s="136" t="n">
        <f aca="false" ca="false" dt2D="false" dtr="false" t="normal">MID(L281, 1, 1)</f>
        <v>0</v>
      </c>
      <c r="AG281" s="137" t="n">
        <f aca="false" ca="false" dt2D="false" dtr="false" t="normal">AF281</f>
        <v>0</v>
      </c>
      <c r="AH281" s="120" t="s">
        <v>186</v>
      </c>
      <c r="AI281" s="131" t="s">
        <v>196</v>
      </c>
      <c r="AJ281" s="9029" t="s"/>
      <c r="AK281" s="9030" t="s"/>
    </row>
    <row customHeight="true" hidden="false" ht="15" outlineLevel="0" r="282">
      <c r="C282" s="98" t="s">
        <v>191</v>
      </c>
      <c r="D282" s="149" t="n">
        <f aca="false" ca="false" dt2D="false" dtr="false" t="normal">HEX2DEC(D280)</f>
        <v>7</v>
      </c>
      <c r="E282" s="149" t="n">
        <f aca="false" ca="false" dt2D="false" dtr="false" t="normal">HEX2DEC(E280)</f>
        <v>165</v>
      </c>
      <c r="F282" s="149" t="n">
        <f aca="false" ca="false" dt2D="false" dtr="false" t="normal">HEX2DEC(F280)</f>
        <v>1</v>
      </c>
      <c r="G282" s="149" t="n">
        <f aca="false" ca="false" dt2D="false" dtr="false" t="normal">HEX2DEC(G280)</f>
        <v>38</v>
      </c>
      <c r="H282" s="53" t="n">
        <f aca="false" ca="false" dt2D="false" dtr="false" t="normal">HEX2DEC(H280)</f>
        <v>0</v>
      </c>
      <c r="I282" s="53" t="n">
        <f aca="false" ca="false" dt2D="false" dtr="false" t="normal">HEX2DEC(I280)</f>
        <v>0</v>
      </c>
      <c r="J282" s="53" t="n">
        <f aca="false" ca="false" dt2D="false" dtr="false" t="normal">HEX2DEC(J280)</f>
        <v>0</v>
      </c>
      <c r="K282" s="53" t="n">
        <f aca="false" ca="false" dt2D="false" dtr="false" t="normal">HEX2DEC(K280)</f>
        <v>0</v>
      </c>
      <c r="L282" s="53" t="n">
        <f aca="false" ca="false" dt2D="false" dtr="false" t="normal">HEX2DEC(L280)</f>
        <v>0</v>
      </c>
      <c r="M282" s="53" t="n">
        <f aca="false" ca="false" dt2D="false" dtr="false" t="normal">SUM(D282:L282)</f>
        <v>211</v>
      </c>
      <c r="N282" s="63" t="n"/>
      <c r="P282" s="136" t="n">
        <f aca="false" ca="false" dt2D="false" dtr="false" t="normal">MID(H281, 2, 1)</f>
        <v>0</v>
      </c>
      <c r="Q282" s="137" t="n">
        <f aca="false" ca="false" dt2D="false" dtr="false" t="normal">P282</f>
        <v>0</v>
      </c>
      <c r="R282" s="120" t="s">
        <v>192</v>
      </c>
      <c r="S282" s="131" t="s">
        <v>196</v>
      </c>
      <c r="T282" s="136" t="n">
        <f aca="false" ca="false" dt2D="false" dtr="false" t="normal">MID(I281, 2, 1)</f>
        <v>0</v>
      </c>
      <c r="U282" s="137" t="n">
        <f aca="false" ca="false" dt2D="false" dtr="false" t="normal">T282</f>
        <v>0</v>
      </c>
      <c r="V282" s="120" t="s">
        <v>192</v>
      </c>
      <c r="W282" s="131" t="s">
        <v>196</v>
      </c>
      <c r="X282" s="136" t="n">
        <f aca="false" ca="false" dt2D="false" dtr="false" t="normal">MID(J281, 2, 1)</f>
        <v>0</v>
      </c>
      <c r="Y282" s="137" t="n">
        <f aca="false" ca="false" dt2D="false" dtr="false" t="normal">X282</f>
        <v>0</v>
      </c>
      <c r="Z282" s="120" t="s">
        <v>192</v>
      </c>
      <c r="AA282" s="131" t="s">
        <v>196</v>
      </c>
      <c r="AB282" s="136" t="n">
        <f aca="false" ca="false" dt2D="false" dtr="false" t="normal">MID(K281, 2, 1)</f>
        <v>0</v>
      </c>
      <c r="AC282" s="137" t="n">
        <f aca="false" ca="false" dt2D="false" dtr="false" t="normal">AB282</f>
        <v>0</v>
      </c>
      <c r="AD282" s="120" t="s">
        <v>192</v>
      </c>
      <c r="AE282" s="131" t="s">
        <v>196</v>
      </c>
      <c r="AF282" s="136" t="n">
        <f aca="false" ca="false" dt2D="false" dtr="false" t="normal">MID(L281, 2, 1)</f>
        <v>0</v>
      </c>
      <c r="AG282" s="137" t="n">
        <f aca="false" ca="false" dt2D="false" dtr="false" t="normal">AF282</f>
        <v>0</v>
      </c>
      <c r="AH282" s="120" t="s">
        <v>192</v>
      </c>
      <c r="AI282" s="131" t="s">
        <v>196</v>
      </c>
      <c r="AJ282" s="9031" t="s"/>
      <c r="AK282" s="9032" t="s"/>
    </row>
    <row hidden="false" ht="15" outlineLevel="0" r="283">
      <c r="C283" s="98" t="s">
        <v>194</v>
      </c>
      <c r="D283" s="149" t="n">
        <f aca="false" ca="false" dt2D="false" dtr="false" t="normal">D280</f>
        <v>7</v>
      </c>
      <c r="E283" s="149" t="str">
        <f aca="false" ca="false" dt2D="false" dtr="false" t="normal">E280</f>
        <v>A5</v>
      </c>
      <c r="F283" s="149" t="str">
        <f aca="false" ca="false" dt2D="false" dtr="false" t="normal">MID($A$29, 4, 2)</f>
        <v>G1</v>
      </c>
      <c r="G283" s="149" t="str">
        <f aca="false" ca="false" dt2D="false" dtr="false" t="normal">MID($A$29, 6, 2)</f>
        <v>HA</v>
      </c>
      <c r="N283" s="63" t="n"/>
      <c r="P283" s="136" t="n">
        <f aca="false" ca="false" dt2D="false" dtr="false" t="normal">MID(H281, 3, 1)</f>
        <v>0</v>
      </c>
      <c r="Q283" s="137" t="n">
        <f aca="false" ca="false" dt2D="false" dtr="false" t="normal">P283</f>
        <v>0</v>
      </c>
      <c r="R283" s="120" t="s">
        <v>195</v>
      </c>
      <c r="S283" s="131" t="s">
        <v>196</v>
      </c>
      <c r="T283" s="136" t="n">
        <f aca="false" ca="false" dt2D="false" dtr="false" t="normal">MID(I281, 3, 1)</f>
        <v>0</v>
      </c>
      <c r="U283" s="137" t="n">
        <f aca="false" ca="false" dt2D="false" dtr="false" t="normal">T283</f>
        <v>0</v>
      </c>
      <c r="V283" s="120" t="s">
        <v>195</v>
      </c>
      <c r="W283" s="131" t="s">
        <v>196</v>
      </c>
      <c r="X283" s="136" t="n">
        <f aca="false" ca="false" dt2D="false" dtr="false" t="normal">MID(J281, 3, 1)</f>
        <v>0</v>
      </c>
      <c r="Y283" s="137" t="n">
        <f aca="false" ca="false" dt2D="false" dtr="false" t="normal">X283</f>
        <v>0</v>
      </c>
      <c r="Z283" s="120" t="s">
        <v>195</v>
      </c>
      <c r="AA283" s="131" t="s">
        <v>196</v>
      </c>
      <c r="AB283" s="136" t="n">
        <f aca="false" ca="false" dt2D="false" dtr="false" t="normal">MID(K281, 3, 1)</f>
        <v>0</v>
      </c>
      <c r="AC283" s="137" t="n">
        <f aca="false" ca="false" dt2D="false" dtr="false" t="normal">AB283</f>
        <v>0</v>
      </c>
      <c r="AD283" s="120" t="s">
        <v>195</v>
      </c>
      <c r="AE283" s="131" t="s">
        <v>196</v>
      </c>
      <c r="AF283" s="136" t="n">
        <f aca="false" ca="false" dt2D="false" dtr="false" t="normal">MID(L281, 3, 1)</f>
        <v>0</v>
      </c>
      <c r="AG283" s="137" t="n">
        <f aca="false" ca="false" dt2D="false" dtr="false" t="normal">AF283</f>
        <v>0</v>
      </c>
      <c r="AH283" s="120" t="s">
        <v>195</v>
      </c>
      <c r="AI283" s="131" t="s">
        <v>196</v>
      </c>
      <c r="AJ283" s="9033" t="s"/>
      <c r="AK283" s="9034" t="s"/>
    </row>
    <row hidden="false" ht="15.75" outlineLevel="0" r="284">
      <c r="C284" s="98" t="n"/>
      <c r="N284" s="63" t="n"/>
      <c r="P284" s="136" t="n">
        <f aca="false" ca="false" dt2D="false" dtr="false" t="normal">MID(H281, 4, 1)</f>
        <v>0</v>
      </c>
      <c r="Q284" s="137" t="n">
        <f aca="false" ca="false" dt2D="false" dtr="false" t="normal">P284</f>
        <v>0</v>
      </c>
      <c r="R284" s="120" t="s">
        <v>197</v>
      </c>
      <c r="S284" s="131" t="s">
        <v>196</v>
      </c>
      <c r="T284" s="136" t="n">
        <f aca="false" ca="false" dt2D="false" dtr="false" t="normal">MID(I281, 4, 1)</f>
        <v>0</v>
      </c>
      <c r="U284" s="137" t="n">
        <f aca="false" ca="false" dt2D="false" dtr="false" t="normal">T284</f>
        <v>0</v>
      </c>
      <c r="V284" s="120" t="s">
        <v>197</v>
      </c>
      <c r="W284" s="131" t="s">
        <v>196</v>
      </c>
      <c r="X284" s="136" t="n">
        <f aca="false" ca="false" dt2D="false" dtr="false" t="normal">MID(J281, 4, 1)</f>
        <v>0</v>
      </c>
      <c r="Y284" s="137" t="n">
        <f aca="false" ca="false" dt2D="false" dtr="false" t="normal">X284</f>
        <v>0</v>
      </c>
      <c r="Z284" s="120" t="s">
        <v>197</v>
      </c>
      <c r="AA284" s="131" t="s">
        <v>196</v>
      </c>
      <c r="AB284" s="136" t="n">
        <f aca="false" ca="false" dt2D="false" dtr="false" t="normal">MID(K281, 4, 1)</f>
        <v>0</v>
      </c>
      <c r="AC284" s="137" t="n">
        <f aca="false" ca="false" dt2D="false" dtr="false" t="normal">AB284</f>
        <v>0</v>
      </c>
      <c r="AD284" s="120" t="s">
        <v>197</v>
      </c>
      <c r="AE284" s="131" t="s">
        <v>196</v>
      </c>
      <c r="AF284" s="136" t="n">
        <f aca="false" ca="false" dt2D="false" dtr="false" t="normal">MID(L281, 4, 1)</f>
        <v>0</v>
      </c>
      <c r="AG284" s="137" t="n">
        <f aca="false" ca="false" dt2D="false" dtr="false" t="normal">AF284</f>
        <v>0</v>
      </c>
      <c r="AH284" s="120" t="s">
        <v>197</v>
      </c>
      <c r="AI284" s="131" t="s">
        <v>196</v>
      </c>
      <c r="AJ284" s="9035" t="s"/>
      <c r="AK284" s="9036" t="s"/>
    </row>
    <row customHeight="true" hidden="false" ht="15.75" outlineLevel="0" r="285">
      <c r="C285" s="98" t="s">
        <v>176</v>
      </c>
      <c r="D285" s="122" t="n">
        <f aca="false" ca="false" dt2D="false" dtr="false" t="normal">D280</f>
        <v>7</v>
      </c>
      <c r="E285" s="123" t="str">
        <f aca="false" ca="false" dt2D="false" dtr="false" t="normal">E280</f>
        <v>A5</v>
      </c>
      <c r="F285" s="123" t="n">
        <f aca="false" ca="false" dt2D="false" dtr="false" t="normal">F280</f>
        <v>1</v>
      </c>
      <c r="G285" s="124" t="n">
        <f aca="false" ca="false" dt2D="false" dtr="false" t="normal">G280</f>
        <v>26</v>
      </c>
      <c r="H285" s="162" t="n">
        <f aca="false" ca="false" dt2D="false" dtr="false" t="normal">BIN2HEX(H286, 2)</f>
        <v>0</v>
      </c>
      <c r="I285" s="163" t="n">
        <f aca="false" ca="false" dt2D="false" dtr="false" t="normal">BIN2HEX(I286, 2)</f>
        <v>0</v>
      </c>
      <c r="J285" s="164" t="n">
        <f aca="false" ca="false" dt2D="false" dtr="false" t="normal">BIN2HEX(J286, 2)</f>
        <v>0</v>
      </c>
      <c r="K285" s="165" t="n">
        <f aca="false" ca="false" dt2D="false" dtr="false" t="normal">BIN2HEX(K286, 2)</f>
        <v>0</v>
      </c>
      <c r="L285" s="288" t="n">
        <f aca="false" ca="false" dt2D="false" dtr="false" t="normal">BIN2HEX(L286, 2)</f>
        <v>0</v>
      </c>
      <c r="M285" s="166" t="str">
        <f aca="false" ca="false" dt2D="false" dtr="false" t="normal">IF(LEN(M286)&gt;2, MID(M286, 2, 2), M286)</f>
        <v>D3</v>
      </c>
      <c r="N285" s="63" t="s">
        <v>181</v>
      </c>
      <c r="P285" s="136" t="n">
        <f aca="false" ca="false" dt2D="false" dtr="false" t="normal">MID(H281, 5, 1)</f>
        <v>0</v>
      </c>
      <c r="Q285" s="137" t="n">
        <f aca="false" ca="false" dt2D="false" dtr="false" t="normal">P285</f>
        <v>0</v>
      </c>
      <c r="R285" s="120" t="s">
        <v>200</v>
      </c>
      <c r="S285" s="131" t="s">
        <v>196</v>
      </c>
      <c r="T285" s="136" t="n">
        <f aca="false" ca="false" dt2D="false" dtr="false" t="normal">MID(I281, 5, 1)</f>
        <v>0</v>
      </c>
      <c r="U285" s="137" t="n">
        <f aca="false" ca="false" dt2D="false" dtr="false" t="normal">T285</f>
        <v>0</v>
      </c>
      <c r="V285" s="120" t="s">
        <v>200</v>
      </c>
      <c r="W285" s="131" t="s">
        <v>196</v>
      </c>
      <c r="X285" s="136" t="n">
        <f aca="false" ca="false" dt2D="false" dtr="false" t="normal">MID(J281, 5, 1)</f>
        <v>0</v>
      </c>
      <c r="Y285" s="137" t="n">
        <f aca="false" ca="false" dt2D="false" dtr="false" t="normal">X285</f>
        <v>0</v>
      </c>
      <c r="Z285" s="120" t="s">
        <v>200</v>
      </c>
      <c r="AA285" s="131" t="s">
        <v>196</v>
      </c>
      <c r="AB285" s="136" t="n">
        <f aca="false" ca="false" dt2D="false" dtr="false" t="normal">MID(K281, 5, 1)</f>
        <v>0</v>
      </c>
      <c r="AC285" s="137" t="n">
        <f aca="false" ca="false" dt2D="false" dtr="false" t="normal">AB285</f>
        <v>0</v>
      </c>
      <c r="AD285" s="120" t="s">
        <v>200</v>
      </c>
      <c r="AE285" s="131" t="s">
        <v>196</v>
      </c>
      <c r="AF285" s="136" t="n">
        <f aca="false" ca="false" dt2D="false" dtr="false" t="normal">MID(L281, 5, 1)</f>
        <v>0</v>
      </c>
      <c r="AG285" s="137" t="n">
        <f aca="false" ca="false" dt2D="false" dtr="false" t="normal">AF285</f>
        <v>0</v>
      </c>
      <c r="AH285" s="120" t="s">
        <v>200</v>
      </c>
      <c r="AI285" s="131" t="s">
        <v>196</v>
      </c>
      <c r="AJ285" s="9037" t="s"/>
      <c r="AK285" s="9038" t="s"/>
    </row>
    <row hidden="false" ht="15" outlineLevel="0" r="286">
      <c r="C286" s="98" t="s">
        <v>185</v>
      </c>
      <c r="D286" s="149" t="n">
        <f aca="false" ca="false" dt2D="false" dtr="false" t="normal">HEX2BIN(D285, 8)</f>
        <v>111</v>
      </c>
      <c r="E286" s="149" t="n">
        <f aca="false" ca="false" dt2D="false" dtr="false" t="normal">HEX2BIN(E285, 8)</f>
        <v>10100101</v>
      </c>
      <c r="F286" s="149" t="n">
        <f aca="false" ca="false" dt2D="false" dtr="false" t="normal">HEX2BIN(F285, 8)</f>
        <v>1</v>
      </c>
      <c r="G286" s="149" t="n">
        <f aca="false" ca="false" dt2D="false" dtr="false" t="normal">HEX2BIN(G285, 8)</f>
        <v>100110</v>
      </c>
      <c r="H286" s="53" t="n">
        <f aca="false" ca="false" dt2D="false" dtr="false" t="normal">Q281&amp;Q282&amp;Q283&amp;Q284&amp;Q285&amp;Q286&amp;Q287&amp;Q288</f>
        <v>0</v>
      </c>
      <c r="I286" s="53" t="n">
        <f aca="false" ca="false" dt2D="false" dtr="false" t="normal">U281&amp;U282&amp;U283&amp;U284&amp;U285&amp;U286&amp;U287&amp;U288</f>
        <v>0</v>
      </c>
      <c r="J286" s="53" t="n">
        <f aca="false" ca="false" dt2D="false" dtr="false" t="normal">Y281&amp;Y282&amp;Y283&amp;Y284&amp;Y285&amp;Y286&amp;Y287&amp;Y288</f>
        <v>0</v>
      </c>
      <c r="K286" s="53" t="n">
        <f aca="false" ca="false" dt2D="false" dtr="false" t="normal">AC281&amp;AC282&amp;AC283&amp;AC284&amp;AC285&amp;AC286&amp;AC287&amp;AC288</f>
        <v>0</v>
      </c>
      <c r="L286" s="53" t="n">
        <f aca="false" ca="false" dt2D="false" dtr="false" t="normal">AG281&amp;AG282&amp;AG283&amp;AG284&amp;AG285&amp;AG286&amp;AG287&amp;AG288</f>
        <v>0</v>
      </c>
      <c r="M286" s="53" t="str">
        <f aca="false" ca="false" dt2D="false" dtr="false" t="normal">DEC2HEX(M287)</f>
        <v>D3</v>
      </c>
      <c r="N286" s="63" t="n"/>
      <c r="P286" s="136" t="n">
        <f aca="false" ca="false" dt2D="false" dtr="false" t="normal">MID(H281, 6, 1)</f>
        <v>0</v>
      </c>
      <c r="Q286" s="137" t="n">
        <f aca="false" ca="false" dt2D="false" dtr="false" t="normal">P286</f>
        <v>0</v>
      </c>
      <c r="R286" s="120" t="s">
        <v>203</v>
      </c>
      <c r="S286" s="131" t="s">
        <v>196</v>
      </c>
      <c r="T286" s="136" t="n">
        <f aca="false" ca="false" dt2D="false" dtr="false" t="normal">MID(I281, 6, 1)</f>
        <v>0</v>
      </c>
      <c r="U286" s="137" t="n">
        <f aca="false" ca="false" dt2D="false" dtr="false" t="normal">T286</f>
        <v>0</v>
      </c>
      <c r="V286" s="120" t="s">
        <v>203</v>
      </c>
      <c r="W286" s="131" t="s">
        <v>196</v>
      </c>
      <c r="X286" s="136" t="n">
        <f aca="false" ca="false" dt2D="false" dtr="false" t="normal">MID(J281, 6, 1)</f>
        <v>0</v>
      </c>
      <c r="Y286" s="137" t="n">
        <f aca="false" ca="false" dt2D="false" dtr="false" t="normal">X286</f>
        <v>0</v>
      </c>
      <c r="Z286" s="120" t="s">
        <v>203</v>
      </c>
      <c r="AA286" s="131" t="s">
        <v>196</v>
      </c>
      <c r="AB286" s="136" t="n">
        <f aca="false" ca="false" dt2D="false" dtr="false" t="normal">MID(K281, 6, 1)</f>
        <v>0</v>
      </c>
      <c r="AC286" s="137" t="n">
        <f aca="false" ca="false" dt2D="false" dtr="false" t="normal">AB286</f>
        <v>0</v>
      </c>
      <c r="AD286" s="120" t="s">
        <v>203</v>
      </c>
      <c r="AE286" s="131" t="s">
        <v>196</v>
      </c>
      <c r="AF286" s="136" t="n">
        <f aca="false" ca="false" dt2D="false" dtr="false" t="normal">MID(L281, 6, 1)</f>
        <v>0</v>
      </c>
      <c r="AG286" s="137" t="n">
        <f aca="false" ca="false" dt2D="false" dtr="false" t="normal">AF286</f>
        <v>0</v>
      </c>
      <c r="AH286" s="120" t="s">
        <v>203</v>
      </c>
      <c r="AI286" s="131" t="s">
        <v>196</v>
      </c>
      <c r="AJ286" s="9039" t="s"/>
      <c r="AK286" s="9040" t="s"/>
    </row>
    <row hidden="false" ht="15" outlineLevel="0" r="287">
      <c r="C287" s="98" t="s">
        <v>191</v>
      </c>
      <c r="D287" s="149" t="n">
        <f aca="false" ca="false" dt2D="false" dtr="false" t="normal">HEX2DEC(D285)</f>
        <v>7</v>
      </c>
      <c r="E287" s="149" t="n">
        <f aca="false" ca="false" dt2D="false" dtr="false" t="normal">HEX2DEC(E285)</f>
        <v>165</v>
      </c>
      <c r="F287" s="149" t="n">
        <f aca="false" ca="false" dt2D="false" dtr="false" t="normal">HEX2DEC(F285)</f>
        <v>1</v>
      </c>
      <c r="G287" s="149" t="n">
        <f aca="false" ca="false" dt2D="false" dtr="false" t="normal">HEX2DEC(G285)</f>
        <v>38</v>
      </c>
      <c r="H287" s="53" t="n">
        <f aca="false" ca="false" dt2D="false" dtr="false" t="normal">HEX2DEC(H285)</f>
        <v>0</v>
      </c>
      <c r="I287" s="53" t="n">
        <f aca="false" ca="false" dt2D="false" dtr="false" t="normal">HEX2DEC(I285)</f>
        <v>0</v>
      </c>
      <c r="J287" s="53" t="n">
        <f aca="false" ca="false" dt2D="false" dtr="false" t="normal">HEX2DEC(J285)</f>
        <v>0</v>
      </c>
      <c r="K287" s="53" t="n">
        <f aca="false" ca="false" dt2D="false" dtr="false" t="normal">HEX2DEC(K285)</f>
        <v>0</v>
      </c>
      <c r="L287" s="53" t="n">
        <f aca="false" ca="false" dt2D="false" dtr="false" t="normal">HEX2DEC(L285)</f>
        <v>0</v>
      </c>
      <c r="M287" s="53" t="n">
        <f aca="false" ca="false" dt2D="false" dtr="false" t="normal">SUM(D287:L287)</f>
        <v>211</v>
      </c>
      <c r="N287" s="63" t="n"/>
      <c r="P287" s="136" t="n">
        <f aca="false" ca="false" dt2D="false" dtr="false" t="normal">MID(H281, 7, 1)</f>
        <v>0</v>
      </c>
      <c r="Q287" s="137" t="n">
        <f aca="false" ca="false" dt2D="false" dtr="false" t="normal">P287</f>
        <v>0</v>
      </c>
      <c r="R287" s="120" t="s">
        <v>206</v>
      </c>
      <c r="S287" s="131" t="s">
        <v>196</v>
      </c>
      <c r="T287" s="136" t="n">
        <f aca="false" ca="false" dt2D="false" dtr="false" t="normal">MID(I281, 7, 1)</f>
        <v>0</v>
      </c>
      <c r="U287" s="137" t="n">
        <f aca="false" ca="false" dt2D="false" dtr="false" t="normal">T287</f>
        <v>0</v>
      </c>
      <c r="V287" s="120" t="s">
        <v>206</v>
      </c>
      <c r="W287" s="131" t="s">
        <v>196</v>
      </c>
      <c r="X287" s="136" t="n">
        <f aca="false" ca="false" dt2D="false" dtr="false" t="normal">MID(J281, 7, 1)</f>
        <v>0</v>
      </c>
      <c r="Y287" s="137" t="n">
        <f aca="false" ca="false" dt2D="false" dtr="false" t="normal">X287</f>
        <v>0</v>
      </c>
      <c r="Z287" s="120" t="s">
        <v>206</v>
      </c>
      <c r="AA287" s="131" t="s">
        <v>196</v>
      </c>
      <c r="AB287" s="136" t="n">
        <f aca="false" ca="false" dt2D="false" dtr="false" t="normal">MID(K281, 7, 1)</f>
        <v>0</v>
      </c>
      <c r="AC287" s="137" t="n">
        <f aca="false" ca="false" dt2D="false" dtr="false" t="normal">AB287</f>
        <v>0</v>
      </c>
      <c r="AD287" s="120" t="s">
        <v>206</v>
      </c>
      <c r="AE287" s="131" t="s">
        <v>196</v>
      </c>
      <c r="AF287" s="136" t="n">
        <f aca="false" ca="false" dt2D="false" dtr="false" t="normal">MID(L281, 7, 1)</f>
        <v>0</v>
      </c>
      <c r="AG287" s="137" t="n">
        <f aca="false" ca="false" dt2D="false" dtr="false" t="normal">AF287</f>
        <v>0</v>
      </c>
      <c r="AH287" s="120" t="s">
        <v>206</v>
      </c>
      <c r="AI287" s="131" t="s">
        <v>196</v>
      </c>
      <c r="AJ287" s="9041" t="s"/>
      <c r="AK287" s="9042" t="s"/>
    </row>
    <row hidden="false" ht="15.75" outlineLevel="0" r="288">
      <c r="C288" s="180" t="s">
        <v>194</v>
      </c>
      <c r="D288" s="181" t="n">
        <f aca="false" ca="false" dt2D="false" dtr="false" t="normal">D283</f>
        <v>7</v>
      </c>
      <c r="E288" s="181" t="str">
        <f aca="false" ca="false" dt2D="false" dtr="false" t="normal">E283</f>
        <v>A5</v>
      </c>
      <c r="F288" s="181" t="str">
        <f aca="false" ca="false" dt2D="false" dtr="false" t="normal">F283</f>
        <v>G1</v>
      </c>
      <c r="G288" s="181" t="str">
        <f aca="false" ca="false" dt2D="false" dtr="false" t="normal">G283</f>
        <v>HA</v>
      </c>
      <c r="H288" s="45" t="n"/>
      <c r="I288" s="45" t="n"/>
      <c r="J288" s="45" t="n"/>
      <c r="K288" s="45" t="n"/>
      <c r="L288" s="45" t="n"/>
      <c r="M288" s="45" t="n"/>
      <c r="N288" s="49" t="n"/>
      <c r="P288" s="182" t="n">
        <f aca="false" ca="false" dt2D="false" dtr="false" t="normal">MID(H281, 8, 1)</f>
        <v>0</v>
      </c>
      <c r="Q288" s="183" t="n">
        <f aca="false" ca="false" dt2D="false" dtr="false" t="normal">P288</f>
        <v>0</v>
      </c>
      <c r="R288" s="184" t="s">
        <v>208</v>
      </c>
      <c r="S288" s="185" t="s">
        <v>196</v>
      </c>
      <c r="T288" s="182" t="n">
        <f aca="false" ca="false" dt2D="false" dtr="false" t="normal">MID(I281, 8, 1)</f>
        <v>0</v>
      </c>
      <c r="U288" s="183" t="n">
        <f aca="false" ca="false" dt2D="false" dtr="false" t="normal">T288</f>
        <v>0</v>
      </c>
      <c r="V288" s="184" t="s">
        <v>208</v>
      </c>
      <c r="W288" s="185" t="s">
        <v>196</v>
      </c>
      <c r="X288" s="182" t="n">
        <f aca="false" ca="false" dt2D="false" dtr="false" t="normal">MID(J281, 8, 1)</f>
        <v>0</v>
      </c>
      <c r="Y288" s="183" t="n">
        <f aca="false" ca="false" dt2D="false" dtr="false" t="normal">X288</f>
        <v>0</v>
      </c>
      <c r="Z288" s="184" t="s">
        <v>208</v>
      </c>
      <c r="AA288" s="185" t="s">
        <v>196</v>
      </c>
      <c r="AB288" s="182" t="n">
        <f aca="false" ca="false" dt2D="false" dtr="false" t="normal">MID(K281, 8, 1)</f>
        <v>0</v>
      </c>
      <c r="AC288" s="183" t="n">
        <f aca="false" ca="false" dt2D="false" dtr="false" t="normal">AB288</f>
        <v>0</v>
      </c>
      <c r="AD288" s="184" t="s">
        <v>208</v>
      </c>
      <c r="AE288" s="185" t="s">
        <v>196</v>
      </c>
      <c r="AF288" s="182" t="n">
        <f aca="false" ca="false" dt2D="false" dtr="false" t="normal">MID(L281, 8, 1)</f>
        <v>0</v>
      </c>
      <c r="AG288" s="183" t="n">
        <f aca="false" ca="false" dt2D="false" dtr="false" t="normal">AF288</f>
        <v>0</v>
      </c>
      <c r="AH288" s="184" t="s">
        <v>208</v>
      </c>
      <c r="AI288" s="185" t="s">
        <v>196</v>
      </c>
      <c r="AJ288" s="9043" t="s"/>
      <c r="AK288" s="9044" t="s"/>
    </row>
    <row hidden="false" ht="15.75" outlineLevel="0" r="289">
      <c r="C289" s="93" t="n"/>
      <c r="D289" s="7585" t="n"/>
      <c r="E289" s="7585" t="n"/>
      <c r="F289" s="7585" t="n"/>
      <c r="G289" s="7585" t="n"/>
      <c r="H289" s="94" t="n"/>
      <c r="I289" s="94" t="n"/>
      <c r="J289" s="94" t="n"/>
      <c r="K289" s="94" t="n"/>
      <c r="L289" s="94" t="n"/>
      <c r="M289" s="94" t="s">
        <v>161</v>
      </c>
      <c r="N289" s="60" t="n"/>
      <c r="P289" s="95" t="str">
        <f aca="false" ca="false" dt2D="false" dtr="false" t="normal">RIGHT(D291, 1)&amp;E291&amp;"-"&amp;F291&amp;"-"&amp;G291</f>
        <v>7A5-01-27</v>
      </c>
      <c r="Q289" s="9045" t="s"/>
      <c r="R289" s="234" t="s">
        <v>4144</v>
      </c>
      <c r="S289" s="9046" t="s"/>
      <c r="T289" s="9047" t="s"/>
      <c r="U289" s="9048" t="s"/>
      <c r="V289" s="9049" t="s"/>
      <c r="W289" s="9050" t="s"/>
      <c r="X289" s="9051" t="s"/>
      <c r="Y289" s="9052" t="s"/>
      <c r="Z289" s="9053" t="s"/>
      <c r="AA289" s="9054" t="s"/>
      <c r="AB289" s="9055" t="s"/>
      <c r="AC289" s="9056" t="s"/>
      <c r="AD289" s="9057" t="s"/>
      <c r="AE289" s="9058" t="s"/>
      <c r="AF289" s="9059" t="s"/>
      <c r="AG289" s="9060" t="s"/>
      <c r="AH289" s="9061" t="s"/>
      <c r="AI289" s="9062" t="s"/>
      <c r="AJ289" s="9063" t="s"/>
      <c r="AK289" s="9064" t="s"/>
    </row>
    <row hidden="false" ht="15.75" outlineLevel="0" r="290">
      <c r="C290" s="98" t="n"/>
      <c r="D290" s="7606" t="s">
        <v>4145</v>
      </c>
      <c r="E290" s="9065" t="s"/>
      <c r="F290" s="9066" t="s"/>
      <c r="G290" s="9067" t="s"/>
      <c r="H290" s="53" t="s">
        <v>165</v>
      </c>
      <c r="I290" s="53" t="s">
        <v>166</v>
      </c>
      <c r="J290" s="53" t="s">
        <v>167</v>
      </c>
      <c r="K290" s="53" t="s">
        <v>168</v>
      </c>
      <c r="L290" s="53" t="s">
        <v>169</v>
      </c>
      <c r="M290" s="53" t="s">
        <v>221</v>
      </c>
      <c r="N290" s="63" t="n"/>
      <c r="P290" s="103" t="s">
        <v>4146</v>
      </c>
      <c r="Q290" s="9068" t="s"/>
      <c r="R290" s="9069" t="s"/>
      <c r="S290" s="9070" t="s"/>
      <c r="T290" s="103" t="s">
        <v>4147</v>
      </c>
      <c r="U290" s="9071" t="s"/>
      <c r="V290" s="9072" t="s"/>
      <c r="W290" s="9073" t="s"/>
      <c r="X290" s="103" t="s">
        <v>4148</v>
      </c>
      <c r="Y290" s="9074" t="s"/>
      <c r="Z290" s="9075" t="s"/>
      <c r="AA290" s="9076" t="s"/>
      <c r="AB290" s="103" t="s">
        <v>4149</v>
      </c>
      <c r="AC290" s="9077" t="s"/>
      <c r="AD290" s="9078" t="s"/>
      <c r="AE290" s="9079" t="s"/>
      <c r="AF290" s="103" t="s">
        <v>4150</v>
      </c>
      <c r="AG290" s="9080" t="s"/>
      <c r="AH290" s="9081" t="s"/>
      <c r="AI290" s="9082" t="s"/>
      <c r="AJ290" s="103" t="s">
        <v>4151</v>
      </c>
      <c r="AK290" s="9083" t="s"/>
    </row>
    <row hidden="false" ht="15.75" outlineLevel="0" r="291">
      <c r="C291" s="98" t="s">
        <v>176</v>
      </c>
      <c r="D291" s="122" t="s">
        <v>177</v>
      </c>
      <c r="E291" s="123" t="s">
        <v>3892</v>
      </c>
      <c r="F291" s="123" t="s">
        <v>179</v>
      </c>
      <c r="G291" s="124" t="s">
        <v>1667</v>
      </c>
      <c r="H291" s="273" t="n">
        <f aca="false" ca="false" dt2D="false" dtr="false" t="normal">MID($A$30, 8, 2)</f>
        <v>0</v>
      </c>
      <c r="I291" s="7626" t="n">
        <f aca="false" ca="false" dt2D="false" dtr="false" t="normal">MID($A$30, 10, 2)</f>
        <v>0</v>
      </c>
      <c r="J291" s="7626" t="n">
        <f aca="false" ca="false" dt2D="false" dtr="false" t="normal">MID($A$30, 12, 2)</f>
        <v>0</v>
      </c>
      <c r="K291" s="7626" t="n">
        <f aca="false" ca="false" dt2D="false" dtr="false" t="normal">MID($A$30, 14, 2)</f>
        <v>0</v>
      </c>
      <c r="L291" s="7627" t="n">
        <f aca="false" ca="false" dt2D="false" dtr="false" t="normal">MID($A$30, 16, 2)</f>
        <v>0</v>
      </c>
      <c r="M291" s="7553" t="str">
        <f aca="false" ca="false" dt2D="false" dtr="false" t="normal">MID($A$30, 18, 2)</f>
        <v>D4</v>
      </c>
      <c r="N291" s="63" t="s">
        <v>180</v>
      </c>
      <c r="P291" s="129" t="s">
        <v>180</v>
      </c>
      <c r="Q291" s="130" t="s">
        <v>181</v>
      </c>
      <c r="R291" s="121" t="s">
        <v>182</v>
      </c>
      <c r="S291" s="131" t="n"/>
      <c r="T291" s="129" t="s">
        <v>180</v>
      </c>
      <c r="U291" s="130" t="s">
        <v>181</v>
      </c>
      <c r="V291" s="121" t="s">
        <v>182</v>
      </c>
      <c r="W291" s="131" t="n"/>
      <c r="X291" s="129" t="s">
        <v>180</v>
      </c>
      <c r="Y291" s="130" t="s">
        <v>181</v>
      </c>
      <c r="Z291" s="121" t="s">
        <v>182</v>
      </c>
      <c r="AA291" s="131" t="n"/>
      <c r="AB291" s="129" t="s">
        <v>180</v>
      </c>
      <c r="AC291" s="130" t="s">
        <v>181</v>
      </c>
      <c r="AD291" s="121" t="s">
        <v>182</v>
      </c>
      <c r="AE291" s="131" t="n"/>
      <c r="AF291" s="129" t="s">
        <v>180</v>
      </c>
      <c r="AG291" s="130" t="s">
        <v>181</v>
      </c>
      <c r="AH291" s="121" t="s">
        <v>182</v>
      </c>
      <c r="AI291" s="121" t="n"/>
      <c r="AJ291" s="116" t="s">
        <v>183</v>
      </c>
      <c r="AK291" s="9084" t="s"/>
    </row>
    <row customHeight="true" hidden="false" ht="15" outlineLevel="0" r="292">
      <c r="C292" s="98" t="s">
        <v>185</v>
      </c>
      <c r="D292" s="149" t="n">
        <f aca="false" ca="false" dt2D="false" dtr="false" t="normal">HEX2BIN(D291, 8)</f>
        <v>111</v>
      </c>
      <c r="E292" s="149" t="n">
        <f aca="false" ca="false" dt2D="false" dtr="false" t="normal">HEX2BIN(E291, 8)</f>
        <v>10100101</v>
      </c>
      <c r="F292" s="149" t="n">
        <f aca="false" ca="false" dt2D="false" dtr="false" t="normal">HEX2BIN(F291, 8)</f>
        <v>1</v>
      </c>
      <c r="G292" s="149" t="n">
        <f aca="false" ca="false" dt2D="false" dtr="false" t="normal">HEX2BIN(G291, 8)</f>
        <v>100111</v>
      </c>
      <c r="H292" s="53" t="n">
        <f aca="false" ca="false" dt2D="false" dtr="false" t="normal">HEX2BIN(H291, 8)</f>
        <v>0</v>
      </c>
      <c r="I292" s="53" t="n">
        <f aca="false" ca="false" dt2D="false" dtr="false" t="normal">HEX2BIN(I291, 8)</f>
        <v>0</v>
      </c>
      <c r="J292" s="53" t="n">
        <f aca="false" ca="false" dt2D="false" dtr="false" t="normal">HEX2BIN(J291, 8)</f>
        <v>0</v>
      </c>
      <c r="K292" s="53" t="n">
        <f aca="false" ca="false" dt2D="false" dtr="false" t="normal">HEX2BIN(K291, 8)</f>
        <v>0</v>
      </c>
      <c r="L292" s="53" t="n">
        <f aca="false" ca="false" dt2D="false" dtr="false" t="normal">HEX2BIN(L291, 8)</f>
        <v>0</v>
      </c>
      <c r="M292" s="53" t="n"/>
      <c r="N292" s="63" t="n"/>
      <c r="P292" s="136" t="n">
        <f aca="false" ca="false" dt2D="false" dtr="false" t="normal">MID(H292, 1, 1)</f>
        <v>0</v>
      </c>
      <c r="Q292" s="137" t="n">
        <f aca="false" ca="false" dt2D="false" dtr="false" t="normal">P292</f>
        <v>0</v>
      </c>
      <c r="R292" s="120" t="s">
        <v>186</v>
      </c>
      <c r="S292" s="131" t="s">
        <v>196</v>
      </c>
      <c r="T292" s="136" t="n">
        <f aca="false" ca="false" dt2D="false" dtr="false" t="normal">MID(I292, 1, 1)</f>
        <v>0</v>
      </c>
      <c r="U292" s="137" t="n">
        <f aca="false" ca="false" dt2D="false" dtr="false" t="normal">T292</f>
        <v>0</v>
      </c>
      <c r="V292" s="120" t="s">
        <v>186</v>
      </c>
      <c r="W292" s="131" t="s">
        <v>196</v>
      </c>
      <c r="X292" s="136" t="n">
        <f aca="false" ca="false" dt2D="false" dtr="false" t="normal">MID(J292, 1, 1)</f>
        <v>0</v>
      </c>
      <c r="Y292" s="137" t="n">
        <f aca="false" ca="false" dt2D="false" dtr="false" t="normal">X292</f>
        <v>0</v>
      </c>
      <c r="Z292" s="120" t="s">
        <v>186</v>
      </c>
      <c r="AA292" s="131" t="s">
        <v>196</v>
      </c>
      <c r="AB292" s="136" t="n">
        <f aca="false" ca="false" dt2D="false" dtr="false" t="normal">MID(K292, 1, 1)</f>
        <v>0</v>
      </c>
      <c r="AC292" s="137" t="n">
        <f aca="false" ca="false" dt2D="false" dtr="false" t="normal">AB292</f>
        <v>0</v>
      </c>
      <c r="AD292" s="120" t="s">
        <v>186</v>
      </c>
      <c r="AE292" s="131" t="s">
        <v>196</v>
      </c>
      <c r="AF292" s="136" t="n">
        <f aca="false" ca="false" dt2D="false" dtr="false" t="normal">MID(L292, 1, 1)</f>
        <v>0</v>
      </c>
      <c r="AG292" s="137" t="n">
        <f aca="false" ca="false" dt2D="false" dtr="false" t="normal">AF292</f>
        <v>0</v>
      </c>
      <c r="AH292" s="120" t="s">
        <v>186</v>
      </c>
      <c r="AI292" s="131" t="s">
        <v>196</v>
      </c>
      <c r="AJ292" s="9085" t="s"/>
      <c r="AK292" s="9086" t="s"/>
    </row>
    <row hidden="false" ht="15" outlineLevel="0" r="293">
      <c r="C293" s="98" t="s">
        <v>191</v>
      </c>
      <c r="D293" s="149" t="n">
        <f aca="false" ca="false" dt2D="false" dtr="false" t="normal">HEX2DEC(D291)</f>
        <v>7</v>
      </c>
      <c r="E293" s="149" t="n">
        <f aca="false" ca="false" dt2D="false" dtr="false" t="normal">HEX2DEC(E291)</f>
        <v>165</v>
      </c>
      <c r="F293" s="149" t="n">
        <f aca="false" ca="false" dt2D="false" dtr="false" t="normal">HEX2DEC(F291)</f>
        <v>1</v>
      </c>
      <c r="G293" s="149" t="n">
        <f aca="false" ca="false" dt2D="false" dtr="false" t="normal">HEX2DEC(G291)</f>
        <v>39</v>
      </c>
      <c r="H293" s="53" t="n">
        <f aca="false" ca="false" dt2D="false" dtr="false" t="normal">HEX2DEC(H291)</f>
        <v>0</v>
      </c>
      <c r="I293" s="53" t="n">
        <f aca="false" ca="false" dt2D="false" dtr="false" t="normal">HEX2DEC(I291)</f>
        <v>0</v>
      </c>
      <c r="J293" s="53" t="n">
        <f aca="false" ca="false" dt2D="false" dtr="false" t="normal">HEX2DEC(J291)</f>
        <v>0</v>
      </c>
      <c r="K293" s="53" t="n">
        <f aca="false" ca="false" dt2D="false" dtr="false" t="normal">HEX2DEC(K291)</f>
        <v>0</v>
      </c>
      <c r="L293" s="53" t="n">
        <f aca="false" ca="false" dt2D="false" dtr="false" t="normal">HEX2DEC(L291)</f>
        <v>0</v>
      </c>
      <c r="M293" s="53" t="n">
        <f aca="false" ca="false" dt2D="false" dtr="false" t="normal">SUM(D293:L293)</f>
        <v>212</v>
      </c>
      <c r="N293" s="63" t="n"/>
      <c r="P293" s="136" t="n">
        <f aca="false" ca="false" dt2D="false" dtr="false" t="normal">MID(H292, 2, 1)</f>
        <v>0</v>
      </c>
      <c r="Q293" s="137" t="n">
        <f aca="false" ca="false" dt2D="false" dtr="false" t="normal">P293</f>
        <v>0</v>
      </c>
      <c r="R293" s="120" t="s">
        <v>192</v>
      </c>
      <c r="S293" s="131" t="s">
        <v>196</v>
      </c>
      <c r="T293" s="136" t="n">
        <f aca="false" ca="false" dt2D="false" dtr="false" t="normal">MID(I292, 2, 1)</f>
        <v>0</v>
      </c>
      <c r="U293" s="137" t="n">
        <f aca="false" ca="false" dt2D="false" dtr="false" t="normal">T293</f>
        <v>0</v>
      </c>
      <c r="V293" s="120" t="s">
        <v>192</v>
      </c>
      <c r="W293" s="131" t="s">
        <v>196</v>
      </c>
      <c r="X293" s="136" t="n">
        <f aca="false" ca="false" dt2D="false" dtr="false" t="normal">MID(J292, 2, 1)</f>
        <v>0</v>
      </c>
      <c r="Y293" s="137" t="n">
        <f aca="false" ca="false" dt2D="false" dtr="false" t="normal">X293</f>
        <v>0</v>
      </c>
      <c r="Z293" s="120" t="s">
        <v>192</v>
      </c>
      <c r="AA293" s="131" t="s">
        <v>196</v>
      </c>
      <c r="AB293" s="136" t="n">
        <f aca="false" ca="false" dt2D="false" dtr="false" t="normal">MID(K292, 2, 1)</f>
        <v>0</v>
      </c>
      <c r="AC293" s="137" t="n">
        <f aca="false" ca="false" dt2D="false" dtr="false" t="normal">AB293</f>
        <v>0</v>
      </c>
      <c r="AD293" s="120" t="s">
        <v>192</v>
      </c>
      <c r="AE293" s="131" t="s">
        <v>196</v>
      </c>
      <c r="AF293" s="136" t="n">
        <f aca="false" ca="false" dt2D="false" dtr="false" t="normal">MID(L292, 2, 1)</f>
        <v>0</v>
      </c>
      <c r="AG293" s="137" t="n">
        <f aca="false" ca="false" dt2D="false" dtr="false" t="normal">AF293</f>
        <v>0</v>
      </c>
      <c r="AH293" s="120" t="s">
        <v>192</v>
      </c>
      <c r="AI293" s="131" t="s">
        <v>196</v>
      </c>
      <c r="AJ293" s="9087" t="s"/>
      <c r="AK293" s="9088" t="s"/>
    </row>
    <row hidden="false" ht="15" outlineLevel="0" r="294">
      <c r="C294" s="98" t="s">
        <v>194</v>
      </c>
      <c r="D294" s="149" t="n">
        <f aca="false" ca="false" dt2D="false" dtr="false" t="normal">D291</f>
        <v>7</v>
      </c>
      <c r="E294" s="149" t="str">
        <f aca="false" ca="false" dt2D="false" dtr="false" t="normal">E291</f>
        <v>A5</v>
      </c>
      <c r="F294" s="149" t="str">
        <f aca="false" ca="false" dt2D="false" dtr="false" t="normal">MID($A$30, 4, 2)</f>
        <v>G1</v>
      </c>
      <c r="G294" s="149" t="str">
        <f aca="false" ca="false" dt2D="false" dtr="false" t="normal">MID($A$30, 6, 2)</f>
        <v>HB</v>
      </c>
      <c r="N294" s="63" t="n"/>
      <c r="P294" s="136" t="n">
        <f aca="false" ca="false" dt2D="false" dtr="false" t="normal">MID(H292, 3, 1)</f>
        <v>0</v>
      </c>
      <c r="Q294" s="137" t="n">
        <f aca="false" ca="false" dt2D="false" dtr="false" t="normal">P294</f>
        <v>0</v>
      </c>
      <c r="R294" s="120" t="s">
        <v>195</v>
      </c>
      <c r="S294" s="131" t="s">
        <v>196</v>
      </c>
      <c r="T294" s="136" t="n">
        <f aca="false" ca="false" dt2D="false" dtr="false" t="normal">MID(I292, 3, 1)</f>
        <v>0</v>
      </c>
      <c r="U294" s="137" t="n">
        <f aca="false" ca="false" dt2D="false" dtr="false" t="normal">T294</f>
        <v>0</v>
      </c>
      <c r="V294" s="120" t="s">
        <v>195</v>
      </c>
      <c r="W294" s="131" t="s">
        <v>196</v>
      </c>
      <c r="X294" s="136" t="n">
        <f aca="false" ca="false" dt2D="false" dtr="false" t="normal">MID(J292, 3, 1)</f>
        <v>0</v>
      </c>
      <c r="Y294" s="137" t="n">
        <f aca="false" ca="false" dt2D="false" dtr="false" t="normal">X294</f>
        <v>0</v>
      </c>
      <c r="Z294" s="120" t="s">
        <v>195</v>
      </c>
      <c r="AA294" s="131" t="s">
        <v>196</v>
      </c>
      <c r="AB294" s="136" t="n">
        <f aca="false" ca="false" dt2D="false" dtr="false" t="normal">MID(K292, 3, 1)</f>
        <v>0</v>
      </c>
      <c r="AC294" s="137" t="n">
        <f aca="false" ca="false" dt2D="false" dtr="false" t="normal">AB294</f>
        <v>0</v>
      </c>
      <c r="AD294" s="120" t="s">
        <v>195</v>
      </c>
      <c r="AE294" s="131" t="s">
        <v>196</v>
      </c>
      <c r="AF294" s="136" t="n">
        <f aca="false" ca="false" dt2D="false" dtr="false" t="normal">MID(L292, 3, 1)</f>
        <v>0</v>
      </c>
      <c r="AG294" s="137" t="n">
        <f aca="false" ca="false" dt2D="false" dtr="false" t="normal">AF294</f>
        <v>0</v>
      </c>
      <c r="AH294" s="120" t="s">
        <v>195</v>
      </c>
      <c r="AI294" s="131" t="s">
        <v>196</v>
      </c>
      <c r="AJ294" s="9089" t="s"/>
      <c r="AK294" s="9090" t="s"/>
    </row>
    <row hidden="false" ht="15.75" outlineLevel="0" r="295">
      <c r="C295" s="98" t="n"/>
      <c r="N295" s="63" t="n"/>
      <c r="P295" s="136" t="n">
        <f aca="false" ca="false" dt2D="false" dtr="false" t="normal">MID(H292, 4, 1)</f>
        <v>0</v>
      </c>
      <c r="Q295" s="137" t="n">
        <f aca="false" ca="false" dt2D="false" dtr="false" t="normal">P295</f>
        <v>0</v>
      </c>
      <c r="R295" s="120" t="s">
        <v>197</v>
      </c>
      <c r="S295" s="131" t="s">
        <v>196</v>
      </c>
      <c r="T295" s="136" t="n">
        <f aca="false" ca="false" dt2D="false" dtr="false" t="normal">MID(I292, 4, 1)</f>
        <v>0</v>
      </c>
      <c r="U295" s="137" t="n">
        <f aca="false" ca="false" dt2D="false" dtr="false" t="normal">T295</f>
        <v>0</v>
      </c>
      <c r="V295" s="120" t="s">
        <v>197</v>
      </c>
      <c r="W295" s="131" t="s">
        <v>196</v>
      </c>
      <c r="X295" s="136" t="n">
        <f aca="false" ca="false" dt2D="false" dtr="false" t="normal">MID(J292, 4, 1)</f>
        <v>0</v>
      </c>
      <c r="Y295" s="137" t="n">
        <f aca="false" ca="false" dt2D="false" dtr="false" t="normal">X295</f>
        <v>0</v>
      </c>
      <c r="Z295" s="120" t="s">
        <v>197</v>
      </c>
      <c r="AA295" s="131" t="s">
        <v>196</v>
      </c>
      <c r="AB295" s="136" t="n">
        <f aca="false" ca="false" dt2D="false" dtr="false" t="normal">MID(K292, 4, 1)</f>
        <v>0</v>
      </c>
      <c r="AC295" s="137" t="n">
        <f aca="false" ca="false" dt2D="false" dtr="false" t="normal">AB295</f>
        <v>0</v>
      </c>
      <c r="AD295" s="120" t="s">
        <v>197</v>
      </c>
      <c r="AE295" s="131" t="s">
        <v>196</v>
      </c>
      <c r="AF295" s="136" t="n">
        <f aca="false" ca="false" dt2D="false" dtr="false" t="normal">MID(L292, 4, 1)</f>
        <v>0</v>
      </c>
      <c r="AG295" s="137" t="n">
        <f aca="false" ca="false" dt2D="false" dtr="false" t="normal">AF295</f>
        <v>0</v>
      </c>
      <c r="AH295" s="120" t="s">
        <v>197</v>
      </c>
      <c r="AI295" s="131" t="s">
        <v>196</v>
      </c>
      <c r="AJ295" s="9091" t="s"/>
      <c r="AK295" s="9092" t="s"/>
    </row>
    <row hidden="false" ht="15.75" outlineLevel="0" r="296">
      <c r="C296" s="98" t="s">
        <v>176</v>
      </c>
      <c r="D296" s="122" t="n">
        <f aca="false" ca="false" dt2D="false" dtr="false" t="normal">D291</f>
        <v>7</v>
      </c>
      <c r="E296" s="123" t="str">
        <f aca="false" ca="false" dt2D="false" dtr="false" t="normal">E291</f>
        <v>A5</v>
      </c>
      <c r="F296" s="123" t="n">
        <f aca="false" ca="false" dt2D="false" dtr="false" t="normal">F291</f>
        <v>1</v>
      </c>
      <c r="G296" s="124" t="n">
        <f aca="false" ca="false" dt2D="false" dtr="false" t="normal">G291</f>
        <v>27</v>
      </c>
      <c r="H296" s="162" t="n">
        <f aca="false" ca="false" dt2D="false" dtr="false" t="normal">BIN2HEX(H297, 2)</f>
        <v>0</v>
      </c>
      <c r="I296" s="163" t="n">
        <f aca="false" ca="false" dt2D="false" dtr="false" t="normal">BIN2HEX(I297, 2)</f>
        <v>0</v>
      </c>
      <c r="J296" s="164" t="n">
        <f aca="false" ca="false" dt2D="false" dtr="false" t="normal">BIN2HEX(J297, 2)</f>
        <v>0</v>
      </c>
      <c r="K296" s="165" t="n">
        <f aca="false" ca="false" dt2D="false" dtr="false" t="normal">BIN2HEX(K297, 2)</f>
        <v>0</v>
      </c>
      <c r="L296" s="288" t="n">
        <f aca="false" ca="false" dt2D="false" dtr="false" t="normal">BIN2HEX(L297, 2)</f>
        <v>0</v>
      </c>
      <c r="M296" s="166" t="str">
        <f aca="false" ca="false" dt2D="false" dtr="false" t="normal">IF(LEN(M297)&gt;2, MID(M297, 2, 2), M297)</f>
        <v>D4</v>
      </c>
      <c r="N296" s="63" t="s">
        <v>181</v>
      </c>
      <c r="P296" s="136" t="n">
        <f aca="false" ca="false" dt2D="false" dtr="false" t="normal">MID(H292, 5, 1)</f>
        <v>0</v>
      </c>
      <c r="Q296" s="137" t="n">
        <f aca="false" ca="false" dt2D="false" dtr="false" t="normal">P296</f>
        <v>0</v>
      </c>
      <c r="R296" s="120" t="s">
        <v>200</v>
      </c>
      <c r="S296" s="131" t="s">
        <v>196</v>
      </c>
      <c r="T296" s="136" t="n">
        <f aca="false" ca="false" dt2D="false" dtr="false" t="normal">MID(I292, 5, 1)</f>
        <v>0</v>
      </c>
      <c r="U296" s="137" t="n">
        <f aca="false" ca="false" dt2D="false" dtr="false" t="normal">T296</f>
        <v>0</v>
      </c>
      <c r="V296" s="120" t="s">
        <v>200</v>
      </c>
      <c r="W296" s="131" t="s">
        <v>196</v>
      </c>
      <c r="X296" s="136" t="n">
        <f aca="false" ca="false" dt2D="false" dtr="false" t="normal">MID(J292, 5, 1)</f>
        <v>0</v>
      </c>
      <c r="Y296" s="137" t="n">
        <f aca="false" ca="false" dt2D="false" dtr="false" t="normal">X296</f>
        <v>0</v>
      </c>
      <c r="Z296" s="120" t="s">
        <v>200</v>
      </c>
      <c r="AA296" s="131" t="s">
        <v>196</v>
      </c>
      <c r="AB296" s="136" t="n">
        <f aca="false" ca="false" dt2D="false" dtr="false" t="normal">MID(K292, 5, 1)</f>
        <v>0</v>
      </c>
      <c r="AC296" s="137" t="n">
        <f aca="false" ca="false" dt2D="false" dtr="false" t="normal">AB296</f>
        <v>0</v>
      </c>
      <c r="AD296" s="120" t="s">
        <v>200</v>
      </c>
      <c r="AE296" s="131" t="s">
        <v>196</v>
      </c>
      <c r="AF296" s="136" t="n">
        <f aca="false" ca="false" dt2D="false" dtr="false" t="normal">MID(L292, 5, 1)</f>
        <v>0</v>
      </c>
      <c r="AG296" s="137" t="n">
        <f aca="false" ca="false" dt2D="false" dtr="false" t="normal">AF296</f>
        <v>0</v>
      </c>
      <c r="AH296" s="120" t="s">
        <v>200</v>
      </c>
      <c r="AI296" s="131" t="s">
        <v>196</v>
      </c>
      <c r="AJ296" s="9093" t="s"/>
      <c r="AK296" s="9094" t="s"/>
    </row>
    <row hidden="false" ht="15" outlineLevel="0" r="297">
      <c r="C297" s="98" t="s">
        <v>185</v>
      </c>
      <c r="D297" s="149" t="n">
        <f aca="false" ca="false" dt2D="false" dtr="false" t="normal">HEX2BIN(D296, 8)</f>
        <v>111</v>
      </c>
      <c r="E297" s="149" t="n">
        <f aca="false" ca="false" dt2D="false" dtr="false" t="normal">HEX2BIN(E296, 8)</f>
        <v>10100101</v>
      </c>
      <c r="F297" s="149" t="n">
        <f aca="false" ca="false" dt2D="false" dtr="false" t="normal">HEX2BIN(F296, 8)</f>
        <v>1</v>
      </c>
      <c r="G297" s="149" t="n">
        <f aca="false" ca="false" dt2D="false" dtr="false" t="normal">HEX2BIN(G296, 8)</f>
        <v>100111</v>
      </c>
      <c r="H297" s="53" t="n">
        <f aca="false" ca="false" dt2D="false" dtr="false" t="normal">Q292&amp;Q293&amp;Q294&amp;Q295&amp;Q296&amp;Q297&amp;Q298&amp;Q299</f>
        <v>0</v>
      </c>
      <c r="I297" s="53" t="n">
        <f aca="false" ca="false" dt2D="false" dtr="false" t="normal">U292&amp;U293&amp;U294&amp;U295&amp;U296&amp;U297&amp;U298&amp;U299</f>
        <v>0</v>
      </c>
      <c r="J297" s="53" t="n">
        <f aca="false" ca="false" dt2D="false" dtr="false" t="normal">Y292&amp;Y293&amp;Y294&amp;Y295&amp;Y296&amp;Y297&amp;Y298&amp;Y299</f>
        <v>0</v>
      </c>
      <c r="K297" s="53" t="n">
        <f aca="false" ca="false" dt2D="false" dtr="false" t="normal">AC292&amp;AC293&amp;AC294&amp;AC295&amp;AC296&amp;AC297&amp;AC298&amp;AC299</f>
        <v>0</v>
      </c>
      <c r="L297" s="53" t="n">
        <f aca="false" ca="false" dt2D="false" dtr="false" t="normal">AG292&amp;AG293&amp;AG294&amp;AG295&amp;AG296&amp;AG297&amp;AG298&amp;AG299</f>
        <v>0</v>
      </c>
      <c r="M297" s="53" t="str">
        <f aca="false" ca="false" dt2D="false" dtr="false" t="normal">DEC2HEX(M298)</f>
        <v>D4</v>
      </c>
      <c r="N297" s="63" t="n"/>
      <c r="P297" s="136" t="n">
        <f aca="false" ca="false" dt2D="false" dtr="false" t="normal">MID(H292, 6, 1)</f>
        <v>0</v>
      </c>
      <c r="Q297" s="137" t="n">
        <f aca="false" ca="false" dt2D="false" dtr="false" t="normal">P297</f>
        <v>0</v>
      </c>
      <c r="R297" s="120" t="s">
        <v>203</v>
      </c>
      <c r="S297" s="131" t="s">
        <v>196</v>
      </c>
      <c r="T297" s="136" t="n">
        <f aca="false" ca="false" dt2D="false" dtr="false" t="normal">MID(I292, 6, 1)</f>
        <v>0</v>
      </c>
      <c r="U297" s="137" t="n">
        <f aca="false" ca="false" dt2D="false" dtr="false" t="normal">T297</f>
        <v>0</v>
      </c>
      <c r="V297" s="120" t="s">
        <v>203</v>
      </c>
      <c r="W297" s="131" t="s">
        <v>196</v>
      </c>
      <c r="X297" s="136" t="n">
        <f aca="false" ca="false" dt2D="false" dtr="false" t="normal">MID(J292, 6, 1)</f>
        <v>0</v>
      </c>
      <c r="Y297" s="137" t="n">
        <f aca="false" ca="false" dt2D="false" dtr="false" t="normal">X297</f>
        <v>0</v>
      </c>
      <c r="Z297" s="120" t="s">
        <v>203</v>
      </c>
      <c r="AA297" s="131" t="s">
        <v>196</v>
      </c>
      <c r="AB297" s="136" t="n">
        <f aca="false" ca="false" dt2D="false" dtr="false" t="normal">MID(K292, 6, 1)</f>
        <v>0</v>
      </c>
      <c r="AC297" s="137" t="n">
        <f aca="false" ca="false" dt2D="false" dtr="false" t="normal">AB297</f>
        <v>0</v>
      </c>
      <c r="AD297" s="120" t="s">
        <v>203</v>
      </c>
      <c r="AE297" s="131" t="s">
        <v>196</v>
      </c>
      <c r="AF297" s="136" t="n">
        <f aca="false" ca="false" dt2D="false" dtr="false" t="normal">MID(L292, 6, 1)</f>
        <v>0</v>
      </c>
      <c r="AG297" s="137" t="n">
        <f aca="false" ca="false" dt2D="false" dtr="false" t="normal">AF297</f>
        <v>0</v>
      </c>
      <c r="AH297" s="120" t="s">
        <v>203</v>
      </c>
      <c r="AI297" s="131" t="s">
        <v>196</v>
      </c>
      <c r="AJ297" s="9095" t="s"/>
      <c r="AK297" s="9096" t="s"/>
    </row>
    <row hidden="false" ht="15" outlineLevel="0" r="298">
      <c r="C298" s="98" t="s">
        <v>191</v>
      </c>
      <c r="D298" s="149" t="n">
        <f aca="false" ca="false" dt2D="false" dtr="false" t="normal">HEX2DEC(D296)</f>
        <v>7</v>
      </c>
      <c r="E298" s="149" t="n">
        <f aca="false" ca="false" dt2D="false" dtr="false" t="normal">HEX2DEC(E296)</f>
        <v>165</v>
      </c>
      <c r="F298" s="149" t="n">
        <f aca="false" ca="false" dt2D="false" dtr="false" t="normal">HEX2DEC(F296)</f>
        <v>1</v>
      </c>
      <c r="G298" s="149" t="n">
        <f aca="false" ca="false" dt2D="false" dtr="false" t="normal">HEX2DEC(G296)</f>
        <v>39</v>
      </c>
      <c r="H298" s="53" t="n">
        <f aca="false" ca="false" dt2D="false" dtr="false" t="normal">HEX2DEC(H296)</f>
        <v>0</v>
      </c>
      <c r="I298" s="53" t="n">
        <f aca="false" ca="false" dt2D="false" dtr="false" t="normal">HEX2DEC(I296)</f>
        <v>0</v>
      </c>
      <c r="J298" s="53" t="n">
        <f aca="false" ca="false" dt2D="false" dtr="false" t="normal">HEX2DEC(J296)</f>
        <v>0</v>
      </c>
      <c r="K298" s="53" t="n">
        <f aca="false" ca="false" dt2D="false" dtr="false" t="normal">HEX2DEC(K296)</f>
        <v>0</v>
      </c>
      <c r="L298" s="53" t="n">
        <f aca="false" ca="false" dt2D="false" dtr="false" t="normal">HEX2DEC(L296)</f>
        <v>0</v>
      </c>
      <c r="M298" s="53" t="n">
        <f aca="false" ca="false" dt2D="false" dtr="false" t="normal">SUM(D298:L298)</f>
        <v>212</v>
      </c>
      <c r="N298" s="63" t="n"/>
      <c r="P298" s="136" t="n">
        <f aca="false" ca="false" dt2D="false" dtr="false" t="normal">MID(H292, 7, 1)</f>
        <v>0</v>
      </c>
      <c r="Q298" s="137" t="n">
        <f aca="false" ca="false" dt2D="false" dtr="false" t="normal">P298</f>
        <v>0</v>
      </c>
      <c r="R298" s="120" t="s">
        <v>206</v>
      </c>
      <c r="S298" s="131" t="s">
        <v>196</v>
      </c>
      <c r="T298" s="136" t="n">
        <f aca="false" ca="false" dt2D="false" dtr="false" t="normal">MID(I292, 7, 1)</f>
        <v>0</v>
      </c>
      <c r="U298" s="137" t="n">
        <f aca="false" ca="false" dt2D="false" dtr="false" t="normal">T298</f>
        <v>0</v>
      </c>
      <c r="V298" s="120" t="s">
        <v>206</v>
      </c>
      <c r="W298" s="131" t="s">
        <v>196</v>
      </c>
      <c r="X298" s="136" t="n">
        <f aca="false" ca="false" dt2D="false" dtr="false" t="normal">MID(J292, 7, 1)</f>
        <v>0</v>
      </c>
      <c r="Y298" s="137" t="n">
        <f aca="false" ca="false" dt2D="false" dtr="false" t="normal">X298</f>
        <v>0</v>
      </c>
      <c r="Z298" s="120" t="s">
        <v>206</v>
      </c>
      <c r="AA298" s="131" t="s">
        <v>196</v>
      </c>
      <c r="AB298" s="136" t="n">
        <f aca="false" ca="false" dt2D="false" dtr="false" t="normal">MID(K292, 7, 1)</f>
        <v>0</v>
      </c>
      <c r="AC298" s="137" t="n">
        <f aca="false" ca="false" dt2D="false" dtr="false" t="normal">AB298</f>
        <v>0</v>
      </c>
      <c r="AD298" s="120" t="s">
        <v>206</v>
      </c>
      <c r="AE298" s="131" t="s">
        <v>196</v>
      </c>
      <c r="AF298" s="136" t="n">
        <f aca="false" ca="false" dt2D="false" dtr="false" t="normal">MID(L292, 7, 1)</f>
        <v>0</v>
      </c>
      <c r="AG298" s="137" t="n">
        <f aca="false" ca="false" dt2D="false" dtr="false" t="normal">AF298</f>
        <v>0</v>
      </c>
      <c r="AH298" s="120" t="s">
        <v>206</v>
      </c>
      <c r="AI298" s="131" t="s">
        <v>196</v>
      </c>
      <c r="AJ298" s="9097" t="s"/>
      <c r="AK298" s="9098" t="s"/>
    </row>
    <row hidden="false" ht="15.75" outlineLevel="0" r="299">
      <c r="C299" s="180" t="s">
        <v>194</v>
      </c>
      <c r="D299" s="181" t="n">
        <f aca="false" ca="false" dt2D="false" dtr="false" t="normal">D294</f>
        <v>7</v>
      </c>
      <c r="E299" s="181" t="str">
        <f aca="false" ca="false" dt2D="false" dtr="false" t="normal">E294</f>
        <v>A5</v>
      </c>
      <c r="F299" s="181" t="str">
        <f aca="false" ca="false" dt2D="false" dtr="false" t="normal">F294</f>
        <v>G1</v>
      </c>
      <c r="G299" s="181" t="str">
        <f aca="false" ca="false" dt2D="false" dtr="false" t="normal">G294</f>
        <v>HB</v>
      </c>
      <c r="H299" s="45" t="n"/>
      <c r="I299" s="45" t="n"/>
      <c r="J299" s="45" t="n"/>
      <c r="K299" s="45" t="n"/>
      <c r="L299" s="45" t="n"/>
      <c r="M299" s="45" t="n"/>
      <c r="N299" s="49" t="n"/>
      <c r="P299" s="182" t="n">
        <f aca="false" ca="false" dt2D="false" dtr="false" t="normal">MID(H292, 8, 1)</f>
        <v>0</v>
      </c>
      <c r="Q299" s="183" t="n">
        <f aca="false" ca="false" dt2D="false" dtr="false" t="normal">P299</f>
        <v>0</v>
      </c>
      <c r="R299" s="184" t="s">
        <v>208</v>
      </c>
      <c r="S299" s="185" t="s">
        <v>196</v>
      </c>
      <c r="T299" s="182" t="n">
        <f aca="false" ca="false" dt2D="false" dtr="false" t="normal">MID(I292, 8, 1)</f>
        <v>0</v>
      </c>
      <c r="U299" s="183" t="n">
        <f aca="false" ca="false" dt2D="false" dtr="false" t="normal">T299</f>
        <v>0</v>
      </c>
      <c r="V299" s="184" t="s">
        <v>208</v>
      </c>
      <c r="W299" s="185" t="s">
        <v>196</v>
      </c>
      <c r="X299" s="182" t="n">
        <f aca="false" ca="false" dt2D="false" dtr="false" t="normal">MID(J292, 8, 1)</f>
        <v>0</v>
      </c>
      <c r="Y299" s="183" t="n">
        <f aca="false" ca="false" dt2D="false" dtr="false" t="normal">X299</f>
        <v>0</v>
      </c>
      <c r="Z299" s="184" t="s">
        <v>208</v>
      </c>
      <c r="AA299" s="185" t="s">
        <v>196</v>
      </c>
      <c r="AB299" s="182" t="n">
        <f aca="false" ca="false" dt2D="false" dtr="false" t="normal">MID(K292, 8, 1)</f>
        <v>0</v>
      </c>
      <c r="AC299" s="183" t="n">
        <f aca="false" ca="false" dt2D="false" dtr="false" t="normal">AB299</f>
        <v>0</v>
      </c>
      <c r="AD299" s="184" t="s">
        <v>208</v>
      </c>
      <c r="AE299" s="185" t="s">
        <v>196</v>
      </c>
      <c r="AF299" s="182" t="n">
        <f aca="false" ca="false" dt2D="false" dtr="false" t="normal">MID(L292, 8, 1)</f>
        <v>0</v>
      </c>
      <c r="AG299" s="183" t="n">
        <f aca="false" ca="false" dt2D="false" dtr="false" t="normal">AF299</f>
        <v>0</v>
      </c>
      <c r="AH299" s="184" t="s">
        <v>208</v>
      </c>
      <c r="AI299" s="185" t="s">
        <v>196</v>
      </c>
      <c r="AJ299" s="9099" t="s"/>
      <c r="AK299" s="9100" t="s"/>
    </row>
    <row hidden="false" ht="15.75" outlineLevel="0" r="300">
      <c r="C300" s="93" t="n"/>
      <c r="D300" s="7585" t="n"/>
      <c r="E300" s="7585" t="n"/>
      <c r="F300" s="7585" t="n"/>
      <c r="G300" s="7585" t="n"/>
      <c r="H300" s="94" t="n"/>
      <c r="I300" s="94" t="n"/>
      <c r="J300" s="94" t="n"/>
      <c r="K300" s="94" t="n"/>
      <c r="L300" s="94" t="n"/>
      <c r="M300" s="94" t="s">
        <v>161</v>
      </c>
      <c r="N300" s="60" t="n"/>
      <c r="P300" s="95" t="str">
        <f aca="false" ca="false" dt2D="false" dtr="false" t="normal">RIGHT(D302, 1)&amp;E302&amp;"-"&amp;F302&amp;"-"&amp;G302</f>
        <v>7A5-01-28</v>
      </c>
      <c r="Q300" s="9101" t="s"/>
      <c r="R300" s="234" t="s">
        <v>4152</v>
      </c>
      <c r="S300" s="9102" t="s"/>
      <c r="T300" s="9103" t="s"/>
      <c r="U300" s="9104" t="s"/>
      <c r="V300" s="9105" t="s"/>
      <c r="W300" s="9106" t="s"/>
      <c r="X300" s="9107" t="s"/>
      <c r="Y300" s="9108" t="s"/>
      <c r="Z300" s="9109" t="s"/>
      <c r="AA300" s="9110" t="s"/>
      <c r="AB300" s="9111" t="s"/>
      <c r="AC300" s="9112" t="s"/>
      <c r="AD300" s="9113" t="s"/>
      <c r="AE300" s="9114" t="s"/>
      <c r="AF300" s="9115" t="s"/>
      <c r="AG300" s="9116" t="s"/>
      <c r="AH300" s="9117" t="s"/>
      <c r="AI300" s="9118" t="s"/>
      <c r="AJ300" s="9119" t="s"/>
      <c r="AK300" s="9120" t="s"/>
    </row>
    <row hidden="false" ht="15.75" outlineLevel="0" r="301">
      <c r="C301" s="98" t="n"/>
      <c r="D301" s="7606" t="s">
        <v>4153</v>
      </c>
      <c r="E301" s="9121" t="s"/>
      <c r="F301" s="9122" t="s"/>
      <c r="G301" s="9123" t="s"/>
      <c r="H301" s="53" t="s">
        <v>165</v>
      </c>
      <c r="I301" s="53" t="s">
        <v>166</v>
      </c>
      <c r="J301" s="53" t="s">
        <v>167</v>
      </c>
      <c r="K301" s="53" t="s">
        <v>168</v>
      </c>
      <c r="L301" s="53" t="s">
        <v>169</v>
      </c>
      <c r="M301" s="53" t="s">
        <v>221</v>
      </c>
      <c r="N301" s="63" t="n"/>
      <c r="P301" s="103" t="s">
        <v>4154</v>
      </c>
      <c r="Q301" s="9124" t="s"/>
      <c r="R301" s="9125" t="s"/>
      <c r="S301" s="9126" t="s"/>
      <c r="T301" s="103" t="s">
        <v>4155</v>
      </c>
      <c r="U301" s="9127" t="s"/>
      <c r="V301" s="9128" t="s"/>
      <c r="W301" s="9129" t="s"/>
      <c r="X301" s="103" t="s">
        <v>4156</v>
      </c>
      <c r="Y301" s="9130" t="s"/>
      <c r="Z301" s="9131" t="s"/>
      <c r="AA301" s="9132" t="s"/>
      <c r="AB301" s="103" t="s">
        <v>4157</v>
      </c>
      <c r="AC301" s="9133" t="s"/>
      <c r="AD301" s="9134" t="s"/>
      <c r="AE301" s="9135" t="s"/>
      <c r="AF301" s="103" t="s">
        <v>4158</v>
      </c>
      <c r="AG301" s="9136" t="s"/>
      <c r="AH301" s="9137" t="s"/>
      <c r="AI301" s="9138" t="s"/>
      <c r="AJ301" s="103" t="s">
        <v>4159</v>
      </c>
      <c r="AK301" s="9139" t="s"/>
    </row>
    <row hidden="false" ht="15.75" outlineLevel="0" r="302">
      <c r="C302" s="98" t="s">
        <v>176</v>
      </c>
      <c r="D302" s="122" t="s">
        <v>177</v>
      </c>
      <c r="E302" s="123" t="s">
        <v>3892</v>
      </c>
      <c r="F302" s="123" t="s">
        <v>179</v>
      </c>
      <c r="G302" s="124" t="s">
        <v>1700</v>
      </c>
      <c r="H302" s="273" t="n">
        <f aca="false" ca="false" dt2D="false" dtr="false" t="normal">MID($A$31, 8, 2)</f>
        <v>0</v>
      </c>
      <c r="I302" s="7626" t="n">
        <f aca="false" ca="false" dt2D="false" dtr="false" t="normal">MID($A$31, 10, 2)</f>
        <v>0</v>
      </c>
      <c r="J302" s="7626" t="n">
        <f aca="false" ca="false" dt2D="false" dtr="false" t="normal">MID($A$31, 12, 2)</f>
        <v>0</v>
      </c>
      <c r="K302" s="7626" t="n">
        <f aca="false" ca="false" dt2D="false" dtr="false" t="normal">MID($A$31, 14, 2)</f>
        <v>0</v>
      </c>
      <c r="L302" s="7627" t="n">
        <f aca="false" ca="false" dt2D="false" dtr="false" t="normal">MID($A$31, 16, 2)</f>
        <v>0</v>
      </c>
      <c r="M302" s="7553" t="str">
        <f aca="false" ca="false" dt2D="false" dtr="false" t="normal">MID($A$31, 18, 2)</f>
        <v>D5</v>
      </c>
      <c r="N302" s="63" t="s">
        <v>180</v>
      </c>
      <c r="P302" s="129" t="s">
        <v>180</v>
      </c>
      <c r="Q302" s="130" t="s">
        <v>181</v>
      </c>
      <c r="R302" s="121" t="s">
        <v>182</v>
      </c>
      <c r="S302" s="131" t="n"/>
      <c r="T302" s="129" t="s">
        <v>180</v>
      </c>
      <c r="U302" s="130" t="s">
        <v>181</v>
      </c>
      <c r="V302" s="121" t="s">
        <v>182</v>
      </c>
      <c r="W302" s="131" t="n"/>
      <c r="X302" s="129" t="s">
        <v>180</v>
      </c>
      <c r="Y302" s="130" t="s">
        <v>181</v>
      </c>
      <c r="Z302" s="121" t="s">
        <v>182</v>
      </c>
      <c r="AA302" s="131" t="n"/>
      <c r="AB302" s="129" t="s">
        <v>180</v>
      </c>
      <c r="AC302" s="130" t="s">
        <v>181</v>
      </c>
      <c r="AD302" s="121" t="s">
        <v>182</v>
      </c>
      <c r="AE302" s="131" t="n"/>
      <c r="AF302" s="129" t="s">
        <v>180</v>
      </c>
      <c r="AG302" s="130" t="s">
        <v>181</v>
      </c>
      <c r="AH302" s="121" t="s">
        <v>182</v>
      </c>
      <c r="AI302" s="121" t="n"/>
      <c r="AJ302" s="116" t="s">
        <v>183</v>
      </c>
      <c r="AK302" s="9140" t="s"/>
    </row>
    <row customHeight="true" hidden="false" ht="15" outlineLevel="0" r="303">
      <c r="C303" s="98" t="s">
        <v>185</v>
      </c>
      <c r="D303" s="149" t="n">
        <f aca="false" ca="false" dt2D="false" dtr="false" t="normal">HEX2BIN(D302, 8)</f>
        <v>111</v>
      </c>
      <c r="E303" s="149" t="n">
        <f aca="false" ca="false" dt2D="false" dtr="false" t="normal">HEX2BIN(E302, 8)</f>
        <v>10100101</v>
      </c>
      <c r="F303" s="149" t="n">
        <f aca="false" ca="false" dt2D="false" dtr="false" t="normal">HEX2BIN(F302, 8)</f>
        <v>1</v>
      </c>
      <c r="G303" s="149" t="n">
        <f aca="false" ca="false" dt2D="false" dtr="false" t="normal">HEX2BIN(G302, 8)</f>
        <v>101000</v>
      </c>
      <c r="H303" s="53" t="n">
        <f aca="false" ca="false" dt2D="false" dtr="false" t="normal">HEX2BIN(H302, 8)</f>
        <v>0</v>
      </c>
      <c r="I303" s="53" t="n">
        <f aca="false" ca="false" dt2D="false" dtr="false" t="normal">HEX2BIN(I302, 8)</f>
        <v>0</v>
      </c>
      <c r="J303" s="53" t="n">
        <f aca="false" ca="false" dt2D="false" dtr="false" t="normal">HEX2BIN(J302, 8)</f>
        <v>0</v>
      </c>
      <c r="K303" s="53" t="n">
        <f aca="false" ca="false" dt2D="false" dtr="false" t="normal">HEX2BIN(K302, 8)</f>
        <v>0</v>
      </c>
      <c r="L303" s="53" t="n">
        <f aca="false" ca="false" dt2D="false" dtr="false" t="normal">HEX2BIN(L302, 8)</f>
        <v>0</v>
      </c>
      <c r="M303" s="53" t="n"/>
      <c r="N303" s="63" t="n"/>
      <c r="P303" s="136" t="n">
        <f aca="false" ca="false" dt2D="false" dtr="false" t="normal">MID(H303, 1, 1)</f>
        <v>0</v>
      </c>
      <c r="Q303" s="137" t="n">
        <f aca="false" ca="false" dt2D="false" dtr="false" t="normal">P303</f>
        <v>0</v>
      </c>
      <c r="R303" s="120" t="s">
        <v>186</v>
      </c>
      <c r="S303" s="131" t="s">
        <v>196</v>
      </c>
      <c r="T303" s="136" t="n">
        <f aca="false" ca="false" dt2D="false" dtr="false" t="normal">MID(I303, 1, 1)</f>
        <v>0</v>
      </c>
      <c r="U303" s="137" t="n">
        <f aca="false" ca="false" dt2D="false" dtr="false" t="normal">T303</f>
        <v>0</v>
      </c>
      <c r="V303" s="120" t="s">
        <v>186</v>
      </c>
      <c r="W303" s="131" t="s">
        <v>196</v>
      </c>
      <c r="X303" s="136" t="n">
        <f aca="false" ca="false" dt2D="false" dtr="false" t="normal">MID(J303, 1, 1)</f>
        <v>0</v>
      </c>
      <c r="Y303" s="137" t="n">
        <f aca="false" ca="false" dt2D="false" dtr="false" t="normal">X303</f>
        <v>0</v>
      </c>
      <c r="Z303" s="120" t="s">
        <v>186</v>
      </c>
      <c r="AA303" s="131" t="s">
        <v>196</v>
      </c>
      <c r="AB303" s="136" t="n">
        <f aca="false" ca="false" dt2D="false" dtr="false" t="normal">MID(K303, 1, 1)</f>
        <v>0</v>
      </c>
      <c r="AC303" s="137" t="n">
        <f aca="false" ca="false" dt2D="false" dtr="false" t="normal">AB303</f>
        <v>0</v>
      </c>
      <c r="AD303" s="120" t="s">
        <v>186</v>
      </c>
      <c r="AE303" s="131" t="s">
        <v>196</v>
      </c>
      <c r="AF303" s="136" t="n">
        <f aca="false" ca="false" dt2D="false" dtr="false" t="normal">MID(L303, 1, 1)</f>
        <v>0</v>
      </c>
      <c r="AG303" s="137" t="n">
        <f aca="false" ca="false" dt2D="false" dtr="false" t="normal">AF303</f>
        <v>0</v>
      </c>
      <c r="AH303" s="120" t="s">
        <v>186</v>
      </c>
      <c r="AI303" s="131" t="s">
        <v>196</v>
      </c>
      <c r="AJ303" s="9141" t="s"/>
      <c r="AK303" s="9142" t="s"/>
    </row>
    <row hidden="false" ht="15" outlineLevel="0" r="304">
      <c r="C304" s="98" t="s">
        <v>191</v>
      </c>
      <c r="D304" s="149" t="n">
        <f aca="false" ca="false" dt2D="false" dtr="false" t="normal">HEX2DEC(D302)</f>
        <v>7</v>
      </c>
      <c r="E304" s="149" t="n">
        <f aca="false" ca="false" dt2D="false" dtr="false" t="normal">HEX2DEC(E302)</f>
        <v>165</v>
      </c>
      <c r="F304" s="149" t="n">
        <f aca="false" ca="false" dt2D="false" dtr="false" t="normal">HEX2DEC(F302)</f>
        <v>1</v>
      </c>
      <c r="G304" s="149" t="n">
        <f aca="false" ca="false" dt2D="false" dtr="false" t="normal">HEX2DEC(G302)</f>
        <v>40</v>
      </c>
      <c r="H304" s="53" t="n">
        <f aca="false" ca="false" dt2D="false" dtr="false" t="normal">HEX2DEC(H302)</f>
        <v>0</v>
      </c>
      <c r="I304" s="53" t="n">
        <f aca="false" ca="false" dt2D="false" dtr="false" t="normal">HEX2DEC(I302)</f>
        <v>0</v>
      </c>
      <c r="J304" s="53" t="n">
        <f aca="false" ca="false" dt2D="false" dtr="false" t="normal">HEX2DEC(J302)</f>
        <v>0</v>
      </c>
      <c r="K304" s="53" t="n">
        <f aca="false" ca="false" dt2D="false" dtr="false" t="normal">HEX2DEC(K302)</f>
        <v>0</v>
      </c>
      <c r="L304" s="53" t="n">
        <f aca="false" ca="false" dt2D="false" dtr="false" t="normal">HEX2DEC(L302)</f>
        <v>0</v>
      </c>
      <c r="M304" s="53" t="n">
        <f aca="false" ca="false" dt2D="false" dtr="false" t="normal">SUM(D304:L304)</f>
        <v>213</v>
      </c>
      <c r="N304" s="63" t="n"/>
      <c r="P304" s="136" t="n">
        <f aca="false" ca="false" dt2D="false" dtr="false" t="normal">MID(H303, 2, 1)</f>
        <v>0</v>
      </c>
      <c r="Q304" s="137" t="n">
        <f aca="false" ca="false" dt2D="false" dtr="false" t="normal">P304</f>
        <v>0</v>
      </c>
      <c r="R304" s="120" t="s">
        <v>192</v>
      </c>
      <c r="S304" s="131" t="s">
        <v>196</v>
      </c>
      <c r="T304" s="136" t="n">
        <f aca="false" ca="false" dt2D="false" dtr="false" t="normal">MID(I303, 2, 1)</f>
        <v>0</v>
      </c>
      <c r="U304" s="137" t="n">
        <f aca="false" ca="false" dt2D="false" dtr="false" t="normal">T304</f>
        <v>0</v>
      </c>
      <c r="V304" s="120" t="s">
        <v>192</v>
      </c>
      <c r="W304" s="131" t="s">
        <v>196</v>
      </c>
      <c r="X304" s="136" t="n">
        <f aca="false" ca="false" dt2D="false" dtr="false" t="normal">MID(J303, 2, 1)</f>
        <v>0</v>
      </c>
      <c r="Y304" s="137" t="n">
        <f aca="false" ca="false" dt2D="false" dtr="false" t="normal">X304</f>
        <v>0</v>
      </c>
      <c r="Z304" s="120" t="s">
        <v>192</v>
      </c>
      <c r="AA304" s="131" t="s">
        <v>196</v>
      </c>
      <c r="AB304" s="136" t="n">
        <f aca="false" ca="false" dt2D="false" dtr="false" t="normal">MID(K303, 2, 1)</f>
        <v>0</v>
      </c>
      <c r="AC304" s="137" t="n">
        <f aca="false" ca="false" dt2D="false" dtr="false" t="normal">AB304</f>
        <v>0</v>
      </c>
      <c r="AD304" s="120" t="s">
        <v>192</v>
      </c>
      <c r="AE304" s="131" t="s">
        <v>196</v>
      </c>
      <c r="AF304" s="136" t="n">
        <f aca="false" ca="false" dt2D="false" dtr="false" t="normal">MID(L303, 2, 1)</f>
        <v>0</v>
      </c>
      <c r="AG304" s="137" t="n">
        <f aca="false" ca="false" dt2D="false" dtr="false" t="normal">AF304</f>
        <v>0</v>
      </c>
      <c r="AH304" s="120" t="s">
        <v>192</v>
      </c>
      <c r="AI304" s="131" t="s">
        <v>196</v>
      </c>
      <c r="AJ304" s="9143" t="s"/>
      <c r="AK304" s="9144" t="s"/>
    </row>
    <row hidden="false" ht="15" outlineLevel="0" r="305">
      <c r="C305" s="98" t="s">
        <v>194</v>
      </c>
      <c r="D305" s="149" t="n">
        <f aca="false" ca="false" dt2D="false" dtr="false" t="normal">D302</f>
        <v>7</v>
      </c>
      <c r="E305" s="149" t="str">
        <f aca="false" ca="false" dt2D="false" dtr="false" t="normal">E302</f>
        <v>A5</v>
      </c>
      <c r="F305" s="149" t="str">
        <f aca="false" ca="false" dt2D="false" dtr="false" t="normal">MID($A$31, 4, 2)</f>
        <v>G1</v>
      </c>
      <c r="G305" s="149" t="str">
        <f aca="false" ca="false" dt2D="false" dtr="false" t="normal">MID($A$31, 6, 2)</f>
        <v>HC</v>
      </c>
      <c r="N305" s="63" t="n"/>
      <c r="P305" s="136" t="n">
        <f aca="false" ca="false" dt2D="false" dtr="false" t="normal">MID(H303, 3, 1)</f>
        <v>0</v>
      </c>
      <c r="Q305" s="137" t="n">
        <f aca="false" ca="false" dt2D="false" dtr="false" t="normal">P305</f>
        <v>0</v>
      </c>
      <c r="R305" s="120" t="s">
        <v>195</v>
      </c>
      <c r="S305" s="131" t="s">
        <v>196</v>
      </c>
      <c r="T305" s="136" t="n">
        <f aca="false" ca="false" dt2D="false" dtr="false" t="normal">MID(I303, 3, 1)</f>
        <v>0</v>
      </c>
      <c r="U305" s="137" t="n">
        <f aca="false" ca="false" dt2D="false" dtr="false" t="normal">T305</f>
        <v>0</v>
      </c>
      <c r="V305" s="120" t="s">
        <v>195</v>
      </c>
      <c r="W305" s="131" t="s">
        <v>196</v>
      </c>
      <c r="X305" s="136" t="n">
        <f aca="false" ca="false" dt2D="false" dtr="false" t="normal">MID(J303, 3, 1)</f>
        <v>0</v>
      </c>
      <c r="Y305" s="137" t="n">
        <f aca="false" ca="false" dt2D="false" dtr="false" t="normal">X305</f>
        <v>0</v>
      </c>
      <c r="Z305" s="120" t="s">
        <v>195</v>
      </c>
      <c r="AA305" s="131" t="s">
        <v>196</v>
      </c>
      <c r="AB305" s="136" t="n">
        <f aca="false" ca="false" dt2D="false" dtr="false" t="normal">MID(K303, 3, 1)</f>
        <v>0</v>
      </c>
      <c r="AC305" s="137" t="n">
        <f aca="false" ca="false" dt2D="false" dtr="false" t="normal">AB305</f>
        <v>0</v>
      </c>
      <c r="AD305" s="120" t="s">
        <v>195</v>
      </c>
      <c r="AE305" s="131" t="s">
        <v>196</v>
      </c>
      <c r="AF305" s="136" t="n">
        <f aca="false" ca="false" dt2D="false" dtr="false" t="normal">MID(L303, 3, 1)</f>
        <v>0</v>
      </c>
      <c r="AG305" s="137" t="n">
        <f aca="false" ca="false" dt2D="false" dtr="false" t="normal">AF305</f>
        <v>0</v>
      </c>
      <c r="AH305" s="120" t="s">
        <v>195</v>
      </c>
      <c r="AI305" s="131" t="s">
        <v>196</v>
      </c>
      <c r="AJ305" s="9145" t="s"/>
      <c r="AK305" s="9146" t="s"/>
    </row>
    <row hidden="false" ht="15.75" outlineLevel="0" r="306">
      <c r="C306" s="98" t="n"/>
      <c r="N306" s="63" t="n"/>
      <c r="P306" s="136" t="n">
        <f aca="false" ca="false" dt2D="false" dtr="false" t="normal">MID(H303, 4, 1)</f>
        <v>0</v>
      </c>
      <c r="Q306" s="137" t="n">
        <f aca="false" ca="false" dt2D="false" dtr="false" t="normal">P306</f>
        <v>0</v>
      </c>
      <c r="R306" s="120" t="s">
        <v>197</v>
      </c>
      <c r="S306" s="131" t="s">
        <v>196</v>
      </c>
      <c r="T306" s="136" t="n">
        <f aca="false" ca="false" dt2D="false" dtr="false" t="normal">MID(I303, 4, 1)</f>
        <v>0</v>
      </c>
      <c r="U306" s="137" t="n">
        <f aca="false" ca="false" dt2D="false" dtr="false" t="normal">T306</f>
        <v>0</v>
      </c>
      <c r="V306" s="120" t="s">
        <v>197</v>
      </c>
      <c r="W306" s="131" t="s">
        <v>196</v>
      </c>
      <c r="X306" s="136" t="n">
        <f aca="false" ca="false" dt2D="false" dtr="false" t="normal">MID(J303, 4, 1)</f>
        <v>0</v>
      </c>
      <c r="Y306" s="137" t="n">
        <f aca="false" ca="false" dt2D="false" dtr="false" t="normal">X306</f>
        <v>0</v>
      </c>
      <c r="Z306" s="120" t="s">
        <v>197</v>
      </c>
      <c r="AA306" s="131" t="s">
        <v>196</v>
      </c>
      <c r="AB306" s="136" t="n">
        <f aca="false" ca="false" dt2D="false" dtr="false" t="normal">MID(K303, 4, 1)</f>
        <v>0</v>
      </c>
      <c r="AC306" s="137" t="n">
        <f aca="false" ca="false" dt2D="false" dtr="false" t="normal">AB306</f>
        <v>0</v>
      </c>
      <c r="AD306" s="120" t="s">
        <v>197</v>
      </c>
      <c r="AE306" s="131" t="s">
        <v>196</v>
      </c>
      <c r="AF306" s="136" t="n">
        <f aca="false" ca="false" dt2D="false" dtr="false" t="normal">MID(L303, 4, 1)</f>
        <v>0</v>
      </c>
      <c r="AG306" s="137" t="n">
        <f aca="false" ca="false" dt2D="false" dtr="false" t="normal">AF306</f>
        <v>0</v>
      </c>
      <c r="AH306" s="120" t="s">
        <v>197</v>
      </c>
      <c r="AI306" s="131" t="s">
        <v>196</v>
      </c>
      <c r="AJ306" s="9147" t="s"/>
      <c r="AK306" s="9148" t="s"/>
    </row>
    <row hidden="false" ht="15.75" outlineLevel="0" r="307">
      <c r="C307" s="98" t="s">
        <v>176</v>
      </c>
      <c r="D307" s="122" t="n">
        <f aca="false" ca="false" dt2D="false" dtr="false" t="normal">D302</f>
        <v>7</v>
      </c>
      <c r="E307" s="123" t="str">
        <f aca="false" ca="false" dt2D="false" dtr="false" t="normal">E302</f>
        <v>A5</v>
      </c>
      <c r="F307" s="123" t="n">
        <f aca="false" ca="false" dt2D="false" dtr="false" t="normal">F302</f>
        <v>1</v>
      </c>
      <c r="G307" s="124" t="n">
        <f aca="false" ca="false" dt2D="false" dtr="false" t="normal">G302</f>
        <v>28</v>
      </c>
      <c r="H307" s="162" t="n">
        <f aca="false" ca="false" dt2D="false" dtr="false" t="normal">BIN2HEX(H308, 2)</f>
        <v>0</v>
      </c>
      <c r="I307" s="163" t="n">
        <f aca="false" ca="false" dt2D="false" dtr="false" t="normal">BIN2HEX(I308, 2)</f>
        <v>0</v>
      </c>
      <c r="J307" s="164" t="n">
        <f aca="false" ca="false" dt2D="false" dtr="false" t="normal">BIN2HEX(J308, 2)</f>
        <v>0</v>
      </c>
      <c r="K307" s="165" t="n">
        <f aca="false" ca="false" dt2D="false" dtr="false" t="normal">BIN2HEX(K308, 2)</f>
        <v>0</v>
      </c>
      <c r="L307" s="288" t="n">
        <f aca="false" ca="false" dt2D="false" dtr="false" t="normal">BIN2HEX(L308, 2)</f>
        <v>0</v>
      </c>
      <c r="M307" s="166" t="str">
        <f aca="false" ca="false" dt2D="false" dtr="false" t="normal">IF(LEN(M308)&gt;2, MID(M308, 2, 2), M308)</f>
        <v>D5</v>
      </c>
      <c r="N307" s="63" t="s">
        <v>181</v>
      </c>
      <c r="P307" s="136" t="n">
        <f aca="false" ca="false" dt2D="false" dtr="false" t="normal">MID(H303, 5, 1)</f>
        <v>0</v>
      </c>
      <c r="Q307" s="137" t="n">
        <f aca="false" ca="false" dt2D="false" dtr="false" t="normal">P307</f>
        <v>0</v>
      </c>
      <c r="R307" s="120" t="s">
        <v>200</v>
      </c>
      <c r="S307" s="131" t="s">
        <v>196</v>
      </c>
      <c r="T307" s="136" t="n">
        <f aca="false" ca="false" dt2D="false" dtr="false" t="normal">MID(I303, 5, 1)</f>
        <v>0</v>
      </c>
      <c r="U307" s="137" t="n">
        <f aca="false" ca="false" dt2D="false" dtr="false" t="normal">T307</f>
        <v>0</v>
      </c>
      <c r="V307" s="120" t="s">
        <v>200</v>
      </c>
      <c r="W307" s="131" t="s">
        <v>196</v>
      </c>
      <c r="X307" s="136" t="n">
        <f aca="false" ca="false" dt2D="false" dtr="false" t="normal">MID(J303, 5, 1)</f>
        <v>0</v>
      </c>
      <c r="Y307" s="137" t="n">
        <f aca="false" ca="false" dt2D="false" dtr="false" t="normal">X307</f>
        <v>0</v>
      </c>
      <c r="Z307" s="120" t="s">
        <v>200</v>
      </c>
      <c r="AA307" s="131" t="s">
        <v>196</v>
      </c>
      <c r="AB307" s="136" t="n">
        <f aca="false" ca="false" dt2D="false" dtr="false" t="normal">MID(K303, 5, 1)</f>
        <v>0</v>
      </c>
      <c r="AC307" s="137" t="n">
        <f aca="false" ca="false" dt2D="false" dtr="false" t="normal">AB307</f>
        <v>0</v>
      </c>
      <c r="AD307" s="120" t="s">
        <v>200</v>
      </c>
      <c r="AE307" s="131" t="s">
        <v>196</v>
      </c>
      <c r="AF307" s="136" t="n">
        <f aca="false" ca="false" dt2D="false" dtr="false" t="normal">MID(L303, 5, 1)</f>
        <v>0</v>
      </c>
      <c r="AG307" s="137" t="n">
        <f aca="false" ca="false" dt2D="false" dtr="false" t="normal">AF307</f>
        <v>0</v>
      </c>
      <c r="AH307" s="120" t="s">
        <v>200</v>
      </c>
      <c r="AI307" s="131" t="s">
        <v>196</v>
      </c>
      <c r="AJ307" s="9149" t="s"/>
      <c r="AK307" s="9150" t="s"/>
    </row>
    <row hidden="false" ht="15" outlineLevel="0" r="308">
      <c r="C308" s="98" t="s">
        <v>185</v>
      </c>
      <c r="D308" s="149" t="n">
        <f aca="false" ca="false" dt2D="false" dtr="false" t="normal">HEX2BIN(D307, 8)</f>
        <v>111</v>
      </c>
      <c r="E308" s="149" t="n">
        <f aca="false" ca="false" dt2D="false" dtr="false" t="normal">HEX2BIN(E307, 8)</f>
        <v>10100101</v>
      </c>
      <c r="F308" s="149" t="n">
        <f aca="false" ca="false" dt2D="false" dtr="false" t="normal">HEX2BIN(F307, 8)</f>
        <v>1</v>
      </c>
      <c r="G308" s="149" t="n">
        <f aca="false" ca="false" dt2D="false" dtr="false" t="normal">HEX2BIN(G307, 8)</f>
        <v>101000</v>
      </c>
      <c r="H308" s="53" t="n">
        <f aca="false" ca="false" dt2D="false" dtr="false" t="normal">Q303&amp;Q304&amp;Q305&amp;Q306&amp;Q307&amp;Q308&amp;Q309&amp;Q310</f>
        <v>0</v>
      </c>
      <c r="I308" s="53" t="n">
        <f aca="false" ca="false" dt2D="false" dtr="false" t="normal">U303&amp;U304&amp;U305&amp;U306&amp;U307&amp;U308&amp;U309&amp;U310</f>
        <v>0</v>
      </c>
      <c r="J308" s="53" t="n">
        <f aca="false" ca="false" dt2D="false" dtr="false" t="normal">Y303&amp;Y304&amp;Y305&amp;Y306&amp;Y307&amp;Y308&amp;Y309&amp;Y310</f>
        <v>0</v>
      </c>
      <c r="K308" s="53" t="n">
        <f aca="false" ca="false" dt2D="false" dtr="false" t="normal">AC303&amp;AC304&amp;AC305&amp;AC306&amp;AC307&amp;AC308&amp;AC309&amp;AC310</f>
        <v>0</v>
      </c>
      <c r="L308" s="53" t="n">
        <f aca="false" ca="false" dt2D="false" dtr="false" t="normal">AG303&amp;AG304&amp;AG305&amp;AG306&amp;AG307&amp;AG308&amp;AG309&amp;AG310</f>
        <v>0</v>
      </c>
      <c r="M308" s="53" t="str">
        <f aca="false" ca="false" dt2D="false" dtr="false" t="normal">DEC2HEX(M309)</f>
        <v>D5</v>
      </c>
      <c r="N308" s="63" t="n"/>
      <c r="P308" s="136" t="n">
        <f aca="false" ca="false" dt2D="false" dtr="false" t="normal">MID(H303, 6, 1)</f>
        <v>0</v>
      </c>
      <c r="Q308" s="137" t="n">
        <f aca="false" ca="false" dt2D="false" dtr="false" t="normal">P308</f>
        <v>0</v>
      </c>
      <c r="R308" s="120" t="s">
        <v>203</v>
      </c>
      <c r="S308" s="131" t="s">
        <v>196</v>
      </c>
      <c r="T308" s="136" t="n">
        <f aca="false" ca="false" dt2D="false" dtr="false" t="normal">MID(I303, 6, 1)</f>
        <v>0</v>
      </c>
      <c r="U308" s="137" t="n">
        <f aca="false" ca="false" dt2D="false" dtr="false" t="normal">T308</f>
        <v>0</v>
      </c>
      <c r="V308" s="120" t="s">
        <v>203</v>
      </c>
      <c r="W308" s="131" t="s">
        <v>196</v>
      </c>
      <c r="X308" s="136" t="n">
        <f aca="false" ca="false" dt2D="false" dtr="false" t="normal">MID(J303, 6, 1)</f>
        <v>0</v>
      </c>
      <c r="Y308" s="137" t="n">
        <f aca="false" ca="false" dt2D="false" dtr="false" t="normal">X308</f>
        <v>0</v>
      </c>
      <c r="Z308" s="120" t="s">
        <v>203</v>
      </c>
      <c r="AA308" s="131" t="s">
        <v>196</v>
      </c>
      <c r="AB308" s="136" t="n">
        <f aca="false" ca="false" dt2D="false" dtr="false" t="normal">MID(K303, 6, 1)</f>
        <v>0</v>
      </c>
      <c r="AC308" s="137" t="n">
        <f aca="false" ca="false" dt2D="false" dtr="false" t="normal">AB308</f>
        <v>0</v>
      </c>
      <c r="AD308" s="120" t="s">
        <v>203</v>
      </c>
      <c r="AE308" s="131" t="s">
        <v>196</v>
      </c>
      <c r="AF308" s="136" t="n">
        <f aca="false" ca="false" dt2D="false" dtr="false" t="normal">MID(L303, 6, 1)</f>
        <v>0</v>
      </c>
      <c r="AG308" s="137" t="n">
        <f aca="false" ca="false" dt2D="false" dtr="false" t="normal">AF308</f>
        <v>0</v>
      </c>
      <c r="AH308" s="120" t="s">
        <v>203</v>
      </c>
      <c r="AI308" s="131" t="s">
        <v>196</v>
      </c>
      <c r="AJ308" s="9151" t="s"/>
      <c r="AK308" s="9152" t="s"/>
    </row>
    <row hidden="false" ht="15" outlineLevel="0" r="309">
      <c r="C309" s="98" t="s">
        <v>191</v>
      </c>
      <c r="D309" s="149" t="n">
        <f aca="false" ca="false" dt2D="false" dtr="false" t="normal">HEX2DEC(D307)</f>
        <v>7</v>
      </c>
      <c r="E309" s="149" t="n">
        <f aca="false" ca="false" dt2D="false" dtr="false" t="normal">HEX2DEC(E307)</f>
        <v>165</v>
      </c>
      <c r="F309" s="149" t="n">
        <f aca="false" ca="false" dt2D="false" dtr="false" t="normal">HEX2DEC(F307)</f>
        <v>1</v>
      </c>
      <c r="G309" s="149" t="n">
        <f aca="false" ca="false" dt2D="false" dtr="false" t="normal">HEX2DEC(G307)</f>
        <v>40</v>
      </c>
      <c r="H309" s="53" t="n">
        <f aca="false" ca="false" dt2D="false" dtr="false" t="normal">HEX2DEC(H307)</f>
        <v>0</v>
      </c>
      <c r="I309" s="53" t="n">
        <f aca="false" ca="false" dt2D="false" dtr="false" t="normal">HEX2DEC(I307)</f>
        <v>0</v>
      </c>
      <c r="J309" s="53" t="n">
        <f aca="false" ca="false" dt2D="false" dtr="false" t="normal">HEX2DEC(J307)</f>
        <v>0</v>
      </c>
      <c r="K309" s="53" t="n">
        <f aca="false" ca="false" dt2D="false" dtr="false" t="normal">HEX2DEC(K307)</f>
        <v>0</v>
      </c>
      <c r="L309" s="53" t="n">
        <f aca="false" ca="false" dt2D="false" dtr="false" t="normal">HEX2DEC(L307)</f>
        <v>0</v>
      </c>
      <c r="M309" s="53" t="n">
        <f aca="false" ca="false" dt2D="false" dtr="false" t="normal">SUM(D309:L309)</f>
        <v>213</v>
      </c>
      <c r="N309" s="63" t="n"/>
      <c r="P309" s="136" t="n">
        <f aca="false" ca="false" dt2D="false" dtr="false" t="normal">MID(H303, 7, 1)</f>
        <v>0</v>
      </c>
      <c r="Q309" s="137" t="n">
        <f aca="false" ca="false" dt2D="false" dtr="false" t="normal">P309</f>
        <v>0</v>
      </c>
      <c r="R309" s="120" t="s">
        <v>206</v>
      </c>
      <c r="S309" s="131" t="s">
        <v>196</v>
      </c>
      <c r="T309" s="136" t="n">
        <f aca="false" ca="false" dt2D="false" dtr="false" t="normal">MID(I303, 7, 1)</f>
        <v>0</v>
      </c>
      <c r="U309" s="137" t="n">
        <f aca="false" ca="false" dt2D="false" dtr="false" t="normal">T309</f>
        <v>0</v>
      </c>
      <c r="V309" s="120" t="s">
        <v>206</v>
      </c>
      <c r="W309" s="131" t="s">
        <v>196</v>
      </c>
      <c r="X309" s="136" t="n">
        <f aca="false" ca="false" dt2D="false" dtr="false" t="normal">MID(J303, 7, 1)</f>
        <v>0</v>
      </c>
      <c r="Y309" s="137" t="n">
        <f aca="false" ca="false" dt2D="false" dtr="false" t="normal">X309</f>
        <v>0</v>
      </c>
      <c r="Z309" s="120" t="s">
        <v>206</v>
      </c>
      <c r="AA309" s="131" t="s">
        <v>196</v>
      </c>
      <c r="AB309" s="136" t="n">
        <f aca="false" ca="false" dt2D="false" dtr="false" t="normal">MID(K303, 7, 1)</f>
        <v>0</v>
      </c>
      <c r="AC309" s="137" t="n">
        <f aca="false" ca="false" dt2D="false" dtr="false" t="normal">AB309</f>
        <v>0</v>
      </c>
      <c r="AD309" s="120" t="s">
        <v>206</v>
      </c>
      <c r="AE309" s="131" t="s">
        <v>196</v>
      </c>
      <c r="AF309" s="136" t="n">
        <f aca="false" ca="false" dt2D="false" dtr="false" t="normal">MID(L303, 7, 1)</f>
        <v>0</v>
      </c>
      <c r="AG309" s="137" t="n">
        <f aca="false" ca="false" dt2D="false" dtr="false" t="normal">AF309</f>
        <v>0</v>
      </c>
      <c r="AH309" s="120" t="s">
        <v>206</v>
      </c>
      <c r="AI309" s="131" t="s">
        <v>196</v>
      </c>
      <c r="AJ309" s="9153" t="s"/>
      <c r="AK309" s="9154" t="s"/>
    </row>
    <row hidden="false" ht="15.75" outlineLevel="0" r="310">
      <c r="C310" s="180" t="s">
        <v>194</v>
      </c>
      <c r="D310" s="181" t="n">
        <f aca="false" ca="false" dt2D="false" dtr="false" t="normal">D305</f>
        <v>7</v>
      </c>
      <c r="E310" s="181" t="str">
        <f aca="false" ca="false" dt2D="false" dtr="false" t="normal">E305</f>
        <v>A5</v>
      </c>
      <c r="F310" s="181" t="str">
        <f aca="false" ca="false" dt2D="false" dtr="false" t="normal">F305</f>
        <v>G1</v>
      </c>
      <c r="G310" s="181" t="str">
        <f aca="false" ca="false" dt2D="false" dtr="false" t="normal">G305</f>
        <v>HC</v>
      </c>
      <c r="H310" s="45" t="n"/>
      <c r="I310" s="45" t="n"/>
      <c r="J310" s="45" t="n"/>
      <c r="K310" s="45" t="n"/>
      <c r="L310" s="45" t="n"/>
      <c r="M310" s="45" t="n"/>
      <c r="N310" s="49" t="n"/>
      <c r="P310" s="182" t="n">
        <f aca="false" ca="false" dt2D="false" dtr="false" t="normal">MID(H303, 8, 1)</f>
        <v>0</v>
      </c>
      <c r="Q310" s="183" t="n">
        <f aca="false" ca="false" dt2D="false" dtr="false" t="normal">P310</f>
        <v>0</v>
      </c>
      <c r="R310" s="184" t="s">
        <v>208</v>
      </c>
      <c r="S310" s="185" t="s">
        <v>196</v>
      </c>
      <c r="T310" s="182" t="n">
        <f aca="false" ca="false" dt2D="false" dtr="false" t="normal">MID(I303, 8, 1)</f>
        <v>0</v>
      </c>
      <c r="U310" s="183" t="n">
        <f aca="false" ca="false" dt2D="false" dtr="false" t="normal">T310</f>
        <v>0</v>
      </c>
      <c r="V310" s="184" t="s">
        <v>208</v>
      </c>
      <c r="W310" s="185" t="s">
        <v>196</v>
      </c>
      <c r="X310" s="182" t="n">
        <f aca="false" ca="false" dt2D="false" dtr="false" t="normal">MID(J303, 8, 1)</f>
        <v>0</v>
      </c>
      <c r="Y310" s="183" t="n">
        <f aca="false" ca="false" dt2D="false" dtr="false" t="normal">X310</f>
        <v>0</v>
      </c>
      <c r="Z310" s="184" t="s">
        <v>208</v>
      </c>
      <c r="AA310" s="185" t="s">
        <v>196</v>
      </c>
      <c r="AB310" s="182" t="n">
        <f aca="false" ca="false" dt2D="false" dtr="false" t="normal">MID(K303, 8, 1)</f>
        <v>0</v>
      </c>
      <c r="AC310" s="183" t="n">
        <f aca="false" ca="false" dt2D="false" dtr="false" t="normal">AB310</f>
        <v>0</v>
      </c>
      <c r="AD310" s="184" t="s">
        <v>208</v>
      </c>
      <c r="AE310" s="185" t="s">
        <v>196</v>
      </c>
      <c r="AF310" s="182" t="n">
        <f aca="false" ca="false" dt2D="false" dtr="false" t="normal">MID(L303, 8, 1)</f>
        <v>0</v>
      </c>
      <c r="AG310" s="183" t="n">
        <f aca="false" ca="false" dt2D="false" dtr="false" t="normal">AF310</f>
        <v>0</v>
      </c>
      <c r="AH310" s="184" t="s">
        <v>208</v>
      </c>
      <c r="AI310" s="185" t="s">
        <v>196</v>
      </c>
      <c r="AJ310" s="9155" t="s"/>
      <c r="AK310" s="9156" t="s"/>
    </row>
    <row hidden="false" ht="15.75" outlineLevel="0" r="311">
      <c r="C311" s="93" t="n"/>
      <c r="D311" s="7585" t="n"/>
      <c r="E311" s="7585" t="n"/>
      <c r="F311" s="7585" t="n"/>
      <c r="G311" s="7585" t="n"/>
      <c r="H311" s="94" t="n"/>
      <c r="I311" s="94" t="n"/>
      <c r="J311" s="94" t="n"/>
      <c r="K311" s="94" t="n"/>
      <c r="L311" s="94" t="n"/>
      <c r="M311" s="94" t="s">
        <v>161</v>
      </c>
      <c r="N311" s="60" t="n"/>
      <c r="P311" s="95" t="str">
        <f aca="false" ca="false" dt2D="false" dtr="false" t="normal">RIGHT(D313, 1)&amp;E313&amp;"-"&amp;F313&amp;"-"&amp;G313</f>
        <v>7A5-01-29</v>
      </c>
      <c r="Q311" s="9157" t="s"/>
      <c r="R311" s="234" t="s">
        <v>4160</v>
      </c>
      <c r="S311" s="9158" t="s"/>
      <c r="T311" s="9159" t="s"/>
      <c r="U311" s="9160" t="s"/>
      <c r="V311" s="9161" t="s"/>
      <c r="W311" s="9162" t="s"/>
      <c r="X311" s="9163" t="s"/>
      <c r="Y311" s="9164" t="s"/>
      <c r="Z311" s="9165" t="s"/>
      <c r="AA311" s="9166" t="s"/>
      <c r="AB311" s="9167" t="s"/>
      <c r="AC311" s="9168" t="s"/>
      <c r="AD311" s="9169" t="s"/>
      <c r="AE311" s="9170" t="s"/>
      <c r="AF311" s="9171" t="s"/>
      <c r="AG311" s="9172" t="s"/>
      <c r="AH311" s="9173" t="s"/>
      <c r="AI311" s="9174" t="s"/>
      <c r="AJ311" s="9175" t="s"/>
      <c r="AK311" s="9176" t="s"/>
    </row>
    <row hidden="false" ht="15.75" outlineLevel="0" r="312">
      <c r="C312" s="98" t="n"/>
      <c r="D312" s="7606" t="s">
        <v>4161</v>
      </c>
      <c r="E312" s="9177" t="s"/>
      <c r="F312" s="9178" t="s"/>
      <c r="G312" s="9179" t="s"/>
      <c r="H312" s="53" t="s">
        <v>165</v>
      </c>
      <c r="I312" s="53" t="s">
        <v>166</v>
      </c>
      <c r="J312" s="53" t="s">
        <v>167</v>
      </c>
      <c r="K312" s="53" t="s">
        <v>168</v>
      </c>
      <c r="L312" s="53" t="s">
        <v>169</v>
      </c>
      <c r="M312" s="53" t="s">
        <v>221</v>
      </c>
      <c r="N312" s="63" t="n"/>
      <c r="P312" s="103" t="s">
        <v>4162</v>
      </c>
      <c r="Q312" s="9180" t="s"/>
      <c r="R312" s="9181" t="s"/>
      <c r="S312" s="9182" t="s"/>
      <c r="T312" s="103" t="s">
        <v>4163</v>
      </c>
      <c r="U312" s="9183" t="s"/>
      <c r="V312" s="9184" t="s"/>
      <c r="W312" s="9185" t="s"/>
      <c r="X312" s="103" t="s">
        <v>4164</v>
      </c>
      <c r="Y312" s="9186" t="s"/>
      <c r="Z312" s="9187" t="s"/>
      <c r="AA312" s="9188" t="s"/>
      <c r="AB312" s="103" t="s">
        <v>4165</v>
      </c>
      <c r="AC312" s="9189" t="s"/>
      <c r="AD312" s="9190" t="s"/>
      <c r="AE312" s="9191" t="s"/>
      <c r="AF312" s="103" t="s">
        <v>4166</v>
      </c>
      <c r="AG312" s="9192" t="s"/>
      <c r="AH312" s="9193" t="s"/>
      <c r="AI312" s="9194" t="s"/>
      <c r="AJ312" s="103" t="s">
        <v>4167</v>
      </c>
      <c r="AK312" s="9195" t="s"/>
    </row>
    <row hidden="false" ht="15.75" outlineLevel="0" r="313">
      <c r="C313" s="98" t="s">
        <v>176</v>
      </c>
      <c r="D313" s="122" t="s">
        <v>177</v>
      </c>
      <c r="E313" s="123" t="s">
        <v>3892</v>
      </c>
      <c r="F313" s="123" t="s">
        <v>179</v>
      </c>
      <c r="G313" s="124" t="s">
        <v>2930</v>
      </c>
      <c r="H313" s="273" t="n">
        <f aca="false" ca="false" dt2D="false" dtr="false" t="normal">MID($A$32, 8, 2)</f>
        <v>0</v>
      </c>
      <c r="I313" s="7626" t="n">
        <f aca="false" ca="false" dt2D="false" dtr="false" t="normal">MID($A$32, 10, 2)</f>
        <v>0</v>
      </c>
      <c r="J313" s="7626" t="n">
        <f aca="false" ca="false" dt2D="false" dtr="false" t="normal">MID($A$32, 12, 2)</f>
        <v>0</v>
      </c>
      <c r="K313" s="7626" t="n">
        <f aca="false" ca="false" dt2D="false" dtr="false" t="normal">MID($A$32, 14, 2)</f>
        <v>0</v>
      </c>
      <c r="L313" s="7627" t="n">
        <f aca="false" ca="false" dt2D="false" dtr="false" t="normal">MID($A$32, 16, 2)</f>
        <v>0</v>
      </c>
      <c r="M313" s="7553" t="str">
        <f aca="false" ca="false" dt2D="false" dtr="false" t="normal">MID($A$32, 18, 2)</f>
        <v>D6</v>
      </c>
      <c r="N313" s="63" t="s">
        <v>180</v>
      </c>
      <c r="P313" s="129" t="s">
        <v>180</v>
      </c>
      <c r="Q313" s="130" t="s">
        <v>181</v>
      </c>
      <c r="R313" s="121" t="s">
        <v>182</v>
      </c>
      <c r="S313" s="131" t="n"/>
      <c r="T313" s="129" t="s">
        <v>180</v>
      </c>
      <c r="U313" s="130" t="s">
        <v>181</v>
      </c>
      <c r="V313" s="121" t="s">
        <v>182</v>
      </c>
      <c r="W313" s="131" t="n"/>
      <c r="X313" s="129" t="s">
        <v>180</v>
      </c>
      <c r="Y313" s="130" t="s">
        <v>181</v>
      </c>
      <c r="Z313" s="121" t="s">
        <v>182</v>
      </c>
      <c r="AA313" s="131" t="n"/>
      <c r="AB313" s="129" t="s">
        <v>180</v>
      </c>
      <c r="AC313" s="130" t="s">
        <v>181</v>
      </c>
      <c r="AD313" s="121" t="s">
        <v>182</v>
      </c>
      <c r="AE313" s="131" t="n"/>
      <c r="AF313" s="129" t="s">
        <v>180</v>
      </c>
      <c r="AG313" s="130" t="s">
        <v>181</v>
      </c>
      <c r="AH313" s="121" t="s">
        <v>182</v>
      </c>
      <c r="AI313" s="121" t="n"/>
      <c r="AJ313" s="116" t="s">
        <v>183</v>
      </c>
      <c r="AK313" s="9196" t="s"/>
    </row>
    <row customHeight="true" hidden="false" ht="15" outlineLevel="0" r="314">
      <c r="C314" s="98" t="s">
        <v>185</v>
      </c>
      <c r="D314" s="149" t="n">
        <f aca="false" ca="false" dt2D="false" dtr="false" t="normal">HEX2BIN(D313, 8)</f>
        <v>111</v>
      </c>
      <c r="E314" s="149" t="n">
        <f aca="false" ca="false" dt2D="false" dtr="false" t="normal">HEX2BIN(E313, 8)</f>
        <v>10100101</v>
      </c>
      <c r="F314" s="149" t="n">
        <f aca="false" ca="false" dt2D="false" dtr="false" t="normal">HEX2BIN(F313, 8)</f>
        <v>1</v>
      </c>
      <c r="G314" s="149" t="n">
        <f aca="false" ca="false" dt2D="false" dtr="false" t="normal">HEX2BIN(G313, 8)</f>
        <v>101001</v>
      </c>
      <c r="H314" s="53" t="n">
        <f aca="false" ca="false" dt2D="false" dtr="false" t="normal">HEX2BIN(H313, 8)</f>
        <v>0</v>
      </c>
      <c r="I314" s="53" t="n">
        <f aca="false" ca="false" dt2D="false" dtr="false" t="normal">HEX2BIN(I313, 8)</f>
        <v>0</v>
      </c>
      <c r="J314" s="53" t="n">
        <f aca="false" ca="false" dt2D="false" dtr="false" t="normal">HEX2BIN(J313, 8)</f>
        <v>0</v>
      </c>
      <c r="K314" s="53" t="n">
        <f aca="false" ca="false" dt2D="false" dtr="false" t="normal">HEX2BIN(K313, 8)</f>
        <v>0</v>
      </c>
      <c r="L314" s="53" t="n">
        <f aca="false" ca="false" dt2D="false" dtr="false" t="normal">HEX2BIN(L313, 8)</f>
        <v>0</v>
      </c>
      <c r="M314" s="53" t="n"/>
      <c r="N314" s="63" t="n"/>
      <c r="P314" s="136" t="n">
        <f aca="false" ca="false" dt2D="false" dtr="false" t="normal">MID(H314, 1, 1)</f>
        <v>0</v>
      </c>
      <c r="Q314" s="137" t="n">
        <f aca="false" ca="false" dt2D="false" dtr="false" t="normal">P314</f>
        <v>0</v>
      </c>
      <c r="R314" s="120" t="s">
        <v>186</v>
      </c>
      <c r="S314" s="131" t="s">
        <v>196</v>
      </c>
      <c r="T314" s="136" t="n">
        <f aca="false" ca="false" dt2D="false" dtr="false" t="normal">MID(I314, 1, 1)</f>
        <v>0</v>
      </c>
      <c r="U314" s="137" t="n">
        <f aca="false" ca="false" dt2D="false" dtr="false" t="normal">T314</f>
        <v>0</v>
      </c>
      <c r="V314" s="120" t="s">
        <v>186</v>
      </c>
      <c r="W314" s="131" t="s">
        <v>196</v>
      </c>
      <c r="X314" s="136" t="n">
        <f aca="false" ca="false" dt2D="false" dtr="false" t="normal">MID(J314, 1, 1)</f>
        <v>0</v>
      </c>
      <c r="Y314" s="137" t="n">
        <f aca="false" ca="false" dt2D="false" dtr="false" t="normal">X314</f>
        <v>0</v>
      </c>
      <c r="Z314" s="120" t="s">
        <v>186</v>
      </c>
      <c r="AA314" s="131" t="s">
        <v>196</v>
      </c>
      <c r="AB314" s="136" t="n">
        <f aca="false" ca="false" dt2D="false" dtr="false" t="normal">MID(K314, 1, 1)</f>
        <v>0</v>
      </c>
      <c r="AC314" s="137" t="n">
        <f aca="false" ca="false" dt2D="false" dtr="false" t="normal">AB314</f>
        <v>0</v>
      </c>
      <c r="AD314" s="120" t="s">
        <v>186</v>
      </c>
      <c r="AE314" s="131" t="s">
        <v>196</v>
      </c>
      <c r="AF314" s="136" t="n">
        <f aca="false" ca="false" dt2D="false" dtr="false" t="normal">MID(L314, 1, 1)</f>
        <v>0</v>
      </c>
      <c r="AG314" s="137" t="n">
        <f aca="false" ca="false" dt2D="false" dtr="false" t="normal">AF314</f>
        <v>0</v>
      </c>
      <c r="AH314" s="120" t="s">
        <v>186</v>
      </c>
      <c r="AI314" s="131" t="s">
        <v>196</v>
      </c>
      <c r="AJ314" s="9197" t="s"/>
      <c r="AK314" s="9198" t="s"/>
    </row>
    <row hidden="false" ht="15" outlineLevel="0" r="315">
      <c r="C315" s="98" t="s">
        <v>191</v>
      </c>
      <c r="D315" s="149" t="n">
        <f aca="false" ca="false" dt2D="false" dtr="false" t="normal">HEX2DEC(D313)</f>
        <v>7</v>
      </c>
      <c r="E315" s="149" t="n">
        <f aca="false" ca="false" dt2D="false" dtr="false" t="normal">HEX2DEC(E313)</f>
        <v>165</v>
      </c>
      <c r="F315" s="149" t="n">
        <f aca="false" ca="false" dt2D="false" dtr="false" t="normal">HEX2DEC(F313)</f>
        <v>1</v>
      </c>
      <c r="G315" s="149" t="n">
        <f aca="false" ca="false" dt2D="false" dtr="false" t="normal">HEX2DEC(G313)</f>
        <v>41</v>
      </c>
      <c r="H315" s="53" t="n">
        <f aca="false" ca="false" dt2D="false" dtr="false" t="normal">HEX2DEC(H313)</f>
        <v>0</v>
      </c>
      <c r="I315" s="53" t="n">
        <f aca="false" ca="false" dt2D="false" dtr="false" t="normal">HEX2DEC(I313)</f>
        <v>0</v>
      </c>
      <c r="J315" s="53" t="n">
        <f aca="false" ca="false" dt2D="false" dtr="false" t="normal">HEX2DEC(J313)</f>
        <v>0</v>
      </c>
      <c r="K315" s="53" t="n">
        <f aca="false" ca="false" dt2D="false" dtr="false" t="normal">HEX2DEC(K313)</f>
        <v>0</v>
      </c>
      <c r="L315" s="53" t="n">
        <f aca="false" ca="false" dt2D="false" dtr="false" t="normal">HEX2DEC(L313)</f>
        <v>0</v>
      </c>
      <c r="M315" s="53" t="n">
        <f aca="false" ca="false" dt2D="false" dtr="false" t="normal">SUM(D315:L315)</f>
        <v>214</v>
      </c>
      <c r="N315" s="63" t="n"/>
      <c r="P315" s="136" t="n">
        <f aca="false" ca="false" dt2D="false" dtr="false" t="normal">MID(H314, 2, 1)</f>
        <v>0</v>
      </c>
      <c r="Q315" s="137" t="n">
        <f aca="false" ca="false" dt2D="false" dtr="false" t="normal">P315</f>
        <v>0</v>
      </c>
      <c r="R315" s="120" t="s">
        <v>192</v>
      </c>
      <c r="S315" s="131" t="s">
        <v>196</v>
      </c>
      <c r="T315" s="136" t="n">
        <f aca="false" ca="false" dt2D="false" dtr="false" t="normal">MID(I314, 2, 1)</f>
        <v>0</v>
      </c>
      <c r="U315" s="137" t="n">
        <f aca="false" ca="false" dt2D="false" dtr="false" t="normal">T315</f>
        <v>0</v>
      </c>
      <c r="V315" s="120" t="s">
        <v>192</v>
      </c>
      <c r="W315" s="131" t="s">
        <v>196</v>
      </c>
      <c r="X315" s="136" t="n">
        <f aca="false" ca="false" dt2D="false" dtr="false" t="normal">MID(J314, 2, 1)</f>
        <v>0</v>
      </c>
      <c r="Y315" s="137" t="n">
        <f aca="false" ca="false" dt2D="false" dtr="false" t="normal">X315</f>
        <v>0</v>
      </c>
      <c r="Z315" s="120" t="s">
        <v>192</v>
      </c>
      <c r="AA315" s="131" t="s">
        <v>196</v>
      </c>
      <c r="AB315" s="136" t="n">
        <f aca="false" ca="false" dt2D="false" dtr="false" t="normal">MID(K314, 2, 1)</f>
        <v>0</v>
      </c>
      <c r="AC315" s="137" t="n">
        <f aca="false" ca="false" dt2D="false" dtr="false" t="normal">AB315</f>
        <v>0</v>
      </c>
      <c r="AD315" s="120" t="s">
        <v>192</v>
      </c>
      <c r="AE315" s="131" t="s">
        <v>196</v>
      </c>
      <c r="AF315" s="136" t="n">
        <f aca="false" ca="false" dt2D="false" dtr="false" t="normal">MID(L314, 2, 1)</f>
        <v>0</v>
      </c>
      <c r="AG315" s="137" t="n">
        <f aca="false" ca="false" dt2D="false" dtr="false" t="normal">AF315</f>
        <v>0</v>
      </c>
      <c r="AH315" s="120" t="s">
        <v>192</v>
      </c>
      <c r="AI315" s="131" t="s">
        <v>196</v>
      </c>
      <c r="AJ315" s="9199" t="s"/>
      <c r="AK315" s="9200" t="s"/>
    </row>
    <row customHeight="true" hidden="false" ht="15" outlineLevel="0" r="316">
      <c r="C316" s="98" t="s">
        <v>194</v>
      </c>
      <c r="D316" s="149" t="n">
        <f aca="false" ca="false" dt2D="false" dtr="false" t="normal">D313</f>
        <v>7</v>
      </c>
      <c r="E316" s="149" t="str">
        <f aca="false" ca="false" dt2D="false" dtr="false" t="normal">E313</f>
        <v>A5</v>
      </c>
      <c r="F316" s="149" t="str">
        <f aca="false" ca="false" dt2D="false" dtr="false" t="normal">MID($A$32, 4, 2)</f>
        <v>G1</v>
      </c>
      <c r="G316" s="149" t="str">
        <f aca="false" ca="false" dt2D="false" dtr="false" t="normal">MID($A$32, 6, 2)</f>
        <v>HD</v>
      </c>
      <c r="N316" s="63" t="n"/>
      <c r="P316" s="136" t="n">
        <f aca="false" ca="false" dt2D="false" dtr="false" t="normal">MID(H314, 3, 1)</f>
        <v>0</v>
      </c>
      <c r="Q316" s="137" t="n">
        <f aca="false" ca="false" dt2D="false" dtr="false" t="normal">P316</f>
        <v>0</v>
      </c>
      <c r="R316" s="120" t="s">
        <v>195</v>
      </c>
      <c r="S316" s="131" t="s">
        <v>196</v>
      </c>
      <c r="T316" s="136" t="n">
        <f aca="false" ca="false" dt2D="false" dtr="false" t="normal">MID(I314, 3, 1)</f>
        <v>0</v>
      </c>
      <c r="U316" s="137" t="n">
        <f aca="false" ca="false" dt2D="false" dtr="false" t="normal">T316</f>
        <v>0</v>
      </c>
      <c r="V316" s="120" t="s">
        <v>195</v>
      </c>
      <c r="W316" s="131" t="s">
        <v>196</v>
      </c>
      <c r="X316" s="136" t="n">
        <f aca="false" ca="false" dt2D="false" dtr="false" t="normal">MID(J314, 3, 1)</f>
        <v>0</v>
      </c>
      <c r="Y316" s="137" t="n">
        <f aca="false" ca="false" dt2D="false" dtr="false" t="normal">X316</f>
        <v>0</v>
      </c>
      <c r="Z316" s="120" t="s">
        <v>195</v>
      </c>
      <c r="AA316" s="131" t="s">
        <v>196</v>
      </c>
      <c r="AB316" s="136" t="n">
        <f aca="false" ca="false" dt2D="false" dtr="false" t="normal">MID(K314, 3, 1)</f>
        <v>0</v>
      </c>
      <c r="AC316" s="137" t="n">
        <f aca="false" ca="false" dt2D="false" dtr="false" t="normal">AB316</f>
        <v>0</v>
      </c>
      <c r="AD316" s="120" t="s">
        <v>195</v>
      </c>
      <c r="AE316" s="131" t="s">
        <v>196</v>
      </c>
      <c r="AF316" s="136" t="n">
        <f aca="false" ca="false" dt2D="false" dtr="false" t="normal">MID(L314, 3, 1)</f>
        <v>0</v>
      </c>
      <c r="AG316" s="137" t="n">
        <f aca="false" ca="false" dt2D="false" dtr="false" t="normal">AF316</f>
        <v>0</v>
      </c>
      <c r="AH316" s="120" t="s">
        <v>195</v>
      </c>
      <c r="AI316" s="131" t="s">
        <v>196</v>
      </c>
      <c r="AJ316" s="9201" t="s"/>
      <c r="AK316" s="9202" t="s"/>
    </row>
    <row hidden="false" ht="15.75" outlineLevel="0" r="317">
      <c r="C317" s="98" t="n"/>
      <c r="N317" s="63" t="n"/>
      <c r="P317" s="136" t="n">
        <f aca="false" ca="false" dt2D="false" dtr="false" t="normal">MID(H314, 4, 1)</f>
        <v>0</v>
      </c>
      <c r="Q317" s="137" t="n">
        <f aca="false" ca="false" dt2D="false" dtr="false" t="normal">P317</f>
        <v>0</v>
      </c>
      <c r="R317" s="120" t="s">
        <v>197</v>
      </c>
      <c r="S317" s="131" t="s">
        <v>196</v>
      </c>
      <c r="T317" s="136" t="n">
        <f aca="false" ca="false" dt2D="false" dtr="false" t="normal">MID(I314, 4, 1)</f>
        <v>0</v>
      </c>
      <c r="U317" s="137" t="n">
        <f aca="false" ca="false" dt2D="false" dtr="false" t="normal">T317</f>
        <v>0</v>
      </c>
      <c r="V317" s="120" t="s">
        <v>197</v>
      </c>
      <c r="W317" s="131" t="s">
        <v>196</v>
      </c>
      <c r="X317" s="136" t="n">
        <f aca="false" ca="false" dt2D="false" dtr="false" t="normal">MID(J314, 4, 1)</f>
        <v>0</v>
      </c>
      <c r="Y317" s="137" t="n">
        <f aca="false" ca="false" dt2D="false" dtr="false" t="normal">X317</f>
        <v>0</v>
      </c>
      <c r="Z317" s="120" t="s">
        <v>197</v>
      </c>
      <c r="AA317" s="131" t="s">
        <v>196</v>
      </c>
      <c r="AB317" s="136" t="n">
        <f aca="false" ca="false" dt2D="false" dtr="false" t="normal">MID(K314, 4, 1)</f>
        <v>0</v>
      </c>
      <c r="AC317" s="137" t="n">
        <f aca="false" ca="false" dt2D="false" dtr="false" t="normal">AB317</f>
        <v>0</v>
      </c>
      <c r="AD317" s="120" t="s">
        <v>197</v>
      </c>
      <c r="AE317" s="131" t="s">
        <v>196</v>
      </c>
      <c r="AF317" s="136" t="n">
        <f aca="false" ca="false" dt2D="false" dtr="false" t="normal">MID(L314, 4, 1)</f>
        <v>0</v>
      </c>
      <c r="AG317" s="137" t="n">
        <f aca="false" ca="false" dt2D="false" dtr="false" t="normal">AF317</f>
        <v>0</v>
      </c>
      <c r="AH317" s="120" t="s">
        <v>197</v>
      </c>
      <c r="AI317" s="131" t="s">
        <v>196</v>
      </c>
      <c r="AJ317" s="9203" t="s"/>
      <c r="AK317" s="9204" t="s"/>
    </row>
    <row hidden="false" ht="15.75" outlineLevel="0" r="318">
      <c r="C318" s="98" t="s">
        <v>176</v>
      </c>
      <c r="D318" s="122" t="n">
        <f aca="false" ca="false" dt2D="false" dtr="false" t="normal">D313</f>
        <v>7</v>
      </c>
      <c r="E318" s="123" t="str">
        <f aca="false" ca="false" dt2D="false" dtr="false" t="normal">E313</f>
        <v>A5</v>
      </c>
      <c r="F318" s="123" t="n">
        <f aca="false" ca="false" dt2D="false" dtr="false" t="normal">F313</f>
        <v>1</v>
      </c>
      <c r="G318" s="124" t="n">
        <f aca="false" ca="false" dt2D="false" dtr="false" t="normal">G313</f>
        <v>29</v>
      </c>
      <c r="H318" s="162" t="n">
        <f aca="false" ca="false" dt2D="false" dtr="false" t="normal">BIN2HEX(H319, 2)</f>
        <v>0</v>
      </c>
      <c r="I318" s="163" t="n">
        <f aca="false" ca="false" dt2D="false" dtr="false" t="normal">BIN2HEX(I319, 2)</f>
        <v>0</v>
      </c>
      <c r="J318" s="164" t="n">
        <f aca="false" ca="false" dt2D="false" dtr="false" t="normal">BIN2HEX(J319, 2)</f>
        <v>0</v>
      </c>
      <c r="K318" s="165" t="n">
        <f aca="false" ca="false" dt2D="false" dtr="false" t="normal">BIN2HEX(K319, 2)</f>
        <v>0</v>
      </c>
      <c r="L318" s="288" t="n">
        <f aca="false" ca="false" dt2D="false" dtr="false" t="normal">BIN2HEX(L319, 2)</f>
        <v>0</v>
      </c>
      <c r="M318" s="166" t="str">
        <f aca="false" ca="false" dt2D="false" dtr="false" t="normal">IF(LEN(M319)&gt;2, MID(M319, 2, 2), M319)</f>
        <v>D6</v>
      </c>
      <c r="N318" s="63" t="s">
        <v>181</v>
      </c>
      <c r="P318" s="136" t="n">
        <f aca="false" ca="false" dt2D="false" dtr="false" t="normal">MID(H314, 5, 1)</f>
        <v>0</v>
      </c>
      <c r="Q318" s="137" t="n">
        <f aca="false" ca="false" dt2D="false" dtr="false" t="normal">P318</f>
        <v>0</v>
      </c>
      <c r="R318" s="120" t="s">
        <v>200</v>
      </c>
      <c r="S318" s="131" t="s">
        <v>196</v>
      </c>
      <c r="T318" s="136" t="n">
        <f aca="false" ca="false" dt2D="false" dtr="false" t="normal">MID(I314, 5, 1)</f>
        <v>0</v>
      </c>
      <c r="U318" s="137" t="n">
        <f aca="false" ca="false" dt2D="false" dtr="false" t="normal">T318</f>
        <v>0</v>
      </c>
      <c r="V318" s="120" t="s">
        <v>200</v>
      </c>
      <c r="W318" s="131" t="s">
        <v>196</v>
      </c>
      <c r="X318" s="136" t="n">
        <f aca="false" ca="false" dt2D="false" dtr="false" t="normal">MID(J314, 5, 1)</f>
        <v>0</v>
      </c>
      <c r="Y318" s="137" t="n">
        <f aca="false" ca="false" dt2D="false" dtr="false" t="normal">X318</f>
        <v>0</v>
      </c>
      <c r="Z318" s="120" t="s">
        <v>200</v>
      </c>
      <c r="AA318" s="131" t="s">
        <v>196</v>
      </c>
      <c r="AB318" s="136" t="n">
        <f aca="false" ca="false" dt2D="false" dtr="false" t="normal">MID(K314, 5, 1)</f>
        <v>0</v>
      </c>
      <c r="AC318" s="137" t="n">
        <f aca="false" ca="false" dt2D="false" dtr="false" t="normal">AB318</f>
        <v>0</v>
      </c>
      <c r="AD318" s="120" t="s">
        <v>200</v>
      </c>
      <c r="AE318" s="131" t="s">
        <v>196</v>
      </c>
      <c r="AF318" s="136" t="n">
        <f aca="false" ca="false" dt2D="false" dtr="false" t="normal">MID(L314, 5, 1)</f>
        <v>0</v>
      </c>
      <c r="AG318" s="137" t="n">
        <f aca="false" ca="false" dt2D="false" dtr="false" t="normal">AF318</f>
        <v>0</v>
      </c>
      <c r="AH318" s="120" t="s">
        <v>200</v>
      </c>
      <c r="AI318" s="131" t="s">
        <v>196</v>
      </c>
      <c r="AJ318" s="9205" t="s"/>
      <c r="AK318" s="9206" t="s"/>
    </row>
    <row hidden="false" ht="15" outlineLevel="0" r="319">
      <c r="C319" s="98" t="s">
        <v>185</v>
      </c>
      <c r="D319" s="149" t="n">
        <f aca="false" ca="false" dt2D="false" dtr="false" t="normal">HEX2BIN(D318, 8)</f>
        <v>111</v>
      </c>
      <c r="E319" s="149" t="n">
        <f aca="false" ca="false" dt2D="false" dtr="false" t="normal">HEX2BIN(E318, 8)</f>
        <v>10100101</v>
      </c>
      <c r="F319" s="149" t="n">
        <f aca="false" ca="false" dt2D="false" dtr="false" t="normal">HEX2BIN(F318, 8)</f>
        <v>1</v>
      </c>
      <c r="G319" s="149" t="n">
        <f aca="false" ca="false" dt2D="false" dtr="false" t="normal">HEX2BIN(G318, 8)</f>
        <v>101001</v>
      </c>
      <c r="H319" s="53" t="n">
        <f aca="false" ca="false" dt2D="false" dtr="false" t="normal">Q314&amp;Q315&amp;Q316&amp;Q317&amp;Q318&amp;Q319&amp;Q320&amp;Q321</f>
        <v>0</v>
      </c>
      <c r="I319" s="53" t="n">
        <f aca="false" ca="false" dt2D="false" dtr="false" t="normal">U314&amp;U315&amp;U316&amp;U317&amp;U318&amp;U319&amp;U320&amp;U321</f>
        <v>0</v>
      </c>
      <c r="J319" s="53" t="n">
        <f aca="false" ca="false" dt2D="false" dtr="false" t="normal">Y314&amp;Y315&amp;Y316&amp;Y317&amp;Y318&amp;Y319&amp;Y320&amp;Y321</f>
        <v>0</v>
      </c>
      <c r="K319" s="53" t="n">
        <f aca="false" ca="false" dt2D="false" dtr="false" t="normal">AC314&amp;AC315&amp;AC316&amp;AC317&amp;AC318&amp;AC319&amp;AC320&amp;AC321</f>
        <v>0</v>
      </c>
      <c r="L319" s="53" t="n">
        <f aca="false" ca="false" dt2D="false" dtr="false" t="normal">AG314&amp;AG315&amp;AG316&amp;AG317&amp;AG318&amp;AG319&amp;AG320&amp;AG321</f>
        <v>0</v>
      </c>
      <c r="M319" s="53" t="str">
        <f aca="false" ca="false" dt2D="false" dtr="false" t="normal">DEC2HEX(M320)</f>
        <v>D6</v>
      </c>
      <c r="N319" s="63" t="n"/>
      <c r="P319" s="136" t="n">
        <f aca="false" ca="false" dt2D="false" dtr="false" t="normal">MID(H314, 6, 1)</f>
        <v>0</v>
      </c>
      <c r="Q319" s="137" t="n">
        <f aca="false" ca="false" dt2D="false" dtr="false" t="normal">P319</f>
        <v>0</v>
      </c>
      <c r="R319" s="120" t="s">
        <v>203</v>
      </c>
      <c r="S319" s="131" t="s">
        <v>196</v>
      </c>
      <c r="T319" s="136" t="n">
        <f aca="false" ca="false" dt2D="false" dtr="false" t="normal">MID(I314, 6, 1)</f>
        <v>0</v>
      </c>
      <c r="U319" s="137" t="n">
        <f aca="false" ca="false" dt2D="false" dtr="false" t="normal">T319</f>
        <v>0</v>
      </c>
      <c r="V319" s="120" t="s">
        <v>203</v>
      </c>
      <c r="W319" s="131" t="s">
        <v>196</v>
      </c>
      <c r="X319" s="136" t="n">
        <f aca="false" ca="false" dt2D="false" dtr="false" t="normal">MID(J314, 6, 1)</f>
        <v>0</v>
      </c>
      <c r="Y319" s="137" t="n">
        <f aca="false" ca="false" dt2D="false" dtr="false" t="normal">X319</f>
        <v>0</v>
      </c>
      <c r="Z319" s="120" t="s">
        <v>203</v>
      </c>
      <c r="AA319" s="131" t="s">
        <v>196</v>
      </c>
      <c r="AB319" s="136" t="n">
        <f aca="false" ca="false" dt2D="false" dtr="false" t="normal">MID(K314, 6, 1)</f>
        <v>0</v>
      </c>
      <c r="AC319" s="137" t="n">
        <f aca="false" ca="false" dt2D="false" dtr="false" t="normal">AB319</f>
        <v>0</v>
      </c>
      <c r="AD319" s="120" t="s">
        <v>203</v>
      </c>
      <c r="AE319" s="131" t="s">
        <v>196</v>
      </c>
      <c r="AF319" s="136" t="n">
        <f aca="false" ca="false" dt2D="false" dtr="false" t="normal">MID(L314, 6, 1)</f>
        <v>0</v>
      </c>
      <c r="AG319" s="137" t="n">
        <f aca="false" ca="false" dt2D="false" dtr="false" t="normal">AF319</f>
        <v>0</v>
      </c>
      <c r="AH319" s="120" t="s">
        <v>203</v>
      </c>
      <c r="AI319" s="131" t="s">
        <v>196</v>
      </c>
      <c r="AJ319" s="9207" t="s"/>
      <c r="AK319" s="9208" t="s"/>
    </row>
    <row customHeight="true" hidden="false" ht="15" outlineLevel="0" r="320">
      <c r="C320" s="98" t="s">
        <v>191</v>
      </c>
      <c r="D320" s="149" t="n">
        <f aca="false" ca="false" dt2D="false" dtr="false" t="normal">HEX2DEC(D318)</f>
        <v>7</v>
      </c>
      <c r="E320" s="149" t="n">
        <f aca="false" ca="false" dt2D="false" dtr="false" t="normal">HEX2DEC(E318)</f>
        <v>165</v>
      </c>
      <c r="F320" s="149" t="n">
        <f aca="false" ca="false" dt2D="false" dtr="false" t="normal">HEX2DEC(F318)</f>
        <v>1</v>
      </c>
      <c r="G320" s="149" t="n">
        <f aca="false" ca="false" dt2D="false" dtr="false" t="normal">HEX2DEC(G318)</f>
        <v>41</v>
      </c>
      <c r="H320" s="53" t="n">
        <f aca="false" ca="false" dt2D="false" dtr="false" t="normal">HEX2DEC(H318)</f>
        <v>0</v>
      </c>
      <c r="I320" s="53" t="n">
        <f aca="false" ca="false" dt2D="false" dtr="false" t="normal">HEX2DEC(I318)</f>
        <v>0</v>
      </c>
      <c r="J320" s="53" t="n">
        <f aca="false" ca="false" dt2D="false" dtr="false" t="normal">HEX2DEC(J318)</f>
        <v>0</v>
      </c>
      <c r="K320" s="53" t="n">
        <f aca="false" ca="false" dt2D="false" dtr="false" t="normal">HEX2DEC(K318)</f>
        <v>0</v>
      </c>
      <c r="L320" s="53" t="n">
        <f aca="false" ca="false" dt2D="false" dtr="false" t="normal">HEX2DEC(L318)</f>
        <v>0</v>
      </c>
      <c r="M320" s="53" t="n">
        <f aca="false" ca="false" dt2D="false" dtr="false" t="normal">SUM(D320:L320)</f>
        <v>214</v>
      </c>
      <c r="N320" s="63" t="n"/>
      <c r="P320" s="136" t="n">
        <f aca="false" ca="false" dt2D="false" dtr="false" t="normal">MID(H314, 7, 1)</f>
        <v>0</v>
      </c>
      <c r="Q320" s="137" t="n">
        <f aca="false" ca="false" dt2D="false" dtr="false" t="normal">P320</f>
        <v>0</v>
      </c>
      <c r="R320" s="120" t="s">
        <v>206</v>
      </c>
      <c r="S320" s="131" t="s">
        <v>196</v>
      </c>
      <c r="T320" s="136" t="n">
        <f aca="false" ca="false" dt2D="false" dtr="false" t="normal">MID(I314, 7, 1)</f>
        <v>0</v>
      </c>
      <c r="U320" s="137" t="n">
        <f aca="false" ca="false" dt2D="false" dtr="false" t="normal">T320</f>
        <v>0</v>
      </c>
      <c r="V320" s="120" t="s">
        <v>206</v>
      </c>
      <c r="W320" s="131" t="s">
        <v>196</v>
      </c>
      <c r="X320" s="136" t="n">
        <f aca="false" ca="false" dt2D="false" dtr="false" t="normal">MID(J314, 7, 1)</f>
        <v>0</v>
      </c>
      <c r="Y320" s="137" t="n">
        <f aca="false" ca="false" dt2D="false" dtr="false" t="normal">X320</f>
        <v>0</v>
      </c>
      <c r="Z320" s="120" t="s">
        <v>206</v>
      </c>
      <c r="AA320" s="131" t="s">
        <v>196</v>
      </c>
      <c r="AB320" s="136" t="n">
        <f aca="false" ca="false" dt2D="false" dtr="false" t="normal">MID(K314, 7, 1)</f>
        <v>0</v>
      </c>
      <c r="AC320" s="137" t="n">
        <f aca="false" ca="false" dt2D="false" dtr="false" t="normal">AB320</f>
        <v>0</v>
      </c>
      <c r="AD320" s="120" t="s">
        <v>206</v>
      </c>
      <c r="AE320" s="131" t="s">
        <v>196</v>
      </c>
      <c r="AF320" s="136" t="n">
        <f aca="false" ca="false" dt2D="false" dtr="false" t="normal">MID(L314, 7, 1)</f>
        <v>0</v>
      </c>
      <c r="AG320" s="137" t="n">
        <f aca="false" ca="false" dt2D="false" dtr="false" t="normal">AF320</f>
        <v>0</v>
      </c>
      <c r="AH320" s="120" t="s">
        <v>206</v>
      </c>
      <c r="AI320" s="131" t="s">
        <v>196</v>
      </c>
      <c r="AJ320" s="9209" t="s"/>
      <c r="AK320" s="9210" t="s"/>
    </row>
    <row hidden="false" ht="15.75" outlineLevel="0" r="321">
      <c r="C321" s="180" t="s">
        <v>194</v>
      </c>
      <c r="D321" s="181" t="n">
        <f aca="false" ca="false" dt2D="false" dtr="false" t="normal">D316</f>
        <v>7</v>
      </c>
      <c r="E321" s="181" t="str">
        <f aca="false" ca="false" dt2D="false" dtr="false" t="normal">E316</f>
        <v>A5</v>
      </c>
      <c r="F321" s="181" t="str">
        <f aca="false" ca="false" dt2D="false" dtr="false" t="normal">F316</f>
        <v>G1</v>
      </c>
      <c r="G321" s="181" t="str">
        <f aca="false" ca="false" dt2D="false" dtr="false" t="normal">G316</f>
        <v>HD</v>
      </c>
      <c r="H321" s="45" t="n"/>
      <c r="I321" s="45" t="n"/>
      <c r="J321" s="45" t="n"/>
      <c r="K321" s="45" t="n"/>
      <c r="L321" s="45" t="n"/>
      <c r="M321" s="45" t="n"/>
      <c r="N321" s="49" t="n"/>
      <c r="P321" s="182" t="n">
        <f aca="false" ca="false" dt2D="false" dtr="false" t="normal">MID(H314, 8, 1)</f>
        <v>0</v>
      </c>
      <c r="Q321" s="183" t="n">
        <f aca="false" ca="false" dt2D="false" dtr="false" t="normal">P321</f>
        <v>0</v>
      </c>
      <c r="R321" s="184" t="s">
        <v>208</v>
      </c>
      <c r="S321" s="185" t="s">
        <v>196</v>
      </c>
      <c r="T321" s="182" t="n">
        <f aca="false" ca="false" dt2D="false" dtr="false" t="normal">MID(I314, 8, 1)</f>
        <v>0</v>
      </c>
      <c r="U321" s="183" t="n">
        <f aca="false" ca="false" dt2D="false" dtr="false" t="normal">T321</f>
        <v>0</v>
      </c>
      <c r="V321" s="184" t="s">
        <v>208</v>
      </c>
      <c r="W321" s="185" t="s">
        <v>196</v>
      </c>
      <c r="X321" s="182" t="n">
        <f aca="false" ca="false" dt2D="false" dtr="false" t="normal">MID(J314, 8, 1)</f>
        <v>0</v>
      </c>
      <c r="Y321" s="183" t="n">
        <f aca="false" ca="false" dt2D="false" dtr="false" t="normal">X321</f>
        <v>0</v>
      </c>
      <c r="Z321" s="184" t="s">
        <v>208</v>
      </c>
      <c r="AA321" s="185" t="s">
        <v>196</v>
      </c>
      <c r="AB321" s="182" t="n">
        <f aca="false" ca="false" dt2D="false" dtr="false" t="normal">MID(K314, 8, 1)</f>
        <v>0</v>
      </c>
      <c r="AC321" s="183" t="n">
        <f aca="false" ca="false" dt2D="false" dtr="false" t="normal">AB321</f>
        <v>0</v>
      </c>
      <c r="AD321" s="184" t="s">
        <v>208</v>
      </c>
      <c r="AE321" s="185" t="s">
        <v>196</v>
      </c>
      <c r="AF321" s="182" t="n">
        <f aca="false" ca="false" dt2D="false" dtr="false" t="normal">MID(L314, 8, 1)</f>
        <v>0</v>
      </c>
      <c r="AG321" s="183" t="n">
        <f aca="false" ca="false" dt2D="false" dtr="false" t="normal">AF321</f>
        <v>0</v>
      </c>
      <c r="AH321" s="184" t="s">
        <v>208</v>
      </c>
      <c r="AI321" s="185" t="s">
        <v>196</v>
      </c>
      <c r="AJ321" s="9211" t="s"/>
      <c r="AK321" s="9212" t="s"/>
    </row>
    <row hidden="false" ht="15.75" outlineLevel="0" r="322">
      <c r="C322" s="93" t="n"/>
      <c r="D322" s="7585" t="n"/>
      <c r="E322" s="7585" t="n"/>
      <c r="F322" s="7585" t="n"/>
      <c r="G322" s="7585" t="n"/>
      <c r="H322" s="94" t="n"/>
      <c r="I322" s="94" t="n"/>
      <c r="J322" s="94" t="n"/>
      <c r="K322" s="94" t="n"/>
      <c r="L322" s="94" t="n"/>
      <c r="M322" s="94" t="s">
        <v>161</v>
      </c>
      <c r="N322" s="60" t="n"/>
      <c r="P322" s="95" t="str">
        <f aca="false" ca="false" dt2D="false" dtr="false" t="normal">RIGHT(D324, 1)&amp;E324&amp;"-"&amp;F324&amp;"-"&amp;G324</f>
        <v>7A5-01-30</v>
      </c>
      <c r="Q322" s="9213" t="s"/>
      <c r="R322" s="234" t="s">
        <v>4168</v>
      </c>
      <c r="S322" s="9214" t="s"/>
      <c r="T322" s="9215" t="s"/>
      <c r="U322" s="9216" t="s"/>
      <c r="V322" s="9217" t="s"/>
      <c r="W322" s="9218" t="s"/>
      <c r="X322" s="9219" t="s"/>
      <c r="Y322" s="9220" t="s"/>
      <c r="Z322" s="9221" t="s"/>
      <c r="AA322" s="9222" t="s"/>
      <c r="AB322" s="9223" t="s"/>
      <c r="AC322" s="9224" t="s"/>
      <c r="AD322" s="9225" t="s"/>
      <c r="AE322" s="9226" t="s"/>
      <c r="AF322" s="9227" t="s"/>
      <c r="AG322" s="9228" t="s"/>
      <c r="AH322" s="9229" t="s"/>
      <c r="AI322" s="9230" t="s"/>
      <c r="AJ322" s="9231" t="s"/>
      <c r="AK322" s="9232" t="s"/>
    </row>
    <row hidden="false" ht="15.75" outlineLevel="0" r="323">
      <c r="C323" s="98" t="n"/>
      <c r="D323" s="7606" t="s">
        <v>4169</v>
      </c>
      <c r="E323" s="9233" t="s"/>
      <c r="F323" s="9234" t="s"/>
      <c r="G323" s="9235" t="s"/>
      <c r="H323" s="53" t="s">
        <v>165</v>
      </c>
      <c r="I323" s="53" t="s">
        <v>166</v>
      </c>
      <c r="J323" s="53" t="s">
        <v>167</v>
      </c>
      <c r="K323" s="53" t="s">
        <v>168</v>
      </c>
      <c r="L323" s="53" t="s">
        <v>169</v>
      </c>
      <c r="M323" s="53" t="s">
        <v>221</v>
      </c>
      <c r="N323" s="63" t="n"/>
      <c r="P323" s="103" t="s">
        <v>4170</v>
      </c>
      <c r="Q323" s="9236" t="s"/>
      <c r="R323" s="9237" t="s"/>
      <c r="S323" s="9238" t="s"/>
      <c r="T323" s="103" t="s">
        <v>4171</v>
      </c>
      <c r="U323" s="9239" t="s"/>
      <c r="V323" s="9240" t="s"/>
      <c r="W323" s="9241" t="s"/>
      <c r="X323" s="103" t="s">
        <v>4172</v>
      </c>
      <c r="Y323" s="9242" t="s"/>
      <c r="Z323" s="9243" t="s"/>
      <c r="AA323" s="9244" t="s"/>
      <c r="AB323" s="103" t="s">
        <v>4173</v>
      </c>
      <c r="AC323" s="9245" t="s"/>
      <c r="AD323" s="9246" t="s"/>
      <c r="AE323" s="9247" t="s"/>
      <c r="AF323" s="103" t="s">
        <v>4174</v>
      </c>
      <c r="AG323" s="9248" t="s"/>
      <c r="AH323" s="9249" t="s"/>
      <c r="AI323" s="9250" t="s"/>
      <c r="AJ323" s="103" t="s">
        <v>4175</v>
      </c>
      <c r="AK323" s="9251" t="s"/>
    </row>
    <row hidden="false" ht="15.75" outlineLevel="0" r="324">
      <c r="C324" s="98" t="s">
        <v>176</v>
      </c>
      <c r="D324" s="122" t="s">
        <v>177</v>
      </c>
      <c r="E324" s="123" t="s">
        <v>3892</v>
      </c>
      <c r="F324" s="123" t="s">
        <v>179</v>
      </c>
      <c r="G324" s="124" t="s">
        <v>824</v>
      </c>
      <c r="H324" s="273" t="n">
        <f aca="false" ca="false" dt2D="false" dtr="false" t="normal">MID($A$33, 8, 2)</f>
        <v>0</v>
      </c>
      <c r="I324" s="7626" t="n">
        <f aca="false" ca="false" dt2D="false" dtr="false" t="normal">MID($A$33, 10, 2)</f>
        <v>0</v>
      </c>
      <c r="J324" s="7626" t="n">
        <f aca="false" ca="false" dt2D="false" dtr="false" t="normal">MID($A$33, 12, 2)</f>
        <v>0</v>
      </c>
      <c r="K324" s="7626" t="n">
        <f aca="false" ca="false" dt2D="false" dtr="false" t="normal">MID($A$33, 14, 2)</f>
        <v>0</v>
      </c>
      <c r="L324" s="7627" t="n">
        <f aca="false" ca="false" dt2D="false" dtr="false" t="normal">MID($A$33, 16, 2)</f>
        <v>0</v>
      </c>
      <c r="M324" s="7553" t="str">
        <f aca="false" ca="false" dt2D="false" dtr="false" t="normal">MID($A$33, 18, 2)</f>
        <v>DD</v>
      </c>
      <c r="N324" s="63" t="s">
        <v>180</v>
      </c>
      <c r="P324" s="129" t="s">
        <v>180</v>
      </c>
      <c r="Q324" s="130" t="s">
        <v>181</v>
      </c>
      <c r="R324" s="121" t="s">
        <v>182</v>
      </c>
      <c r="S324" s="131" t="n"/>
      <c r="T324" s="129" t="s">
        <v>180</v>
      </c>
      <c r="U324" s="130" t="s">
        <v>181</v>
      </c>
      <c r="V324" s="121" t="s">
        <v>182</v>
      </c>
      <c r="W324" s="131" t="n"/>
      <c r="X324" s="129" t="s">
        <v>180</v>
      </c>
      <c r="Y324" s="130" t="s">
        <v>181</v>
      </c>
      <c r="Z324" s="121" t="s">
        <v>182</v>
      </c>
      <c r="AA324" s="131" t="n"/>
      <c r="AB324" s="129" t="s">
        <v>180</v>
      </c>
      <c r="AC324" s="130" t="s">
        <v>181</v>
      </c>
      <c r="AD324" s="121" t="s">
        <v>182</v>
      </c>
      <c r="AE324" s="131" t="n"/>
      <c r="AF324" s="129" t="s">
        <v>180</v>
      </c>
      <c r="AG324" s="130" t="s">
        <v>181</v>
      </c>
      <c r="AH324" s="121" t="s">
        <v>182</v>
      </c>
      <c r="AI324" s="121" t="n"/>
      <c r="AJ324" s="116" t="s">
        <v>183</v>
      </c>
      <c r="AK324" s="9252" t="s"/>
    </row>
    <row hidden="false" ht="15" outlineLevel="0" r="325">
      <c r="C325" s="98" t="s">
        <v>185</v>
      </c>
      <c r="D325" s="149" t="n">
        <f aca="false" ca="false" dt2D="false" dtr="false" t="normal">HEX2BIN(D324, 8)</f>
        <v>111</v>
      </c>
      <c r="E325" s="149" t="n">
        <f aca="false" ca="false" dt2D="false" dtr="false" t="normal">HEX2BIN(E324, 8)</f>
        <v>10100101</v>
      </c>
      <c r="F325" s="149" t="n">
        <f aca="false" ca="false" dt2D="false" dtr="false" t="normal">HEX2BIN(F324, 8)</f>
        <v>1</v>
      </c>
      <c r="G325" s="149" t="n">
        <f aca="false" ca="false" dt2D="false" dtr="false" t="normal">HEX2BIN(G324, 8)</f>
        <v>110000</v>
      </c>
      <c r="H325" s="53" t="n">
        <f aca="false" ca="false" dt2D="false" dtr="false" t="normal">HEX2BIN(H324, 8)</f>
        <v>0</v>
      </c>
      <c r="I325" s="53" t="n">
        <f aca="false" ca="false" dt2D="false" dtr="false" t="normal">HEX2BIN(I324, 8)</f>
        <v>0</v>
      </c>
      <c r="J325" s="53" t="n">
        <f aca="false" ca="false" dt2D="false" dtr="false" t="normal">HEX2BIN(J324, 8)</f>
        <v>0</v>
      </c>
      <c r="K325" s="53" t="n">
        <f aca="false" ca="false" dt2D="false" dtr="false" t="normal">HEX2BIN(K324, 8)</f>
        <v>0</v>
      </c>
      <c r="L325" s="53" t="n">
        <f aca="false" ca="false" dt2D="false" dtr="false" t="normal">HEX2BIN(L324, 8)</f>
        <v>0</v>
      </c>
      <c r="M325" s="53" t="n"/>
      <c r="N325" s="63" t="n"/>
      <c r="P325" s="136" t="n">
        <f aca="false" ca="false" dt2D="false" dtr="false" t="normal">MID(H325, 1, 1)</f>
        <v>0</v>
      </c>
      <c r="Q325" s="137" t="n">
        <f aca="false" ca="false" dt2D="false" dtr="false" t="normal">P325</f>
        <v>0</v>
      </c>
      <c r="R325" s="120" t="s">
        <v>186</v>
      </c>
      <c r="S325" s="131" t="s">
        <v>196</v>
      </c>
      <c r="T325" s="136" t="n">
        <f aca="false" ca="false" dt2D="false" dtr="false" t="normal">MID(I325, 1, 1)</f>
        <v>0</v>
      </c>
      <c r="U325" s="137" t="n">
        <f aca="false" ca="false" dt2D="false" dtr="false" t="normal">T325</f>
        <v>0</v>
      </c>
      <c r="V325" s="120" t="s">
        <v>186</v>
      </c>
      <c r="W325" s="131" t="s">
        <v>196</v>
      </c>
      <c r="X325" s="136" t="n">
        <f aca="false" ca="false" dt2D="false" dtr="false" t="normal">MID(J325, 1, 1)</f>
        <v>0</v>
      </c>
      <c r="Y325" s="137" t="n">
        <f aca="false" ca="false" dt2D="false" dtr="false" t="normal">X325</f>
        <v>0</v>
      </c>
      <c r="Z325" s="120" t="s">
        <v>186</v>
      </c>
      <c r="AA325" s="131" t="s">
        <v>196</v>
      </c>
      <c r="AB325" s="136" t="n">
        <f aca="false" ca="false" dt2D="false" dtr="false" t="normal">MID(K325, 1, 1)</f>
        <v>0</v>
      </c>
      <c r="AC325" s="137" t="n">
        <f aca="false" ca="false" dt2D="false" dtr="false" t="normal">AB325</f>
        <v>0</v>
      </c>
      <c r="AD325" s="120" t="s">
        <v>186</v>
      </c>
      <c r="AE325" s="131" t="s">
        <v>196</v>
      </c>
      <c r="AF325" s="136" t="n">
        <f aca="false" ca="false" dt2D="false" dtr="false" t="normal">MID(L325, 1, 1)</f>
        <v>0</v>
      </c>
      <c r="AG325" s="137" t="n">
        <f aca="false" ca="false" dt2D="false" dtr="false" t="normal">AF325</f>
        <v>0</v>
      </c>
      <c r="AH325" s="120" t="s">
        <v>186</v>
      </c>
      <c r="AI325" s="131" t="s">
        <v>196</v>
      </c>
      <c r="AJ325" s="9253" t="s"/>
      <c r="AK325" s="9254" t="s"/>
    </row>
    <row hidden="false" ht="15" outlineLevel="0" r="326">
      <c r="C326" s="98" t="s">
        <v>191</v>
      </c>
      <c r="D326" s="149" t="n">
        <f aca="false" ca="false" dt2D="false" dtr="false" t="normal">HEX2DEC(D324)</f>
        <v>7</v>
      </c>
      <c r="E326" s="149" t="n">
        <f aca="false" ca="false" dt2D="false" dtr="false" t="normal">HEX2DEC(E324)</f>
        <v>165</v>
      </c>
      <c r="F326" s="149" t="n">
        <f aca="false" ca="false" dt2D="false" dtr="false" t="normal">HEX2DEC(F324)</f>
        <v>1</v>
      </c>
      <c r="G326" s="149" t="n">
        <f aca="false" ca="false" dt2D="false" dtr="false" t="normal">HEX2DEC(G324)</f>
        <v>48</v>
      </c>
      <c r="H326" s="53" t="n">
        <f aca="false" ca="false" dt2D="false" dtr="false" t="normal">HEX2DEC(H324)</f>
        <v>0</v>
      </c>
      <c r="I326" s="53" t="n">
        <f aca="false" ca="false" dt2D="false" dtr="false" t="normal">HEX2DEC(I324)</f>
        <v>0</v>
      </c>
      <c r="J326" s="53" t="n">
        <f aca="false" ca="false" dt2D="false" dtr="false" t="normal">HEX2DEC(J324)</f>
        <v>0</v>
      </c>
      <c r="K326" s="53" t="n">
        <f aca="false" ca="false" dt2D="false" dtr="false" t="normal">HEX2DEC(K324)</f>
        <v>0</v>
      </c>
      <c r="L326" s="53" t="n">
        <f aca="false" ca="false" dt2D="false" dtr="false" t="normal">HEX2DEC(L324)</f>
        <v>0</v>
      </c>
      <c r="M326" s="53" t="n">
        <f aca="false" ca="false" dt2D="false" dtr="false" t="normal">SUM(D326:L326)</f>
        <v>221</v>
      </c>
      <c r="N326" s="63" t="n"/>
      <c r="P326" s="136" t="n">
        <f aca="false" ca="false" dt2D="false" dtr="false" t="normal">MID(H325, 2, 1)</f>
        <v>0</v>
      </c>
      <c r="Q326" s="137" t="n">
        <f aca="false" ca="false" dt2D="false" dtr="false" t="normal">P326</f>
        <v>0</v>
      </c>
      <c r="R326" s="120" t="s">
        <v>192</v>
      </c>
      <c r="S326" s="131" t="s">
        <v>196</v>
      </c>
      <c r="T326" s="136" t="n">
        <f aca="false" ca="false" dt2D="false" dtr="false" t="normal">MID(I325, 2, 1)</f>
        <v>0</v>
      </c>
      <c r="U326" s="137" t="n">
        <f aca="false" ca="false" dt2D="false" dtr="false" t="normal">T326</f>
        <v>0</v>
      </c>
      <c r="V326" s="120" t="s">
        <v>192</v>
      </c>
      <c r="W326" s="131" t="s">
        <v>196</v>
      </c>
      <c r="X326" s="136" t="n">
        <f aca="false" ca="false" dt2D="false" dtr="false" t="normal">MID(J325, 2, 1)</f>
        <v>0</v>
      </c>
      <c r="Y326" s="137" t="n">
        <f aca="false" ca="false" dt2D="false" dtr="false" t="normal">X326</f>
        <v>0</v>
      </c>
      <c r="Z326" s="120" t="s">
        <v>192</v>
      </c>
      <c r="AA326" s="131" t="s">
        <v>196</v>
      </c>
      <c r="AB326" s="136" t="n">
        <f aca="false" ca="false" dt2D="false" dtr="false" t="normal">MID(K325, 2, 1)</f>
        <v>0</v>
      </c>
      <c r="AC326" s="137" t="n">
        <f aca="false" ca="false" dt2D="false" dtr="false" t="normal">AB326</f>
        <v>0</v>
      </c>
      <c r="AD326" s="120" t="s">
        <v>192</v>
      </c>
      <c r="AE326" s="131" t="s">
        <v>196</v>
      </c>
      <c r="AF326" s="136" t="n">
        <f aca="false" ca="false" dt2D="false" dtr="false" t="normal">MID(L325, 2, 1)</f>
        <v>0</v>
      </c>
      <c r="AG326" s="137" t="n">
        <f aca="false" ca="false" dt2D="false" dtr="false" t="normal">AF326</f>
        <v>0</v>
      </c>
      <c r="AH326" s="120" t="s">
        <v>192</v>
      </c>
      <c r="AI326" s="131" t="s">
        <v>196</v>
      </c>
      <c r="AJ326" s="9255" t="s"/>
      <c r="AK326" s="9256" t="s"/>
    </row>
    <row hidden="false" ht="15" outlineLevel="0" r="327">
      <c r="C327" s="98" t="s">
        <v>194</v>
      </c>
      <c r="D327" s="149" t="n">
        <f aca="false" ca="false" dt2D="false" dtr="false" t="normal">D324</f>
        <v>7</v>
      </c>
      <c r="E327" s="149" t="str">
        <f aca="false" ca="false" dt2D="false" dtr="false" t="normal">E324</f>
        <v>A5</v>
      </c>
      <c r="F327" s="149" t="str">
        <f aca="false" ca="false" dt2D="false" dtr="false" t="normal">MID($A$33, 4, 2)</f>
        <v>G1</v>
      </c>
      <c r="G327" s="149" t="str">
        <f aca="false" ca="false" dt2D="false" dtr="false" t="normal">MID($A$33, 6, 2)</f>
        <v>HE</v>
      </c>
      <c r="N327" s="63" t="n"/>
      <c r="P327" s="136" t="n">
        <f aca="false" ca="false" dt2D="false" dtr="false" t="normal">MID(H325, 3, 1)</f>
        <v>0</v>
      </c>
      <c r="Q327" s="137" t="n">
        <f aca="false" ca="false" dt2D="false" dtr="false" t="normal">P327</f>
        <v>0</v>
      </c>
      <c r="R327" s="120" t="s">
        <v>195</v>
      </c>
      <c r="S327" s="131" t="s">
        <v>196</v>
      </c>
      <c r="T327" s="136" t="n">
        <f aca="false" ca="false" dt2D="false" dtr="false" t="normal">MID(I325, 3, 1)</f>
        <v>0</v>
      </c>
      <c r="U327" s="137" t="n">
        <f aca="false" ca="false" dt2D="false" dtr="false" t="normal">T327</f>
        <v>0</v>
      </c>
      <c r="V327" s="120" t="s">
        <v>195</v>
      </c>
      <c r="W327" s="131" t="s">
        <v>196</v>
      </c>
      <c r="X327" s="136" t="n">
        <f aca="false" ca="false" dt2D="false" dtr="false" t="normal">MID(J325, 3, 1)</f>
        <v>0</v>
      </c>
      <c r="Y327" s="137" t="n">
        <f aca="false" ca="false" dt2D="false" dtr="false" t="normal">X327</f>
        <v>0</v>
      </c>
      <c r="Z327" s="120" t="s">
        <v>195</v>
      </c>
      <c r="AA327" s="131" t="s">
        <v>196</v>
      </c>
      <c r="AB327" s="136" t="n">
        <f aca="false" ca="false" dt2D="false" dtr="false" t="normal">MID(K325, 3, 1)</f>
        <v>0</v>
      </c>
      <c r="AC327" s="137" t="n">
        <f aca="false" ca="false" dt2D="false" dtr="false" t="normal">AB327</f>
        <v>0</v>
      </c>
      <c r="AD327" s="120" t="s">
        <v>195</v>
      </c>
      <c r="AE327" s="131" t="s">
        <v>196</v>
      </c>
      <c r="AF327" s="136" t="n">
        <f aca="false" ca="false" dt2D="false" dtr="false" t="normal">MID(L325, 3, 1)</f>
        <v>0</v>
      </c>
      <c r="AG327" s="137" t="n">
        <f aca="false" ca="false" dt2D="false" dtr="false" t="normal">AF327</f>
        <v>0</v>
      </c>
      <c r="AH327" s="120" t="s">
        <v>195</v>
      </c>
      <c r="AI327" s="131" t="s">
        <v>196</v>
      </c>
      <c r="AJ327" s="9257" t="s"/>
      <c r="AK327" s="9258" t="s"/>
    </row>
    <row hidden="false" ht="15.75" outlineLevel="0" r="328">
      <c r="C328" s="98" t="n"/>
      <c r="N328" s="63" t="n"/>
      <c r="P328" s="136" t="n">
        <f aca="false" ca="false" dt2D="false" dtr="false" t="normal">MID(H325, 4, 1)</f>
        <v>0</v>
      </c>
      <c r="Q328" s="137" t="n">
        <f aca="false" ca="false" dt2D="false" dtr="false" t="normal">P328</f>
        <v>0</v>
      </c>
      <c r="R328" s="120" t="s">
        <v>197</v>
      </c>
      <c r="S328" s="131" t="s">
        <v>196</v>
      </c>
      <c r="T328" s="136" t="n">
        <f aca="false" ca="false" dt2D="false" dtr="false" t="normal">MID(I325, 4, 1)</f>
        <v>0</v>
      </c>
      <c r="U328" s="137" t="n">
        <f aca="false" ca="false" dt2D="false" dtr="false" t="normal">T328</f>
        <v>0</v>
      </c>
      <c r="V328" s="120" t="s">
        <v>197</v>
      </c>
      <c r="W328" s="131" t="s">
        <v>196</v>
      </c>
      <c r="X328" s="136" t="n">
        <f aca="false" ca="false" dt2D="false" dtr="false" t="normal">MID(J325, 4, 1)</f>
        <v>0</v>
      </c>
      <c r="Y328" s="137" t="n">
        <f aca="false" ca="false" dt2D="false" dtr="false" t="normal">X328</f>
        <v>0</v>
      </c>
      <c r="Z328" s="120" t="s">
        <v>197</v>
      </c>
      <c r="AA328" s="131" t="s">
        <v>196</v>
      </c>
      <c r="AB328" s="136" t="n">
        <f aca="false" ca="false" dt2D="false" dtr="false" t="normal">MID(K325, 4, 1)</f>
        <v>0</v>
      </c>
      <c r="AC328" s="137" t="n">
        <f aca="false" ca="false" dt2D="false" dtr="false" t="normal">AB328</f>
        <v>0</v>
      </c>
      <c r="AD328" s="120" t="s">
        <v>197</v>
      </c>
      <c r="AE328" s="131" t="s">
        <v>196</v>
      </c>
      <c r="AF328" s="136" t="n">
        <f aca="false" ca="false" dt2D="false" dtr="false" t="normal">MID(L325, 4, 1)</f>
        <v>0</v>
      </c>
      <c r="AG328" s="137" t="n">
        <f aca="false" ca="false" dt2D="false" dtr="false" t="normal">AF328</f>
        <v>0</v>
      </c>
      <c r="AH328" s="120" t="s">
        <v>197</v>
      </c>
      <c r="AI328" s="131" t="s">
        <v>196</v>
      </c>
      <c r="AJ328" s="9259" t="s"/>
      <c r="AK328" s="9260" t="s"/>
    </row>
    <row hidden="false" ht="15.75" outlineLevel="0" r="329">
      <c r="C329" s="98" t="s">
        <v>176</v>
      </c>
      <c r="D329" s="122" t="n">
        <f aca="false" ca="false" dt2D="false" dtr="false" t="normal">D324</f>
        <v>7</v>
      </c>
      <c r="E329" s="123" t="str">
        <f aca="false" ca="false" dt2D="false" dtr="false" t="normal">E324</f>
        <v>A5</v>
      </c>
      <c r="F329" s="123" t="n">
        <f aca="false" ca="false" dt2D="false" dtr="false" t="normal">F324</f>
        <v>1</v>
      </c>
      <c r="G329" s="124" t="n">
        <f aca="false" ca="false" dt2D="false" dtr="false" t="normal">G324</f>
        <v>30</v>
      </c>
      <c r="H329" s="162" t="n">
        <f aca="false" ca="false" dt2D="false" dtr="false" t="normal">BIN2HEX(H330, 2)</f>
        <v>0</v>
      </c>
      <c r="I329" s="163" t="n">
        <f aca="false" ca="false" dt2D="false" dtr="false" t="normal">BIN2HEX(I330, 2)</f>
        <v>0</v>
      </c>
      <c r="J329" s="164" t="n">
        <f aca="false" ca="false" dt2D="false" dtr="false" t="normal">BIN2HEX(J330, 2)</f>
        <v>0</v>
      </c>
      <c r="K329" s="165" t="n">
        <f aca="false" ca="false" dt2D="false" dtr="false" t="normal">BIN2HEX(K330, 2)</f>
        <v>0</v>
      </c>
      <c r="L329" s="288" t="n">
        <f aca="false" ca="false" dt2D="false" dtr="false" t="normal">BIN2HEX(L330, 2)</f>
        <v>0</v>
      </c>
      <c r="M329" s="166" t="str">
        <f aca="false" ca="false" dt2D="false" dtr="false" t="normal">IF(LEN(M330)&gt;2, MID(M330, 2, 2), M330)</f>
        <v>DD</v>
      </c>
      <c r="N329" s="63" t="s">
        <v>181</v>
      </c>
      <c r="P329" s="136" t="n">
        <f aca="false" ca="false" dt2D="false" dtr="false" t="normal">MID(H325, 5, 1)</f>
        <v>0</v>
      </c>
      <c r="Q329" s="137" t="n">
        <f aca="false" ca="false" dt2D="false" dtr="false" t="normal">P329</f>
        <v>0</v>
      </c>
      <c r="R329" s="120" t="s">
        <v>200</v>
      </c>
      <c r="S329" s="131" t="s">
        <v>196</v>
      </c>
      <c r="T329" s="136" t="n">
        <f aca="false" ca="false" dt2D="false" dtr="false" t="normal">MID(I325, 5, 1)</f>
        <v>0</v>
      </c>
      <c r="U329" s="137" t="n">
        <f aca="false" ca="false" dt2D="false" dtr="false" t="normal">T329</f>
        <v>0</v>
      </c>
      <c r="V329" s="120" t="s">
        <v>200</v>
      </c>
      <c r="W329" s="131" t="s">
        <v>196</v>
      </c>
      <c r="X329" s="136" t="n">
        <f aca="false" ca="false" dt2D="false" dtr="false" t="normal">MID(J325, 5, 1)</f>
        <v>0</v>
      </c>
      <c r="Y329" s="137" t="n">
        <f aca="false" ca="false" dt2D="false" dtr="false" t="normal">X329</f>
        <v>0</v>
      </c>
      <c r="Z329" s="120" t="s">
        <v>200</v>
      </c>
      <c r="AA329" s="131" t="s">
        <v>196</v>
      </c>
      <c r="AB329" s="136" t="n">
        <f aca="false" ca="false" dt2D="false" dtr="false" t="normal">MID(K325, 5, 1)</f>
        <v>0</v>
      </c>
      <c r="AC329" s="137" t="n">
        <f aca="false" ca="false" dt2D="false" dtr="false" t="normal">AB329</f>
        <v>0</v>
      </c>
      <c r="AD329" s="120" t="s">
        <v>200</v>
      </c>
      <c r="AE329" s="131" t="s">
        <v>196</v>
      </c>
      <c r="AF329" s="136" t="n">
        <f aca="false" ca="false" dt2D="false" dtr="false" t="normal">MID(L325, 5, 1)</f>
        <v>0</v>
      </c>
      <c r="AG329" s="137" t="n">
        <f aca="false" ca="false" dt2D="false" dtr="false" t="normal">AF329</f>
        <v>0</v>
      </c>
      <c r="AH329" s="120" t="s">
        <v>200</v>
      </c>
      <c r="AI329" s="131" t="s">
        <v>196</v>
      </c>
      <c r="AJ329" s="9261" t="s"/>
      <c r="AK329" s="9262" t="s"/>
    </row>
    <row hidden="false" ht="15" outlineLevel="0" r="330">
      <c r="C330" s="98" t="s">
        <v>185</v>
      </c>
      <c r="D330" s="149" t="n">
        <f aca="false" ca="false" dt2D="false" dtr="false" t="normal">HEX2BIN(D329, 8)</f>
        <v>111</v>
      </c>
      <c r="E330" s="149" t="n">
        <f aca="false" ca="false" dt2D="false" dtr="false" t="normal">HEX2BIN(E329, 8)</f>
        <v>10100101</v>
      </c>
      <c r="F330" s="149" t="n">
        <f aca="false" ca="false" dt2D="false" dtr="false" t="normal">HEX2BIN(F329, 8)</f>
        <v>1</v>
      </c>
      <c r="G330" s="149" t="n">
        <f aca="false" ca="false" dt2D="false" dtr="false" t="normal">HEX2BIN(G329, 8)</f>
        <v>110000</v>
      </c>
      <c r="H330" s="53" t="n">
        <f aca="false" ca="false" dt2D="false" dtr="false" t="normal">Q325&amp;Q326&amp;Q327&amp;Q328&amp;Q329&amp;Q330&amp;Q331&amp;Q332</f>
        <v>0</v>
      </c>
      <c r="I330" s="53" t="n">
        <f aca="false" ca="false" dt2D="false" dtr="false" t="normal">U325&amp;U326&amp;U327&amp;U328&amp;U329&amp;U330&amp;U331&amp;U332</f>
        <v>0</v>
      </c>
      <c r="J330" s="53" t="n">
        <f aca="false" ca="false" dt2D="false" dtr="false" t="normal">Y325&amp;Y326&amp;Y327&amp;Y328&amp;Y329&amp;Y330&amp;Y331&amp;Y332</f>
        <v>0</v>
      </c>
      <c r="K330" s="53" t="n">
        <f aca="false" ca="false" dt2D="false" dtr="false" t="normal">AC325&amp;AC326&amp;AC327&amp;AC328&amp;AC329&amp;AC330&amp;AC331&amp;AC332</f>
        <v>0</v>
      </c>
      <c r="L330" s="53" t="n">
        <f aca="false" ca="false" dt2D="false" dtr="false" t="normal">AG325&amp;AG326&amp;AG327&amp;AG328&amp;AG329&amp;AG330&amp;AG331&amp;AG332</f>
        <v>0</v>
      </c>
      <c r="M330" s="53" t="str">
        <f aca="false" ca="false" dt2D="false" dtr="false" t="normal">DEC2HEX(M331)</f>
        <v>DD</v>
      </c>
      <c r="N330" s="63" t="n"/>
      <c r="P330" s="136" t="n">
        <f aca="false" ca="false" dt2D="false" dtr="false" t="normal">MID(H325, 6, 1)</f>
        <v>0</v>
      </c>
      <c r="Q330" s="137" t="n">
        <f aca="false" ca="false" dt2D="false" dtr="false" t="normal">P330</f>
        <v>0</v>
      </c>
      <c r="R330" s="120" t="s">
        <v>203</v>
      </c>
      <c r="S330" s="131" t="s">
        <v>196</v>
      </c>
      <c r="T330" s="136" t="n">
        <f aca="false" ca="false" dt2D="false" dtr="false" t="normal">MID(I325, 6, 1)</f>
        <v>0</v>
      </c>
      <c r="U330" s="137" t="n">
        <f aca="false" ca="false" dt2D="false" dtr="false" t="normal">T330</f>
        <v>0</v>
      </c>
      <c r="V330" s="120" t="s">
        <v>203</v>
      </c>
      <c r="W330" s="131" t="s">
        <v>196</v>
      </c>
      <c r="X330" s="136" t="n">
        <f aca="false" ca="false" dt2D="false" dtr="false" t="normal">MID(J325, 6, 1)</f>
        <v>0</v>
      </c>
      <c r="Y330" s="137" t="n">
        <f aca="false" ca="false" dt2D="false" dtr="false" t="normal">X330</f>
        <v>0</v>
      </c>
      <c r="Z330" s="120" t="s">
        <v>203</v>
      </c>
      <c r="AA330" s="131" t="s">
        <v>196</v>
      </c>
      <c r="AB330" s="136" t="n">
        <f aca="false" ca="false" dt2D="false" dtr="false" t="normal">MID(K325, 6, 1)</f>
        <v>0</v>
      </c>
      <c r="AC330" s="137" t="n">
        <f aca="false" ca="false" dt2D="false" dtr="false" t="normal">AB330</f>
        <v>0</v>
      </c>
      <c r="AD330" s="120" t="s">
        <v>203</v>
      </c>
      <c r="AE330" s="131" t="s">
        <v>196</v>
      </c>
      <c r="AF330" s="136" t="n">
        <f aca="false" ca="false" dt2D="false" dtr="false" t="normal">MID(L325, 6, 1)</f>
        <v>0</v>
      </c>
      <c r="AG330" s="137" t="n">
        <f aca="false" ca="false" dt2D="false" dtr="false" t="normal">AF330</f>
        <v>0</v>
      </c>
      <c r="AH330" s="120" t="s">
        <v>203</v>
      </c>
      <c r="AI330" s="131" t="s">
        <v>196</v>
      </c>
      <c r="AJ330" s="9263" t="s"/>
      <c r="AK330" s="9264" t="s"/>
    </row>
    <row hidden="false" ht="15" outlineLevel="0" r="331">
      <c r="C331" s="98" t="s">
        <v>191</v>
      </c>
      <c r="D331" s="149" t="n">
        <f aca="false" ca="false" dt2D="false" dtr="false" t="normal">HEX2DEC(D329)</f>
        <v>7</v>
      </c>
      <c r="E331" s="149" t="n">
        <f aca="false" ca="false" dt2D="false" dtr="false" t="normal">HEX2DEC(E329)</f>
        <v>165</v>
      </c>
      <c r="F331" s="149" t="n">
        <f aca="false" ca="false" dt2D="false" dtr="false" t="normal">HEX2DEC(F329)</f>
        <v>1</v>
      </c>
      <c r="G331" s="149" t="n">
        <f aca="false" ca="false" dt2D="false" dtr="false" t="normal">HEX2DEC(G329)</f>
        <v>48</v>
      </c>
      <c r="H331" s="53" t="n">
        <f aca="false" ca="false" dt2D="false" dtr="false" t="normal">HEX2DEC(H329)</f>
        <v>0</v>
      </c>
      <c r="I331" s="53" t="n">
        <f aca="false" ca="false" dt2D="false" dtr="false" t="normal">HEX2DEC(I329)</f>
        <v>0</v>
      </c>
      <c r="J331" s="53" t="n">
        <f aca="false" ca="false" dt2D="false" dtr="false" t="normal">HEX2DEC(J329)</f>
        <v>0</v>
      </c>
      <c r="K331" s="53" t="n">
        <f aca="false" ca="false" dt2D="false" dtr="false" t="normal">HEX2DEC(K329)</f>
        <v>0</v>
      </c>
      <c r="L331" s="53" t="n">
        <f aca="false" ca="false" dt2D="false" dtr="false" t="normal">HEX2DEC(L329)</f>
        <v>0</v>
      </c>
      <c r="M331" s="53" t="n">
        <f aca="false" ca="false" dt2D="false" dtr="false" t="normal">SUM(D331:L331)</f>
        <v>221</v>
      </c>
      <c r="N331" s="63" t="n"/>
      <c r="P331" s="136" t="n">
        <f aca="false" ca="false" dt2D="false" dtr="false" t="normal">MID(H325, 7, 1)</f>
        <v>0</v>
      </c>
      <c r="Q331" s="137" t="n">
        <f aca="false" ca="false" dt2D="false" dtr="false" t="normal">P331</f>
        <v>0</v>
      </c>
      <c r="R331" s="120" t="s">
        <v>206</v>
      </c>
      <c r="S331" s="131" t="s">
        <v>196</v>
      </c>
      <c r="T331" s="136" t="n">
        <f aca="false" ca="false" dt2D="false" dtr="false" t="normal">MID(I325, 7, 1)</f>
        <v>0</v>
      </c>
      <c r="U331" s="137" t="n">
        <f aca="false" ca="false" dt2D="false" dtr="false" t="normal">T331</f>
        <v>0</v>
      </c>
      <c r="V331" s="120" t="s">
        <v>206</v>
      </c>
      <c r="W331" s="131" t="s">
        <v>196</v>
      </c>
      <c r="X331" s="136" t="n">
        <f aca="false" ca="false" dt2D="false" dtr="false" t="normal">MID(J325, 7, 1)</f>
        <v>0</v>
      </c>
      <c r="Y331" s="137" t="n">
        <f aca="false" ca="false" dt2D="false" dtr="false" t="normal">X331</f>
        <v>0</v>
      </c>
      <c r="Z331" s="120" t="s">
        <v>206</v>
      </c>
      <c r="AA331" s="131" t="s">
        <v>196</v>
      </c>
      <c r="AB331" s="136" t="n">
        <f aca="false" ca="false" dt2D="false" dtr="false" t="normal">MID(K325, 7, 1)</f>
        <v>0</v>
      </c>
      <c r="AC331" s="137" t="n">
        <f aca="false" ca="false" dt2D="false" dtr="false" t="normal">AB331</f>
        <v>0</v>
      </c>
      <c r="AD331" s="120" t="s">
        <v>206</v>
      </c>
      <c r="AE331" s="131" t="s">
        <v>196</v>
      </c>
      <c r="AF331" s="136" t="n">
        <f aca="false" ca="false" dt2D="false" dtr="false" t="normal">MID(L325, 7, 1)</f>
        <v>0</v>
      </c>
      <c r="AG331" s="137" t="n">
        <f aca="false" ca="false" dt2D="false" dtr="false" t="normal">AF331</f>
        <v>0</v>
      </c>
      <c r="AH331" s="120" t="s">
        <v>206</v>
      </c>
      <c r="AI331" s="131" t="s">
        <v>196</v>
      </c>
      <c r="AJ331" s="9265" t="s"/>
      <c r="AK331" s="9266" t="s"/>
    </row>
    <row hidden="false" ht="15.75" outlineLevel="0" r="332">
      <c r="C332" s="180" t="s">
        <v>194</v>
      </c>
      <c r="D332" s="181" t="n">
        <f aca="false" ca="false" dt2D="false" dtr="false" t="normal">D327</f>
        <v>7</v>
      </c>
      <c r="E332" s="181" t="str">
        <f aca="false" ca="false" dt2D="false" dtr="false" t="normal">E327</f>
        <v>A5</v>
      </c>
      <c r="F332" s="181" t="str">
        <f aca="false" ca="false" dt2D="false" dtr="false" t="normal">F327</f>
        <v>G1</v>
      </c>
      <c r="G332" s="181" t="str">
        <f aca="false" ca="false" dt2D="false" dtr="false" t="normal">G327</f>
        <v>HE</v>
      </c>
      <c r="H332" s="45" t="n"/>
      <c r="I332" s="45" t="n"/>
      <c r="J332" s="45" t="n"/>
      <c r="K332" s="45" t="n"/>
      <c r="L332" s="45" t="n"/>
      <c r="M332" s="45" t="n"/>
      <c r="N332" s="49" t="n"/>
      <c r="P332" s="182" t="n">
        <f aca="false" ca="false" dt2D="false" dtr="false" t="normal">MID(H325, 8, 1)</f>
        <v>0</v>
      </c>
      <c r="Q332" s="183" t="n">
        <f aca="false" ca="false" dt2D="false" dtr="false" t="normal">P332</f>
        <v>0</v>
      </c>
      <c r="R332" s="184" t="s">
        <v>208</v>
      </c>
      <c r="S332" s="185" t="s">
        <v>196</v>
      </c>
      <c r="T332" s="182" t="n">
        <f aca="false" ca="false" dt2D="false" dtr="false" t="normal">MID(I325, 8, 1)</f>
        <v>0</v>
      </c>
      <c r="U332" s="183" t="n">
        <f aca="false" ca="false" dt2D="false" dtr="false" t="normal">T332</f>
        <v>0</v>
      </c>
      <c r="V332" s="184" t="s">
        <v>208</v>
      </c>
      <c r="W332" s="185" t="s">
        <v>196</v>
      </c>
      <c r="X332" s="182" t="n">
        <f aca="false" ca="false" dt2D="false" dtr="false" t="normal">MID(J325, 8, 1)</f>
        <v>0</v>
      </c>
      <c r="Y332" s="183" t="n">
        <f aca="false" ca="false" dt2D="false" dtr="false" t="normal">X332</f>
        <v>0</v>
      </c>
      <c r="Z332" s="184" t="s">
        <v>208</v>
      </c>
      <c r="AA332" s="185" t="s">
        <v>196</v>
      </c>
      <c r="AB332" s="182" t="n">
        <f aca="false" ca="false" dt2D="false" dtr="false" t="normal">MID(K325, 8, 1)</f>
        <v>0</v>
      </c>
      <c r="AC332" s="183" t="n">
        <f aca="false" ca="false" dt2D="false" dtr="false" t="normal">AB332</f>
        <v>0</v>
      </c>
      <c r="AD332" s="184" t="s">
        <v>208</v>
      </c>
      <c r="AE332" s="185" t="s">
        <v>196</v>
      </c>
      <c r="AF332" s="182" t="n">
        <f aca="false" ca="false" dt2D="false" dtr="false" t="normal">MID(L325, 8, 1)</f>
        <v>0</v>
      </c>
      <c r="AG332" s="183" t="n">
        <f aca="false" ca="false" dt2D="false" dtr="false" t="normal">AF332</f>
        <v>0</v>
      </c>
      <c r="AH332" s="184" t="s">
        <v>208</v>
      </c>
      <c r="AI332" s="185" t="s">
        <v>196</v>
      </c>
      <c r="AJ332" s="9267" t="s"/>
      <c r="AK332" s="9268" t="s"/>
    </row>
    <row hidden="false" ht="15.75" outlineLevel="0" r="333">
      <c r="C333" s="93" t="n"/>
      <c r="D333" s="7585" t="n"/>
      <c r="E333" s="7585" t="n"/>
      <c r="F333" s="7585" t="n"/>
      <c r="G333" s="7585" t="n"/>
      <c r="H333" s="94" t="n"/>
      <c r="I333" s="94" t="n"/>
      <c r="J333" s="94" t="n"/>
      <c r="K333" s="94" t="n"/>
      <c r="L333" s="94" t="n"/>
      <c r="M333" s="94" t="s">
        <v>161</v>
      </c>
      <c r="N333" s="60" t="n"/>
      <c r="P333" s="95" t="str">
        <f aca="false" ca="false" dt2D="false" dtr="false" t="normal">RIGHT(D335, 1)&amp;E335&amp;"-"&amp;F335&amp;"-"&amp;G335</f>
        <v>7A5-01-31</v>
      </c>
      <c r="Q333" s="9269" t="s"/>
      <c r="R333" s="234" t="s">
        <v>4176</v>
      </c>
      <c r="S333" s="9270" t="s"/>
      <c r="T333" s="9271" t="s"/>
      <c r="U333" s="9272" t="s"/>
      <c r="V333" s="9273" t="s"/>
      <c r="W333" s="9274" t="s"/>
      <c r="X333" s="9275" t="s"/>
      <c r="Y333" s="9276" t="s"/>
      <c r="Z333" s="9277" t="s"/>
      <c r="AA333" s="9278" t="s"/>
      <c r="AB333" s="9279" t="s"/>
      <c r="AC333" s="9280" t="s"/>
      <c r="AD333" s="9281" t="s"/>
      <c r="AE333" s="9282" t="s"/>
      <c r="AF333" s="9283" t="s"/>
      <c r="AG333" s="9284" t="s"/>
      <c r="AH333" s="9285" t="s"/>
      <c r="AI333" s="9286" t="s"/>
      <c r="AJ333" s="9287" t="s"/>
      <c r="AK333" s="9288" t="s"/>
    </row>
    <row hidden="false" ht="15.75" outlineLevel="0" r="334">
      <c r="C334" s="98" t="n"/>
      <c r="D334" s="7606" t="s">
        <v>4177</v>
      </c>
      <c r="E334" s="9289" t="s"/>
      <c r="F334" s="9290" t="s"/>
      <c r="G334" s="9291" t="s"/>
      <c r="H334" s="53" t="s">
        <v>165</v>
      </c>
      <c r="I334" s="53" t="s">
        <v>166</v>
      </c>
      <c r="J334" s="53" t="s">
        <v>167</v>
      </c>
      <c r="K334" s="53" t="s">
        <v>168</v>
      </c>
      <c r="L334" s="53" t="s">
        <v>169</v>
      </c>
      <c r="M334" s="53" t="s">
        <v>221</v>
      </c>
      <c r="N334" s="63" t="n"/>
      <c r="P334" s="103" t="s">
        <v>4178</v>
      </c>
      <c r="Q334" s="9292" t="s"/>
      <c r="R334" s="9293" t="s"/>
      <c r="S334" s="9294" t="s"/>
      <c r="T334" s="103" t="s">
        <v>4179</v>
      </c>
      <c r="U334" s="9295" t="s"/>
      <c r="V334" s="9296" t="s"/>
      <c r="W334" s="9297" t="s"/>
      <c r="X334" s="103" t="s">
        <v>4180</v>
      </c>
      <c r="Y334" s="9298" t="s"/>
      <c r="Z334" s="9299" t="s"/>
      <c r="AA334" s="9300" t="s"/>
      <c r="AB334" s="103" t="s">
        <v>4181</v>
      </c>
      <c r="AC334" s="9301" t="s"/>
      <c r="AD334" s="9302" t="s"/>
      <c r="AE334" s="9303" t="s"/>
      <c r="AF334" s="103" t="s">
        <v>4182</v>
      </c>
      <c r="AG334" s="9304" t="s"/>
      <c r="AH334" s="9305" t="s"/>
      <c r="AI334" s="9306" t="s"/>
      <c r="AJ334" s="103" t="s">
        <v>4183</v>
      </c>
      <c r="AK334" s="9307" t="s"/>
    </row>
    <row hidden="false" ht="15.75" outlineLevel="0" r="335">
      <c r="C335" s="98" t="s">
        <v>176</v>
      </c>
      <c r="D335" s="122" t="s">
        <v>177</v>
      </c>
      <c r="E335" s="123" t="s">
        <v>3892</v>
      </c>
      <c r="F335" s="123" t="s">
        <v>179</v>
      </c>
      <c r="G335" s="124" t="s">
        <v>834</v>
      </c>
      <c r="H335" s="273" t="n">
        <f aca="false" ca="false" dt2D="false" dtr="false" t="normal">MID($A$34, 8, 2)</f>
        <v>0</v>
      </c>
      <c r="I335" s="7626" t="n">
        <f aca="false" ca="false" dt2D="false" dtr="false" t="normal">MID($A$34, 10, 2)</f>
        <v>0</v>
      </c>
      <c r="J335" s="7626" t="n">
        <f aca="false" ca="false" dt2D="false" dtr="false" t="normal">MID($A$34, 12, 2)</f>
        <v>0</v>
      </c>
      <c r="K335" s="7626" t="n">
        <f aca="false" ca="false" dt2D="false" dtr="false" t="normal">MID($A$34, 14, 2)</f>
        <v>0</v>
      </c>
      <c r="L335" s="7627" t="n">
        <f aca="false" ca="false" dt2D="false" dtr="false" t="normal">MID($A$34, 16, 2)</f>
        <v>0</v>
      </c>
      <c r="M335" s="7553" t="str">
        <f aca="false" ca="false" dt2D="false" dtr="false" t="normal">MID($A$34, 18, 2)</f>
        <v>DE</v>
      </c>
      <c r="N335" s="63" t="s">
        <v>180</v>
      </c>
      <c r="P335" s="129" t="s">
        <v>180</v>
      </c>
      <c r="Q335" s="130" t="s">
        <v>181</v>
      </c>
      <c r="R335" s="121" t="s">
        <v>182</v>
      </c>
      <c r="S335" s="131" t="n"/>
      <c r="T335" s="129" t="s">
        <v>180</v>
      </c>
      <c r="U335" s="130" t="s">
        <v>181</v>
      </c>
      <c r="V335" s="121" t="s">
        <v>182</v>
      </c>
      <c r="W335" s="131" t="n"/>
      <c r="X335" s="129" t="s">
        <v>180</v>
      </c>
      <c r="Y335" s="130" t="s">
        <v>181</v>
      </c>
      <c r="Z335" s="121" t="s">
        <v>182</v>
      </c>
      <c r="AA335" s="131" t="n"/>
      <c r="AB335" s="129" t="s">
        <v>180</v>
      </c>
      <c r="AC335" s="130" t="s">
        <v>181</v>
      </c>
      <c r="AD335" s="121" t="s">
        <v>182</v>
      </c>
      <c r="AE335" s="131" t="n"/>
      <c r="AF335" s="129" t="s">
        <v>180</v>
      </c>
      <c r="AG335" s="130" t="s">
        <v>181</v>
      </c>
      <c r="AH335" s="121" t="s">
        <v>182</v>
      </c>
      <c r="AI335" s="121" t="n"/>
      <c r="AJ335" s="116" t="s">
        <v>183</v>
      </c>
      <c r="AK335" s="9308" t="s"/>
    </row>
    <row hidden="false" ht="15" outlineLevel="0" r="336">
      <c r="C336" s="98" t="s">
        <v>185</v>
      </c>
      <c r="D336" s="149" t="n">
        <f aca="false" ca="false" dt2D="false" dtr="false" t="normal">HEX2BIN(D335, 8)</f>
        <v>111</v>
      </c>
      <c r="E336" s="149" t="n">
        <f aca="false" ca="false" dt2D="false" dtr="false" t="normal">HEX2BIN(E335, 8)</f>
        <v>10100101</v>
      </c>
      <c r="F336" s="149" t="n">
        <f aca="false" ca="false" dt2D="false" dtr="false" t="normal">HEX2BIN(F335, 8)</f>
        <v>1</v>
      </c>
      <c r="G336" s="149" t="n">
        <f aca="false" ca="false" dt2D="false" dtr="false" t="normal">HEX2BIN(G335, 8)</f>
        <v>110001</v>
      </c>
      <c r="H336" s="53" t="n">
        <f aca="false" ca="false" dt2D="false" dtr="false" t="normal">HEX2BIN(H335, 8)</f>
        <v>0</v>
      </c>
      <c r="I336" s="53" t="n">
        <f aca="false" ca="false" dt2D="false" dtr="false" t="normal">HEX2BIN(I335, 8)</f>
        <v>0</v>
      </c>
      <c r="J336" s="53" t="n">
        <f aca="false" ca="false" dt2D="false" dtr="false" t="normal">HEX2BIN(J335, 8)</f>
        <v>0</v>
      </c>
      <c r="K336" s="53" t="n">
        <f aca="false" ca="false" dt2D="false" dtr="false" t="normal">HEX2BIN(K335, 8)</f>
        <v>0</v>
      </c>
      <c r="L336" s="53" t="n">
        <f aca="false" ca="false" dt2D="false" dtr="false" t="normal">HEX2BIN(L335, 8)</f>
        <v>0</v>
      </c>
      <c r="M336" s="53" t="n"/>
      <c r="N336" s="63" t="n"/>
      <c r="P336" s="136" t="n">
        <f aca="false" ca="false" dt2D="false" dtr="false" t="normal">MID(H336, 1, 1)</f>
        <v>0</v>
      </c>
      <c r="Q336" s="137" t="n">
        <f aca="false" ca="false" dt2D="false" dtr="false" t="normal">P336</f>
        <v>0</v>
      </c>
      <c r="R336" s="120" t="s">
        <v>186</v>
      </c>
      <c r="S336" s="131" t="s">
        <v>196</v>
      </c>
      <c r="T336" s="136" t="n">
        <f aca="false" ca="false" dt2D="false" dtr="false" t="normal">MID(I336, 1, 1)</f>
        <v>0</v>
      </c>
      <c r="U336" s="137" t="n">
        <f aca="false" ca="false" dt2D="false" dtr="false" t="normal">T336</f>
        <v>0</v>
      </c>
      <c r="V336" s="120" t="s">
        <v>186</v>
      </c>
      <c r="W336" s="131" t="s">
        <v>196</v>
      </c>
      <c r="X336" s="136" t="n">
        <f aca="false" ca="false" dt2D="false" dtr="false" t="normal">MID(J336, 1, 1)</f>
        <v>0</v>
      </c>
      <c r="Y336" s="137" t="n">
        <f aca="false" ca="false" dt2D="false" dtr="false" t="normal">X336</f>
        <v>0</v>
      </c>
      <c r="Z336" s="120" t="s">
        <v>186</v>
      </c>
      <c r="AA336" s="131" t="s">
        <v>196</v>
      </c>
      <c r="AB336" s="136" t="n">
        <f aca="false" ca="false" dt2D="false" dtr="false" t="normal">MID(K336, 1, 1)</f>
        <v>0</v>
      </c>
      <c r="AC336" s="137" t="n">
        <f aca="false" ca="false" dt2D="false" dtr="false" t="normal">AB336</f>
        <v>0</v>
      </c>
      <c r="AD336" s="120" t="s">
        <v>186</v>
      </c>
      <c r="AE336" s="131" t="s">
        <v>196</v>
      </c>
      <c r="AF336" s="136" t="n">
        <f aca="false" ca="false" dt2D="false" dtr="false" t="normal">MID(L336, 1, 1)</f>
        <v>0</v>
      </c>
      <c r="AG336" s="137" t="n">
        <f aca="false" ca="false" dt2D="false" dtr="false" t="normal">AF336</f>
        <v>0</v>
      </c>
      <c r="AH336" s="120" t="s">
        <v>186</v>
      </c>
      <c r="AI336" s="131" t="s">
        <v>196</v>
      </c>
      <c r="AJ336" s="9309" t="s"/>
      <c r="AK336" s="9310" t="s"/>
    </row>
    <row customHeight="true" hidden="false" ht="15" outlineLevel="0" r="337">
      <c r="C337" s="98" t="s">
        <v>191</v>
      </c>
      <c r="D337" s="149" t="n">
        <f aca="false" ca="false" dt2D="false" dtr="false" t="normal">HEX2DEC(D335)</f>
        <v>7</v>
      </c>
      <c r="E337" s="149" t="n">
        <f aca="false" ca="false" dt2D="false" dtr="false" t="normal">HEX2DEC(E335)</f>
        <v>165</v>
      </c>
      <c r="F337" s="149" t="n">
        <f aca="false" ca="false" dt2D="false" dtr="false" t="normal">HEX2DEC(F335)</f>
        <v>1</v>
      </c>
      <c r="G337" s="149" t="n">
        <f aca="false" ca="false" dt2D="false" dtr="false" t="normal">HEX2DEC(G335)</f>
        <v>49</v>
      </c>
      <c r="H337" s="53" t="n">
        <f aca="false" ca="false" dt2D="false" dtr="false" t="normal">HEX2DEC(H335)</f>
        <v>0</v>
      </c>
      <c r="I337" s="53" t="n">
        <f aca="false" ca="false" dt2D="false" dtr="false" t="normal">HEX2DEC(I335)</f>
        <v>0</v>
      </c>
      <c r="J337" s="53" t="n">
        <f aca="false" ca="false" dt2D="false" dtr="false" t="normal">HEX2DEC(J335)</f>
        <v>0</v>
      </c>
      <c r="K337" s="53" t="n">
        <f aca="false" ca="false" dt2D="false" dtr="false" t="normal">HEX2DEC(K335)</f>
        <v>0</v>
      </c>
      <c r="L337" s="53" t="n">
        <f aca="false" ca="false" dt2D="false" dtr="false" t="normal">HEX2DEC(L335)</f>
        <v>0</v>
      </c>
      <c r="M337" s="53" t="n">
        <f aca="false" ca="false" dt2D="false" dtr="false" t="normal">SUM(D337:L337)</f>
        <v>222</v>
      </c>
      <c r="N337" s="63" t="n"/>
      <c r="P337" s="136" t="n">
        <f aca="false" ca="false" dt2D="false" dtr="false" t="normal">MID(H336, 2, 1)</f>
        <v>0</v>
      </c>
      <c r="Q337" s="137" t="n">
        <f aca="false" ca="false" dt2D="false" dtr="false" t="normal">P337</f>
        <v>0</v>
      </c>
      <c r="R337" s="120" t="s">
        <v>192</v>
      </c>
      <c r="S337" s="131" t="s">
        <v>196</v>
      </c>
      <c r="T337" s="136" t="n">
        <f aca="false" ca="false" dt2D="false" dtr="false" t="normal">MID(I336, 2, 1)</f>
        <v>0</v>
      </c>
      <c r="U337" s="137" t="n">
        <f aca="false" ca="false" dt2D="false" dtr="false" t="normal">T337</f>
        <v>0</v>
      </c>
      <c r="V337" s="120" t="s">
        <v>192</v>
      </c>
      <c r="W337" s="131" t="s">
        <v>196</v>
      </c>
      <c r="X337" s="136" t="n">
        <f aca="false" ca="false" dt2D="false" dtr="false" t="normal">MID(J336, 2, 1)</f>
        <v>0</v>
      </c>
      <c r="Y337" s="137" t="n">
        <f aca="false" ca="false" dt2D="false" dtr="false" t="normal">X337</f>
        <v>0</v>
      </c>
      <c r="Z337" s="120" t="s">
        <v>192</v>
      </c>
      <c r="AA337" s="131" t="s">
        <v>196</v>
      </c>
      <c r="AB337" s="136" t="n">
        <f aca="false" ca="false" dt2D="false" dtr="false" t="normal">MID(K336, 2, 1)</f>
        <v>0</v>
      </c>
      <c r="AC337" s="137" t="n">
        <f aca="false" ca="false" dt2D="false" dtr="false" t="normal">AB337</f>
        <v>0</v>
      </c>
      <c r="AD337" s="120" t="s">
        <v>192</v>
      </c>
      <c r="AE337" s="131" t="s">
        <v>196</v>
      </c>
      <c r="AF337" s="136" t="n">
        <f aca="false" ca="false" dt2D="false" dtr="false" t="normal">MID(L336, 2, 1)</f>
        <v>0</v>
      </c>
      <c r="AG337" s="137" t="n">
        <f aca="false" ca="false" dt2D="false" dtr="false" t="normal">AF337</f>
        <v>0</v>
      </c>
      <c r="AH337" s="120" t="s">
        <v>192</v>
      </c>
      <c r="AI337" s="131" t="s">
        <v>196</v>
      </c>
      <c r="AJ337" s="9311" t="s"/>
      <c r="AK337" s="9312" t="s"/>
    </row>
    <row hidden="false" ht="15" outlineLevel="0" r="338">
      <c r="C338" s="98" t="s">
        <v>194</v>
      </c>
      <c r="D338" s="149" t="n">
        <f aca="false" ca="false" dt2D="false" dtr="false" t="normal">D335</f>
        <v>7</v>
      </c>
      <c r="E338" s="149" t="str">
        <f aca="false" ca="false" dt2D="false" dtr="false" t="normal">E335</f>
        <v>A5</v>
      </c>
      <c r="F338" s="149" t="str">
        <f aca="false" ca="false" dt2D="false" dtr="false" t="normal">MID($A$34, 4, 2)</f>
        <v>G1</v>
      </c>
      <c r="G338" s="149" t="str">
        <f aca="false" ca="false" dt2D="false" dtr="false" t="normal">MID($A$34, 6, 2)</f>
        <v>HF</v>
      </c>
      <c r="N338" s="63" t="n"/>
      <c r="P338" s="136" t="n">
        <f aca="false" ca="false" dt2D="false" dtr="false" t="normal">MID(H336, 3, 1)</f>
        <v>0</v>
      </c>
      <c r="Q338" s="137" t="n">
        <f aca="false" ca="false" dt2D="false" dtr="false" t="normal">P338</f>
        <v>0</v>
      </c>
      <c r="R338" s="120" t="s">
        <v>195</v>
      </c>
      <c r="S338" s="131" t="s">
        <v>196</v>
      </c>
      <c r="T338" s="136" t="n">
        <f aca="false" ca="false" dt2D="false" dtr="false" t="normal">MID(I336, 3, 1)</f>
        <v>0</v>
      </c>
      <c r="U338" s="137" t="n">
        <f aca="false" ca="false" dt2D="false" dtr="false" t="normal">T338</f>
        <v>0</v>
      </c>
      <c r="V338" s="120" t="s">
        <v>195</v>
      </c>
      <c r="W338" s="131" t="s">
        <v>196</v>
      </c>
      <c r="X338" s="136" t="n">
        <f aca="false" ca="false" dt2D="false" dtr="false" t="normal">MID(J336, 3, 1)</f>
        <v>0</v>
      </c>
      <c r="Y338" s="137" t="n">
        <f aca="false" ca="false" dt2D="false" dtr="false" t="normal">X338</f>
        <v>0</v>
      </c>
      <c r="Z338" s="120" t="s">
        <v>195</v>
      </c>
      <c r="AA338" s="131" t="s">
        <v>196</v>
      </c>
      <c r="AB338" s="136" t="n">
        <f aca="false" ca="false" dt2D="false" dtr="false" t="normal">MID(K336, 3, 1)</f>
        <v>0</v>
      </c>
      <c r="AC338" s="137" t="n">
        <f aca="false" ca="false" dt2D="false" dtr="false" t="normal">AB338</f>
        <v>0</v>
      </c>
      <c r="AD338" s="120" t="s">
        <v>195</v>
      </c>
      <c r="AE338" s="131" t="s">
        <v>196</v>
      </c>
      <c r="AF338" s="136" t="n">
        <f aca="false" ca="false" dt2D="false" dtr="false" t="normal">MID(L336, 3, 1)</f>
        <v>0</v>
      </c>
      <c r="AG338" s="137" t="n">
        <f aca="false" ca="false" dt2D="false" dtr="false" t="normal">AF338</f>
        <v>0</v>
      </c>
      <c r="AH338" s="120" t="s">
        <v>195</v>
      </c>
      <c r="AI338" s="131" t="s">
        <v>196</v>
      </c>
      <c r="AJ338" s="9313" t="s"/>
      <c r="AK338" s="9314" t="s"/>
    </row>
    <row hidden="false" ht="15.75" outlineLevel="0" r="339">
      <c r="C339" s="98" t="n"/>
      <c r="N339" s="63" t="n"/>
      <c r="P339" s="136" t="n">
        <f aca="false" ca="false" dt2D="false" dtr="false" t="normal">MID(H336, 4, 1)</f>
        <v>0</v>
      </c>
      <c r="Q339" s="137" t="n">
        <f aca="false" ca="false" dt2D="false" dtr="false" t="normal">P339</f>
        <v>0</v>
      </c>
      <c r="R339" s="120" t="s">
        <v>197</v>
      </c>
      <c r="S339" s="131" t="s">
        <v>196</v>
      </c>
      <c r="T339" s="136" t="n">
        <f aca="false" ca="false" dt2D="false" dtr="false" t="normal">MID(I336, 4, 1)</f>
        <v>0</v>
      </c>
      <c r="U339" s="137" t="n">
        <f aca="false" ca="false" dt2D="false" dtr="false" t="normal">T339</f>
        <v>0</v>
      </c>
      <c r="V339" s="120" t="s">
        <v>197</v>
      </c>
      <c r="W339" s="131" t="s">
        <v>196</v>
      </c>
      <c r="X339" s="136" t="n">
        <f aca="false" ca="false" dt2D="false" dtr="false" t="normal">MID(J336, 4, 1)</f>
        <v>0</v>
      </c>
      <c r="Y339" s="137" t="n">
        <f aca="false" ca="false" dt2D="false" dtr="false" t="normal">X339</f>
        <v>0</v>
      </c>
      <c r="Z339" s="120" t="s">
        <v>197</v>
      </c>
      <c r="AA339" s="131" t="s">
        <v>196</v>
      </c>
      <c r="AB339" s="136" t="n">
        <f aca="false" ca="false" dt2D="false" dtr="false" t="normal">MID(K336, 4, 1)</f>
        <v>0</v>
      </c>
      <c r="AC339" s="137" t="n">
        <f aca="false" ca="false" dt2D="false" dtr="false" t="normal">AB339</f>
        <v>0</v>
      </c>
      <c r="AD339" s="120" t="s">
        <v>197</v>
      </c>
      <c r="AE339" s="131" t="s">
        <v>196</v>
      </c>
      <c r="AF339" s="136" t="n">
        <f aca="false" ca="false" dt2D="false" dtr="false" t="normal">MID(L336, 4, 1)</f>
        <v>0</v>
      </c>
      <c r="AG339" s="137" t="n">
        <f aca="false" ca="false" dt2D="false" dtr="false" t="normal">AF339</f>
        <v>0</v>
      </c>
      <c r="AH339" s="120" t="s">
        <v>197</v>
      </c>
      <c r="AI339" s="131" t="s">
        <v>196</v>
      </c>
      <c r="AJ339" s="9315" t="s"/>
      <c r="AK339" s="9316" t="s"/>
    </row>
    <row hidden="false" ht="15.75" outlineLevel="0" r="340">
      <c r="C340" s="98" t="s">
        <v>176</v>
      </c>
      <c r="D340" s="122" t="n">
        <f aca="false" ca="false" dt2D="false" dtr="false" t="normal">D335</f>
        <v>7</v>
      </c>
      <c r="E340" s="123" t="str">
        <f aca="false" ca="false" dt2D="false" dtr="false" t="normal">E335</f>
        <v>A5</v>
      </c>
      <c r="F340" s="123" t="n">
        <f aca="false" ca="false" dt2D="false" dtr="false" t="normal">F335</f>
        <v>1</v>
      </c>
      <c r="G340" s="124" t="n">
        <f aca="false" ca="false" dt2D="false" dtr="false" t="normal">G335</f>
        <v>31</v>
      </c>
      <c r="H340" s="162" t="n">
        <f aca="false" ca="false" dt2D="false" dtr="false" t="normal">BIN2HEX(H341, 2)</f>
        <v>0</v>
      </c>
      <c r="I340" s="163" t="n">
        <f aca="false" ca="false" dt2D="false" dtr="false" t="normal">BIN2HEX(I341, 2)</f>
        <v>0</v>
      </c>
      <c r="J340" s="164" t="n">
        <f aca="false" ca="false" dt2D="false" dtr="false" t="normal">BIN2HEX(J341, 2)</f>
        <v>0</v>
      </c>
      <c r="K340" s="165" t="n">
        <f aca="false" ca="false" dt2D="false" dtr="false" t="normal">BIN2HEX(K341, 2)</f>
        <v>0</v>
      </c>
      <c r="L340" s="288" t="n">
        <f aca="false" ca="false" dt2D="false" dtr="false" t="normal">BIN2HEX(L341, 2)</f>
        <v>0</v>
      </c>
      <c r="M340" s="166" t="str">
        <f aca="false" ca="false" dt2D="false" dtr="false" t="normal">IF(LEN(M341)&gt;2, MID(M341, 2, 2), M341)</f>
        <v>DE</v>
      </c>
      <c r="N340" s="63" t="s">
        <v>181</v>
      </c>
      <c r="P340" s="136" t="n">
        <f aca="false" ca="false" dt2D="false" dtr="false" t="normal">MID(H336, 5, 1)</f>
        <v>0</v>
      </c>
      <c r="Q340" s="137" t="n">
        <f aca="false" ca="false" dt2D="false" dtr="false" t="normal">P340</f>
        <v>0</v>
      </c>
      <c r="R340" s="120" t="s">
        <v>200</v>
      </c>
      <c r="S340" s="131" t="s">
        <v>196</v>
      </c>
      <c r="T340" s="136" t="n">
        <f aca="false" ca="false" dt2D="false" dtr="false" t="normal">MID(I336, 5, 1)</f>
        <v>0</v>
      </c>
      <c r="U340" s="137" t="n">
        <f aca="false" ca="false" dt2D="false" dtr="false" t="normal">T340</f>
        <v>0</v>
      </c>
      <c r="V340" s="120" t="s">
        <v>200</v>
      </c>
      <c r="W340" s="131" t="s">
        <v>196</v>
      </c>
      <c r="X340" s="136" t="n">
        <f aca="false" ca="false" dt2D="false" dtr="false" t="normal">MID(J336, 5, 1)</f>
        <v>0</v>
      </c>
      <c r="Y340" s="137" t="n">
        <f aca="false" ca="false" dt2D="false" dtr="false" t="normal">X340</f>
        <v>0</v>
      </c>
      <c r="Z340" s="120" t="s">
        <v>200</v>
      </c>
      <c r="AA340" s="131" t="s">
        <v>196</v>
      </c>
      <c r="AB340" s="136" t="n">
        <f aca="false" ca="false" dt2D="false" dtr="false" t="normal">MID(K336, 5, 1)</f>
        <v>0</v>
      </c>
      <c r="AC340" s="137" t="n">
        <f aca="false" ca="false" dt2D="false" dtr="false" t="normal">AB340</f>
        <v>0</v>
      </c>
      <c r="AD340" s="120" t="s">
        <v>200</v>
      </c>
      <c r="AE340" s="131" t="s">
        <v>196</v>
      </c>
      <c r="AF340" s="136" t="n">
        <f aca="false" ca="false" dt2D="false" dtr="false" t="normal">MID(L336, 5, 1)</f>
        <v>0</v>
      </c>
      <c r="AG340" s="137" t="n">
        <f aca="false" ca="false" dt2D="false" dtr="false" t="normal">AF340</f>
        <v>0</v>
      </c>
      <c r="AH340" s="120" t="s">
        <v>200</v>
      </c>
      <c r="AI340" s="131" t="s">
        <v>196</v>
      </c>
      <c r="AJ340" s="9317" t="s"/>
      <c r="AK340" s="9318" t="s"/>
    </row>
    <row hidden="false" ht="15" outlineLevel="0" r="341">
      <c r="C341" s="98" t="s">
        <v>185</v>
      </c>
      <c r="D341" s="149" t="n">
        <f aca="false" ca="false" dt2D="false" dtr="false" t="normal">HEX2BIN(D340, 8)</f>
        <v>111</v>
      </c>
      <c r="E341" s="149" t="n">
        <f aca="false" ca="false" dt2D="false" dtr="false" t="normal">HEX2BIN(E340, 8)</f>
        <v>10100101</v>
      </c>
      <c r="F341" s="149" t="n">
        <f aca="false" ca="false" dt2D="false" dtr="false" t="normal">HEX2BIN(F340, 8)</f>
        <v>1</v>
      </c>
      <c r="G341" s="149" t="n">
        <f aca="false" ca="false" dt2D="false" dtr="false" t="normal">HEX2BIN(G340, 8)</f>
        <v>110001</v>
      </c>
      <c r="H341" s="53" t="n">
        <f aca="false" ca="false" dt2D="false" dtr="false" t="normal">Q336&amp;Q337&amp;Q338&amp;Q339&amp;Q340&amp;Q341&amp;Q342&amp;Q343</f>
        <v>0</v>
      </c>
      <c r="I341" s="53" t="n">
        <f aca="false" ca="false" dt2D="false" dtr="false" t="normal">U336&amp;U337&amp;U338&amp;U339&amp;U340&amp;U341&amp;U342&amp;U343</f>
        <v>0</v>
      </c>
      <c r="J341" s="53" t="n">
        <f aca="false" ca="false" dt2D="false" dtr="false" t="normal">Y336&amp;Y337&amp;Y338&amp;Y339&amp;Y340&amp;Y341&amp;Y342&amp;Y343</f>
        <v>0</v>
      </c>
      <c r="K341" s="53" t="n">
        <f aca="false" ca="false" dt2D="false" dtr="false" t="normal">AC336&amp;AC337&amp;AC338&amp;AC339&amp;AC340&amp;AC341&amp;AC342&amp;AC343</f>
        <v>0</v>
      </c>
      <c r="L341" s="53" t="n">
        <f aca="false" ca="false" dt2D="false" dtr="false" t="normal">AG336&amp;AG337&amp;AG338&amp;AG339&amp;AG340&amp;AG341&amp;AG342&amp;AG343</f>
        <v>0</v>
      </c>
      <c r="M341" s="53" t="str">
        <f aca="false" ca="false" dt2D="false" dtr="false" t="normal">DEC2HEX(M342)</f>
        <v>DE</v>
      </c>
      <c r="N341" s="63" t="n"/>
      <c r="P341" s="136" t="n">
        <f aca="false" ca="false" dt2D="false" dtr="false" t="normal">MID(H336, 6, 1)</f>
        <v>0</v>
      </c>
      <c r="Q341" s="137" t="n">
        <f aca="false" ca="false" dt2D="false" dtr="false" t="normal">P341</f>
        <v>0</v>
      </c>
      <c r="R341" s="120" t="s">
        <v>203</v>
      </c>
      <c r="S341" s="131" t="s">
        <v>196</v>
      </c>
      <c r="T341" s="136" t="n">
        <f aca="false" ca="false" dt2D="false" dtr="false" t="normal">MID(I336, 6, 1)</f>
        <v>0</v>
      </c>
      <c r="U341" s="137" t="n">
        <f aca="false" ca="false" dt2D="false" dtr="false" t="normal">T341</f>
        <v>0</v>
      </c>
      <c r="V341" s="120" t="s">
        <v>203</v>
      </c>
      <c r="W341" s="131" t="s">
        <v>196</v>
      </c>
      <c r="X341" s="136" t="n">
        <f aca="false" ca="false" dt2D="false" dtr="false" t="normal">MID(J336, 6, 1)</f>
        <v>0</v>
      </c>
      <c r="Y341" s="137" t="n">
        <f aca="false" ca="false" dt2D="false" dtr="false" t="normal">X341</f>
        <v>0</v>
      </c>
      <c r="Z341" s="120" t="s">
        <v>203</v>
      </c>
      <c r="AA341" s="131" t="s">
        <v>196</v>
      </c>
      <c r="AB341" s="136" t="n">
        <f aca="false" ca="false" dt2D="false" dtr="false" t="normal">MID(K336, 6, 1)</f>
        <v>0</v>
      </c>
      <c r="AC341" s="137" t="n">
        <f aca="false" ca="false" dt2D="false" dtr="false" t="normal">AB341</f>
        <v>0</v>
      </c>
      <c r="AD341" s="120" t="s">
        <v>203</v>
      </c>
      <c r="AE341" s="131" t="s">
        <v>196</v>
      </c>
      <c r="AF341" s="136" t="n">
        <f aca="false" ca="false" dt2D="false" dtr="false" t="normal">MID(L336, 6, 1)</f>
        <v>0</v>
      </c>
      <c r="AG341" s="137" t="n">
        <f aca="false" ca="false" dt2D="false" dtr="false" t="normal">AF341</f>
        <v>0</v>
      </c>
      <c r="AH341" s="120" t="s">
        <v>203</v>
      </c>
      <c r="AI341" s="131" t="s">
        <v>196</v>
      </c>
      <c r="AJ341" s="9319" t="s"/>
      <c r="AK341" s="9320" t="s"/>
    </row>
    <row hidden="false" ht="15" outlineLevel="0" r="342">
      <c r="C342" s="98" t="s">
        <v>191</v>
      </c>
      <c r="D342" s="149" t="n">
        <f aca="false" ca="false" dt2D="false" dtr="false" t="normal">HEX2DEC(D340)</f>
        <v>7</v>
      </c>
      <c r="E342" s="149" t="n">
        <f aca="false" ca="false" dt2D="false" dtr="false" t="normal">HEX2DEC(E340)</f>
        <v>165</v>
      </c>
      <c r="F342" s="149" t="n">
        <f aca="false" ca="false" dt2D="false" dtr="false" t="normal">HEX2DEC(F340)</f>
        <v>1</v>
      </c>
      <c r="G342" s="149" t="n">
        <f aca="false" ca="false" dt2D="false" dtr="false" t="normal">HEX2DEC(G340)</f>
        <v>49</v>
      </c>
      <c r="H342" s="53" t="n">
        <f aca="false" ca="false" dt2D="false" dtr="false" t="normal">HEX2DEC(H340)</f>
        <v>0</v>
      </c>
      <c r="I342" s="53" t="n">
        <f aca="false" ca="false" dt2D="false" dtr="false" t="normal">HEX2DEC(I340)</f>
        <v>0</v>
      </c>
      <c r="J342" s="53" t="n">
        <f aca="false" ca="false" dt2D="false" dtr="false" t="normal">HEX2DEC(J340)</f>
        <v>0</v>
      </c>
      <c r="K342" s="53" t="n">
        <f aca="false" ca="false" dt2D="false" dtr="false" t="normal">HEX2DEC(K340)</f>
        <v>0</v>
      </c>
      <c r="L342" s="53" t="n">
        <f aca="false" ca="false" dt2D="false" dtr="false" t="normal">HEX2DEC(L340)</f>
        <v>0</v>
      </c>
      <c r="M342" s="53" t="n">
        <f aca="false" ca="false" dt2D="false" dtr="false" t="normal">SUM(D342:L342)</f>
        <v>222</v>
      </c>
      <c r="N342" s="63" t="n"/>
      <c r="P342" s="136" t="n">
        <f aca="false" ca="false" dt2D="false" dtr="false" t="normal">MID(H336, 7, 1)</f>
        <v>0</v>
      </c>
      <c r="Q342" s="137" t="n">
        <f aca="false" ca="false" dt2D="false" dtr="false" t="normal">P342</f>
        <v>0</v>
      </c>
      <c r="R342" s="120" t="s">
        <v>206</v>
      </c>
      <c r="S342" s="131" t="s">
        <v>196</v>
      </c>
      <c r="T342" s="136" t="n">
        <f aca="false" ca="false" dt2D="false" dtr="false" t="normal">MID(I336, 7, 1)</f>
        <v>0</v>
      </c>
      <c r="U342" s="137" t="n">
        <f aca="false" ca="false" dt2D="false" dtr="false" t="normal">T342</f>
        <v>0</v>
      </c>
      <c r="V342" s="120" t="s">
        <v>206</v>
      </c>
      <c r="W342" s="131" t="s">
        <v>196</v>
      </c>
      <c r="X342" s="136" t="n">
        <f aca="false" ca="false" dt2D="false" dtr="false" t="normal">MID(J336, 7, 1)</f>
        <v>0</v>
      </c>
      <c r="Y342" s="137" t="n">
        <f aca="false" ca="false" dt2D="false" dtr="false" t="normal">X342</f>
        <v>0</v>
      </c>
      <c r="Z342" s="120" t="s">
        <v>206</v>
      </c>
      <c r="AA342" s="131" t="s">
        <v>196</v>
      </c>
      <c r="AB342" s="136" t="n">
        <f aca="false" ca="false" dt2D="false" dtr="false" t="normal">MID(K336, 7, 1)</f>
        <v>0</v>
      </c>
      <c r="AC342" s="137" t="n">
        <f aca="false" ca="false" dt2D="false" dtr="false" t="normal">AB342</f>
        <v>0</v>
      </c>
      <c r="AD342" s="120" t="s">
        <v>206</v>
      </c>
      <c r="AE342" s="131" t="s">
        <v>196</v>
      </c>
      <c r="AF342" s="136" t="n">
        <f aca="false" ca="false" dt2D="false" dtr="false" t="normal">MID(L336, 7, 1)</f>
        <v>0</v>
      </c>
      <c r="AG342" s="137" t="n">
        <f aca="false" ca="false" dt2D="false" dtr="false" t="normal">AF342</f>
        <v>0</v>
      </c>
      <c r="AH342" s="120" t="s">
        <v>206</v>
      </c>
      <c r="AI342" s="131" t="s">
        <v>196</v>
      </c>
      <c r="AJ342" s="9321" t="s"/>
      <c r="AK342" s="9322" t="s"/>
    </row>
    <row hidden="false" ht="15.75" outlineLevel="0" r="343">
      <c r="C343" s="180" t="s">
        <v>194</v>
      </c>
      <c r="D343" s="181" t="n">
        <f aca="false" ca="false" dt2D="false" dtr="false" t="normal">D338</f>
        <v>7</v>
      </c>
      <c r="E343" s="181" t="str">
        <f aca="false" ca="false" dt2D="false" dtr="false" t="normal">E338</f>
        <v>A5</v>
      </c>
      <c r="F343" s="181" t="str">
        <f aca="false" ca="false" dt2D="false" dtr="false" t="normal">F338</f>
        <v>G1</v>
      </c>
      <c r="G343" s="181" t="str">
        <f aca="false" ca="false" dt2D="false" dtr="false" t="normal">G338</f>
        <v>HF</v>
      </c>
      <c r="H343" s="45" t="n"/>
      <c r="I343" s="45" t="n"/>
      <c r="J343" s="45" t="n"/>
      <c r="K343" s="45" t="n"/>
      <c r="L343" s="45" t="n"/>
      <c r="M343" s="45" t="n"/>
      <c r="N343" s="49" t="n"/>
      <c r="P343" s="182" t="n">
        <f aca="false" ca="false" dt2D="false" dtr="false" t="normal">MID(H336, 8, 1)</f>
        <v>0</v>
      </c>
      <c r="Q343" s="183" t="n">
        <f aca="false" ca="false" dt2D="false" dtr="false" t="normal">P343</f>
        <v>0</v>
      </c>
      <c r="R343" s="184" t="s">
        <v>208</v>
      </c>
      <c r="S343" s="185" t="s">
        <v>196</v>
      </c>
      <c r="T343" s="182" t="n">
        <f aca="false" ca="false" dt2D="false" dtr="false" t="normal">MID(I336, 8, 1)</f>
        <v>0</v>
      </c>
      <c r="U343" s="183" t="n">
        <f aca="false" ca="false" dt2D="false" dtr="false" t="normal">T343</f>
        <v>0</v>
      </c>
      <c r="V343" s="184" t="s">
        <v>208</v>
      </c>
      <c r="W343" s="185" t="s">
        <v>196</v>
      </c>
      <c r="X343" s="182" t="n">
        <f aca="false" ca="false" dt2D="false" dtr="false" t="normal">MID(J336, 8, 1)</f>
        <v>0</v>
      </c>
      <c r="Y343" s="183" t="n">
        <f aca="false" ca="false" dt2D="false" dtr="false" t="normal">X343</f>
        <v>0</v>
      </c>
      <c r="Z343" s="184" t="s">
        <v>208</v>
      </c>
      <c r="AA343" s="185" t="s">
        <v>196</v>
      </c>
      <c r="AB343" s="182" t="n">
        <f aca="false" ca="false" dt2D="false" dtr="false" t="normal">MID(K336, 8, 1)</f>
        <v>0</v>
      </c>
      <c r="AC343" s="183" t="n">
        <f aca="false" ca="false" dt2D="false" dtr="false" t="normal">AB343</f>
        <v>0</v>
      </c>
      <c r="AD343" s="184" t="s">
        <v>208</v>
      </c>
      <c r="AE343" s="185" t="s">
        <v>196</v>
      </c>
      <c r="AF343" s="182" t="n">
        <f aca="false" ca="false" dt2D="false" dtr="false" t="normal">MID(L336, 8, 1)</f>
        <v>0</v>
      </c>
      <c r="AG343" s="183" t="n">
        <f aca="false" ca="false" dt2D="false" dtr="false" t="normal">AF343</f>
        <v>0</v>
      </c>
      <c r="AH343" s="184" t="s">
        <v>208</v>
      </c>
      <c r="AI343" s="185" t="s">
        <v>196</v>
      </c>
      <c r="AJ343" s="9323" t="s"/>
      <c r="AK343" s="9324" t="s"/>
    </row>
    <row hidden="false" ht="15.75" outlineLevel="0" r="344">
      <c r="C344" s="93" t="n"/>
      <c r="D344" s="7585" t="n"/>
      <c r="E344" s="7585" t="n"/>
      <c r="F344" s="7585" t="n"/>
      <c r="G344" s="7585" t="n"/>
      <c r="H344" s="94" t="n"/>
      <c r="I344" s="94" t="n"/>
      <c r="J344" s="94" t="n"/>
      <c r="K344" s="94" t="n"/>
      <c r="L344" s="94" t="n"/>
      <c r="M344" s="94" t="s">
        <v>161</v>
      </c>
      <c r="N344" s="60" t="n"/>
      <c r="P344" s="95" t="str">
        <f aca="false" ca="false" dt2D="false" dtr="false" t="normal">RIGHT(D346, 1)&amp;E346&amp;"-"&amp;F346&amp;"-"&amp;G346</f>
        <v>7A5-01-32</v>
      </c>
      <c r="Q344" s="9325" t="s"/>
      <c r="R344" s="234" t="s">
        <v>4184</v>
      </c>
      <c r="S344" s="9326" t="s"/>
      <c r="T344" s="9327" t="s"/>
      <c r="U344" s="9328" t="s"/>
      <c r="V344" s="9329" t="s"/>
      <c r="W344" s="9330" t="s"/>
      <c r="X344" s="9331" t="s"/>
      <c r="Y344" s="9332" t="s"/>
      <c r="Z344" s="9333" t="s"/>
      <c r="AA344" s="9334" t="s"/>
      <c r="AB344" s="9335" t="s"/>
      <c r="AC344" s="9336" t="s"/>
      <c r="AD344" s="9337" t="s"/>
      <c r="AE344" s="9338" t="s"/>
      <c r="AF344" s="9339" t="s"/>
      <c r="AG344" s="9340" t="s"/>
      <c r="AH344" s="9341" t="s"/>
      <c r="AI344" s="9342" t="s"/>
      <c r="AJ344" s="9343" t="s"/>
      <c r="AK344" s="9344" t="s"/>
    </row>
    <row hidden="false" ht="15.75" outlineLevel="0" r="345">
      <c r="C345" s="98" t="n"/>
      <c r="D345" s="7606" t="s">
        <v>4185</v>
      </c>
      <c r="E345" s="9345" t="s"/>
      <c r="F345" s="9346" t="s"/>
      <c r="G345" s="9347" t="s"/>
      <c r="H345" s="53" t="s">
        <v>165</v>
      </c>
      <c r="I345" s="53" t="s">
        <v>166</v>
      </c>
      <c r="J345" s="53" t="s">
        <v>167</v>
      </c>
      <c r="K345" s="53" t="s">
        <v>168</v>
      </c>
      <c r="L345" s="53" t="s">
        <v>169</v>
      </c>
      <c r="M345" s="53" t="s">
        <v>221</v>
      </c>
      <c r="N345" s="63" t="n"/>
      <c r="P345" s="103" t="s">
        <v>4186</v>
      </c>
      <c r="Q345" s="9348" t="s"/>
      <c r="R345" s="9349" t="s"/>
      <c r="S345" s="9350" t="s"/>
      <c r="T345" s="103" t="s">
        <v>4187</v>
      </c>
      <c r="U345" s="9351" t="s"/>
      <c r="V345" s="9352" t="s"/>
      <c r="W345" s="9353" t="s"/>
      <c r="X345" s="103" t="s">
        <v>4188</v>
      </c>
      <c r="Y345" s="9354" t="s"/>
      <c r="Z345" s="9355" t="s"/>
      <c r="AA345" s="9356" t="s"/>
      <c r="AB345" s="103" t="s">
        <v>4189</v>
      </c>
      <c r="AC345" s="9357" t="s"/>
      <c r="AD345" s="9358" t="s"/>
      <c r="AE345" s="9359" t="s"/>
      <c r="AF345" s="103" t="s">
        <v>4190</v>
      </c>
      <c r="AG345" s="9360" t="s"/>
      <c r="AH345" s="9361" t="s"/>
      <c r="AI345" s="9362" t="s"/>
      <c r="AJ345" s="103" t="s">
        <v>4191</v>
      </c>
      <c r="AK345" s="9363" t="s"/>
    </row>
    <row hidden="false" ht="15.75" outlineLevel="0" r="346">
      <c r="C346" s="98" t="s">
        <v>176</v>
      </c>
      <c r="D346" s="122" t="s">
        <v>177</v>
      </c>
      <c r="E346" s="123" t="s">
        <v>3892</v>
      </c>
      <c r="F346" s="123" t="s">
        <v>179</v>
      </c>
      <c r="G346" s="124" t="s">
        <v>837</v>
      </c>
      <c r="H346" s="273" t="n">
        <f aca="false" ca="false" dt2D="false" dtr="false" t="normal">MID($A$35, 8, 2)</f>
        <v>0</v>
      </c>
      <c r="I346" s="7626" t="n">
        <f aca="false" ca="false" dt2D="false" dtr="false" t="normal">MID($A$35, 10, 2)</f>
        <v>0</v>
      </c>
      <c r="J346" s="7626" t="n">
        <f aca="false" ca="false" dt2D="false" dtr="false" t="normal">MID($A$35, 12, 2)</f>
        <v>0</v>
      </c>
      <c r="K346" s="7626" t="n">
        <f aca="false" ca="false" dt2D="false" dtr="false" t="normal">MID($A$35, 14, 2)</f>
        <v>0</v>
      </c>
      <c r="L346" s="7627" t="n">
        <f aca="false" ca="false" dt2D="false" dtr="false" t="normal">MID($A$35, 16, 2)</f>
        <v>0</v>
      </c>
      <c r="M346" s="7553" t="str">
        <f aca="false" ca="false" dt2D="false" dtr="false" t="normal">MID($A$35, 18, 2)</f>
        <v>DF</v>
      </c>
      <c r="N346" s="63" t="s">
        <v>180</v>
      </c>
      <c r="P346" s="129" t="s">
        <v>180</v>
      </c>
      <c r="Q346" s="130" t="s">
        <v>181</v>
      </c>
      <c r="R346" s="121" t="s">
        <v>182</v>
      </c>
      <c r="S346" s="131" t="n"/>
      <c r="T346" s="129" t="s">
        <v>180</v>
      </c>
      <c r="U346" s="130" t="s">
        <v>181</v>
      </c>
      <c r="V346" s="121" t="s">
        <v>182</v>
      </c>
      <c r="W346" s="131" t="n"/>
      <c r="X346" s="129" t="s">
        <v>180</v>
      </c>
      <c r="Y346" s="130" t="s">
        <v>181</v>
      </c>
      <c r="Z346" s="121" t="s">
        <v>182</v>
      </c>
      <c r="AA346" s="131" t="n"/>
      <c r="AB346" s="129" t="s">
        <v>180</v>
      </c>
      <c r="AC346" s="130" t="s">
        <v>181</v>
      </c>
      <c r="AD346" s="121" t="s">
        <v>182</v>
      </c>
      <c r="AE346" s="131" t="n"/>
      <c r="AF346" s="129" t="s">
        <v>180</v>
      </c>
      <c r="AG346" s="130" t="s">
        <v>181</v>
      </c>
      <c r="AH346" s="121" t="s">
        <v>182</v>
      </c>
      <c r="AI346" s="121" t="n"/>
      <c r="AJ346" s="116" t="s">
        <v>183</v>
      </c>
      <c r="AK346" s="9364" t="s"/>
    </row>
    <row hidden="false" ht="15" outlineLevel="0" r="347">
      <c r="C347" s="98" t="s">
        <v>185</v>
      </c>
      <c r="D347" s="149" t="n">
        <f aca="false" ca="false" dt2D="false" dtr="false" t="normal">HEX2BIN(D346, 8)</f>
        <v>111</v>
      </c>
      <c r="E347" s="149" t="n">
        <f aca="false" ca="false" dt2D="false" dtr="false" t="normal">HEX2BIN(E346, 8)</f>
        <v>10100101</v>
      </c>
      <c r="F347" s="149" t="n">
        <f aca="false" ca="false" dt2D="false" dtr="false" t="normal">HEX2BIN(F346, 8)</f>
        <v>1</v>
      </c>
      <c r="G347" s="149" t="n">
        <f aca="false" ca="false" dt2D="false" dtr="false" t="normal">HEX2BIN(G346, 8)</f>
        <v>110010</v>
      </c>
      <c r="H347" s="53" t="n">
        <f aca="false" ca="false" dt2D="false" dtr="false" t="normal">HEX2BIN(H346, 8)</f>
        <v>0</v>
      </c>
      <c r="I347" s="53" t="n">
        <f aca="false" ca="false" dt2D="false" dtr="false" t="normal">HEX2BIN(I346, 8)</f>
        <v>0</v>
      </c>
      <c r="J347" s="53" t="n">
        <f aca="false" ca="false" dt2D="false" dtr="false" t="normal">HEX2BIN(J346, 8)</f>
        <v>0</v>
      </c>
      <c r="K347" s="53" t="n">
        <f aca="false" ca="false" dt2D="false" dtr="false" t="normal">HEX2BIN(K346, 8)</f>
        <v>0</v>
      </c>
      <c r="L347" s="53" t="n">
        <f aca="false" ca="false" dt2D="false" dtr="false" t="normal">HEX2BIN(L346, 8)</f>
        <v>0</v>
      </c>
      <c r="M347" s="53" t="n"/>
      <c r="N347" s="63" t="n"/>
      <c r="P347" s="136" t="n">
        <f aca="false" ca="false" dt2D="false" dtr="false" t="normal">MID(H347, 1, 1)</f>
        <v>0</v>
      </c>
      <c r="Q347" s="137" t="n">
        <f aca="false" ca="false" dt2D="false" dtr="false" t="normal">P347</f>
        <v>0</v>
      </c>
      <c r="R347" s="120" t="s">
        <v>186</v>
      </c>
      <c r="S347" s="131" t="s">
        <v>196</v>
      </c>
      <c r="T347" s="136" t="n">
        <f aca="false" ca="false" dt2D="false" dtr="false" t="normal">MID(I347, 1, 1)</f>
        <v>0</v>
      </c>
      <c r="U347" s="137" t="n">
        <f aca="false" ca="false" dt2D="false" dtr="false" t="normal">T347</f>
        <v>0</v>
      </c>
      <c r="V347" s="120" t="s">
        <v>186</v>
      </c>
      <c r="W347" s="131" t="s">
        <v>196</v>
      </c>
      <c r="X347" s="136" t="n">
        <f aca="false" ca="false" dt2D="false" dtr="false" t="normal">MID(J347, 1, 1)</f>
        <v>0</v>
      </c>
      <c r="Y347" s="137" t="n">
        <f aca="false" ca="false" dt2D="false" dtr="false" t="normal">X347</f>
        <v>0</v>
      </c>
      <c r="Z347" s="120" t="s">
        <v>186</v>
      </c>
      <c r="AA347" s="131" t="s">
        <v>196</v>
      </c>
      <c r="AB347" s="136" t="n">
        <f aca="false" ca="false" dt2D="false" dtr="false" t="normal">MID(K347, 1, 1)</f>
        <v>0</v>
      </c>
      <c r="AC347" s="137" t="n">
        <f aca="false" ca="false" dt2D="false" dtr="false" t="normal">AB347</f>
        <v>0</v>
      </c>
      <c r="AD347" s="120" t="s">
        <v>186</v>
      </c>
      <c r="AE347" s="131" t="s">
        <v>196</v>
      </c>
      <c r="AF347" s="136" t="n">
        <f aca="false" ca="false" dt2D="false" dtr="false" t="normal">MID(L347, 1, 1)</f>
        <v>0</v>
      </c>
      <c r="AG347" s="137" t="n">
        <f aca="false" ca="false" dt2D="false" dtr="false" t="normal">AF347</f>
        <v>0</v>
      </c>
      <c r="AH347" s="120" t="s">
        <v>186</v>
      </c>
      <c r="AI347" s="131" t="s">
        <v>196</v>
      </c>
      <c r="AJ347" s="9365" t="s"/>
      <c r="AK347" s="9366" t="s"/>
    </row>
    <row customHeight="true" hidden="false" ht="15" outlineLevel="0" r="348">
      <c r="C348" s="98" t="s">
        <v>191</v>
      </c>
      <c r="D348" s="149" t="n">
        <f aca="false" ca="false" dt2D="false" dtr="false" t="normal">HEX2DEC(D346)</f>
        <v>7</v>
      </c>
      <c r="E348" s="149" t="n">
        <f aca="false" ca="false" dt2D="false" dtr="false" t="normal">HEX2DEC(E346)</f>
        <v>165</v>
      </c>
      <c r="F348" s="149" t="n">
        <f aca="false" ca="false" dt2D="false" dtr="false" t="normal">HEX2DEC(F346)</f>
        <v>1</v>
      </c>
      <c r="G348" s="149" t="n">
        <f aca="false" ca="false" dt2D="false" dtr="false" t="normal">HEX2DEC(G346)</f>
        <v>50</v>
      </c>
      <c r="H348" s="53" t="n">
        <f aca="false" ca="false" dt2D="false" dtr="false" t="normal">HEX2DEC(H346)</f>
        <v>0</v>
      </c>
      <c r="I348" s="53" t="n">
        <f aca="false" ca="false" dt2D="false" dtr="false" t="normal">HEX2DEC(I346)</f>
        <v>0</v>
      </c>
      <c r="J348" s="53" t="n">
        <f aca="false" ca="false" dt2D="false" dtr="false" t="normal">HEX2DEC(J346)</f>
        <v>0</v>
      </c>
      <c r="K348" s="53" t="n">
        <f aca="false" ca="false" dt2D="false" dtr="false" t="normal">HEX2DEC(K346)</f>
        <v>0</v>
      </c>
      <c r="L348" s="53" t="n">
        <f aca="false" ca="false" dt2D="false" dtr="false" t="normal">HEX2DEC(L346)</f>
        <v>0</v>
      </c>
      <c r="M348" s="53" t="n">
        <f aca="false" ca="false" dt2D="false" dtr="false" t="normal">SUM(D348:L348)</f>
        <v>223</v>
      </c>
      <c r="N348" s="63" t="n"/>
      <c r="P348" s="136" t="n">
        <f aca="false" ca="false" dt2D="false" dtr="false" t="normal">MID(H347, 2, 1)</f>
        <v>0</v>
      </c>
      <c r="Q348" s="137" t="n">
        <f aca="false" ca="false" dt2D="false" dtr="false" t="normal">P348</f>
        <v>0</v>
      </c>
      <c r="R348" s="120" t="s">
        <v>192</v>
      </c>
      <c r="S348" s="131" t="s">
        <v>196</v>
      </c>
      <c r="T348" s="136" t="n">
        <f aca="false" ca="false" dt2D="false" dtr="false" t="normal">MID(I347, 2, 1)</f>
        <v>0</v>
      </c>
      <c r="U348" s="137" t="n">
        <f aca="false" ca="false" dt2D="false" dtr="false" t="normal">T348</f>
        <v>0</v>
      </c>
      <c r="V348" s="120" t="s">
        <v>192</v>
      </c>
      <c r="W348" s="131" t="s">
        <v>196</v>
      </c>
      <c r="X348" s="136" t="n">
        <f aca="false" ca="false" dt2D="false" dtr="false" t="normal">MID(J347, 2, 1)</f>
        <v>0</v>
      </c>
      <c r="Y348" s="137" t="n">
        <f aca="false" ca="false" dt2D="false" dtr="false" t="normal">X348</f>
        <v>0</v>
      </c>
      <c r="Z348" s="120" t="s">
        <v>192</v>
      </c>
      <c r="AA348" s="131" t="s">
        <v>196</v>
      </c>
      <c r="AB348" s="136" t="n">
        <f aca="false" ca="false" dt2D="false" dtr="false" t="normal">MID(K347, 2, 1)</f>
        <v>0</v>
      </c>
      <c r="AC348" s="137" t="n">
        <f aca="false" ca="false" dt2D="false" dtr="false" t="normal">AB348</f>
        <v>0</v>
      </c>
      <c r="AD348" s="120" t="s">
        <v>192</v>
      </c>
      <c r="AE348" s="131" t="s">
        <v>196</v>
      </c>
      <c r="AF348" s="136" t="n">
        <f aca="false" ca="false" dt2D="false" dtr="false" t="normal">MID(L347, 2, 1)</f>
        <v>0</v>
      </c>
      <c r="AG348" s="137" t="n">
        <f aca="false" ca="false" dt2D="false" dtr="false" t="normal">AF348</f>
        <v>0</v>
      </c>
      <c r="AH348" s="120" t="s">
        <v>192</v>
      </c>
      <c r="AI348" s="131" t="s">
        <v>196</v>
      </c>
      <c r="AJ348" s="9367" t="s"/>
      <c r="AK348" s="9368" t="s"/>
    </row>
    <row hidden="false" ht="15" outlineLevel="0" r="349">
      <c r="C349" s="98" t="s">
        <v>194</v>
      </c>
      <c r="D349" s="149" t="n">
        <f aca="false" ca="false" dt2D="false" dtr="false" t="normal">D346</f>
        <v>7</v>
      </c>
      <c r="E349" s="149" t="str">
        <f aca="false" ca="false" dt2D="false" dtr="false" t="normal">E346</f>
        <v>A5</v>
      </c>
      <c r="F349" s="149" t="str">
        <f aca="false" ca="false" dt2D="false" dtr="false" t="normal">MID($A$35, 4, 2)</f>
        <v>G1</v>
      </c>
      <c r="G349" s="149" t="str">
        <f aca="false" ca="false" dt2D="false" dtr="false" t="normal">MID($A$35, 6, 2)</f>
        <v>I0</v>
      </c>
      <c r="N349" s="63" t="n"/>
      <c r="P349" s="136" t="n">
        <f aca="false" ca="false" dt2D="false" dtr="false" t="normal">MID(H347, 3, 1)</f>
        <v>0</v>
      </c>
      <c r="Q349" s="137" t="n">
        <f aca="false" ca="false" dt2D="false" dtr="false" t="normal">P349</f>
        <v>0</v>
      </c>
      <c r="R349" s="120" t="s">
        <v>195</v>
      </c>
      <c r="S349" s="131" t="s">
        <v>196</v>
      </c>
      <c r="T349" s="136" t="n">
        <f aca="false" ca="false" dt2D="false" dtr="false" t="normal">MID(I347, 3, 1)</f>
        <v>0</v>
      </c>
      <c r="U349" s="137" t="n">
        <f aca="false" ca="false" dt2D="false" dtr="false" t="normal">T349</f>
        <v>0</v>
      </c>
      <c r="V349" s="120" t="s">
        <v>195</v>
      </c>
      <c r="W349" s="131" t="s">
        <v>196</v>
      </c>
      <c r="X349" s="136" t="n">
        <f aca="false" ca="false" dt2D="false" dtr="false" t="normal">MID(J347, 3, 1)</f>
        <v>0</v>
      </c>
      <c r="Y349" s="137" t="n">
        <f aca="false" ca="false" dt2D="false" dtr="false" t="normal">X349</f>
        <v>0</v>
      </c>
      <c r="Z349" s="120" t="s">
        <v>195</v>
      </c>
      <c r="AA349" s="131" t="s">
        <v>196</v>
      </c>
      <c r="AB349" s="136" t="n">
        <f aca="false" ca="false" dt2D="false" dtr="false" t="normal">MID(K347, 3, 1)</f>
        <v>0</v>
      </c>
      <c r="AC349" s="137" t="n">
        <f aca="false" ca="false" dt2D="false" dtr="false" t="normal">AB349</f>
        <v>0</v>
      </c>
      <c r="AD349" s="120" t="s">
        <v>195</v>
      </c>
      <c r="AE349" s="131" t="s">
        <v>196</v>
      </c>
      <c r="AF349" s="136" t="n">
        <f aca="false" ca="false" dt2D="false" dtr="false" t="normal">MID(L347, 3, 1)</f>
        <v>0</v>
      </c>
      <c r="AG349" s="137" t="n">
        <f aca="false" ca="false" dt2D="false" dtr="false" t="normal">AF349</f>
        <v>0</v>
      </c>
      <c r="AH349" s="120" t="s">
        <v>195</v>
      </c>
      <c r="AI349" s="131" t="s">
        <v>196</v>
      </c>
      <c r="AJ349" s="9369" t="s"/>
      <c r="AK349" s="9370" t="s"/>
    </row>
    <row hidden="false" ht="15.75" outlineLevel="0" r="350">
      <c r="C350" s="98" t="n"/>
      <c r="N350" s="63" t="n"/>
      <c r="P350" s="136" t="n">
        <f aca="false" ca="false" dt2D="false" dtr="false" t="normal">MID(H347, 4, 1)</f>
        <v>0</v>
      </c>
      <c r="Q350" s="137" t="n">
        <f aca="false" ca="false" dt2D="false" dtr="false" t="normal">P350</f>
        <v>0</v>
      </c>
      <c r="R350" s="120" t="s">
        <v>197</v>
      </c>
      <c r="S350" s="131" t="s">
        <v>196</v>
      </c>
      <c r="T350" s="136" t="n">
        <f aca="false" ca="false" dt2D="false" dtr="false" t="normal">MID(I347, 4, 1)</f>
        <v>0</v>
      </c>
      <c r="U350" s="137" t="n">
        <f aca="false" ca="false" dt2D="false" dtr="false" t="normal">T350</f>
        <v>0</v>
      </c>
      <c r="V350" s="120" t="s">
        <v>197</v>
      </c>
      <c r="W350" s="131" t="s">
        <v>196</v>
      </c>
      <c r="X350" s="136" t="n">
        <f aca="false" ca="false" dt2D="false" dtr="false" t="normal">MID(J347, 4, 1)</f>
        <v>0</v>
      </c>
      <c r="Y350" s="137" t="n">
        <f aca="false" ca="false" dt2D="false" dtr="false" t="normal">X350</f>
        <v>0</v>
      </c>
      <c r="Z350" s="120" t="s">
        <v>197</v>
      </c>
      <c r="AA350" s="131" t="s">
        <v>196</v>
      </c>
      <c r="AB350" s="136" t="n">
        <f aca="false" ca="false" dt2D="false" dtr="false" t="normal">MID(K347, 4, 1)</f>
        <v>0</v>
      </c>
      <c r="AC350" s="137" t="n">
        <f aca="false" ca="false" dt2D="false" dtr="false" t="normal">AB350</f>
        <v>0</v>
      </c>
      <c r="AD350" s="120" t="s">
        <v>197</v>
      </c>
      <c r="AE350" s="131" t="s">
        <v>196</v>
      </c>
      <c r="AF350" s="136" t="n">
        <f aca="false" ca="false" dt2D="false" dtr="false" t="normal">MID(L347, 4, 1)</f>
        <v>0</v>
      </c>
      <c r="AG350" s="137" t="n">
        <f aca="false" ca="false" dt2D="false" dtr="false" t="normal">AF350</f>
        <v>0</v>
      </c>
      <c r="AH350" s="120" t="s">
        <v>197</v>
      </c>
      <c r="AI350" s="131" t="s">
        <v>196</v>
      </c>
      <c r="AJ350" s="9371" t="s"/>
      <c r="AK350" s="9372" t="s"/>
    </row>
    <row hidden="false" ht="15.75" outlineLevel="0" r="351">
      <c r="C351" s="98" t="s">
        <v>176</v>
      </c>
      <c r="D351" s="122" t="n">
        <f aca="false" ca="false" dt2D="false" dtr="false" t="normal">D346</f>
        <v>7</v>
      </c>
      <c r="E351" s="123" t="str">
        <f aca="false" ca="false" dt2D="false" dtr="false" t="normal">E346</f>
        <v>A5</v>
      </c>
      <c r="F351" s="123" t="n">
        <f aca="false" ca="false" dt2D="false" dtr="false" t="normal">F346</f>
        <v>1</v>
      </c>
      <c r="G351" s="124" t="n">
        <f aca="false" ca="false" dt2D="false" dtr="false" t="normal">G346</f>
        <v>32</v>
      </c>
      <c r="H351" s="162" t="n">
        <f aca="false" ca="false" dt2D="false" dtr="false" t="normal">BIN2HEX(H352, 2)</f>
        <v>0</v>
      </c>
      <c r="I351" s="163" t="n">
        <f aca="false" ca="false" dt2D="false" dtr="false" t="normal">BIN2HEX(I352, 2)</f>
        <v>0</v>
      </c>
      <c r="J351" s="164" t="n">
        <f aca="false" ca="false" dt2D="false" dtr="false" t="normal">BIN2HEX(J352, 2)</f>
        <v>0</v>
      </c>
      <c r="K351" s="165" t="n">
        <f aca="false" ca="false" dt2D="false" dtr="false" t="normal">BIN2HEX(K352, 2)</f>
        <v>0</v>
      </c>
      <c r="L351" s="288" t="n">
        <f aca="false" ca="false" dt2D="false" dtr="false" t="normal">BIN2HEX(L352, 2)</f>
        <v>0</v>
      </c>
      <c r="M351" s="166" t="str">
        <f aca="false" ca="false" dt2D="false" dtr="false" t="normal">IF(LEN(M352)&gt;2, MID(M352, 2, 2), M352)</f>
        <v>DF</v>
      </c>
      <c r="N351" s="63" t="s">
        <v>181</v>
      </c>
      <c r="P351" s="136" t="n">
        <f aca="false" ca="false" dt2D="false" dtr="false" t="normal">MID(H347, 5, 1)</f>
        <v>0</v>
      </c>
      <c r="Q351" s="137" t="n">
        <f aca="false" ca="false" dt2D="false" dtr="false" t="normal">P351</f>
        <v>0</v>
      </c>
      <c r="R351" s="120" t="s">
        <v>200</v>
      </c>
      <c r="S351" s="131" t="s">
        <v>196</v>
      </c>
      <c r="T351" s="136" t="n">
        <f aca="false" ca="false" dt2D="false" dtr="false" t="normal">MID(I347, 5, 1)</f>
        <v>0</v>
      </c>
      <c r="U351" s="137" t="n">
        <f aca="false" ca="false" dt2D="false" dtr="false" t="normal">T351</f>
        <v>0</v>
      </c>
      <c r="V351" s="120" t="s">
        <v>200</v>
      </c>
      <c r="W351" s="131" t="s">
        <v>196</v>
      </c>
      <c r="X351" s="136" t="n">
        <f aca="false" ca="false" dt2D="false" dtr="false" t="normal">MID(J347, 5, 1)</f>
        <v>0</v>
      </c>
      <c r="Y351" s="137" t="n">
        <f aca="false" ca="false" dt2D="false" dtr="false" t="normal">X351</f>
        <v>0</v>
      </c>
      <c r="Z351" s="120" t="s">
        <v>200</v>
      </c>
      <c r="AA351" s="131" t="s">
        <v>196</v>
      </c>
      <c r="AB351" s="136" t="n">
        <f aca="false" ca="false" dt2D="false" dtr="false" t="normal">MID(K347, 5, 1)</f>
        <v>0</v>
      </c>
      <c r="AC351" s="137" t="n">
        <f aca="false" ca="false" dt2D="false" dtr="false" t="normal">AB351</f>
        <v>0</v>
      </c>
      <c r="AD351" s="120" t="s">
        <v>200</v>
      </c>
      <c r="AE351" s="131" t="s">
        <v>196</v>
      </c>
      <c r="AF351" s="136" t="n">
        <f aca="false" ca="false" dt2D="false" dtr="false" t="normal">MID(L347, 5, 1)</f>
        <v>0</v>
      </c>
      <c r="AG351" s="137" t="n">
        <f aca="false" ca="false" dt2D="false" dtr="false" t="normal">AF351</f>
        <v>0</v>
      </c>
      <c r="AH351" s="120" t="s">
        <v>200</v>
      </c>
      <c r="AI351" s="131" t="s">
        <v>196</v>
      </c>
      <c r="AJ351" s="9373" t="s"/>
      <c r="AK351" s="9374" t="s"/>
    </row>
    <row hidden="false" ht="15" outlineLevel="0" r="352">
      <c r="C352" s="98" t="s">
        <v>185</v>
      </c>
      <c r="D352" s="149" t="n">
        <f aca="false" ca="false" dt2D="false" dtr="false" t="normal">HEX2BIN(D351, 8)</f>
        <v>111</v>
      </c>
      <c r="E352" s="149" t="n">
        <f aca="false" ca="false" dt2D="false" dtr="false" t="normal">HEX2BIN(E351, 8)</f>
        <v>10100101</v>
      </c>
      <c r="F352" s="149" t="n">
        <f aca="false" ca="false" dt2D="false" dtr="false" t="normal">HEX2BIN(F351, 8)</f>
        <v>1</v>
      </c>
      <c r="G352" s="149" t="n">
        <f aca="false" ca="false" dt2D="false" dtr="false" t="normal">HEX2BIN(G351, 8)</f>
        <v>110010</v>
      </c>
      <c r="H352" s="53" t="n">
        <f aca="false" ca="false" dt2D="false" dtr="false" t="normal">Q347&amp;Q348&amp;Q349&amp;Q350&amp;Q351&amp;Q352&amp;Q353&amp;Q354</f>
        <v>0</v>
      </c>
      <c r="I352" s="53" t="n">
        <f aca="false" ca="false" dt2D="false" dtr="false" t="normal">U347&amp;U348&amp;U349&amp;U350&amp;U351&amp;U352&amp;U353&amp;U354</f>
        <v>0</v>
      </c>
      <c r="J352" s="53" t="n">
        <f aca="false" ca="false" dt2D="false" dtr="false" t="normal">Y347&amp;Y348&amp;Y349&amp;Y350&amp;Y351&amp;Y352&amp;Y353&amp;Y354</f>
        <v>0</v>
      </c>
      <c r="K352" s="53" t="n">
        <f aca="false" ca="false" dt2D="false" dtr="false" t="normal">AC347&amp;AC348&amp;AC349&amp;AC350&amp;AC351&amp;AC352&amp;AC353&amp;AC354</f>
        <v>0</v>
      </c>
      <c r="L352" s="53" t="n">
        <f aca="false" ca="false" dt2D="false" dtr="false" t="normal">AG347&amp;AG348&amp;AG349&amp;AG350&amp;AG351&amp;AG352&amp;AG353&amp;AG354</f>
        <v>0</v>
      </c>
      <c r="M352" s="53" t="str">
        <f aca="false" ca="false" dt2D="false" dtr="false" t="normal">DEC2HEX(M353)</f>
        <v>DF</v>
      </c>
      <c r="N352" s="63" t="n"/>
      <c r="P352" s="136" t="n">
        <f aca="false" ca="false" dt2D="false" dtr="false" t="normal">MID(H347, 6, 1)</f>
        <v>0</v>
      </c>
      <c r="Q352" s="137" t="n">
        <f aca="false" ca="false" dt2D="false" dtr="false" t="normal">P352</f>
        <v>0</v>
      </c>
      <c r="R352" s="120" t="s">
        <v>203</v>
      </c>
      <c r="S352" s="131" t="s">
        <v>196</v>
      </c>
      <c r="T352" s="136" t="n">
        <f aca="false" ca="false" dt2D="false" dtr="false" t="normal">MID(I347, 6, 1)</f>
        <v>0</v>
      </c>
      <c r="U352" s="137" t="n">
        <f aca="false" ca="false" dt2D="false" dtr="false" t="normal">T352</f>
        <v>0</v>
      </c>
      <c r="V352" s="120" t="s">
        <v>203</v>
      </c>
      <c r="W352" s="131" t="s">
        <v>196</v>
      </c>
      <c r="X352" s="136" t="n">
        <f aca="false" ca="false" dt2D="false" dtr="false" t="normal">MID(J347, 6, 1)</f>
        <v>0</v>
      </c>
      <c r="Y352" s="137" t="n">
        <f aca="false" ca="false" dt2D="false" dtr="false" t="normal">X352</f>
        <v>0</v>
      </c>
      <c r="Z352" s="120" t="s">
        <v>203</v>
      </c>
      <c r="AA352" s="131" t="s">
        <v>196</v>
      </c>
      <c r="AB352" s="136" t="n">
        <f aca="false" ca="false" dt2D="false" dtr="false" t="normal">MID(K347, 6, 1)</f>
        <v>0</v>
      </c>
      <c r="AC352" s="137" t="n">
        <f aca="false" ca="false" dt2D="false" dtr="false" t="normal">AB352</f>
        <v>0</v>
      </c>
      <c r="AD352" s="120" t="s">
        <v>203</v>
      </c>
      <c r="AE352" s="131" t="s">
        <v>196</v>
      </c>
      <c r="AF352" s="136" t="n">
        <f aca="false" ca="false" dt2D="false" dtr="false" t="normal">MID(L347, 6, 1)</f>
        <v>0</v>
      </c>
      <c r="AG352" s="137" t="n">
        <f aca="false" ca="false" dt2D="false" dtr="false" t="normal">AF352</f>
        <v>0</v>
      </c>
      <c r="AH352" s="120" t="s">
        <v>203</v>
      </c>
      <c r="AI352" s="131" t="s">
        <v>196</v>
      </c>
      <c r="AJ352" s="9375" t="s"/>
      <c r="AK352" s="9376" t="s"/>
    </row>
    <row customHeight="true" hidden="false" ht="15" outlineLevel="0" r="353">
      <c r="C353" s="98" t="s">
        <v>191</v>
      </c>
      <c r="D353" s="149" t="n">
        <f aca="false" ca="false" dt2D="false" dtr="false" t="normal">HEX2DEC(D351)</f>
        <v>7</v>
      </c>
      <c r="E353" s="149" t="n">
        <f aca="false" ca="false" dt2D="false" dtr="false" t="normal">HEX2DEC(E351)</f>
        <v>165</v>
      </c>
      <c r="F353" s="149" t="n">
        <f aca="false" ca="false" dt2D="false" dtr="false" t="normal">HEX2DEC(F351)</f>
        <v>1</v>
      </c>
      <c r="G353" s="149" t="n">
        <f aca="false" ca="false" dt2D="false" dtr="false" t="normal">HEX2DEC(G351)</f>
        <v>50</v>
      </c>
      <c r="H353" s="53" t="n">
        <f aca="false" ca="false" dt2D="false" dtr="false" t="normal">HEX2DEC(H351)</f>
        <v>0</v>
      </c>
      <c r="I353" s="53" t="n">
        <f aca="false" ca="false" dt2D="false" dtr="false" t="normal">HEX2DEC(I351)</f>
        <v>0</v>
      </c>
      <c r="J353" s="53" t="n">
        <f aca="false" ca="false" dt2D="false" dtr="false" t="normal">HEX2DEC(J351)</f>
        <v>0</v>
      </c>
      <c r="K353" s="53" t="n">
        <f aca="false" ca="false" dt2D="false" dtr="false" t="normal">HEX2DEC(K351)</f>
        <v>0</v>
      </c>
      <c r="L353" s="53" t="n">
        <f aca="false" ca="false" dt2D="false" dtr="false" t="normal">HEX2DEC(L351)</f>
        <v>0</v>
      </c>
      <c r="M353" s="53" t="n">
        <f aca="false" ca="false" dt2D="false" dtr="false" t="normal">SUM(D353:L353)</f>
        <v>223</v>
      </c>
      <c r="N353" s="63" t="n"/>
      <c r="P353" s="136" t="n">
        <f aca="false" ca="false" dt2D="false" dtr="false" t="normal">MID(H347, 7, 1)</f>
        <v>0</v>
      </c>
      <c r="Q353" s="137" t="n">
        <f aca="false" ca="false" dt2D="false" dtr="false" t="normal">P353</f>
        <v>0</v>
      </c>
      <c r="R353" s="120" t="s">
        <v>206</v>
      </c>
      <c r="S353" s="131" t="s">
        <v>196</v>
      </c>
      <c r="T353" s="136" t="n">
        <f aca="false" ca="false" dt2D="false" dtr="false" t="normal">MID(I347, 7, 1)</f>
        <v>0</v>
      </c>
      <c r="U353" s="137" t="n">
        <f aca="false" ca="false" dt2D="false" dtr="false" t="normal">T353</f>
        <v>0</v>
      </c>
      <c r="V353" s="120" t="s">
        <v>206</v>
      </c>
      <c r="W353" s="131" t="s">
        <v>196</v>
      </c>
      <c r="X353" s="136" t="n">
        <f aca="false" ca="false" dt2D="false" dtr="false" t="normal">MID(J347, 7, 1)</f>
        <v>0</v>
      </c>
      <c r="Y353" s="137" t="n">
        <f aca="false" ca="false" dt2D="false" dtr="false" t="normal">X353</f>
        <v>0</v>
      </c>
      <c r="Z353" s="120" t="s">
        <v>206</v>
      </c>
      <c r="AA353" s="131" t="s">
        <v>196</v>
      </c>
      <c r="AB353" s="136" t="n">
        <f aca="false" ca="false" dt2D="false" dtr="false" t="normal">MID(K347, 7, 1)</f>
        <v>0</v>
      </c>
      <c r="AC353" s="137" t="n">
        <f aca="false" ca="false" dt2D="false" dtr="false" t="normal">AB353</f>
        <v>0</v>
      </c>
      <c r="AD353" s="120" t="s">
        <v>206</v>
      </c>
      <c r="AE353" s="131" t="s">
        <v>196</v>
      </c>
      <c r="AF353" s="136" t="n">
        <f aca="false" ca="false" dt2D="false" dtr="false" t="normal">MID(L347, 7, 1)</f>
        <v>0</v>
      </c>
      <c r="AG353" s="137" t="n">
        <f aca="false" ca="false" dt2D="false" dtr="false" t="normal">AF353</f>
        <v>0</v>
      </c>
      <c r="AH353" s="120" t="s">
        <v>206</v>
      </c>
      <c r="AI353" s="131" t="s">
        <v>196</v>
      </c>
      <c r="AJ353" s="9377" t="s"/>
      <c r="AK353" s="9378" t="s"/>
    </row>
    <row hidden="false" ht="15.75" outlineLevel="0" r="354">
      <c r="C354" s="180" t="s">
        <v>194</v>
      </c>
      <c r="D354" s="181" t="n">
        <f aca="false" ca="false" dt2D="false" dtr="false" t="normal">D349</f>
        <v>7</v>
      </c>
      <c r="E354" s="181" t="str">
        <f aca="false" ca="false" dt2D="false" dtr="false" t="normal">E349</f>
        <v>A5</v>
      </c>
      <c r="F354" s="181" t="str">
        <f aca="false" ca="false" dt2D="false" dtr="false" t="normal">F349</f>
        <v>G1</v>
      </c>
      <c r="G354" s="181" t="str">
        <f aca="false" ca="false" dt2D="false" dtr="false" t="normal">G349</f>
        <v>I0</v>
      </c>
      <c r="H354" s="45" t="n"/>
      <c r="I354" s="45" t="n"/>
      <c r="J354" s="45" t="n"/>
      <c r="K354" s="45" t="n"/>
      <c r="L354" s="45" t="n"/>
      <c r="M354" s="45" t="n"/>
      <c r="N354" s="49" t="n"/>
      <c r="P354" s="182" t="n">
        <f aca="false" ca="false" dt2D="false" dtr="false" t="normal">MID(H347, 8, 1)</f>
        <v>0</v>
      </c>
      <c r="Q354" s="183" t="n">
        <f aca="false" ca="false" dt2D="false" dtr="false" t="normal">P354</f>
        <v>0</v>
      </c>
      <c r="R354" s="184" t="s">
        <v>208</v>
      </c>
      <c r="S354" s="185" t="s">
        <v>196</v>
      </c>
      <c r="T354" s="182" t="n">
        <f aca="false" ca="false" dt2D="false" dtr="false" t="normal">MID(I347, 8, 1)</f>
        <v>0</v>
      </c>
      <c r="U354" s="183" t="n">
        <f aca="false" ca="false" dt2D="false" dtr="false" t="normal">T354</f>
        <v>0</v>
      </c>
      <c r="V354" s="184" t="s">
        <v>208</v>
      </c>
      <c r="W354" s="185" t="s">
        <v>196</v>
      </c>
      <c r="X354" s="182" t="n">
        <f aca="false" ca="false" dt2D="false" dtr="false" t="normal">MID(J347, 8, 1)</f>
        <v>0</v>
      </c>
      <c r="Y354" s="183" t="n">
        <f aca="false" ca="false" dt2D="false" dtr="false" t="normal">X354</f>
        <v>0</v>
      </c>
      <c r="Z354" s="184" t="s">
        <v>208</v>
      </c>
      <c r="AA354" s="185" t="s">
        <v>196</v>
      </c>
      <c r="AB354" s="182" t="n">
        <f aca="false" ca="false" dt2D="false" dtr="false" t="normal">MID(K347, 8, 1)</f>
        <v>0</v>
      </c>
      <c r="AC354" s="183" t="n">
        <f aca="false" ca="false" dt2D="false" dtr="false" t="normal">AB354</f>
        <v>0</v>
      </c>
      <c r="AD354" s="184" t="s">
        <v>208</v>
      </c>
      <c r="AE354" s="185" t="s">
        <v>196</v>
      </c>
      <c r="AF354" s="182" t="n">
        <f aca="false" ca="false" dt2D="false" dtr="false" t="normal">MID(L347, 8, 1)</f>
        <v>0</v>
      </c>
      <c r="AG354" s="183" t="n">
        <f aca="false" ca="false" dt2D="false" dtr="false" t="normal">AF354</f>
        <v>0</v>
      </c>
      <c r="AH354" s="184" t="s">
        <v>208</v>
      </c>
      <c r="AI354" s="185" t="s">
        <v>196</v>
      </c>
      <c r="AJ354" s="9379" t="s"/>
      <c r="AK354" s="9380" t="s"/>
    </row>
    <row hidden="false" ht="15.75" outlineLevel="0" r="355">
      <c r="C355" s="93" t="n"/>
      <c r="D355" s="7585" t="n"/>
      <c r="E355" s="7585" t="n"/>
      <c r="F355" s="7585" t="n"/>
      <c r="G355" s="7585" t="n"/>
      <c r="H355" s="94" t="n"/>
      <c r="I355" s="94" t="n"/>
      <c r="J355" s="94" t="n"/>
      <c r="K355" s="94" t="n"/>
      <c r="L355" s="94" t="n"/>
      <c r="M355" s="94" t="s">
        <v>161</v>
      </c>
      <c r="N355" s="60" t="n"/>
      <c r="P355" s="95" t="str">
        <f aca="false" ca="false" dt2D="false" dtr="false" t="normal">RIGHT(D357, 1)&amp;E357&amp;"-"&amp;F357&amp;"-"&amp;G357</f>
        <v>7A5-01-33</v>
      </c>
      <c r="Q355" s="9381" t="s"/>
      <c r="R355" s="234" t="s">
        <v>4192</v>
      </c>
      <c r="S355" s="9382" t="s"/>
      <c r="T355" s="9383" t="s"/>
      <c r="U355" s="9384" t="s"/>
      <c r="V355" s="9385" t="s"/>
      <c r="W355" s="9386" t="s"/>
      <c r="X355" s="9387" t="s"/>
      <c r="Y355" s="9388" t="s"/>
      <c r="Z355" s="9389" t="s"/>
      <c r="AA355" s="9390" t="s"/>
      <c r="AB355" s="9391" t="s"/>
      <c r="AC355" s="9392" t="s"/>
      <c r="AD355" s="9393" t="s"/>
      <c r="AE355" s="9394" t="s"/>
      <c r="AF355" s="9395" t="s"/>
      <c r="AG355" s="9396" t="s"/>
      <c r="AH355" s="9397" t="s"/>
      <c r="AI355" s="9398" t="s"/>
      <c r="AJ355" s="9399" t="s"/>
      <c r="AK355" s="9400" t="s"/>
    </row>
    <row hidden="false" ht="15.75" outlineLevel="0" r="356">
      <c r="C356" s="98" t="n"/>
      <c r="D356" s="7606" t="s">
        <v>4193</v>
      </c>
      <c r="E356" s="9401" t="s"/>
      <c r="F356" s="9402" t="s"/>
      <c r="G356" s="9403" t="s"/>
      <c r="H356" s="53" t="s">
        <v>165</v>
      </c>
      <c r="I356" s="53" t="s">
        <v>166</v>
      </c>
      <c r="J356" s="53" t="s">
        <v>167</v>
      </c>
      <c r="K356" s="53" t="s">
        <v>168</v>
      </c>
      <c r="L356" s="53" t="s">
        <v>169</v>
      </c>
      <c r="M356" s="53" t="s">
        <v>221</v>
      </c>
      <c r="N356" s="63" t="n"/>
      <c r="P356" s="103" t="s">
        <v>4194</v>
      </c>
      <c r="Q356" s="9404" t="s"/>
      <c r="R356" s="9405" t="s"/>
      <c r="S356" s="9406" t="s"/>
      <c r="T356" s="103" t="s">
        <v>4195</v>
      </c>
      <c r="U356" s="9407" t="s"/>
      <c r="V356" s="9408" t="s"/>
      <c r="W356" s="9409" t="s"/>
      <c r="X356" s="103" t="s">
        <v>4196</v>
      </c>
      <c r="Y356" s="9410" t="s"/>
      <c r="Z356" s="9411" t="s"/>
      <c r="AA356" s="9412" t="s"/>
      <c r="AB356" s="103" t="s">
        <v>4197</v>
      </c>
      <c r="AC356" s="9413" t="s"/>
      <c r="AD356" s="9414" t="s"/>
      <c r="AE356" s="9415" t="s"/>
      <c r="AF356" s="103" t="s">
        <v>4198</v>
      </c>
      <c r="AG356" s="9416" t="s"/>
      <c r="AH356" s="9417" t="s"/>
      <c r="AI356" s="9418" t="s"/>
      <c r="AJ356" s="103" t="s">
        <v>4199</v>
      </c>
      <c r="AK356" s="9419" t="s"/>
    </row>
    <row hidden="false" ht="15.75" outlineLevel="0" r="357">
      <c r="C357" s="98" t="s">
        <v>176</v>
      </c>
      <c r="D357" s="122" t="s">
        <v>177</v>
      </c>
      <c r="E357" s="123" t="s">
        <v>3892</v>
      </c>
      <c r="F357" s="123" t="s">
        <v>179</v>
      </c>
      <c r="G357" s="124" t="s">
        <v>840</v>
      </c>
      <c r="H357" s="273" t="n">
        <f aca="false" ca="false" dt2D="false" dtr="false" t="normal">MID($A$36, 8, 2)</f>
        <v>0</v>
      </c>
      <c r="I357" s="7626" t="n">
        <f aca="false" ca="false" dt2D="false" dtr="false" t="normal">MID($A$36, 10, 2)</f>
        <v>0</v>
      </c>
      <c r="J357" s="7626" t="n">
        <f aca="false" ca="false" dt2D="false" dtr="false" t="normal">MID($A$36, 12, 2)</f>
        <v>0</v>
      </c>
      <c r="K357" s="7626" t="n">
        <f aca="false" ca="false" dt2D="false" dtr="false" t="normal">MID($A$36, 14, 2)</f>
        <v>0</v>
      </c>
      <c r="L357" s="7627" t="n">
        <f aca="false" ca="false" dt2D="false" dtr="false" t="normal">MID($A$36, 16, 2)</f>
        <v>0</v>
      </c>
      <c r="M357" s="7553" t="str">
        <f aca="false" ca="false" dt2D="false" dtr="false" t="normal">MID($A$36, 18, 2)</f>
        <v>E0</v>
      </c>
      <c r="N357" s="63" t="s">
        <v>180</v>
      </c>
      <c r="P357" s="129" t="s">
        <v>180</v>
      </c>
      <c r="Q357" s="130" t="s">
        <v>181</v>
      </c>
      <c r="R357" s="121" t="s">
        <v>182</v>
      </c>
      <c r="S357" s="131" t="n"/>
      <c r="T357" s="129" t="s">
        <v>180</v>
      </c>
      <c r="U357" s="130" t="s">
        <v>181</v>
      </c>
      <c r="V357" s="121" t="s">
        <v>182</v>
      </c>
      <c r="W357" s="131" t="n"/>
      <c r="X357" s="129" t="s">
        <v>180</v>
      </c>
      <c r="Y357" s="130" t="s">
        <v>181</v>
      </c>
      <c r="Z357" s="121" t="s">
        <v>182</v>
      </c>
      <c r="AA357" s="131" t="n"/>
      <c r="AB357" s="129" t="s">
        <v>180</v>
      </c>
      <c r="AC357" s="130" t="s">
        <v>181</v>
      </c>
      <c r="AD357" s="121" t="s">
        <v>182</v>
      </c>
      <c r="AE357" s="131" t="n"/>
      <c r="AF357" s="129" t="s">
        <v>180</v>
      </c>
      <c r="AG357" s="130" t="s">
        <v>181</v>
      </c>
      <c r="AH357" s="121" t="s">
        <v>182</v>
      </c>
      <c r="AI357" s="121" t="n"/>
      <c r="AJ357" s="116" t="s">
        <v>183</v>
      </c>
      <c r="AK357" s="9420" t="s"/>
    </row>
    <row hidden="false" ht="15" outlineLevel="0" r="358">
      <c r="C358" s="98" t="s">
        <v>185</v>
      </c>
      <c r="D358" s="149" t="n">
        <f aca="false" ca="false" dt2D="false" dtr="false" t="normal">HEX2BIN(D357, 8)</f>
        <v>111</v>
      </c>
      <c r="E358" s="149" t="n">
        <f aca="false" ca="false" dt2D="false" dtr="false" t="normal">HEX2BIN(E357, 8)</f>
        <v>10100101</v>
      </c>
      <c r="F358" s="149" t="n">
        <f aca="false" ca="false" dt2D="false" dtr="false" t="normal">HEX2BIN(F357, 8)</f>
        <v>1</v>
      </c>
      <c r="G358" s="149" t="n">
        <f aca="false" ca="false" dt2D="false" dtr="false" t="normal">HEX2BIN(G357, 8)</f>
        <v>110011</v>
      </c>
      <c r="H358" s="53" t="n">
        <f aca="false" ca="false" dt2D="false" dtr="false" t="normal">HEX2BIN(H357, 8)</f>
        <v>0</v>
      </c>
      <c r="I358" s="53" t="n">
        <f aca="false" ca="false" dt2D="false" dtr="false" t="normal">HEX2BIN(I357, 8)</f>
        <v>0</v>
      </c>
      <c r="J358" s="53" t="n">
        <f aca="false" ca="false" dt2D="false" dtr="false" t="normal">HEX2BIN(J357, 8)</f>
        <v>0</v>
      </c>
      <c r="K358" s="53" t="n">
        <f aca="false" ca="false" dt2D="false" dtr="false" t="normal">HEX2BIN(K357, 8)</f>
        <v>0</v>
      </c>
      <c r="L358" s="53" t="n">
        <f aca="false" ca="false" dt2D="false" dtr="false" t="normal">HEX2BIN(L357, 8)</f>
        <v>0</v>
      </c>
      <c r="M358" s="53" t="n"/>
      <c r="N358" s="63" t="n"/>
      <c r="P358" s="136" t="n">
        <f aca="false" ca="false" dt2D="false" dtr="false" t="normal">MID(H358, 1, 1)</f>
        <v>0</v>
      </c>
      <c r="Q358" s="137" t="n">
        <f aca="false" ca="false" dt2D="false" dtr="false" t="normal">P358</f>
        <v>0</v>
      </c>
      <c r="R358" s="120" t="s">
        <v>186</v>
      </c>
      <c r="S358" s="131" t="s">
        <v>196</v>
      </c>
      <c r="T358" s="136" t="n">
        <f aca="false" ca="false" dt2D="false" dtr="false" t="normal">MID(I358, 1, 1)</f>
        <v>0</v>
      </c>
      <c r="U358" s="137" t="n">
        <f aca="false" ca="false" dt2D="false" dtr="false" t="normal">T358</f>
        <v>0</v>
      </c>
      <c r="V358" s="120" t="s">
        <v>186</v>
      </c>
      <c r="W358" s="131" t="s">
        <v>196</v>
      </c>
      <c r="X358" s="136" t="n">
        <f aca="false" ca="false" dt2D="false" dtr="false" t="normal">MID(J358, 1, 1)</f>
        <v>0</v>
      </c>
      <c r="Y358" s="137" t="n">
        <f aca="false" ca="false" dt2D="false" dtr="false" t="normal">X358</f>
        <v>0</v>
      </c>
      <c r="Z358" s="120" t="s">
        <v>186</v>
      </c>
      <c r="AA358" s="131" t="s">
        <v>196</v>
      </c>
      <c r="AB358" s="136" t="n">
        <f aca="false" ca="false" dt2D="false" dtr="false" t="normal">MID(K358, 1, 1)</f>
        <v>0</v>
      </c>
      <c r="AC358" s="137" t="n">
        <f aca="false" ca="false" dt2D="false" dtr="false" t="normal">AB358</f>
        <v>0</v>
      </c>
      <c r="AD358" s="120" t="s">
        <v>186</v>
      </c>
      <c r="AE358" s="131" t="s">
        <v>196</v>
      </c>
      <c r="AF358" s="136" t="n">
        <f aca="false" ca="false" dt2D="false" dtr="false" t="normal">MID(L358, 1, 1)</f>
        <v>0</v>
      </c>
      <c r="AG358" s="137" t="n">
        <f aca="false" ca="false" dt2D="false" dtr="false" t="normal">AF358</f>
        <v>0</v>
      </c>
      <c r="AH358" s="120" t="s">
        <v>186</v>
      </c>
      <c r="AI358" s="131" t="s">
        <v>196</v>
      </c>
      <c r="AJ358" s="9421" t="s"/>
      <c r="AK358" s="9422" t="s"/>
    </row>
    <row customHeight="true" hidden="false" ht="15" outlineLevel="0" r="359">
      <c r="C359" s="98" t="s">
        <v>191</v>
      </c>
      <c r="D359" s="149" t="n">
        <f aca="false" ca="false" dt2D="false" dtr="false" t="normal">HEX2DEC(D357)</f>
        <v>7</v>
      </c>
      <c r="E359" s="149" t="n">
        <f aca="false" ca="false" dt2D="false" dtr="false" t="normal">HEX2DEC(E357)</f>
        <v>165</v>
      </c>
      <c r="F359" s="149" t="n">
        <f aca="false" ca="false" dt2D="false" dtr="false" t="normal">HEX2DEC(F357)</f>
        <v>1</v>
      </c>
      <c r="G359" s="149" t="n">
        <f aca="false" ca="false" dt2D="false" dtr="false" t="normal">HEX2DEC(G357)</f>
        <v>51</v>
      </c>
      <c r="H359" s="53" t="n">
        <f aca="false" ca="false" dt2D="false" dtr="false" t="normal">HEX2DEC(H357)</f>
        <v>0</v>
      </c>
      <c r="I359" s="53" t="n">
        <f aca="false" ca="false" dt2D="false" dtr="false" t="normal">HEX2DEC(I357)</f>
        <v>0</v>
      </c>
      <c r="J359" s="53" t="n">
        <f aca="false" ca="false" dt2D="false" dtr="false" t="normal">HEX2DEC(J357)</f>
        <v>0</v>
      </c>
      <c r="K359" s="53" t="n">
        <f aca="false" ca="false" dt2D="false" dtr="false" t="normal">HEX2DEC(K357)</f>
        <v>0</v>
      </c>
      <c r="L359" s="53" t="n">
        <f aca="false" ca="false" dt2D="false" dtr="false" t="normal">HEX2DEC(L357)</f>
        <v>0</v>
      </c>
      <c r="M359" s="53" t="n">
        <f aca="false" ca="false" dt2D="false" dtr="false" t="normal">SUM(D359:L359)</f>
        <v>224</v>
      </c>
      <c r="N359" s="63" t="n"/>
      <c r="P359" s="136" t="n">
        <f aca="false" ca="false" dt2D="false" dtr="false" t="normal">MID(H358, 2, 1)</f>
        <v>0</v>
      </c>
      <c r="Q359" s="137" t="n">
        <f aca="false" ca="false" dt2D="false" dtr="false" t="normal">P359</f>
        <v>0</v>
      </c>
      <c r="R359" s="120" t="s">
        <v>192</v>
      </c>
      <c r="S359" s="131" t="s">
        <v>196</v>
      </c>
      <c r="T359" s="136" t="n">
        <f aca="false" ca="false" dt2D="false" dtr="false" t="normal">MID(I358, 2, 1)</f>
        <v>0</v>
      </c>
      <c r="U359" s="137" t="n">
        <f aca="false" ca="false" dt2D="false" dtr="false" t="normal">T359</f>
        <v>0</v>
      </c>
      <c r="V359" s="120" t="s">
        <v>192</v>
      </c>
      <c r="W359" s="131" t="s">
        <v>196</v>
      </c>
      <c r="X359" s="136" t="n">
        <f aca="false" ca="false" dt2D="false" dtr="false" t="normal">MID(J358, 2, 1)</f>
        <v>0</v>
      </c>
      <c r="Y359" s="137" t="n">
        <f aca="false" ca="false" dt2D="false" dtr="false" t="normal">X359</f>
        <v>0</v>
      </c>
      <c r="Z359" s="120" t="s">
        <v>192</v>
      </c>
      <c r="AA359" s="131" t="s">
        <v>196</v>
      </c>
      <c r="AB359" s="136" t="n">
        <f aca="false" ca="false" dt2D="false" dtr="false" t="normal">MID(K358, 2, 1)</f>
        <v>0</v>
      </c>
      <c r="AC359" s="137" t="n">
        <f aca="false" ca="false" dt2D="false" dtr="false" t="normal">AB359</f>
        <v>0</v>
      </c>
      <c r="AD359" s="120" t="s">
        <v>192</v>
      </c>
      <c r="AE359" s="131" t="s">
        <v>196</v>
      </c>
      <c r="AF359" s="136" t="n">
        <f aca="false" ca="false" dt2D="false" dtr="false" t="normal">MID(L358, 2, 1)</f>
        <v>0</v>
      </c>
      <c r="AG359" s="137" t="n">
        <f aca="false" ca="false" dt2D="false" dtr="false" t="normal">AF359</f>
        <v>0</v>
      </c>
      <c r="AH359" s="120" t="s">
        <v>192</v>
      </c>
      <c r="AI359" s="131" t="s">
        <v>196</v>
      </c>
      <c r="AJ359" s="9423" t="s"/>
      <c r="AK359" s="9424" t="s"/>
    </row>
    <row hidden="false" ht="15" outlineLevel="0" r="360">
      <c r="C360" s="98" t="s">
        <v>194</v>
      </c>
      <c r="D360" s="149" t="n">
        <f aca="false" ca="false" dt2D="false" dtr="false" t="normal">D357</f>
        <v>7</v>
      </c>
      <c r="E360" s="149" t="str">
        <f aca="false" ca="false" dt2D="false" dtr="false" t="normal">E357</f>
        <v>A5</v>
      </c>
      <c r="F360" s="149" t="str">
        <f aca="false" ca="false" dt2D="false" dtr="false" t="normal">MID($A$36, 4, 2)</f>
        <v>G1</v>
      </c>
      <c r="G360" s="149" t="str">
        <f aca="false" ca="false" dt2D="false" dtr="false" t="normal">MID($A$36, 6, 2)</f>
        <v>I1</v>
      </c>
      <c r="N360" s="63" t="n"/>
      <c r="P360" s="136" t="n">
        <f aca="false" ca="false" dt2D="false" dtr="false" t="normal">MID(H358, 3, 1)</f>
        <v>0</v>
      </c>
      <c r="Q360" s="137" t="n">
        <f aca="false" ca="false" dt2D="false" dtr="false" t="normal">P360</f>
        <v>0</v>
      </c>
      <c r="R360" s="120" t="s">
        <v>195</v>
      </c>
      <c r="S360" s="131" t="s">
        <v>196</v>
      </c>
      <c r="T360" s="136" t="n">
        <f aca="false" ca="false" dt2D="false" dtr="false" t="normal">MID(I358, 3, 1)</f>
        <v>0</v>
      </c>
      <c r="U360" s="137" t="n">
        <f aca="false" ca="false" dt2D="false" dtr="false" t="normal">T360</f>
        <v>0</v>
      </c>
      <c r="V360" s="120" t="s">
        <v>195</v>
      </c>
      <c r="W360" s="131" t="s">
        <v>196</v>
      </c>
      <c r="X360" s="136" t="n">
        <f aca="false" ca="false" dt2D="false" dtr="false" t="normal">MID(J358, 3, 1)</f>
        <v>0</v>
      </c>
      <c r="Y360" s="137" t="n">
        <f aca="false" ca="false" dt2D="false" dtr="false" t="normal">X360</f>
        <v>0</v>
      </c>
      <c r="Z360" s="120" t="s">
        <v>195</v>
      </c>
      <c r="AA360" s="131" t="s">
        <v>196</v>
      </c>
      <c r="AB360" s="136" t="n">
        <f aca="false" ca="false" dt2D="false" dtr="false" t="normal">MID(K358, 3, 1)</f>
        <v>0</v>
      </c>
      <c r="AC360" s="137" t="n">
        <f aca="false" ca="false" dt2D="false" dtr="false" t="normal">AB360</f>
        <v>0</v>
      </c>
      <c r="AD360" s="120" t="s">
        <v>195</v>
      </c>
      <c r="AE360" s="131" t="s">
        <v>196</v>
      </c>
      <c r="AF360" s="136" t="n">
        <f aca="false" ca="false" dt2D="false" dtr="false" t="normal">MID(L358, 3, 1)</f>
        <v>0</v>
      </c>
      <c r="AG360" s="137" t="n">
        <f aca="false" ca="false" dt2D="false" dtr="false" t="normal">AF360</f>
        <v>0</v>
      </c>
      <c r="AH360" s="120" t="s">
        <v>195</v>
      </c>
      <c r="AI360" s="131" t="s">
        <v>196</v>
      </c>
      <c r="AJ360" s="9425" t="s"/>
      <c r="AK360" s="9426" t="s"/>
    </row>
    <row hidden="false" ht="15.75" outlineLevel="0" r="361">
      <c r="C361" s="98" t="n"/>
      <c r="N361" s="63" t="n"/>
      <c r="P361" s="136" t="n">
        <f aca="false" ca="false" dt2D="false" dtr="false" t="normal">MID(H358, 4, 1)</f>
        <v>0</v>
      </c>
      <c r="Q361" s="137" t="n">
        <f aca="false" ca="false" dt2D="false" dtr="false" t="normal">P361</f>
        <v>0</v>
      </c>
      <c r="R361" s="120" t="s">
        <v>197</v>
      </c>
      <c r="S361" s="131" t="s">
        <v>196</v>
      </c>
      <c r="T361" s="136" t="n">
        <f aca="false" ca="false" dt2D="false" dtr="false" t="normal">MID(I358, 4, 1)</f>
        <v>0</v>
      </c>
      <c r="U361" s="137" t="n">
        <f aca="false" ca="false" dt2D="false" dtr="false" t="normal">T361</f>
        <v>0</v>
      </c>
      <c r="V361" s="120" t="s">
        <v>197</v>
      </c>
      <c r="W361" s="131" t="s">
        <v>196</v>
      </c>
      <c r="X361" s="136" t="n">
        <f aca="false" ca="false" dt2D="false" dtr="false" t="normal">MID(J358, 4, 1)</f>
        <v>0</v>
      </c>
      <c r="Y361" s="137" t="n">
        <f aca="false" ca="false" dt2D="false" dtr="false" t="normal">X361</f>
        <v>0</v>
      </c>
      <c r="Z361" s="120" t="s">
        <v>197</v>
      </c>
      <c r="AA361" s="131" t="s">
        <v>196</v>
      </c>
      <c r="AB361" s="136" t="n">
        <f aca="false" ca="false" dt2D="false" dtr="false" t="normal">MID(K358, 4, 1)</f>
        <v>0</v>
      </c>
      <c r="AC361" s="137" t="n">
        <f aca="false" ca="false" dt2D="false" dtr="false" t="normal">AB361</f>
        <v>0</v>
      </c>
      <c r="AD361" s="120" t="s">
        <v>197</v>
      </c>
      <c r="AE361" s="131" t="s">
        <v>196</v>
      </c>
      <c r="AF361" s="136" t="n">
        <f aca="false" ca="false" dt2D="false" dtr="false" t="normal">MID(L358, 4, 1)</f>
        <v>0</v>
      </c>
      <c r="AG361" s="137" t="n">
        <f aca="false" ca="false" dt2D="false" dtr="false" t="normal">AF361</f>
        <v>0</v>
      </c>
      <c r="AH361" s="120" t="s">
        <v>197</v>
      </c>
      <c r="AI361" s="131" t="s">
        <v>196</v>
      </c>
      <c r="AJ361" s="9427" t="s"/>
      <c r="AK361" s="9428" t="s"/>
    </row>
    <row customHeight="true" hidden="false" ht="15.75" outlineLevel="0" r="362">
      <c r="C362" s="98" t="s">
        <v>176</v>
      </c>
      <c r="D362" s="122" t="n">
        <f aca="false" ca="false" dt2D="false" dtr="false" t="normal">D357</f>
        <v>7</v>
      </c>
      <c r="E362" s="123" t="str">
        <f aca="false" ca="false" dt2D="false" dtr="false" t="normal">E357</f>
        <v>A5</v>
      </c>
      <c r="F362" s="123" t="n">
        <f aca="false" ca="false" dt2D="false" dtr="false" t="normal">F357</f>
        <v>1</v>
      </c>
      <c r="G362" s="124" t="n">
        <f aca="false" ca="false" dt2D="false" dtr="false" t="normal">G357</f>
        <v>33</v>
      </c>
      <c r="H362" s="162" t="n">
        <f aca="false" ca="false" dt2D="false" dtr="false" t="normal">BIN2HEX(H363, 2)</f>
        <v>0</v>
      </c>
      <c r="I362" s="163" t="n">
        <f aca="false" ca="false" dt2D="false" dtr="false" t="normal">BIN2HEX(I363, 2)</f>
        <v>0</v>
      </c>
      <c r="J362" s="164" t="n">
        <f aca="false" ca="false" dt2D="false" dtr="false" t="normal">BIN2HEX(J363, 2)</f>
        <v>0</v>
      </c>
      <c r="K362" s="165" t="n">
        <f aca="false" ca="false" dt2D="false" dtr="false" t="normal">BIN2HEX(K363, 2)</f>
        <v>0</v>
      </c>
      <c r="L362" s="288" t="n">
        <f aca="false" ca="false" dt2D="false" dtr="false" t="normal">BIN2HEX(L363, 2)</f>
        <v>0</v>
      </c>
      <c r="M362" s="166" t="str">
        <f aca="false" ca="false" dt2D="false" dtr="false" t="normal">IF(LEN(M363)&gt;2, MID(M363, 2, 2), M363)</f>
        <v>E0</v>
      </c>
      <c r="N362" s="63" t="s">
        <v>181</v>
      </c>
      <c r="P362" s="136" t="n">
        <f aca="false" ca="false" dt2D="false" dtr="false" t="normal">MID(H358, 5, 1)</f>
        <v>0</v>
      </c>
      <c r="Q362" s="137" t="n">
        <f aca="false" ca="false" dt2D="false" dtr="false" t="normal">P362</f>
        <v>0</v>
      </c>
      <c r="R362" s="120" t="s">
        <v>200</v>
      </c>
      <c r="S362" s="131" t="s">
        <v>196</v>
      </c>
      <c r="T362" s="136" t="n">
        <f aca="false" ca="false" dt2D="false" dtr="false" t="normal">MID(I358, 5, 1)</f>
        <v>0</v>
      </c>
      <c r="U362" s="137" t="n">
        <f aca="false" ca="false" dt2D="false" dtr="false" t="normal">T362</f>
        <v>0</v>
      </c>
      <c r="V362" s="120" t="s">
        <v>200</v>
      </c>
      <c r="W362" s="131" t="s">
        <v>196</v>
      </c>
      <c r="X362" s="136" t="n">
        <f aca="false" ca="false" dt2D="false" dtr="false" t="normal">MID(J358, 5, 1)</f>
        <v>0</v>
      </c>
      <c r="Y362" s="137" t="n">
        <f aca="false" ca="false" dt2D="false" dtr="false" t="normal">X362</f>
        <v>0</v>
      </c>
      <c r="Z362" s="120" t="s">
        <v>200</v>
      </c>
      <c r="AA362" s="131" t="s">
        <v>196</v>
      </c>
      <c r="AB362" s="136" t="n">
        <f aca="false" ca="false" dt2D="false" dtr="false" t="normal">MID(K358, 5, 1)</f>
        <v>0</v>
      </c>
      <c r="AC362" s="137" t="n">
        <f aca="false" ca="false" dt2D="false" dtr="false" t="normal">AB362</f>
        <v>0</v>
      </c>
      <c r="AD362" s="120" t="s">
        <v>200</v>
      </c>
      <c r="AE362" s="131" t="s">
        <v>196</v>
      </c>
      <c r="AF362" s="136" t="n">
        <f aca="false" ca="false" dt2D="false" dtr="false" t="normal">MID(L358, 5, 1)</f>
        <v>0</v>
      </c>
      <c r="AG362" s="137" t="n">
        <f aca="false" ca="false" dt2D="false" dtr="false" t="normal">AF362</f>
        <v>0</v>
      </c>
      <c r="AH362" s="120" t="s">
        <v>200</v>
      </c>
      <c r="AI362" s="131" t="s">
        <v>196</v>
      </c>
      <c r="AJ362" s="9429" t="s"/>
      <c r="AK362" s="9430" t="s"/>
    </row>
    <row hidden="false" ht="15" outlineLevel="0" r="363">
      <c r="C363" s="98" t="s">
        <v>185</v>
      </c>
      <c r="D363" s="149" t="n">
        <f aca="false" ca="false" dt2D="false" dtr="false" t="normal">HEX2BIN(D362, 8)</f>
        <v>111</v>
      </c>
      <c r="E363" s="149" t="n">
        <f aca="false" ca="false" dt2D="false" dtr="false" t="normal">HEX2BIN(E362, 8)</f>
        <v>10100101</v>
      </c>
      <c r="F363" s="149" t="n">
        <f aca="false" ca="false" dt2D="false" dtr="false" t="normal">HEX2BIN(F362, 8)</f>
        <v>1</v>
      </c>
      <c r="G363" s="149" t="n">
        <f aca="false" ca="false" dt2D="false" dtr="false" t="normal">HEX2BIN(G362, 8)</f>
        <v>110011</v>
      </c>
      <c r="H363" s="53" t="n">
        <f aca="false" ca="false" dt2D="false" dtr="false" t="normal">Q358&amp;Q359&amp;Q360&amp;Q361&amp;Q362&amp;Q363&amp;Q364&amp;Q365</f>
        <v>0</v>
      </c>
      <c r="I363" s="53" t="n">
        <f aca="false" ca="false" dt2D="false" dtr="false" t="normal">U358&amp;U359&amp;U360&amp;U361&amp;U362&amp;U363&amp;U364&amp;U365</f>
        <v>0</v>
      </c>
      <c r="J363" s="53" t="n">
        <f aca="false" ca="false" dt2D="false" dtr="false" t="normal">Y358&amp;Y359&amp;Y360&amp;Y361&amp;Y362&amp;Y363&amp;Y364&amp;Y365</f>
        <v>0</v>
      </c>
      <c r="K363" s="53" t="n">
        <f aca="false" ca="false" dt2D="false" dtr="false" t="normal">AC358&amp;AC359&amp;AC360&amp;AC361&amp;AC362&amp;AC363&amp;AC364&amp;AC365</f>
        <v>0</v>
      </c>
      <c r="L363" s="53" t="n">
        <f aca="false" ca="false" dt2D="false" dtr="false" t="normal">AG358&amp;AG359&amp;AG360&amp;AG361&amp;AG362&amp;AG363&amp;AG364&amp;AG365</f>
        <v>0</v>
      </c>
      <c r="M363" s="53" t="str">
        <f aca="false" ca="false" dt2D="false" dtr="false" t="normal">DEC2HEX(M364)</f>
        <v>E0</v>
      </c>
      <c r="N363" s="63" t="n"/>
      <c r="P363" s="136" t="n">
        <f aca="false" ca="false" dt2D="false" dtr="false" t="normal">MID(H358, 6, 1)</f>
        <v>0</v>
      </c>
      <c r="Q363" s="137" t="n">
        <f aca="false" ca="false" dt2D="false" dtr="false" t="normal">P363</f>
        <v>0</v>
      </c>
      <c r="R363" s="120" t="s">
        <v>203</v>
      </c>
      <c r="S363" s="131" t="s">
        <v>196</v>
      </c>
      <c r="T363" s="136" t="n">
        <f aca="false" ca="false" dt2D="false" dtr="false" t="normal">MID(I358, 6, 1)</f>
        <v>0</v>
      </c>
      <c r="U363" s="137" t="n">
        <f aca="false" ca="false" dt2D="false" dtr="false" t="normal">T363</f>
        <v>0</v>
      </c>
      <c r="V363" s="120" t="s">
        <v>203</v>
      </c>
      <c r="W363" s="131" t="s">
        <v>196</v>
      </c>
      <c r="X363" s="136" t="n">
        <f aca="false" ca="false" dt2D="false" dtr="false" t="normal">MID(J358, 6, 1)</f>
        <v>0</v>
      </c>
      <c r="Y363" s="137" t="n">
        <f aca="false" ca="false" dt2D="false" dtr="false" t="normal">X363</f>
        <v>0</v>
      </c>
      <c r="Z363" s="120" t="s">
        <v>203</v>
      </c>
      <c r="AA363" s="131" t="s">
        <v>196</v>
      </c>
      <c r="AB363" s="136" t="n">
        <f aca="false" ca="false" dt2D="false" dtr="false" t="normal">MID(K358, 6, 1)</f>
        <v>0</v>
      </c>
      <c r="AC363" s="137" t="n">
        <f aca="false" ca="false" dt2D="false" dtr="false" t="normal">AB363</f>
        <v>0</v>
      </c>
      <c r="AD363" s="120" t="s">
        <v>203</v>
      </c>
      <c r="AE363" s="131" t="s">
        <v>196</v>
      </c>
      <c r="AF363" s="136" t="n">
        <f aca="false" ca="false" dt2D="false" dtr="false" t="normal">MID(L358, 6, 1)</f>
        <v>0</v>
      </c>
      <c r="AG363" s="137" t="n">
        <f aca="false" ca="false" dt2D="false" dtr="false" t="normal">AF363</f>
        <v>0</v>
      </c>
      <c r="AH363" s="120" t="s">
        <v>203</v>
      </c>
      <c r="AI363" s="131" t="s">
        <v>196</v>
      </c>
      <c r="AJ363" s="9431" t="s"/>
      <c r="AK363" s="9432" t="s"/>
    </row>
    <row hidden="false" ht="15" outlineLevel="0" r="364">
      <c r="C364" s="98" t="s">
        <v>191</v>
      </c>
      <c r="D364" s="149" t="n">
        <f aca="false" ca="false" dt2D="false" dtr="false" t="normal">HEX2DEC(D362)</f>
        <v>7</v>
      </c>
      <c r="E364" s="149" t="n">
        <f aca="false" ca="false" dt2D="false" dtr="false" t="normal">HEX2DEC(E362)</f>
        <v>165</v>
      </c>
      <c r="F364" s="149" t="n">
        <f aca="false" ca="false" dt2D="false" dtr="false" t="normal">HEX2DEC(F362)</f>
        <v>1</v>
      </c>
      <c r="G364" s="149" t="n">
        <f aca="false" ca="false" dt2D="false" dtr="false" t="normal">HEX2DEC(G362)</f>
        <v>51</v>
      </c>
      <c r="H364" s="53" t="n">
        <f aca="false" ca="false" dt2D="false" dtr="false" t="normal">HEX2DEC(H362)</f>
        <v>0</v>
      </c>
      <c r="I364" s="53" t="n">
        <f aca="false" ca="false" dt2D="false" dtr="false" t="normal">HEX2DEC(I362)</f>
        <v>0</v>
      </c>
      <c r="J364" s="53" t="n">
        <f aca="false" ca="false" dt2D="false" dtr="false" t="normal">HEX2DEC(J362)</f>
        <v>0</v>
      </c>
      <c r="K364" s="53" t="n">
        <f aca="false" ca="false" dt2D="false" dtr="false" t="normal">HEX2DEC(K362)</f>
        <v>0</v>
      </c>
      <c r="L364" s="53" t="n">
        <f aca="false" ca="false" dt2D="false" dtr="false" t="normal">HEX2DEC(L362)</f>
        <v>0</v>
      </c>
      <c r="M364" s="53" t="n">
        <f aca="false" ca="false" dt2D="false" dtr="false" t="normal">SUM(D364:L364)</f>
        <v>224</v>
      </c>
      <c r="N364" s="63" t="n"/>
      <c r="P364" s="136" t="n">
        <f aca="false" ca="false" dt2D="false" dtr="false" t="normal">MID(H358, 7, 1)</f>
        <v>0</v>
      </c>
      <c r="Q364" s="137" t="n">
        <f aca="false" ca="false" dt2D="false" dtr="false" t="normal">P364</f>
        <v>0</v>
      </c>
      <c r="R364" s="120" t="s">
        <v>206</v>
      </c>
      <c r="S364" s="131" t="s">
        <v>196</v>
      </c>
      <c r="T364" s="136" t="n">
        <f aca="false" ca="false" dt2D="false" dtr="false" t="normal">MID(I358, 7, 1)</f>
        <v>0</v>
      </c>
      <c r="U364" s="137" t="n">
        <f aca="false" ca="false" dt2D="false" dtr="false" t="normal">T364</f>
        <v>0</v>
      </c>
      <c r="V364" s="120" t="s">
        <v>206</v>
      </c>
      <c r="W364" s="131" t="s">
        <v>196</v>
      </c>
      <c r="X364" s="136" t="n">
        <f aca="false" ca="false" dt2D="false" dtr="false" t="normal">MID(J358, 7, 1)</f>
        <v>0</v>
      </c>
      <c r="Y364" s="137" t="n">
        <f aca="false" ca="false" dt2D="false" dtr="false" t="normal">X364</f>
        <v>0</v>
      </c>
      <c r="Z364" s="120" t="s">
        <v>206</v>
      </c>
      <c r="AA364" s="131" t="s">
        <v>196</v>
      </c>
      <c r="AB364" s="136" t="n">
        <f aca="false" ca="false" dt2D="false" dtr="false" t="normal">MID(K358, 7, 1)</f>
        <v>0</v>
      </c>
      <c r="AC364" s="137" t="n">
        <f aca="false" ca="false" dt2D="false" dtr="false" t="normal">AB364</f>
        <v>0</v>
      </c>
      <c r="AD364" s="120" t="s">
        <v>206</v>
      </c>
      <c r="AE364" s="131" t="s">
        <v>196</v>
      </c>
      <c r="AF364" s="136" t="n">
        <f aca="false" ca="false" dt2D="false" dtr="false" t="normal">MID(L358, 7, 1)</f>
        <v>0</v>
      </c>
      <c r="AG364" s="137" t="n">
        <f aca="false" ca="false" dt2D="false" dtr="false" t="normal">AF364</f>
        <v>0</v>
      </c>
      <c r="AH364" s="120" t="s">
        <v>206</v>
      </c>
      <c r="AI364" s="131" t="s">
        <v>196</v>
      </c>
      <c r="AJ364" s="9433" t="s"/>
      <c r="AK364" s="9434" t="s"/>
    </row>
    <row hidden="false" ht="15.75" outlineLevel="0" r="365">
      <c r="C365" s="180" t="s">
        <v>194</v>
      </c>
      <c r="D365" s="181" t="n">
        <f aca="false" ca="false" dt2D="false" dtr="false" t="normal">D360</f>
        <v>7</v>
      </c>
      <c r="E365" s="181" t="str">
        <f aca="false" ca="false" dt2D="false" dtr="false" t="normal">E360</f>
        <v>A5</v>
      </c>
      <c r="F365" s="181" t="str">
        <f aca="false" ca="false" dt2D="false" dtr="false" t="normal">F360</f>
        <v>G1</v>
      </c>
      <c r="G365" s="181" t="str">
        <f aca="false" ca="false" dt2D="false" dtr="false" t="normal">G360</f>
        <v>I1</v>
      </c>
      <c r="H365" s="45" t="n"/>
      <c r="I365" s="45" t="n"/>
      <c r="J365" s="45" t="n"/>
      <c r="K365" s="45" t="n"/>
      <c r="L365" s="45" t="n"/>
      <c r="M365" s="45" t="n"/>
      <c r="N365" s="49" t="n"/>
      <c r="P365" s="182" t="n">
        <f aca="false" ca="false" dt2D="false" dtr="false" t="normal">MID(H358, 8, 1)</f>
        <v>0</v>
      </c>
      <c r="Q365" s="183" t="n">
        <f aca="false" ca="false" dt2D="false" dtr="false" t="normal">P365</f>
        <v>0</v>
      </c>
      <c r="R365" s="184" t="s">
        <v>208</v>
      </c>
      <c r="S365" s="185" t="s">
        <v>196</v>
      </c>
      <c r="T365" s="182" t="n">
        <f aca="false" ca="false" dt2D="false" dtr="false" t="normal">MID(I358, 8, 1)</f>
        <v>0</v>
      </c>
      <c r="U365" s="183" t="n">
        <f aca="false" ca="false" dt2D="false" dtr="false" t="normal">T365</f>
        <v>0</v>
      </c>
      <c r="V365" s="184" t="s">
        <v>208</v>
      </c>
      <c r="W365" s="185" t="s">
        <v>196</v>
      </c>
      <c r="X365" s="182" t="n">
        <f aca="false" ca="false" dt2D="false" dtr="false" t="normal">MID(J358, 8, 1)</f>
        <v>0</v>
      </c>
      <c r="Y365" s="183" t="n">
        <f aca="false" ca="false" dt2D="false" dtr="false" t="normal">X365</f>
        <v>0</v>
      </c>
      <c r="Z365" s="184" t="s">
        <v>208</v>
      </c>
      <c r="AA365" s="185" t="s">
        <v>196</v>
      </c>
      <c r="AB365" s="182" t="n">
        <f aca="false" ca="false" dt2D="false" dtr="false" t="normal">MID(K358, 8, 1)</f>
        <v>0</v>
      </c>
      <c r="AC365" s="183" t="n">
        <f aca="false" ca="false" dt2D="false" dtr="false" t="normal">AB365</f>
        <v>0</v>
      </c>
      <c r="AD365" s="184" t="s">
        <v>208</v>
      </c>
      <c r="AE365" s="185" t="s">
        <v>196</v>
      </c>
      <c r="AF365" s="182" t="n">
        <f aca="false" ca="false" dt2D="false" dtr="false" t="normal">MID(L358, 8, 1)</f>
        <v>0</v>
      </c>
      <c r="AG365" s="183" t="n">
        <f aca="false" ca="false" dt2D="false" dtr="false" t="normal">AF365</f>
        <v>0</v>
      </c>
      <c r="AH365" s="184" t="s">
        <v>208</v>
      </c>
      <c r="AI365" s="185" t="s">
        <v>196</v>
      </c>
      <c r="AJ365" s="9435" t="s"/>
      <c r="AK365" s="9436" t="s"/>
    </row>
    <row hidden="false" ht="15.75" outlineLevel="0" r="366">
      <c r="C366" s="93" t="n"/>
      <c r="D366" s="7585" t="n"/>
      <c r="E366" s="7585" t="n"/>
      <c r="F366" s="7585" t="n"/>
      <c r="G366" s="7585" t="n"/>
      <c r="H366" s="94" t="n"/>
      <c r="I366" s="94" t="n"/>
      <c r="J366" s="94" t="n"/>
      <c r="K366" s="94" t="n"/>
      <c r="L366" s="94" t="n"/>
      <c r="M366" s="94" t="s">
        <v>161</v>
      </c>
      <c r="N366" s="60" t="n"/>
      <c r="P366" s="9437" t="s">
        <v>4200</v>
      </c>
      <c r="Q366" s="9438" t="s"/>
      <c r="R366" s="9439" t="s"/>
      <c r="S366" s="9440" t="s"/>
      <c r="T366" s="9441" t="s"/>
      <c r="U366" s="9442" t="s"/>
      <c r="V366" s="9443" t="s"/>
      <c r="W366" s="9444" t="s"/>
      <c r="X366" s="9445" t="s"/>
      <c r="Y366" s="9446" t="s"/>
      <c r="Z366" s="9447" t="s"/>
      <c r="AA366" s="9448" t="s"/>
      <c r="AB366" s="9449" t="s"/>
      <c r="AC366" s="9450" t="s"/>
      <c r="AD366" s="9451" t="s"/>
      <c r="AE366" s="9452" t="s"/>
      <c r="AF366" s="9453" t="s"/>
      <c r="AG366" s="9454" t="s"/>
      <c r="AH366" s="9455" t="s"/>
      <c r="AI366" s="9456" t="s"/>
      <c r="AJ366" s="9457" t="s"/>
      <c r="AK366" s="9458" t="s"/>
    </row>
    <row hidden="false" ht="15.75" outlineLevel="0" r="367">
      <c r="C367" s="98" t="n"/>
      <c r="D367" s="7606" t="s">
        <v>4201</v>
      </c>
      <c r="E367" s="9459" t="s"/>
      <c r="F367" s="9460" t="s"/>
      <c r="G367" s="9461" t="s"/>
      <c r="H367" s="53" t="s">
        <v>165</v>
      </c>
      <c r="I367" s="53" t="s">
        <v>166</v>
      </c>
      <c r="J367" s="53" t="s">
        <v>167</v>
      </c>
      <c r="K367" s="53" t="s">
        <v>168</v>
      </c>
      <c r="L367" s="53" t="s">
        <v>169</v>
      </c>
      <c r="M367" s="53" t="s">
        <v>221</v>
      </c>
      <c r="N367" s="63" t="n"/>
      <c r="P367" s="103" t="s">
        <v>4202</v>
      </c>
      <c r="Q367" s="9462" t="s"/>
      <c r="R367" s="9463" t="s"/>
      <c r="S367" s="9464" t="s"/>
      <c r="T367" s="103" t="s">
        <v>4203</v>
      </c>
      <c r="U367" s="9465" t="s"/>
      <c r="V367" s="9466" t="s"/>
      <c r="W367" s="9467" t="s"/>
      <c r="X367" s="103" t="s">
        <v>4204</v>
      </c>
      <c r="Y367" s="9468" t="s"/>
      <c r="Z367" s="9469" t="s"/>
      <c r="AA367" s="9470" t="s"/>
      <c r="AB367" s="103" t="s">
        <v>4205</v>
      </c>
      <c r="AC367" s="9471" t="s"/>
      <c r="AD367" s="9472" t="s"/>
      <c r="AE367" s="9473" t="s"/>
      <c r="AF367" s="103" t="s">
        <v>4206</v>
      </c>
      <c r="AG367" s="9474" t="s"/>
      <c r="AH367" s="9475" t="s"/>
      <c r="AI367" s="9476" t="s"/>
      <c r="AJ367" s="103" t="s">
        <v>4207</v>
      </c>
      <c r="AK367" s="9477" t="s"/>
    </row>
    <row hidden="false" ht="15.75" outlineLevel="0" r="368">
      <c r="C368" s="98" t="s">
        <v>176</v>
      </c>
      <c r="D368" s="122" t="s">
        <v>177</v>
      </c>
      <c r="E368" s="123" t="s">
        <v>3892</v>
      </c>
      <c r="F368" s="123" t="s">
        <v>179</v>
      </c>
      <c r="G368" s="124" t="s">
        <v>843</v>
      </c>
      <c r="H368" s="273" t="n">
        <f aca="false" ca="false" dt2D="false" dtr="false" t="normal">MID($A$37, 8, 2)</f>
        <v>0</v>
      </c>
      <c r="I368" s="7626" t="n">
        <f aca="false" ca="false" dt2D="false" dtr="false" t="normal">MID($A$37, 10, 2)</f>
        <v>0</v>
      </c>
      <c r="J368" s="7626" t="n">
        <f aca="false" ca="false" dt2D="false" dtr="false" t="normal">MID($A$37, 12, 2)</f>
        <v>0</v>
      </c>
      <c r="K368" s="7626" t="n">
        <f aca="false" ca="false" dt2D="false" dtr="false" t="normal">MID($A$37, 14, 2)</f>
        <v>0</v>
      </c>
      <c r="L368" s="7627" t="n">
        <f aca="false" ca="false" dt2D="false" dtr="false" t="normal">MID($A$37, 16, 2)</f>
        <v>0</v>
      </c>
      <c r="M368" s="7553" t="str">
        <f aca="false" ca="false" dt2D="false" dtr="false" t="normal">MID($A$37, 18, 2)</f>
        <v>E1</v>
      </c>
      <c r="N368" s="63" t="s">
        <v>180</v>
      </c>
      <c r="P368" s="129" t="s">
        <v>180</v>
      </c>
      <c r="Q368" s="130" t="s">
        <v>181</v>
      </c>
      <c r="R368" s="121" t="s">
        <v>182</v>
      </c>
      <c r="S368" s="131" t="n"/>
      <c r="T368" s="129" t="s">
        <v>180</v>
      </c>
      <c r="U368" s="130" t="s">
        <v>181</v>
      </c>
      <c r="V368" s="121" t="s">
        <v>182</v>
      </c>
      <c r="W368" s="131" t="n"/>
      <c r="X368" s="129" t="s">
        <v>180</v>
      </c>
      <c r="Y368" s="130" t="s">
        <v>181</v>
      </c>
      <c r="Z368" s="121" t="s">
        <v>182</v>
      </c>
      <c r="AA368" s="131" t="n"/>
      <c r="AB368" s="129" t="s">
        <v>180</v>
      </c>
      <c r="AC368" s="130" t="s">
        <v>181</v>
      </c>
      <c r="AD368" s="121" t="s">
        <v>182</v>
      </c>
      <c r="AE368" s="131" t="n"/>
      <c r="AF368" s="129" t="s">
        <v>180</v>
      </c>
      <c r="AG368" s="130" t="s">
        <v>181</v>
      </c>
      <c r="AH368" s="121" t="s">
        <v>182</v>
      </c>
      <c r="AI368" s="121" t="n"/>
      <c r="AJ368" s="116" t="s">
        <v>183</v>
      </c>
      <c r="AK368" s="9478" t="s"/>
    </row>
    <row hidden="false" ht="15" outlineLevel="0" r="369">
      <c r="C369" s="98" t="s">
        <v>185</v>
      </c>
      <c r="D369" s="149" t="n">
        <f aca="false" ca="false" dt2D="false" dtr="false" t="normal">HEX2BIN(D368, 8)</f>
        <v>111</v>
      </c>
      <c r="E369" s="149" t="n">
        <f aca="false" ca="false" dt2D="false" dtr="false" t="normal">HEX2BIN(E368, 8)</f>
        <v>10100101</v>
      </c>
      <c r="F369" s="149" t="n">
        <f aca="false" ca="false" dt2D="false" dtr="false" t="normal">HEX2BIN(F368, 8)</f>
        <v>1</v>
      </c>
      <c r="G369" s="149" t="n">
        <f aca="false" ca="false" dt2D="false" dtr="false" t="normal">HEX2BIN(G368, 8)</f>
        <v>110100</v>
      </c>
      <c r="H369" s="53" t="n">
        <f aca="false" ca="false" dt2D="false" dtr="false" t="normal">HEX2BIN(H368, 8)</f>
        <v>0</v>
      </c>
      <c r="I369" s="53" t="n">
        <f aca="false" ca="false" dt2D="false" dtr="false" t="normal">HEX2BIN(I368, 8)</f>
        <v>0</v>
      </c>
      <c r="J369" s="53" t="n">
        <f aca="false" ca="false" dt2D="false" dtr="false" t="normal">HEX2BIN(J368, 8)</f>
        <v>0</v>
      </c>
      <c r="K369" s="53" t="n">
        <f aca="false" ca="false" dt2D="false" dtr="false" t="normal">HEX2BIN(K368, 8)</f>
        <v>0</v>
      </c>
      <c r="L369" s="53" t="n">
        <f aca="false" ca="false" dt2D="false" dtr="false" t="normal">HEX2BIN(L368, 8)</f>
        <v>0</v>
      </c>
      <c r="M369" s="53" t="n"/>
      <c r="N369" s="63" t="n"/>
      <c r="P369" s="136" t="n">
        <f aca="false" ca="false" dt2D="false" dtr="false" t="normal">MID(H369, 1, 1)</f>
        <v>0</v>
      </c>
      <c r="Q369" s="137" t="n">
        <f aca="false" ca="false" dt2D="false" dtr="false" t="normal">P369</f>
        <v>0</v>
      </c>
      <c r="R369" s="120" t="s">
        <v>186</v>
      </c>
      <c r="S369" s="131" t="s">
        <v>196</v>
      </c>
      <c r="T369" s="136" t="n">
        <f aca="false" ca="false" dt2D="false" dtr="false" t="normal">MID(I369, 1, 1)</f>
        <v>0</v>
      </c>
      <c r="U369" s="137" t="n">
        <f aca="false" ca="false" dt2D="false" dtr="false" t="normal">T369</f>
        <v>0</v>
      </c>
      <c r="V369" s="120" t="s">
        <v>186</v>
      </c>
      <c r="W369" s="131" t="s">
        <v>196</v>
      </c>
      <c r="X369" s="136" t="n">
        <f aca="false" ca="false" dt2D="false" dtr="false" t="normal">MID(J369, 1, 1)</f>
        <v>0</v>
      </c>
      <c r="Y369" s="137" t="n">
        <f aca="false" ca="false" dt2D="false" dtr="false" t="normal">X369</f>
        <v>0</v>
      </c>
      <c r="Z369" s="120" t="s">
        <v>186</v>
      </c>
      <c r="AA369" s="131" t="s">
        <v>196</v>
      </c>
      <c r="AB369" s="136" t="n">
        <f aca="false" ca="false" dt2D="false" dtr="false" t="normal">MID(K369, 1, 1)</f>
        <v>0</v>
      </c>
      <c r="AC369" s="137" t="n">
        <f aca="false" ca="false" dt2D="false" dtr="false" t="normal">AB369</f>
        <v>0</v>
      </c>
      <c r="AD369" s="120" t="s">
        <v>186</v>
      </c>
      <c r="AE369" s="131" t="s">
        <v>196</v>
      </c>
      <c r="AF369" s="136" t="n">
        <f aca="false" ca="false" dt2D="false" dtr="false" t="normal">MID(L369, 1, 1)</f>
        <v>0</v>
      </c>
      <c r="AG369" s="137" t="n">
        <f aca="false" ca="false" dt2D="false" dtr="false" t="normal">AF369</f>
        <v>0</v>
      </c>
      <c r="AH369" s="120" t="s">
        <v>186</v>
      </c>
      <c r="AI369" s="131" t="s">
        <v>196</v>
      </c>
      <c r="AJ369" s="9479" t="s"/>
      <c r="AK369" s="9480" t="s"/>
    </row>
    <row customHeight="true" hidden="false" ht="15" outlineLevel="0" r="370">
      <c r="C370" s="98" t="s">
        <v>191</v>
      </c>
      <c r="D370" s="149" t="n">
        <f aca="false" ca="false" dt2D="false" dtr="false" t="normal">HEX2DEC(D368)</f>
        <v>7</v>
      </c>
      <c r="E370" s="149" t="n">
        <f aca="false" ca="false" dt2D="false" dtr="false" t="normal">HEX2DEC(E368)</f>
        <v>165</v>
      </c>
      <c r="F370" s="149" t="n">
        <f aca="false" ca="false" dt2D="false" dtr="false" t="normal">HEX2DEC(F368)</f>
        <v>1</v>
      </c>
      <c r="G370" s="149" t="n">
        <f aca="false" ca="false" dt2D="false" dtr="false" t="normal">HEX2DEC(G368)</f>
        <v>52</v>
      </c>
      <c r="H370" s="53" t="n">
        <f aca="false" ca="false" dt2D="false" dtr="false" t="normal">HEX2DEC(H368)</f>
        <v>0</v>
      </c>
      <c r="I370" s="53" t="n">
        <f aca="false" ca="false" dt2D="false" dtr="false" t="normal">HEX2DEC(I368)</f>
        <v>0</v>
      </c>
      <c r="J370" s="53" t="n">
        <f aca="false" ca="false" dt2D="false" dtr="false" t="normal">HEX2DEC(J368)</f>
        <v>0</v>
      </c>
      <c r="K370" s="53" t="n">
        <f aca="false" ca="false" dt2D="false" dtr="false" t="normal">HEX2DEC(K368)</f>
        <v>0</v>
      </c>
      <c r="L370" s="53" t="n">
        <f aca="false" ca="false" dt2D="false" dtr="false" t="normal">HEX2DEC(L368)</f>
        <v>0</v>
      </c>
      <c r="M370" s="53" t="n">
        <f aca="false" ca="false" dt2D="false" dtr="false" t="normal">SUM(D370:L370)</f>
        <v>225</v>
      </c>
      <c r="N370" s="63" t="n"/>
      <c r="P370" s="136" t="n">
        <f aca="false" ca="false" dt2D="false" dtr="false" t="normal">MID(H369, 2, 1)</f>
        <v>0</v>
      </c>
      <c r="Q370" s="137" t="n">
        <f aca="false" ca="false" dt2D="false" dtr="false" t="normal">P370</f>
        <v>0</v>
      </c>
      <c r="R370" s="120" t="s">
        <v>192</v>
      </c>
      <c r="S370" s="131" t="s">
        <v>196</v>
      </c>
      <c r="T370" s="136" t="n">
        <f aca="false" ca="false" dt2D="false" dtr="false" t="normal">MID(I369, 2, 1)</f>
        <v>0</v>
      </c>
      <c r="U370" s="137" t="n">
        <f aca="false" ca="false" dt2D="false" dtr="false" t="normal">T370</f>
        <v>0</v>
      </c>
      <c r="V370" s="120" t="s">
        <v>192</v>
      </c>
      <c r="W370" s="131" t="s">
        <v>196</v>
      </c>
      <c r="X370" s="136" t="n">
        <f aca="false" ca="false" dt2D="false" dtr="false" t="normal">MID(J369, 2, 1)</f>
        <v>0</v>
      </c>
      <c r="Y370" s="137" t="n">
        <f aca="false" ca="false" dt2D="false" dtr="false" t="normal">X370</f>
        <v>0</v>
      </c>
      <c r="Z370" s="120" t="s">
        <v>192</v>
      </c>
      <c r="AA370" s="131" t="s">
        <v>196</v>
      </c>
      <c r="AB370" s="136" t="n">
        <f aca="false" ca="false" dt2D="false" dtr="false" t="normal">MID(K369, 2, 1)</f>
        <v>0</v>
      </c>
      <c r="AC370" s="137" t="n">
        <f aca="false" ca="false" dt2D="false" dtr="false" t="normal">AB370</f>
        <v>0</v>
      </c>
      <c r="AD370" s="120" t="s">
        <v>192</v>
      </c>
      <c r="AE370" s="131" t="s">
        <v>196</v>
      </c>
      <c r="AF370" s="136" t="n">
        <f aca="false" ca="false" dt2D="false" dtr="false" t="normal">MID(L369, 2, 1)</f>
        <v>0</v>
      </c>
      <c r="AG370" s="137" t="n">
        <f aca="false" ca="false" dt2D="false" dtr="false" t="normal">AF370</f>
        <v>0</v>
      </c>
      <c r="AH370" s="120" t="s">
        <v>192</v>
      </c>
      <c r="AI370" s="131" t="s">
        <v>196</v>
      </c>
      <c r="AJ370" s="9481" t="s"/>
      <c r="AK370" s="9482" t="s"/>
    </row>
    <row hidden="false" ht="15" outlineLevel="0" r="371">
      <c r="C371" s="98" t="s">
        <v>194</v>
      </c>
      <c r="D371" s="149" t="n">
        <f aca="false" ca="false" dt2D="false" dtr="false" t="normal">D368</f>
        <v>7</v>
      </c>
      <c r="E371" s="149" t="str">
        <f aca="false" ca="false" dt2D="false" dtr="false" t="normal">E368</f>
        <v>A5</v>
      </c>
      <c r="F371" s="149" t="str">
        <f aca="false" ca="false" dt2D="false" dtr="false" t="normal">MID($A$37, 4, 2)</f>
        <v>G1</v>
      </c>
      <c r="G371" s="149" t="str">
        <f aca="false" ca="false" dt2D="false" dtr="false" t="normal">MID($A$37, 6, 2)</f>
        <v>I2</v>
      </c>
      <c r="N371" s="63" t="n"/>
      <c r="P371" s="136" t="n">
        <f aca="false" ca="false" dt2D="false" dtr="false" t="normal">MID(H369, 3, 1)</f>
        <v>0</v>
      </c>
      <c r="Q371" s="137" t="n">
        <f aca="false" ca="false" dt2D="false" dtr="false" t="normal">P371</f>
        <v>0</v>
      </c>
      <c r="R371" s="120" t="s">
        <v>195</v>
      </c>
      <c r="S371" s="131" t="s">
        <v>196</v>
      </c>
      <c r="T371" s="136" t="n">
        <f aca="false" ca="false" dt2D="false" dtr="false" t="normal">MID(I369, 3, 1)</f>
        <v>0</v>
      </c>
      <c r="U371" s="137" t="n">
        <f aca="false" ca="false" dt2D="false" dtr="false" t="normal">T371</f>
        <v>0</v>
      </c>
      <c r="V371" s="120" t="s">
        <v>195</v>
      </c>
      <c r="W371" s="131" t="s">
        <v>196</v>
      </c>
      <c r="X371" s="136" t="n">
        <f aca="false" ca="false" dt2D="false" dtr="false" t="normal">MID(J369, 3, 1)</f>
        <v>0</v>
      </c>
      <c r="Y371" s="137" t="n">
        <f aca="false" ca="false" dt2D="false" dtr="false" t="normal">X371</f>
        <v>0</v>
      </c>
      <c r="Z371" s="120" t="s">
        <v>195</v>
      </c>
      <c r="AA371" s="131" t="s">
        <v>196</v>
      </c>
      <c r="AB371" s="136" t="n">
        <f aca="false" ca="false" dt2D="false" dtr="false" t="normal">MID(K369, 3, 1)</f>
        <v>0</v>
      </c>
      <c r="AC371" s="137" t="n">
        <f aca="false" ca="false" dt2D="false" dtr="false" t="normal">AB371</f>
        <v>0</v>
      </c>
      <c r="AD371" s="120" t="s">
        <v>195</v>
      </c>
      <c r="AE371" s="131" t="s">
        <v>196</v>
      </c>
      <c r="AF371" s="136" t="n">
        <f aca="false" ca="false" dt2D="false" dtr="false" t="normal">MID(L369, 3, 1)</f>
        <v>0</v>
      </c>
      <c r="AG371" s="137" t="n">
        <f aca="false" ca="false" dt2D="false" dtr="false" t="normal">AF371</f>
        <v>0</v>
      </c>
      <c r="AH371" s="120" t="s">
        <v>195</v>
      </c>
      <c r="AI371" s="131" t="s">
        <v>196</v>
      </c>
      <c r="AJ371" s="9483" t="s"/>
      <c r="AK371" s="9484" t="s"/>
    </row>
    <row hidden="false" ht="15.75" outlineLevel="0" r="372">
      <c r="C372" s="98" t="n"/>
      <c r="N372" s="63" t="n"/>
      <c r="P372" s="136" t="n">
        <f aca="false" ca="false" dt2D="false" dtr="false" t="normal">MID(H369, 4, 1)</f>
        <v>0</v>
      </c>
      <c r="Q372" s="137" t="n">
        <f aca="false" ca="false" dt2D="false" dtr="false" t="normal">P372</f>
        <v>0</v>
      </c>
      <c r="R372" s="120" t="s">
        <v>197</v>
      </c>
      <c r="S372" s="131" t="s">
        <v>196</v>
      </c>
      <c r="T372" s="136" t="n">
        <f aca="false" ca="false" dt2D="false" dtr="false" t="normal">MID(I369, 4, 1)</f>
        <v>0</v>
      </c>
      <c r="U372" s="137" t="n">
        <f aca="false" ca="false" dt2D="false" dtr="false" t="normal">T372</f>
        <v>0</v>
      </c>
      <c r="V372" s="120" t="s">
        <v>197</v>
      </c>
      <c r="W372" s="131" t="s">
        <v>196</v>
      </c>
      <c r="X372" s="136" t="n">
        <f aca="false" ca="false" dt2D="false" dtr="false" t="normal">MID(J369, 4, 1)</f>
        <v>0</v>
      </c>
      <c r="Y372" s="137" t="n">
        <f aca="false" ca="false" dt2D="false" dtr="false" t="normal">X372</f>
        <v>0</v>
      </c>
      <c r="Z372" s="120" t="s">
        <v>197</v>
      </c>
      <c r="AA372" s="131" t="s">
        <v>196</v>
      </c>
      <c r="AB372" s="136" t="n">
        <f aca="false" ca="false" dt2D="false" dtr="false" t="normal">MID(K369, 4, 1)</f>
        <v>0</v>
      </c>
      <c r="AC372" s="137" t="n">
        <f aca="false" ca="false" dt2D="false" dtr="false" t="normal">AB372</f>
        <v>0</v>
      </c>
      <c r="AD372" s="120" t="s">
        <v>197</v>
      </c>
      <c r="AE372" s="131" t="s">
        <v>196</v>
      </c>
      <c r="AF372" s="136" t="n">
        <f aca="false" ca="false" dt2D="false" dtr="false" t="normal">MID(L369, 4, 1)</f>
        <v>0</v>
      </c>
      <c r="AG372" s="137" t="n">
        <f aca="false" ca="false" dt2D="false" dtr="false" t="normal">AF372</f>
        <v>0</v>
      </c>
      <c r="AH372" s="120" t="s">
        <v>197</v>
      </c>
      <c r="AI372" s="131" t="s">
        <v>196</v>
      </c>
      <c r="AJ372" s="9485" t="s"/>
      <c r="AK372" s="9486" t="s"/>
    </row>
    <row hidden="false" ht="15.75" outlineLevel="0" r="373">
      <c r="C373" s="98" t="s">
        <v>176</v>
      </c>
      <c r="D373" s="122" t="n">
        <f aca="false" ca="false" dt2D="false" dtr="false" t="normal">D368</f>
        <v>7</v>
      </c>
      <c r="E373" s="123" t="str">
        <f aca="false" ca="false" dt2D="false" dtr="false" t="normal">E368</f>
        <v>A5</v>
      </c>
      <c r="F373" s="123" t="n">
        <f aca="false" ca="false" dt2D="false" dtr="false" t="normal">F368</f>
        <v>1</v>
      </c>
      <c r="G373" s="124" t="n">
        <f aca="false" ca="false" dt2D="false" dtr="false" t="normal">G368</f>
        <v>34</v>
      </c>
      <c r="H373" s="162" t="n">
        <f aca="false" ca="false" dt2D="false" dtr="false" t="normal">BIN2HEX(H374, 2)</f>
        <v>0</v>
      </c>
      <c r="I373" s="163" t="n">
        <f aca="false" ca="false" dt2D="false" dtr="false" t="normal">BIN2HEX(I374, 2)</f>
        <v>0</v>
      </c>
      <c r="J373" s="164" t="n">
        <f aca="false" ca="false" dt2D="false" dtr="false" t="normal">BIN2HEX(J374, 2)</f>
        <v>0</v>
      </c>
      <c r="K373" s="165" t="n">
        <f aca="false" ca="false" dt2D="false" dtr="false" t="normal">BIN2HEX(K374, 2)</f>
        <v>0</v>
      </c>
      <c r="L373" s="288" t="n">
        <f aca="false" ca="false" dt2D="false" dtr="false" t="normal">BIN2HEX(L374, 2)</f>
        <v>0</v>
      </c>
      <c r="M373" s="166" t="str">
        <f aca="false" ca="false" dt2D="false" dtr="false" t="normal">IF(LEN(M374)&gt;2, MID(M374, 2, 2), M374)</f>
        <v>E1</v>
      </c>
      <c r="N373" s="63" t="s">
        <v>181</v>
      </c>
      <c r="P373" s="136" t="n">
        <f aca="false" ca="false" dt2D="false" dtr="false" t="normal">MID(H369, 5, 1)</f>
        <v>0</v>
      </c>
      <c r="Q373" s="137" t="n">
        <f aca="false" ca="false" dt2D="false" dtr="false" t="normal">P373</f>
        <v>0</v>
      </c>
      <c r="R373" s="120" t="s">
        <v>200</v>
      </c>
      <c r="S373" s="131" t="s">
        <v>196</v>
      </c>
      <c r="T373" s="136" t="n">
        <f aca="false" ca="false" dt2D="false" dtr="false" t="normal">MID(I369, 5, 1)</f>
        <v>0</v>
      </c>
      <c r="U373" s="137" t="n">
        <f aca="false" ca="false" dt2D="false" dtr="false" t="normal">T373</f>
        <v>0</v>
      </c>
      <c r="V373" s="120" t="s">
        <v>200</v>
      </c>
      <c r="W373" s="131" t="s">
        <v>196</v>
      </c>
      <c r="X373" s="136" t="n">
        <f aca="false" ca="false" dt2D="false" dtr="false" t="normal">MID(J369, 5, 1)</f>
        <v>0</v>
      </c>
      <c r="Y373" s="137" t="n">
        <f aca="false" ca="false" dt2D="false" dtr="false" t="normal">X373</f>
        <v>0</v>
      </c>
      <c r="Z373" s="120" t="s">
        <v>200</v>
      </c>
      <c r="AA373" s="131" t="s">
        <v>196</v>
      </c>
      <c r="AB373" s="136" t="n">
        <f aca="false" ca="false" dt2D="false" dtr="false" t="normal">MID(K369, 5, 1)</f>
        <v>0</v>
      </c>
      <c r="AC373" s="137" t="n">
        <f aca="false" ca="false" dt2D="false" dtr="false" t="normal">AB373</f>
        <v>0</v>
      </c>
      <c r="AD373" s="120" t="s">
        <v>200</v>
      </c>
      <c r="AE373" s="131" t="s">
        <v>196</v>
      </c>
      <c r="AF373" s="136" t="n">
        <f aca="false" ca="false" dt2D="false" dtr="false" t="normal">MID(L369, 5, 1)</f>
        <v>0</v>
      </c>
      <c r="AG373" s="137" t="n">
        <f aca="false" ca="false" dt2D="false" dtr="false" t="normal">AF373</f>
        <v>0</v>
      </c>
      <c r="AH373" s="120" t="s">
        <v>200</v>
      </c>
      <c r="AI373" s="131" t="s">
        <v>196</v>
      </c>
      <c r="AJ373" s="9487" t="s"/>
      <c r="AK373" s="9488" t="s"/>
    </row>
    <row hidden="false" ht="15" outlineLevel="0" r="374">
      <c r="C374" s="98" t="s">
        <v>185</v>
      </c>
      <c r="D374" s="149" t="n">
        <f aca="false" ca="false" dt2D="false" dtr="false" t="normal">HEX2BIN(D373, 8)</f>
        <v>111</v>
      </c>
      <c r="E374" s="149" t="n">
        <f aca="false" ca="false" dt2D="false" dtr="false" t="normal">HEX2BIN(E373, 8)</f>
        <v>10100101</v>
      </c>
      <c r="F374" s="149" t="n">
        <f aca="false" ca="false" dt2D="false" dtr="false" t="normal">HEX2BIN(F373, 8)</f>
        <v>1</v>
      </c>
      <c r="G374" s="149" t="n">
        <f aca="false" ca="false" dt2D="false" dtr="false" t="normal">HEX2BIN(G373, 8)</f>
        <v>110100</v>
      </c>
      <c r="H374" s="53" t="n">
        <f aca="false" ca="false" dt2D="false" dtr="false" t="normal">Q369&amp;Q370&amp;Q371&amp;Q372&amp;Q373&amp;Q374&amp;Q375&amp;Q376</f>
        <v>0</v>
      </c>
      <c r="I374" s="53" t="n">
        <f aca="false" ca="false" dt2D="false" dtr="false" t="normal">U369&amp;U370&amp;U371&amp;U372&amp;U373&amp;U374&amp;U375&amp;U376</f>
        <v>0</v>
      </c>
      <c r="J374" s="53" t="n">
        <f aca="false" ca="false" dt2D="false" dtr="false" t="normal">Y369&amp;Y370&amp;Y371&amp;Y372&amp;Y373&amp;Y374&amp;Y375&amp;Y376</f>
        <v>0</v>
      </c>
      <c r="K374" s="53" t="n">
        <f aca="false" ca="false" dt2D="false" dtr="false" t="normal">AC369&amp;AC370&amp;AC371&amp;AC372&amp;AC373&amp;AC374&amp;AC375&amp;AC376</f>
        <v>0</v>
      </c>
      <c r="L374" s="53" t="n">
        <f aca="false" ca="false" dt2D="false" dtr="false" t="normal">AG369&amp;AG370&amp;AG371&amp;AG372&amp;AG373&amp;AG374&amp;AG375&amp;AG376</f>
        <v>0</v>
      </c>
      <c r="M374" s="53" t="str">
        <f aca="false" ca="false" dt2D="false" dtr="false" t="normal">DEC2HEX(M375)</f>
        <v>E1</v>
      </c>
      <c r="N374" s="63" t="n"/>
      <c r="P374" s="136" t="n">
        <f aca="false" ca="false" dt2D="false" dtr="false" t="normal">MID(H369, 6, 1)</f>
        <v>0</v>
      </c>
      <c r="Q374" s="137" t="n">
        <f aca="false" ca="false" dt2D="false" dtr="false" t="normal">P374</f>
        <v>0</v>
      </c>
      <c r="R374" s="120" t="s">
        <v>203</v>
      </c>
      <c r="S374" s="131" t="s">
        <v>196</v>
      </c>
      <c r="T374" s="136" t="n">
        <f aca="false" ca="false" dt2D="false" dtr="false" t="normal">MID(I369, 6, 1)</f>
        <v>0</v>
      </c>
      <c r="U374" s="137" t="n">
        <f aca="false" ca="false" dt2D="false" dtr="false" t="normal">T374</f>
        <v>0</v>
      </c>
      <c r="V374" s="120" t="s">
        <v>203</v>
      </c>
      <c r="W374" s="131" t="s">
        <v>196</v>
      </c>
      <c r="X374" s="136" t="n">
        <f aca="false" ca="false" dt2D="false" dtr="false" t="normal">MID(J369, 6, 1)</f>
        <v>0</v>
      </c>
      <c r="Y374" s="137" t="n">
        <f aca="false" ca="false" dt2D="false" dtr="false" t="normal">X374</f>
        <v>0</v>
      </c>
      <c r="Z374" s="120" t="s">
        <v>203</v>
      </c>
      <c r="AA374" s="131" t="s">
        <v>196</v>
      </c>
      <c r="AB374" s="136" t="n">
        <f aca="false" ca="false" dt2D="false" dtr="false" t="normal">MID(K369, 6, 1)</f>
        <v>0</v>
      </c>
      <c r="AC374" s="137" t="n">
        <f aca="false" ca="false" dt2D="false" dtr="false" t="normal">AB374</f>
        <v>0</v>
      </c>
      <c r="AD374" s="120" t="s">
        <v>203</v>
      </c>
      <c r="AE374" s="131" t="s">
        <v>196</v>
      </c>
      <c r="AF374" s="136" t="n">
        <f aca="false" ca="false" dt2D="false" dtr="false" t="normal">MID(L369, 6, 1)</f>
        <v>0</v>
      </c>
      <c r="AG374" s="137" t="n">
        <f aca="false" ca="false" dt2D="false" dtr="false" t="normal">AF374</f>
        <v>0</v>
      </c>
      <c r="AH374" s="120" t="s">
        <v>203</v>
      </c>
      <c r="AI374" s="131" t="s">
        <v>196</v>
      </c>
      <c r="AJ374" s="9489" t="s"/>
      <c r="AK374" s="9490" t="s"/>
    </row>
    <row hidden="false" ht="15" outlineLevel="0" r="375">
      <c r="C375" s="98" t="s">
        <v>191</v>
      </c>
      <c r="D375" s="149" t="n">
        <f aca="false" ca="false" dt2D="false" dtr="false" t="normal">HEX2DEC(D373)</f>
        <v>7</v>
      </c>
      <c r="E375" s="149" t="n">
        <f aca="false" ca="false" dt2D="false" dtr="false" t="normal">HEX2DEC(E373)</f>
        <v>165</v>
      </c>
      <c r="F375" s="149" t="n">
        <f aca="false" ca="false" dt2D="false" dtr="false" t="normal">HEX2DEC(F373)</f>
        <v>1</v>
      </c>
      <c r="G375" s="149" t="n">
        <f aca="false" ca="false" dt2D="false" dtr="false" t="normal">HEX2DEC(G373)</f>
        <v>52</v>
      </c>
      <c r="H375" s="53" t="n">
        <f aca="false" ca="false" dt2D="false" dtr="false" t="normal">HEX2DEC(H373)</f>
        <v>0</v>
      </c>
      <c r="I375" s="53" t="n">
        <f aca="false" ca="false" dt2D="false" dtr="false" t="normal">HEX2DEC(I373)</f>
        <v>0</v>
      </c>
      <c r="J375" s="53" t="n">
        <f aca="false" ca="false" dt2D="false" dtr="false" t="normal">HEX2DEC(J373)</f>
        <v>0</v>
      </c>
      <c r="K375" s="53" t="n">
        <f aca="false" ca="false" dt2D="false" dtr="false" t="normal">HEX2DEC(K373)</f>
        <v>0</v>
      </c>
      <c r="L375" s="53" t="n">
        <f aca="false" ca="false" dt2D="false" dtr="false" t="normal">HEX2DEC(L373)</f>
        <v>0</v>
      </c>
      <c r="M375" s="53" t="n">
        <f aca="false" ca="false" dt2D="false" dtr="false" t="normal">SUM(D375:L375)</f>
        <v>225</v>
      </c>
      <c r="N375" s="63" t="n"/>
      <c r="P375" s="136" t="n">
        <f aca="false" ca="false" dt2D="false" dtr="false" t="normal">MID(H369, 7, 1)</f>
        <v>0</v>
      </c>
      <c r="Q375" s="137" t="n">
        <f aca="false" ca="false" dt2D="false" dtr="false" t="normal">P375</f>
        <v>0</v>
      </c>
      <c r="R375" s="120" t="s">
        <v>206</v>
      </c>
      <c r="S375" s="131" t="s">
        <v>196</v>
      </c>
      <c r="T375" s="136" t="n">
        <f aca="false" ca="false" dt2D="false" dtr="false" t="normal">MID(I369, 7, 1)</f>
        <v>0</v>
      </c>
      <c r="U375" s="137" t="n">
        <f aca="false" ca="false" dt2D="false" dtr="false" t="normal">T375</f>
        <v>0</v>
      </c>
      <c r="V375" s="120" t="s">
        <v>206</v>
      </c>
      <c r="W375" s="131" t="s">
        <v>196</v>
      </c>
      <c r="X375" s="136" t="n">
        <f aca="false" ca="false" dt2D="false" dtr="false" t="normal">MID(J369, 7, 1)</f>
        <v>0</v>
      </c>
      <c r="Y375" s="137" t="n">
        <f aca="false" ca="false" dt2D="false" dtr="false" t="normal">X375</f>
        <v>0</v>
      </c>
      <c r="Z375" s="120" t="s">
        <v>206</v>
      </c>
      <c r="AA375" s="131" t="s">
        <v>196</v>
      </c>
      <c r="AB375" s="136" t="n">
        <f aca="false" ca="false" dt2D="false" dtr="false" t="normal">MID(K369, 7, 1)</f>
        <v>0</v>
      </c>
      <c r="AC375" s="137" t="n">
        <f aca="false" ca="false" dt2D="false" dtr="false" t="normal">AB375</f>
        <v>0</v>
      </c>
      <c r="AD375" s="120" t="s">
        <v>206</v>
      </c>
      <c r="AE375" s="131" t="s">
        <v>196</v>
      </c>
      <c r="AF375" s="136" t="n">
        <f aca="false" ca="false" dt2D="false" dtr="false" t="normal">MID(L369, 7, 1)</f>
        <v>0</v>
      </c>
      <c r="AG375" s="137" t="n">
        <f aca="false" ca="false" dt2D="false" dtr="false" t="normal">AF375</f>
        <v>0</v>
      </c>
      <c r="AH375" s="120" t="s">
        <v>206</v>
      </c>
      <c r="AI375" s="131" t="s">
        <v>196</v>
      </c>
      <c r="AJ375" s="9491" t="s"/>
      <c r="AK375" s="9492" t="s"/>
    </row>
    <row hidden="false" ht="15.75" outlineLevel="0" r="376">
      <c r="C376" s="180" t="s">
        <v>194</v>
      </c>
      <c r="D376" s="181" t="n">
        <f aca="false" ca="false" dt2D="false" dtr="false" t="normal">D371</f>
        <v>7</v>
      </c>
      <c r="E376" s="181" t="str">
        <f aca="false" ca="false" dt2D="false" dtr="false" t="normal">E371</f>
        <v>A5</v>
      </c>
      <c r="F376" s="181" t="str">
        <f aca="false" ca="false" dt2D="false" dtr="false" t="normal">F371</f>
        <v>G1</v>
      </c>
      <c r="G376" s="181" t="str">
        <f aca="false" ca="false" dt2D="false" dtr="false" t="normal">G371</f>
        <v>I2</v>
      </c>
      <c r="H376" s="45" t="n"/>
      <c r="I376" s="45" t="n"/>
      <c r="J376" s="45" t="n"/>
      <c r="K376" s="45" t="n"/>
      <c r="L376" s="45" t="n"/>
      <c r="M376" s="45" t="n"/>
      <c r="N376" s="49" t="n"/>
      <c r="P376" s="182" t="n">
        <f aca="false" ca="false" dt2D="false" dtr="false" t="normal">MID(H369, 8, 1)</f>
        <v>0</v>
      </c>
      <c r="Q376" s="183" t="n">
        <f aca="false" ca="false" dt2D="false" dtr="false" t="normal">P376</f>
        <v>0</v>
      </c>
      <c r="R376" s="184" t="s">
        <v>208</v>
      </c>
      <c r="S376" s="185" t="s">
        <v>196</v>
      </c>
      <c r="T376" s="182" t="n">
        <f aca="false" ca="false" dt2D="false" dtr="false" t="normal">MID(I369, 8, 1)</f>
        <v>0</v>
      </c>
      <c r="U376" s="183" t="n">
        <f aca="false" ca="false" dt2D="false" dtr="false" t="normal">T376</f>
        <v>0</v>
      </c>
      <c r="V376" s="184" t="s">
        <v>208</v>
      </c>
      <c r="W376" s="185" t="s">
        <v>196</v>
      </c>
      <c r="X376" s="182" t="n">
        <f aca="false" ca="false" dt2D="false" dtr="false" t="normal">MID(J369, 8, 1)</f>
        <v>0</v>
      </c>
      <c r="Y376" s="183" t="n">
        <f aca="false" ca="false" dt2D="false" dtr="false" t="normal">X376</f>
        <v>0</v>
      </c>
      <c r="Z376" s="184" t="s">
        <v>208</v>
      </c>
      <c r="AA376" s="185" t="s">
        <v>196</v>
      </c>
      <c r="AB376" s="182" t="n">
        <f aca="false" ca="false" dt2D="false" dtr="false" t="normal">MID(K369, 8, 1)</f>
        <v>0</v>
      </c>
      <c r="AC376" s="183" t="n">
        <f aca="false" ca="false" dt2D="false" dtr="false" t="normal">AB376</f>
        <v>0</v>
      </c>
      <c r="AD376" s="184" t="s">
        <v>208</v>
      </c>
      <c r="AE376" s="185" t="s">
        <v>196</v>
      </c>
      <c r="AF376" s="182" t="n">
        <f aca="false" ca="false" dt2D="false" dtr="false" t="normal">MID(L369, 8, 1)</f>
        <v>0</v>
      </c>
      <c r="AG376" s="183" t="n">
        <f aca="false" ca="false" dt2D="false" dtr="false" t="normal">AF376</f>
        <v>0</v>
      </c>
      <c r="AH376" s="184" t="s">
        <v>208</v>
      </c>
      <c r="AI376" s="185" t="s">
        <v>196</v>
      </c>
      <c r="AJ376" s="9493" t="s"/>
      <c r="AK376" s="9494" t="s"/>
    </row>
    <row hidden="false" ht="15.75" outlineLevel="0" r="377">
      <c r="C377" s="93" t="n"/>
      <c r="D377" s="7585" t="n"/>
      <c r="E377" s="7585" t="n"/>
      <c r="F377" s="7585" t="n"/>
      <c r="G377" s="7585" t="n"/>
      <c r="H377" s="94" t="n"/>
      <c r="I377" s="94" t="n"/>
      <c r="J377" s="94" t="n"/>
      <c r="K377" s="94" t="n"/>
      <c r="L377" s="94" t="n"/>
      <c r="M377" s="94" t="s">
        <v>161</v>
      </c>
      <c r="N377" s="60" t="n"/>
      <c r="P377" s="95" t="str">
        <f aca="false" ca="false" dt2D="false" dtr="false" t="normal">RIGHT(D379, 1)&amp;E379&amp;"-"&amp;F379&amp;"-"&amp;G379</f>
        <v>7A5-01-35</v>
      </c>
      <c r="Q377" s="9495" t="s"/>
      <c r="R377" s="234" t="s">
        <v>4208</v>
      </c>
      <c r="S377" s="9496" t="s"/>
      <c r="T377" s="9497" t="s"/>
      <c r="U377" s="9498" t="s"/>
      <c r="V377" s="9499" t="s"/>
      <c r="W377" s="9500" t="s"/>
      <c r="X377" s="9501" t="s"/>
      <c r="Y377" s="9502" t="s"/>
      <c r="Z377" s="9503" t="s"/>
      <c r="AA377" s="9504" t="s"/>
      <c r="AB377" s="9505" t="s"/>
      <c r="AC377" s="9506" t="s"/>
      <c r="AD377" s="9507" t="s"/>
      <c r="AE377" s="9508" t="s"/>
      <c r="AF377" s="9509" t="s"/>
      <c r="AG377" s="9510" t="s"/>
      <c r="AH377" s="9511" t="s"/>
      <c r="AI377" s="9512" t="s"/>
      <c r="AJ377" s="9513" t="s"/>
      <c r="AK377" s="9514" t="s"/>
    </row>
    <row hidden="false" ht="15.75" outlineLevel="0" r="378">
      <c r="C378" s="98" t="n"/>
      <c r="D378" s="7606" t="s">
        <v>4209</v>
      </c>
      <c r="E378" s="9515" t="s"/>
      <c r="F378" s="9516" t="s"/>
      <c r="G378" s="9517" t="s"/>
      <c r="H378" s="53" t="s">
        <v>165</v>
      </c>
      <c r="I378" s="53" t="s">
        <v>166</v>
      </c>
      <c r="J378" s="53" t="s">
        <v>167</v>
      </c>
      <c r="K378" s="53" t="s">
        <v>168</v>
      </c>
      <c r="L378" s="53" t="s">
        <v>169</v>
      </c>
      <c r="M378" s="53" t="s">
        <v>221</v>
      </c>
      <c r="N378" s="63" t="n"/>
      <c r="P378" s="103" t="s">
        <v>4210</v>
      </c>
      <c r="Q378" s="9518" t="s"/>
      <c r="R378" s="9519" t="s"/>
      <c r="S378" s="9520" t="s"/>
      <c r="T378" s="103" t="s">
        <v>4211</v>
      </c>
      <c r="U378" s="9521" t="s"/>
      <c r="V378" s="9522" t="s"/>
      <c r="W378" s="9523" t="s"/>
      <c r="X378" s="103" t="s">
        <v>4212</v>
      </c>
      <c r="Y378" s="9524" t="s"/>
      <c r="Z378" s="9525" t="s"/>
      <c r="AA378" s="9526" t="s"/>
      <c r="AB378" s="103" t="s">
        <v>4213</v>
      </c>
      <c r="AC378" s="9527" t="s"/>
      <c r="AD378" s="9528" t="s"/>
      <c r="AE378" s="9529" t="s"/>
      <c r="AF378" s="103" t="s">
        <v>4214</v>
      </c>
      <c r="AG378" s="9530" t="s"/>
      <c r="AH378" s="9531" t="s"/>
      <c r="AI378" s="9532" t="s"/>
      <c r="AJ378" s="103" t="s">
        <v>4215</v>
      </c>
      <c r="AK378" s="9533" t="s"/>
    </row>
    <row hidden="false" ht="15.75" outlineLevel="0" r="379">
      <c r="C379" s="98" t="s">
        <v>176</v>
      </c>
      <c r="D379" s="122" t="s">
        <v>177</v>
      </c>
      <c r="E379" s="123" t="s">
        <v>3892</v>
      </c>
      <c r="F379" s="123" t="s">
        <v>179</v>
      </c>
      <c r="G379" s="124" t="s">
        <v>846</v>
      </c>
      <c r="H379" s="273" t="n">
        <f aca="false" ca="false" dt2D="false" dtr="false" t="normal">MID($A$38, 8, 2)</f>
        <v>0</v>
      </c>
      <c r="I379" s="7626" t="n">
        <f aca="false" ca="false" dt2D="false" dtr="false" t="normal">MID($A$38, 10, 2)</f>
        <v>0</v>
      </c>
      <c r="J379" s="7626" t="n">
        <f aca="false" ca="false" dt2D="false" dtr="false" t="normal">MID($A$38, 12, 2)</f>
        <v>0</v>
      </c>
      <c r="K379" s="7626" t="n">
        <f aca="false" ca="false" dt2D="false" dtr="false" t="normal">MID($A$38, 14, 2)</f>
        <v>0</v>
      </c>
      <c r="L379" s="7627" t="n">
        <f aca="false" ca="false" dt2D="false" dtr="false" t="normal">MID($A$38, 16, 2)</f>
        <v>0</v>
      </c>
      <c r="M379" s="7553" t="str">
        <f aca="false" ca="false" dt2D="false" dtr="false" t="normal">MID($A$38, 18, 2)</f>
        <v>E2</v>
      </c>
      <c r="N379" s="63" t="s">
        <v>180</v>
      </c>
      <c r="P379" s="129" t="s">
        <v>180</v>
      </c>
      <c r="Q379" s="130" t="s">
        <v>181</v>
      </c>
      <c r="R379" s="121" t="s">
        <v>182</v>
      </c>
      <c r="S379" s="131" t="n"/>
      <c r="T379" s="129" t="s">
        <v>180</v>
      </c>
      <c r="U379" s="130" t="s">
        <v>181</v>
      </c>
      <c r="V379" s="121" t="s">
        <v>182</v>
      </c>
      <c r="W379" s="131" t="n"/>
      <c r="X379" s="129" t="s">
        <v>180</v>
      </c>
      <c r="Y379" s="130" t="s">
        <v>181</v>
      </c>
      <c r="Z379" s="121" t="s">
        <v>182</v>
      </c>
      <c r="AA379" s="131" t="n"/>
      <c r="AB379" s="129" t="s">
        <v>180</v>
      </c>
      <c r="AC379" s="130" t="s">
        <v>181</v>
      </c>
      <c r="AD379" s="121" t="s">
        <v>182</v>
      </c>
      <c r="AE379" s="131" t="n"/>
      <c r="AF379" s="129" t="s">
        <v>180</v>
      </c>
      <c r="AG379" s="130" t="s">
        <v>181</v>
      </c>
      <c r="AH379" s="121" t="s">
        <v>182</v>
      </c>
      <c r="AI379" s="121" t="n"/>
      <c r="AJ379" s="116" t="s">
        <v>183</v>
      </c>
      <c r="AK379" s="9534" t="s"/>
    </row>
    <row hidden="false" ht="15" outlineLevel="0" r="380">
      <c r="C380" s="98" t="s">
        <v>185</v>
      </c>
      <c r="D380" s="149" t="n">
        <f aca="false" ca="false" dt2D="false" dtr="false" t="normal">HEX2BIN(D379, 8)</f>
        <v>111</v>
      </c>
      <c r="E380" s="149" t="n">
        <f aca="false" ca="false" dt2D="false" dtr="false" t="normal">HEX2BIN(E379, 8)</f>
        <v>10100101</v>
      </c>
      <c r="F380" s="149" t="n">
        <f aca="false" ca="false" dt2D="false" dtr="false" t="normal">HEX2BIN(F379, 8)</f>
        <v>1</v>
      </c>
      <c r="G380" s="149" t="n">
        <f aca="false" ca="false" dt2D="false" dtr="false" t="normal">HEX2BIN(G379, 8)</f>
        <v>110101</v>
      </c>
      <c r="H380" s="53" t="n">
        <f aca="false" ca="false" dt2D="false" dtr="false" t="normal">HEX2BIN(H379, 8)</f>
        <v>0</v>
      </c>
      <c r="I380" s="53" t="n">
        <f aca="false" ca="false" dt2D="false" dtr="false" t="normal">HEX2BIN(I379, 8)</f>
        <v>0</v>
      </c>
      <c r="J380" s="53" t="n">
        <f aca="false" ca="false" dt2D="false" dtr="false" t="normal">HEX2BIN(J379, 8)</f>
        <v>0</v>
      </c>
      <c r="K380" s="53" t="n">
        <f aca="false" ca="false" dt2D="false" dtr="false" t="normal">HEX2BIN(K379, 8)</f>
        <v>0</v>
      </c>
      <c r="L380" s="53" t="n">
        <f aca="false" ca="false" dt2D="false" dtr="false" t="normal">HEX2BIN(L379, 8)</f>
        <v>0</v>
      </c>
      <c r="M380" s="53" t="n"/>
      <c r="N380" s="63" t="n"/>
      <c r="P380" s="136" t="n">
        <f aca="false" ca="false" dt2D="false" dtr="false" t="normal">MID(H380, 1, 1)</f>
        <v>0</v>
      </c>
      <c r="Q380" s="137" t="n">
        <f aca="false" ca="false" dt2D="false" dtr="false" t="normal">P380</f>
        <v>0</v>
      </c>
      <c r="R380" s="120" t="s">
        <v>186</v>
      </c>
      <c r="S380" s="131" t="s">
        <v>196</v>
      </c>
      <c r="T380" s="136" t="n">
        <f aca="false" ca="false" dt2D="false" dtr="false" t="normal">MID(I380, 1, 1)</f>
        <v>0</v>
      </c>
      <c r="U380" s="137" t="n">
        <f aca="false" ca="false" dt2D="false" dtr="false" t="normal">T380</f>
        <v>0</v>
      </c>
      <c r="V380" s="120" t="s">
        <v>186</v>
      </c>
      <c r="W380" s="131" t="s">
        <v>196</v>
      </c>
      <c r="X380" s="136" t="n">
        <f aca="false" ca="false" dt2D="false" dtr="false" t="normal">MID(J380, 1, 1)</f>
        <v>0</v>
      </c>
      <c r="Y380" s="137" t="n">
        <f aca="false" ca="false" dt2D="false" dtr="false" t="normal">X380</f>
        <v>0</v>
      </c>
      <c r="Z380" s="120" t="s">
        <v>186</v>
      </c>
      <c r="AA380" s="131" t="s">
        <v>196</v>
      </c>
      <c r="AB380" s="136" t="n">
        <f aca="false" ca="false" dt2D="false" dtr="false" t="normal">MID(K380, 1, 1)</f>
        <v>0</v>
      </c>
      <c r="AC380" s="137" t="n">
        <f aca="false" ca="false" dt2D="false" dtr="false" t="normal">AB380</f>
        <v>0</v>
      </c>
      <c r="AD380" s="120" t="s">
        <v>186</v>
      </c>
      <c r="AE380" s="131" t="s">
        <v>196</v>
      </c>
      <c r="AF380" s="136" t="n">
        <f aca="false" ca="false" dt2D="false" dtr="false" t="normal">MID(L380, 1, 1)</f>
        <v>0</v>
      </c>
      <c r="AG380" s="137" t="n">
        <f aca="false" ca="false" dt2D="false" dtr="false" t="normal">AF380</f>
        <v>0</v>
      </c>
      <c r="AH380" s="120" t="s">
        <v>186</v>
      </c>
      <c r="AI380" s="131" t="s">
        <v>196</v>
      </c>
      <c r="AJ380" s="9535" t="s"/>
      <c r="AK380" s="9536" t="s"/>
    </row>
    <row hidden="false" ht="15" outlineLevel="0" r="381">
      <c r="C381" s="98" t="s">
        <v>191</v>
      </c>
      <c r="D381" s="149" t="n">
        <f aca="false" ca="false" dt2D="false" dtr="false" t="normal">HEX2DEC(D379)</f>
        <v>7</v>
      </c>
      <c r="E381" s="149" t="n">
        <f aca="false" ca="false" dt2D="false" dtr="false" t="normal">HEX2DEC(E379)</f>
        <v>165</v>
      </c>
      <c r="F381" s="149" t="n">
        <f aca="false" ca="false" dt2D="false" dtr="false" t="normal">HEX2DEC(F379)</f>
        <v>1</v>
      </c>
      <c r="G381" s="149" t="n">
        <f aca="false" ca="false" dt2D="false" dtr="false" t="normal">HEX2DEC(G379)</f>
        <v>53</v>
      </c>
      <c r="H381" s="53" t="n">
        <f aca="false" ca="false" dt2D="false" dtr="false" t="normal">HEX2DEC(H379)</f>
        <v>0</v>
      </c>
      <c r="I381" s="53" t="n">
        <f aca="false" ca="false" dt2D="false" dtr="false" t="normal">HEX2DEC(I379)</f>
        <v>0</v>
      </c>
      <c r="J381" s="53" t="n">
        <f aca="false" ca="false" dt2D="false" dtr="false" t="normal">HEX2DEC(J379)</f>
        <v>0</v>
      </c>
      <c r="K381" s="53" t="n">
        <f aca="false" ca="false" dt2D="false" dtr="false" t="normal">HEX2DEC(K379)</f>
        <v>0</v>
      </c>
      <c r="L381" s="53" t="n">
        <f aca="false" ca="false" dt2D="false" dtr="false" t="normal">HEX2DEC(L379)</f>
        <v>0</v>
      </c>
      <c r="M381" s="53" t="n">
        <f aca="false" ca="false" dt2D="false" dtr="false" t="normal">SUM(D381:L381)</f>
        <v>226</v>
      </c>
      <c r="N381" s="63" t="n"/>
      <c r="P381" s="136" t="n">
        <f aca="false" ca="false" dt2D="false" dtr="false" t="normal">MID(H380, 2, 1)</f>
        <v>0</v>
      </c>
      <c r="Q381" s="137" t="n">
        <f aca="false" ca="false" dt2D="false" dtr="false" t="normal">P381</f>
        <v>0</v>
      </c>
      <c r="R381" s="120" t="s">
        <v>192</v>
      </c>
      <c r="S381" s="131" t="s">
        <v>196</v>
      </c>
      <c r="T381" s="136" t="n">
        <f aca="false" ca="false" dt2D="false" dtr="false" t="normal">MID(I380, 2, 1)</f>
        <v>0</v>
      </c>
      <c r="U381" s="137" t="n">
        <f aca="false" ca="false" dt2D="false" dtr="false" t="normal">T381</f>
        <v>0</v>
      </c>
      <c r="V381" s="120" t="s">
        <v>192</v>
      </c>
      <c r="W381" s="131" t="s">
        <v>196</v>
      </c>
      <c r="X381" s="136" t="n">
        <f aca="false" ca="false" dt2D="false" dtr="false" t="normal">MID(J380, 2, 1)</f>
        <v>0</v>
      </c>
      <c r="Y381" s="137" t="n">
        <f aca="false" ca="false" dt2D="false" dtr="false" t="normal">X381</f>
        <v>0</v>
      </c>
      <c r="Z381" s="120" t="s">
        <v>192</v>
      </c>
      <c r="AA381" s="131" t="s">
        <v>196</v>
      </c>
      <c r="AB381" s="136" t="n">
        <f aca="false" ca="false" dt2D="false" dtr="false" t="normal">MID(K380, 2, 1)</f>
        <v>0</v>
      </c>
      <c r="AC381" s="137" t="n">
        <f aca="false" ca="false" dt2D="false" dtr="false" t="normal">AB381</f>
        <v>0</v>
      </c>
      <c r="AD381" s="120" t="s">
        <v>192</v>
      </c>
      <c r="AE381" s="131" t="s">
        <v>196</v>
      </c>
      <c r="AF381" s="136" t="n">
        <f aca="false" ca="false" dt2D="false" dtr="false" t="normal">MID(L380, 2, 1)</f>
        <v>0</v>
      </c>
      <c r="AG381" s="137" t="n">
        <f aca="false" ca="false" dt2D="false" dtr="false" t="normal">AF381</f>
        <v>0</v>
      </c>
      <c r="AH381" s="120" t="s">
        <v>192</v>
      </c>
      <c r="AI381" s="131" t="s">
        <v>196</v>
      </c>
      <c r="AJ381" s="9537" t="s"/>
      <c r="AK381" s="9538" t="s"/>
    </row>
    <row customHeight="true" hidden="false" ht="15" outlineLevel="0" r="382">
      <c r="C382" s="98" t="s">
        <v>194</v>
      </c>
      <c r="D382" s="149" t="n">
        <f aca="false" ca="false" dt2D="false" dtr="false" t="normal">D379</f>
        <v>7</v>
      </c>
      <c r="E382" s="149" t="str">
        <f aca="false" ca="false" dt2D="false" dtr="false" t="normal">E379</f>
        <v>A5</v>
      </c>
      <c r="F382" s="149" t="str">
        <f aca="false" ca="false" dt2D="false" dtr="false" t="normal">MID($A$38, 4, 2)</f>
        <v>G1</v>
      </c>
      <c r="G382" s="149" t="str">
        <f aca="false" ca="false" dt2D="false" dtr="false" t="normal">MID($A$38, 6, 2)</f>
        <v>I3</v>
      </c>
      <c r="N382" s="63" t="n"/>
      <c r="P382" s="136" t="n">
        <f aca="false" ca="false" dt2D="false" dtr="false" t="normal">MID(H380, 3, 1)</f>
        <v>0</v>
      </c>
      <c r="Q382" s="137" t="n">
        <f aca="false" ca="false" dt2D="false" dtr="false" t="normal">P382</f>
        <v>0</v>
      </c>
      <c r="R382" s="120" t="s">
        <v>195</v>
      </c>
      <c r="S382" s="131" t="s">
        <v>196</v>
      </c>
      <c r="T382" s="136" t="n">
        <f aca="false" ca="false" dt2D="false" dtr="false" t="normal">MID(I380, 3, 1)</f>
        <v>0</v>
      </c>
      <c r="U382" s="137" t="n">
        <f aca="false" ca="false" dt2D="false" dtr="false" t="normal">T382</f>
        <v>0</v>
      </c>
      <c r="V382" s="120" t="s">
        <v>195</v>
      </c>
      <c r="W382" s="131" t="s">
        <v>196</v>
      </c>
      <c r="X382" s="136" t="n">
        <f aca="false" ca="false" dt2D="false" dtr="false" t="normal">MID(J380, 3, 1)</f>
        <v>0</v>
      </c>
      <c r="Y382" s="137" t="n">
        <f aca="false" ca="false" dt2D="false" dtr="false" t="normal">X382</f>
        <v>0</v>
      </c>
      <c r="Z382" s="120" t="s">
        <v>195</v>
      </c>
      <c r="AA382" s="131" t="s">
        <v>196</v>
      </c>
      <c r="AB382" s="136" t="n">
        <f aca="false" ca="false" dt2D="false" dtr="false" t="normal">MID(K380, 3, 1)</f>
        <v>0</v>
      </c>
      <c r="AC382" s="137" t="n">
        <f aca="false" ca="false" dt2D="false" dtr="false" t="normal">AB382</f>
        <v>0</v>
      </c>
      <c r="AD382" s="120" t="s">
        <v>195</v>
      </c>
      <c r="AE382" s="131" t="s">
        <v>196</v>
      </c>
      <c r="AF382" s="136" t="n">
        <f aca="false" ca="false" dt2D="false" dtr="false" t="normal">MID(L380, 3, 1)</f>
        <v>0</v>
      </c>
      <c r="AG382" s="137" t="n">
        <f aca="false" ca="false" dt2D="false" dtr="false" t="normal">AF382</f>
        <v>0</v>
      </c>
      <c r="AH382" s="120" t="s">
        <v>195</v>
      </c>
      <c r="AI382" s="131" t="s">
        <v>196</v>
      </c>
      <c r="AJ382" s="9539" t="s"/>
      <c r="AK382" s="9540" t="s"/>
    </row>
    <row hidden="false" ht="15.75" outlineLevel="0" r="383">
      <c r="C383" s="98" t="n"/>
      <c r="N383" s="63" t="n"/>
      <c r="P383" s="136" t="n">
        <f aca="false" ca="false" dt2D="false" dtr="false" t="normal">MID(H380, 4, 1)</f>
        <v>0</v>
      </c>
      <c r="Q383" s="137" t="n">
        <f aca="false" ca="false" dt2D="false" dtr="false" t="normal">P383</f>
        <v>0</v>
      </c>
      <c r="R383" s="120" t="s">
        <v>197</v>
      </c>
      <c r="S383" s="131" t="s">
        <v>196</v>
      </c>
      <c r="T383" s="136" t="n">
        <f aca="false" ca="false" dt2D="false" dtr="false" t="normal">MID(I380, 4, 1)</f>
        <v>0</v>
      </c>
      <c r="U383" s="137" t="n">
        <f aca="false" ca="false" dt2D="false" dtr="false" t="normal">T383</f>
        <v>0</v>
      </c>
      <c r="V383" s="120" t="s">
        <v>197</v>
      </c>
      <c r="W383" s="131" t="s">
        <v>196</v>
      </c>
      <c r="X383" s="136" t="n">
        <f aca="false" ca="false" dt2D="false" dtr="false" t="normal">MID(J380, 4, 1)</f>
        <v>0</v>
      </c>
      <c r="Y383" s="137" t="n">
        <f aca="false" ca="false" dt2D="false" dtr="false" t="normal">X383</f>
        <v>0</v>
      </c>
      <c r="Z383" s="120" t="s">
        <v>197</v>
      </c>
      <c r="AA383" s="131" t="s">
        <v>196</v>
      </c>
      <c r="AB383" s="136" t="n">
        <f aca="false" ca="false" dt2D="false" dtr="false" t="normal">MID(K380, 4, 1)</f>
        <v>0</v>
      </c>
      <c r="AC383" s="137" t="n">
        <f aca="false" ca="false" dt2D="false" dtr="false" t="normal">AB383</f>
        <v>0</v>
      </c>
      <c r="AD383" s="120" t="s">
        <v>197</v>
      </c>
      <c r="AE383" s="131" t="s">
        <v>196</v>
      </c>
      <c r="AF383" s="136" t="n">
        <f aca="false" ca="false" dt2D="false" dtr="false" t="normal">MID(L380, 4, 1)</f>
        <v>0</v>
      </c>
      <c r="AG383" s="137" t="n">
        <f aca="false" ca="false" dt2D="false" dtr="false" t="normal">AF383</f>
        <v>0</v>
      </c>
      <c r="AH383" s="120" t="s">
        <v>197</v>
      </c>
      <c r="AI383" s="131" t="s">
        <v>196</v>
      </c>
      <c r="AJ383" s="9541" t="s"/>
      <c r="AK383" s="9542" t="s"/>
    </row>
    <row hidden="false" ht="15.75" outlineLevel="0" r="384">
      <c r="C384" s="98" t="s">
        <v>176</v>
      </c>
      <c r="D384" s="122" t="n">
        <f aca="false" ca="false" dt2D="false" dtr="false" t="normal">D379</f>
        <v>7</v>
      </c>
      <c r="E384" s="123" t="str">
        <f aca="false" ca="false" dt2D="false" dtr="false" t="normal">E379</f>
        <v>A5</v>
      </c>
      <c r="F384" s="123" t="n">
        <f aca="false" ca="false" dt2D="false" dtr="false" t="normal">F379</f>
        <v>1</v>
      </c>
      <c r="G384" s="124" t="n">
        <f aca="false" ca="false" dt2D="false" dtr="false" t="normal">G379</f>
        <v>35</v>
      </c>
      <c r="H384" s="162" t="n">
        <f aca="false" ca="false" dt2D="false" dtr="false" t="normal">BIN2HEX(H385, 2)</f>
        <v>0</v>
      </c>
      <c r="I384" s="163" t="n">
        <f aca="false" ca="false" dt2D="false" dtr="false" t="normal">BIN2HEX(I385, 2)</f>
        <v>0</v>
      </c>
      <c r="J384" s="164" t="n">
        <f aca="false" ca="false" dt2D="false" dtr="false" t="normal">BIN2HEX(J385, 2)</f>
        <v>0</v>
      </c>
      <c r="K384" s="165" t="n">
        <f aca="false" ca="false" dt2D="false" dtr="false" t="normal">BIN2HEX(K385, 2)</f>
        <v>0</v>
      </c>
      <c r="L384" s="288" t="n">
        <f aca="false" ca="false" dt2D="false" dtr="false" t="normal">BIN2HEX(L385, 2)</f>
        <v>0</v>
      </c>
      <c r="M384" s="166" t="str">
        <f aca="false" ca="false" dt2D="false" dtr="false" t="normal">IF(LEN(M385)&gt;2, MID(M385, 2, 2), M385)</f>
        <v>E2</v>
      </c>
      <c r="N384" s="63" t="s">
        <v>181</v>
      </c>
      <c r="P384" s="136" t="n">
        <f aca="false" ca="false" dt2D="false" dtr="false" t="normal">MID(H380, 5, 1)</f>
        <v>0</v>
      </c>
      <c r="Q384" s="137" t="n">
        <f aca="false" ca="false" dt2D="false" dtr="false" t="normal">P384</f>
        <v>0</v>
      </c>
      <c r="R384" s="120" t="s">
        <v>200</v>
      </c>
      <c r="S384" s="131" t="s">
        <v>196</v>
      </c>
      <c r="T384" s="136" t="n">
        <f aca="false" ca="false" dt2D="false" dtr="false" t="normal">MID(I380, 5, 1)</f>
        <v>0</v>
      </c>
      <c r="U384" s="137" t="n">
        <f aca="false" ca="false" dt2D="false" dtr="false" t="normal">T384</f>
        <v>0</v>
      </c>
      <c r="V384" s="120" t="s">
        <v>200</v>
      </c>
      <c r="W384" s="131" t="s">
        <v>196</v>
      </c>
      <c r="X384" s="136" t="n">
        <f aca="false" ca="false" dt2D="false" dtr="false" t="normal">MID(J380, 5, 1)</f>
        <v>0</v>
      </c>
      <c r="Y384" s="137" t="n">
        <f aca="false" ca="false" dt2D="false" dtr="false" t="normal">X384</f>
        <v>0</v>
      </c>
      <c r="Z384" s="120" t="s">
        <v>200</v>
      </c>
      <c r="AA384" s="131" t="s">
        <v>196</v>
      </c>
      <c r="AB384" s="136" t="n">
        <f aca="false" ca="false" dt2D="false" dtr="false" t="normal">MID(K380, 5, 1)</f>
        <v>0</v>
      </c>
      <c r="AC384" s="137" t="n">
        <f aca="false" ca="false" dt2D="false" dtr="false" t="normal">AB384</f>
        <v>0</v>
      </c>
      <c r="AD384" s="120" t="s">
        <v>200</v>
      </c>
      <c r="AE384" s="131" t="s">
        <v>196</v>
      </c>
      <c r="AF384" s="136" t="n">
        <f aca="false" ca="false" dt2D="false" dtr="false" t="normal">MID(L380, 5, 1)</f>
        <v>0</v>
      </c>
      <c r="AG384" s="137" t="n">
        <f aca="false" ca="false" dt2D="false" dtr="false" t="normal">AF384</f>
        <v>0</v>
      </c>
      <c r="AH384" s="120" t="s">
        <v>200</v>
      </c>
      <c r="AI384" s="131" t="s">
        <v>196</v>
      </c>
      <c r="AJ384" s="9543" t="s"/>
      <c r="AK384" s="9544" t="s"/>
    </row>
    <row hidden="false" ht="15" outlineLevel="0" r="385">
      <c r="C385" s="98" t="s">
        <v>185</v>
      </c>
      <c r="D385" s="149" t="n">
        <f aca="false" ca="false" dt2D="false" dtr="false" t="normal">HEX2BIN(D384, 8)</f>
        <v>111</v>
      </c>
      <c r="E385" s="149" t="n">
        <f aca="false" ca="false" dt2D="false" dtr="false" t="normal">HEX2BIN(E384, 8)</f>
        <v>10100101</v>
      </c>
      <c r="F385" s="149" t="n">
        <f aca="false" ca="false" dt2D="false" dtr="false" t="normal">HEX2BIN(F384, 8)</f>
        <v>1</v>
      </c>
      <c r="G385" s="149" t="n">
        <f aca="false" ca="false" dt2D="false" dtr="false" t="normal">HEX2BIN(G384, 8)</f>
        <v>110101</v>
      </c>
      <c r="H385" s="53" t="n">
        <f aca="false" ca="false" dt2D="false" dtr="false" t="normal">Q380&amp;Q381&amp;Q382&amp;Q383&amp;Q384&amp;Q385&amp;Q386&amp;Q387</f>
        <v>0</v>
      </c>
      <c r="I385" s="53" t="n">
        <f aca="false" ca="false" dt2D="false" dtr="false" t="normal">U380&amp;U381&amp;U382&amp;U383&amp;U384&amp;U385&amp;U386&amp;U387</f>
        <v>0</v>
      </c>
      <c r="J385" s="53" t="n">
        <f aca="false" ca="false" dt2D="false" dtr="false" t="normal">Y380&amp;Y381&amp;Y382&amp;Y383&amp;Y384&amp;Y385&amp;Y386&amp;Y387</f>
        <v>0</v>
      </c>
      <c r="K385" s="53" t="n">
        <f aca="false" ca="false" dt2D="false" dtr="false" t="normal">AC380&amp;AC381&amp;AC382&amp;AC383&amp;AC384&amp;AC385&amp;AC386&amp;AC387</f>
        <v>0</v>
      </c>
      <c r="L385" s="53" t="n">
        <f aca="false" ca="false" dt2D="false" dtr="false" t="normal">AG380&amp;AG381&amp;AG382&amp;AG383&amp;AG384&amp;AG385&amp;AG386&amp;AG387</f>
        <v>0</v>
      </c>
      <c r="M385" s="53" t="str">
        <f aca="false" ca="false" dt2D="false" dtr="false" t="normal">DEC2HEX(M386)</f>
        <v>E2</v>
      </c>
      <c r="N385" s="63" t="n"/>
      <c r="P385" s="136" t="n">
        <f aca="false" ca="false" dt2D="false" dtr="false" t="normal">MID(H380, 6, 1)</f>
        <v>0</v>
      </c>
      <c r="Q385" s="137" t="n">
        <f aca="false" ca="false" dt2D="false" dtr="false" t="normal">P385</f>
        <v>0</v>
      </c>
      <c r="R385" s="120" t="s">
        <v>203</v>
      </c>
      <c r="S385" s="131" t="s">
        <v>196</v>
      </c>
      <c r="T385" s="136" t="n">
        <f aca="false" ca="false" dt2D="false" dtr="false" t="normal">MID(I380, 6, 1)</f>
        <v>0</v>
      </c>
      <c r="U385" s="137" t="n">
        <f aca="false" ca="false" dt2D="false" dtr="false" t="normal">T385</f>
        <v>0</v>
      </c>
      <c r="V385" s="120" t="s">
        <v>203</v>
      </c>
      <c r="W385" s="131" t="s">
        <v>196</v>
      </c>
      <c r="X385" s="136" t="n">
        <f aca="false" ca="false" dt2D="false" dtr="false" t="normal">MID(J380, 6, 1)</f>
        <v>0</v>
      </c>
      <c r="Y385" s="137" t="n">
        <f aca="false" ca="false" dt2D="false" dtr="false" t="normal">X385</f>
        <v>0</v>
      </c>
      <c r="Z385" s="120" t="s">
        <v>203</v>
      </c>
      <c r="AA385" s="131" t="s">
        <v>196</v>
      </c>
      <c r="AB385" s="136" t="n">
        <f aca="false" ca="false" dt2D="false" dtr="false" t="normal">MID(K380, 6, 1)</f>
        <v>0</v>
      </c>
      <c r="AC385" s="137" t="n">
        <f aca="false" ca="false" dt2D="false" dtr="false" t="normal">AB385</f>
        <v>0</v>
      </c>
      <c r="AD385" s="120" t="s">
        <v>203</v>
      </c>
      <c r="AE385" s="131" t="s">
        <v>196</v>
      </c>
      <c r="AF385" s="136" t="n">
        <f aca="false" ca="false" dt2D="false" dtr="false" t="normal">MID(L380, 6, 1)</f>
        <v>0</v>
      </c>
      <c r="AG385" s="137" t="n">
        <f aca="false" ca="false" dt2D="false" dtr="false" t="normal">AF385</f>
        <v>0</v>
      </c>
      <c r="AH385" s="120" t="s">
        <v>203</v>
      </c>
      <c r="AI385" s="131" t="s">
        <v>196</v>
      </c>
      <c r="AJ385" s="9545" t="s"/>
      <c r="AK385" s="9546" t="s"/>
    </row>
    <row hidden="false" ht="15" outlineLevel="0" r="386">
      <c r="C386" s="98" t="s">
        <v>191</v>
      </c>
      <c r="D386" s="149" t="n">
        <f aca="false" ca="false" dt2D="false" dtr="false" t="normal">HEX2DEC(D384)</f>
        <v>7</v>
      </c>
      <c r="E386" s="149" t="n">
        <f aca="false" ca="false" dt2D="false" dtr="false" t="normal">HEX2DEC(E384)</f>
        <v>165</v>
      </c>
      <c r="F386" s="149" t="n">
        <f aca="false" ca="false" dt2D="false" dtr="false" t="normal">HEX2DEC(F384)</f>
        <v>1</v>
      </c>
      <c r="G386" s="149" t="n">
        <f aca="false" ca="false" dt2D="false" dtr="false" t="normal">HEX2DEC(G384)</f>
        <v>53</v>
      </c>
      <c r="H386" s="53" t="n">
        <f aca="false" ca="false" dt2D="false" dtr="false" t="normal">HEX2DEC(H384)</f>
        <v>0</v>
      </c>
      <c r="I386" s="53" t="n">
        <f aca="false" ca="false" dt2D="false" dtr="false" t="normal">HEX2DEC(I384)</f>
        <v>0</v>
      </c>
      <c r="J386" s="53" t="n">
        <f aca="false" ca="false" dt2D="false" dtr="false" t="normal">HEX2DEC(J384)</f>
        <v>0</v>
      </c>
      <c r="K386" s="53" t="n">
        <f aca="false" ca="false" dt2D="false" dtr="false" t="normal">HEX2DEC(K384)</f>
        <v>0</v>
      </c>
      <c r="L386" s="53" t="n">
        <f aca="false" ca="false" dt2D="false" dtr="false" t="normal">HEX2DEC(L384)</f>
        <v>0</v>
      </c>
      <c r="M386" s="53" t="n">
        <f aca="false" ca="false" dt2D="false" dtr="false" t="normal">SUM(D386:L386)</f>
        <v>226</v>
      </c>
      <c r="N386" s="63" t="n"/>
      <c r="P386" s="136" t="n">
        <f aca="false" ca="false" dt2D="false" dtr="false" t="normal">MID(H380, 7, 1)</f>
        <v>0</v>
      </c>
      <c r="Q386" s="137" t="n">
        <f aca="false" ca="false" dt2D="false" dtr="false" t="normal">P386</f>
        <v>0</v>
      </c>
      <c r="R386" s="120" t="s">
        <v>206</v>
      </c>
      <c r="S386" s="131" t="s">
        <v>196</v>
      </c>
      <c r="T386" s="136" t="n">
        <f aca="false" ca="false" dt2D="false" dtr="false" t="normal">MID(I380, 7, 1)</f>
        <v>0</v>
      </c>
      <c r="U386" s="137" t="n">
        <f aca="false" ca="false" dt2D="false" dtr="false" t="normal">T386</f>
        <v>0</v>
      </c>
      <c r="V386" s="120" t="s">
        <v>206</v>
      </c>
      <c r="W386" s="131" t="s">
        <v>196</v>
      </c>
      <c r="X386" s="136" t="n">
        <f aca="false" ca="false" dt2D="false" dtr="false" t="normal">MID(J380, 7, 1)</f>
        <v>0</v>
      </c>
      <c r="Y386" s="137" t="n">
        <f aca="false" ca="false" dt2D="false" dtr="false" t="normal">X386</f>
        <v>0</v>
      </c>
      <c r="Z386" s="120" t="s">
        <v>206</v>
      </c>
      <c r="AA386" s="131" t="s">
        <v>196</v>
      </c>
      <c r="AB386" s="136" t="n">
        <f aca="false" ca="false" dt2D="false" dtr="false" t="normal">MID(K380, 7, 1)</f>
        <v>0</v>
      </c>
      <c r="AC386" s="137" t="n">
        <f aca="false" ca="false" dt2D="false" dtr="false" t="normal">AB386</f>
        <v>0</v>
      </c>
      <c r="AD386" s="120" t="s">
        <v>206</v>
      </c>
      <c r="AE386" s="131" t="s">
        <v>196</v>
      </c>
      <c r="AF386" s="136" t="n">
        <f aca="false" ca="false" dt2D="false" dtr="false" t="normal">MID(L380, 7, 1)</f>
        <v>0</v>
      </c>
      <c r="AG386" s="137" t="n">
        <f aca="false" ca="false" dt2D="false" dtr="false" t="normal">AF386</f>
        <v>0</v>
      </c>
      <c r="AH386" s="120" t="s">
        <v>206</v>
      </c>
      <c r="AI386" s="131" t="s">
        <v>196</v>
      </c>
      <c r="AJ386" s="9547" t="s"/>
      <c r="AK386" s="9548" t="s"/>
    </row>
    <row hidden="false" ht="15.75" outlineLevel="0" r="387">
      <c r="C387" s="180" t="s">
        <v>194</v>
      </c>
      <c r="D387" s="181" t="n">
        <f aca="false" ca="false" dt2D="false" dtr="false" t="normal">D382</f>
        <v>7</v>
      </c>
      <c r="E387" s="181" t="str">
        <f aca="false" ca="false" dt2D="false" dtr="false" t="normal">E382</f>
        <v>A5</v>
      </c>
      <c r="F387" s="181" t="str">
        <f aca="false" ca="false" dt2D="false" dtr="false" t="normal">F382</f>
        <v>G1</v>
      </c>
      <c r="G387" s="181" t="str">
        <f aca="false" ca="false" dt2D="false" dtr="false" t="normal">G382</f>
        <v>I3</v>
      </c>
      <c r="H387" s="45" t="n"/>
      <c r="I387" s="45" t="n"/>
      <c r="J387" s="45" t="n"/>
      <c r="K387" s="45" t="n"/>
      <c r="L387" s="45" t="n"/>
      <c r="M387" s="45" t="n"/>
      <c r="N387" s="49" t="n"/>
      <c r="P387" s="182" t="n">
        <f aca="false" ca="false" dt2D="false" dtr="false" t="normal">MID(H380, 8, 1)</f>
        <v>0</v>
      </c>
      <c r="Q387" s="183" t="n">
        <f aca="false" ca="false" dt2D="false" dtr="false" t="normal">P387</f>
        <v>0</v>
      </c>
      <c r="R387" s="184" t="s">
        <v>208</v>
      </c>
      <c r="S387" s="185" t="s">
        <v>196</v>
      </c>
      <c r="T387" s="182" t="n">
        <f aca="false" ca="false" dt2D="false" dtr="false" t="normal">MID(I380, 8, 1)</f>
        <v>0</v>
      </c>
      <c r="U387" s="183" t="n">
        <f aca="false" ca="false" dt2D="false" dtr="false" t="normal">T387</f>
        <v>0</v>
      </c>
      <c r="V387" s="184" t="s">
        <v>208</v>
      </c>
      <c r="W387" s="185" t="s">
        <v>196</v>
      </c>
      <c r="X387" s="182" t="n">
        <f aca="false" ca="false" dt2D="false" dtr="false" t="normal">MID(J380, 8, 1)</f>
        <v>0</v>
      </c>
      <c r="Y387" s="183" t="n">
        <f aca="false" ca="false" dt2D="false" dtr="false" t="normal">X387</f>
        <v>0</v>
      </c>
      <c r="Z387" s="184" t="s">
        <v>208</v>
      </c>
      <c r="AA387" s="185" t="s">
        <v>196</v>
      </c>
      <c r="AB387" s="182" t="n">
        <f aca="false" ca="false" dt2D="false" dtr="false" t="normal">MID(K380, 8, 1)</f>
        <v>0</v>
      </c>
      <c r="AC387" s="183" t="n">
        <f aca="false" ca="false" dt2D="false" dtr="false" t="normal">AB387</f>
        <v>0</v>
      </c>
      <c r="AD387" s="184" t="s">
        <v>208</v>
      </c>
      <c r="AE387" s="185" t="s">
        <v>196</v>
      </c>
      <c r="AF387" s="182" t="n">
        <f aca="false" ca="false" dt2D="false" dtr="false" t="normal">MID(L380, 8, 1)</f>
        <v>0</v>
      </c>
      <c r="AG387" s="183" t="n">
        <f aca="false" ca="false" dt2D="false" dtr="false" t="normal">AF387</f>
        <v>0</v>
      </c>
      <c r="AH387" s="184" t="s">
        <v>208</v>
      </c>
      <c r="AI387" s="185" t="s">
        <v>196</v>
      </c>
      <c r="AJ387" s="9549" t="s"/>
      <c r="AK387" s="9550" t="s"/>
    </row>
    <row hidden="false" ht="15.75" outlineLevel="0" r="388">
      <c r="C388" s="93" t="n"/>
      <c r="D388" s="7585" t="n"/>
      <c r="E388" s="7585" t="n"/>
      <c r="F388" s="7585" t="n"/>
      <c r="G388" s="7585" t="n"/>
      <c r="H388" s="94" t="n"/>
      <c r="I388" s="94" t="n"/>
      <c r="J388" s="94" t="n"/>
      <c r="K388" s="94" t="n"/>
      <c r="L388" s="94" t="n"/>
      <c r="M388" s="94" t="s">
        <v>161</v>
      </c>
      <c r="N388" s="60" t="n"/>
      <c r="P388" s="95" t="str">
        <f aca="false" ca="false" dt2D="false" dtr="false" t="normal">RIGHT(D390, 1)&amp;E390&amp;"-"&amp;F390&amp;"-"&amp;G390</f>
        <v>7A5-01-36</v>
      </c>
      <c r="Q388" s="9551" t="s"/>
      <c r="R388" s="234" t="s">
        <v>4216</v>
      </c>
      <c r="S388" s="9552" t="s"/>
      <c r="T388" s="9553" t="s"/>
      <c r="U388" s="9554" t="s"/>
      <c r="V388" s="9555" t="s"/>
      <c r="W388" s="9556" t="s"/>
      <c r="X388" s="9557" t="s"/>
      <c r="Y388" s="9558" t="s"/>
      <c r="Z388" s="9559" t="s"/>
      <c r="AA388" s="9560" t="s"/>
      <c r="AB388" s="9561" t="s"/>
      <c r="AC388" s="9562" t="s"/>
      <c r="AD388" s="9563" t="s"/>
      <c r="AE388" s="9564" t="s"/>
      <c r="AF388" s="9565" t="s"/>
      <c r="AG388" s="9566" t="s"/>
      <c r="AH388" s="9567" t="s"/>
      <c r="AI388" s="9568" t="s"/>
      <c r="AJ388" s="9569" t="s"/>
      <c r="AK388" s="9570" t="s"/>
    </row>
    <row hidden="false" ht="15.75" outlineLevel="0" r="389">
      <c r="C389" s="98" t="n"/>
      <c r="D389" s="7606" t="s">
        <v>4217</v>
      </c>
      <c r="E389" s="9571" t="s"/>
      <c r="F389" s="9572" t="s"/>
      <c r="G389" s="9573" t="s"/>
      <c r="H389" s="53" t="s">
        <v>165</v>
      </c>
      <c r="I389" s="53" t="s">
        <v>166</v>
      </c>
      <c r="J389" s="53" t="s">
        <v>167</v>
      </c>
      <c r="K389" s="53" t="s">
        <v>168</v>
      </c>
      <c r="L389" s="53" t="s">
        <v>169</v>
      </c>
      <c r="M389" s="53" t="s">
        <v>221</v>
      </c>
      <c r="N389" s="63" t="n"/>
      <c r="P389" s="103" t="s">
        <v>4218</v>
      </c>
      <c r="Q389" s="9574" t="s"/>
      <c r="R389" s="9575" t="s"/>
      <c r="S389" s="9576" t="s"/>
      <c r="T389" s="103" t="s">
        <v>4219</v>
      </c>
      <c r="U389" s="9577" t="s"/>
      <c r="V389" s="9578" t="s"/>
      <c r="W389" s="9579" t="s"/>
      <c r="X389" s="103" t="s">
        <v>4220</v>
      </c>
      <c r="Y389" s="9580" t="s"/>
      <c r="Z389" s="9581" t="s"/>
      <c r="AA389" s="9582" t="s"/>
      <c r="AB389" s="103" t="s">
        <v>4221</v>
      </c>
      <c r="AC389" s="9583" t="s"/>
      <c r="AD389" s="9584" t="s"/>
      <c r="AE389" s="9585" t="s"/>
      <c r="AF389" s="103" t="s">
        <v>4222</v>
      </c>
      <c r="AG389" s="9586" t="s"/>
      <c r="AH389" s="9587" t="s"/>
      <c r="AI389" s="9588" t="s"/>
      <c r="AJ389" s="103" t="s">
        <v>4223</v>
      </c>
      <c r="AK389" s="9589" t="s"/>
    </row>
    <row hidden="false" ht="15.75" outlineLevel="0" r="390">
      <c r="C390" s="98" t="s">
        <v>176</v>
      </c>
      <c r="D390" s="122" t="s">
        <v>177</v>
      </c>
      <c r="E390" s="123" t="s">
        <v>3892</v>
      </c>
      <c r="F390" s="123" t="s">
        <v>179</v>
      </c>
      <c r="G390" s="124" t="s">
        <v>849</v>
      </c>
      <c r="H390" s="273" t="n">
        <f aca="false" ca="false" dt2D="false" dtr="false" t="normal">MID($A$39, 8, 2)</f>
        <v>0</v>
      </c>
      <c r="I390" s="7626" t="n">
        <f aca="false" ca="false" dt2D="false" dtr="false" t="normal">MID($A$39, 10, 2)</f>
        <v>0</v>
      </c>
      <c r="J390" s="7626" t="n">
        <f aca="false" ca="false" dt2D="false" dtr="false" t="normal">MID($A$39, 12, 2)</f>
        <v>0</v>
      </c>
      <c r="K390" s="7626" t="n">
        <f aca="false" ca="false" dt2D="false" dtr="false" t="normal">MID($A$39, 14, 2)</f>
        <v>0</v>
      </c>
      <c r="L390" s="7627" t="n">
        <f aca="false" ca="false" dt2D="false" dtr="false" t="normal">MID($A$39, 16, 2)</f>
        <v>0</v>
      </c>
      <c r="M390" s="7553" t="str">
        <f aca="false" ca="false" dt2D="false" dtr="false" t="normal">MID($A$39, 18, 2)</f>
        <v>E3</v>
      </c>
      <c r="N390" s="63" t="s">
        <v>180</v>
      </c>
      <c r="P390" s="129" t="s">
        <v>180</v>
      </c>
      <c r="Q390" s="130" t="s">
        <v>181</v>
      </c>
      <c r="R390" s="121" t="s">
        <v>182</v>
      </c>
      <c r="S390" s="131" t="n"/>
      <c r="T390" s="129" t="s">
        <v>180</v>
      </c>
      <c r="U390" s="130" t="s">
        <v>181</v>
      </c>
      <c r="V390" s="121" t="s">
        <v>182</v>
      </c>
      <c r="W390" s="131" t="n"/>
      <c r="X390" s="129" t="s">
        <v>180</v>
      </c>
      <c r="Y390" s="130" t="s">
        <v>181</v>
      </c>
      <c r="Z390" s="121" t="s">
        <v>182</v>
      </c>
      <c r="AA390" s="131" t="n"/>
      <c r="AB390" s="129" t="s">
        <v>180</v>
      </c>
      <c r="AC390" s="130" t="s">
        <v>181</v>
      </c>
      <c r="AD390" s="121" t="s">
        <v>182</v>
      </c>
      <c r="AE390" s="131" t="n"/>
      <c r="AF390" s="129" t="s">
        <v>180</v>
      </c>
      <c r="AG390" s="130" t="s">
        <v>181</v>
      </c>
      <c r="AH390" s="121" t="s">
        <v>182</v>
      </c>
      <c r="AI390" s="121" t="n"/>
      <c r="AJ390" s="116" t="s">
        <v>183</v>
      </c>
      <c r="AK390" s="9590" t="s"/>
    </row>
    <row hidden="false" ht="15" outlineLevel="0" r="391">
      <c r="C391" s="98" t="s">
        <v>185</v>
      </c>
      <c r="D391" s="149" t="n">
        <f aca="false" ca="false" dt2D="false" dtr="false" t="normal">HEX2BIN(D390, 8)</f>
        <v>111</v>
      </c>
      <c r="E391" s="149" t="n">
        <f aca="false" ca="false" dt2D="false" dtr="false" t="normal">HEX2BIN(E390, 8)</f>
        <v>10100101</v>
      </c>
      <c r="F391" s="149" t="n">
        <f aca="false" ca="false" dt2D="false" dtr="false" t="normal">HEX2BIN(F390, 8)</f>
        <v>1</v>
      </c>
      <c r="G391" s="149" t="n">
        <f aca="false" ca="false" dt2D="false" dtr="false" t="normal">HEX2BIN(G390, 8)</f>
        <v>110110</v>
      </c>
      <c r="H391" s="53" t="n">
        <f aca="false" ca="false" dt2D="false" dtr="false" t="normal">HEX2BIN(H390, 8)</f>
        <v>0</v>
      </c>
      <c r="I391" s="53" t="n">
        <f aca="false" ca="false" dt2D="false" dtr="false" t="normal">HEX2BIN(I390, 8)</f>
        <v>0</v>
      </c>
      <c r="J391" s="53" t="n">
        <f aca="false" ca="false" dt2D="false" dtr="false" t="normal">HEX2BIN(J390, 8)</f>
        <v>0</v>
      </c>
      <c r="K391" s="53" t="n">
        <f aca="false" ca="false" dt2D="false" dtr="false" t="normal">HEX2BIN(K390, 8)</f>
        <v>0</v>
      </c>
      <c r="L391" s="53" t="n">
        <f aca="false" ca="false" dt2D="false" dtr="false" t="normal">HEX2BIN(L390, 8)</f>
        <v>0</v>
      </c>
      <c r="M391" s="53" t="n"/>
      <c r="N391" s="63" t="n"/>
      <c r="P391" s="136" t="n">
        <f aca="false" ca="false" dt2D="false" dtr="false" t="normal">MID(H391, 1, 1)</f>
        <v>0</v>
      </c>
      <c r="Q391" s="137" t="n">
        <f aca="false" ca="false" dt2D="false" dtr="false" t="normal">P391</f>
        <v>0</v>
      </c>
      <c r="R391" s="120" t="s">
        <v>186</v>
      </c>
      <c r="S391" s="131" t="s">
        <v>196</v>
      </c>
      <c r="T391" s="136" t="n">
        <f aca="false" ca="false" dt2D="false" dtr="false" t="normal">MID(I391, 1, 1)</f>
        <v>0</v>
      </c>
      <c r="U391" s="137" t="n">
        <f aca="false" ca="false" dt2D="false" dtr="false" t="normal">T391</f>
        <v>0</v>
      </c>
      <c r="V391" s="120" t="s">
        <v>186</v>
      </c>
      <c r="W391" s="131" t="s">
        <v>196</v>
      </c>
      <c r="X391" s="136" t="n">
        <f aca="false" ca="false" dt2D="false" dtr="false" t="normal">MID(J391, 1, 1)</f>
        <v>0</v>
      </c>
      <c r="Y391" s="137" t="n">
        <f aca="false" ca="false" dt2D="false" dtr="false" t="normal">X391</f>
        <v>0</v>
      </c>
      <c r="Z391" s="120" t="s">
        <v>186</v>
      </c>
      <c r="AA391" s="131" t="s">
        <v>196</v>
      </c>
      <c r="AB391" s="136" t="n">
        <f aca="false" ca="false" dt2D="false" dtr="false" t="normal">MID(K391, 1, 1)</f>
        <v>0</v>
      </c>
      <c r="AC391" s="137" t="n">
        <f aca="false" ca="false" dt2D="false" dtr="false" t="normal">AB391</f>
        <v>0</v>
      </c>
      <c r="AD391" s="120" t="s">
        <v>186</v>
      </c>
      <c r="AE391" s="131" t="s">
        <v>196</v>
      </c>
      <c r="AF391" s="136" t="n">
        <f aca="false" ca="false" dt2D="false" dtr="false" t="normal">MID(L391, 1, 1)</f>
        <v>0</v>
      </c>
      <c r="AG391" s="137" t="n">
        <f aca="false" ca="false" dt2D="false" dtr="false" t="normal">AF391</f>
        <v>0</v>
      </c>
      <c r="AH391" s="120" t="s">
        <v>186</v>
      </c>
      <c r="AI391" s="131" t="s">
        <v>196</v>
      </c>
      <c r="AJ391" s="9591" t="s"/>
      <c r="AK391" s="9592" t="s"/>
    </row>
    <row hidden="false" ht="15" outlineLevel="0" r="392">
      <c r="C392" s="98" t="s">
        <v>191</v>
      </c>
      <c r="D392" s="149" t="n">
        <f aca="false" ca="false" dt2D="false" dtr="false" t="normal">HEX2DEC(D390)</f>
        <v>7</v>
      </c>
      <c r="E392" s="149" t="n">
        <f aca="false" ca="false" dt2D="false" dtr="false" t="normal">HEX2DEC(E390)</f>
        <v>165</v>
      </c>
      <c r="F392" s="149" t="n">
        <f aca="false" ca="false" dt2D="false" dtr="false" t="normal">HEX2DEC(F390)</f>
        <v>1</v>
      </c>
      <c r="G392" s="149" t="n">
        <f aca="false" ca="false" dt2D="false" dtr="false" t="normal">HEX2DEC(G390)</f>
        <v>54</v>
      </c>
      <c r="H392" s="53" t="n">
        <f aca="false" ca="false" dt2D="false" dtr="false" t="normal">HEX2DEC(H390)</f>
        <v>0</v>
      </c>
      <c r="I392" s="53" t="n">
        <f aca="false" ca="false" dt2D="false" dtr="false" t="normal">HEX2DEC(I390)</f>
        <v>0</v>
      </c>
      <c r="J392" s="53" t="n">
        <f aca="false" ca="false" dt2D="false" dtr="false" t="normal">HEX2DEC(J390)</f>
        <v>0</v>
      </c>
      <c r="K392" s="53" t="n">
        <f aca="false" ca="false" dt2D="false" dtr="false" t="normal">HEX2DEC(K390)</f>
        <v>0</v>
      </c>
      <c r="L392" s="53" t="n">
        <f aca="false" ca="false" dt2D="false" dtr="false" t="normal">HEX2DEC(L390)</f>
        <v>0</v>
      </c>
      <c r="M392" s="53" t="n">
        <f aca="false" ca="false" dt2D="false" dtr="false" t="normal">SUM(D392:L392)</f>
        <v>227</v>
      </c>
      <c r="N392" s="63" t="n"/>
      <c r="P392" s="136" t="n">
        <f aca="false" ca="false" dt2D="false" dtr="false" t="normal">MID(H391, 2, 1)</f>
        <v>0</v>
      </c>
      <c r="Q392" s="137" t="n">
        <f aca="false" ca="false" dt2D="false" dtr="false" t="normal">P392</f>
        <v>0</v>
      </c>
      <c r="R392" s="120" t="s">
        <v>192</v>
      </c>
      <c r="S392" s="131" t="s">
        <v>196</v>
      </c>
      <c r="T392" s="136" t="n">
        <f aca="false" ca="false" dt2D="false" dtr="false" t="normal">MID(I391, 2, 1)</f>
        <v>0</v>
      </c>
      <c r="U392" s="137" t="n">
        <f aca="false" ca="false" dt2D="false" dtr="false" t="normal">T392</f>
        <v>0</v>
      </c>
      <c r="V392" s="120" t="s">
        <v>192</v>
      </c>
      <c r="W392" s="131" t="s">
        <v>196</v>
      </c>
      <c r="X392" s="136" t="n">
        <f aca="false" ca="false" dt2D="false" dtr="false" t="normal">MID(J391, 2, 1)</f>
        <v>0</v>
      </c>
      <c r="Y392" s="137" t="n">
        <f aca="false" ca="false" dt2D="false" dtr="false" t="normal">X392</f>
        <v>0</v>
      </c>
      <c r="Z392" s="120" t="s">
        <v>192</v>
      </c>
      <c r="AA392" s="131" t="s">
        <v>196</v>
      </c>
      <c r="AB392" s="136" t="n">
        <f aca="false" ca="false" dt2D="false" dtr="false" t="normal">MID(K391, 2, 1)</f>
        <v>0</v>
      </c>
      <c r="AC392" s="137" t="n">
        <f aca="false" ca="false" dt2D="false" dtr="false" t="normal">AB392</f>
        <v>0</v>
      </c>
      <c r="AD392" s="120" t="s">
        <v>192</v>
      </c>
      <c r="AE392" s="131" t="s">
        <v>196</v>
      </c>
      <c r="AF392" s="136" t="n">
        <f aca="false" ca="false" dt2D="false" dtr="false" t="normal">MID(L391, 2, 1)</f>
        <v>0</v>
      </c>
      <c r="AG392" s="137" t="n">
        <f aca="false" ca="false" dt2D="false" dtr="false" t="normal">AF392</f>
        <v>0</v>
      </c>
      <c r="AH392" s="120" t="s">
        <v>192</v>
      </c>
      <c r="AI392" s="131" t="s">
        <v>196</v>
      </c>
      <c r="AJ392" s="9593" t="s"/>
      <c r="AK392" s="9594" t="s"/>
    </row>
    <row customHeight="true" hidden="false" ht="15" outlineLevel="0" r="393">
      <c r="C393" s="98" t="s">
        <v>194</v>
      </c>
      <c r="D393" s="149" t="n">
        <f aca="false" ca="false" dt2D="false" dtr="false" t="normal">D390</f>
        <v>7</v>
      </c>
      <c r="E393" s="149" t="str">
        <f aca="false" ca="false" dt2D="false" dtr="false" t="normal">E390</f>
        <v>A5</v>
      </c>
      <c r="F393" s="149" t="str">
        <f aca="false" ca="false" dt2D="false" dtr="false" t="normal">MID($A$39, 4, 2)</f>
        <v>G1</v>
      </c>
      <c r="G393" s="149" t="str">
        <f aca="false" ca="false" dt2D="false" dtr="false" t="normal">MID($A$39, 6, 2)</f>
        <v>I4</v>
      </c>
      <c r="N393" s="63" t="n"/>
      <c r="P393" s="136" t="n">
        <f aca="false" ca="false" dt2D="false" dtr="false" t="normal">MID(H391, 3, 1)</f>
        <v>0</v>
      </c>
      <c r="Q393" s="137" t="n">
        <f aca="false" ca="false" dt2D="false" dtr="false" t="normal">P393</f>
        <v>0</v>
      </c>
      <c r="R393" s="120" t="s">
        <v>195</v>
      </c>
      <c r="S393" s="131" t="s">
        <v>196</v>
      </c>
      <c r="T393" s="136" t="n">
        <f aca="false" ca="false" dt2D="false" dtr="false" t="normal">MID(I391, 3, 1)</f>
        <v>0</v>
      </c>
      <c r="U393" s="137" t="n">
        <f aca="false" ca="false" dt2D="false" dtr="false" t="normal">T393</f>
        <v>0</v>
      </c>
      <c r="V393" s="120" t="s">
        <v>195</v>
      </c>
      <c r="W393" s="131" t="s">
        <v>196</v>
      </c>
      <c r="X393" s="136" t="n">
        <f aca="false" ca="false" dt2D="false" dtr="false" t="normal">MID(J391, 3, 1)</f>
        <v>0</v>
      </c>
      <c r="Y393" s="137" t="n">
        <f aca="false" ca="false" dt2D="false" dtr="false" t="normal">X393</f>
        <v>0</v>
      </c>
      <c r="Z393" s="120" t="s">
        <v>195</v>
      </c>
      <c r="AA393" s="131" t="s">
        <v>196</v>
      </c>
      <c r="AB393" s="136" t="n">
        <f aca="false" ca="false" dt2D="false" dtr="false" t="normal">MID(K391, 3, 1)</f>
        <v>0</v>
      </c>
      <c r="AC393" s="137" t="n">
        <f aca="false" ca="false" dt2D="false" dtr="false" t="normal">AB393</f>
        <v>0</v>
      </c>
      <c r="AD393" s="120" t="s">
        <v>195</v>
      </c>
      <c r="AE393" s="131" t="s">
        <v>196</v>
      </c>
      <c r="AF393" s="136" t="n">
        <f aca="false" ca="false" dt2D="false" dtr="false" t="normal">MID(L391, 3, 1)</f>
        <v>0</v>
      </c>
      <c r="AG393" s="137" t="n">
        <f aca="false" ca="false" dt2D="false" dtr="false" t="normal">AF393</f>
        <v>0</v>
      </c>
      <c r="AH393" s="120" t="s">
        <v>195</v>
      </c>
      <c r="AI393" s="131" t="s">
        <v>196</v>
      </c>
      <c r="AJ393" s="9595" t="s"/>
      <c r="AK393" s="9596" t="s"/>
    </row>
    <row hidden="false" ht="15.75" outlineLevel="0" r="394">
      <c r="C394" s="98" t="n"/>
      <c r="N394" s="63" t="n"/>
      <c r="P394" s="136" t="n">
        <f aca="false" ca="false" dt2D="false" dtr="false" t="normal">MID(H391, 4, 1)</f>
        <v>0</v>
      </c>
      <c r="Q394" s="137" t="n">
        <f aca="false" ca="false" dt2D="false" dtr="false" t="normal">P394</f>
        <v>0</v>
      </c>
      <c r="R394" s="120" t="s">
        <v>197</v>
      </c>
      <c r="S394" s="131" t="s">
        <v>196</v>
      </c>
      <c r="T394" s="136" t="n">
        <f aca="false" ca="false" dt2D="false" dtr="false" t="normal">MID(I391, 4, 1)</f>
        <v>0</v>
      </c>
      <c r="U394" s="137" t="n">
        <f aca="false" ca="false" dt2D="false" dtr="false" t="normal">T394</f>
        <v>0</v>
      </c>
      <c r="V394" s="120" t="s">
        <v>197</v>
      </c>
      <c r="W394" s="131" t="s">
        <v>196</v>
      </c>
      <c r="X394" s="136" t="n">
        <f aca="false" ca="false" dt2D="false" dtr="false" t="normal">MID(J391, 4, 1)</f>
        <v>0</v>
      </c>
      <c r="Y394" s="137" t="n">
        <f aca="false" ca="false" dt2D="false" dtr="false" t="normal">X394</f>
        <v>0</v>
      </c>
      <c r="Z394" s="120" t="s">
        <v>197</v>
      </c>
      <c r="AA394" s="131" t="s">
        <v>196</v>
      </c>
      <c r="AB394" s="136" t="n">
        <f aca="false" ca="false" dt2D="false" dtr="false" t="normal">MID(K391, 4, 1)</f>
        <v>0</v>
      </c>
      <c r="AC394" s="137" t="n">
        <f aca="false" ca="false" dt2D="false" dtr="false" t="normal">AB394</f>
        <v>0</v>
      </c>
      <c r="AD394" s="120" t="s">
        <v>197</v>
      </c>
      <c r="AE394" s="131" t="s">
        <v>196</v>
      </c>
      <c r="AF394" s="136" t="n">
        <f aca="false" ca="false" dt2D="false" dtr="false" t="normal">MID(L391, 4, 1)</f>
        <v>0</v>
      </c>
      <c r="AG394" s="137" t="n">
        <f aca="false" ca="false" dt2D="false" dtr="false" t="normal">AF394</f>
        <v>0</v>
      </c>
      <c r="AH394" s="120" t="s">
        <v>197</v>
      </c>
      <c r="AI394" s="131" t="s">
        <v>196</v>
      </c>
      <c r="AJ394" s="9597" t="s"/>
      <c r="AK394" s="9598" t="s"/>
    </row>
    <row hidden="false" ht="15.75" outlineLevel="0" r="395">
      <c r="C395" s="98" t="s">
        <v>176</v>
      </c>
      <c r="D395" s="122" t="n">
        <f aca="false" ca="false" dt2D="false" dtr="false" t="normal">D390</f>
        <v>7</v>
      </c>
      <c r="E395" s="123" t="str">
        <f aca="false" ca="false" dt2D="false" dtr="false" t="normal">E390</f>
        <v>A5</v>
      </c>
      <c r="F395" s="123" t="n">
        <f aca="false" ca="false" dt2D="false" dtr="false" t="normal">F390</f>
        <v>1</v>
      </c>
      <c r="G395" s="124" t="n">
        <f aca="false" ca="false" dt2D="false" dtr="false" t="normal">G390</f>
        <v>36</v>
      </c>
      <c r="H395" s="162" t="n">
        <f aca="false" ca="false" dt2D="false" dtr="false" t="normal">BIN2HEX(H396, 2)</f>
        <v>0</v>
      </c>
      <c r="I395" s="163" t="n">
        <f aca="false" ca="false" dt2D="false" dtr="false" t="normal">BIN2HEX(I396, 2)</f>
        <v>0</v>
      </c>
      <c r="J395" s="164" t="n">
        <f aca="false" ca="false" dt2D="false" dtr="false" t="normal">BIN2HEX(J396, 2)</f>
        <v>0</v>
      </c>
      <c r="K395" s="165" t="n">
        <f aca="false" ca="false" dt2D="false" dtr="false" t="normal">BIN2HEX(K396, 2)</f>
        <v>0</v>
      </c>
      <c r="L395" s="288" t="n">
        <f aca="false" ca="false" dt2D="false" dtr="false" t="normal">BIN2HEX(L396, 2)</f>
        <v>0</v>
      </c>
      <c r="M395" s="166" t="str">
        <f aca="false" ca="false" dt2D="false" dtr="false" t="normal">IF(LEN(M396)&gt;2, MID(M396, 2, 2), M396)</f>
        <v>E3</v>
      </c>
      <c r="N395" s="63" t="s">
        <v>181</v>
      </c>
      <c r="P395" s="136" t="n">
        <f aca="false" ca="false" dt2D="false" dtr="false" t="normal">MID(H391, 5, 1)</f>
        <v>0</v>
      </c>
      <c r="Q395" s="137" t="n">
        <f aca="false" ca="false" dt2D="false" dtr="false" t="normal">P395</f>
        <v>0</v>
      </c>
      <c r="R395" s="120" t="s">
        <v>200</v>
      </c>
      <c r="S395" s="131" t="s">
        <v>196</v>
      </c>
      <c r="T395" s="136" t="n">
        <f aca="false" ca="false" dt2D="false" dtr="false" t="normal">MID(I391, 5, 1)</f>
        <v>0</v>
      </c>
      <c r="U395" s="137" t="n">
        <f aca="false" ca="false" dt2D="false" dtr="false" t="normal">T395</f>
        <v>0</v>
      </c>
      <c r="V395" s="120" t="s">
        <v>200</v>
      </c>
      <c r="W395" s="131" t="s">
        <v>196</v>
      </c>
      <c r="X395" s="136" t="n">
        <f aca="false" ca="false" dt2D="false" dtr="false" t="normal">MID(J391, 5, 1)</f>
        <v>0</v>
      </c>
      <c r="Y395" s="137" t="n">
        <f aca="false" ca="false" dt2D="false" dtr="false" t="normal">X395</f>
        <v>0</v>
      </c>
      <c r="Z395" s="120" t="s">
        <v>200</v>
      </c>
      <c r="AA395" s="131" t="s">
        <v>196</v>
      </c>
      <c r="AB395" s="136" t="n">
        <f aca="false" ca="false" dt2D="false" dtr="false" t="normal">MID(K391, 5, 1)</f>
        <v>0</v>
      </c>
      <c r="AC395" s="137" t="n">
        <f aca="false" ca="false" dt2D="false" dtr="false" t="normal">AB395</f>
        <v>0</v>
      </c>
      <c r="AD395" s="120" t="s">
        <v>200</v>
      </c>
      <c r="AE395" s="131" t="s">
        <v>196</v>
      </c>
      <c r="AF395" s="136" t="n">
        <f aca="false" ca="false" dt2D="false" dtr="false" t="normal">MID(L391, 5, 1)</f>
        <v>0</v>
      </c>
      <c r="AG395" s="137" t="n">
        <f aca="false" ca="false" dt2D="false" dtr="false" t="normal">AF395</f>
        <v>0</v>
      </c>
      <c r="AH395" s="120" t="s">
        <v>200</v>
      </c>
      <c r="AI395" s="131" t="s">
        <v>196</v>
      </c>
      <c r="AJ395" s="9599" t="s"/>
      <c r="AK395" s="9600" t="s"/>
    </row>
    <row hidden="false" ht="15" outlineLevel="0" r="396">
      <c r="C396" s="98" t="s">
        <v>185</v>
      </c>
      <c r="D396" s="149" t="n">
        <f aca="false" ca="false" dt2D="false" dtr="false" t="normal">HEX2BIN(D395, 8)</f>
        <v>111</v>
      </c>
      <c r="E396" s="149" t="n">
        <f aca="false" ca="false" dt2D="false" dtr="false" t="normal">HEX2BIN(E395, 8)</f>
        <v>10100101</v>
      </c>
      <c r="F396" s="149" t="n">
        <f aca="false" ca="false" dt2D="false" dtr="false" t="normal">HEX2BIN(F395, 8)</f>
        <v>1</v>
      </c>
      <c r="G396" s="149" t="n">
        <f aca="false" ca="false" dt2D="false" dtr="false" t="normal">HEX2BIN(G395, 8)</f>
        <v>110110</v>
      </c>
      <c r="H396" s="53" t="n">
        <f aca="false" ca="false" dt2D="false" dtr="false" t="normal">Q391&amp;Q392&amp;Q393&amp;Q394&amp;Q395&amp;Q396&amp;Q397&amp;Q398</f>
        <v>0</v>
      </c>
      <c r="I396" s="53" t="n">
        <f aca="false" ca="false" dt2D="false" dtr="false" t="normal">U391&amp;U392&amp;U393&amp;U394&amp;U395&amp;U396&amp;U397&amp;U398</f>
        <v>0</v>
      </c>
      <c r="J396" s="53" t="n">
        <f aca="false" ca="false" dt2D="false" dtr="false" t="normal">Y391&amp;Y392&amp;Y393&amp;Y394&amp;Y395&amp;Y396&amp;Y397&amp;Y398</f>
        <v>0</v>
      </c>
      <c r="K396" s="53" t="n">
        <f aca="false" ca="false" dt2D="false" dtr="false" t="normal">AC391&amp;AC392&amp;AC393&amp;AC394&amp;AC395&amp;AC396&amp;AC397&amp;AC398</f>
        <v>0</v>
      </c>
      <c r="L396" s="53" t="n">
        <f aca="false" ca="false" dt2D="false" dtr="false" t="normal">AG391&amp;AG392&amp;AG393&amp;AG394&amp;AG395&amp;AG396&amp;AG397&amp;AG398</f>
        <v>0</v>
      </c>
      <c r="M396" s="53" t="str">
        <f aca="false" ca="false" dt2D="false" dtr="false" t="normal">DEC2HEX(M397)</f>
        <v>E3</v>
      </c>
      <c r="N396" s="63" t="n"/>
      <c r="P396" s="136" t="n">
        <f aca="false" ca="false" dt2D="false" dtr="false" t="normal">MID(H391, 6, 1)</f>
        <v>0</v>
      </c>
      <c r="Q396" s="137" t="n">
        <f aca="false" ca="false" dt2D="false" dtr="false" t="normal">P396</f>
        <v>0</v>
      </c>
      <c r="R396" s="120" t="s">
        <v>203</v>
      </c>
      <c r="S396" s="131" t="s">
        <v>196</v>
      </c>
      <c r="T396" s="136" t="n">
        <f aca="false" ca="false" dt2D="false" dtr="false" t="normal">MID(I391, 6, 1)</f>
        <v>0</v>
      </c>
      <c r="U396" s="137" t="n">
        <f aca="false" ca="false" dt2D="false" dtr="false" t="normal">T396</f>
        <v>0</v>
      </c>
      <c r="V396" s="120" t="s">
        <v>203</v>
      </c>
      <c r="W396" s="131" t="s">
        <v>196</v>
      </c>
      <c r="X396" s="136" t="n">
        <f aca="false" ca="false" dt2D="false" dtr="false" t="normal">MID(J391, 6, 1)</f>
        <v>0</v>
      </c>
      <c r="Y396" s="137" t="n">
        <f aca="false" ca="false" dt2D="false" dtr="false" t="normal">X396</f>
        <v>0</v>
      </c>
      <c r="Z396" s="120" t="s">
        <v>203</v>
      </c>
      <c r="AA396" s="131" t="s">
        <v>196</v>
      </c>
      <c r="AB396" s="136" t="n">
        <f aca="false" ca="false" dt2D="false" dtr="false" t="normal">MID(K391, 6, 1)</f>
        <v>0</v>
      </c>
      <c r="AC396" s="137" t="n">
        <f aca="false" ca="false" dt2D="false" dtr="false" t="normal">AB396</f>
        <v>0</v>
      </c>
      <c r="AD396" s="120" t="s">
        <v>203</v>
      </c>
      <c r="AE396" s="131" t="s">
        <v>196</v>
      </c>
      <c r="AF396" s="136" t="n">
        <f aca="false" ca="false" dt2D="false" dtr="false" t="normal">MID(L391, 6, 1)</f>
        <v>0</v>
      </c>
      <c r="AG396" s="137" t="n">
        <f aca="false" ca="false" dt2D="false" dtr="false" t="normal">AF396</f>
        <v>0</v>
      </c>
      <c r="AH396" s="120" t="s">
        <v>203</v>
      </c>
      <c r="AI396" s="131" t="s">
        <v>196</v>
      </c>
      <c r="AJ396" s="9601" t="s"/>
      <c r="AK396" s="9602" t="s"/>
    </row>
    <row customHeight="true" hidden="false" ht="15" outlineLevel="0" r="397">
      <c r="C397" s="98" t="s">
        <v>191</v>
      </c>
      <c r="D397" s="149" t="n">
        <f aca="false" ca="false" dt2D="false" dtr="false" t="normal">HEX2DEC(D395)</f>
        <v>7</v>
      </c>
      <c r="E397" s="149" t="n">
        <f aca="false" ca="false" dt2D="false" dtr="false" t="normal">HEX2DEC(E395)</f>
        <v>165</v>
      </c>
      <c r="F397" s="149" t="n">
        <f aca="false" ca="false" dt2D="false" dtr="false" t="normal">HEX2DEC(F395)</f>
        <v>1</v>
      </c>
      <c r="G397" s="149" t="n">
        <f aca="false" ca="false" dt2D="false" dtr="false" t="normal">HEX2DEC(G395)</f>
        <v>54</v>
      </c>
      <c r="H397" s="53" t="n">
        <f aca="false" ca="false" dt2D="false" dtr="false" t="normal">HEX2DEC(H395)</f>
        <v>0</v>
      </c>
      <c r="I397" s="53" t="n">
        <f aca="false" ca="false" dt2D="false" dtr="false" t="normal">HEX2DEC(I395)</f>
        <v>0</v>
      </c>
      <c r="J397" s="53" t="n">
        <f aca="false" ca="false" dt2D="false" dtr="false" t="normal">HEX2DEC(J395)</f>
        <v>0</v>
      </c>
      <c r="K397" s="53" t="n">
        <f aca="false" ca="false" dt2D="false" dtr="false" t="normal">HEX2DEC(K395)</f>
        <v>0</v>
      </c>
      <c r="L397" s="53" t="n">
        <f aca="false" ca="false" dt2D="false" dtr="false" t="normal">HEX2DEC(L395)</f>
        <v>0</v>
      </c>
      <c r="M397" s="53" t="n">
        <f aca="false" ca="false" dt2D="false" dtr="false" t="normal">SUM(D397:L397)</f>
        <v>227</v>
      </c>
      <c r="N397" s="63" t="n"/>
      <c r="P397" s="136" t="n">
        <f aca="false" ca="false" dt2D="false" dtr="false" t="normal">MID(H391, 7, 1)</f>
        <v>0</v>
      </c>
      <c r="Q397" s="137" t="n">
        <f aca="false" ca="false" dt2D="false" dtr="false" t="normal">P397</f>
        <v>0</v>
      </c>
      <c r="R397" s="120" t="s">
        <v>206</v>
      </c>
      <c r="S397" s="131" t="s">
        <v>196</v>
      </c>
      <c r="T397" s="136" t="n">
        <f aca="false" ca="false" dt2D="false" dtr="false" t="normal">MID(I391, 7, 1)</f>
        <v>0</v>
      </c>
      <c r="U397" s="137" t="n">
        <f aca="false" ca="false" dt2D="false" dtr="false" t="normal">T397</f>
        <v>0</v>
      </c>
      <c r="V397" s="120" t="s">
        <v>206</v>
      </c>
      <c r="W397" s="131" t="s">
        <v>196</v>
      </c>
      <c r="X397" s="136" t="n">
        <f aca="false" ca="false" dt2D="false" dtr="false" t="normal">MID(J391, 7, 1)</f>
        <v>0</v>
      </c>
      <c r="Y397" s="137" t="n">
        <f aca="false" ca="false" dt2D="false" dtr="false" t="normal">X397</f>
        <v>0</v>
      </c>
      <c r="Z397" s="120" t="s">
        <v>206</v>
      </c>
      <c r="AA397" s="131" t="s">
        <v>196</v>
      </c>
      <c r="AB397" s="136" t="n">
        <f aca="false" ca="false" dt2D="false" dtr="false" t="normal">MID(K391, 7, 1)</f>
        <v>0</v>
      </c>
      <c r="AC397" s="137" t="n">
        <f aca="false" ca="false" dt2D="false" dtr="false" t="normal">AB397</f>
        <v>0</v>
      </c>
      <c r="AD397" s="120" t="s">
        <v>206</v>
      </c>
      <c r="AE397" s="131" t="s">
        <v>196</v>
      </c>
      <c r="AF397" s="136" t="n">
        <f aca="false" ca="false" dt2D="false" dtr="false" t="normal">MID(L391, 7, 1)</f>
        <v>0</v>
      </c>
      <c r="AG397" s="137" t="n">
        <f aca="false" ca="false" dt2D="false" dtr="false" t="normal">AF397</f>
        <v>0</v>
      </c>
      <c r="AH397" s="120" t="s">
        <v>206</v>
      </c>
      <c r="AI397" s="131" t="s">
        <v>196</v>
      </c>
      <c r="AJ397" s="9603" t="s"/>
      <c r="AK397" s="9604" t="s"/>
    </row>
    <row hidden="false" ht="15.75" outlineLevel="0" r="398">
      <c r="C398" s="180" t="s">
        <v>194</v>
      </c>
      <c r="D398" s="181" t="n">
        <f aca="false" ca="false" dt2D="false" dtr="false" t="normal">D393</f>
        <v>7</v>
      </c>
      <c r="E398" s="181" t="str">
        <f aca="false" ca="false" dt2D="false" dtr="false" t="normal">E393</f>
        <v>A5</v>
      </c>
      <c r="F398" s="181" t="str">
        <f aca="false" ca="false" dt2D="false" dtr="false" t="normal">F393</f>
        <v>G1</v>
      </c>
      <c r="G398" s="181" t="str">
        <f aca="false" ca="false" dt2D="false" dtr="false" t="normal">G393</f>
        <v>I4</v>
      </c>
      <c r="H398" s="45" t="n"/>
      <c r="I398" s="45" t="n"/>
      <c r="J398" s="45" t="n"/>
      <c r="K398" s="45" t="n"/>
      <c r="L398" s="45" t="n"/>
      <c r="M398" s="45" t="n"/>
      <c r="N398" s="49" t="n"/>
      <c r="P398" s="182" t="n">
        <f aca="false" ca="false" dt2D="false" dtr="false" t="normal">MID(H391, 8, 1)</f>
        <v>0</v>
      </c>
      <c r="Q398" s="183" t="n">
        <f aca="false" ca="false" dt2D="false" dtr="false" t="normal">P398</f>
        <v>0</v>
      </c>
      <c r="R398" s="184" t="s">
        <v>208</v>
      </c>
      <c r="S398" s="185" t="s">
        <v>196</v>
      </c>
      <c r="T398" s="182" t="n">
        <f aca="false" ca="false" dt2D="false" dtr="false" t="normal">MID(I391, 8, 1)</f>
        <v>0</v>
      </c>
      <c r="U398" s="183" t="n">
        <f aca="false" ca="false" dt2D="false" dtr="false" t="normal">T398</f>
        <v>0</v>
      </c>
      <c r="V398" s="184" t="s">
        <v>208</v>
      </c>
      <c r="W398" s="185" t="s">
        <v>196</v>
      </c>
      <c r="X398" s="182" t="n">
        <f aca="false" ca="false" dt2D="false" dtr="false" t="normal">MID(J391, 8, 1)</f>
        <v>0</v>
      </c>
      <c r="Y398" s="183" t="n">
        <f aca="false" ca="false" dt2D="false" dtr="false" t="normal">X398</f>
        <v>0</v>
      </c>
      <c r="Z398" s="184" t="s">
        <v>208</v>
      </c>
      <c r="AA398" s="185" t="s">
        <v>196</v>
      </c>
      <c r="AB398" s="182" t="n">
        <f aca="false" ca="false" dt2D="false" dtr="false" t="normal">MID(K391, 8, 1)</f>
        <v>0</v>
      </c>
      <c r="AC398" s="183" t="n">
        <f aca="false" ca="false" dt2D="false" dtr="false" t="normal">AB398</f>
        <v>0</v>
      </c>
      <c r="AD398" s="184" t="s">
        <v>208</v>
      </c>
      <c r="AE398" s="185" t="s">
        <v>196</v>
      </c>
      <c r="AF398" s="182" t="n">
        <f aca="false" ca="false" dt2D="false" dtr="false" t="normal">MID(L391, 8, 1)</f>
        <v>0</v>
      </c>
      <c r="AG398" s="183" t="n">
        <f aca="false" ca="false" dt2D="false" dtr="false" t="normal">AF398</f>
        <v>0</v>
      </c>
      <c r="AH398" s="184" t="s">
        <v>208</v>
      </c>
      <c r="AI398" s="185" t="s">
        <v>196</v>
      </c>
      <c r="AJ398" s="9605" t="s"/>
      <c r="AK398" s="9606" t="s"/>
    </row>
    <row hidden="false" ht="15.75" outlineLevel="0" r="399">
      <c r="C399" s="93" t="n"/>
      <c r="D399" s="7585" t="n"/>
      <c r="E399" s="7585" t="n"/>
      <c r="F399" s="7585" t="n"/>
      <c r="G399" s="7585" t="n"/>
      <c r="H399" s="94" t="n"/>
      <c r="I399" s="94" t="n"/>
      <c r="J399" s="94" t="n"/>
      <c r="K399" s="94" t="n"/>
      <c r="L399" s="94" t="n"/>
      <c r="M399" s="94" t="s">
        <v>161</v>
      </c>
      <c r="N399" s="60" t="n"/>
      <c r="P399" s="95" t="str">
        <f aca="false" ca="false" dt2D="false" dtr="false" t="normal">RIGHT(D401, 1)&amp;E401&amp;"-"&amp;F401&amp;"-"&amp;G401</f>
        <v>7A5-01-37</v>
      </c>
      <c r="Q399" s="9607" t="s"/>
      <c r="R399" s="234" t="s">
        <v>4224</v>
      </c>
      <c r="S399" s="9608" t="s"/>
      <c r="T399" s="9609" t="s"/>
      <c r="U399" s="9610" t="s"/>
      <c r="V399" s="9611" t="s"/>
      <c r="W399" s="9612" t="s"/>
      <c r="X399" s="9613" t="s"/>
      <c r="Y399" s="9614" t="s"/>
      <c r="Z399" s="9615" t="s"/>
      <c r="AA399" s="9616" t="s"/>
      <c r="AB399" s="9617" t="s"/>
      <c r="AC399" s="9618" t="s"/>
      <c r="AD399" s="9619" t="s"/>
      <c r="AE399" s="9620" t="s"/>
      <c r="AF399" s="9621" t="s"/>
      <c r="AG399" s="9622" t="s"/>
      <c r="AH399" s="9623" t="s"/>
      <c r="AI399" s="9624" t="s"/>
      <c r="AJ399" s="9625" t="s"/>
      <c r="AK399" s="9626" t="s"/>
    </row>
    <row hidden="false" ht="15.75" outlineLevel="0" r="400">
      <c r="C400" s="98" t="n"/>
      <c r="D400" s="7606" t="s">
        <v>4225</v>
      </c>
      <c r="E400" s="9627" t="s"/>
      <c r="F400" s="9628" t="s"/>
      <c r="G400" s="9629" t="s"/>
      <c r="H400" s="53" t="s">
        <v>165</v>
      </c>
      <c r="I400" s="53" t="s">
        <v>166</v>
      </c>
      <c r="J400" s="53" t="s">
        <v>167</v>
      </c>
      <c r="K400" s="53" t="s">
        <v>168</v>
      </c>
      <c r="L400" s="53" t="s">
        <v>169</v>
      </c>
      <c r="M400" s="53" t="s">
        <v>221</v>
      </c>
      <c r="N400" s="63" t="n"/>
      <c r="P400" s="103" t="s">
        <v>4226</v>
      </c>
      <c r="Q400" s="9630" t="s"/>
      <c r="R400" s="9631" t="s"/>
      <c r="S400" s="9632" t="s"/>
      <c r="T400" s="103" t="s">
        <v>4227</v>
      </c>
      <c r="U400" s="9633" t="s"/>
      <c r="V400" s="9634" t="s"/>
      <c r="W400" s="9635" t="s"/>
      <c r="X400" s="103" t="s">
        <v>4228</v>
      </c>
      <c r="Y400" s="9636" t="s"/>
      <c r="Z400" s="9637" t="s"/>
      <c r="AA400" s="9638" t="s"/>
      <c r="AB400" s="103" t="s">
        <v>4229</v>
      </c>
      <c r="AC400" s="9639" t="s"/>
      <c r="AD400" s="9640" t="s"/>
      <c r="AE400" s="9641" t="s"/>
      <c r="AF400" s="103" t="s">
        <v>4230</v>
      </c>
      <c r="AG400" s="9642" t="s"/>
      <c r="AH400" s="9643" t="s"/>
      <c r="AI400" s="9644" t="s"/>
      <c r="AJ400" s="103" t="s">
        <v>4231</v>
      </c>
      <c r="AK400" s="9645" t="s"/>
    </row>
    <row hidden="false" ht="15.75" outlineLevel="0" r="401">
      <c r="C401" s="98" t="s">
        <v>176</v>
      </c>
      <c r="D401" s="122" t="s">
        <v>177</v>
      </c>
      <c r="E401" s="123" t="s">
        <v>3892</v>
      </c>
      <c r="F401" s="123" t="s">
        <v>179</v>
      </c>
      <c r="G401" s="124" t="s">
        <v>851</v>
      </c>
      <c r="H401" s="273" t="n">
        <f aca="false" ca="false" dt2D="false" dtr="false" t="normal">MID($A$40, 8, 2)</f>
        <v>0</v>
      </c>
      <c r="I401" s="7626" t="n">
        <f aca="false" ca="false" dt2D="false" dtr="false" t="normal">MID($A$40, 10, 2)</f>
        <v>0</v>
      </c>
      <c r="J401" s="7626" t="n">
        <f aca="false" ca="false" dt2D="false" dtr="false" t="normal">MID($A$40, 12, 2)</f>
        <v>0</v>
      </c>
      <c r="K401" s="7626" t="n">
        <f aca="false" ca="false" dt2D="false" dtr="false" t="normal">MID($A$40, 14, 2)</f>
        <v>0</v>
      </c>
      <c r="L401" s="7627" t="n">
        <f aca="false" ca="false" dt2D="false" dtr="false" t="normal">MID($A$40, 16, 2)</f>
        <v>0</v>
      </c>
      <c r="M401" s="7553" t="str">
        <f aca="false" ca="false" dt2D="false" dtr="false" t="normal">MID($A$40, 18, 2)</f>
        <v>E4</v>
      </c>
      <c r="N401" s="63" t="s">
        <v>180</v>
      </c>
      <c r="P401" s="129" t="s">
        <v>180</v>
      </c>
      <c r="Q401" s="130" t="s">
        <v>181</v>
      </c>
      <c r="R401" s="121" t="s">
        <v>182</v>
      </c>
      <c r="S401" s="131" t="n"/>
      <c r="T401" s="129" t="s">
        <v>180</v>
      </c>
      <c r="U401" s="130" t="s">
        <v>181</v>
      </c>
      <c r="V401" s="121" t="s">
        <v>182</v>
      </c>
      <c r="W401" s="131" t="n"/>
      <c r="X401" s="129" t="s">
        <v>180</v>
      </c>
      <c r="Y401" s="130" t="s">
        <v>181</v>
      </c>
      <c r="Z401" s="121" t="s">
        <v>182</v>
      </c>
      <c r="AA401" s="131" t="n"/>
      <c r="AB401" s="129" t="s">
        <v>180</v>
      </c>
      <c r="AC401" s="130" t="s">
        <v>181</v>
      </c>
      <c r="AD401" s="121" t="s">
        <v>182</v>
      </c>
      <c r="AE401" s="131" t="n"/>
      <c r="AF401" s="129" t="s">
        <v>180</v>
      </c>
      <c r="AG401" s="130" t="s">
        <v>181</v>
      </c>
      <c r="AH401" s="121" t="s">
        <v>182</v>
      </c>
      <c r="AI401" s="121" t="n"/>
      <c r="AJ401" s="116" t="s">
        <v>183</v>
      </c>
      <c r="AK401" s="9646" t="s"/>
    </row>
    <row hidden="false" ht="15" outlineLevel="0" r="402">
      <c r="C402" s="98" t="s">
        <v>185</v>
      </c>
      <c r="D402" s="149" t="n">
        <f aca="false" ca="false" dt2D="false" dtr="false" t="normal">HEX2BIN(D401, 8)</f>
        <v>111</v>
      </c>
      <c r="E402" s="149" t="n">
        <f aca="false" ca="false" dt2D="false" dtr="false" t="normal">HEX2BIN(E401, 8)</f>
        <v>10100101</v>
      </c>
      <c r="F402" s="149" t="n">
        <f aca="false" ca="false" dt2D="false" dtr="false" t="normal">HEX2BIN(F401, 8)</f>
        <v>1</v>
      </c>
      <c r="G402" s="149" t="n">
        <f aca="false" ca="false" dt2D="false" dtr="false" t="normal">HEX2BIN(G401, 8)</f>
        <v>110111</v>
      </c>
      <c r="H402" s="53" t="n">
        <f aca="false" ca="false" dt2D="false" dtr="false" t="normal">HEX2BIN(H401, 8)</f>
        <v>0</v>
      </c>
      <c r="I402" s="53" t="n">
        <f aca="false" ca="false" dt2D="false" dtr="false" t="normal">HEX2BIN(I401, 8)</f>
        <v>0</v>
      </c>
      <c r="J402" s="53" t="n">
        <f aca="false" ca="false" dt2D="false" dtr="false" t="normal">HEX2BIN(J401, 8)</f>
        <v>0</v>
      </c>
      <c r="K402" s="53" t="n">
        <f aca="false" ca="false" dt2D="false" dtr="false" t="normal">HEX2BIN(K401, 8)</f>
        <v>0</v>
      </c>
      <c r="L402" s="53" t="n">
        <f aca="false" ca="false" dt2D="false" dtr="false" t="normal">HEX2BIN(L401, 8)</f>
        <v>0</v>
      </c>
      <c r="M402" s="53" t="n"/>
      <c r="N402" s="63" t="n"/>
      <c r="P402" s="136" t="n">
        <f aca="false" ca="false" dt2D="false" dtr="false" t="normal">MID(H402, 1, 1)</f>
        <v>0</v>
      </c>
      <c r="Q402" s="137" t="n">
        <f aca="false" ca="false" dt2D="false" dtr="false" t="normal">P402</f>
        <v>0</v>
      </c>
      <c r="R402" s="120" t="s">
        <v>186</v>
      </c>
      <c r="S402" s="131" t="s">
        <v>196</v>
      </c>
      <c r="T402" s="136" t="n">
        <f aca="false" ca="false" dt2D="false" dtr="false" t="normal">MID(I402, 1, 1)</f>
        <v>0</v>
      </c>
      <c r="U402" s="137" t="n">
        <f aca="false" ca="false" dt2D="false" dtr="false" t="normal">T402</f>
        <v>0</v>
      </c>
      <c r="V402" s="120" t="s">
        <v>186</v>
      </c>
      <c r="W402" s="131" t="s">
        <v>196</v>
      </c>
      <c r="X402" s="136" t="n">
        <f aca="false" ca="false" dt2D="false" dtr="false" t="normal">MID(J402, 1, 1)</f>
        <v>0</v>
      </c>
      <c r="Y402" s="137" t="n">
        <f aca="false" ca="false" dt2D="false" dtr="false" t="normal">X402</f>
        <v>0</v>
      </c>
      <c r="Z402" s="120" t="s">
        <v>186</v>
      </c>
      <c r="AA402" s="131" t="s">
        <v>196</v>
      </c>
      <c r="AB402" s="136" t="n">
        <f aca="false" ca="false" dt2D="false" dtr="false" t="normal">MID(K402, 1, 1)</f>
        <v>0</v>
      </c>
      <c r="AC402" s="137" t="n">
        <f aca="false" ca="false" dt2D="false" dtr="false" t="normal">AB402</f>
        <v>0</v>
      </c>
      <c r="AD402" s="120" t="s">
        <v>186</v>
      </c>
      <c r="AE402" s="131" t="s">
        <v>196</v>
      </c>
      <c r="AF402" s="136" t="n">
        <f aca="false" ca="false" dt2D="false" dtr="false" t="normal">MID(L402, 1, 1)</f>
        <v>0</v>
      </c>
      <c r="AG402" s="137" t="n">
        <f aca="false" ca="false" dt2D="false" dtr="false" t="normal">AF402</f>
        <v>0</v>
      </c>
      <c r="AH402" s="120" t="s">
        <v>186</v>
      </c>
      <c r="AI402" s="131" t="s">
        <v>196</v>
      </c>
      <c r="AJ402" s="9647" t="s"/>
      <c r="AK402" s="9648" t="s"/>
    </row>
    <row hidden="false" ht="15" outlineLevel="0" r="403">
      <c r="C403" s="98" t="s">
        <v>191</v>
      </c>
      <c r="D403" s="149" t="n">
        <f aca="false" ca="false" dt2D="false" dtr="false" t="normal">HEX2DEC(D401)</f>
        <v>7</v>
      </c>
      <c r="E403" s="149" t="n">
        <f aca="false" ca="false" dt2D="false" dtr="false" t="normal">HEX2DEC(E401)</f>
        <v>165</v>
      </c>
      <c r="F403" s="149" t="n">
        <f aca="false" ca="false" dt2D="false" dtr="false" t="normal">HEX2DEC(F401)</f>
        <v>1</v>
      </c>
      <c r="G403" s="149" t="n">
        <f aca="false" ca="false" dt2D="false" dtr="false" t="normal">HEX2DEC(G401)</f>
        <v>55</v>
      </c>
      <c r="H403" s="53" t="n">
        <f aca="false" ca="false" dt2D="false" dtr="false" t="normal">HEX2DEC(H401)</f>
        <v>0</v>
      </c>
      <c r="I403" s="53" t="n">
        <f aca="false" ca="false" dt2D="false" dtr="false" t="normal">HEX2DEC(I401)</f>
        <v>0</v>
      </c>
      <c r="J403" s="53" t="n">
        <f aca="false" ca="false" dt2D="false" dtr="false" t="normal">HEX2DEC(J401)</f>
        <v>0</v>
      </c>
      <c r="K403" s="53" t="n">
        <f aca="false" ca="false" dt2D="false" dtr="false" t="normal">HEX2DEC(K401)</f>
        <v>0</v>
      </c>
      <c r="L403" s="53" t="n">
        <f aca="false" ca="false" dt2D="false" dtr="false" t="normal">HEX2DEC(L401)</f>
        <v>0</v>
      </c>
      <c r="M403" s="53" t="n">
        <f aca="false" ca="false" dt2D="false" dtr="false" t="normal">SUM(D403:L403)</f>
        <v>228</v>
      </c>
      <c r="N403" s="63" t="n"/>
      <c r="P403" s="136" t="n">
        <f aca="false" ca="false" dt2D="false" dtr="false" t="normal">MID(H402, 2, 1)</f>
        <v>0</v>
      </c>
      <c r="Q403" s="137" t="n">
        <f aca="false" ca="false" dt2D="false" dtr="false" t="normal">P403</f>
        <v>0</v>
      </c>
      <c r="R403" s="120" t="s">
        <v>192</v>
      </c>
      <c r="S403" s="131" t="s">
        <v>196</v>
      </c>
      <c r="T403" s="136" t="n">
        <f aca="false" ca="false" dt2D="false" dtr="false" t="normal">MID(I402, 2, 1)</f>
        <v>0</v>
      </c>
      <c r="U403" s="137" t="n">
        <f aca="false" ca="false" dt2D="false" dtr="false" t="normal">T403</f>
        <v>0</v>
      </c>
      <c r="V403" s="120" t="s">
        <v>192</v>
      </c>
      <c r="W403" s="131" t="s">
        <v>196</v>
      </c>
      <c r="X403" s="136" t="n">
        <f aca="false" ca="false" dt2D="false" dtr="false" t="normal">MID(J402, 2, 1)</f>
        <v>0</v>
      </c>
      <c r="Y403" s="137" t="n">
        <f aca="false" ca="false" dt2D="false" dtr="false" t="normal">X403</f>
        <v>0</v>
      </c>
      <c r="Z403" s="120" t="s">
        <v>192</v>
      </c>
      <c r="AA403" s="131" t="s">
        <v>196</v>
      </c>
      <c r="AB403" s="136" t="n">
        <f aca="false" ca="false" dt2D="false" dtr="false" t="normal">MID(K402, 2, 1)</f>
        <v>0</v>
      </c>
      <c r="AC403" s="137" t="n">
        <f aca="false" ca="false" dt2D="false" dtr="false" t="normal">AB403</f>
        <v>0</v>
      </c>
      <c r="AD403" s="120" t="s">
        <v>192</v>
      </c>
      <c r="AE403" s="131" t="s">
        <v>196</v>
      </c>
      <c r="AF403" s="136" t="n">
        <f aca="false" ca="false" dt2D="false" dtr="false" t="normal">MID(L402, 2, 1)</f>
        <v>0</v>
      </c>
      <c r="AG403" s="137" t="n">
        <f aca="false" ca="false" dt2D="false" dtr="false" t="normal">AF403</f>
        <v>0</v>
      </c>
      <c r="AH403" s="120" t="s">
        <v>192</v>
      </c>
      <c r="AI403" s="131" t="s">
        <v>196</v>
      </c>
      <c r="AJ403" s="9649" t="s"/>
      <c r="AK403" s="9650" t="s"/>
    </row>
    <row hidden="false" ht="15" outlineLevel="0" r="404">
      <c r="C404" s="98" t="s">
        <v>194</v>
      </c>
      <c r="D404" s="149" t="n">
        <f aca="false" ca="false" dt2D="false" dtr="false" t="normal">D401</f>
        <v>7</v>
      </c>
      <c r="E404" s="149" t="str">
        <f aca="false" ca="false" dt2D="false" dtr="false" t="normal">E401</f>
        <v>A5</v>
      </c>
      <c r="F404" s="149" t="str">
        <f aca="false" ca="false" dt2D="false" dtr="false" t="normal">MID($A$40, 4, 2)</f>
        <v>G1</v>
      </c>
      <c r="G404" s="149" t="str">
        <f aca="false" ca="false" dt2D="false" dtr="false" t="normal">MID($A$40, 6, 2)</f>
        <v>I5</v>
      </c>
      <c r="N404" s="63" t="n"/>
      <c r="P404" s="136" t="n">
        <f aca="false" ca="false" dt2D="false" dtr="false" t="normal">MID(H402, 3, 1)</f>
        <v>0</v>
      </c>
      <c r="Q404" s="137" t="n">
        <f aca="false" ca="false" dt2D="false" dtr="false" t="normal">P404</f>
        <v>0</v>
      </c>
      <c r="R404" s="120" t="s">
        <v>195</v>
      </c>
      <c r="S404" s="131" t="s">
        <v>196</v>
      </c>
      <c r="T404" s="136" t="n">
        <f aca="false" ca="false" dt2D="false" dtr="false" t="normal">MID(I402, 3, 1)</f>
        <v>0</v>
      </c>
      <c r="U404" s="137" t="n">
        <f aca="false" ca="false" dt2D="false" dtr="false" t="normal">T404</f>
        <v>0</v>
      </c>
      <c r="V404" s="120" t="s">
        <v>195</v>
      </c>
      <c r="W404" s="131" t="s">
        <v>196</v>
      </c>
      <c r="X404" s="136" t="n">
        <f aca="false" ca="false" dt2D="false" dtr="false" t="normal">MID(J402, 3, 1)</f>
        <v>0</v>
      </c>
      <c r="Y404" s="137" t="n">
        <f aca="false" ca="false" dt2D="false" dtr="false" t="normal">X404</f>
        <v>0</v>
      </c>
      <c r="Z404" s="120" t="s">
        <v>195</v>
      </c>
      <c r="AA404" s="131" t="s">
        <v>196</v>
      </c>
      <c r="AB404" s="136" t="n">
        <f aca="false" ca="false" dt2D="false" dtr="false" t="normal">MID(K402, 3, 1)</f>
        <v>0</v>
      </c>
      <c r="AC404" s="137" t="n">
        <f aca="false" ca="false" dt2D="false" dtr="false" t="normal">AB404</f>
        <v>0</v>
      </c>
      <c r="AD404" s="120" t="s">
        <v>195</v>
      </c>
      <c r="AE404" s="131" t="s">
        <v>196</v>
      </c>
      <c r="AF404" s="136" t="n">
        <f aca="false" ca="false" dt2D="false" dtr="false" t="normal">MID(L402, 3, 1)</f>
        <v>0</v>
      </c>
      <c r="AG404" s="137" t="n">
        <f aca="false" ca="false" dt2D="false" dtr="false" t="normal">AF404</f>
        <v>0</v>
      </c>
      <c r="AH404" s="120" t="s">
        <v>195</v>
      </c>
      <c r="AI404" s="131" t="s">
        <v>196</v>
      </c>
      <c r="AJ404" s="9651" t="s"/>
      <c r="AK404" s="9652" t="s"/>
    </row>
    <row hidden="false" ht="15.75" outlineLevel="0" r="405">
      <c r="C405" s="98" t="n"/>
      <c r="N405" s="63" t="n"/>
      <c r="P405" s="136" t="n">
        <f aca="false" ca="false" dt2D="false" dtr="false" t="normal">MID(H402, 4, 1)</f>
        <v>0</v>
      </c>
      <c r="Q405" s="137" t="n">
        <f aca="false" ca="false" dt2D="false" dtr="false" t="normal">P405</f>
        <v>0</v>
      </c>
      <c r="R405" s="120" t="s">
        <v>197</v>
      </c>
      <c r="S405" s="131" t="s">
        <v>196</v>
      </c>
      <c r="T405" s="136" t="n">
        <f aca="false" ca="false" dt2D="false" dtr="false" t="normal">MID(I402, 4, 1)</f>
        <v>0</v>
      </c>
      <c r="U405" s="137" t="n">
        <f aca="false" ca="false" dt2D="false" dtr="false" t="normal">T405</f>
        <v>0</v>
      </c>
      <c r="V405" s="120" t="s">
        <v>197</v>
      </c>
      <c r="W405" s="131" t="s">
        <v>196</v>
      </c>
      <c r="X405" s="136" t="n">
        <f aca="false" ca="false" dt2D="false" dtr="false" t="normal">MID(J402, 4, 1)</f>
        <v>0</v>
      </c>
      <c r="Y405" s="137" t="n">
        <f aca="false" ca="false" dt2D="false" dtr="false" t="normal">X405</f>
        <v>0</v>
      </c>
      <c r="Z405" s="120" t="s">
        <v>197</v>
      </c>
      <c r="AA405" s="131" t="s">
        <v>196</v>
      </c>
      <c r="AB405" s="136" t="n">
        <f aca="false" ca="false" dt2D="false" dtr="false" t="normal">MID(K402, 4, 1)</f>
        <v>0</v>
      </c>
      <c r="AC405" s="137" t="n">
        <f aca="false" ca="false" dt2D="false" dtr="false" t="normal">AB405</f>
        <v>0</v>
      </c>
      <c r="AD405" s="120" t="s">
        <v>197</v>
      </c>
      <c r="AE405" s="131" t="s">
        <v>196</v>
      </c>
      <c r="AF405" s="136" t="n">
        <f aca="false" ca="false" dt2D="false" dtr="false" t="normal">MID(L402, 4, 1)</f>
        <v>0</v>
      </c>
      <c r="AG405" s="137" t="n">
        <f aca="false" ca="false" dt2D="false" dtr="false" t="normal">AF405</f>
        <v>0</v>
      </c>
      <c r="AH405" s="120" t="s">
        <v>197</v>
      </c>
      <c r="AI405" s="131" t="s">
        <v>196</v>
      </c>
      <c r="AJ405" s="9653" t="s"/>
      <c r="AK405" s="9654" t="s"/>
    </row>
    <row hidden="false" ht="15.75" outlineLevel="0" r="406">
      <c r="C406" s="98" t="s">
        <v>176</v>
      </c>
      <c r="D406" s="122" t="n">
        <f aca="false" ca="false" dt2D="false" dtr="false" t="normal">D401</f>
        <v>7</v>
      </c>
      <c r="E406" s="123" t="str">
        <f aca="false" ca="false" dt2D="false" dtr="false" t="normal">E401</f>
        <v>A5</v>
      </c>
      <c r="F406" s="123" t="n">
        <f aca="false" ca="false" dt2D="false" dtr="false" t="normal">F401</f>
        <v>1</v>
      </c>
      <c r="G406" s="124" t="n">
        <f aca="false" ca="false" dt2D="false" dtr="false" t="normal">G401</f>
        <v>37</v>
      </c>
      <c r="H406" s="162" t="n">
        <f aca="false" ca="false" dt2D="false" dtr="false" t="normal">BIN2HEX(H407, 2)</f>
        <v>0</v>
      </c>
      <c r="I406" s="163" t="n">
        <f aca="false" ca="false" dt2D="false" dtr="false" t="normal">BIN2HEX(I407, 2)</f>
        <v>0</v>
      </c>
      <c r="J406" s="164" t="n">
        <f aca="false" ca="false" dt2D="false" dtr="false" t="normal">BIN2HEX(J407, 2)</f>
        <v>0</v>
      </c>
      <c r="K406" s="165" t="n">
        <f aca="false" ca="false" dt2D="false" dtr="false" t="normal">BIN2HEX(K407, 2)</f>
        <v>0</v>
      </c>
      <c r="L406" s="288" t="n">
        <f aca="false" ca="false" dt2D="false" dtr="false" t="normal">BIN2HEX(L407, 2)</f>
        <v>0</v>
      </c>
      <c r="M406" s="166" t="str">
        <f aca="false" ca="false" dt2D="false" dtr="false" t="normal">IF(LEN(M407)&gt;2, MID(M407, 2, 2), M407)</f>
        <v>E4</v>
      </c>
      <c r="N406" s="63" t="s">
        <v>181</v>
      </c>
      <c r="P406" s="136" t="n">
        <f aca="false" ca="false" dt2D="false" dtr="false" t="normal">MID(H402, 5, 1)</f>
        <v>0</v>
      </c>
      <c r="Q406" s="137" t="n">
        <f aca="false" ca="false" dt2D="false" dtr="false" t="normal">P406</f>
        <v>0</v>
      </c>
      <c r="R406" s="120" t="s">
        <v>200</v>
      </c>
      <c r="S406" s="131" t="s">
        <v>196</v>
      </c>
      <c r="T406" s="136" t="n">
        <f aca="false" ca="false" dt2D="false" dtr="false" t="normal">MID(I402, 5, 1)</f>
        <v>0</v>
      </c>
      <c r="U406" s="137" t="n">
        <f aca="false" ca="false" dt2D="false" dtr="false" t="normal">T406</f>
        <v>0</v>
      </c>
      <c r="V406" s="120" t="s">
        <v>200</v>
      </c>
      <c r="W406" s="131" t="s">
        <v>196</v>
      </c>
      <c r="X406" s="136" t="n">
        <f aca="false" ca="false" dt2D="false" dtr="false" t="normal">MID(J402, 5, 1)</f>
        <v>0</v>
      </c>
      <c r="Y406" s="137" t="n">
        <f aca="false" ca="false" dt2D="false" dtr="false" t="normal">X406</f>
        <v>0</v>
      </c>
      <c r="Z406" s="120" t="s">
        <v>200</v>
      </c>
      <c r="AA406" s="131" t="s">
        <v>196</v>
      </c>
      <c r="AB406" s="136" t="n">
        <f aca="false" ca="false" dt2D="false" dtr="false" t="normal">MID(K402, 5, 1)</f>
        <v>0</v>
      </c>
      <c r="AC406" s="137" t="n">
        <f aca="false" ca="false" dt2D="false" dtr="false" t="normal">AB406</f>
        <v>0</v>
      </c>
      <c r="AD406" s="120" t="s">
        <v>200</v>
      </c>
      <c r="AE406" s="131" t="s">
        <v>196</v>
      </c>
      <c r="AF406" s="136" t="n">
        <f aca="false" ca="false" dt2D="false" dtr="false" t="normal">MID(L402, 5, 1)</f>
        <v>0</v>
      </c>
      <c r="AG406" s="137" t="n">
        <f aca="false" ca="false" dt2D="false" dtr="false" t="normal">AF406</f>
        <v>0</v>
      </c>
      <c r="AH406" s="120" t="s">
        <v>200</v>
      </c>
      <c r="AI406" s="131" t="s">
        <v>196</v>
      </c>
      <c r="AJ406" s="9655" t="s"/>
      <c r="AK406" s="9656" t="s"/>
    </row>
    <row hidden="false" ht="15" outlineLevel="0" r="407">
      <c r="C407" s="98" t="s">
        <v>185</v>
      </c>
      <c r="D407" s="149" t="n">
        <f aca="false" ca="false" dt2D="false" dtr="false" t="normal">HEX2BIN(D406, 8)</f>
        <v>111</v>
      </c>
      <c r="E407" s="149" t="n">
        <f aca="false" ca="false" dt2D="false" dtr="false" t="normal">HEX2BIN(E406, 8)</f>
        <v>10100101</v>
      </c>
      <c r="F407" s="149" t="n">
        <f aca="false" ca="false" dt2D="false" dtr="false" t="normal">HEX2BIN(F406, 8)</f>
        <v>1</v>
      </c>
      <c r="G407" s="149" t="n">
        <f aca="false" ca="false" dt2D="false" dtr="false" t="normal">HEX2BIN(G406, 8)</f>
        <v>110111</v>
      </c>
      <c r="H407" s="53" t="n">
        <f aca="false" ca="false" dt2D="false" dtr="false" t="normal">Q402&amp;Q403&amp;Q404&amp;Q405&amp;Q406&amp;Q407&amp;Q408&amp;Q409</f>
        <v>0</v>
      </c>
      <c r="I407" s="53" t="n">
        <f aca="false" ca="false" dt2D="false" dtr="false" t="normal">U402&amp;U403&amp;U404&amp;U405&amp;U406&amp;U407&amp;U408&amp;U409</f>
        <v>0</v>
      </c>
      <c r="J407" s="53" t="n">
        <f aca="false" ca="false" dt2D="false" dtr="false" t="normal">Y402&amp;Y403&amp;Y404&amp;Y405&amp;Y406&amp;Y407&amp;Y408&amp;Y409</f>
        <v>0</v>
      </c>
      <c r="K407" s="53" t="n">
        <f aca="false" ca="false" dt2D="false" dtr="false" t="normal">AC402&amp;AC403&amp;AC404&amp;AC405&amp;AC406&amp;AC407&amp;AC408&amp;AC409</f>
        <v>0</v>
      </c>
      <c r="L407" s="53" t="n">
        <f aca="false" ca="false" dt2D="false" dtr="false" t="normal">AG402&amp;AG403&amp;AG404&amp;AG405&amp;AG406&amp;AG407&amp;AG408&amp;AG409</f>
        <v>0</v>
      </c>
      <c r="M407" s="53" t="str">
        <f aca="false" ca="false" dt2D="false" dtr="false" t="normal">DEC2HEX(M408)</f>
        <v>E4</v>
      </c>
      <c r="N407" s="63" t="n"/>
      <c r="P407" s="136" t="n">
        <f aca="false" ca="false" dt2D="false" dtr="false" t="normal">MID(H402, 6, 1)</f>
        <v>0</v>
      </c>
      <c r="Q407" s="137" t="n">
        <f aca="false" ca="false" dt2D="false" dtr="false" t="normal">P407</f>
        <v>0</v>
      </c>
      <c r="R407" s="120" t="s">
        <v>203</v>
      </c>
      <c r="S407" s="131" t="s">
        <v>196</v>
      </c>
      <c r="T407" s="136" t="n">
        <f aca="false" ca="false" dt2D="false" dtr="false" t="normal">MID(I402, 6, 1)</f>
        <v>0</v>
      </c>
      <c r="U407" s="137" t="n">
        <f aca="false" ca="false" dt2D="false" dtr="false" t="normal">T407</f>
        <v>0</v>
      </c>
      <c r="V407" s="120" t="s">
        <v>203</v>
      </c>
      <c r="W407" s="131" t="s">
        <v>196</v>
      </c>
      <c r="X407" s="136" t="n">
        <f aca="false" ca="false" dt2D="false" dtr="false" t="normal">MID(J402, 6, 1)</f>
        <v>0</v>
      </c>
      <c r="Y407" s="137" t="n">
        <f aca="false" ca="false" dt2D="false" dtr="false" t="normal">X407</f>
        <v>0</v>
      </c>
      <c r="Z407" s="120" t="s">
        <v>203</v>
      </c>
      <c r="AA407" s="131" t="s">
        <v>196</v>
      </c>
      <c r="AB407" s="136" t="n">
        <f aca="false" ca="false" dt2D="false" dtr="false" t="normal">MID(K402, 6, 1)</f>
        <v>0</v>
      </c>
      <c r="AC407" s="137" t="n">
        <f aca="false" ca="false" dt2D="false" dtr="false" t="normal">AB407</f>
        <v>0</v>
      </c>
      <c r="AD407" s="120" t="s">
        <v>203</v>
      </c>
      <c r="AE407" s="131" t="s">
        <v>196</v>
      </c>
      <c r="AF407" s="136" t="n">
        <f aca="false" ca="false" dt2D="false" dtr="false" t="normal">MID(L402, 6, 1)</f>
        <v>0</v>
      </c>
      <c r="AG407" s="137" t="n">
        <f aca="false" ca="false" dt2D="false" dtr="false" t="normal">AF407</f>
        <v>0</v>
      </c>
      <c r="AH407" s="120" t="s">
        <v>203</v>
      </c>
      <c r="AI407" s="131" t="s">
        <v>196</v>
      </c>
      <c r="AJ407" s="9657" t="s"/>
      <c r="AK407" s="9658" t="s"/>
    </row>
    <row hidden="false" ht="15" outlineLevel="0" r="408">
      <c r="C408" s="98" t="s">
        <v>191</v>
      </c>
      <c r="D408" s="149" t="n">
        <f aca="false" ca="false" dt2D="false" dtr="false" t="normal">HEX2DEC(D406)</f>
        <v>7</v>
      </c>
      <c r="E408" s="149" t="n">
        <f aca="false" ca="false" dt2D="false" dtr="false" t="normal">HEX2DEC(E406)</f>
        <v>165</v>
      </c>
      <c r="F408" s="149" t="n">
        <f aca="false" ca="false" dt2D="false" dtr="false" t="normal">HEX2DEC(F406)</f>
        <v>1</v>
      </c>
      <c r="G408" s="149" t="n">
        <f aca="false" ca="false" dt2D="false" dtr="false" t="normal">HEX2DEC(G406)</f>
        <v>55</v>
      </c>
      <c r="H408" s="53" t="n">
        <f aca="false" ca="false" dt2D="false" dtr="false" t="normal">HEX2DEC(H406)</f>
        <v>0</v>
      </c>
      <c r="I408" s="53" t="n">
        <f aca="false" ca="false" dt2D="false" dtr="false" t="normal">HEX2DEC(I406)</f>
        <v>0</v>
      </c>
      <c r="J408" s="53" t="n">
        <f aca="false" ca="false" dt2D="false" dtr="false" t="normal">HEX2DEC(J406)</f>
        <v>0</v>
      </c>
      <c r="K408" s="53" t="n">
        <f aca="false" ca="false" dt2D="false" dtr="false" t="normal">HEX2DEC(K406)</f>
        <v>0</v>
      </c>
      <c r="L408" s="53" t="n">
        <f aca="false" ca="false" dt2D="false" dtr="false" t="normal">HEX2DEC(L406)</f>
        <v>0</v>
      </c>
      <c r="M408" s="53" t="n">
        <f aca="false" ca="false" dt2D="false" dtr="false" t="normal">SUM(D408:L408)</f>
        <v>228</v>
      </c>
      <c r="N408" s="63" t="n"/>
      <c r="P408" s="136" t="n">
        <f aca="false" ca="false" dt2D="false" dtr="false" t="normal">MID(H402, 7, 1)</f>
        <v>0</v>
      </c>
      <c r="Q408" s="137" t="n">
        <f aca="false" ca="false" dt2D="false" dtr="false" t="normal">P408</f>
        <v>0</v>
      </c>
      <c r="R408" s="120" t="s">
        <v>206</v>
      </c>
      <c r="S408" s="131" t="s">
        <v>196</v>
      </c>
      <c r="T408" s="136" t="n">
        <f aca="false" ca="false" dt2D="false" dtr="false" t="normal">MID(I402, 7, 1)</f>
        <v>0</v>
      </c>
      <c r="U408" s="137" t="n">
        <f aca="false" ca="false" dt2D="false" dtr="false" t="normal">T408</f>
        <v>0</v>
      </c>
      <c r="V408" s="120" t="s">
        <v>206</v>
      </c>
      <c r="W408" s="131" t="s">
        <v>196</v>
      </c>
      <c r="X408" s="136" t="n">
        <f aca="false" ca="false" dt2D="false" dtr="false" t="normal">MID(J402, 7, 1)</f>
        <v>0</v>
      </c>
      <c r="Y408" s="137" t="n">
        <f aca="false" ca="false" dt2D="false" dtr="false" t="normal">X408</f>
        <v>0</v>
      </c>
      <c r="Z408" s="120" t="s">
        <v>206</v>
      </c>
      <c r="AA408" s="131" t="s">
        <v>196</v>
      </c>
      <c r="AB408" s="136" t="n">
        <f aca="false" ca="false" dt2D="false" dtr="false" t="normal">MID(K402, 7, 1)</f>
        <v>0</v>
      </c>
      <c r="AC408" s="137" t="n">
        <f aca="false" ca="false" dt2D="false" dtr="false" t="normal">AB408</f>
        <v>0</v>
      </c>
      <c r="AD408" s="120" t="s">
        <v>206</v>
      </c>
      <c r="AE408" s="131" t="s">
        <v>196</v>
      </c>
      <c r="AF408" s="136" t="n">
        <f aca="false" ca="false" dt2D="false" dtr="false" t="normal">MID(L402, 7, 1)</f>
        <v>0</v>
      </c>
      <c r="AG408" s="137" t="n">
        <f aca="false" ca="false" dt2D="false" dtr="false" t="normal">AF408</f>
        <v>0</v>
      </c>
      <c r="AH408" s="120" t="s">
        <v>206</v>
      </c>
      <c r="AI408" s="131" t="s">
        <v>196</v>
      </c>
      <c r="AJ408" s="9659" t="s"/>
      <c r="AK408" s="9660" t="s"/>
    </row>
    <row hidden="false" ht="15.75" outlineLevel="0" r="409">
      <c r="C409" s="180" t="s">
        <v>194</v>
      </c>
      <c r="D409" s="181" t="n">
        <f aca="false" ca="false" dt2D="false" dtr="false" t="normal">D404</f>
        <v>7</v>
      </c>
      <c r="E409" s="181" t="str">
        <f aca="false" ca="false" dt2D="false" dtr="false" t="normal">E404</f>
        <v>A5</v>
      </c>
      <c r="F409" s="181" t="str">
        <f aca="false" ca="false" dt2D="false" dtr="false" t="normal">F404</f>
        <v>G1</v>
      </c>
      <c r="G409" s="181" t="str">
        <f aca="false" ca="false" dt2D="false" dtr="false" t="normal">G404</f>
        <v>I5</v>
      </c>
      <c r="H409" s="45" t="n"/>
      <c r="I409" s="45" t="n"/>
      <c r="J409" s="45" t="n"/>
      <c r="K409" s="45" t="n"/>
      <c r="L409" s="45" t="n"/>
      <c r="M409" s="45" t="n"/>
      <c r="N409" s="49" t="n"/>
      <c r="P409" s="182" t="n">
        <f aca="false" ca="false" dt2D="false" dtr="false" t="normal">MID(H402, 8, 1)</f>
        <v>0</v>
      </c>
      <c r="Q409" s="183" t="n">
        <f aca="false" ca="false" dt2D="false" dtr="false" t="normal">P409</f>
        <v>0</v>
      </c>
      <c r="R409" s="184" t="s">
        <v>208</v>
      </c>
      <c r="S409" s="185" t="s">
        <v>196</v>
      </c>
      <c r="T409" s="182" t="n">
        <f aca="false" ca="false" dt2D="false" dtr="false" t="normal">MID(I402, 8, 1)</f>
        <v>0</v>
      </c>
      <c r="U409" s="183" t="n">
        <f aca="false" ca="false" dt2D="false" dtr="false" t="normal">T409</f>
        <v>0</v>
      </c>
      <c r="V409" s="184" t="s">
        <v>208</v>
      </c>
      <c r="W409" s="185" t="s">
        <v>196</v>
      </c>
      <c r="X409" s="182" t="n">
        <f aca="false" ca="false" dt2D="false" dtr="false" t="normal">MID(J402, 8, 1)</f>
        <v>0</v>
      </c>
      <c r="Y409" s="183" t="n">
        <f aca="false" ca="false" dt2D="false" dtr="false" t="normal">X409</f>
        <v>0</v>
      </c>
      <c r="Z409" s="184" t="s">
        <v>208</v>
      </c>
      <c r="AA409" s="185" t="s">
        <v>196</v>
      </c>
      <c r="AB409" s="182" t="n">
        <f aca="false" ca="false" dt2D="false" dtr="false" t="normal">MID(K402, 8, 1)</f>
        <v>0</v>
      </c>
      <c r="AC409" s="183" t="n">
        <f aca="false" ca="false" dt2D="false" dtr="false" t="normal">AB409</f>
        <v>0</v>
      </c>
      <c r="AD409" s="184" t="s">
        <v>208</v>
      </c>
      <c r="AE409" s="185" t="s">
        <v>196</v>
      </c>
      <c r="AF409" s="182" t="n">
        <f aca="false" ca="false" dt2D="false" dtr="false" t="normal">MID(L402, 8, 1)</f>
        <v>0</v>
      </c>
      <c r="AG409" s="183" t="n">
        <f aca="false" ca="false" dt2D="false" dtr="false" t="normal">AF409</f>
        <v>0</v>
      </c>
      <c r="AH409" s="184" t="s">
        <v>208</v>
      </c>
      <c r="AI409" s="185" t="s">
        <v>196</v>
      </c>
      <c r="AJ409" s="9661" t="s"/>
      <c r="AK409" s="9662" t="s"/>
    </row>
    <row hidden="false" ht="15.75" outlineLevel="0" r="410">
      <c r="C410" s="93" t="n"/>
      <c r="D410" s="7585" t="n"/>
      <c r="E410" s="7585" t="n"/>
      <c r="F410" s="7585" t="n"/>
      <c r="G410" s="7585" t="n"/>
      <c r="H410" s="94" t="n"/>
      <c r="I410" s="94" t="n"/>
      <c r="J410" s="94" t="n"/>
      <c r="K410" s="94" t="n"/>
      <c r="L410" s="94" t="n"/>
      <c r="M410" s="94" t="s">
        <v>161</v>
      </c>
      <c r="N410" s="60" t="n"/>
      <c r="P410" s="95" t="str">
        <f aca="false" ca="false" dt2D="false" dtr="false" t="normal">RIGHT(D412, 1)&amp;E412&amp;"-"&amp;F412&amp;"-"&amp;G412</f>
        <v>7A5-01-38</v>
      </c>
      <c r="Q410" s="9663" t="s"/>
      <c r="R410" s="234" t="s">
        <v>4232</v>
      </c>
      <c r="S410" s="9664" t="s"/>
      <c r="T410" s="9665" t="s"/>
      <c r="U410" s="9666" t="s"/>
      <c r="V410" s="9667" t="s"/>
      <c r="W410" s="9668" t="s"/>
      <c r="X410" s="9669" t="s"/>
      <c r="Y410" s="9670" t="s"/>
      <c r="Z410" s="9671" t="s"/>
      <c r="AA410" s="9672" t="s"/>
      <c r="AB410" s="9673" t="s"/>
      <c r="AC410" s="9674" t="s"/>
      <c r="AD410" s="9675" t="s"/>
      <c r="AE410" s="9676" t="s"/>
      <c r="AF410" s="9677" t="s"/>
      <c r="AG410" s="9678" t="s"/>
      <c r="AH410" s="9679" t="s"/>
      <c r="AI410" s="9680" t="s"/>
      <c r="AJ410" s="9681" t="s"/>
      <c r="AK410" s="9682" t="s"/>
    </row>
    <row hidden="false" ht="15.75" outlineLevel="0" r="411">
      <c r="C411" s="98" t="n"/>
      <c r="D411" s="7606" t="s">
        <v>4233</v>
      </c>
      <c r="E411" s="9683" t="s"/>
      <c r="F411" s="9684" t="s"/>
      <c r="G411" s="9685" t="s"/>
      <c r="H411" s="53" t="s">
        <v>165</v>
      </c>
      <c r="I411" s="53" t="s">
        <v>166</v>
      </c>
      <c r="J411" s="53" t="s">
        <v>167</v>
      </c>
      <c r="K411" s="53" t="s">
        <v>168</v>
      </c>
      <c r="L411" s="53" t="s">
        <v>169</v>
      </c>
      <c r="M411" s="53" t="s">
        <v>221</v>
      </c>
      <c r="N411" s="63" t="n"/>
      <c r="P411" s="103" t="s">
        <v>4234</v>
      </c>
      <c r="Q411" s="9686" t="s"/>
      <c r="R411" s="9687" t="s"/>
      <c r="S411" s="9688" t="s"/>
      <c r="T411" s="103" t="s">
        <v>4235</v>
      </c>
      <c r="U411" s="9689" t="s"/>
      <c r="V411" s="9690" t="s"/>
      <c r="W411" s="9691" t="s"/>
      <c r="X411" s="103" t="s">
        <v>4236</v>
      </c>
      <c r="Y411" s="9692" t="s"/>
      <c r="Z411" s="9693" t="s"/>
      <c r="AA411" s="9694" t="s"/>
      <c r="AB411" s="103" t="s">
        <v>4237</v>
      </c>
      <c r="AC411" s="9695" t="s"/>
      <c r="AD411" s="9696" t="s"/>
      <c r="AE411" s="9697" t="s"/>
      <c r="AF411" s="103" t="s">
        <v>4238</v>
      </c>
      <c r="AG411" s="9698" t="s"/>
      <c r="AH411" s="9699" t="s"/>
      <c r="AI411" s="9700" t="s"/>
      <c r="AJ411" s="103" t="s">
        <v>4239</v>
      </c>
      <c r="AK411" s="9701" t="s"/>
    </row>
    <row hidden="false" ht="15.75" outlineLevel="0" r="412">
      <c r="C412" s="98" t="s">
        <v>176</v>
      </c>
      <c r="D412" s="122" t="s">
        <v>177</v>
      </c>
      <c r="E412" s="123" t="s">
        <v>3892</v>
      </c>
      <c r="F412" s="123" t="s">
        <v>179</v>
      </c>
      <c r="G412" s="124" t="s">
        <v>853</v>
      </c>
      <c r="H412" s="273" t="n">
        <f aca="false" ca="false" dt2D="false" dtr="false" t="normal">MID($A$41, 8, 2)</f>
        <v>0</v>
      </c>
      <c r="I412" s="7626" t="n">
        <f aca="false" ca="false" dt2D="false" dtr="false" t="normal">MID($A$41, 10, 2)</f>
        <v>0</v>
      </c>
      <c r="J412" s="7626" t="n">
        <f aca="false" ca="false" dt2D="false" dtr="false" t="normal">MID($A$41, 12, 2)</f>
        <v>0</v>
      </c>
      <c r="K412" s="7626" t="n">
        <f aca="false" ca="false" dt2D="false" dtr="false" t="normal">MID($A$41, 14, 2)</f>
        <v>0</v>
      </c>
      <c r="L412" s="7627" t="n">
        <f aca="false" ca="false" dt2D="false" dtr="false" t="normal">MID($A$41, 16, 2)</f>
        <v>0</v>
      </c>
      <c r="M412" s="7553" t="str">
        <f aca="false" ca="false" dt2D="false" dtr="false" t="normal">MID($A$41, 18, 2)</f>
        <v>E5</v>
      </c>
      <c r="N412" s="63" t="s">
        <v>180</v>
      </c>
      <c r="P412" s="129" t="s">
        <v>180</v>
      </c>
      <c r="Q412" s="130" t="s">
        <v>181</v>
      </c>
      <c r="R412" s="121" t="s">
        <v>182</v>
      </c>
      <c r="S412" s="131" t="n"/>
      <c r="T412" s="129" t="s">
        <v>180</v>
      </c>
      <c r="U412" s="130" t="s">
        <v>181</v>
      </c>
      <c r="V412" s="121" t="s">
        <v>182</v>
      </c>
      <c r="W412" s="131" t="n"/>
      <c r="X412" s="129" t="s">
        <v>180</v>
      </c>
      <c r="Y412" s="130" t="s">
        <v>181</v>
      </c>
      <c r="Z412" s="121" t="s">
        <v>182</v>
      </c>
      <c r="AA412" s="131" t="n"/>
      <c r="AB412" s="129" t="s">
        <v>180</v>
      </c>
      <c r="AC412" s="130" t="s">
        <v>181</v>
      </c>
      <c r="AD412" s="121" t="s">
        <v>182</v>
      </c>
      <c r="AE412" s="131" t="n"/>
      <c r="AF412" s="129" t="s">
        <v>180</v>
      </c>
      <c r="AG412" s="130" t="s">
        <v>181</v>
      </c>
      <c r="AH412" s="121" t="s">
        <v>182</v>
      </c>
      <c r="AI412" s="121" t="n"/>
      <c r="AJ412" s="116" t="s">
        <v>183</v>
      </c>
      <c r="AK412" s="9702" t="s"/>
    </row>
    <row hidden="false" ht="15" outlineLevel="0" r="413">
      <c r="C413" s="98" t="s">
        <v>185</v>
      </c>
      <c r="D413" s="149" t="n">
        <f aca="false" ca="false" dt2D="false" dtr="false" t="normal">HEX2BIN(D412, 8)</f>
        <v>111</v>
      </c>
      <c r="E413" s="149" t="n">
        <f aca="false" ca="false" dt2D="false" dtr="false" t="normal">HEX2BIN(E412, 8)</f>
        <v>10100101</v>
      </c>
      <c r="F413" s="149" t="n">
        <f aca="false" ca="false" dt2D="false" dtr="false" t="normal">HEX2BIN(F412, 8)</f>
        <v>1</v>
      </c>
      <c r="G413" s="149" t="n">
        <f aca="false" ca="false" dt2D="false" dtr="false" t="normal">HEX2BIN(G412, 8)</f>
        <v>111000</v>
      </c>
      <c r="H413" s="53" t="n">
        <f aca="false" ca="false" dt2D="false" dtr="false" t="normal">HEX2BIN(H412, 8)</f>
        <v>0</v>
      </c>
      <c r="I413" s="53" t="n">
        <f aca="false" ca="false" dt2D="false" dtr="false" t="normal">HEX2BIN(I412, 8)</f>
        <v>0</v>
      </c>
      <c r="J413" s="53" t="n">
        <f aca="false" ca="false" dt2D="false" dtr="false" t="normal">HEX2BIN(J412, 8)</f>
        <v>0</v>
      </c>
      <c r="K413" s="53" t="n">
        <f aca="false" ca="false" dt2D="false" dtr="false" t="normal">HEX2BIN(K412, 8)</f>
        <v>0</v>
      </c>
      <c r="L413" s="53" t="n">
        <f aca="false" ca="false" dt2D="false" dtr="false" t="normal">HEX2BIN(L412, 8)</f>
        <v>0</v>
      </c>
      <c r="M413" s="53" t="n"/>
      <c r="N413" s="63" t="n"/>
      <c r="P413" s="136" t="n">
        <f aca="false" ca="false" dt2D="false" dtr="false" t="normal">MID(H413, 1, 1)</f>
        <v>0</v>
      </c>
      <c r="Q413" s="137" t="n">
        <f aca="false" ca="false" dt2D="false" dtr="false" t="normal">P413</f>
        <v>0</v>
      </c>
      <c r="R413" s="120" t="s">
        <v>186</v>
      </c>
      <c r="S413" s="131" t="s">
        <v>196</v>
      </c>
      <c r="T413" s="136" t="n">
        <f aca="false" ca="false" dt2D="false" dtr="false" t="normal">MID(I413, 1, 1)</f>
        <v>0</v>
      </c>
      <c r="U413" s="137" t="n">
        <f aca="false" ca="false" dt2D="false" dtr="false" t="normal">T413</f>
        <v>0</v>
      </c>
      <c r="V413" s="120" t="s">
        <v>186</v>
      </c>
      <c r="W413" s="131" t="s">
        <v>196</v>
      </c>
      <c r="X413" s="136" t="n">
        <f aca="false" ca="false" dt2D="false" dtr="false" t="normal">MID(J413, 1, 1)</f>
        <v>0</v>
      </c>
      <c r="Y413" s="137" t="n">
        <f aca="false" ca="false" dt2D="false" dtr="false" t="normal">X413</f>
        <v>0</v>
      </c>
      <c r="Z413" s="120" t="s">
        <v>186</v>
      </c>
      <c r="AA413" s="131" t="s">
        <v>196</v>
      </c>
      <c r="AB413" s="136" t="n">
        <f aca="false" ca="false" dt2D="false" dtr="false" t="normal">MID(K413, 1, 1)</f>
        <v>0</v>
      </c>
      <c r="AC413" s="137" t="n">
        <f aca="false" ca="false" dt2D="false" dtr="false" t="normal">AB413</f>
        <v>0</v>
      </c>
      <c r="AD413" s="120" t="s">
        <v>186</v>
      </c>
      <c r="AE413" s="131" t="s">
        <v>196</v>
      </c>
      <c r="AF413" s="136" t="n">
        <f aca="false" ca="false" dt2D="false" dtr="false" t="normal">MID(L413, 1, 1)</f>
        <v>0</v>
      </c>
      <c r="AG413" s="137" t="n">
        <f aca="false" ca="false" dt2D="false" dtr="false" t="normal">AF413</f>
        <v>0</v>
      </c>
      <c r="AH413" s="120" t="s">
        <v>186</v>
      </c>
      <c r="AI413" s="131" t="s">
        <v>196</v>
      </c>
      <c r="AJ413" s="9703" t="s"/>
      <c r="AK413" s="9704" t="s"/>
    </row>
    <row hidden="false" ht="15" outlineLevel="0" r="414">
      <c r="C414" s="98" t="s">
        <v>191</v>
      </c>
      <c r="D414" s="149" t="n">
        <f aca="false" ca="false" dt2D="false" dtr="false" t="normal">HEX2DEC(D412)</f>
        <v>7</v>
      </c>
      <c r="E414" s="149" t="n">
        <f aca="false" ca="false" dt2D="false" dtr="false" t="normal">HEX2DEC(E412)</f>
        <v>165</v>
      </c>
      <c r="F414" s="149" t="n">
        <f aca="false" ca="false" dt2D="false" dtr="false" t="normal">HEX2DEC(F412)</f>
        <v>1</v>
      </c>
      <c r="G414" s="149" t="n">
        <f aca="false" ca="false" dt2D="false" dtr="false" t="normal">HEX2DEC(G412)</f>
        <v>56</v>
      </c>
      <c r="H414" s="53" t="n">
        <f aca="false" ca="false" dt2D="false" dtr="false" t="normal">HEX2DEC(H412)</f>
        <v>0</v>
      </c>
      <c r="I414" s="53" t="n">
        <f aca="false" ca="false" dt2D="false" dtr="false" t="normal">HEX2DEC(I412)</f>
        <v>0</v>
      </c>
      <c r="J414" s="53" t="n">
        <f aca="false" ca="false" dt2D="false" dtr="false" t="normal">HEX2DEC(J412)</f>
        <v>0</v>
      </c>
      <c r="K414" s="53" t="n">
        <f aca="false" ca="false" dt2D="false" dtr="false" t="normal">HEX2DEC(K412)</f>
        <v>0</v>
      </c>
      <c r="L414" s="53" t="n">
        <f aca="false" ca="false" dt2D="false" dtr="false" t="normal">HEX2DEC(L412)</f>
        <v>0</v>
      </c>
      <c r="M414" s="53" t="n">
        <f aca="false" ca="false" dt2D="false" dtr="false" t="normal">SUM(D414:L414)</f>
        <v>229</v>
      </c>
      <c r="N414" s="63" t="n"/>
      <c r="P414" s="136" t="n">
        <f aca="false" ca="false" dt2D="false" dtr="false" t="normal">MID(H413, 2, 1)</f>
        <v>0</v>
      </c>
      <c r="Q414" s="137" t="n">
        <f aca="false" ca="false" dt2D="false" dtr="false" t="normal">P414</f>
        <v>0</v>
      </c>
      <c r="R414" s="120" t="s">
        <v>192</v>
      </c>
      <c r="S414" s="131" t="s">
        <v>196</v>
      </c>
      <c r="T414" s="136" t="n">
        <f aca="false" ca="false" dt2D="false" dtr="false" t="normal">MID(I413, 2, 1)</f>
        <v>0</v>
      </c>
      <c r="U414" s="137" t="n">
        <f aca="false" ca="false" dt2D="false" dtr="false" t="normal">T414</f>
        <v>0</v>
      </c>
      <c r="V414" s="120" t="s">
        <v>192</v>
      </c>
      <c r="W414" s="131" t="s">
        <v>196</v>
      </c>
      <c r="X414" s="136" t="n">
        <f aca="false" ca="false" dt2D="false" dtr="false" t="normal">MID(J413, 2, 1)</f>
        <v>0</v>
      </c>
      <c r="Y414" s="137" t="n">
        <f aca="false" ca="false" dt2D="false" dtr="false" t="normal">X414</f>
        <v>0</v>
      </c>
      <c r="Z414" s="120" t="s">
        <v>192</v>
      </c>
      <c r="AA414" s="131" t="s">
        <v>196</v>
      </c>
      <c r="AB414" s="136" t="n">
        <f aca="false" ca="false" dt2D="false" dtr="false" t="normal">MID(K413, 2, 1)</f>
        <v>0</v>
      </c>
      <c r="AC414" s="137" t="n">
        <f aca="false" ca="false" dt2D="false" dtr="false" t="normal">AB414</f>
        <v>0</v>
      </c>
      <c r="AD414" s="120" t="s">
        <v>192</v>
      </c>
      <c r="AE414" s="131" t="s">
        <v>196</v>
      </c>
      <c r="AF414" s="136" t="n">
        <f aca="false" ca="false" dt2D="false" dtr="false" t="normal">MID(L413, 2, 1)</f>
        <v>0</v>
      </c>
      <c r="AG414" s="137" t="n">
        <f aca="false" ca="false" dt2D="false" dtr="false" t="normal">AF414</f>
        <v>0</v>
      </c>
      <c r="AH414" s="120" t="s">
        <v>192</v>
      </c>
      <c r="AI414" s="131" t="s">
        <v>196</v>
      </c>
      <c r="AJ414" s="9705" t="s"/>
      <c r="AK414" s="9706" t="s"/>
    </row>
    <row hidden="false" ht="15" outlineLevel="0" r="415">
      <c r="C415" s="98" t="s">
        <v>194</v>
      </c>
      <c r="D415" s="149" t="n">
        <f aca="false" ca="false" dt2D="false" dtr="false" t="normal">D412</f>
        <v>7</v>
      </c>
      <c r="E415" s="149" t="str">
        <f aca="false" ca="false" dt2D="false" dtr="false" t="normal">E412</f>
        <v>A5</v>
      </c>
      <c r="F415" s="149" t="str">
        <f aca="false" ca="false" dt2D="false" dtr="false" t="normal">MID($A$41, 4, 2)</f>
        <v>G1</v>
      </c>
      <c r="G415" s="149" t="str">
        <f aca="false" ca="false" dt2D="false" dtr="false" t="normal">MID($A$41, 6, 2)</f>
        <v>I6</v>
      </c>
      <c r="N415" s="63" t="n"/>
      <c r="P415" s="136" t="n">
        <f aca="false" ca="false" dt2D="false" dtr="false" t="normal">MID(H413, 3, 1)</f>
        <v>0</v>
      </c>
      <c r="Q415" s="137" t="n">
        <f aca="false" ca="false" dt2D="false" dtr="false" t="normal">P415</f>
        <v>0</v>
      </c>
      <c r="R415" s="120" t="s">
        <v>195</v>
      </c>
      <c r="S415" s="131" t="s">
        <v>196</v>
      </c>
      <c r="T415" s="136" t="n">
        <f aca="false" ca="false" dt2D="false" dtr="false" t="normal">MID(I413, 3, 1)</f>
        <v>0</v>
      </c>
      <c r="U415" s="137" t="n">
        <f aca="false" ca="false" dt2D="false" dtr="false" t="normal">T415</f>
        <v>0</v>
      </c>
      <c r="V415" s="120" t="s">
        <v>195</v>
      </c>
      <c r="W415" s="131" t="s">
        <v>196</v>
      </c>
      <c r="X415" s="136" t="n">
        <f aca="false" ca="false" dt2D="false" dtr="false" t="normal">MID(J413, 3, 1)</f>
        <v>0</v>
      </c>
      <c r="Y415" s="137" t="n">
        <f aca="false" ca="false" dt2D="false" dtr="false" t="normal">X415</f>
        <v>0</v>
      </c>
      <c r="Z415" s="120" t="s">
        <v>195</v>
      </c>
      <c r="AA415" s="131" t="s">
        <v>196</v>
      </c>
      <c r="AB415" s="136" t="n">
        <f aca="false" ca="false" dt2D="false" dtr="false" t="normal">MID(K413, 3, 1)</f>
        <v>0</v>
      </c>
      <c r="AC415" s="137" t="n">
        <f aca="false" ca="false" dt2D="false" dtr="false" t="normal">AB415</f>
        <v>0</v>
      </c>
      <c r="AD415" s="120" t="s">
        <v>195</v>
      </c>
      <c r="AE415" s="131" t="s">
        <v>196</v>
      </c>
      <c r="AF415" s="136" t="n">
        <f aca="false" ca="false" dt2D="false" dtr="false" t="normal">MID(L413, 3, 1)</f>
        <v>0</v>
      </c>
      <c r="AG415" s="137" t="n">
        <f aca="false" ca="false" dt2D="false" dtr="false" t="normal">AF415</f>
        <v>0</v>
      </c>
      <c r="AH415" s="120" t="s">
        <v>195</v>
      </c>
      <c r="AI415" s="131" t="s">
        <v>196</v>
      </c>
      <c r="AJ415" s="9707" t="s"/>
      <c r="AK415" s="9708" t="s"/>
    </row>
    <row hidden="false" ht="15.75" outlineLevel="0" r="416">
      <c r="C416" s="98" t="n"/>
      <c r="N416" s="63" t="n"/>
      <c r="P416" s="136" t="n">
        <f aca="false" ca="false" dt2D="false" dtr="false" t="normal">MID(H413, 4, 1)</f>
        <v>0</v>
      </c>
      <c r="Q416" s="137" t="n">
        <f aca="false" ca="false" dt2D="false" dtr="false" t="normal">P416</f>
        <v>0</v>
      </c>
      <c r="R416" s="120" t="s">
        <v>197</v>
      </c>
      <c r="S416" s="131" t="s">
        <v>196</v>
      </c>
      <c r="T416" s="136" t="n">
        <f aca="false" ca="false" dt2D="false" dtr="false" t="normal">MID(I413, 4, 1)</f>
        <v>0</v>
      </c>
      <c r="U416" s="137" t="n">
        <f aca="false" ca="false" dt2D="false" dtr="false" t="normal">T416</f>
        <v>0</v>
      </c>
      <c r="V416" s="120" t="s">
        <v>197</v>
      </c>
      <c r="W416" s="131" t="s">
        <v>196</v>
      </c>
      <c r="X416" s="136" t="n">
        <f aca="false" ca="false" dt2D="false" dtr="false" t="normal">MID(J413, 4, 1)</f>
        <v>0</v>
      </c>
      <c r="Y416" s="137" t="n">
        <f aca="false" ca="false" dt2D="false" dtr="false" t="normal">X416</f>
        <v>0</v>
      </c>
      <c r="Z416" s="120" t="s">
        <v>197</v>
      </c>
      <c r="AA416" s="131" t="s">
        <v>196</v>
      </c>
      <c r="AB416" s="136" t="n">
        <f aca="false" ca="false" dt2D="false" dtr="false" t="normal">MID(K413, 4, 1)</f>
        <v>0</v>
      </c>
      <c r="AC416" s="137" t="n">
        <f aca="false" ca="false" dt2D="false" dtr="false" t="normal">AB416</f>
        <v>0</v>
      </c>
      <c r="AD416" s="120" t="s">
        <v>197</v>
      </c>
      <c r="AE416" s="131" t="s">
        <v>196</v>
      </c>
      <c r="AF416" s="136" t="n">
        <f aca="false" ca="false" dt2D="false" dtr="false" t="normal">MID(L413, 4, 1)</f>
        <v>0</v>
      </c>
      <c r="AG416" s="137" t="n">
        <f aca="false" ca="false" dt2D="false" dtr="false" t="normal">AF416</f>
        <v>0</v>
      </c>
      <c r="AH416" s="120" t="s">
        <v>197</v>
      </c>
      <c r="AI416" s="131" t="s">
        <v>196</v>
      </c>
      <c r="AJ416" s="9709" t="s"/>
      <c r="AK416" s="9710" t="s"/>
    </row>
    <row hidden="false" ht="15.75" outlineLevel="0" r="417">
      <c r="C417" s="98" t="s">
        <v>176</v>
      </c>
      <c r="D417" s="122" t="n">
        <f aca="false" ca="false" dt2D="false" dtr="false" t="normal">D412</f>
        <v>7</v>
      </c>
      <c r="E417" s="123" t="str">
        <f aca="false" ca="false" dt2D="false" dtr="false" t="normal">E412</f>
        <v>A5</v>
      </c>
      <c r="F417" s="123" t="n">
        <f aca="false" ca="false" dt2D="false" dtr="false" t="normal">F412</f>
        <v>1</v>
      </c>
      <c r="G417" s="124" t="n">
        <f aca="false" ca="false" dt2D="false" dtr="false" t="normal">G412</f>
        <v>38</v>
      </c>
      <c r="H417" s="162" t="n">
        <f aca="false" ca="false" dt2D="false" dtr="false" t="normal">BIN2HEX(H418, 2)</f>
        <v>0</v>
      </c>
      <c r="I417" s="163" t="n">
        <f aca="false" ca="false" dt2D="false" dtr="false" t="normal">BIN2HEX(I418, 2)</f>
        <v>0</v>
      </c>
      <c r="J417" s="164" t="n">
        <f aca="false" ca="false" dt2D="false" dtr="false" t="normal">BIN2HEX(J418, 2)</f>
        <v>0</v>
      </c>
      <c r="K417" s="165" t="n">
        <f aca="false" ca="false" dt2D="false" dtr="false" t="normal">BIN2HEX(K418, 2)</f>
        <v>0</v>
      </c>
      <c r="L417" s="288" t="n">
        <f aca="false" ca="false" dt2D="false" dtr="false" t="normal">BIN2HEX(L418, 2)</f>
        <v>0</v>
      </c>
      <c r="M417" s="166" t="str">
        <f aca="false" ca="false" dt2D="false" dtr="false" t="normal">IF(LEN(M418)&gt;2, MID(M418, 2, 2), M418)</f>
        <v>E5</v>
      </c>
      <c r="N417" s="63" t="s">
        <v>181</v>
      </c>
      <c r="P417" s="136" t="n">
        <f aca="false" ca="false" dt2D="false" dtr="false" t="normal">MID(H413, 5, 1)</f>
        <v>0</v>
      </c>
      <c r="Q417" s="137" t="n">
        <f aca="false" ca="false" dt2D="false" dtr="false" t="normal">P417</f>
        <v>0</v>
      </c>
      <c r="R417" s="120" t="s">
        <v>200</v>
      </c>
      <c r="S417" s="131" t="s">
        <v>196</v>
      </c>
      <c r="T417" s="136" t="n">
        <f aca="false" ca="false" dt2D="false" dtr="false" t="normal">MID(I413, 5, 1)</f>
        <v>0</v>
      </c>
      <c r="U417" s="137" t="n">
        <f aca="false" ca="false" dt2D="false" dtr="false" t="normal">T417</f>
        <v>0</v>
      </c>
      <c r="V417" s="120" t="s">
        <v>200</v>
      </c>
      <c r="W417" s="131" t="s">
        <v>196</v>
      </c>
      <c r="X417" s="136" t="n">
        <f aca="false" ca="false" dt2D="false" dtr="false" t="normal">MID(J413, 5, 1)</f>
        <v>0</v>
      </c>
      <c r="Y417" s="137" t="n">
        <f aca="false" ca="false" dt2D="false" dtr="false" t="normal">X417</f>
        <v>0</v>
      </c>
      <c r="Z417" s="120" t="s">
        <v>200</v>
      </c>
      <c r="AA417" s="131" t="s">
        <v>196</v>
      </c>
      <c r="AB417" s="136" t="n">
        <f aca="false" ca="false" dt2D="false" dtr="false" t="normal">MID(K413, 5, 1)</f>
        <v>0</v>
      </c>
      <c r="AC417" s="137" t="n">
        <f aca="false" ca="false" dt2D="false" dtr="false" t="normal">AB417</f>
        <v>0</v>
      </c>
      <c r="AD417" s="120" t="s">
        <v>200</v>
      </c>
      <c r="AE417" s="131" t="s">
        <v>196</v>
      </c>
      <c r="AF417" s="136" t="n">
        <f aca="false" ca="false" dt2D="false" dtr="false" t="normal">MID(L413, 5, 1)</f>
        <v>0</v>
      </c>
      <c r="AG417" s="137" t="n">
        <f aca="false" ca="false" dt2D="false" dtr="false" t="normal">AF417</f>
        <v>0</v>
      </c>
      <c r="AH417" s="120" t="s">
        <v>200</v>
      </c>
      <c r="AI417" s="131" t="s">
        <v>196</v>
      </c>
      <c r="AJ417" s="9711" t="s"/>
      <c r="AK417" s="9712" t="s"/>
    </row>
    <row hidden="false" ht="15" outlineLevel="0" r="418">
      <c r="C418" s="98" t="s">
        <v>185</v>
      </c>
      <c r="D418" s="149" t="n">
        <f aca="false" ca="false" dt2D="false" dtr="false" t="normal">HEX2BIN(D417, 8)</f>
        <v>111</v>
      </c>
      <c r="E418" s="149" t="n">
        <f aca="false" ca="false" dt2D="false" dtr="false" t="normal">HEX2BIN(E417, 8)</f>
        <v>10100101</v>
      </c>
      <c r="F418" s="149" t="n">
        <f aca="false" ca="false" dt2D="false" dtr="false" t="normal">HEX2BIN(F417, 8)</f>
        <v>1</v>
      </c>
      <c r="G418" s="149" t="n">
        <f aca="false" ca="false" dt2D="false" dtr="false" t="normal">HEX2BIN(G417, 8)</f>
        <v>111000</v>
      </c>
      <c r="H418" s="53" t="n">
        <f aca="false" ca="false" dt2D="false" dtr="false" t="normal">Q413&amp;Q414&amp;Q415&amp;Q416&amp;Q417&amp;Q418&amp;Q419&amp;Q420</f>
        <v>0</v>
      </c>
      <c r="I418" s="53" t="n">
        <f aca="false" ca="false" dt2D="false" dtr="false" t="normal">U413&amp;U414&amp;U415&amp;U416&amp;U417&amp;U418&amp;U419&amp;U420</f>
        <v>0</v>
      </c>
      <c r="J418" s="53" t="n">
        <f aca="false" ca="false" dt2D="false" dtr="false" t="normal">Y413&amp;Y414&amp;Y415&amp;Y416&amp;Y417&amp;Y418&amp;Y419&amp;Y420</f>
        <v>0</v>
      </c>
      <c r="K418" s="53" t="n">
        <f aca="false" ca="false" dt2D="false" dtr="false" t="normal">AC413&amp;AC414&amp;AC415&amp;AC416&amp;AC417&amp;AC418&amp;AC419&amp;AC420</f>
        <v>0</v>
      </c>
      <c r="L418" s="53" t="n">
        <f aca="false" ca="false" dt2D="false" dtr="false" t="normal">AG413&amp;AG414&amp;AG415&amp;AG416&amp;AG417&amp;AG418&amp;AG419&amp;AG420</f>
        <v>0</v>
      </c>
      <c r="M418" s="53" t="str">
        <f aca="false" ca="false" dt2D="false" dtr="false" t="normal">DEC2HEX(M419)</f>
        <v>E5</v>
      </c>
      <c r="N418" s="63" t="n"/>
      <c r="P418" s="136" t="n">
        <f aca="false" ca="false" dt2D="false" dtr="false" t="normal">MID(H413, 6, 1)</f>
        <v>0</v>
      </c>
      <c r="Q418" s="137" t="n">
        <f aca="false" ca="false" dt2D="false" dtr="false" t="normal">P418</f>
        <v>0</v>
      </c>
      <c r="R418" s="120" t="s">
        <v>203</v>
      </c>
      <c r="S418" s="131" t="s">
        <v>196</v>
      </c>
      <c r="T418" s="136" t="n">
        <f aca="false" ca="false" dt2D="false" dtr="false" t="normal">MID(I413, 6, 1)</f>
        <v>0</v>
      </c>
      <c r="U418" s="137" t="n">
        <f aca="false" ca="false" dt2D="false" dtr="false" t="normal">T418</f>
        <v>0</v>
      </c>
      <c r="V418" s="120" t="s">
        <v>203</v>
      </c>
      <c r="W418" s="131" t="s">
        <v>196</v>
      </c>
      <c r="X418" s="136" t="n">
        <f aca="false" ca="false" dt2D="false" dtr="false" t="normal">MID(J413, 6, 1)</f>
        <v>0</v>
      </c>
      <c r="Y418" s="137" t="n">
        <f aca="false" ca="false" dt2D="false" dtr="false" t="normal">X418</f>
        <v>0</v>
      </c>
      <c r="Z418" s="120" t="s">
        <v>203</v>
      </c>
      <c r="AA418" s="131" t="s">
        <v>196</v>
      </c>
      <c r="AB418" s="136" t="n">
        <f aca="false" ca="false" dt2D="false" dtr="false" t="normal">MID(K413, 6, 1)</f>
        <v>0</v>
      </c>
      <c r="AC418" s="137" t="n">
        <f aca="false" ca="false" dt2D="false" dtr="false" t="normal">AB418</f>
        <v>0</v>
      </c>
      <c r="AD418" s="120" t="s">
        <v>203</v>
      </c>
      <c r="AE418" s="131" t="s">
        <v>196</v>
      </c>
      <c r="AF418" s="136" t="n">
        <f aca="false" ca="false" dt2D="false" dtr="false" t="normal">MID(L413, 6, 1)</f>
        <v>0</v>
      </c>
      <c r="AG418" s="137" t="n">
        <f aca="false" ca="false" dt2D="false" dtr="false" t="normal">AF418</f>
        <v>0</v>
      </c>
      <c r="AH418" s="120" t="s">
        <v>203</v>
      </c>
      <c r="AI418" s="131" t="s">
        <v>196</v>
      </c>
      <c r="AJ418" s="9713" t="s"/>
      <c r="AK418" s="9714" t="s"/>
    </row>
    <row hidden="false" ht="15" outlineLevel="0" r="419">
      <c r="C419" s="98" t="s">
        <v>191</v>
      </c>
      <c r="D419" s="149" t="n">
        <f aca="false" ca="false" dt2D="false" dtr="false" t="normal">HEX2DEC(D417)</f>
        <v>7</v>
      </c>
      <c r="E419" s="149" t="n">
        <f aca="false" ca="false" dt2D="false" dtr="false" t="normal">HEX2DEC(E417)</f>
        <v>165</v>
      </c>
      <c r="F419" s="149" t="n">
        <f aca="false" ca="false" dt2D="false" dtr="false" t="normal">HEX2DEC(F417)</f>
        <v>1</v>
      </c>
      <c r="G419" s="149" t="n">
        <f aca="false" ca="false" dt2D="false" dtr="false" t="normal">HEX2DEC(G417)</f>
        <v>56</v>
      </c>
      <c r="H419" s="53" t="n">
        <f aca="false" ca="false" dt2D="false" dtr="false" t="normal">HEX2DEC(H417)</f>
        <v>0</v>
      </c>
      <c r="I419" s="53" t="n">
        <f aca="false" ca="false" dt2D="false" dtr="false" t="normal">HEX2DEC(I417)</f>
        <v>0</v>
      </c>
      <c r="J419" s="53" t="n">
        <f aca="false" ca="false" dt2D="false" dtr="false" t="normal">HEX2DEC(J417)</f>
        <v>0</v>
      </c>
      <c r="K419" s="53" t="n">
        <f aca="false" ca="false" dt2D="false" dtr="false" t="normal">HEX2DEC(K417)</f>
        <v>0</v>
      </c>
      <c r="L419" s="53" t="n">
        <f aca="false" ca="false" dt2D="false" dtr="false" t="normal">HEX2DEC(L417)</f>
        <v>0</v>
      </c>
      <c r="M419" s="53" t="n">
        <f aca="false" ca="false" dt2D="false" dtr="false" t="normal">SUM(D419:L419)</f>
        <v>229</v>
      </c>
      <c r="N419" s="63" t="n"/>
      <c r="P419" s="136" t="n">
        <f aca="false" ca="false" dt2D="false" dtr="false" t="normal">MID(H413, 7, 1)</f>
        <v>0</v>
      </c>
      <c r="Q419" s="137" t="n">
        <f aca="false" ca="false" dt2D="false" dtr="false" t="normal">P419</f>
        <v>0</v>
      </c>
      <c r="R419" s="120" t="s">
        <v>206</v>
      </c>
      <c r="S419" s="131" t="s">
        <v>196</v>
      </c>
      <c r="T419" s="136" t="n">
        <f aca="false" ca="false" dt2D="false" dtr="false" t="normal">MID(I413, 7, 1)</f>
        <v>0</v>
      </c>
      <c r="U419" s="137" t="n">
        <f aca="false" ca="false" dt2D="false" dtr="false" t="normal">T419</f>
        <v>0</v>
      </c>
      <c r="V419" s="120" t="s">
        <v>206</v>
      </c>
      <c r="W419" s="131" t="s">
        <v>196</v>
      </c>
      <c r="X419" s="136" t="n">
        <f aca="false" ca="false" dt2D="false" dtr="false" t="normal">MID(J413, 7, 1)</f>
        <v>0</v>
      </c>
      <c r="Y419" s="137" t="n">
        <f aca="false" ca="false" dt2D="false" dtr="false" t="normal">X419</f>
        <v>0</v>
      </c>
      <c r="Z419" s="120" t="s">
        <v>206</v>
      </c>
      <c r="AA419" s="131" t="s">
        <v>196</v>
      </c>
      <c r="AB419" s="136" t="n">
        <f aca="false" ca="false" dt2D="false" dtr="false" t="normal">MID(K413, 7, 1)</f>
        <v>0</v>
      </c>
      <c r="AC419" s="137" t="n">
        <f aca="false" ca="false" dt2D="false" dtr="false" t="normal">AB419</f>
        <v>0</v>
      </c>
      <c r="AD419" s="120" t="s">
        <v>206</v>
      </c>
      <c r="AE419" s="131" t="s">
        <v>196</v>
      </c>
      <c r="AF419" s="136" t="n">
        <f aca="false" ca="false" dt2D="false" dtr="false" t="normal">MID(L413, 7, 1)</f>
        <v>0</v>
      </c>
      <c r="AG419" s="137" t="n">
        <f aca="false" ca="false" dt2D="false" dtr="false" t="normal">AF419</f>
        <v>0</v>
      </c>
      <c r="AH419" s="120" t="s">
        <v>206</v>
      </c>
      <c r="AI419" s="131" t="s">
        <v>196</v>
      </c>
      <c r="AJ419" s="9715" t="s"/>
      <c r="AK419" s="9716" t="s"/>
    </row>
    <row hidden="false" ht="15.75" outlineLevel="0" r="420">
      <c r="C420" s="180" t="s">
        <v>194</v>
      </c>
      <c r="D420" s="181" t="n">
        <f aca="false" ca="false" dt2D="false" dtr="false" t="normal">D415</f>
        <v>7</v>
      </c>
      <c r="E420" s="181" t="str">
        <f aca="false" ca="false" dt2D="false" dtr="false" t="normal">E415</f>
        <v>A5</v>
      </c>
      <c r="F420" s="181" t="str">
        <f aca="false" ca="false" dt2D="false" dtr="false" t="normal">F415</f>
        <v>G1</v>
      </c>
      <c r="G420" s="181" t="str">
        <f aca="false" ca="false" dt2D="false" dtr="false" t="normal">G415</f>
        <v>I6</v>
      </c>
      <c r="H420" s="45" t="n"/>
      <c r="I420" s="45" t="n"/>
      <c r="J420" s="45" t="n"/>
      <c r="K420" s="45" t="n"/>
      <c r="L420" s="45" t="n"/>
      <c r="M420" s="45" t="n"/>
      <c r="N420" s="49" t="n"/>
      <c r="P420" s="182" t="n">
        <f aca="false" ca="false" dt2D="false" dtr="false" t="normal">MID(H413, 8, 1)</f>
        <v>0</v>
      </c>
      <c r="Q420" s="183" t="n">
        <f aca="false" ca="false" dt2D="false" dtr="false" t="normal">P420</f>
        <v>0</v>
      </c>
      <c r="R420" s="184" t="s">
        <v>208</v>
      </c>
      <c r="S420" s="185" t="s">
        <v>196</v>
      </c>
      <c r="T420" s="182" t="n">
        <f aca="false" ca="false" dt2D="false" dtr="false" t="normal">MID(I413, 8, 1)</f>
        <v>0</v>
      </c>
      <c r="U420" s="183" t="n">
        <f aca="false" ca="false" dt2D="false" dtr="false" t="normal">T420</f>
        <v>0</v>
      </c>
      <c r="V420" s="184" t="s">
        <v>208</v>
      </c>
      <c r="W420" s="185" t="s">
        <v>196</v>
      </c>
      <c r="X420" s="182" t="n">
        <f aca="false" ca="false" dt2D="false" dtr="false" t="normal">MID(J413, 8, 1)</f>
        <v>0</v>
      </c>
      <c r="Y420" s="183" t="n">
        <f aca="false" ca="false" dt2D="false" dtr="false" t="normal">X420</f>
        <v>0</v>
      </c>
      <c r="Z420" s="184" t="s">
        <v>208</v>
      </c>
      <c r="AA420" s="185" t="s">
        <v>196</v>
      </c>
      <c r="AB420" s="182" t="n">
        <f aca="false" ca="false" dt2D="false" dtr="false" t="normal">MID(K413, 8, 1)</f>
        <v>0</v>
      </c>
      <c r="AC420" s="183" t="n">
        <f aca="false" ca="false" dt2D="false" dtr="false" t="normal">AB420</f>
        <v>0</v>
      </c>
      <c r="AD420" s="184" t="s">
        <v>208</v>
      </c>
      <c r="AE420" s="185" t="s">
        <v>196</v>
      </c>
      <c r="AF420" s="182" t="n">
        <f aca="false" ca="false" dt2D="false" dtr="false" t="normal">MID(L413, 8, 1)</f>
        <v>0</v>
      </c>
      <c r="AG420" s="183" t="n">
        <f aca="false" ca="false" dt2D="false" dtr="false" t="normal">AF420</f>
        <v>0</v>
      </c>
      <c r="AH420" s="184" t="s">
        <v>208</v>
      </c>
      <c r="AI420" s="185" t="s">
        <v>196</v>
      </c>
      <c r="AJ420" s="9717" t="s"/>
      <c r="AK420" s="9718" t="s"/>
    </row>
    <row hidden="false" ht="15.75" outlineLevel="0" r="421">
      <c r="C421" s="93" t="n"/>
      <c r="D421" s="7585" t="n"/>
      <c r="E421" s="7585" t="n"/>
      <c r="F421" s="7585" t="n"/>
      <c r="G421" s="7585" t="n"/>
      <c r="H421" s="94" t="n"/>
      <c r="I421" s="94" t="n"/>
      <c r="J421" s="94" t="n"/>
      <c r="K421" s="94" t="n"/>
      <c r="L421" s="94" t="n"/>
      <c r="M421" s="94" t="s">
        <v>161</v>
      </c>
      <c r="N421" s="60" t="n"/>
      <c r="P421" s="95" t="str">
        <f aca="false" ca="false" dt2D="false" dtr="false" t="normal">RIGHT(D423, 1)&amp;E423&amp;"-"&amp;F423&amp;"-"&amp;G423</f>
        <v>7A5-01-39</v>
      </c>
      <c r="Q421" s="9719" t="s"/>
      <c r="R421" s="234" t="s">
        <v>4240</v>
      </c>
      <c r="S421" s="9720" t="s"/>
      <c r="T421" s="9721" t="s"/>
      <c r="U421" s="9722" t="s"/>
      <c r="V421" s="9723" t="s"/>
      <c r="W421" s="9724" t="s"/>
      <c r="X421" s="9725" t="s"/>
      <c r="Y421" s="9726" t="s"/>
      <c r="Z421" s="9727" t="s"/>
      <c r="AA421" s="9728" t="s"/>
      <c r="AB421" s="9729" t="s"/>
      <c r="AC421" s="9730" t="s"/>
      <c r="AD421" s="9731" t="s"/>
      <c r="AE421" s="9732" t="s"/>
      <c r="AF421" s="9733" t="s"/>
      <c r="AG421" s="9734" t="s"/>
      <c r="AH421" s="9735" t="s"/>
      <c r="AI421" s="9736" t="s"/>
      <c r="AJ421" s="9737" t="s"/>
      <c r="AK421" s="9738" t="s"/>
    </row>
    <row hidden="false" ht="15.75" outlineLevel="0" r="422">
      <c r="C422" s="98" t="n"/>
      <c r="D422" s="7606" t="s">
        <v>4241</v>
      </c>
      <c r="E422" s="9739" t="s"/>
      <c r="F422" s="9740" t="s"/>
      <c r="G422" s="9741" t="s"/>
      <c r="H422" s="53" t="s">
        <v>165</v>
      </c>
      <c r="I422" s="53" t="s">
        <v>166</v>
      </c>
      <c r="J422" s="53" t="s">
        <v>167</v>
      </c>
      <c r="K422" s="53" t="s">
        <v>168</v>
      </c>
      <c r="L422" s="53" t="s">
        <v>169</v>
      </c>
      <c r="M422" s="53" t="s">
        <v>221</v>
      </c>
      <c r="N422" s="63" t="n"/>
      <c r="P422" s="103" t="s">
        <v>4242</v>
      </c>
      <c r="Q422" s="9742" t="s"/>
      <c r="R422" s="9743" t="s"/>
      <c r="S422" s="9744" t="s"/>
      <c r="T422" s="103" t="s">
        <v>4243</v>
      </c>
      <c r="U422" s="9745" t="s"/>
      <c r="V422" s="9746" t="s"/>
      <c r="W422" s="9747" t="s"/>
      <c r="X422" s="103" t="s">
        <v>4244</v>
      </c>
      <c r="Y422" s="9748" t="s"/>
      <c r="Z422" s="9749" t="s"/>
      <c r="AA422" s="9750" t="s"/>
      <c r="AB422" s="103" t="s">
        <v>4245</v>
      </c>
      <c r="AC422" s="9751" t="s"/>
      <c r="AD422" s="9752" t="s"/>
      <c r="AE422" s="9753" t="s"/>
      <c r="AF422" s="103" t="s">
        <v>4246</v>
      </c>
      <c r="AG422" s="9754" t="s"/>
      <c r="AH422" s="9755" t="s"/>
      <c r="AI422" s="9756" t="s"/>
      <c r="AJ422" s="103" t="s">
        <v>4247</v>
      </c>
      <c r="AK422" s="9757" t="s"/>
    </row>
    <row hidden="false" ht="15.75" outlineLevel="0" r="423">
      <c r="C423" s="98" t="s">
        <v>176</v>
      </c>
      <c r="D423" s="122" t="s">
        <v>177</v>
      </c>
      <c r="E423" s="123" t="s">
        <v>3892</v>
      </c>
      <c r="F423" s="123" t="s">
        <v>179</v>
      </c>
      <c r="G423" s="124" t="s">
        <v>855</v>
      </c>
      <c r="H423" s="273" t="n">
        <f aca="false" ca="false" dt2D="false" dtr="false" t="normal">MID($A$42, 8, 2)</f>
        <v>0</v>
      </c>
      <c r="I423" s="7626" t="n">
        <f aca="false" ca="false" dt2D="false" dtr="false" t="normal">MID($A$42, 10, 2)</f>
        <v>0</v>
      </c>
      <c r="J423" s="7626" t="n">
        <f aca="false" ca="false" dt2D="false" dtr="false" t="normal">MID($A$42, 12, 2)</f>
        <v>0</v>
      </c>
      <c r="K423" s="7626" t="n">
        <f aca="false" ca="false" dt2D="false" dtr="false" t="normal">MID($A$42, 14, 2)</f>
        <v>0</v>
      </c>
      <c r="L423" s="7627" t="n">
        <f aca="false" ca="false" dt2D="false" dtr="false" t="normal">MID($A$42, 16, 2)</f>
        <v>0</v>
      </c>
      <c r="M423" s="7553" t="str">
        <f aca="false" ca="false" dt2D="false" dtr="false" t="normal">MID($A$42, 18, 2)</f>
        <v>E6</v>
      </c>
      <c r="N423" s="63" t="s">
        <v>180</v>
      </c>
      <c r="P423" s="129" t="s">
        <v>180</v>
      </c>
      <c r="Q423" s="130" t="s">
        <v>181</v>
      </c>
      <c r="R423" s="121" t="s">
        <v>182</v>
      </c>
      <c r="S423" s="131" t="n"/>
      <c r="T423" s="129" t="s">
        <v>180</v>
      </c>
      <c r="U423" s="130" t="s">
        <v>181</v>
      </c>
      <c r="V423" s="121" t="s">
        <v>182</v>
      </c>
      <c r="W423" s="131" t="n"/>
      <c r="X423" s="129" t="s">
        <v>180</v>
      </c>
      <c r="Y423" s="130" t="s">
        <v>181</v>
      </c>
      <c r="Z423" s="121" t="s">
        <v>182</v>
      </c>
      <c r="AA423" s="131" t="n"/>
      <c r="AB423" s="129" t="s">
        <v>180</v>
      </c>
      <c r="AC423" s="130" t="s">
        <v>181</v>
      </c>
      <c r="AD423" s="121" t="s">
        <v>182</v>
      </c>
      <c r="AE423" s="131" t="n"/>
      <c r="AF423" s="129" t="s">
        <v>180</v>
      </c>
      <c r="AG423" s="130" t="s">
        <v>181</v>
      </c>
      <c r="AH423" s="121" t="s">
        <v>182</v>
      </c>
      <c r="AI423" s="121" t="n"/>
      <c r="AJ423" s="116" t="s">
        <v>183</v>
      </c>
      <c r="AK423" s="9758" t="s"/>
    </row>
    <row hidden="false" ht="15" outlineLevel="0" r="424">
      <c r="C424" s="98" t="s">
        <v>185</v>
      </c>
      <c r="D424" s="149" t="n">
        <f aca="false" ca="false" dt2D="false" dtr="false" t="normal">HEX2BIN(D423, 8)</f>
        <v>111</v>
      </c>
      <c r="E424" s="149" t="n">
        <f aca="false" ca="false" dt2D="false" dtr="false" t="normal">HEX2BIN(E423, 8)</f>
        <v>10100101</v>
      </c>
      <c r="F424" s="149" t="n">
        <f aca="false" ca="false" dt2D="false" dtr="false" t="normal">HEX2BIN(F423, 8)</f>
        <v>1</v>
      </c>
      <c r="G424" s="149" t="n">
        <f aca="false" ca="false" dt2D="false" dtr="false" t="normal">HEX2BIN(G423, 8)</f>
        <v>111001</v>
      </c>
      <c r="H424" s="53" t="n">
        <f aca="false" ca="false" dt2D="false" dtr="false" t="normal">HEX2BIN(H423, 8)</f>
        <v>0</v>
      </c>
      <c r="I424" s="53" t="n">
        <f aca="false" ca="false" dt2D="false" dtr="false" t="normal">HEX2BIN(I423, 8)</f>
        <v>0</v>
      </c>
      <c r="J424" s="53" t="n">
        <f aca="false" ca="false" dt2D="false" dtr="false" t="normal">HEX2BIN(J423, 8)</f>
        <v>0</v>
      </c>
      <c r="K424" s="53" t="n">
        <f aca="false" ca="false" dt2D="false" dtr="false" t="normal">HEX2BIN(K423, 8)</f>
        <v>0</v>
      </c>
      <c r="L424" s="53" t="n">
        <f aca="false" ca="false" dt2D="false" dtr="false" t="normal">HEX2BIN(L423, 8)</f>
        <v>0</v>
      </c>
      <c r="M424" s="53" t="n"/>
      <c r="N424" s="63" t="n"/>
      <c r="P424" s="136" t="n">
        <f aca="false" ca="false" dt2D="false" dtr="false" t="normal">MID(H424, 1, 1)</f>
        <v>0</v>
      </c>
      <c r="Q424" s="137" t="n">
        <f aca="false" ca="false" dt2D="false" dtr="false" t="normal">P424</f>
        <v>0</v>
      </c>
      <c r="R424" s="120" t="s">
        <v>186</v>
      </c>
      <c r="S424" s="131" t="s">
        <v>196</v>
      </c>
      <c r="T424" s="136" t="n">
        <f aca="false" ca="false" dt2D="false" dtr="false" t="normal">MID(I424, 1, 1)</f>
        <v>0</v>
      </c>
      <c r="U424" s="137" t="n">
        <f aca="false" ca="false" dt2D="false" dtr="false" t="normal">T424</f>
        <v>0</v>
      </c>
      <c r="V424" s="120" t="s">
        <v>186</v>
      </c>
      <c r="W424" s="131" t="s">
        <v>196</v>
      </c>
      <c r="X424" s="136" t="n">
        <f aca="false" ca="false" dt2D="false" dtr="false" t="normal">MID(J424, 1, 1)</f>
        <v>0</v>
      </c>
      <c r="Y424" s="137" t="n">
        <f aca="false" ca="false" dt2D="false" dtr="false" t="normal">X424</f>
        <v>0</v>
      </c>
      <c r="Z424" s="120" t="s">
        <v>186</v>
      </c>
      <c r="AA424" s="131" t="s">
        <v>196</v>
      </c>
      <c r="AB424" s="136" t="n">
        <f aca="false" ca="false" dt2D="false" dtr="false" t="normal">MID(K424, 1, 1)</f>
        <v>0</v>
      </c>
      <c r="AC424" s="137" t="n">
        <f aca="false" ca="false" dt2D="false" dtr="false" t="normal">AB424</f>
        <v>0</v>
      </c>
      <c r="AD424" s="120" t="s">
        <v>186</v>
      </c>
      <c r="AE424" s="131" t="s">
        <v>196</v>
      </c>
      <c r="AF424" s="136" t="n">
        <f aca="false" ca="false" dt2D="false" dtr="false" t="normal">MID(L424, 1, 1)</f>
        <v>0</v>
      </c>
      <c r="AG424" s="137" t="n">
        <f aca="false" ca="false" dt2D="false" dtr="false" t="normal">AF424</f>
        <v>0</v>
      </c>
      <c r="AH424" s="120" t="s">
        <v>186</v>
      </c>
      <c r="AI424" s="131" t="s">
        <v>196</v>
      </c>
      <c r="AJ424" s="9759" t="s"/>
      <c r="AK424" s="9760" t="s"/>
    </row>
    <row hidden="false" ht="15" outlineLevel="0" r="425">
      <c r="C425" s="98" t="s">
        <v>191</v>
      </c>
      <c r="D425" s="149" t="n">
        <f aca="false" ca="false" dt2D="false" dtr="false" t="normal">HEX2DEC(D423)</f>
        <v>7</v>
      </c>
      <c r="E425" s="149" t="n">
        <f aca="false" ca="false" dt2D="false" dtr="false" t="normal">HEX2DEC(E423)</f>
        <v>165</v>
      </c>
      <c r="F425" s="149" t="n">
        <f aca="false" ca="false" dt2D="false" dtr="false" t="normal">HEX2DEC(F423)</f>
        <v>1</v>
      </c>
      <c r="G425" s="149" t="n">
        <f aca="false" ca="false" dt2D="false" dtr="false" t="normal">HEX2DEC(G423)</f>
        <v>57</v>
      </c>
      <c r="H425" s="53" t="n">
        <f aca="false" ca="false" dt2D="false" dtr="false" t="normal">HEX2DEC(H423)</f>
        <v>0</v>
      </c>
      <c r="I425" s="53" t="n">
        <f aca="false" ca="false" dt2D="false" dtr="false" t="normal">HEX2DEC(I423)</f>
        <v>0</v>
      </c>
      <c r="J425" s="53" t="n">
        <f aca="false" ca="false" dt2D="false" dtr="false" t="normal">HEX2DEC(J423)</f>
        <v>0</v>
      </c>
      <c r="K425" s="53" t="n">
        <f aca="false" ca="false" dt2D="false" dtr="false" t="normal">HEX2DEC(K423)</f>
        <v>0</v>
      </c>
      <c r="L425" s="53" t="n">
        <f aca="false" ca="false" dt2D="false" dtr="false" t="normal">HEX2DEC(L423)</f>
        <v>0</v>
      </c>
      <c r="M425" s="53" t="n">
        <f aca="false" ca="false" dt2D="false" dtr="false" t="normal">SUM(D425:L425)</f>
        <v>230</v>
      </c>
      <c r="N425" s="63" t="n"/>
      <c r="P425" s="136" t="n">
        <f aca="false" ca="false" dt2D="false" dtr="false" t="normal">MID(H424, 2, 1)</f>
        <v>0</v>
      </c>
      <c r="Q425" s="137" t="n">
        <f aca="false" ca="false" dt2D="false" dtr="false" t="normal">P425</f>
        <v>0</v>
      </c>
      <c r="R425" s="120" t="s">
        <v>192</v>
      </c>
      <c r="S425" s="131" t="s">
        <v>196</v>
      </c>
      <c r="T425" s="136" t="n">
        <f aca="false" ca="false" dt2D="false" dtr="false" t="normal">MID(I424, 2, 1)</f>
        <v>0</v>
      </c>
      <c r="U425" s="137" t="n">
        <f aca="false" ca="false" dt2D="false" dtr="false" t="normal">T425</f>
        <v>0</v>
      </c>
      <c r="V425" s="120" t="s">
        <v>192</v>
      </c>
      <c r="W425" s="131" t="s">
        <v>196</v>
      </c>
      <c r="X425" s="136" t="n">
        <f aca="false" ca="false" dt2D="false" dtr="false" t="normal">MID(J424, 2, 1)</f>
        <v>0</v>
      </c>
      <c r="Y425" s="137" t="n">
        <f aca="false" ca="false" dt2D="false" dtr="false" t="normal">X425</f>
        <v>0</v>
      </c>
      <c r="Z425" s="120" t="s">
        <v>192</v>
      </c>
      <c r="AA425" s="131" t="s">
        <v>196</v>
      </c>
      <c r="AB425" s="136" t="n">
        <f aca="false" ca="false" dt2D="false" dtr="false" t="normal">MID(K424, 2, 1)</f>
        <v>0</v>
      </c>
      <c r="AC425" s="137" t="n">
        <f aca="false" ca="false" dt2D="false" dtr="false" t="normal">AB425</f>
        <v>0</v>
      </c>
      <c r="AD425" s="120" t="s">
        <v>192</v>
      </c>
      <c r="AE425" s="131" t="s">
        <v>196</v>
      </c>
      <c r="AF425" s="136" t="n">
        <f aca="false" ca="false" dt2D="false" dtr="false" t="normal">MID(L424, 2, 1)</f>
        <v>0</v>
      </c>
      <c r="AG425" s="137" t="n">
        <f aca="false" ca="false" dt2D="false" dtr="false" t="normal">AF425</f>
        <v>0</v>
      </c>
      <c r="AH425" s="120" t="s">
        <v>192</v>
      </c>
      <c r="AI425" s="131" t="s">
        <v>196</v>
      </c>
      <c r="AJ425" s="9761" t="s"/>
      <c r="AK425" s="9762" t="s"/>
    </row>
    <row hidden="false" ht="15" outlineLevel="0" r="426">
      <c r="C426" s="98" t="s">
        <v>194</v>
      </c>
      <c r="D426" s="149" t="n">
        <f aca="false" ca="false" dt2D="false" dtr="false" t="normal">D423</f>
        <v>7</v>
      </c>
      <c r="E426" s="149" t="str">
        <f aca="false" ca="false" dt2D="false" dtr="false" t="normal">E423</f>
        <v>A5</v>
      </c>
      <c r="F426" s="149" t="str">
        <f aca="false" ca="false" dt2D="false" dtr="false" t="normal">MID($A$42, 4, 2)</f>
        <v>G1</v>
      </c>
      <c r="G426" s="149" t="str">
        <f aca="false" ca="false" dt2D="false" dtr="false" t="normal">MID($A$42, 6, 2)</f>
        <v>I7</v>
      </c>
      <c r="N426" s="63" t="n"/>
      <c r="P426" s="136" t="n">
        <f aca="false" ca="false" dt2D="false" dtr="false" t="normal">MID(H424, 3, 1)</f>
        <v>0</v>
      </c>
      <c r="Q426" s="137" t="n">
        <f aca="false" ca="false" dt2D="false" dtr="false" t="normal">P426</f>
        <v>0</v>
      </c>
      <c r="R426" s="120" t="s">
        <v>195</v>
      </c>
      <c r="S426" s="131" t="s">
        <v>196</v>
      </c>
      <c r="T426" s="136" t="n">
        <f aca="false" ca="false" dt2D="false" dtr="false" t="normal">MID(I424, 3, 1)</f>
        <v>0</v>
      </c>
      <c r="U426" s="137" t="n">
        <f aca="false" ca="false" dt2D="false" dtr="false" t="normal">T426</f>
        <v>0</v>
      </c>
      <c r="V426" s="120" t="s">
        <v>195</v>
      </c>
      <c r="W426" s="131" t="s">
        <v>196</v>
      </c>
      <c r="X426" s="136" t="n">
        <f aca="false" ca="false" dt2D="false" dtr="false" t="normal">MID(J424, 3, 1)</f>
        <v>0</v>
      </c>
      <c r="Y426" s="137" t="n">
        <f aca="false" ca="false" dt2D="false" dtr="false" t="normal">X426</f>
        <v>0</v>
      </c>
      <c r="Z426" s="120" t="s">
        <v>195</v>
      </c>
      <c r="AA426" s="131" t="s">
        <v>196</v>
      </c>
      <c r="AB426" s="136" t="n">
        <f aca="false" ca="false" dt2D="false" dtr="false" t="normal">MID(K424, 3, 1)</f>
        <v>0</v>
      </c>
      <c r="AC426" s="137" t="n">
        <f aca="false" ca="false" dt2D="false" dtr="false" t="normal">AB426</f>
        <v>0</v>
      </c>
      <c r="AD426" s="120" t="s">
        <v>195</v>
      </c>
      <c r="AE426" s="131" t="s">
        <v>196</v>
      </c>
      <c r="AF426" s="136" t="n">
        <f aca="false" ca="false" dt2D="false" dtr="false" t="normal">MID(L424, 3, 1)</f>
        <v>0</v>
      </c>
      <c r="AG426" s="137" t="n">
        <f aca="false" ca="false" dt2D="false" dtr="false" t="normal">AF426</f>
        <v>0</v>
      </c>
      <c r="AH426" s="120" t="s">
        <v>195</v>
      </c>
      <c r="AI426" s="131" t="s">
        <v>196</v>
      </c>
      <c r="AJ426" s="9763" t="s"/>
      <c r="AK426" s="9764" t="s"/>
    </row>
    <row hidden="false" ht="15.75" outlineLevel="0" r="427">
      <c r="C427" s="98" t="n"/>
      <c r="N427" s="63" t="n"/>
      <c r="P427" s="136" t="n">
        <f aca="false" ca="false" dt2D="false" dtr="false" t="normal">MID(H424, 4, 1)</f>
        <v>0</v>
      </c>
      <c r="Q427" s="137" t="n">
        <f aca="false" ca="false" dt2D="false" dtr="false" t="normal">P427</f>
        <v>0</v>
      </c>
      <c r="R427" s="120" t="s">
        <v>197</v>
      </c>
      <c r="S427" s="131" t="s">
        <v>196</v>
      </c>
      <c r="T427" s="136" t="n">
        <f aca="false" ca="false" dt2D="false" dtr="false" t="normal">MID(I424, 4, 1)</f>
        <v>0</v>
      </c>
      <c r="U427" s="137" t="n">
        <f aca="false" ca="false" dt2D="false" dtr="false" t="normal">T427</f>
        <v>0</v>
      </c>
      <c r="V427" s="120" t="s">
        <v>197</v>
      </c>
      <c r="W427" s="131" t="s">
        <v>196</v>
      </c>
      <c r="X427" s="136" t="n">
        <f aca="false" ca="false" dt2D="false" dtr="false" t="normal">MID(J424, 4, 1)</f>
        <v>0</v>
      </c>
      <c r="Y427" s="137" t="n">
        <f aca="false" ca="false" dt2D="false" dtr="false" t="normal">X427</f>
        <v>0</v>
      </c>
      <c r="Z427" s="120" t="s">
        <v>197</v>
      </c>
      <c r="AA427" s="131" t="s">
        <v>196</v>
      </c>
      <c r="AB427" s="136" t="n">
        <f aca="false" ca="false" dt2D="false" dtr="false" t="normal">MID(K424, 4, 1)</f>
        <v>0</v>
      </c>
      <c r="AC427" s="137" t="n">
        <f aca="false" ca="false" dt2D="false" dtr="false" t="normal">AB427</f>
        <v>0</v>
      </c>
      <c r="AD427" s="120" t="s">
        <v>197</v>
      </c>
      <c r="AE427" s="131" t="s">
        <v>196</v>
      </c>
      <c r="AF427" s="136" t="n">
        <f aca="false" ca="false" dt2D="false" dtr="false" t="normal">MID(L424, 4, 1)</f>
        <v>0</v>
      </c>
      <c r="AG427" s="137" t="n">
        <f aca="false" ca="false" dt2D="false" dtr="false" t="normal">AF427</f>
        <v>0</v>
      </c>
      <c r="AH427" s="120" t="s">
        <v>197</v>
      </c>
      <c r="AI427" s="131" t="s">
        <v>196</v>
      </c>
      <c r="AJ427" s="9765" t="s"/>
      <c r="AK427" s="9766" t="s"/>
    </row>
    <row hidden="false" ht="15.75" outlineLevel="0" r="428">
      <c r="C428" s="98" t="s">
        <v>176</v>
      </c>
      <c r="D428" s="122" t="n">
        <f aca="false" ca="false" dt2D="false" dtr="false" t="normal">D423</f>
        <v>7</v>
      </c>
      <c r="E428" s="123" t="str">
        <f aca="false" ca="false" dt2D="false" dtr="false" t="normal">E423</f>
        <v>A5</v>
      </c>
      <c r="F428" s="123" t="n">
        <f aca="false" ca="false" dt2D="false" dtr="false" t="normal">F423</f>
        <v>1</v>
      </c>
      <c r="G428" s="124" t="n">
        <f aca="false" ca="false" dt2D="false" dtr="false" t="normal">G423</f>
        <v>39</v>
      </c>
      <c r="H428" s="162" t="n">
        <f aca="false" ca="false" dt2D="false" dtr="false" t="normal">BIN2HEX(H429, 2)</f>
        <v>0</v>
      </c>
      <c r="I428" s="163" t="n">
        <f aca="false" ca="false" dt2D="false" dtr="false" t="normal">BIN2HEX(I429, 2)</f>
        <v>0</v>
      </c>
      <c r="J428" s="164" t="n">
        <f aca="false" ca="false" dt2D="false" dtr="false" t="normal">BIN2HEX(J429, 2)</f>
        <v>0</v>
      </c>
      <c r="K428" s="165" t="n">
        <f aca="false" ca="false" dt2D="false" dtr="false" t="normal">BIN2HEX(K429, 2)</f>
        <v>0</v>
      </c>
      <c r="L428" s="288" t="n">
        <f aca="false" ca="false" dt2D="false" dtr="false" t="normal">BIN2HEX(L429, 2)</f>
        <v>0</v>
      </c>
      <c r="M428" s="166" t="str">
        <f aca="false" ca="false" dt2D="false" dtr="false" t="normal">IF(LEN(M429)&gt;2, MID(M429, 2, 2), M429)</f>
        <v>E6</v>
      </c>
      <c r="N428" s="63" t="s">
        <v>181</v>
      </c>
      <c r="P428" s="136" t="n">
        <f aca="false" ca="false" dt2D="false" dtr="false" t="normal">MID(H424, 5, 1)</f>
        <v>0</v>
      </c>
      <c r="Q428" s="137" t="n">
        <f aca="false" ca="false" dt2D="false" dtr="false" t="normal">P428</f>
        <v>0</v>
      </c>
      <c r="R428" s="120" t="s">
        <v>200</v>
      </c>
      <c r="S428" s="131" t="s">
        <v>196</v>
      </c>
      <c r="T428" s="136" t="n">
        <f aca="false" ca="false" dt2D="false" dtr="false" t="normal">MID(I424, 5, 1)</f>
        <v>0</v>
      </c>
      <c r="U428" s="137" t="n">
        <f aca="false" ca="false" dt2D="false" dtr="false" t="normal">T428</f>
        <v>0</v>
      </c>
      <c r="V428" s="120" t="s">
        <v>200</v>
      </c>
      <c r="W428" s="131" t="s">
        <v>196</v>
      </c>
      <c r="X428" s="136" t="n">
        <f aca="false" ca="false" dt2D="false" dtr="false" t="normal">MID(J424, 5, 1)</f>
        <v>0</v>
      </c>
      <c r="Y428" s="137" t="n">
        <f aca="false" ca="false" dt2D="false" dtr="false" t="normal">X428</f>
        <v>0</v>
      </c>
      <c r="Z428" s="120" t="s">
        <v>200</v>
      </c>
      <c r="AA428" s="131" t="s">
        <v>196</v>
      </c>
      <c r="AB428" s="136" t="n">
        <f aca="false" ca="false" dt2D="false" dtr="false" t="normal">MID(K424, 5, 1)</f>
        <v>0</v>
      </c>
      <c r="AC428" s="137" t="n">
        <f aca="false" ca="false" dt2D="false" dtr="false" t="normal">AB428</f>
        <v>0</v>
      </c>
      <c r="AD428" s="120" t="s">
        <v>200</v>
      </c>
      <c r="AE428" s="131" t="s">
        <v>196</v>
      </c>
      <c r="AF428" s="136" t="n">
        <f aca="false" ca="false" dt2D="false" dtr="false" t="normal">MID(L424, 5, 1)</f>
        <v>0</v>
      </c>
      <c r="AG428" s="137" t="n">
        <f aca="false" ca="false" dt2D="false" dtr="false" t="normal">AF428</f>
        <v>0</v>
      </c>
      <c r="AH428" s="120" t="s">
        <v>200</v>
      </c>
      <c r="AI428" s="131" t="s">
        <v>196</v>
      </c>
      <c r="AJ428" s="9767" t="s"/>
      <c r="AK428" s="9768" t="s"/>
    </row>
    <row hidden="false" ht="15" outlineLevel="0" r="429">
      <c r="C429" s="98" t="s">
        <v>185</v>
      </c>
      <c r="D429" s="149" t="n">
        <f aca="false" ca="false" dt2D="false" dtr="false" t="normal">HEX2BIN(D428, 8)</f>
        <v>111</v>
      </c>
      <c r="E429" s="149" t="n">
        <f aca="false" ca="false" dt2D="false" dtr="false" t="normal">HEX2BIN(E428, 8)</f>
        <v>10100101</v>
      </c>
      <c r="F429" s="149" t="n">
        <f aca="false" ca="false" dt2D="false" dtr="false" t="normal">HEX2BIN(F428, 8)</f>
        <v>1</v>
      </c>
      <c r="G429" s="149" t="n">
        <f aca="false" ca="false" dt2D="false" dtr="false" t="normal">HEX2BIN(G428, 8)</f>
        <v>111001</v>
      </c>
      <c r="H429" s="53" t="n">
        <f aca="false" ca="false" dt2D="false" dtr="false" t="normal">Q424&amp;Q425&amp;Q426&amp;Q427&amp;Q428&amp;Q429&amp;Q430&amp;Q431</f>
        <v>0</v>
      </c>
      <c r="I429" s="53" t="n">
        <f aca="false" ca="false" dt2D="false" dtr="false" t="normal">U424&amp;U425&amp;U426&amp;U427&amp;U428&amp;U429&amp;U430&amp;U431</f>
        <v>0</v>
      </c>
      <c r="J429" s="53" t="n">
        <f aca="false" ca="false" dt2D="false" dtr="false" t="normal">Y424&amp;Y425&amp;Y426&amp;Y427&amp;Y428&amp;Y429&amp;Y430&amp;Y431</f>
        <v>0</v>
      </c>
      <c r="K429" s="53" t="n">
        <f aca="false" ca="false" dt2D="false" dtr="false" t="normal">AC424&amp;AC425&amp;AC426&amp;AC427&amp;AC428&amp;AC429&amp;AC430&amp;AC431</f>
        <v>0</v>
      </c>
      <c r="L429" s="53" t="n">
        <f aca="false" ca="false" dt2D="false" dtr="false" t="normal">AG424&amp;AG425&amp;AG426&amp;AG427&amp;AG428&amp;AG429&amp;AG430&amp;AG431</f>
        <v>0</v>
      </c>
      <c r="M429" s="53" t="str">
        <f aca="false" ca="false" dt2D="false" dtr="false" t="normal">DEC2HEX(M430)</f>
        <v>E6</v>
      </c>
      <c r="N429" s="63" t="n"/>
      <c r="P429" s="136" t="n">
        <f aca="false" ca="false" dt2D="false" dtr="false" t="normal">MID(H424, 6, 1)</f>
        <v>0</v>
      </c>
      <c r="Q429" s="137" t="n">
        <f aca="false" ca="false" dt2D="false" dtr="false" t="normal">P429</f>
        <v>0</v>
      </c>
      <c r="R429" s="120" t="s">
        <v>203</v>
      </c>
      <c r="S429" s="131" t="s">
        <v>196</v>
      </c>
      <c r="T429" s="136" t="n">
        <f aca="false" ca="false" dt2D="false" dtr="false" t="normal">MID(I424, 6, 1)</f>
        <v>0</v>
      </c>
      <c r="U429" s="137" t="n">
        <f aca="false" ca="false" dt2D="false" dtr="false" t="normal">T429</f>
        <v>0</v>
      </c>
      <c r="V429" s="120" t="s">
        <v>203</v>
      </c>
      <c r="W429" s="131" t="s">
        <v>196</v>
      </c>
      <c r="X429" s="136" t="n">
        <f aca="false" ca="false" dt2D="false" dtr="false" t="normal">MID(J424, 6, 1)</f>
        <v>0</v>
      </c>
      <c r="Y429" s="137" t="n">
        <f aca="false" ca="false" dt2D="false" dtr="false" t="normal">X429</f>
        <v>0</v>
      </c>
      <c r="Z429" s="120" t="s">
        <v>203</v>
      </c>
      <c r="AA429" s="131" t="s">
        <v>196</v>
      </c>
      <c r="AB429" s="136" t="n">
        <f aca="false" ca="false" dt2D="false" dtr="false" t="normal">MID(K424, 6, 1)</f>
        <v>0</v>
      </c>
      <c r="AC429" s="137" t="n">
        <f aca="false" ca="false" dt2D="false" dtr="false" t="normal">AB429</f>
        <v>0</v>
      </c>
      <c r="AD429" s="120" t="s">
        <v>203</v>
      </c>
      <c r="AE429" s="131" t="s">
        <v>196</v>
      </c>
      <c r="AF429" s="136" t="n">
        <f aca="false" ca="false" dt2D="false" dtr="false" t="normal">MID(L424, 6, 1)</f>
        <v>0</v>
      </c>
      <c r="AG429" s="137" t="n">
        <f aca="false" ca="false" dt2D="false" dtr="false" t="normal">AF429</f>
        <v>0</v>
      </c>
      <c r="AH429" s="120" t="s">
        <v>203</v>
      </c>
      <c r="AI429" s="131" t="s">
        <v>196</v>
      </c>
      <c r="AJ429" s="9769" t="s"/>
      <c r="AK429" s="9770" t="s"/>
    </row>
    <row hidden="false" ht="15" outlineLevel="0" r="430">
      <c r="C430" s="98" t="s">
        <v>191</v>
      </c>
      <c r="D430" s="149" t="n">
        <f aca="false" ca="false" dt2D="false" dtr="false" t="normal">HEX2DEC(D428)</f>
        <v>7</v>
      </c>
      <c r="E430" s="149" t="n">
        <f aca="false" ca="false" dt2D="false" dtr="false" t="normal">HEX2DEC(E428)</f>
        <v>165</v>
      </c>
      <c r="F430" s="149" t="n">
        <f aca="false" ca="false" dt2D="false" dtr="false" t="normal">HEX2DEC(F428)</f>
        <v>1</v>
      </c>
      <c r="G430" s="149" t="n">
        <f aca="false" ca="false" dt2D="false" dtr="false" t="normal">HEX2DEC(G428)</f>
        <v>57</v>
      </c>
      <c r="H430" s="53" t="n">
        <f aca="false" ca="false" dt2D="false" dtr="false" t="normal">HEX2DEC(H428)</f>
        <v>0</v>
      </c>
      <c r="I430" s="53" t="n">
        <f aca="false" ca="false" dt2D="false" dtr="false" t="normal">HEX2DEC(I428)</f>
        <v>0</v>
      </c>
      <c r="J430" s="53" t="n">
        <f aca="false" ca="false" dt2D="false" dtr="false" t="normal">HEX2DEC(J428)</f>
        <v>0</v>
      </c>
      <c r="K430" s="53" t="n">
        <f aca="false" ca="false" dt2D="false" dtr="false" t="normal">HEX2DEC(K428)</f>
        <v>0</v>
      </c>
      <c r="L430" s="53" t="n">
        <f aca="false" ca="false" dt2D="false" dtr="false" t="normal">HEX2DEC(L428)</f>
        <v>0</v>
      </c>
      <c r="M430" s="53" t="n">
        <f aca="false" ca="false" dt2D="false" dtr="false" t="normal">SUM(D430:L430)</f>
        <v>230</v>
      </c>
      <c r="N430" s="63" t="n"/>
      <c r="P430" s="136" t="n">
        <f aca="false" ca="false" dt2D="false" dtr="false" t="normal">MID(H424, 7, 1)</f>
        <v>0</v>
      </c>
      <c r="Q430" s="137" t="n">
        <f aca="false" ca="false" dt2D="false" dtr="false" t="normal">P430</f>
        <v>0</v>
      </c>
      <c r="R430" s="120" t="s">
        <v>206</v>
      </c>
      <c r="S430" s="131" t="s">
        <v>196</v>
      </c>
      <c r="T430" s="136" t="n">
        <f aca="false" ca="false" dt2D="false" dtr="false" t="normal">MID(I424, 7, 1)</f>
        <v>0</v>
      </c>
      <c r="U430" s="137" t="n">
        <f aca="false" ca="false" dt2D="false" dtr="false" t="normal">T430</f>
        <v>0</v>
      </c>
      <c r="V430" s="120" t="s">
        <v>206</v>
      </c>
      <c r="W430" s="131" t="s">
        <v>196</v>
      </c>
      <c r="X430" s="136" t="n">
        <f aca="false" ca="false" dt2D="false" dtr="false" t="normal">MID(J424, 7, 1)</f>
        <v>0</v>
      </c>
      <c r="Y430" s="137" t="n">
        <f aca="false" ca="false" dt2D="false" dtr="false" t="normal">X430</f>
        <v>0</v>
      </c>
      <c r="Z430" s="120" t="s">
        <v>206</v>
      </c>
      <c r="AA430" s="131" t="s">
        <v>196</v>
      </c>
      <c r="AB430" s="136" t="n">
        <f aca="false" ca="false" dt2D="false" dtr="false" t="normal">MID(K424, 7, 1)</f>
        <v>0</v>
      </c>
      <c r="AC430" s="137" t="n">
        <f aca="false" ca="false" dt2D="false" dtr="false" t="normal">AB430</f>
        <v>0</v>
      </c>
      <c r="AD430" s="120" t="s">
        <v>206</v>
      </c>
      <c r="AE430" s="131" t="s">
        <v>196</v>
      </c>
      <c r="AF430" s="136" t="n">
        <f aca="false" ca="false" dt2D="false" dtr="false" t="normal">MID(L424, 7, 1)</f>
        <v>0</v>
      </c>
      <c r="AG430" s="137" t="n">
        <f aca="false" ca="false" dt2D="false" dtr="false" t="normal">AF430</f>
        <v>0</v>
      </c>
      <c r="AH430" s="120" t="s">
        <v>206</v>
      </c>
      <c r="AI430" s="131" t="s">
        <v>196</v>
      </c>
      <c r="AJ430" s="9771" t="s"/>
      <c r="AK430" s="9772" t="s"/>
    </row>
    <row hidden="false" ht="15.75" outlineLevel="0" r="431">
      <c r="C431" s="180" t="s">
        <v>194</v>
      </c>
      <c r="D431" s="181" t="n">
        <f aca="false" ca="false" dt2D="false" dtr="false" t="normal">D426</f>
        <v>7</v>
      </c>
      <c r="E431" s="181" t="str">
        <f aca="false" ca="false" dt2D="false" dtr="false" t="normal">E426</f>
        <v>A5</v>
      </c>
      <c r="F431" s="181" t="str">
        <f aca="false" ca="false" dt2D="false" dtr="false" t="normal">F426</f>
        <v>G1</v>
      </c>
      <c r="G431" s="181" t="str">
        <f aca="false" ca="false" dt2D="false" dtr="false" t="normal">G426</f>
        <v>I7</v>
      </c>
      <c r="H431" s="45" t="n"/>
      <c r="I431" s="45" t="n"/>
      <c r="J431" s="45" t="n"/>
      <c r="K431" s="45" t="n"/>
      <c r="L431" s="45" t="n"/>
      <c r="M431" s="45" t="n"/>
      <c r="N431" s="49" t="n"/>
      <c r="P431" s="182" t="n">
        <f aca="false" ca="false" dt2D="false" dtr="false" t="normal">MID(H424, 8, 1)</f>
        <v>0</v>
      </c>
      <c r="Q431" s="183" t="n">
        <f aca="false" ca="false" dt2D="false" dtr="false" t="normal">P431</f>
        <v>0</v>
      </c>
      <c r="R431" s="184" t="s">
        <v>208</v>
      </c>
      <c r="S431" s="185" t="s">
        <v>196</v>
      </c>
      <c r="T431" s="182" t="n">
        <f aca="false" ca="false" dt2D="false" dtr="false" t="normal">MID(I424, 8, 1)</f>
        <v>0</v>
      </c>
      <c r="U431" s="183" t="n">
        <f aca="false" ca="false" dt2D="false" dtr="false" t="normal">T431</f>
        <v>0</v>
      </c>
      <c r="V431" s="184" t="s">
        <v>208</v>
      </c>
      <c r="W431" s="185" t="s">
        <v>196</v>
      </c>
      <c r="X431" s="182" t="n">
        <f aca="false" ca="false" dt2D="false" dtr="false" t="normal">MID(J424, 8, 1)</f>
        <v>0</v>
      </c>
      <c r="Y431" s="183" t="n">
        <f aca="false" ca="false" dt2D="false" dtr="false" t="normal">X431</f>
        <v>0</v>
      </c>
      <c r="Z431" s="184" t="s">
        <v>208</v>
      </c>
      <c r="AA431" s="185" t="s">
        <v>196</v>
      </c>
      <c r="AB431" s="182" t="n">
        <f aca="false" ca="false" dt2D="false" dtr="false" t="normal">MID(K424, 8, 1)</f>
        <v>0</v>
      </c>
      <c r="AC431" s="183" t="n">
        <f aca="false" ca="false" dt2D="false" dtr="false" t="normal">AB431</f>
        <v>0</v>
      </c>
      <c r="AD431" s="184" t="s">
        <v>208</v>
      </c>
      <c r="AE431" s="185" t="s">
        <v>196</v>
      </c>
      <c r="AF431" s="182" t="n">
        <f aca="false" ca="false" dt2D="false" dtr="false" t="normal">MID(L424, 8, 1)</f>
        <v>0</v>
      </c>
      <c r="AG431" s="183" t="n">
        <f aca="false" ca="false" dt2D="false" dtr="false" t="normal">AF431</f>
        <v>0</v>
      </c>
      <c r="AH431" s="184" t="s">
        <v>208</v>
      </c>
      <c r="AI431" s="185" t="s">
        <v>196</v>
      </c>
      <c r="AJ431" s="9773" t="s"/>
      <c r="AK431" s="9774" t="s"/>
    </row>
    <row hidden="false" ht="15.75" outlineLevel="0" r="432">
      <c r="C432" s="93" t="n"/>
      <c r="D432" s="7585" t="n"/>
      <c r="E432" s="7585" t="n"/>
      <c r="F432" s="7585" t="n"/>
      <c r="G432" s="7585" t="n"/>
      <c r="H432" s="94" t="n"/>
      <c r="I432" s="94" t="n"/>
      <c r="J432" s="94" t="n"/>
      <c r="K432" s="94" t="n"/>
      <c r="L432" s="94" t="n"/>
      <c r="M432" s="94" t="s">
        <v>161</v>
      </c>
      <c r="N432" s="60" t="n"/>
      <c r="P432" s="95" t="str">
        <f aca="false" ca="false" dt2D="false" dtr="false" t="normal">RIGHT(D434, 1)&amp;E434&amp;"-"&amp;F434&amp;"-"&amp;G434</f>
        <v>7A5-01-40</v>
      </c>
      <c r="Q432" s="9775" t="s"/>
      <c r="R432" s="234" t="s">
        <v>4248</v>
      </c>
      <c r="S432" s="9776" t="s"/>
      <c r="T432" s="9777" t="s"/>
      <c r="U432" s="9778" t="s"/>
      <c r="V432" s="9779" t="s"/>
      <c r="W432" s="9780" t="s"/>
      <c r="X432" s="9781" t="s"/>
      <c r="Y432" s="9782" t="s"/>
      <c r="Z432" s="9783" t="s"/>
      <c r="AA432" s="9784" t="s"/>
      <c r="AB432" s="9785" t="s"/>
      <c r="AC432" s="9786" t="s"/>
      <c r="AD432" s="9787" t="s"/>
      <c r="AE432" s="9788" t="s"/>
      <c r="AF432" s="9789" t="s"/>
      <c r="AG432" s="9790" t="s"/>
      <c r="AH432" s="9791" t="s"/>
      <c r="AI432" s="9792" t="s"/>
      <c r="AJ432" s="9793" t="s"/>
      <c r="AK432" s="9794" t="s"/>
    </row>
    <row hidden="false" ht="15.75" outlineLevel="0" r="433">
      <c r="C433" s="98" t="n"/>
      <c r="D433" s="7606" t="s">
        <v>4249</v>
      </c>
      <c r="E433" s="9795" t="s"/>
      <c r="F433" s="9796" t="s"/>
      <c r="G433" s="9797" t="s"/>
      <c r="H433" s="53" t="s">
        <v>165</v>
      </c>
      <c r="I433" s="53" t="s">
        <v>166</v>
      </c>
      <c r="J433" s="53" t="s">
        <v>167</v>
      </c>
      <c r="K433" s="53" t="s">
        <v>168</v>
      </c>
      <c r="L433" s="53" t="s">
        <v>169</v>
      </c>
      <c r="M433" s="53" t="s">
        <v>221</v>
      </c>
      <c r="N433" s="63" t="n"/>
      <c r="P433" s="103" t="s">
        <v>4250</v>
      </c>
      <c r="Q433" s="9798" t="s"/>
      <c r="R433" s="9799" t="s"/>
      <c r="S433" s="9800" t="s"/>
      <c r="T433" s="103" t="s">
        <v>4251</v>
      </c>
      <c r="U433" s="9801" t="s"/>
      <c r="V433" s="9802" t="s"/>
      <c r="W433" s="9803" t="s"/>
      <c r="X433" s="103" t="s">
        <v>4252</v>
      </c>
      <c r="Y433" s="9804" t="s"/>
      <c r="Z433" s="9805" t="s"/>
      <c r="AA433" s="9806" t="s"/>
      <c r="AB433" s="103" t="s">
        <v>4253</v>
      </c>
      <c r="AC433" s="9807" t="s"/>
      <c r="AD433" s="9808" t="s"/>
      <c r="AE433" s="9809" t="s"/>
      <c r="AF433" s="103" t="s">
        <v>4254</v>
      </c>
      <c r="AG433" s="9810" t="s"/>
      <c r="AH433" s="9811" t="s"/>
      <c r="AI433" s="9812" t="s"/>
      <c r="AJ433" s="103" t="s">
        <v>4255</v>
      </c>
      <c r="AK433" s="9813" t="s"/>
    </row>
    <row hidden="false" ht="15.75" outlineLevel="0" r="434">
      <c r="C434" s="98" t="s">
        <v>176</v>
      </c>
      <c r="D434" s="122" t="s">
        <v>177</v>
      </c>
      <c r="E434" s="123" t="s">
        <v>3892</v>
      </c>
      <c r="F434" s="123" t="s">
        <v>179</v>
      </c>
      <c r="G434" s="124" t="s">
        <v>2933</v>
      </c>
      <c r="H434" s="273" t="n">
        <f aca="false" ca="false" dt2D="false" dtr="false" t="normal">MID($A$43, 8, 2)</f>
        <v>0</v>
      </c>
      <c r="I434" s="7626" t="n">
        <f aca="false" ca="false" dt2D="false" dtr="false" t="normal">MID($A$43, 10, 2)</f>
        <v>0</v>
      </c>
      <c r="J434" s="7626" t="n">
        <f aca="false" ca="false" dt2D="false" dtr="false" t="normal">MID($A$43, 12, 2)</f>
        <v>0</v>
      </c>
      <c r="K434" s="7626" t="n">
        <f aca="false" ca="false" dt2D="false" dtr="false" t="normal">MID($A$43, 14, 2)</f>
        <v>0</v>
      </c>
      <c r="L434" s="7627" t="n">
        <f aca="false" ca="false" dt2D="false" dtr="false" t="normal">MID($A$43, 16, 2)</f>
        <v>0</v>
      </c>
      <c r="M434" s="7553" t="str">
        <f aca="false" ca="false" dt2D="false" dtr="false" t="normal">MID($A$43, 18, 2)</f>
        <v>ED</v>
      </c>
      <c r="N434" s="63" t="s">
        <v>180</v>
      </c>
      <c r="P434" s="129" t="s">
        <v>180</v>
      </c>
      <c r="Q434" s="130" t="s">
        <v>181</v>
      </c>
      <c r="R434" s="121" t="s">
        <v>182</v>
      </c>
      <c r="S434" s="131" t="n"/>
      <c r="T434" s="129" t="s">
        <v>180</v>
      </c>
      <c r="U434" s="130" t="s">
        <v>181</v>
      </c>
      <c r="V434" s="121" t="s">
        <v>182</v>
      </c>
      <c r="W434" s="131" t="n"/>
      <c r="X434" s="129" t="s">
        <v>180</v>
      </c>
      <c r="Y434" s="130" t="s">
        <v>181</v>
      </c>
      <c r="Z434" s="121" t="s">
        <v>182</v>
      </c>
      <c r="AA434" s="131" t="n"/>
      <c r="AB434" s="129" t="s">
        <v>180</v>
      </c>
      <c r="AC434" s="130" t="s">
        <v>181</v>
      </c>
      <c r="AD434" s="121" t="s">
        <v>182</v>
      </c>
      <c r="AE434" s="131" t="n"/>
      <c r="AF434" s="129" t="s">
        <v>180</v>
      </c>
      <c r="AG434" s="130" t="s">
        <v>181</v>
      </c>
      <c r="AH434" s="121" t="s">
        <v>182</v>
      </c>
      <c r="AI434" s="121" t="n"/>
      <c r="AJ434" s="116" t="s">
        <v>183</v>
      </c>
      <c r="AK434" s="9814" t="s"/>
    </row>
    <row hidden="false" ht="15" outlineLevel="0" r="435">
      <c r="C435" s="98" t="s">
        <v>185</v>
      </c>
      <c r="D435" s="149" t="n">
        <f aca="false" ca="false" dt2D="false" dtr="false" t="normal">HEX2BIN(D434, 8)</f>
        <v>111</v>
      </c>
      <c r="E435" s="149" t="n">
        <f aca="false" ca="false" dt2D="false" dtr="false" t="normal">HEX2BIN(E434, 8)</f>
        <v>10100101</v>
      </c>
      <c r="F435" s="149" t="n">
        <f aca="false" ca="false" dt2D="false" dtr="false" t="normal">HEX2BIN(F434, 8)</f>
        <v>1</v>
      </c>
      <c r="G435" s="149" t="n">
        <f aca="false" ca="false" dt2D="false" dtr="false" t="normal">HEX2BIN(G434, 8)</f>
        <v>1000000</v>
      </c>
      <c r="H435" s="53" t="n">
        <f aca="false" ca="false" dt2D="false" dtr="false" t="normal">HEX2BIN(H434, 8)</f>
        <v>0</v>
      </c>
      <c r="I435" s="53" t="n">
        <f aca="false" ca="false" dt2D="false" dtr="false" t="normal">HEX2BIN(I434, 8)</f>
        <v>0</v>
      </c>
      <c r="J435" s="53" t="n">
        <f aca="false" ca="false" dt2D="false" dtr="false" t="normal">HEX2BIN(J434, 8)</f>
        <v>0</v>
      </c>
      <c r="K435" s="53" t="n">
        <f aca="false" ca="false" dt2D="false" dtr="false" t="normal">HEX2BIN(K434, 8)</f>
        <v>0</v>
      </c>
      <c r="L435" s="53" t="n">
        <f aca="false" ca="false" dt2D="false" dtr="false" t="normal">HEX2BIN(L434, 8)</f>
        <v>0</v>
      </c>
      <c r="M435" s="53" t="n"/>
      <c r="N435" s="63" t="n"/>
      <c r="P435" s="136" t="n">
        <f aca="false" ca="false" dt2D="false" dtr="false" t="normal">MID(H435, 1, 1)</f>
        <v>0</v>
      </c>
      <c r="Q435" s="137" t="n">
        <f aca="false" ca="false" dt2D="false" dtr="false" t="normal">P435</f>
        <v>0</v>
      </c>
      <c r="R435" s="120" t="s">
        <v>186</v>
      </c>
      <c r="S435" s="131" t="s">
        <v>196</v>
      </c>
      <c r="T435" s="136" t="n">
        <f aca="false" ca="false" dt2D="false" dtr="false" t="normal">MID(I435, 1, 1)</f>
        <v>0</v>
      </c>
      <c r="U435" s="137" t="n">
        <f aca="false" ca="false" dt2D="false" dtr="false" t="normal">T435</f>
        <v>0</v>
      </c>
      <c r="V435" s="120" t="s">
        <v>186</v>
      </c>
      <c r="W435" s="131" t="s">
        <v>196</v>
      </c>
      <c r="X435" s="136" t="n">
        <f aca="false" ca="false" dt2D="false" dtr="false" t="normal">MID(J435, 1, 1)</f>
        <v>0</v>
      </c>
      <c r="Y435" s="137" t="n">
        <f aca="false" ca="false" dt2D="false" dtr="false" t="normal">X435</f>
        <v>0</v>
      </c>
      <c r="Z435" s="120" t="s">
        <v>186</v>
      </c>
      <c r="AA435" s="131" t="s">
        <v>196</v>
      </c>
      <c r="AB435" s="136" t="n">
        <f aca="false" ca="false" dt2D="false" dtr="false" t="normal">MID(K435, 1, 1)</f>
        <v>0</v>
      </c>
      <c r="AC435" s="137" t="n">
        <f aca="false" ca="false" dt2D="false" dtr="false" t="normal">AB435</f>
        <v>0</v>
      </c>
      <c r="AD435" s="120" t="s">
        <v>186</v>
      </c>
      <c r="AE435" s="131" t="s">
        <v>196</v>
      </c>
      <c r="AF435" s="136" t="n">
        <f aca="false" ca="false" dt2D="false" dtr="false" t="normal">MID(L435, 1, 1)</f>
        <v>0</v>
      </c>
      <c r="AG435" s="137" t="n">
        <f aca="false" ca="false" dt2D="false" dtr="false" t="normal">AF435</f>
        <v>0</v>
      </c>
      <c r="AH435" s="120" t="s">
        <v>186</v>
      </c>
      <c r="AI435" s="131" t="s">
        <v>196</v>
      </c>
      <c r="AJ435" s="9815" t="s"/>
      <c r="AK435" s="9816" t="s"/>
    </row>
    <row hidden="false" ht="15" outlineLevel="0" r="436">
      <c r="C436" s="98" t="s">
        <v>191</v>
      </c>
      <c r="D436" s="149" t="n">
        <f aca="false" ca="false" dt2D="false" dtr="false" t="normal">HEX2DEC(D434)</f>
        <v>7</v>
      </c>
      <c r="E436" s="149" t="n">
        <f aca="false" ca="false" dt2D="false" dtr="false" t="normal">HEX2DEC(E434)</f>
        <v>165</v>
      </c>
      <c r="F436" s="149" t="n">
        <f aca="false" ca="false" dt2D="false" dtr="false" t="normal">HEX2DEC(F434)</f>
        <v>1</v>
      </c>
      <c r="G436" s="149" t="n">
        <f aca="false" ca="false" dt2D="false" dtr="false" t="normal">HEX2DEC(G434)</f>
        <v>64</v>
      </c>
      <c r="H436" s="53" t="n">
        <f aca="false" ca="false" dt2D="false" dtr="false" t="normal">HEX2DEC(H434)</f>
        <v>0</v>
      </c>
      <c r="I436" s="53" t="n">
        <f aca="false" ca="false" dt2D="false" dtr="false" t="normal">HEX2DEC(I434)</f>
        <v>0</v>
      </c>
      <c r="J436" s="53" t="n">
        <f aca="false" ca="false" dt2D="false" dtr="false" t="normal">HEX2DEC(J434)</f>
        <v>0</v>
      </c>
      <c r="K436" s="53" t="n">
        <f aca="false" ca="false" dt2D="false" dtr="false" t="normal">HEX2DEC(K434)</f>
        <v>0</v>
      </c>
      <c r="L436" s="53" t="n">
        <f aca="false" ca="false" dt2D="false" dtr="false" t="normal">HEX2DEC(L434)</f>
        <v>0</v>
      </c>
      <c r="M436" s="53" t="n">
        <f aca="false" ca="false" dt2D="false" dtr="false" t="normal">SUM(D436:L436)</f>
        <v>237</v>
      </c>
      <c r="N436" s="63" t="n"/>
      <c r="P436" s="136" t="n">
        <f aca="false" ca="false" dt2D="false" dtr="false" t="normal">MID(H435, 2, 1)</f>
        <v>0</v>
      </c>
      <c r="Q436" s="137" t="n">
        <f aca="false" ca="false" dt2D="false" dtr="false" t="normal">P436</f>
        <v>0</v>
      </c>
      <c r="R436" s="120" t="s">
        <v>192</v>
      </c>
      <c r="S436" s="131" t="s">
        <v>196</v>
      </c>
      <c r="T436" s="136" t="n">
        <f aca="false" ca="false" dt2D="false" dtr="false" t="normal">MID(I435, 2, 1)</f>
        <v>0</v>
      </c>
      <c r="U436" s="137" t="n">
        <f aca="false" ca="false" dt2D="false" dtr="false" t="normal">T436</f>
        <v>0</v>
      </c>
      <c r="V436" s="120" t="s">
        <v>192</v>
      </c>
      <c r="W436" s="131" t="s">
        <v>196</v>
      </c>
      <c r="X436" s="136" t="n">
        <f aca="false" ca="false" dt2D="false" dtr="false" t="normal">MID(J435, 2, 1)</f>
        <v>0</v>
      </c>
      <c r="Y436" s="137" t="n">
        <f aca="false" ca="false" dt2D="false" dtr="false" t="normal">X436</f>
        <v>0</v>
      </c>
      <c r="Z436" s="120" t="s">
        <v>192</v>
      </c>
      <c r="AA436" s="131" t="s">
        <v>196</v>
      </c>
      <c r="AB436" s="136" t="n">
        <f aca="false" ca="false" dt2D="false" dtr="false" t="normal">MID(K435, 2, 1)</f>
        <v>0</v>
      </c>
      <c r="AC436" s="137" t="n">
        <f aca="false" ca="false" dt2D="false" dtr="false" t="normal">AB436</f>
        <v>0</v>
      </c>
      <c r="AD436" s="120" t="s">
        <v>192</v>
      </c>
      <c r="AE436" s="131" t="s">
        <v>196</v>
      </c>
      <c r="AF436" s="136" t="n">
        <f aca="false" ca="false" dt2D="false" dtr="false" t="normal">MID(L435, 2, 1)</f>
        <v>0</v>
      </c>
      <c r="AG436" s="137" t="n">
        <f aca="false" ca="false" dt2D="false" dtr="false" t="normal">AF436</f>
        <v>0</v>
      </c>
      <c r="AH436" s="120" t="s">
        <v>192</v>
      </c>
      <c r="AI436" s="131" t="s">
        <v>196</v>
      </c>
      <c r="AJ436" s="9817" t="s"/>
      <c r="AK436" s="9818" t="s"/>
    </row>
    <row hidden="false" ht="15" outlineLevel="0" r="437">
      <c r="C437" s="98" t="s">
        <v>194</v>
      </c>
      <c r="D437" s="149" t="n">
        <f aca="false" ca="false" dt2D="false" dtr="false" t="normal">D434</f>
        <v>7</v>
      </c>
      <c r="E437" s="149" t="str">
        <f aca="false" ca="false" dt2D="false" dtr="false" t="normal">E434</f>
        <v>A5</v>
      </c>
      <c r="F437" s="149" t="str">
        <f aca="false" ca="false" dt2D="false" dtr="false" t="normal">MID($A$43, 4, 2)</f>
        <v>G1</v>
      </c>
      <c r="G437" s="149" t="str">
        <f aca="false" ca="false" dt2D="false" dtr="false" t="normal">MID($A$43, 6, 2)</f>
        <v>I8</v>
      </c>
      <c r="N437" s="63" t="n"/>
      <c r="P437" s="136" t="n">
        <f aca="false" ca="false" dt2D="false" dtr="false" t="normal">MID(H435, 3, 1)</f>
        <v>0</v>
      </c>
      <c r="Q437" s="137" t="n">
        <f aca="false" ca="false" dt2D="false" dtr="false" t="normal">P437</f>
        <v>0</v>
      </c>
      <c r="R437" s="120" t="s">
        <v>195</v>
      </c>
      <c r="S437" s="131" t="s">
        <v>196</v>
      </c>
      <c r="T437" s="136" t="n">
        <f aca="false" ca="false" dt2D="false" dtr="false" t="normal">MID(I435, 3, 1)</f>
        <v>0</v>
      </c>
      <c r="U437" s="137" t="n">
        <f aca="false" ca="false" dt2D="false" dtr="false" t="normal">T437</f>
        <v>0</v>
      </c>
      <c r="V437" s="120" t="s">
        <v>195</v>
      </c>
      <c r="W437" s="131" t="s">
        <v>196</v>
      </c>
      <c r="X437" s="136" t="n">
        <f aca="false" ca="false" dt2D="false" dtr="false" t="normal">MID(J435, 3, 1)</f>
        <v>0</v>
      </c>
      <c r="Y437" s="137" t="n">
        <f aca="false" ca="false" dt2D="false" dtr="false" t="normal">X437</f>
        <v>0</v>
      </c>
      <c r="Z437" s="120" t="s">
        <v>195</v>
      </c>
      <c r="AA437" s="131" t="s">
        <v>196</v>
      </c>
      <c r="AB437" s="136" t="n">
        <f aca="false" ca="false" dt2D="false" dtr="false" t="normal">MID(K435, 3, 1)</f>
        <v>0</v>
      </c>
      <c r="AC437" s="137" t="n">
        <f aca="false" ca="false" dt2D="false" dtr="false" t="normal">AB437</f>
        <v>0</v>
      </c>
      <c r="AD437" s="120" t="s">
        <v>195</v>
      </c>
      <c r="AE437" s="131" t="s">
        <v>196</v>
      </c>
      <c r="AF437" s="136" t="n">
        <f aca="false" ca="false" dt2D="false" dtr="false" t="normal">MID(L435, 3, 1)</f>
        <v>0</v>
      </c>
      <c r="AG437" s="137" t="n">
        <f aca="false" ca="false" dt2D="false" dtr="false" t="normal">AF437</f>
        <v>0</v>
      </c>
      <c r="AH437" s="120" t="s">
        <v>195</v>
      </c>
      <c r="AI437" s="131" t="s">
        <v>196</v>
      </c>
      <c r="AJ437" s="9819" t="s"/>
      <c r="AK437" s="9820" t="s"/>
    </row>
    <row hidden="false" ht="15.75" outlineLevel="0" r="438">
      <c r="C438" s="98" t="n"/>
      <c r="N438" s="63" t="n"/>
      <c r="P438" s="136" t="n">
        <f aca="false" ca="false" dt2D="false" dtr="false" t="normal">MID(H435, 4, 1)</f>
        <v>0</v>
      </c>
      <c r="Q438" s="137" t="n">
        <f aca="false" ca="false" dt2D="false" dtr="false" t="normal">P438</f>
        <v>0</v>
      </c>
      <c r="R438" s="120" t="s">
        <v>197</v>
      </c>
      <c r="S438" s="131" t="s">
        <v>196</v>
      </c>
      <c r="T438" s="136" t="n">
        <f aca="false" ca="false" dt2D="false" dtr="false" t="normal">MID(I435, 4, 1)</f>
        <v>0</v>
      </c>
      <c r="U438" s="137" t="n">
        <f aca="false" ca="false" dt2D="false" dtr="false" t="normal">T438</f>
        <v>0</v>
      </c>
      <c r="V438" s="120" t="s">
        <v>197</v>
      </c>
      <c r="W438" s="131" t="s">
        <v>196</v>
      </c>
      <c r="X438" s="136" t="n">
        <f aca="false" ca="false" dt2D="false" dtr="false" t="normal">MID(J435, 4, 1)</f>
        <v>0</v>
      </c>
      <c r="Y438" s="137" t="n">
        <f aca="false" ca="false" dt2D="false" dtr="false" t="normal">X438</f>
        <v>0</v>
      </c>
      <c r="Z438" s="120" t="s">
        <v>197</v>
      </c>
      <c r="AA438" s="131" t="s">
        <v>196</v>
      </c>
      <c r="AB438" s="136" t="n">
        <f aca="false" ca="false" dt2D="false" dtr="false" t="normal">MID(K435, 4, 1)</f>
        <v>0</v>
      </c>
      <c r="AC438" s="137" t="n">
        <f aca="false" ca="false" dt2D="false" dtr="false" t="normal">AB438</f>
        <v>0</v>
      </c>
      <c r="AD438" s="120" t="s">
        <v>197</v>
      </c>
      <c r="AE438" s="131" t="s">
        <v>196</v>
      </c>
      <c r="AF438" s="136" t="n">
        <f aca="false" ca="false" dt2D="false" dtr="false" t="normal">MID(L435, 4, 1)</f>
        <v>0</v>
      </c>
      <c r="AG438" s="137" t="n">
        <f aca="false" ca="false" dt2D="false" dtr="false" t="normal">AF438</f>
        <v>0</v>
      </c>
      <c r="AH438" s="120" t="s">
        <v>197</v>
      </c>
      <c r="AI438" s="131" t="s">
        <v>196</v>
      </c>
      <c r="AJ438" s="9821" t="s"/>
      <c r="AK438" s="9822" t="s"/>
    </row>
    <row hidden="false" ht="15.75" outlineLevel="0" r="439">
      <c r="C439" s="98" t="s">
        <v>176</v>
      </c>
      <c r="D439" s="122" t="n">
        <f aca="false" ca="false" dt2D="false" dtr="false" t="normal">D434</f>
        <v>7</v>
      </c>
      <c r="E439" s="123" t="str">
        <f aca="false" ca="false" dt2D="false" dtr="false" t="normal">E434</f>
        <v>A5</v>
      </c>
      <c r="F439" s="123" t="n">
        <f aca="false" ca="false" dt2D="false" dtr="false" t="normal">F434</f>
        <v>1</v>
      </c>
      <c r="G439" s="124" t="n">
        <f aca="false" ca="false" dt2D="false" dtr="false" t="normal">G434</f>
        <v>40</v>
      </c>
      <c r="H439" s="162" t="n">
        <f aca="false" ca="false" dt2D="false" dtr="false" t="normal">BIN2HEX(H440, 2)</f>
        <v>0</v>
      </c>
      <c r="I439" s="163" t="n">
        <f aca="false" ca="false" dt2D="false" dtr="false" t="normal">BIN2HEX(I440, 2)</f>
        <v>0</v>
      </c>
      <c r="J439" s="164" t="n">
        <f aca="false" ca="false" dt2D="false" dtr="false" t="normal">BIN2HEX(J440, 2)</f>
        <v>0</v>
      </c>
      <c r="K439" s="165" t="n">
        <f aca="false" ca="false" dt2D="false" dtr="false" t="normal">BIN2HEX(K440, 2)</f>
        <v>0</v>
      </c>
      <c r="L439" s="288" t="n">
        <f aca="false" ca="false" dt2D="false" dtr="false" t="normal">BIN2HEX(L440, 2)</f>
        <v>0</v>
      </c>
      <c r="M439" s="166" t="str">
        <f aca="false" ca="false" dt2D="false" dtr="false" t="normal">IF(LEN(M440)&gt;2, MID(M440, 2, 2), M440)</f>
        <v>ED</v>
      </c>
      <c r="N439" s="63" t="s">
        <v>181</v>
      </c>
      <c r="P439" s="136" t="n">
        <f aca="false" ca="false" dt2D="false" dtr="false" t="normal">MID(H435, 5, 1)</f>
        <v>0</v>
      </c>
      <c r="Q439" s="137" t="n">
        <f aca="false" ca="false" dt2D="false" dtr="false" t="normal">P439</f>
        <v>0</v>
      </c>
      <c r="R439" s="120" t="s">
        <v>200</v>
      </c>
      <c r="S439" s="131" t="s">
        <v>196</v>
      </c>
      <c r="T439" s="136" t="n">
        <f aca="false" ca="false" dt2D="false" dtr="false" t="normal">MID(I435, 5, 1)</f>
        <v>0</v>
      </c>
      <c r="U439" s="137" t="n">
        <f aca="false" ca="false" dt2D="false" dtr="false" t="normal">T439</f>
        <v>0</v>
      </c>
      <c r="V439" s="120" t="s">
        <v>200</v>
      </c>
      <c r="W439" s="131" t="s">
        <v>196</v>
      </c>
      <c r="X439" s="136" t="n">
        <f aca="false" ca="false" dt2D="false" dtr="false" t="normal">MID(J435, 5, 1)</f>
        <v>0</v>
      </c>
      <c r="Y439" s="137" t="n">
        <f aca="false" ca="false" dt2D="false" dtr="false" t="normal">X439</f>
        <v>0</v>
      </c>
      <c r="Z439" s="120" t="s">
        <v>200</v>
      </c>
      <c r="AA439" s="131" t="s">
        <v>196</v>
      </c>
      <c r="AB439" s="136" t="n">
        <f aca="false" ca="false" dt2D="false" dtr="false" t="normal">MID(K435, 5, 1)</f>
        <v>0</v>
      </c>
      <c r="AC439" s="137" t="n">
        <f aca="false" ca="false" dt2D="false" dtr="false" t="normal">AB439</f>
        <v>0</v>
      </c>
      <c r="AD439" s="120" t="s">
        <v>200</v>
      </c>
      <c r="AE439" s="131" t="s">
        <v>196</v>
      </c>
      <c r="AF439" s="136" t="n">
        <f aca="false" ca="false" dt2D="false" dtr="false" t="normal">MID(L435, 5, 1)</f>
        <v>0</v>
      </c>
      <c r="AG439" s="137" t="n">
        <f aca="false" ca="false" dt2D="false" dtr="false" t="normal">AF439</f>
        <v>0</v>
      </c>
      <c r="AH439" s="120" t="s">
        <v>200</v>
      </c>
      <c r="AI439" s="131" t="s">
        <v>196</v>
      </c>
      <c r="AJ439" s="9823" t="s"/>
      <c r="AK439" s="9824" t="s"/>
    </row>
    <row hidden="false" ht="15" outlineLevel="0" r="440">
      <c r="C440" s="98" t="s">
        <v>185</v>
      </c>
      <c r="D440" s="149" t="n">
        <f aca="false" ca="false" dt2D="false" dtr="false" t="normal">HEX2BIN(D439, 8)</f>
        <v>111</v>
      </c>
      <c r="E440" s="149" t="n">
        <f aca="false" ca="false" dt2D="false" dtr="false" t="normal">HEX2BIN(E439, 8)</f>
        <v>10100101</v>
      </c>
      <c r="F440" s="149" t="n">
        <f aca="false" ca="false" dt2D="false" dtr="false" t="normal">HEX2BIN(F439, 8)</f>
        <v>1</v>
      </c>
      <c r="G440" s="149" t="n">
        <f aca="false" ca="false" dt2D="false" dtr="false" t="normal">HEX2BIN(G439, 8)</f>
        <v>1000000</v>
      </c>
      <c r="H440" s="53" t="n">
        <f aca="false" ca="false" dt2D="false" dtr="false" t="normal">Q435&amp;Q436&amp;Q437&amp;Q438&amp;Q439&amp;Q440&amp;Q441&amp;Q442</f>
        <v>0</v>
      </c>
      <c r="I440" s="53" t="n">
        <f aca="false" ca="false" dt2D="false" dtr="false" t="normal">U435&amp;U436&amp;U437&amp;U438&amp;U439&amp;U440&amp;U441&amp;U442</f>
        <v>0</v>
      </c>
      <c r="J440" s="53" t="n">
        <f aca="false" ca="false" dt2D="false" dtr="false" t="normal">Y435&amp;Y436&amp;Y437&amp;Y438&amp;Y439&amp;Y440&amp;Y441&amp;Y442</f>
        <v>0</v>
      </c>
      <c r="K440" s="53" t="n">
        <f aca="false" ca="false" dt2D="false" dtr="false" t="normal">AC435&amp;AC436&amp;AC437&amp;AC438&amp;AC439&amp;AC440&amp;AC441&amp;AC442</f>
        <v>0</v>
      </c>
      <c r="L440" s="53" t="n">
        <f aca="false" ca="false" dt2D="false" dtr="false" t="normal">AG435&amp;AG436&amp;AG437&amp;AG438&amp;AG439&amp;AG440&amp;AG441&amp;AG442</f>
        <v>0</v>
      </c>
      <c r="M440" s="53" t="str">
        <f aca="false" ca="false" dt2D="false" dtr="false" t="normal">DEC2HEX(M441)</f>
        <v>ED</v>
      </c>
      <c r="N440" s="63" t="n"/>
      <c r="P440" s="136" t="n">
        <f aca="false" ca="false" dt2D="false" dtr="false" t="normal">MID(H435, 6, 1)</f>
        <v>0</v>
      </c>
      <c r="Q440" s="137" t="n">
        <f aca="false" ca="false" dt2D="false" dtr="false" t="normal">P440</f>
        <v>0</v>
      </c>
      <c r="R440" s="120" t="s">
        <v>203</v>
      </c>
      <c r="S440" s="131" t="s">
        <v>196</v>
      </c>
      <c r="T440" s="136" t="n">
        <f aca="false" ca="false" dt2D="false" dtr="false" t="normal">MID(I435, 6, 1)</f>
        <v>0</v>
      </c>
      <c r="U440" s="137" t="n">
        <f aca="false" ca="false" dt2D="false" dtr="false" t="normal">T440</f>
        <v>0</v>
      </c>
      <c r="V440" s="120" t="s">
        <v>203</v>
      </c>
      <c r="W440" s="131" t="s">
        <v>196</v>
      </c>
      <c r="X440" s="136" t="n">
        <f aca="false" ca="false" dt2D="false" dtr="false" t="normal">MID(J435, 6, 1)</f>
        <v>0</v>
      </c>
      <c r="Y440" s="137" t="n">
        <f aca="false" ca="false" dt2D="false" dtr="false" t="normal">X440</f>
        <v>0</v>
      </c>
      <c r="Z440" s="120" t="s">
        <v>203</v>
      </c>
      <c r="AA440" s="131" t="s">
        <v>196</v>
      </c>
      <c r="AB440" s="136" t="n">
        <f aca="false" ca="false" dt2D="false" dtr="false" t="normal">MID(K435, 6, 1)</f>
        <v>0</v>
      </c>
      <c r="AC440" s="137" t="n">
        <f aca="false" ca="false" dt2D="false" dtr="false" t="normal">AB440</f>
        <v>0</v>
      </c>
      <c r="AD440" s="120" t="s">
        <v>203</v>
      </c>
      <c r="AE440" s="131" t="s">
        <v>196</v>
      </c>
      <c r="AF440" s="136" t="n">
        <f aca="false" ca="false" dt2D="false" dtr="false" t="normal">MID(L435, 6, 1)</f>
        <v>0</v>
      </c>
      <c r="AG440" s="137" t="n">
        <f aca="false" ca="false" dt2D="false" dtr="false" t="normal">AF440</f>
        <v>0</v>
      </c>
      <c r="AH440" s="120" t="s">
        <v>203</v>
      </c>
      <c r="AI440" s="131" t="s">
        <v>196</v>
      </c>
      <c r="AJ440" s="9825" t="s"/>
      <c r="AK440" s="9826" t="s"/>
    </row>
    <row hidden="false" ht="15" outlineLevel="0" r="441">
      <c r="C441" s="98" t="s">
        <v>191</v>
      </c>
      <c r="D441" s="149" t="n">
        <f aca="false" ca="false" dt2D="false" dtr="false" t="normal">HEX2DEC(D439)</f>
        <v>7</v>
      </c>
      <c r="E441" s="149" t="n">
        <f aca="false" ca="false" dt2D="false" dtr="false" t="normal">HEX2DEC(E439)</f>
        <v>165</v>
      </c>
      <c r="F441" s="149" t="n">
        <f aca="false" ca="false" dt2D="false" dtr="false" t="normal">HEX2DEC(F439)</f>
        <v>1</v>
      </c>
      <c r="G441" s="149" t="n">
        <f aca="false" ca="false" dt2D="false" dtr="false" t="normal">HEX2DEC(G439)</f>
        <v>64</v>
      </c>
      <c r="H441" s="53" t="n">
        <f aca="false" ca="false" dt2D="false" dtr="false" t="normal">HEX2DEC(H439)</f>
        <v>0</v>
      </c>
      <c r="I441" s="53" t="n">
        <f aca="false" ca="false" dt2D="false" dtr="false" t="normal">HEX2DEC(I439)</f>
        <v>0</v>
      </c>
      <c r="J441" s="53" t="n">
        <f aca="false" ca="false" dt2D="false" dtr="false" t="normal">HEX2DEC(J439)</f>
        <v>0</v>
      </c>
      <c r="K441" s="53" t="n">
        <f aca="false" ca="false" dt2D="false" dtr="false" t="normal">HEX2DEC(K439)</f>
        <v>0</v>
      </c>
      <c r="L441" s="53" t="n">
        <f aca="false" ca="false" dt2D="false" dtr="false" t="normal">HEX2DEC(L439)</f>
        <v>0</v>
      </c>
      <c r="M441" s="53" t="n">
        <f aca="false" ca="false" dt2D="false" dtr="false" t="normal">SUM(D441:L441)</f>
        <v>237</v>
      </c>
      <c r="N441" s="63" t="n"/>
      <c r="P441" s="136" t="n">
        <f aca="false" ca="false" dt2D="false" dtr="false" t="normal">MID(H435, 7, 1)</f>
        <v>0</v>
      </c>
      <c r="Q441" s="137" t="n">
        <f aca="false" ca="false" dt2D="false" dtr="false" t="normal">P441</f>
        <v>0</v>
      </c>
      <c r="R441" s="120" t="s">
        <v>206</v>
      </c>
      <c r="S441" s="131" t="s">
        <v>196</v>
      </c>
      <c r="T441" s="136" t="n">
        <f aca="false" ca="false" dt2D="false" dtr="false" t="normal">MID(I435, 7, 1)</f>
        <v>0</v>
      </c>
      <c r="U441" s="137" t="n">
        <f aca="false" ca="false" dt2D="false" dtr="false" t="normal">T441</f>
        <v>0</v>
      </c>
      <c r="V441" s="120" t="s">
        <v>206</v>
      </c>
      <c r="W441" s="131" t="s">
        <v>196</v>
      </c>
      <c r="X441" s="136" t="n">
        <f aca="false" ca="false" dt2D="false" dtr="false" t="normal">MID(J435, 7, 1)</f>
        <v>0</v>
      </c>
      <c r="Y441" s="137" t="n">
        <f aca="false" ca="false" dt2D="false" dtr="false" t="normal">X441</f>
        <v>0</v>
      </c>
      <c r="Z441" s="120" t="s">
        <v>206</v>
      </c>
      <c r="AA441" s="131" t="s">
        <v>196</v>
      </c>
      <c r="AB441" s="136" t="n">
        <f aca="false" ca="false" dt2D="false" dtr="false" t="normal">MID(K435, 7, 1)</f>
        <v>0</v>
      </c>
      <c r="AC441" s="137" t="n">
        <f aca="false" ca="false" dt2D="false" dtr="false" t="normal">AB441</f>
        <v>0</v>
      </c>
      <c r="AD441" s="120" t="s">
        <v>206</v>
      </c>
      <c r="AE441" s="131" t="s">
        <v>196</v>
      </c>
      <c r="AF441" s="136" t="n">
        <f aca="false" ca="false" dt2D="false" dtr="false" t="normal">MID(L435, 7, 1)</f>
        <v>0</v>
      </c>
      <c r="AG441" s="137" t="n">
        <f aca="false" ca="false" dt2D="false" dtr="false" t="normal">AF441</f>
        <v>0</v>
      </c>
      <c r="AH441" s="120" t="s">
        <v>206</v>
      </c>
      <c r="AI441" s="131" t="s">
        <v>196</v>
      </c>
      <c r="AJ441" s="9827" t="s"/>
      <c r="AK441" s="9828" t="s"/>
    </row>
    <row hidden="false" ht="15.75" outlineLevel="0" r="442">
      <c r="C442" s="180" t="s">
        <v>194</v>
      </c>
      <c r="D442" s="181" t="n">
        <f aca="false" ca="false" dt2D="false" dtr="false" t="normal">D437</f>
        <v>7</v>
      </c>
      <c r="E442" s="181" t="str">
        <f aca="false" ca="false" dt2D="false" dtr="false" t="normal">E437</f>
        <v>A5</v>
      </c>
      <c r="F442" s="181" t="str">
        <f aca="false" ca="false" dt2D="false" dtr="false" t="normal">F437</f>
        <v>G1</v>
      </c>
      <c r="G442" s="181" t="str">
        <f aca="false" ca="false" dt2D="false" dtr="false" t="normal">G437</f>
        <v>I8</v>
      </c>
      <c r="H442" s="45" t="n"/>
      <c r="I442" s="45" t="n"/>
      <c r="J442" s="45" t="n"/>
      <c r="K442" s="45" t="n"/>
      <c r="L442" s="45" t="n"/>
      <c r="M442" s="45" t="n"/>
      <c r="N442" s="49" t="n"/>
      <c r="P442" s="182" t="n">
        <f aca="false" ca="false" dt2D="false" dtr="false" t="normal">MID(H435, 8, 1)</f>
        <v>0</v>
      </c>
      <c r="Q442" s="183" t="n">
        <f aca="false" ca="false" dt2D="false" dtr="false" t="normal">P442</f>
        <v>0</v>
      </c>
      <c r="R442" s="184" t="s">
        <v>208</v>
      </c>
      <c r="S442" s="185" t="s">
        <v>196</v>
      </c>
      <c r="T442" s="182" t="n">
        <f aca="false" ca="false" dt2D="false" dtr="false" t="normal">MID(I435, 8, 1)</f>
        <v>0</v>
      </c>
      <c r="U442" s="183" t="n">
        <f aca="false" ca="false" dt2D="false" dtr="false" t="normal">T442</f>
        <v>0</v>
      </c>
      <c r="V442" s="184" t="s">
        <v>208</v>
      </c>
      <c r="W442" s="185" t="s">
        <v>196</v>
      </c>
      <c r="X442" s="182" t="n">
        <f aca="false" ca="false" dt2D="false" dtr="false" t="normal">MID(J435, 8, 1)</f>
        <v>0</v>
      </c>
      <c r="Y442" s="183" t="n">
        <f aca="false" ca="false" dt2D="false" dtr="false" t="normal">X442</f>
        <v>0</v>
      </c>
      <c r="Z442" s="184" t="s">
        <v>208</v>
      </c>
      <c r="AA442" s="185" t="s">
        <v>196</v>
      </c>
      <c r="AB442" s="182" t="n">
        <f aca="false" ca="false" dt2D="false" dtr="false" t="normal">MID(K435, 8, 1)</f>
        <v>0</v>
      </c>
      <c r="AC442" s="183" t="n">
        <f aca="false" ca="false" dt2D="false" dtr="false" t="normal">AB442</f>
        <v>0</v>
      </c>
      <c r="AD442" s="184" t="s">
        <v>208</v>
      </c>
      <c r="AE442" s="185" t="s">
        <v>196</v>
      </c>
      <c r="AF442" s="182" t="n">
        <f aca="false" ca="false" dt2D="false" dtr="false" t="normal">MID(L435, 8, 1)</f>
        <v>0</v>
      </c>
      <c r="AG442" s="183" t="n">
        <f aca="false" ca="false" dt2D="false" dtr="false" t="normal">AF442</f>
        <v>0</v>
      </c>
      <c r="AH442" s="184" t="s">
        <v>208</v>
      </c>
      <c r="AI442" s="185" t="s">
        <v>196</v>
      </c>
      <c r="AJ442" s="9829" t="s"/>
      <c r="AK442" s="9830" t="s"/>
    </row>
    <row hidden="false" ht="15.75" outlineLevel="0" r="443">
      <c r="C443" s="93" t="n"/>
      <c r="D443" s="7585" t="n"/>
      <c r="E443" s="7585" t="n"/>
      <c r="F443" s="7585" t="n"/>
      <c r="G443" s="7585" t="n"/>
      <c r="H443" s="94" t="n"/>
      <c r="I443" s="94" t="n"/>
      <c r="J443" s="94" t="n"/>
      <c r="K443" s="94" t="n"/>
      <c r="L443" s="94" t="n"/>
      <c r="M443" s="94" t="s">
        <v>161</v>
      </c>
      <c r="N443" s="60" t="n"/>
      <c r="P443" s="95" t="str">
        <f aca="false" ca="false" dt2D="false" dtr="false" t="normal">RIGHT(D445, 1)&amp;E445&amp;"-"&amp;F445&amp;"-"&amp;G445</f>
        <v>7A5-01-41</v>
      </c>
      <c r="Q443" s="9831" t="s"/>
      <c r="R443" s="234" t="s">
        <v>4256</v>
      </c>
      <c r="S443" s="9832" t="s"/>
      <c r="T443" s="9833" t="s"/>
      <c r="U443" s="9834" t="s"/>
      <c r="V443" s="9835" t="s"/>
      <c r="W443" s="9836" t="s"/>
      <c r="X443" s="9837" t="s"/>
      <c r="Y443" s="9838" t="s"/>
      <c r="Z443" s="9839" t="s"/>
      <c r="AA443" s="9840" t="s"/>
      <c r="AB443" s="9841" t="s"/>
      <c r="AC443" s="9842" t="s"/>
      <c r="AD443" s="9843" t="s"/>
      <c r="AE443" s="9844" t="s"/>
      <c r="AF443" s="9845" t="s"/>
      <c r="AG443" s="9846" t="s"/>
      <c r="AH443" s="9847" t="s"/>
      <c r="AI443" s="9848" t="s"/>
      <c r="AJ443" s="9849" t="s"/>
      <c r="AK443" s="9850" t="s"/>
    </row>
    <row hidden="false" ht="15.75" outlineLevel="0" r="444">
      <c r="C444" s="98" t="n"/>
      <c r="D444" s="7606" t="s">
        <v>4257</v>
      </c>
      <c r="E444" s="9851" t="s"/>
      <c r="F444" s="9852" t="s"/>
      <c r="G444" s="9853" t="s"/>
      <c r="H444" s="53" t="s">
        <v>165</v>
      </c>
      <c r="I444" s="53" t="s">
        <v>166</v>
      </c>
      <c r="J444" s="53" t="s">
        <v>167</v>
      </c>
      <c r="K444" s="53" t="s">
        <v>168</v>
      </c>
      <c r="L444" s="53" t="s">
        <v>169</v>
      </c>
      <c r="M444" s="53" t="s">
        <v>221</v>
      </c>
      <c r="N444" s="63" t="n"/>
      <c r="P444" s="103" t="s">
        <v>4258</v>
      </c>
      <c r="Q444" s="9854" t="s"/>
      <c r="R444" s="9855" t="s"/>
      <c r="S444" s="9856" t="s"/>
      <c r="T444" s="103" t="s">
        <v>4259</v>
      </c>
      <c r="U444" s="9857" t="s"/>
      <c r="V444" s="9858" t="s"/>
      <c r="W444" s="9859" t="s"/>
      <c r="X444" s="103" t="s">
        <v>4260</v>
      </c>
      <c r="Y444" s="9860" t="s"/>
      <c r="Z444" s="9861" t="s"/>
      <c r="AA444" s="9862" t="s"/>
      <c r="AB444" s="103" t="s">
        <v>4261</v>
      </c>
      <c r="AC444" s="9863" t="s"/>
      <c r="AD444" s="9864" t="s"/>
      <c r="AE444" s="9865" t="s"/>
      <c r="AF444" s="103" t="s">
        <v>4262</v>
      </c>
      <c r="AG444" s="9866" t="s"/>
      <c r="AH444" s="9867" t="s"/>
      <c r="AI444" s="9868" t="s"/>
      <c r="AJ444" s="103" t="s">
        <v>4263</v>
      </c>
      <c r="AK444" s="9869" t="s"/>
    </row>
    <row hidden="false" ht="15.75" outlineLevel="0" r="445">
      <c r="C445" s="98" t="s">
        <v>176</v>
      </c>
      <c r="D445" s="122" t="s">
        <v>177</v>
      </c>
      <c r="E445" s="123" t="s">
        <v>3892</v>
      </c>
      <c r="F445" s="123" t="s">
        <v>179</v>
      </c>
      <c r="G445" s="124" t="s">
        <v>856</v>
      </c>
      <c r="H445" s="273" t="n">
        <f aca="false" ca="false" dt2D="false" dtr="false" t="normal">MID($A$44, 8, 2)</f>
        <v>0</v>
      </c>
      <c r="I445" s="7626" t="n">
        <f aca="false" ca="false" dt2D="false" dtr="false" t="normal">MID($A$44, 10, 2)</f>
        <v>0</v>
      </c>
      <c r="J445" s="7626" t="n">
        <f aca="false" ca="false" dt2D="false" dtr="false" t="normal">MID($A$44, 12, 2)</f>
        <v>0</v>
      </c>
      <c r="K445" s="7626" t="n">
        <f aca="false" ca="false" dt2D="false" dtr="false" t="normal">MID($A$44, 14, 2)</f>
        <v>0</v>
      </c>
      <c r="L445" s="7627" t="n">
        <f aca="false" ca="false" dt2D="false" dtr="false" t="normal">MID($A$44, 16, 2)</f>
        <v>0</v>
      </c>
      <c r="M445" s="7553" t="str">
        <f aca="false" ca="false" dt2D="false" dtr="false" t="normal">MID($A$44, 18, 2)</f>
        <v>EE</v>
      </c>
      <c r="N445" s="63" t="s">
        <v>180</v>
      </c>
      <c r="P445" s="129" t="s">
        <v>180</v>
      </c>
      <c r="Q445" s="130" t="s">
        <v>181</v>
      </c>
      <c r="R445" s="121" t="s">
        <v>182</v>
      </c>
      <c r="S445" s="131" t="n"/>
      <c r="T445" s="129" t="s">
        <v>180</v>
      </c>
      <c r="U445" s="130" t="s">
        <v>181</v>
      </c>
      <c r="V445" s="121" t="s">
        <v>182</v>
      </c>
      <c r="W445" s="131" t="n"/>
      <c r="X445" s="129" t="s">
        <v>180</v>
      </c>
      <c r="Y445" s="130" t="s">
        <v>181</v>
      </c>
      <c r="Z445" s="121" t="s">
        <v>182</v>
      </c>
      <c r="AA445" s="131" t="n"/>
      <c r="AB445" s="129" t="s">
        <v>180</v>
      </c>
      <c r="AC445" s="130" t="s">
        <v>181</v>
      </c>
      <c r="AD445" s="121" t="s">
        <v>182</v>
      </c>
      <c r="AE445" s="131" t="n"/>
      <c r="AF445" s="129" t="s">
        <v>180</v>
      </c>
      <c r="AG445" s="130" t="s">
        <v>181</v>
      </c>
      <c r="AH445" s="121" t="s">
        <v>182</v>
      </c>
      <c r="AI445" s="121" t="n"/>
      <c r="AJ445" s="116" t="s">
        <v>183</v>
      </c>
      <c r="AK445" s="9870" t="s"/>
    </row>
    <row hidden="false" ht="15" outlineLevel="0" r="446">
      <c r="C446" s="98" t="s">
        <v>185</v>
      </c>
      <c r="D446" s="149" t="n">
        <f aca="false" ca="false" dt2D="false" dtr="false" t="normal">HEX2BIN(D445, 8)</f>
        <v>111</v>
      </c>
      <c r="E446" s="149" t="n">
        <f aca="false" ca="false" dt2D="false" dtr="false" t="normal">HEX2BIN(E445, 8)</f>
        <v>10100101</v>
      </c>
      <c r="F446" s="149" t="n">
        <f aca="false" ca="false" dt2D="false" dtr="false" t="normal">HEX2BIN(F445, 8)</f>
        <v>1</v>
      </c>
      <c r="G446" s="149" t="n">
        <f aca="false" ca="false" dt2D="false" dtr="false" t="normal">HEX2BIN(G445, 8)</f>
        <v>1000001</v>
      </c>
      <c r="H446" s="53" t="n">
        <f aca="false" ca="false" dt2D="false" dtr="false" t="normal">HEX2BIN(H445, 8)</f>
        <v>0</v>
      </c>
      <c r="I446" s="53" t="n">
        <f aca="false" ca="false" dt2D="false" dtr="false" t="normal">HEX2BIN(I445, 8)</f>
        <v>0</v>
      </c>
      <c r="J446" s="53" t="n">
        <f aca="false" ca="false" dt2D="false" dtr="false" t="normal">HEX2BIN(J445, 8)</f>
        <v>0</v>
      </c>
      <c r="K446" s="53" t="n">
        <f aca="false" ca="false" dt2D="false" dtr="false" t="normal">HEX2BIN(K445, 8)</f>
        <v>0</v>
      </c>
      <c r="L446" s="53" t="n">
        <f aca="false" ca="false" dt2D="false" dtr="false" t="normal">HEX2BIN(L445, 8)</f>
        <v>0</v>
      </c>
      <c r="M446" s="53" t="n"/>
      <c r="N446" s="63" t="n"/>
      <c r="P446" s="136" t="n">
        <f aca="false" ca="false" dt2D="false" dtr="false" t="normal">MID(H446, 1, 1)</f>
        <v>0</v>
      </c>
      <c r="Q446" s="137" t="n">
        <f aca="false" ca="false" dt2D="false" dtr="false" t="normal">P446</f>
        <v>0</v>
      </c>
      <c r="R446" s="120" t="s">
        <v>186</v>
      </c>
      <c r="S446" s="131" t="s">
        <v>196</v>
      </c>
      <c r="T446" s="136" t="n">
        <f aca="false" ca="false" dt2D="false" dtr="false" t="normal">MID(I446, 1, 1)</f>
        <v>0</v>
      </c>
      <c r="U446" s="137" t="n">
        <f aca="false" ca="false" dt2D="false" dtr="false" t="normal">T446</f>
        <v>0</v>
      </c>
      <c r="V446" s="120" t="s">
        <v>186</v>
      </c>
      <c r="W446" s="131" t="s">
        <v>196</v>
      </c>
      <c r="X446" s="136" t="n">
        <f aca="false" ca="false" dt2D="false" dtr="false" t="normal">MID(J446, 1, 1)</f>
        <v>0</v>
      </c>
      <c r="Y446" s="137" t="n">
        <f aca="false" ca="false" dt2D="false" dtr="false" t="normal">X446</f>
        <v>0</v>
      </c>
      <c r="Z446" s="120" t="s">
        <v>186</v>
      </c>
      <c r="AA446" s="131" t="s">
        <v>196</v>
      </c>
      <c r="AB446" s="136" t="n">
        <f aca="false" ca="false" dt2D="false" dtr="false" t="normal">MID(K446, 1, 1)</f>
        <v>0</v>
      </c>
      <c r="AC446" s="137" t="n">
        <f aca="false" ca="false" dt2D="false" dtr="false" t="normal">AB446</f>
        <v>0</v>
      </c>
      <c r="AD446" s="120" t="s">
        <v>186</v>
      </c>
      <c r="AE446" s="131" t="s">
        <v>196</v>
      </c>
      <c r="AF446" s="136" t="n">
        <f aca="false" ca="false" dt2D="false" dtr="false" t="normal">MID(L446, 1, 1)</f>
        <v>0</v>
      </c>
      <c r="AG446" s="137" t="n">
        <f aca="false" ca="false" dt2D="false" dtr="false" t="normal">AF446</f>
        <v>0</v>
      </c>
      <c r="AH446" s="120" t="s">
        <v>186</v>
      </c>
      <c r="AI446" s="131" t="s">
        <v>196</v>
      </c>
      <c r="AJ446" s="9871" t="s"/>
      <c r="AK446" s="9872" t="s"/>
    </row>
    <row hidden="false" ht="15" outlineLevel="0" r="447">
      <c r="C447" s="98" t="s">
        <v>191</v>
      </c>
      <c r="D447" s="149" t="n">
        <f aca="false" ca="false" dt2D="false" dtr="false" t="normal">HEX2DEC(D445)</f>
        <v>7</v>
      </c>
      <c r="E447" s="149" t="n">
        <f aca="false" ca="false" dt2D="false" dtr="false" t="normal">HEX2DEC(E445)</f>
        <v>165</v>
      </c>
      <c r="F447" s="149" t="n">
        <f aca="false" ca="false" dt2D="false" dtr="false" t="normal">HEX2DEC(F445)</f>
        <v>1</v>
      </c>
      <c r="G447" s="149" t="n">
        <f aca="false" ca="false" dt2D="false" dtr="false" t="normal">HEX2DEC(G445)</f>
        <v>65</v>
      </c>
      <c r="H447" s="53" t="n">
        <f aca="false" ca="false" dt2D="false" dtr="false" t="normal">HEX2DEC(H445)</f>
        <v>0</v>
      </c>
      <c r="I447" s="53" t="n">
        <f aca="false" ca="false" dt2D="false" dtr="false" t="normal">HEX2DEC(I445)</f>
        <v>0</v>
      </c>
      <c r="J447" s="53" t="n">
        <f aca="false" ca="false" dt2D="false" dtr="false" t="normal">HEX2DEC(J445)</f>
        <v>0</v>
      </c>
      <c r="K447" s="53" t="n">
        <f aca="false" ca="false" dt2D="false" dtr="false" t="normal">HEX2DEC(K445)</f>
        <v>0</v>
      </c>
      <c r="L447" s="53" t="n">
        <f aca="false" ca="false" dt2D="false" dtr="false" t="normal">HEX2DEC(L445)</f>
        <v>0</v>
      </c>
      <c r="M447" s="53" t="n">
        <f aca="false" ca="false" dt2D="false" dtr="false" t="normal">SUM(D447:L447)</f>
        <v>238</v>
      </c>
      <c r="N447" s="63" t="n"/>
      <c r="P447" s="136" t="n">
        <f aca="false" ca="false" dt2D="false" dtr="false" t="normal">MID(H446, 2, 1)</f>
        <v>0</v>
      </c>
      <c r="Q447" s="137" t="n">
        <f aca="false" ca="false" dt2D="false" dtr="false" t="normal">P447</f>
        <v>0</v>
      </c>
      <c r="R447" s="120" t="s">
        <v>192</v>
      </c>
      <c r="S447" s="131" t="s">
        <v>196</v>
      </c>
      <c r="T447" s="136" t="n">
        <f aca="false" ca="false" dt2D="false" dtr="false" t="normal">MID(I446, 2, 1)</f>
        <v>0</v>
      </c>
      <c r="U447" s="137" t="n">
        <f aca="false" ca="false" dt2D="false" dtr="false" t="normal">T447</f>
        <v>0</v>
      </c>
      <c r="V447" s="120" t="s">
        <v>192</v>
      </c>
      <c r="W447" s="131" t="s">
        <v>196</v>
      </c>
      <c r="X447" s="136" t="n">
        <f aca="false" ca="false" dt2D="false" dtr="false" t="normal">MID(J446, 2, 1)</f>
        <v>0</v>
      </c>
      <c r="Y447" s="137" t="n">
        <f aca="false" ca="false" dt2D="false" dtr="false" t="normal">X447</f>
        <v>0</v>
      </c>
      <c r="Z447" s="120" t="s">
        <v>192</v>
      </c>
      <c r="AA447" s="131" t="s">
        <v>196</v>
      </c>
      <c r="AB447" s="136" t="n">
        <f aca="false" ca="false" dt2D="false" dtr="false" t="normal">MID(K446, 2, 1)</f>
        <v>0</v>
      </c>
      <c r="AC447" s="137" t="n">
        <f aca="false" ca="false" dt2D="false" dtr="false" t="normal">AB447</f>
        <v>0</v>
      </c>
      <c r="AD447" s="120" t="s">
        <v>192</v>
      </c>
      <c r="AE447" s="131" t="s">
        <v>196</v>
      </c>
      <c r="AF447" s="136" t="n">
        <f aca="false" ca="false" dt2D="false" dtr="false" t="normal">MID(L446, 2, 1)</f>
        <v>0</v>
      </c>
      <c r="AG447" s="137" t="n">
        <f aca="false" ca="false" dt2D="false" dtr="false" t="normal">AF447</f>
        <v>0</v>
      </c>
      <c r="AH447" s="120" t="s">
        <v>192</v>
      </c>
      <c r="AI447" s="131" t="s">
        <v>196</v>
      </c>
      <c r="AJ447" s="9873" t="s"/>
      <c r="AK447" s="9874" t="s"/>
    </row>
    <row hidden="false" ht="15" outlineLevel="0" r="448">
      <c r="C448" s="98" t="s">
        <v>194</v>
      </c>
      <c r="D448" s="149" t="n">
        <f aca="false" ca="false" dt2D="false" dtr="false" t="normal">D445</f>
        <v>7</v>
      </c>
      <c r="E448" s="149" t="str">
        <f aca="false" ca="false" dt2D="false" dtr="false" t="normal">E445</f>
        <v>A5</v>
      </c>
      <c r="F448" s="149" t="str">
        <f aca="false" ca="false" dt2D="false" dtr="false" t="normal">MID($A$44, 4, 2)</f>
        <v>G1</v>
      </c>
      <c r="G448" s="149" t="str">
        <f aca="false" ca="false" dt2D="false" dtr="false" t="normal">MID($A$44, 6, 2)</f>
        <v>I9</v>
      </c>
      <c r="N448" s="63" t="n"/>
      <c r="P448" s="136" t="n">
        <f aca="false" ca="false" dt2D="false" dtr="false" t="normal">MID(H446, 3, 1)</f>
        <v>0</v>
      </c>
      <c r="Q448" s="137" t="n">
        <f aca="false" ca="false" dt2D="false" dtr="false" t="normal">P448</f>
        <v>0</v>
      </c>
      <c r="R448" s="120" t="s">
        <v>195</v>
      </c>
      <c r="S448" s="131" t="s">
        <v>196</v>
      </c>
      <c r="T448" s="136" t="n">
        <f aca="false" ca="false" dt2D="false" dtr="false" t="normal">MID(I446, 3, 1)</f>
        <v>0</v>
      </c>
      <c r="U448" s="137" t="n">
        <f aca="false" ca="false" dt2D="false" dtr="false" t="normal">T448</f>
        <v>0</v>
      </c>
      <c r="V448" s="120" t="s">
        <v>195</v>
      </c>
      <c r="W448" s="131" t="s">
        <v>196</v>
      </c>
      <c r="X448" s="136" t="n">
        <f aca="false" ca="false" dt2D="false" dtr="false" t="normal">MID(J446, 3, 1)</f>
        <v>0</v>
      </c>
      <c r="Y448" s="137" t="n">
        <f aca="false" ca="false" dt2D="false" dtr="false" t="normal">X448</f>
        <v>0</v>
      </c>
      <c r="Z448" s="120" t="s">
        <v>195</v>
      </c>
      <c r="AA448" s="131" t="s">
        <v>196</v>
      </c>
      <c r="AB448" s="136" t="n">
        <f aca="false" ca="false" dt2D="false" dtr="false" t="normal">MID(K446, 3, 1)</f>
        <v>0</v>
      </c>
      <c r="AC448" s="137" t="n">
        <f aca="false" ca="false" dt2D="false" dtr="false" t="normal">AB448</f>
        <v>0</v>
      </c>
      <c r="AD448" s="120" t="s">
        <v>195</v>
      </c>
      <c r="AE448" s="131" t="s">
        <v>196</v>
      </c>
      <c r="AF448" s="136" t="n">
        <f aca="false" ca="false" dt2D="false" dtr="false" t="normal">MID(L446, 3, 1)</f>
        <v>0</v>
      </c>
      <c r="AG448" s="137" t="n">
        <f aca="false" ca="false" dt2D="false" dtr="false" t="normal">AF448</f>
        <v>0</v>
      </c>
      <c r="AH448" s="120" t="s">
        <v>195</v>
      </c>
      <c r="AI448" s="131" t="s">
        <v>196</v>
      </c>
      <c r="AJ448" s="9875" t="s"/>
      <c r="AK448" s="9876" t="s"/>
    </row>
    <row hidden="false" ht="15.75" outlineLevel="0" r="449">
      <c r="C449" s="98" t="n"/>
      <c r="N449" s="63" t="n"/>
      <c r="P449" s="136" t="n">
        <f aca="false" ca="false" dt2D="false" dtr="false" t="normal">MID(H446, 4, 1)</f>
        <v>0</v>
      </c>
      <c r="Q449" s="137" t="n">
        <f aca="false" ca="false" dt2D="false" dtr="false" t="normal">P449</f>
        <v>0</v>
      </c>
      <c r="R449" s="120" t="s">
        <v>197</v>
      </c>
      <c r="S449" s="131" t="s">
        <v>196</v>
      </c>
      <c r="T449" s="136" t="n">
        <f aca="false" ca="false" dt2D="false" dtr="false" t="normal">MID(I446, 4, 1)</f>
        <v>0</v>
      </c>
      <c r="U449" s="137" t="n">
        <f aca="false" ca="false" dt2D="false" dtr="false" t="normal">T449</f>
        <v>0</v>
      </c>
      <c r="V449" s="120" t="s">
        <v>197</v>
      </c>
      <c r="W449" s="131" t="s">
        <v>196</v>
      </c>
      <c r="X449" s="136" t="n">
        <f aca="false" ca="false" dt2D="false" dtr="false" t="normal">MID(J446, 4, 1)</f>
        <v>0</v>
      </c>
      <c r="Y449" s="137" t="n">
        <f aca="false" ca="false" dt2D="false" dtr="false" t="normal">X449</f>
        <v>0</v>
      </c>
      <c r="Z449" s="120" t="s">
        <v>197</v>
      </c>
      <c r="AA449" s="131" t="s">
        <v>196</v>
      </c>
      <c r="AB449" s="136" t="n">
        <f aca="false" ca="false" dt2D="false" dtr="false" t="normal">MID(K446, 4, 1)</f>
        <v>0</v>
      </c>
      <c r="AC449" s="137" t="n">
        <f aca="false" ca="false" dt2D="false" dtr="false" t="normal">AB449</f>
        <v>0</v>
      </c>
      <c r="AD449" s="120" t="s">
        <v>197</v>
      </c>
      <c r="AE449" s="131" t="s">
        <v>196</v>
      </c>
      <c r="AF449" s="136" t="n">
        <f aca="false" ca="false" dt2D="false" dtr="false" t="normal">MID(L446, 4, 1)</f>
        <v>0</v>
      </c>
      <c r="AG449" s="137" t="n">
        <f aca="false" ca="false" dt2D="false" dtr="false" t="normal">AF449</f>
        <v>0</v>
      </c>
      <c r="AH449" s="120" t="s">
        <v>197</v>
      </c>
      <c r="AI449" s="131" t="s">
        <v>196</v>
      </c>
      <c r="AJ449" s="9877" t="s"/>
      <c r="AK449" s="9878" t="s"/>
    </row>
    <row hidden="false" ht="15.75" outlineLevel="0" r="450">
      <c r="C450" s="98" t="s">
        <v>176</v>
      </c>
      <c r="D450" s="122" t="n">
        <f aca="false" ca="false" dt2D="false" dtr="false" t="normal">D445</f>
        <v>7</v>
      </c>
      <c r="E450" s="123" t="str">
        <f aca="false" ca="false" dt2D="false" dtr="false" t="normal">E445</f>
        <v>A5</v>
      </c>
      <c r="F450" s="123" t="n">
        <f aca="false" ca="false" dt2D="false" dtr="false" t="normal">F445</f>
        <v>1</v>
      </c>
      <c r="G450" s="124" t="n">
        <f aca="false" ca="false" dt2D="false" dtr="false" t="normal">G445</f>
        <v>41</v>
      </c>
      <c r="H450" s="162" t="n">
        <f aca="false" ca="false" dt2D="false" dtr="false" t="normal">BIN2HEX(H451, 2)</f>
        <v>0</v>
      </c>
      <c r="I450" s="163" t="n">
        <f aca="false" ca="false" dt2D="false" dtr="false" t="normal">BIN2HEX(I451, 2)</f>
        <v>0</v>
      </c>
      <c r="J450" s="164" t="n">
        <f aca="false" ca="false" dt2D="false" dtr="false" t="normal">BIN2HEX(J451, 2)</f>
        <v>0</v>
      </c>
      <c r="K450" s="165" t="n">
        <f aca="false" ca="false" dt2D="false" dtr="false" t="normal">BIN2HEX(K451, 2)</f>
        <v>0</v>
      </c>
      <c r="L450" s="288" t="n">
        <f aca="false" ca="false" dt2D="false" dtr="false" t="normal">BIN2HEX(L451, 2)</f>
        <v>0</v>
      </c>
      <c r="M450" s="166" t="str">
        <f aca="false" ca="false" dt2D="false" dtr="false" t="normal">IF(LEN(M451)&gt;2, MID(M451, 2, 2), M451)</f>
        <v>EE</v>
      </c>
      <c r="N450" s="63" t="s">
        <v>181</v>
      </c>
      <c r="P450" s="136" t="n">
        <f aca="false" ca="false" dt2D="false" dtr="false" t="normal">MID(H446, 5, 1)</f>
        <v>0</v>
      </c>
      <c r="Q450" s="137" t="n">
        <f aca="false" ca="false" dt2D="false" dtr="false" t="normal">P450</f>
        <v>0</v>
      </c>
      <c r="R450" s="120" t="s">
        <v>200</v>
      </c>
      <c r="S450" s="131" t="s">
        <v>196</v>
      </c>
      <c r="T450" s="136" t="n">
        <f aca="false" ca="false" dt2D="false" dtr="false" t="normal">MID(I446, 5, 1)</f>
        <v>0</v>
      </c>
      <c r="U450" s="137" t="n">
        <f aca="false" ca="false" dt2D="false" dtr="false" t="normal">T450</f>
        <v>0</v>
      </c>
      <c r="V450" s="120" t="s">
        <v>200</v>
      </c>
      <c r="W450" s="131" t="s">
        <v>196</v>
      </c>
      <c r="X450" s="136" t="n">
        <f aca="false" ca="false" dt2D="false" dtr="false" t="normal">MID(J446, 5, 1)</f>
        <v>0</v>
      </c>
      <c r="Y450" s="137" t="n">
        <f aca="false" ca="false" dt2D="false" dtr="false" t="normal">X450</f>
        <v>0</v>
      </c>
      <c r="Z450" s="120" t="s">
        <v>200</v>
      </c>
      <c r="AA450" s="131" t="s">
        <v>196</v>
      </c>
      <c r="AB450" s="136" t="n">
        <f aca="false" ca="false" dt2D="false" dtr="false" t="normal">MID(K446, 5, 1)</f>
        <v>0</v>
      </c>
      <c r="AC450" s="137" t="n">
        <f aca="false" ca="false" dt2D="false" dtr="false" t="normal">AB450</f>
        <v>0</v>
      </c>
      <c r="AD450" s="120" t="s">
        <v>200</v>
      </c>
      <c r="AE450" s="131" t="s">
        <v>196</v>
      </c>
      <c r="AF450" s="136" t="n">
        <f aca="false" ca="false" dt2D="false" dtr="false" t="normal">MID(L446, 5, 1)</f>
        <v>0</v>
      </c>
      <c r="AG450" s="137" t="n">
        <f aca="false" ca="false" dt2D="false" dtr="false" t="normal">AF450</f>
        <v>0</v>
      </c>
      <c r="AH450" s="120" t="s">
        <v>200</v>
      </c>
      <c r="AI450" s="131" t="s">
        <v>196</v>
      </c>
      <c r="AJ450" s="9879" t="s"/>
      <c r="AK450" s="9880" t="s"/>
    </row>
    <row hidden="false" ht="15" outlineLevel="0" r="451">
      <c r="C451" s="98" t="s">
        <v>185</v>
      </c>
      <c r="D451" s="149" t="n">
        <f aca="false" ca="false" dt2D="false" dtr="false" t="normal">HEX2BIN(D450, 8)</f>
        <v>111</v>
      </c>
      <c r="E451" s="149" t="n">
        <f aca="false" ca="false" dt2D="false" dtr="false" t="normal">HEX2BIN(E450, 8)</f>
        <v>10100101</v>
      </c>
      <c r="F451" s="149" t="n">
        <f aca="false" ca="false" dt2D="false" dtr="false" t="normal">HEX2BIN(F450, 8)</f>
        <v>1</v>
      </c>
      <c r="G451" s="149" t="n">
        <f aca="false" ca="false" dt2D="false" dtr="false" t="normal">HEX2BIN(G450, 8)</f>
        <v>1000001</v>
      </c>
      <c r="H451" s="53" t="n">
        <f aca="false" ca="false" dt2D="false" dtr="false" t="normal">Q446&amp;Q447&amp;Q448&amp;Q449&amp;Q450&amp;Q451&amp;Q452&amp;Q453</f>
        <v>0</v>
      </c>
      <c r="I451" s="53" t="n">
        <f aca="false" ca="false" dt2D="false" dtr="false" t="normal">U446&amp;U447&amp;U448&amp;U449&amp;U450&amp;U451&amp;U452&amp;U453</f>
        <v>0</v>
      </c>
      <c r="J451" s="53" t="n">
        <f aca="false" ca="false" dt2D="false" dtr="false" t="normal">Y446&amp;Y447&amp;Y448&amp;Y449&amp;Y450&amp;Y451&amp;Y452&amp;Y453</f>
        <v>0</v>
      </c>
      <c r="K451" s="53" t="n">
        <f aca="false" ca="false" dt2D="false" dtr="false" t="normal">AC446&amp;AC447&amp;AC448&amp;AC449&amp;AC450&amp;AC451&amp;AC452&amp;AC453</f>
        <v>0</v>
      </c>
      <c r="L451" s="53" t="n">
        <f aca="false" ca="false" dt2D="false" dtr="false" t="normal">AG446&amp;AG447&amp;AG448&amp;AG449&amp;AG450&amp;AG451&amp;AG452&amp;AG453</f>
        <v>0</v>
      </c>
      <c r="M451" s="53" t="str">
        <f aca="false" ca="false" dt2D="false" dtr="false" t="normal">DEC2HEX(M452)</f>
        <v>EE</v>
      </c>
      <c r="N451" s="63" t="n"/>
      <c r="P451" s="136" t="n">
        <f aca="false" ca="false" dt2D="false" dtr="false" t="normal">MID(H446, 6, 1)</f>
        <v>0</v>
      </c>
      <c r="Q451" s="137" t="n">
        <f aca="false" ca="false" dt2D="false" dtr="false" t="normal">P451</f>
        <v>0</v>
      </c>
      <c r="R451" s="120" t="s">
        <v>203</v>
      </c>
      <c r="S451" s="131" t="s">
        <v>196</v>
      </c>
      <c r="T451" s="136" t="n">
        <f aca="false" ca="false" dt2D="false" dtr="false" t="normal">MID(I446, 6, 1)</f>
        <v>0</v>
      </c>
      <c r="U451" s="137" t="n">
        <f aca="false" ca="false" dt2D="false" dtr="false" t="normal">T451</f>
        <v>0</v>
      </c>
      <c r="V451" s="120" t="s">
        <v>203</v>
      </c>
      <c r="W451" s="131" t="s">
        <v>196</v>
      </c>
      <c r="X451" s="136" t="n">
        <f aca="false" ca="false" dt2D="false" dtr="false" t="normal">MID(J446, 6, 1)</f>
        <v>0</v>
      </c>
      <c r="Y451" s="137" t="n">
        <f aca="false" ca="false" dt2D="false" dtr="false" t="normal">X451</f>
        <v>0</v>
      </c>
      <c r="Z451" s="120" t="s">
        <v>203</v>
      </c>
      <c r="AA451" s="131" t="s">
        <v>196</v>
      </c>
      <c r="AB451" s="136" t="n">
        <f aca="false" ca="false" dt2D="false" dtr="false" t="normal">MID(K446, 6, 1)</f>
        <v>0</v>
      </c>
      <c r="AC451" s="137" t="n">
        <f aca="false" ca="false" dt2D="false" dtr="false" t="normal">AB451</f>
        <v>0</v>
      </c>
      <c r="AD451" s="120" t="s">
        <v>203</v>
      </c>
      <c r="AE451" s="131" t="s">
        <v>196</v>
      </c>
      <c r="AF451" s="136" t="n">
        <f aca="false" ca="false" dt2D="false" dtr="false" t="normal">MID(L446, 6, 1)</f>
        <v>0</v>
      </c>
      <c r="AG451" s="137" t="n">
        <f aca="false" ca="false" dt2D="false" dtr="false" t="normal">AF451</f>
        <v>0</v>
      </c>
      <c r="AH451" s="120" t="s">
        <v>203</v>
      </c>
      <c r="AI451" s="131" t="s">
        <v>196</v>
      </c>
      <c r="AJ451" s="9881" t="s"/>
      <c r="AK451" s="9882" t="s"/>
    </row>
    <row hidden="false" ht="15" outlineLevel="0" r="452">
      <c r="C452" s="98" t="s">
        <v>191</v>
      </c>
      <c r="D452" s="149" t="n">
        <f aca="false" ca="false" dt2D="false" dtr="false" t="normal">HEX2DEC(D450)</f>
        <v>7</v>
      </c>
      <c r="E452" s="149" t="n">
        <f aca="false" ca="false" dt2D="false" dtr="false" t="normal">HEX2DEC(E450)</f>
        <v>165</v>
      </c>
      <c r="F452" s="149" t="n">
        <f aca="false" ca="false" dt2D="false" dtr="false" t="normal">HEX2DEC(F450)</f>
        <v>1</v>
      </c>
      <c r="G452" s="149" t="n">
        <f aca="false" ca="false" dt2D="false" dtr="false" t="normal">HEX2DEC(G450)</f>
        <v>65</v>
      </c>
      <c r="H452" s="53" t="n">
        <f aca="false" ca="false" dt2D="false" dtr="false" t="normal">HEX2DEC(H450)</f>
        <v>0</v>
      </c>
      <c r="I452" s="53" t="n">
        <f aca="false" ca="false" dt2D="false" dtr="false" t="normal">HEX2DEC(I450)</f>
        <v>0</v>
      </c>
      <c r="J452" s="53" t="n">
        <f aca="false" ca="false" dt2D="false" dtr="false" t="normal">HEX2DEC(J450)</f>
        <v>0</v>
      </c>
      <c r="K452" s="53" t="n">
        <f aca="false" ca="false" dt2D="false" dtr="false" t="normal">HEX2DEC(K450)</f>
        <v>0</v>
      </c>
      <c r="L452" s="53" t="n">
        <f aca="false" ca="false" dt2D="false" dtr="false" t="normal">HEX2DEC(L450)</f>
        <v>0</v>
      </c>
      <c r="M452" s="53" t="n">
        <f aca="false" ca="false" dt2D="false" dtr="false" t="normal">SUM(D452:L452)</f>
        <v>238</v>
      </c>
      <c r="N452" s="63" t="n"/>
      <c r="P452" s="136" t="n">
        <f aca="false" ca="false" dt2D="false" dtr="false" t="normal">MID(H446, 7, 1)</f>
        <v>0</v>
      </c>
      <c r="Q452" s="137" t="n">
        <f aca="false" ca="false" dt2D="false" dtr="false" t="normal">P452</f>
        <v>0</v>
      </c>
      <c r="R452" s="120" t="s">
        <v>206</v>
      </c>
      <c r="S452" s="131" t="s">
        <v>196</v>
      </c>
      <c r="T452" s="136" t="n">
        <f aca="false" ca="false" dt2D="false" dtr="false" t="normal">MID(I446, 7, 1)</f>
        <v>0</v>
      </c>
      <c r="U452" s="137" t="n">
        <f aca="false" ca="false" dt2D="false" dtr="false" t="normal">T452</f>
        <v>0</v>
      </c>
      <c r="V452" s="120" t="s">
        <v>206</v>
      </c>
      <c r="W452" s="131" t="s">
        <v>196</v>
      </c>
      <c r="X452" s="136" t="n">
        <f aca="false" ca="false" dt2D="false" dtr="false" t="normal">MID(J446, 7, 1)</f>
        <v>0</v>
      </c>
      <c r="Y452" s="137" t="n">
        <f aca="false" ca="false" dt2D="false" dtr="false" t="normal">X452</f>
        <v>0</v>
      </c>
      <c r="Z452" s="120" t="s">
        <v>206</v>
      </c>
      <c r="AA452" s="131" t="s">
        <v>196</v>
      </c>
      <c r="AB452" s="136" t="n">
        <f aca="false" ca="false" dt2D="false" dtr="false" t="normal">MID(K446, 7, 1)</f>
        <v>0</v>
      </c>
      <c r="AC452" s="137" t="n">
        <f aca="false" ca="false" dt2D="false" dtr="false" t="normal">AB452</f>
        <v>0</v>
      </c>
      <c r="AD452" s="120" t="s">
        <v>206</v>
      </c>
      <c r="AE452" s="131" t="s">
        <v>196</v>
      </c>
      <c r="AF452" s="136" t="n">
        <f aca="false" ca="false" dt2D="false" dtr="false" t="normal">MID(L446, 7, 1)</f>
        <v>0</v>
      </c>
      <c r="AG452" s="137" t="n">
        <f aca="false" ca="false" dt2D="false" dtr="false" t="normal">AF452</f>
        <v>0</v>
      </c>
      <c r="AH452" s="120" t="s">
        <v>206</v>
      </c>
      <c r="AI452" s="131" t="s">
        <v>196</v>
      </c>
      <c r="AJ452" s="9883" t="s"/>
      <c r="AK452" s="9884" t="s"/>
    </row>
    <row hidden="false" ht="15.75" outlineLevel="0" r="453">
      <c r="C453" s="180" t="s">
        <v>194</v>
      </c>
      <c r="D453" s="181" t="n">
        <f aca="false" ca="false" dt2D="false" dtr="false" t="normal">D448</f>
        <v>7</v>
      </c>
      <c r="E453" s="181" t="str">
        <f aca="false" ca="false" dt2D="false" dtr="false" t="normal">E448</f>
        <v>A5</v>
      </c>
      <c r="F453" s="181" t="str">
        <f aca="false" ca="false" dt2D="false" dtr="false" t="normal">F448</f>
        <v>G1</v>
      </c>
      <c r="G453" s="181" t="str">
        <f aca="false" ca="false" dt2D="false" dtr="false" t="normal">G448</f>
        <v>I9</v>
      </c>
      <c r="H453" s="45" t="n"/>
      <c r="I453" s="45" t="n"/>
      <c r="J453" s="45" t="n"/>
      <c r="K453" s="45" t="n"/>
      <c r="L453" s="45" t="n"/>
      <c r="M453" s="45" t="n"/>
      <c r="N453" s="49" t="n"/>
      <c r="P453" s="182" t="n">
        <f aca="false" ca="false" dt2D="false" dtr="false" t="normal">MID(H446, 8, 1)</f>
        <v>0</v>
      </c>
      <c r="Q453" s="183" t="n">
        <f aca="false" ca="false" dt2D="false" dtr="false" t="normal">P453</f>
        <v>0</v>
      </c>
      <c r="R453" s="184" t="s">
        <v>208</v>
      </c>
      <c r="S453" s="185" t="s">
        <v>196</v>
      </c>
      <c r="T453" s="182" t="n">
        <f aca="false" ca="false" dt2D="false" dtr="false" t="normal">MID(I446, 8, 1)</f>
        <v>0</v>
      </c>
      <c r="U453" s="183" t="n">
        <f aca="false" ca="false" dt2D="false" dtr="false" t="normal">T453</f>
        <v>0</v>
      </c>
      <c r="V453" s="184" t="s">
        <v>208</v>
      </c>
      <c r="W453" s="185" t="s">
        <v>196</v>
      </c>
      <c r="X453" s="182" t="n">
        <f aca="false" ca="false" dt2D="false" dtr="false" t="normal">MID(J446, 8, 1)</f>
        <v>0</v>
      </c>
      <c r="Y453" s="183" t="n">
        <f aca="false" ca="false" dt2D="false" dtr="false" t="normal">X453</f>
        <v>0</v>
      </c>
      <c r="Z453" s="184" t="s">
        <v>208</v>
      </c>
      <c r="AA453" s="185" t="s">
        <v>196</v>
      </c>
      <c r="AB453" s="182" t="n">
        <f aca="false" ca="false" dt2D="false" dtr="false" t="normal">MID(K446, 8, 1)</f>
        <v>0</v>
      </c>
      <c r="AC453" s="183" t="n">
        <f aca="false" ca="false" dt2D="false" dtr="false" t="normal">AB453</f>
        <v>0</v>
      </c>
      <c r="AD453" s="184" t="s">
        <v>208</v>
      </c>
      <c r="AE453" s="185" t="s">
        <v>196</v>
      </c>
      <c r="AF453" s="182" t="n">
        <f aca="false" ca="false" dt2D="false" dtr="false" t="normal">MID(L446, 8, 1)</f>
        <v>0</v>
      </c>
      <c r="AG453" s="183" t="n">
        <f aca="false" ca="false" dt2D="false" dtr="false" t="normal">AF453</f>
        <v>0</v>
      </c>
      <c r="AH453" s="184" t="s">
        <v>208</v>
      </c>
      <c r="AI453" s="185" t="s">
        <v>196</v>
      </c>
      <c r="AJ453" s="9885" t="s"/>
      <c r="AK453" s="9886" t="s"/>
    </row>
    <row hidden="false" ht="15.75" outlineLevel="0" r="454">
      <c r="C454" s="93" t="n"/>
      <c r="D454" s="7585" t="n"/>
      <c r="E454" s="7585" t="n"/>
      <c r="F454" s="7585" t="n"/>
      <c r="G454" s="7585" t="n"/>
      <c r="H454" s="94" t="n"/>
      <c r="I454" s="94" t="n"/>
      <c r="J454" s="94" t="n"/>
      <c r="K454" s="94" t="n"/>
      <c r="L454" s="94" t="n"/>
      <c r="M454" s="94" t="s">
        <v>161</v>
      </c>
      <c r="N454" s="60" t="n"/>
      <c r="P454" s="95" t="str">
        <f aca="false" ca="false" dt2D="false" dtr="false" t="normal">RIGHT(D456, 1)&amp;E456&amp;"-"&amp;F456&amp;"-"&amp;G456</f>
        <v>7A5-01-42</v>
      </c>
      <c r="Q454" s="9887" t="s"/>
      <c r="R454" s="234" t="s">
        <v>4264</v>
      </c>
      <c r="S454" s="9888" t="s"/>
      <c r="T454" s="9889" t="s"/>
      <c r="U454" s="9890" t="s"/>
      <c r="V454" s="9891" t="s"/>
      <c r="W454" s="9892" t="s"/>
      <c r="X454" s="9893" t="s"/>
      <c r="Y454" s="9894" t="s"/>
      <c r="Z454" s="9895" t="s"/>
      <c r="AA454" s="9896" t="s"/>
      <c r="AB454" s="9897" t="s"/>
      <c r="AC454" s="9898" t="s"/>
      <c r="AD454" s="9899" t="s"/>
      <c r="AE454" s="9900" t="s"/>
      <c r="AF454" s="9901" t="s"/>
      <c r="AG454" s="9902" t="s"/>
      <c r="AH454" s="9903" t="s"/>
      <c r="AI454" s="9904" t="s"/>
      <c r="AJ454" s="9905" t="s"/>
      <c r="AK454" s="9906" t="s"/>
    </row>
    <row hidden="false" ht="15.75" outlineLevel="0" r="455">
      <c r="C455" s="98" t="n"/>
      <c r="D455" s="7606" t="s">
        <v>4265</v>
      </c>
      <c r="E455" s="9907" t="s"/>
      <c r="F455" s="9908" t="s"/>
      <c r="G455" s="9909" t="s"/>
      <c r="H455" s="53" t="s">
        <v>165</v>
      </c>
      <c r="I455" s="53" t="s">
        <v>166</v>
      </c>
      <c r="J455" s="53" t="s">
        <v>167</v>
      </c>
      <c r="K455" s="53" t="s">
        <v>168</v>
      </c>
      <c r="L455" s="53" t="s">
        <v>169</v>
      </c>
      <c r="M455" s="53" t="s">
        <v>221</v>
      </c>
      <c r="N455" s="63" t="n"/>
      <c r="P455" s="103" t="s">
        <v>4266</v>
      </c>
      <c r="Q455" s="9910" t="s"/>
      <c r="R455" s="9911" t="s"/>
      <c r="S455" s="9912" t="s"/>
      <c r="T455" s="103" t="s">
        <v>4267</v>
      </c>
      <c r="U455" s="9913" t="s"/>
      <c r="V455" s="9914" t="s"/>
      <c r="W455" s="9915" t="s"/>
      <c r="X455" s="103" t="s">
        <v>4268</v>
      </c>
      <c r="Y455" s="9916" t="s"/>
      <c r="Z455" s="9917" t="s"/>
      <c r="AA455" s="9918" t="s"/>
      <c r="AB455" s="103" t="s">
        <v>4269</v>
      </c>
      <c r="AC455" s="9919" t="s"/>
      <c r="AD455" s="9920" t="s"/>
      <c r="AE455" s="9921" t="s"/>
      <c r="AF455" s="103" t="s">
        <v>4270</v>
      </c>
      <c r="AG455" s="9922" t="s"/>
      <c r="AH455" s="9923" t="s"/>
      <c r="AI455" s="9924" t="s"/>
      <c r="AJ455" s="103" t="s">
        <v>4271</v>
      </c>
      <c r="AK455" s="9925" t="s"/>
    </row>
    <row hidden="false" ht="15.75" outlineLevel="0" r="456">
      <c r="C456" s="98" t="s">
        <v>176</v>
      </c>
      <c r="D456" s="122" t="s">
        <v>177</v>
      </c>
      <c r="E456" s="123" t="s">
        <v>3892</v>
      </c>
      <c r="F456" s="123" t="s">
        <v>179</v>
      </c>
      <c r="G456" s="124" t="s">
        <v>859</v>
      </c>
      <c r="H456" s="273" t="n">
        <f aca="false" ca="false" dt2D="false" dtr="false" t="normal">MID($A$45, 8, 2)</f>
        <v>0</v>
      </c>
      <c r="I456" s="7626" t="n">
        <f aca="false" ca="false" dt2D="false" dtr="false" t="normal">MID($A$45, 10, 2)</f>
        <v>0</v>
      </c>
      <c r="J456" s="7626" t="n">
        <f aca="false" ca="false" dt2D="false" dtr="false" t="normal">MID($A$45, 12, 2)</f>
        <v>0</v>
      </c>
      <c r="K456" s="7626" t="n">
        <f aca="false" ca="false" dt2D="false" dtr="false" t="normal">MID($A$45, 14, 2)</f>
        <v>0</v>
      </c>
      <c r="L456" s="7627" t="n">
        <f aca="false" ca="false" dt2D="false" dtr="false" t="normal">MID($A$45, 16, 2)</f>
        <v>0</v>
      </c>
      <c r="M456" s="7553" t="str">
        <f aca="false" ca="false" dt2D="false" dtr="false" t="normal">MID($A$45, 18, 2)</f>
        <v>EF</v>
      </c>
      <c r="N456" s="63" t="s">
        <v>180</v>
      </c>
      <c r="P456" s="129" t="s">
        <v>180</v>
      </c>
      <c r="Q456" s="130" t="s">
        <v>181</v>
      </c>
      <c r="R456" s="121" t="s">
        <v>182</v>
      </c>
      <c r="S456" s="131" t="n"/>
      <c r="T456" s="129" t="s">
        <v>180</v>
      </c>
      <c r="U456" s="130" t="s">
        <v>181</v>
      </c>
      <c r="V456" s="121" t="s">
        <v>182</v>
      </c>
      <c r="W456" s="131" t="n"/>
      <c r="X456" s="129" t="s">
        <v>180</v>
      </c>
      <c r="Y456" s="130" t="s">
        <v>181</v>
      </c>
      <c r="Z456" s="121" t="s">
        <v>182</v>
      </c>
      <c r="AA456" s="131" t="n"/>
      <c r="AB456" s="129" t="s">
        <v>180</v>
      </c>
      <c r="AC456" s="130" t="s">
        <v>181</v>
      </c>
      <c r="AD456" s="121" t="s">
        <v>182</v>
      </c>
      <c r="AE456" s="131" t="n"/>
      <c r="AF456" s="129" t="s">
        <v>180</v>
      </c>
      <c r="AG456" s="130" t="s">
        <v>181</v>
      </c>
      <c r="AH456" s="121" t="s">
        <v>182</v>
      </c>
      <c r="AI456" s="121" t="n"/>
      <c r="AJ456" s="116" t="s">
        <v>183</v>
      </c>
      <c r="AK456" s="9926" t="s"/>
    </row>
    <row hidden="false" ht="15" outlineLevel="0" r="457">
      <c r="C457" s="98" t="s">
        <v>185</v>
      </c>
      <c r="D457" s="149" t="n">
        <f aca="false" ca="false" dt2D="false" dtr="false" t="normal">HEX2BIN(D456, 8)</f>
        <v>111</v>
      </c>
      <c r="E457" s="149" t="n">
        <f aca="false" ca="false" dt2D="false" dtr="false" t="normal">HEX2BIN(E456, 8)</f>
        <v>10100101</v>
      </c>
      <c r="F457" s="149" t="n">
        <f aca="false" ca="false" dt2D="false" dtr="false" t="normal">HEX2BIN(F456, 8)</f>
        <v>1</v>
      </c>
      <c r="G457" s="149" t="n">
        <f aca="false" ca="false" dt2D="false" dtr="false" t="normal">HEX2BIN(G456, 8)</f>
        <v>1000010</v>
      </c>
      <c r="H457" s="53" t="n">
        <f aca="false" ca="false" dt2D="false" dtr="false" t="normal">HEX2BIN(H456, 8)</f>
        <v>0</v>
      </c>
      <c r="I457" s="53" t="n">
        <f aca="false" ca="false" dt2D="false" dtr="false" t="normal">HEX2BIN(I456, 8)</f>
        <v>0</v>
      </c>
      <c r="J457" s="53" t="n">
        <f aca="false" ca="false" dt2D="false" dtr="false" t="normal">HEX2BIN(J456, 8)</f>
        <v>0</v>
      </c>
      <c r="K457" s="53" t="n">
        <f aca="false" ca="false" dt2D="false" dtr="false" t="normal">HEX2BIN(K456, 8)</f>
        <v>0</v>
      </c>
      <c r="L457" s="53" t="n">
        <f aca="false" ca="false" dt2D="false" dtr="false" t="normal">HEX2BIN(L456, 8)</f>
        <v>0</v>
      </c>
      <c r="M457" s="53" t="n"/>
      <c r="N457" s="63" t="n"/>
      <c r="P457" s="136" t="n">
        <f aca="false" ca="false" dt2D="false" dtr="false" t="normal">MID(H457, 1, 1)</f>
        <v>0</v>
      </c>
      <c r="Q457" s="137" t="n">
        <f aca="false" ca="false" dt2D="false" dtr="false" t="normal">P457</f>
        <v>0</v>
      </c>
      <c r="R457" s="120" t="s">
        <v>186</v>
      </c>
      <c r="S457" s="131" t="s">
        <v>196</v>
      </c>
      <c r="T457" s="136" t="n">
        <f aca="false" ca="false" dt2D="false" dtr="false" t="normal">MID(I457, 1, 1)</f>
        <v>0</v>
      </c>
      <c r="U457" s="137" t="n">
        <f aca="false" ca="false" dt2D="false" dtr="false" t="normal">T457</f>
        <v>0</v>
      </c>
      <c r="V457" s="120" t="s">
        <v>186</v>
      </c>
      <c r="W457" s="131" t="s">
        <v>196</v>
      </c>
      <c r="X457" s="136" t="n">
        <f aca="false" ca="false" dt2D="false" dtr="false" t="normal">MID(J457, 1, 1)</f>
        <v>0</v>
      </c>
      <c r="Y457" s="137" t="n">
        <f aca="false" ca="false" dt2D="false" dtr="false" t="normal">X457</f>
        <v>0</v>
      </c>
      <c r="Z457" s="120" t="s">
        <v>186</v>
      </c>
      <c r="AA457" s="131" t="s">
        <v>196</v>
      </c>
      <c r="AB457" s="136" t="n">
        <f aca="false" ca="false" dt2D="false" dtr="false" t="normal">MID(K457, 1, 1)</f>
        <v>0</v>
      </c>
      <c r="AC457" s="137" t="n">
        <f aca="false" ca="false" dt2D="false" dtr="false" t="normal">AB457</f>
        <v>0</v>
      </c>
      <c r="AD457" s="120" t="s">
        <v>186</v>
      </c>
      <c r="AE457" s="131" t="s">
        <v>196</v>
      </c>
      <c r="AF457" s="136" t="n">
        <f aca="false" ca="false" dt2D="false" dtr="false" t="normal">MID(L457, 1, 1)</f>
        <v>0</v>
      </c>
      <c r="AG457" s="137" t="n">
        <f aca="false" ca="false" dt2D="false" dtr="false" t="normal">AF457</f>
        <v>0</v>
      </c>
      <c r="AH457" s="120" t="s">
        <v>186</v>
      </c>
      <c r="AI457" s="131" t="s">
        <v>196</v>
      </c>
      <c r="AJ457" s="9927" t="s"/>
      <c r="AK457" s="9928" t="s"/>
    </row>
    <row hidden="false" ht="15" outlineLevel="0" r="458">
      <c r="C458" s="98" t="s">
        <v>191</v>
      </c>
      <c r="D458" s="149" t="n">
        <f aca="false" ca="false" dt2D="false" dtr="false" t="normal">HEX2DEC(D456)</f>
        <v>7</v>
      </c>
      <c r="E458" s="149" t="n">
        <f aca="false" ca="false" dt2D="false" dtr="false" t="normal">HEX2DEC(E456)</f>
        <v>165</v>
      </c>
      <c r="F458" s="149" t="n">
        <f aca="false" ca="false" dt2D="false" dtr="false" t="normal">HEX2DEC(F456)</f>
        <v>1</v>
      </c>
      <c r="G458" s="149" t="n">
        <f aca="false" ca="false" dt2D="false" dtr="false" t="normal">HEX2DEC(G456)</f>
        <v>66</v>
      </c>
      <c r="H458" s="53" t="n">
        <f aca="false" ca="false" dt2D="false" dtr="false" t="normal">HEX2DEC(H456)</f>
        <v>0</v>
      </c>
      <c r="I458" s="53" t="n">
        <f aca="false" ca="false" dt2D="false" dtr="false" t="normal">HEX2DEC(I456)</f>
        <v>0</v>
      </c>
      <c r="J458" s="53" t="n">
        <f aca="false" ca="false" dt2D="false" dtr="false" t="normal">HEX2DEC(J456)</f>
        <v>0</v>
      </c>
      <c r="K458" s="53" t="n">
        <f aca="false" ca="false" dt2D="false" dtr="false" t="normal">HEX2DEC(K456)</f>
        <v>0</v>
      </c>
      <c r="L458" s="53" t="n">
        <f aca="false" ca="false" dt2D="false" dtr="false" t="normal">HEX2DEC(L456)</f>
        <v>0</v>
      </c>
      <c r="M458" s="53" t="n">
        <f aca="false" ca="false" dt2D="false" dtr="false" t="normal">SUM(D458:L458)</f>
        <v>239</v>
      </c>
      <c r="N458" s="63" t="n"/>
      <c r="P458" s="136" t="n">
        <f aca="false" ca="false" dt2D="false" dtr="false" t="normal">MID(H457, 2, 1)</f>
        <v>0</v>
      </c>
      <c r="Q458" s="137" t="n">
        <f aca="false" ca="false" dt2D="false" dtr="false" t="normal">P458</f>
        <v>0</v>
      </c>
      <c r="R458" s="120" t="s">
        <v>192</v>
      </c>
      <c r="S458" s="131" t="s">
        <v>196</v>
      </c>
      <c r="T458" s="136" t="n">
        <f aca="false" ca="false" dt2D="false" dtr="false" t="normal">MID(I457, 2, 1)</f>
        <v>0</v>
      </c>
      <c r="U458" s="137" t="n">
        <f aca="false" ca="false" dt2D="false" dtr="false" t="normal">T458</f>
        <v>0</v>
      </c>
      <c r="V458" s="120" t="s">
        <v>192</v>
      </c>
      <c r="W458" s="131" t="s">
        <v>196</v>
      </c>
      <c r="X458" s="136" t="n">
        <f aca="false" ca="false" dt2D="false" dtr="false" t="normal">MID(J457, 2, 1)</f>
        <v>0</v>
      </c>
      <c r="Y458" s="137" t="n">
        <f aca="false" ca="false" dt2D="false" dtr="false" t="normal">X458</f>
        <v>0</v>
      </c>
      <c r="Z458" s="120" t="s">
        <v>192</v>
      </c>
      <c r="AA458" s="131" t="s">
        <v>196</v>
      </c>
      <c r="AB458" s="136" t="n">
        <f aca="false" ca="false" dt2D="false" dtr="false" t="normal">MID(K457, 2, 1)</f>
        <v>0</v>
      </c>
      <c r="AC458" s="137" t="n">
        <f aca="false" ca="false" dt2D="false" dtr="false" t="normal">AB458</f>
        <v>0</v>
      </c>
      <c r="AD458" s="120" t="s">
        <v>192</v>
      </c>
      <c r="AE458" s="131" t="s">
        <v>196</v>
      </c>
      <c r="AF458" s="136" t="n">
        <f aca="false" ca="false" dt2D="false" dtr="false" t="normal">MID(L457, 2, 1)</f>
        <v>0</v>
      </c>
      <c r="AG458" s="137" t="n">
        <f aca="false" ca="false" dt2D="false" dtr="false" t="normal">AF458</f>
        <v>0</v>
      </c>
      <c r="AH458" s="120" t="s">
        <v>192</v>
      </c>
      <c r="AI458" s="131" t="s">
        <v>196</v>
      </c>
      <c r="AJ458" s="9929" t="s"/>
      <c r="AK458" s="9930" t="s"/>
    </row>
    <row hidden="false" ht="15" outlineLevel="0" r="459">
      <c r="C459" s="98" t="s">
        <v>194</v>
      </c>
      <c r="D459" s="149" t="n">
        <f aca="false" ca="false" dt2D="false" dtr="false" t="normal">D456</f>
        <v>7</v>
      </c>
      <c r="E459" s="149" t="str">
        <f aca="false" ca="false" dt2D="false" dtr="false" t="normal">E456</f>
        <v>A5</v>
      </c>
      <c r="F459" s="149" t="str">
        <f aca="false" ca="false" dt2D="false" dtr="false" t="normal">MID($A$45, 4, 2)</f>
        <v>G1</v>
      </c>
      <c r="G459" s="149" t="str">
        <f aca="false" ca="false" dt2D="false" dtr="false" t="normal">MID($A$45, 6, 2)</f>
        <v>IA</v>
      </c>
      <c r="N459" s="63" t="n"/>
      <c r="P459" s="136" t="n">
        <f aca="false" ca="false" dt2D="false" dtr="false" t="normal">MID(H457, 3, 1)</f>
        <v>0</v>
      </c>
      <c r="Q459" s="137" t="n">
        <f aca="false" ca="false" dt2D="false" dtr="false" t="normal">P459</f>
        <v>0</v>
      </c>
      <c r="R459" s="120" t="s">
        <v>195</v>
      </c>
      <c r="S459" s="131" t="s">
        <v>196</v>
      </c>
      <c r="T459" s="136" t="n">
        <f aca="false" ca="false" dt2D="false" dtr="false" t="normal">MID(I457, 3, 1)</f>
        <v>0</v>
      </c>
      <c r="U459" s="137" t="n">
        <f aca="false" ca="false" dt2D="false" dtr="false" t="normal">T459</f>
        <v>0</v>
      </c>
      <c r="V459" s="120" t="s">
        <v>195</v>
      </c>
      <c r="W459" s="131" t="s">
        <v>196</v>
      </c>
      <c r="X459" s="136" t="n">
        <f aca="false" ca="false" dt2D="false" dtr="false" t="normal">MID(J457, 3, 1)</f>
        <v>0</v>
      </c>
      <c r="Y459" s="137" t="n">
        <f aca="false" ca="false" dt2D="false" dtr="false" t="normal">X459</f>
        <v>0</v>
      </c>
      <c r="Z459" s="120" t="s">
        <v>195</v>
      </c>
      <c r="AA459" s="131" t="s">
        <v>196</v>
      </c>
      <c r="AB459" s="136" t="n">
        <f aca="false" ca="false" dt2D="false" dtr="false" t="normal">MID(K457, 3, 1)</f>
        <v>0</v>
      </c>
      <c r="AC459" s="137" t="n">
        <f aca="false" ca="false" dt2D="false" dtr="false" t="normal">AB459</f>
        <v>0</v>
      </c>
      <c r="AD459" s="120" t="s">
        <v>195</v>
      </c>
      <c r="AE459" s="131" t="s">
        <v>196</v>
      </c>
      <c r="AF459" s="136" t="n">
        <f aca="false" ca="false" dt2D="false" dtr="false" t="normal">MID(L457, 3, 1)</f>
        <v>0</v>
      </c>
      <c r="AG459" s="137" t="n">
        <f aca="false" ca="false" dt2D="false" dtr="false" t="normal">AF459</f>
        <v>0</v>
      </c>
      <c r="AH459" s="120" t="s">
        <v>195</v>
      </c>
      <c r="AI459" s="131" t="s">
        <v>196</v>
      </c>
      <c r="AJ459" s="9931" t="s"/>
      <c r="AK459" s="9932" t="s"/>
    </row>
    <row hidden="false" ht="15.75" outlineLevel="0" r="460">
      <c r="C460" s="98" t="n"/>
      <c r="N460" s="63" t="n"/>
      <c r="P460" s="136" t="n">
        <f aca="false" ca="false" dt2D="false" dtr="false" t="normal">MID(H457, 4, 1)</f>
        <v>0</v>
      </c>
      <c r="Q460" s="137" t="n">
        <f aca="false" ca="false" dt2D="false" dtr="false" t="normal">P460</f>
        <v>0</v>
      </c>
      <c r="R460" s="120" t="s">
        <v>197</v>
      </c>
      <c r="S460" s="131" t="s">
        <v>196</v>
      </c>
      <c r="T460" s="136" t="n">
        <f aca="false" ca="false" dt2D="false" dtr="false" t="normal">MID(I457, 4, 1)</f>
        <v>0</v>
      </c>
      <c r="U460" s="137" t="n">
        <f aca="false" ca="false" dt2D="false" dtr="false" t="normal">T460</f>
        <v>0</v>
      </c>
      <c r="V460" s="120" t="s">
        <v>197</v>
      </c>
      <c r="W460" s="131" t="s">
        <v>196</v>
      </c>
      <c r="X460" s="136" t="n">
        <f aca="false" ca="false" dt2D="false" dtr="false" t="normal">MID(J457, 4, 1)</f>
        <v>0</v>
      </c>
      <c r="Y460" s="137" t="n">
        <f aca="false" ca="false" dt2D="false" dtr="false" t="normal">X460</f>
        <v>0</v>
      </c>
      <c r="Z460" s="120" t="s">
        <v>197</v>
      </c>
      <c r="AA460" s="131" t="s">
        <v>196</v>
      </c>
      <c r="AB460" s="136" t="n">
        <f aca="false" ca="false" dt2D="false" dtr="false" t="normal">MID(K457, 4, 1)</f>
        <v>0</v>
      </c>
      <c r="AC460" s="137" t="n">
        <f aca="false" ca="false" dt2D="false" dtr="false" t="normal">AB460</f>
        <v>0</v>
      </c>
      <c r="AD460" s="120" t="s">
        <v>197</v>
      </c>
      <c r="AE460" s="131" t="s">
        <v>196</v>
      </c>
      <c r="AF460" s="136" t="n">
        <f aca="false" ca="false" dt2D="false" dtr="false" t="normal">MID(L457, 4, 1)</f>
        <v>0</v>
      </c>
      <c r="AG460" s="137" t="n">
        <f aca="false" ca="false" dt2D="false" dtr="false" t="normal">AF460</f>
        <v>0</v>
      </c>
      <c r="AH460" s="120" t="s">
        <v>197</v>
      </c>
      <c r="AI460" s="131" t="s">
        <v>196</v>
      </c>
      <c r="AJ460" s="9933" t="s"/>
      <c r="AK460" s="9934" t="s"/>
    </row>
    <row hidden="false" ht="15.75" outlineLevel="0" r="461">
      <c r="C461" s="98" t="s">
        <v>176</v>
      </c>
      <c r="D461" s="122" t="n">
        <f aca="false" ca="false" dt2D="false" dtr="false" t="normal">D456</f>
        <v>7</v>
      </c>
      <c r="E461" s="123" t="str">
        <f aca="false" ca="false" dt2D="false" dtr="false" t="normal">E456</f>
        <v>A5</v>
      </c>
      <c r="F461" s="123" t="n">
        <f aca="false" ca="false" dt2D="false" dtr="false" t="normal">F456</f>
        <v>1</v>
      </c>
      <c r="G461" s="124" t="n">
        <f aca="false" ca="false" dt2D="false" dtr="false" t="normal">G456</f>
        <v>42</v>
      </c>
      <c r="H461" s="162" t="n">
        <f aca="false" ca="false" dt2D="false" dtr="false" t="normal">BIN2HEX(H462, 2)</f>
        <v>0</v>
      </c>
      <c r="I461" s="163" t="n">
        <f aca="false" ca="false" dt2D="false" dtr="false" t="normal">BIN2HEX(I462, 2)</f>
        <v>0</v>
      </c>
      <c r="J461" s="164" t="n">
        <f aca="false" ca="false" dt2D="false" dtr="false" t="normal">BIN2HEX(J462, 2)</f>
        <v>0</v>
      </c>
      <c r="K461" s="165" t="n">
        <f aca="false" ca="false" dt2D="false" dtr="false" t="normal">BIN2HEX(K462, 2)</f>
        <v>0</v>
      </c>
      <c r="L461" s="288" t="n">
        <f aca="false" ca="false" dt2D="false" dtr="false" t="normal">BIN2HEX(L462, 2)</f>
        <v>0</v>
      </c>
      <c r="M461" s="166" t="str">
        <f aca="false" ca="false" dt2D="false" dtr="false" t="normal">IF(LEN(M462)&gt;2, MID(M462, 2, 2), M462)</f>
        <v>EF</v>
      </c>
      <c r="N461" s="63" t="s">
        <v>181</v>
      </c>
      <c r="P461" s="136" t="n">
        <f aca="false" ca="false" dt2D="false" dtr="false" t="normal">MID(H457, 5, 1)</f>
        <v>0</v>
      </c>
      <c r="Q461" s="137" t="n">
        <f aca="false" ca="false" dt2D="false" dtr="false" t="normal">P461</f>
        <v>0</v>
      </c>
      <c r="R461" s="120" t="s">
        <v>200</v>
      </c>
      <c r="S461" s="131" t="s">
        <v>196</v>
      </c>
      <c r="T461" s="136" t="n">
        <f aca="false" ca="false" dt2D="false" dtr="false" t="normal">MID(I457, 5, 1)</f>
        <v>0</v>
      </c>
      <c r="U461" s="137" t="n">
        <f aca="false" ca="false" dt2D="false" dtr="false" t="normal">T461</f>
        <v>0</v>
      </c>
      <c r="V461" s="120" t="s">
        <v>200</v>
      </c>
      <c r="W461" s="131" t="s">
        <v>196</v>
      </c>
      <c r="X461" s="136" t="n">
        <f aca="false" ca="false" dt2D="false" dtr="false" t="normal">MID(J457, 5, 1)</f>
        <v>0</v>
      </c>
      <c r="Y461" s="137" t="n">
        <f aca="false" ca="false" dt2D="false" dtr="false" t="normal">X461</f>
        <v>0</v>
      </c>
      <c r="Z461" s="120" t="s">
        <v>200</v>
      </c>
      <c r="AA461" s="131" t="s">
        <v>196</v>
      </c>
      <c r="AB461" s="136" t="n">
        <f aca="false" ca="false" dt2D="false" dtr="false" t="normal">MID(K457, 5, 1)</f>
        <v>0</v>
      </c>
      <c r="AC461" s="137" t="n">
        <f aca="false" ca="false" dt2D="false" dtr="false" t="normal">AB461</f>
        <v>0</v>
      </c>
      <c r="AD461" s="120" t="s">
        <v>200</v>
      </c>
      <c r="AE461" s="131" t="s">
        <v>196</v>
      </c>
      <c r="AF461" s="136" t="n">
        <f aca="false" ca="false" dt2D="false" dtr="false" t="normal">MID(L457, 5, 1)</f>
        <v>0</v>
      </c>
      <c r="AG461" s="137" t="n">
        <f aca="false" ca="false" dt2D="false" dtr="false" t="normal">AF461</f>
        <v>0</v>
      </c>
      <c r="AH461" s="120" t="s">
        <v>200</v>
      </c>
      <c r="AI461" s="131" t="s">
        <v>196</v>
      </c>
      <c r="AJ461" s="9935" t="s"/>
      <c r="AK461" s="9936" t="s"/>
    </row>
    <row hidden="false" ht="15" outlineLevel="0" r="462">
      <c r="C462" s="98" t="s">
        <v>185</v>
      </c>
      <c r="D462" s="149" t="n">
        <f aca="false" ca="false" dt2D="false" dtr="false" t="normal">HEX2BIN(D461, 8)</f>
        <v>111</v>
      </c>
      <c r="E462" s="149" t="n">
        <f aca="false" ca="false" dt2D="false" dtr="false" t="normal">HEX2BIN(E461, 8)</f>
        <v>10100101</v>
      </c>
      <c r="F462" s="149" t="n">
        <f aca="false" ca="false" dt2D="false" dtr="false" t="normal">HEX2BIN(F461, 8)</f>
        <v>1</v>
      </c>
      <c r="G462" s="149" t="n">
        <f aca="false" ca="false" dt2D="false" dtr="false" t="normal">HEX2BIN(G461, 8)</f>
        <v>1000010</v>
      </c>
      <c r="H462" s="53" t="n">
        <f aca="false" ca="false" dt2D="false" dtr="false" t="normal">Q457&amp;Q458&amp;Q459&amp;Q460&amp;Q461&amp;Q462&amp;Q463&amp;Q464</f>
        <v>0</v>
      </c>
      <c r="I462" s="53" t="n">
        <f aca="false" ca="false" dt2D="false" dtr="false" t="normal">U457&amp;U458&amp;U459&amp;U460&amp;U461&amp;U462&amp;U463&amp;U464</f>
        <v>0</v>
      </c>
      <c r="J462" s="53" t="n">
        <f aca="false" ca="false" dt2D="false" dtr="false" t="normal">Y457&amp;Y458&amp;Y459&amp;Y460&amp;Y461&amp;Y462&amp;Y463&amp;Y464</f>
        <v>0</v>
      </c>
      <c r="K462" s="53" t="n">
        <f aca="false" ca="false" dt2D="false" dtr="false" t="normal">AC457&amp;AC458&amp;AC459&amp;AC460&amp;AC461&amp;AC462&amp;AC463&amp;AC464</f>
        <v>0</v>
      </c>
      <c r="L462" s="53" t="n">
        <f aca="false" ca="false" dt2D="false" dtr="false" t="normal">AG457&amp;AG458&amp;AG459&amp;AG460&amp;AG461&amp;AG462&amp;AG463&amp;AG464</f>
        <v>0</v>
      </c>
      <c r="M462" s="53" t="str">
        <f aca="false" ca="false" dt2D="false" dtr="false" t="normal">DEC2HEX(M463)</f>
        <v>EF</v>
      </c>
      <c r="N462" s="63" t="n"/>
      <c r="P462" s="136" t="n">
        <f aca="false" ca="false" dt2D="false" dtr="false" t="normal">MID(H457, 6, 1)</f>
        <v>0</v>
      </c>
      <c r="Q462" s="137" t="n">
        <f aca="false" ca="false" dt2D="false" dtr="false" t="normal">P462</f>
        <v>0</v>
      </c>
      <c r="R462" s="120" t="s">
        <v>203</v>
      </c>
      <c r="S462" s="131" t="s">
        <v>196</v>
      </c>
      <c r="T462" s="136" t="n">
        <f aca="false" ca="false" dt2D="false" dtr="false" t="normal">MID(I457, 6, 1)</f>
        <v>0</v>
      </c>
      <c r="U462" s="137" t="n">
        <f aca="false" ca="false" dt2D="false" dtr="false" t="normal">T462</f>
        <v>0</v>
      </c>
      <c r="V462" s="120" t="s">
        <v>203</v>
      </c>
      <c r="W462" s="131" t="s">
        <v>196</v>
      </c>
      <c r="X462" s="136" t="n">
        <f aca="false" ca="false" dt2D="false" dtr="false" t="normal">MID(J457, 6, 1)</f>
        <v>0</v>
      </c>
      <c r="Y462" s="137" t="n">
        <f aca="false" ca="false" dt2D="false" dtr="false" t="normal">X462</f>
        <v>0</v>
      </c>
      <c r="Z462" s="120" t="s">
        <v>203</v>
      </c>
      <c r="AA462" s="131" t="s">
        <v>196</v>
      </c>
      <c r="AB462" s="136" t="n">
        <f aca="false" ca="false" dt2D="false" dtr="false" t="normal">MID(K457, 6, 1)</f>
        <v>0</v>
      </c>
      <c r="AC462" s="137" t="n">
        <f aca="false" ca="false" dt2D="false" dtr="false" t="normal">AB462</f>
        <v>0</v>
      </c>
      <c r="AD462" s="120" t="s">
        <v>203</v>
      </c>
      <c r="AE462" s="131" t="s">
        <v>196</v>
      </c>
      <c r="AF462" s="136" t="n">
        <f aca="false" ca="false" dt2D="false" dtr="false" t="normal">MID(L457, 6, 1)</f>
        <v>0</v>
      </c>
      <c r="AG462" s="137" t="n">
        <f aca="false" ca="false" dt2D="false" dtr="false" t="normal">AF462</f>
        <v>0</v>
      </c>
      <c r="AH462" s="120" t="s">
        <v>203</v>
      </c>
      <c r="AI462" s="131" t="s">
        <v>196</v>
      </c>
      <c r="AJ462" s="9937" t="s"/>
      <c r="AK462" s="9938" t="s"/>
    </row>
    <row hidden="false" ht="15" outlineLevel="0" r="463">
      <c r="C463" s="98" t="s">
        <v>191</v>
      </c>
      <c r="D463" s="149" t="n">
        <f aca="false" ca="false" dt2D="false" dtr="false" t="normal">HEX2DEC(D461)</f>
        <v>7</v>
      </c>
      <c r="E463" s="149" t="n">
        <f aca="false" ca="false" dt2D="false" dtr="false" t="normal">HEX2DEC(E461)</f>
        <v>165</v>
      </c>
      <c r="F463" s="149" t="n">
        <f aca="false" ca="false" dt2D="false" dtr="false" t="normal">HEX2DEC(F461)</f>
        <v>1</v>
      </c>
      <c r="G463" s="149" t="n">
        <f aca="false" ca="false" dt2D="false" dtr="false" t="normal">HEX2DEC(G461)</f>
        <v>66</v>
      </c>
      <c r="H463" s="53" t="n">
        <f aca="false" ca="false" dt2D="false" dtr="false" t="normal">HEX2DEC(H461)</f>
        <v>0</v>
      </c>
      <c r="I463" s="53" t="n">
        <f aca="false" ca="false" dt2D="false" dtr="false" t="normal">HEX2DEC(I461)</f>
        <v>0</v>
      </c>
      <c r="J463" s="53" t="n">
        <f aca="false" ca="false" dt2D="false" dtr="false" t="normal">HEX2DEC(J461)</f>
        <v>0</v>
      </c>
      <c r="K463" s="53" t="n">
        <f aca="false" ca="false" dt2D="false" dtr="false" t="normal">HEX2DEC(K461)</f>
        <v>0</v>
      </c>
      <c r="L463" s="53" t="n">
        <f aca="false" ca="false" dt2D="false" dtr="false" t="normal">HEX2DEC(L461)</f>
        <v>0</v>
      </c>
      <c r="M463" s="53" t="n">
        <f aca="false" ca="false" dt2D="false" dtr="false" t="normal">SUM(D463:L463)</f>
        <v>239</v>
      </c>
      <c r="N463" s="63" t="n"/>
      <c r="P463" s="136" t="n">
        <f aca="false" ca="false" dt2D="false" dtr="false" t="normal">MID(H457, 7, 1)</f>
        <v>0</v>
      </c>
      <c r="Q463" s="137" t="n">
        <f aca="false" ca="false" dt2D="false" dtr="false" t="normal">P463</f>
        <v>0</v>
      </c>
      <c r="R463" s="120" t="s">
        <v>206</v>
      </c>
      <c r="S463" s="131" t="s">
        <v>196</v>
      </c>
      <c r="T463" s="136" t="n">
        <f aca="false" ca="false" dt2D="false" dtr="false" t="normal">MID(I457, 7, 1)</f>
        <v>0</v>
      </c>
      <c r="U463" s="137" t="n">
        <f aca="false" ca="false" dt2D="false" dtr="false" t="normal">T463</f>
        <v>0</v>
      </c>
      <c r="V463" s="120" t="s">
        <v>206</v>
      </c>
      <c r="W463" s="131" t="s">
        <v>196</v>
      </c>
      <c r="X463" s="136" t="n">
        <f aca="false" ca="false" dt2D="false" dtr="false" t="normal">MID(J457, 7, 1)</f>
        <v>0</v>
      </c>
      <c r="Y463" s="137" t="n">
        <f aca="false" ca="false" dt2D="false" dtr="false" t="normal">X463</f>
        <v>0</v>
      </c>
      <c r="Z463" s="120" t="s">
        <v>206</v>
      </c>
      <c r="AA463" s="131" t="s">
        <v>196</v>
      </c>
      <c r="AB463" s="136" t="n">
        <f aca="false" ca="false" dt2D="false" dtr="false" t="normal">MID(K457, 7, 1)</f>
        <v>0</v>
      </c>
      <c r="AC463" s="137" t="n">
        <f aca="false" ca="false" dt2D="false" dtr="false" t="normal">AB463</f>
        <v>0</v>
      </c>
      <c r="AD463" s="120" t="s">
        <v>206</v>
      </c>
      <c r="AE463" s="131" t="s">
        <v>196</v>
      </c>
      <c r="AF463" s="136" t="n">
        <f aca="false" ca="false" dt2D="false" dtr="false" t="normal">MID(L457, 7, 1)</f>
        <v>0</v>
      </c>
      <c r="AG463" s="137" t="n">
        <f aca="false" ca="false" dt2D="false" dtr="false" t="normal">AF463</f>
        <v>0</v>
      </c>
      <c r="AH463" s="120" t="s">
        <v>206</v>
      </c>
      <c r="AI463" s="131" t="s">
        <v>196</v>
      </c>
      <c r="AJ463" s="9939" t="s"/>
      <c r="AK463" s="9940" t="s"/>
    </row>
    <row hidden="false" ht="15.75" outlineLevel="0" r="464">
      <c r="C464" s="180" t="s">
        <v>194</v>
      </c>
      <c r="D464" s="181" t="n">
        <f aca="false" ca="false" dt2D="false" dtr="false" t="normal">D459</f>
        <v>7</v>
      </c>
      <c r="E464" s="181" t="str">
        <f aca="false" ca="false" dt2D="false" dtr="false" t="normal">E459</f>
        <v>A5</v>
      </c>
      <c r="F464" s="181" t="str">
        <f aca="false" ca="false" dt2D="false" dtr="false" t="normal">F459</f>
        <v>G1</v>
      </c>
      <c r="G464" s="181" t="str">
        <f aca="false" ca="false" dt2D="false" dtr="false" t="normal">G459</f>
        <v>IA</v>
      </c>
      <c r="H464" s="45" t="n"/>
      <c r="I464" s="45" t="n"/>
      <c r="J464" s="45" t="n"/>
      <c r="K464" s="45" t="n"/>
      <c r="L464" s="45" t="n"/>
      <c r="M464" s="45" t="n"/>
      <c r="N464" s="49" t="n"/>
      <c r="P464" s="182" t="n">
        <f aca="false" ca="false" dt2D="false" dtr="false" t="normal">MID(H457, 8, 1)</f>
        <v>0</v>
      </c>
      <c r="Q464" s="183" t="n">
        <f aca="false" ca="false" dt2D="false" dtr="false" t="normal">P464</f>
        <v>0</v>
      </c>
      <c r="R464" s="184" t="s">
        <v>208</v>
      </c>
      <c r="S464" s="185" t="s">
        <v>196</v>
      </c>
      <c r="T464" s="182" t="n">
        <f aca="false" ca="false" dt2D="false" dtr="false" t="normal">MID(I457, 8, 1)</f>
        <v>0</v>
      </c>
      <c r="U464" s="183" t="n">
        <f aca="false" ca="false" dt2D="false" dtr="false" t="normal">T464</f>
        <v>0</v>
      </c>
      <c r="V464" s="184" t="s">
        <v>208</v>
      </c>
      <c r="W464" s="185" t="s">
        <v>196</v>
      </c>
      <c r="X464" s="182" t="n">
        <f aca="false" ca="false" dt2D="false" dtr="false" t="normal">MID(J457, 8, 1)</f>
        <v>0</v>
      </c>
      <c r="Y464" s="183" t="n">
        <f aca="false" ca="false" dt2D="false" dtr="false" t="normal">X464</f>
        <v>0</v>
      </c>
      <c r="Z464" s="184" t="s">
        <v>208</v>
      </c>
      <c r="AA464" s="185" t="s">
        <v>196</v>
      </c>
      <c r="AB464" s="182" t="n">
        <f aca="false" ca="false" dt2D="false" dtr="false" t="normal">MID(K457, 8, 1)</f>
        <v>0</v>
      </c>
      <c r="AC464" s="183" t="n">
        <f aca="false" ca="false" dt2D="false" dtr="false" t="normal">AB464</f>
        <v>0</v>
      </c>
      <c r="AD464" s="184" t="s">
        <v>208</v>
      </c>
      <c r="AE464" s="185" t="s">
        <v>196</v>
      </c>
      <c r="AF464" s="182" t="n">
        <f aca="false" ca="false" dt2D="false" dtr="false" t="normal">MID(L457, 8, 1)</f>
        <v>0</v>
      </c>
      <c r="AG464" s="183" t="n">
        <f aca="false" ca="false" dt2D="false" dtr="false" t="normal">AF464</f>
        <v>0</v>
      </c>
      <c r="AH464" s="184" t="s">
        <v>208</v>
      </c>
      <c r="AI464" s="185" t="s">
        <v>196</v>
      </c>
      <c r="AJ464" s="9941" t="s"/>
      <c r="AK464" s="9942" t="s"/>
    </row>
    <row hidden="false" ht="15.75" outlineLevel="0" r="465">
      <c r="C465" s="93" t="n"/>
      <c r="D465" s="7585" t="n"/>
      <c r="E465" s="7585" t="n"/>
      <c r="F465" s="7585" t="n"/>
      <c r="G465" s="7585" t="n"/>
      <c r="H465" s="94" t="n"/>
      <c r="I465" s="94" t="n"/>
      <c r="J465" s="94" t="n"/>
      <c r="K465" s="94" t="n"/>
      <c r="L465" s="94" t="n"/>
      <c r="M465" s="94" t="s">
        <v>161</v>
      </c>
      <c r="N465" s="60" t="n"/>
      <c r="P465" s="95" t="str">
        <f aca="false" ca="false" dt2D="false" dtr="false" t="normal">RIGHT(D467, 1)&amp;E467&amp;"-"&amp;F467&amp;"-"&amp;G467</f>
        <v>7A5-01-43</v>
      </c>
      <c r="Q465" s="9943" t="s"/>
      <c r="R465" s="234" t="s">
        <v>4272</v>
      </c>
      <c r="S465" s="9944" t="s"/>
      <c r="T465" s="9945" t="s"/>
      <c r="U465" s="9946" t="s"/>
      <c r="V465" s="9947" t="s"/>
      <c r="W465" s="9948" t="s"/>
      <c r="X465" s="9949" t="s"/>
      <c r="Y465" s="9950" t="s"/>
      <c r="Z465" s="9951" t="s"/>
      <c r="AA465" s="9952" t="s"/>
      <c r="AB465" s="9953" t="s"/>
      <c r="AC465" s="9954" t="s"/>
      <c r="AD465" s="9955" t="s"/>
      <c r="AE465" s="9956" t="s"/>
      <c r="AF465" s="9957" t="s"/>
      <c r="AG465" s="9958" t="s"/>
      <c r="AH465" s="9959" t="s"/>
      <c r="AI465" s="9960" t="s"/>
      <c r="AJ465" s="9961" t="s"/>
      <c r="AK465" s="9962" t="s"/>
    </row>
    <row hidden="false" ht="15.75" outlineLevel="0" r="466">
      <c r="C466" s="98" t="n"/>
      <c r="D466" s="7606" t="s">
        <v>4273</v>
      </c>
      <c r="E466" s="9963" t="s"/>
      <c r="F466" s="9964" t="s"/>
      <c r="G466" s="9965" t="s"/>
      <c r="H466" s="53" t="s">
        <v>165</v>
      </c>
      <c r="I466" s="53" t="s">
        <v>166</v>
      </c>
      <c r="J466" s="53" t="s">
        <v>167</v>
      </c>
      <c r="K466" s="53" t="s">
        <v>168</v>
      </c>
      <c r="L466" s="53" t="s">
        <v>169</v>
      </c>
      <c r="M466" s="53" t="s">
        <v>221</v>
      </c>
      <c r="N466" s="63" t="n"/>
      <c r="P466" s="103" t="s">
        <v>4274</v>
      </c>
      <c r="Q466" s="9966" t="s"/>
      <c r="R466" s="9967" t="s"/>
      <c r="S466" s="9968" t="s"/>
      <c r="T466" s="103" t="s">
        <v>4275</v>
      </c>
      <c r="U466" s="9969" t="s"/>
      <c r="V466" s="9970" t="s"/>
      <c r="W466" s="9971" t="s"/>
      <c r="X466" s="103" t="s">
        <v>4276</v>
      </c>
      <c r="Y466" s="9972" t="s"/>
      <c r="Z466" s="9973" t="s"/>
      <c r="AA466" s="9974" t="s"/>
      <c r="AB466" s="103" t="s">
        <v>4277</v>
      </c>
      <c r="AC466" s="9975" t="s"/>
      <c r="AD466" s="9976" t="s"/>
      <c r="AE466" s="9977" t="s"/>
      <c r="AF466" s="103" t="s">
        <v>4278</v>
      </c>
      <c r="AG466" s="9978" t="s"/>
      <c r="AH466" s="9979" t="s"/>
      <c r="AI466" s="9980" t="s"/>
      <c r="AJ466" s="103" t="s">
        <v>4279</v>
      </c>
      <c r="AK466" s="9981" t="s"/>
    </row>
    <row hidden="false" ht="15.75" outlineLevel="0" r="467">
      <c r="C467" s="98" t="s">
        <v>176</v>
      </c>
      <c r="D467" s="122" t="s">
        <v>177</v>
      </c>
      <c r="E467" s="123" t="s">
        <v>3892</v>
      </c>
      <c r="F467" s="123" t="s">
        <v>179</v>
      </c>
      <c r="G467" s="124" t="s">
        <v>868</v>
      </c>
      <c r="H467" s="273" t="n">
        <f aca="false" ca="false" dt2D="false" dtr="false" t="normal">MID($A$46, 8, 2)</f>
        <v>0</v>
      </c>
      <c r="I467" s="7626" t="n">
        <f aca="false" ca="false" dt2D="false" dtr="false" t="normal">MID($A$46, 10, 2)</f>
        <v>0</v>
      </c>
      <c r="J467" s="7626" t="n">
        <f aca="false" ca="false" dt2D="false" dtr="false" t="normal">MID($A$46, 12, 2)</f>
        <v>0</v>
      </c>
      <c r="K467" s="7626" t="n">
        <f aca="false" ca="false" dt2D="false" dtr="false" t="normal">MID($A$46, 14, 2)</f>
        <v>0</v>
      </c>
      <c r="L467" s="7627" t="n">
        <f aca="false" ca="false" dt2D="false" dtr="false" t="normal">MID($A$46, 16, 2)</f>
        <v>0</v>
      </c>
      <c r="M467" s="7553" t="str">
        <f aca="false" ca="false" dt2D="false" dtr="false" t="normal">MID($A$46, 18, 2)</f>
        <v>F0</v>
      </c>
      <c r="N467" s="63" t="s">
        <v>180</v>
      </c>
      <c r="P467" s="129" t="s">
        <v>180</v>
      </c>
      <c r="Q467" s="130" t="s">
        <v>181</v>
      </c>
      <c r="R467" s="121" t="s">
        <v>182</v>
      </c>
      <c r="S467" s="131" t="n"/>
      <c r="T467" s="129" t="s">
        <v>180</v>
      </c>
      <c r="U467" s="130" t="s">
        <v>181</v>
      </c>
      <c r="V467" s="121" t="s">
        <v>182</v>
      </c>
      <c r="W467" s="131" t="n"/>
      <c r="X467" s="129" t="s">
        <v>180</v>
      </c>
      <c r="Y467" s="130" t="s">
        <v>181</v>
      </c>
      <c r="Z467" s="121" t="s">
        <v>182</v>
      </c>
      <c r="AA467" s="131" t="n"/>
      <c r="AB467" s="129" t="s">
        <v>180</v>
      </c>
      <c r="AC467" s="130" t="s">
        <v>181</v>
      </c>
      <c r="AD467" s="121" t="s">
        <v>182</v>
      </c>
      <c r="AE467" s="131" t="n"/>
      <c r="AF467" s="129" t="s">
        <v>180</v>
      </c>
      <c r="AG467" s="130" t="s">
        <v>181</v>
      </c>
      <c r="AH467" s="121" t="s">
        <v>182</v>
      </c>
      <c r="AI467" s="121" t="n"/>
      <c r="AJ467" s="116" t="s">
        <v>183</v>
      </c>
      <c r="AK467" s="9982" t="s"/>
    </row>
    <row hidden="false" ht="15" outlineLevel="0" r="468">
      <c r="C468" s="98" t="s">
        <v>185</v>
      </c>
      <c r="D468" s="149" t="n">
        <f aca="false" ca="false" dt2D="false" dtr="false" t="normal">HEX2BIN(D467, 8)</f>
        <v>111</v>
      </c>
      <c r="E468" s="149" t="n">
        <f aca="false" ca="false" dt2D="false" dtr="false" t="normal">HEX2BIN(E467, 8)</f>
        <v>10100101</v>
      </c>
      <c r="F468" s="149" t="n">
        <f aca="false" ca="false" dt2D="false" dtr="false" t="normal">HEX2BIN(F467, 8)</f>
        <v>1</v>
      </c>
      <c r="G468" s="149" t="n">
        <f aca="false" ca="false" dt2D="false" dtr="false" t="normal">HEX2BIN(G467, 8)</f>
        <v>1000011</v>
      </c>
      <c r="H468" s="53" t="n">
        <f aca="false" ca="false" dt2D="false" dtr="false" t="normal">HEX2BIN(H467, 8)</f>
        <v>0</v>
      </c>
      <c r="I468" s="53" t="n">
        <f aca="false" ca="false" dt2D="false" dtr="false" t="normal">HEX2BIN(I467, 8)</f>
        <v>0</v>
      </c>
      <c r="J468" s="53" t="n">
        <f aca="false" ca="false" dt2D="false" dtr="false" t="normal">HEX2BIN(J467, 8)</f>
        <v>0</v>
      </c>
      <c r="K468" s="53" t="n">
        <f aca="false" ca="false" dt2D="false" dtr="false" t="normal">HEX2BIN(K467, 8)</f>
        <v>0</v>
      </c>
      <c r="L468" s="53" t="n">
        <f aca="false" ca="false" dt2D="false" dtr="false" t="normal">HEX2BIN(L467, 8)</f>
        <v>0</v>
      </c>
      <c r="M468" s="53" t="n"/>
      <c r="N468" s="63" t="n"/>
      <c r="P468" s="136" t="n">
        <f aca="false" ca="false" dt2D="false" dtr="false" t="normal">MID(H468, 1, 1)</f>
        <v>0</v>
      </c>
      <c r="Q468" s="137" t="n">
        <f aca="false" ca="false" dt2D="false" dtr="false" t="normal">P468</f>
        <v>0</v>
      </c>
      <c r="R468" s="120" t="s">
        <v>186</v>
      </c>
      <c r="S468" s="131" t="s">
        <v>196</v>
      </c>
      <c r="T468" s="136" t="n">
        <f aca="false" ca="false" dt2D="false" dtr="false" t="normal">MID(I468, 1, 1)</f>
        <v>0</v>
      </c>
      <c r="U468" s="137" t="n">
        <f aca="false" ca="false" dt2D="false" dtr="false" t="normal">T468</f>
        <v>0</v>
      </c>
      <c r="V468" s="120" t="s">
        <v>186</v>
      </c>
      <c r="W468" s="131" t="s">
        <v>196</v>
      </c>
      <c r="X468" s="136" t="n">
        <f aca="false" ca="false" dt2D="false" dtr="false" t="normal">MID(J468, 1, 1)</f>
        <v>0</v>
      </c>
      <c r="Y468" s="137" t="n">
        <f aca="false" ca="false" dt2D="false" dtr="false" t="normal">X468</f>
        <v>0</v>
      </c>
      <c r="Z468" s="120" t="s">
        <v>186</v>
      </c>
      <c r="AA468" s="131" t="s">
        <v>196</v>
      </c>
      <c r="AB468" s="136" t="n">
        <f aca="false" ca="false" dt2D="false" dtr="false" t="normal">MID(K468, 1, 1)</f>
        <v>0</v>
      </c>
      <c r="AC468" s="137" t="n">
        <f aca="false" ca="false" dt2D="false" dtr="false" t="normal">AB468</f>
        <v>0</v>
      </c>
      <c r="AD468" s="120" t="s">
        <v>186</v>
      </c>
      <c r="AE468" s="131" t="s">
        <v>196</v>
      </c>
      <c r="AF468" s="136" t="n">
        <f aca="false" ca="false" dt2D="false" dtr="false" t="normal">MID(L468, 1, 1)</f>
        <v>0</v>
      </c>
      <c r="AG468" s="137" t="n">
        <f aca="false" ca="false" dt2D="false" dtr="false" t="normal">AF468</f>
        <v>0</v>
      </c>
      <c r="AH468" s="120" t="s">
        <v>186</v>
      </c>
      <c r="AI468" s="131" t="s">
        <v>196</v>
      </c>
      <c r="AJ468" s="9983" t="s"/>
      <c r="AK468" s="9984" t="s"/>
    </row>
    <row hidden="false" ht="15" outlineLevel="0" r="469">
      <c r="C469" s="98" t="s">
        <v>191</v>
      </c>
      <c r="D469" s="149" t="n">
        <f aca="false" ca="false" dt2D="false" dtr="false" t="normal">HEX2DEC(D467)</f>
        <v>7</v>
      </c>
      <c r="E469" s="149" t="n">
        <f aca="false" ca="false" dt2D="false" dtr="false" t="normal">HEX2DEC(E467)</f>
        <v>165</v>
      </c>
      <c r="F469" s="149" t="n">
        <f aca="false" ca="false" dt2D="false" dtr="false" t="normal">HEX2DEC(F467)</f>
        <v>1</v>
      </c>
      <c r="G469" s="149" t="n">
        <f aca="false" ca="false" dt2D="false" dtr="false" t="normal">HEX2DEC(G467)</f>
        <v>67</v>
      </c>
      <c r="H469" s="53" t="n">
        <f aca="false" ca="false" dt2D="false" dtr="false" t="normal">HEX2DEC(H467)</f>
        <v>0</v>
      </c>
      <c r="I469" s="53" t="n">
        <f aca="false" ca="false" dt2D="false" dtr="false" t="normal">HEX2DEC(I467)</f>
        <v>0</v>
      </c>
      <c r="J469" s="53" t="n">
        <f aca="false" ca="false" dt2D="false" dtr="false" t="normal">HEX2DEC(J467)</f>
        <v>0</v>
      </c>
      <c r="K469" s="53" t="n">
        <f aca="false" ca="false" dt2D="false" dtr="false" t="normal">HEX2DEC(K467)</f>
        <v>0</v>
      </c>
      <c r="L469" s="53" t="n">
        <f aca="false" ca="false" dt2D="false" dtr="false" t="normal">HEX2DEC(L467)</f>
        <v>0</v>
      </c>
      <c r="M469" s="53" t="n">
        <f aca="false" ca="false" dt2D="false" dtr="false" t="normal">SUM(D469:L469)</f>
        <v>240</v>
      </c>
      <c r="N469" s="63" t="n"/>
      <c r="P469" s="136" t="n">
        <f aca="false" ca="false" dt2D="false" dtr="false" t="normal">MID(H468, 2, 1)</f>
        <v>0</v>
      </c>
      <c r="Q469" s="137" t="n">
        <f aca="false" ca="false" dt2D="false" dtr="false" t="normal">P469</f>
        <v>0</v>
      </c>
      <c r="R469" s="120" t="s">
        <v>192</v>
      </c>
      <c r="S469" s="131" t="s">
        <v>196</v>
      </c>
      <c r="T469" s="136" t="n">
        <f aca="false" ca="false" dt2D="false" dtr="false" t="normal">MID(I468, 2, 1)</f>
        <v>0</v>
      </c>
      <c r="U469" s="137" t="n">
        <f aca="false" ca="false" dt2D="false" dtr="false" t="normal">T469</f>
        <v>0</v>
      </c>
      <c r="V469" s="120" t="s">
        <v>192</v>
      </c>
      <c r="W469" s="131" t="s">
        <v>196</v>
      </c>
      <c r="X469" s="136" t="n">
        <f aca="false" ca="false" dt2D="false" dtr="false" t="normal">MID(J468, 2, 1)</f>
        <v>0</v>
      </c>
      <c r="Y469" s="137" t="n">
        <f aca="false" ca="false" dt2D="false" dtr="false" t="normal">X469</f>
        <v>0</v>
      </c>
      <c r="Z469" s="120" t="s">
        <v>192</v>
      </c>
      <c r="AA469" s="131" t="s">
        <v>196</v>
      </c>
      <c r="AB469" s="136" t="n">
        <f aca="false" ca="false" dt2D="false" dtr="false" t="normal">MID(K468, 2, 1)</f>
        <v>0</v>
      </c>
      <c r="AC469" s="137" t="n">
        <f aca="false" ca="false" dt2D="false" dtr="false" t="normal">AB469</f>
        <v>0</v>
      </c>
      <c r="AD469" s="120" t="s">
        <v>192</v>
      </c>
      <c r="AE469" s="131" t="s">
        <v>196</v>
      </c>
      <c r="AF469" s="136" t="n">
        <f aca="false" ca="false" dt2D="false" dtr="false" t="normal">MID(L468, 2, 1)</f>
        <v>0</v>
      </c>
      <c r="AG469" s="137" t="n">
        <f aca="false" ca="false" dt2D="false" dtr="false" t="normal">AF469</f>
        <v>0</v>
      </c>
      <c r="AH469" s="120" t="s">
        <v>192</v>
      </c>
      <c r="AI469" s="131" t="s">
        <v>196</v>
      </c>
      <c r="AJ469" s="9985" t="s"/>
      <c r="AK469" s="9986" t="s"/>
    </row>
    <row hidden="false" ht="15" outlineLevel="0" r="470">
      <c r="C470" s="98" t="s">
        <v>194</v>
      </c>
      <c r="D470" s="149" t="n">
        <f aca="false" ca="false" dt2D="false" dtr="false" t="normal">D467</f>
        <v>7</v>
      </c>
      <c r="E470" s="149" t="str">
        <f aca="false" ca="false" dt2D="false" dtr="false" t="normal">E467</f>
        <v>A5</v>
      </c>
      <c r="F470" s="149" t="str">
        <f aca="false" ca="false" dt2D="false" dtr="false" t="normal">MID($A$46, 4, 2)</f>
        <v>G1</v>
      </c>
      <c r="G470" s="149" t="str">
        <f aca="false" ca="false" dt2D="false" dtr="false" t="normal">MID($A$46, 6, 2)</f>
        <v>IB</v>
      </c>
      <c r="N470" s="63" t="n"/>
      <c r="P470" s="136" t="n">
        <f aca="false" ca="false" dt2D="false" dtr="false" t="normal">MID(H468, 3, 1)</f>
        <v>0</v>
      </c>
      <c r="Q470" s="137" t="n">
        <f aca="false" ca="false" dt2D="false" dtr="false" t="normal">P470</f>
        <v>0</v>
      </c>
      <c r="R470" s="120" t="s">
        <v>195</v>
      </c>
      <c r="S470" s="131" t="s">
        <v>196</v>
      </c>
      <c r="T470" s="136" t="n">
        <f aca="false" ca="false" dt2D="false" dtr="false" t="normal">MID(I468, 3, 1)</f>
        <v>0</v>
      </c>
      <c r="U470" s="137" t="n">
        <f aca="false" ca="false" dt2D="false" dtr="false" t="normal">T470</f>
        <v>0</v>
      </c>
      <c r="V470" s="120" t="s">
        <v>195</v>
      </c>
      <c r="W470" s="131" t="s">
        <v>196</v>
      </c>
      <c r="X470" s="136" t="n">
        <f aca="false" ca="false" dt2D="false" dtr="false" t="normal">MID(J468, 3, 1)</f>
        <v>0</v>
      </c>
      <c r="Y470" s="137" t="n">
        <f aca="false" ca="false" dt2D="false" dtr="false" t="normal">X470</f>
        <v>0</v>
      </c>
      <c r="Z470" s="120" t="s">
        <v>195</v>
      </c>
      <c r="AA470" s="131" t="s">
        <v>196</v>
      </c>
      <c r="AB470" s="136" t="n">
        <f aca="false" ca="false" dt2D="false" dtr="false" t="normal">MID(K468, 3, 1)</f>
        <v>0</v>
      </c>
      <c r="AC470" s="137" t="n">
        <f aca="false" ca="false" dt2D="false" dtr="false" t="normal">AB470</f>
        <v>0</v>
      </c>
      <c r="AD470" s="120" t="s">
        <v>195</v>
      </c>
      <c r="AE470" s="131" t="s">
        <v>196</v>
      </c>
      <c r="AF470" s="136" t="n">
        <f aca="false" ca="false" dt2D="false" dtr="false" t="normal">MID(L468, 3, 1)</f>
        <v>0</v>
      </c>
      <c r="AG470" s="137" t="n">
        <f aca="false" ca="false" dt2D="false" dtr="false" t="normal">AF470</f>
        <v>0</v>
      </c>
      <c r="AH470" s="120" t="s">
        <v>195</v>
      </c>
      <c r="AI470" s="131" t="s">
        <v>196</v>
      </c>
      <c r="AJ470" s="9987" t="s"/>
      <c r="AK470" s="9988" t="s"/>
    </row>
    <row hidden="false" ht="15.75" outlineLevel="0" r="471">
      <c r="C471" s="98" t="n"/>
      <c r="N471" s="63" t="n"/>
      <c r="P471" s="136" t="n">
        <f aca="false" ca="false" dt2D="false" dtr="false" t="normal">MID(H468, 4, 1)</f>
        <v>0</v>
      </c>
      <c r="Q471" s="137" t="n">
        <f aca="false" ca="false" dt2D="false" dtr="false" t="normal">P471</f>
        <v>0</v>
      </c>
      <c r="R471" s="120" t="s">
        <v>197</v>
      </c>
      <c r="S471" s="131" t="s">
        <v>196</v>
      </c>
      <c r="T471" s="136" t="n">
        <f aca="false" ca="false" dt2D="false" dtr="false" t="normal">MID(I468, 4, 1)</f>
        <v>0</v>
      </c>
      <c r="U471" s="137" t="n">
        <f aca="false" ca="false" dt2D="false" dtr="false" t="normal">T471</f>
        <v>0</v>
      </c>
      <c r="V471" s="120" t="s">
        <v>197</v>
      </c>
      <c r="W471" s="131" t="s">
        <v>196</v>
      </c>
      <c r="X471" s="136" t="n">
        <f aca="false" ca="false" dt2D="false" dtr="false" t="normal">MID(J468, 4, 1)</f>
        <v>0</v>
      </c>
      <c r="Y471" s="137" t="n">
        <f aca="false" ca="false" dt2D="false" dtr="false" t="normal">X471</f>
        <v>0</v>
      </c>
      <c r="Z471" s="120" t="s">
        <v>197</v>
      </c>
      <c r="AA471" s="131" t="s">
        <v>196</v>
      </c>
      <c r="AB471" s="136" t="n">
        <f aca="false" ca="false" dt2D="false" dtr="false" t="normal">MID(K468, 4, 1)</f>
        <v>0</v>
      </c>
      <c r="AC471" s="137" t="n">
        <f aca="false" ca="false" dt2D="false" dtr="false" t="normal">AB471</f>
        <v>0</v>
      </c>
      <c r="AD471" s="120" t="s">
        <v>197</v>
      </c>
      <c r="AE471" s="131" t="s">
        <v>196</v>
      </c>
      <c r="AF471" s="136" t="n">
        <f aca="false" ca="false" dt2D="false" dtr="false" t="normal">MID(L468, 4, 1)</f>
        <v>0</v>
      </c>
      <c r="AG471" s="137" t="n">
        <f aca="false" ca="false" dt2D="false" dtr="false" t="normal">AF471</f>
        <v>0</v>
      </c>
      <c r="AH471" s="120" t="s">
        <v>197</v>
      </c>
      <c r="AI471" s="131" t="s">
        <v>196</v>
      </c>
      <c r="AJ471" s="9989" t="s"/>
      <c r="AK471" s="9990" t="s"/>
    </row>
    <row hidden="false" ht="15.75" outlineLevel="0" r="472">
      <c r="C472" s="98" t="s">
        <v>176</v>
      </c>
      <c r="D472" s="122" t="n">
        <f aca="false" ca="false" dt2D="false" dtr="false" t="normal">D467</f>
        <v>7</v>
      </c>
      <c r="E472" s="123" t="str">
        <f aca="false" ca="false" dt2D="false" dtr="false" t="normal">E467</f>
        <v>A5</v>
      </c>
      <c r="F472" s="123" t="n">
        <f aca="false" ca="false" dt2D="false" dtr="false" t="normal">F467</f>
        <v>1</v>
      </c>
      <c r="G472" s="124" t="n">
        <f aca="false" ca="false" dt2D="false" dtr="false" t="normal">G467</f>
        <v>43</v>
      </c>
      <c r="H472" s="162" t="n">
        <f aca="false" ca="false" dt2D="false" dtr="false" t="normal">BIN2HEX(H473, 2)</f>
        <v>0</v>
      </c>
      <c r="I472" s="163" t="n">
        <f aca="false" ca="false" dt2D="false" dtr="false" t="normal">BIN2HEX(I473, 2)</f>
        <v>0</v>
      </c>
      <c r="J472" s="164" t="n">
        <f aca="false" ca="false" dt2D="false" dtr="false" t="normal">BIN2HEX(J473, 2)</f>
        <v>0</v>
      </c>
      <c r="K472" s="165" t="n">
        <f aca="false" ca="false" dt2D="false" dtr="false" t="normal">BIN2HEX(K473, 2)</f>
        <v>0</v>
      </c>
      <c r="L472" s="288" t="n">
        <f aca="false" ca="false" dt2D="false" dtr="false" t="normal">BIN2HEX(L473, 2)</f>
        <v>0</v>
      </c>
      <c r="M472" s="166" t="str">
        <f aca="false" ca="false" dt2D="false" dtr="false" t="normal">IF(LEN(M473)&gt;2, MID(M473, 2, 2), M473)</f>
        <v>F0</v>
      </c>
      <c r="N472" s="63" t="s">
        <v>181</v>
      </c>
      <c r="P472" s="136" t="n">
        <f aca="false" ca="false" dt2D="false" dtr="false" t="normal">MID(H468, 5, 1)</f>
        <v>0</v>
      </c>
      <c r="Q472" s="137" t="n">
        <f aca="false" ca="false" dt2D="false" dtr="false" t="normal">P472</f>
        <v>0</v>
      </c>
      <c r="R472" s="120" t="s">
        <v>200</v>
      </c>
      <c r="S472" s="131" t="s">
        <v>196</v>
      </c>
      <c r="T472" s="136" t="n">
        <f aca="false" ca="false" dt2D="false" dtr="false" t="normal">MID(I468, 5, 1)</f>
        <v>0</v>
      </c>
      <c r="U472" s="137" t="n">
        <f aca="false" ca="false" dt2D="false" dtr="false" t="normal">T472</f>
        <v>0</v>
      </c>
      <c r="V472" s="120" t="s">
        <v>200</v>
      </c>
      <c r="W472" s="131" t="s">
        <v>196</v>
      </c>
      <c r="X472" s="136" t="n">
        <f aca="false" ca="false" dt2D="false" dtr="false" t="normal">MID(J468, 5, 1)</f>
        <v>0</v>
      </c>
      <c r="Y472" s="137" t="n">
        <f aca="false" ca="false" dt2D="false" dtr="false" t="normal">X472</f>
        <v>0</v>
      </c>
      <c r="Z472" s="120" t="s">
        <v>200</v>
      </c>
      <c r="AA472" s="131" t="s">
        <v>196</v>
      </c>
      <c r="AB472" s="136" t="n">
        <f aca="false" ca="false" dt2D="false" dtr="false" t="normal">MID(K468, 5, 1)</f>
        <v>0</v>
      </c>
      <c r="AC472" s="137" t="n">
        <f aca="false" ca="false" dt2D="false" dtr="false" t="normal">AB472</f>
        <v>0</v>
      </c>
      <c r="AD472" s="120" t="s">
        <v>200</v>
      </c>
      <c r="AE472" s="131" t="s">
        <v>196</v>
      </c>
      <c r="AF472" s="136" t="n">
        <f aca="false" ca="false" dt2D="false" dtr="false" t="normal">MID(L468, 5, 1)</f>
        <v>0</v>
      </c>
      <c r="AG472" s="137" t="n">
        <f aca="false" ca="false" dt2D="false" dtr="false" t="normal">AF472</f>
        <v>0</v>
      </c>
      <c r="AH472" s="120" t="s">
        <v>200</v>
      </c>
      <c r="AI472" s="131" t="s">
        <v>196</v>
      </c>
      <c r="AJ472" s="9991" t="s"/>
      <c r="AK472" s="9992" t="s"/>
    </row>
    <row hidden="false" ht="15" outlineLevel="0" r="473">
      <c r="C473" s="98" t="s">
        <v>185</v>
      </c>
      <c r="D473" s="149" t="n">
        <f aca="false" ca="false" dt2D="false" dtr="false" t="normal">HEX2BIN(D472, 8)</f>
        <v>111</v>
      </c>
      <c r="E473" s="149" t="n">
        <f aca="false" ca="false" dt2D="false" dtr="false" t="normal">HEX2BIN(E472, 8)</f>
        <v>10100101</v>
      </c>
      <c r="F473" s="149" t="n">
        <f aca="false" ca="false" dt2D="false" dtr="false" t="normal">HEX2BIN(F472, 8)</f>
        <v>1</v>
      </c>
      <c r="G473" s="149" t="n">
        <f aca="false" ca="false" dt2D="false" dtr="false" t="normal">HEX2BIN(G472, 8)</f>
        <v>1000011</v>
      </c>
      <c r="H473" s="53" t="n">
        <f aca="false" ca="false" dt2D="false" dtr="false" t="normal">Q468&amp;Q469&amp;Q470&amp;Q471&amp;Q472&amp;Q473&amp;Q474&amp;Q475</f>
        <v>0</v>
      </c>
      <c r="I473" s="53" t="n">
        <f aca="false" ca="false" dt2D="false" dtr="false" t="normal">U468&amp;U469&amp;U470&amp;U471&amp;U472&amp;U473&amp;U474&amp;U475</f>
        <v>0</v>
      </c>
      <c r="J473" s="53" t="n">
        <f aca="false" ca="false" dt2D="false" dtr="false" t="normal">Y468&amp;Y469&amp;Y470&amp;Y471&amp;Y472&amp;Y473&amp;Y474&amp;Y475</f>
        <v>0</v>
      </c>
      <c r="K473" s="53" t="n">
        <f aca="false" ca="false" dt2D="false" dtr="false" t="normal">AC468&amp;AC469&amp;AC470&amp;AC471&amp;AC472&amp;AC473&amp;AC474&amp;AC475</f>
        <v>0</v>
      </c>
      <c r="L473" s="53" t="n">
        <f aca="false" ca="false" dt2D="false" dtr="false" t="normal">AG468&amp;AG469&amp;AG470&amp;AG471&amp;AG472&amp;AG473&amp;AG474&amp;AG475</f>
        <v>0</v>
      </c>
      <c r="M473" s="53" t="str">
        <f aca="false" ca="false" dt2D="false" dtr="false" t="normal">DEC2HEX(M474)</f>
        <v>F0</v>
      </c>
      <c r="N473" s="63" t="n"/>
      <c r="P473" s="136" t="n">
        <f aca="false" ca="false" dt2D="false" dtr="false" t="normal">MID(H468, 6, 1)</f>
        <v>0</v>
      </c>
      <c r="Q473" s="137" t="n">
        <f aca="false" ca="false" dt2D="false" dtr="false" t="normal">P473</f>
        <v>0</v>
      </c>
      <c r="R473" s="120" t="s">
        <v>203</v>
      </c>
      <c r="S473" s="131" t="s">
        <v>196</v>
      </c>
      <c r="T473" s="136" t="n">
        <f aca="false" ca="false" dt2D="false" dtr="false" t="normal">MID(I468, 6, 1)</f>
        <v>0</v>
      </c>
      <c r="U473" s="137" t="n">
        <f aca="false" ca="false" dt2D="false" dtr="false" t="normal">T473</f>
        <v>0</v>
      </c>
      <c r="V473" s="120" t="s">
        <v>203</v>
      </c>
      <c r="W473" s="131" t="s">
        <v>196</v>
      </c>
      <c r="X473" s="136" t="n">
        <f aca="false" ca="false" dt2D="false" dtr="false" t="normal">MID(J468, 6, 1)</f>
        <v>0</v>
      </c>
      <c r="Y473" s="137" t="n">
        <f aca="false" ca="false" dt2D="false" dtr="false" t="normal">X473</f>
        <v>0</v>
      </c>
      <c r="Z473" s="120" t="s">
        <v>203</v>
      </c>
      <c r="AA473" s="131" t="s">
        <v>196</v>
      </c>
      <c r="AB473" s="136" t="n">
        <f aca="false" ca="false" dt2D="false" dtr="false" t="normal">MID(K468, 6, 1)</f>
        <v>0</v>
      </c>
      <c r="AC473" s="137" t="n">
        <f aca="false" ca="false" dt2D="false" dtr="false" t="normal">AB473</f>
        <v>0</v>
      </c>
      <c r="AD473" s="120" t="s">
        <v>203</v>
      </c>
      <c r="AE473" s="131" t="s">
        <v>196</v>
      </c>
      <c r="AF473" s="136" t="n">
        <f aca="false" ca="false" dt2D="false" dtr="false" t="normal">MID(L468, 6, 1)</f>
        <v>0</v>
      </c>
      <c r="AG473" s="137" t="n">
        <f aca="false" ca="false" dt2D="false" dtr="false" t="normal">AF473</f>
        <v>0</v>
      </c>
      <c r="AH473" s="120" t="s">
        <v>203</v>
      </c>
      <c r="AI473" s="131" t="s">
        <v>196</v>
      </c>
      <c r="AJ473" s="9993" t="s"/>
      <c r="AK473" s="9994" t="s"/>
    </row>
    <row hidden="false" ht="15" outlineLevel="0" r="474">
      <c r="C474" s="98" t="s">
        <v>191</v>
      </c>
      <c r="D474" s="149" t="n">
        <f aca="false" ca="false" dt2D="false" dtr="false" t="normal">HEX2DEC(D472)</f>
        <v>7</v>
      </c>
      <c r="E474" s="149" t="n">
        <f aca="false" ca="false" dt2D="false" dtr="false" t="normal">HEX2DEC(E472)</f>
        <v>165</v>
      </c>
      <c r="F474" s="149" t="n">
        <f aca="false" ca="false" dt2D="false" dtr="false" t="normal">HEX2DEC(F472)</f>
        <v>1</v>
      </c>
      <c r="G474" s="149" t="n">
        <f aca="false" ca="false" dt2D="false" dtr="false" t="normal">HEX2DEC(G472)</f>
        <v>67</v>
      </c>
      <c r="H474" s="53" t="n">
        <f aca="false" ca="false" dt2D="false" dtr="false" t="normal">HEX2DEC(H472)</f>
        <v>0</v>
      </c>
      <c r="I474" s="53" t="n">
        <f aca="false" ca="false" dt2D="false" dtr="false" t="normal">HEX2DEC(I472)</f>
        <v>0</v>
      </c>
      <c r="J474" s="53" t="n">
        <f aca="false" ca="false" dt2D="false" dtr="false" t="normal">HEX2DEC(J472)</f>
        <v>0</v>
      </c>
      <c r="K474" s="53" t="n">
        <f aca="false" ca="false" dt2D="false" dtr="false" t="normal">HEX2DEC(K472)</f>
        <v>0</v>
      </c>
      <c r="L474" s="53" t="n">
        <f aca="false" ca="false" dt2D="false" dtr="false" t="normal">HEX2DEC(L472)</f>
        <v>0</v>
      </c>
      <c r="M474" s="53" t="n">
        <f aca="false" ca="false" dt2D="false" dtr="false" t="normal">SUM(D474:L474)</f>
        <v>240</v>
      </c>
      <c r="N474" s="63" t="n"/>
      <c r="P474" s="136" t="n">
        <f aca="false" ca="false" dt2D="false" dtr="false" t="normal">MID(H468, 7, 1)</f>
        <v>0</v>
      </c>
      <c r="Q474" s="137" t="n">
        <f aca="false" ca="false" dt2D="false" dtr="false" t="normal">P474</f>
        <v>0</v>
      </c>
      <c r="R474" s="120" t="s">
        <v>206</v>
      </c>
      <c r="S474" s="131" t="s">
        <v>196</v>
      </c>
      <c r="T474" s="136" t="n">
        <f aca="false" ca="false" dt2D="false" dtr="false" t="normal">MID(I468, 7, 1)</f>
        <v>0</v>
      </c>
      <c r="U474" s="137" t="n">
        <f aca="false" ca="false" dt2D="false" dtr="false" t="normal">T474</f>
        <v>0</v>
      </c>
      <c r="V474" s="120" t="s">
        <v>206</v>
      </c>
      <c r="W474" s="131" t="s">
        <v>196</v>
      </c>
      <c r="X474" s="136" t="n">
        <f aca="false" ca="false" dt2D="false" dtr="false" t="normal">MID(J468, 7, 1)</f>
        <v>0</v>
      </c>
      <c r="Y474" s="137" t="n">
        <f aca="false" ca="false" dt2D="false" dtr="false" t="normal">X474</f>
        <v>0</v>
      </c>
      <c r="Z474" s="120" t="s">
        <v>206</v>
      </c>
      <c r="AA474" s="131" t="s">
        <v>196</v>
      </c>
      <c r="AB474" s="136" t="n">
        <f aca="false" ca="false" dt2D="false" dtr="false" t="normal">MID(K468, 7, 1)</f>
        <v>0</v>
      </c>
      <c r="AC474" s="137" t="n">
        <f aca="false" ca="false" dt2D="false" dtr="false" t="normal">AB474</f>
        <v>0</v>
      </c>
      <c r="AD474" s="120" t="s">
        <v>206</v>
      </c>
      <c r="AE474" s="131" t="s">
        <v>196</v>
      </c>
      <c r="AF474" s="136" t="n">
        <f aca="false" ca="false" dt2D="false" dtr="false" t="normal">MID(L468, 7, 1)</f>
        <v>0</v>
      </c>
      <c r="AG474" s="137" t="n">
        <f aca="false" ca="false" dt2D="false" dtr="false" t="normal">AF474</f>
        <v>0</v>
      </c>
      <c r="AH474" s="120" t="s">
        <v>206</v>
      </c>
      <c r="AI474" s="131" t="s">
        <v>196</v>
      </c>
      <c r="AJ474" s="9995" t="s"/>
      <c r="AK474" s="9996" t="s"/>
    </row>
    <row hidden="false" ht="15.75" outlineLevel="0" r="475">
      <c r="C475" s="180" t="s">
        <v>194</v>
      </c>
      <c r="D475" s="181" t="n">
        <f aca="false" ca="false" dt2D="false" dtr="false" t="normal">D470</f>
        <v>7</v>
      </c>
      <c r="E475" s="181" t="str">
        <f aca="false" ca="false" dt2D="false" dtr="false" t="normal">E470</f>
        <v>A5</v>
      </c>
      <c r="F475" s="181" t="str">
        <f aca="false" ca="false" dt2D="false" dtr="false" t="normal">F470</f>
        <v>G1</v>
      </c>
      <c r="G475" s="181" t="str">
        <f aca="false" ca="false" dt2D="false" dtr="false" t="normal">G470</f>
        <v>IB</v>
      </c>
      <c r="H475" s="45" t="n"/>
      <c r="I475" s="45" t="n"/>
      <c r="J475" s="45" t="n"/>
      <c r="K475" s="45" t="n"/>
      <c r="L475" s="45" t="n"/>
      <c r="M475" s="45" t="n"/>
      <c r="N475" s="49" t="n"/>
      <c r="P475" s="182" t="n">
        <f aca="false" ca="false" dt2D="false" dtr="false" t="normal">MID(H468, 8, 1)</f>
        <v>0</v>
      </c>
      <c r="Q475" s="183" t="n">
        <f aca="false" ca="false" dt2D="false" dtr="false" t="normal">P475</f>
        <v>0</v>
      </c>
      <c r="R475" s="184" t="s">
        <v>208</v>
      </c>
      <c r="S475" s="185" t="s">
        <v>196</v>
      </c>
      <c r="T475" s="182" t="n">
        <f aca="false" ca="false" dt2D="false" dtr="false" t="normal">MID(I468, 8, 1)</f>
        <v>0</v>
      </c>
      <c r="U475" s="183" t="n">
        <f aca="false" ca="false" dt2D="false" dtr="false" t="normal">T475</f>
        <v>0</v>
      </c>
      <c r="V475" s="184" t="s">
        <v>208</v>
      </c>
      <c r="W475" s="185" t="s">
        <v>196</v>
      </c>
      <c r="X475" s="182" t="n">
        <f aca="false" ca="false" dt2D="false" dtr="false" t="normal">MID(J468, 8, 1)</f>
        <v>0</v>
      </c>
      <c r="Y475" s="183" t="n">
        <f aca="false" ca="false" dt2D="false" dtr="false" t="normal">X475</f>
        <v>0</v>
      </c>
      <c r="Z475" s="184" t="s">
        <v>208</v>
      </c>
      <c r="AA475" s="185" t="s">
        <v>196</v>
      </c>
      <c r="AB475" s="182" t="n">
        <f aca="false" ca="false" dt2D="false" dtr="false" t="normal">MID(K468, 8, 1)</f>
        <v>0</v>
      </c>
      <c r="AC475" s="183" t="n">
        <f aca="false" ca="false" dt2D="false" dtr="false" t="normal">AB475</f>
        <v>0</v>
      </c>
      <c r="AD475" s="184" t="s">
        <v>208</v>
      </c>
      <c r="AE475" s="185" t="s">
        <v>196</v>
      </c>
      <c r="AF475" s="182" t="n">
        <f aca="false" ca="false" dt2D="false" dtr="false" t="normal">MID(L468, 8, 1)</f>
        <v>0</v>
      </c>
      <c r="AG475" s="183" t="n">
        <f aca="false" ca="false" dt2D="false" dtr="false" t="normal">AF475</f>
        <v>0</v>
      </c>
      <c r="AH475" s="184" t="s">
        <v>208</v>
      </c>
      <c r="AI475" s="185" t="s">
        <v>196</v>
      </c>
      <c r="AJ475" s="9997" t="s"/>
      <c r="AK475" s="9998" t="s"/>
    </row>
    <row hidden="false" ht="15.75" outlineLevel="0" r="476">
      <c r="C476" s="93" t="n"/>
      <c r="D476" s="7585" t="n"/>
      <c r="E476" s="7585" t="n"/>
      <c r="F476" s="7585" t="n"/>
      <c r="G476" s="7585" t="n"/>
      <c r="H476" s="94" t="n"/>
      <c r="I476" s="94" t="n"/>
      <c r="J476" s="94" t="n"/>
      <c r="K476" s="94" t="n"/>
      <c r="L476" s="94" t="n"/>
      <c r="M476" s="94" t="s">
        <v>161</v>
      </c>
      <c r="N476" s="60" t="n"/>
      <c r="P476" s="95" t="str">
        <f aca="false" ca="false" dt2D="false" dtr="false" t="normal">RIGHT(D478, 1)&amp;E478&amp;"-"&amp;F478&amp;"-"&amp;G478</f>
        <v>7A5-01-44</v>
      </c>
      <c r="Q476" s="9999" t="s"/>
      <c r="R476" s="234" t="s">
        <v>4280</v>
      </c>
      <c r="S476" s="10000" t="s"/>
      <c r="T476" s="10001" t="s"/>
      <c r="U476" s="10002" t="s"/>
      <c r="V476" s="10003" t="s"/>
      <c r="W476" s="10004" t="s"/>
      <c r="X476" s="10005" t="s"/>
      <c r="Y476" s="10006" t="s"/>
      <c r="Z476" s="10007" t="s"/>
      <c r="AA476" s="10008" t="s"/>
      <c r="AB476" s="10009" t="s"/>
      <c r="AC476" s="10010" t="s"/>
      <c r="AD476" s="10011" t="s"/>
      <c r="AE476" s="10012" t="s"/>
      <c r="AF476" s="10013" t="s"/>
      <c r="AG476" s="10014" t="s"/>
      <c r="AH476" s="10015" t="s"/>
      <c r="AI476" s="10016" t="s"/>
      <c r="AJ476" s="10017" t="s"/>
      <c r="AK476" s="10018" t="s"/>
    </row>
    <row hidden="false" ht="15.75" outlineLevel="0" r="477">
      <c r="C477" s="98" t="n"/>
      <c r="D477" s="7606" t="s">
        <v>4281</v>
      </c>
      <c r="E477" s="10019" t="s"/>
      <c r="F477" s="10020" t="s"/>
      <c r="G477" s="10021" t="s"/>
      <c r="H477" s="53" t="s">
        <v>165</v>
      </c>
      <c r="I477" s="53" t="s">
        <v>166</v>
      </c>
      <c r="J477" s="53" t="s">
        <v>167</v>
      </c>
      <c r="K477" s="53" t="s">
        <v>168</v>
      </c>
      <c r="L477" s="53" t="s">
        <v>169</v>
      </c>
      <c r="M477" s="53" t="s">
        <v>221</v>
      </c>
      <c r="N477" s="63" t="n"/>
      <c r="P477" s="103" t="s">
        <v>4282</v>
      </c>
      <c r="Q477" s="10022" t="s"/>
      <c r="R477" s="10023" t="s"/>
      <c r="S477" s="10024" t="s"/>
      <c r="T477" s="103" t="s">
        <v>4283</v>
      </c>
      <c r="U477" s="10025" t="s"/>
      <c r="V477" s="10026" t="s"/>
      <c r="W477" s="10027" t="s"/>
      <c r="X477" s="103" t="s">
        <v>4284</v>
      </c>
      <c r="Y477" s="10028" t="s"/>
      <c r="Z477" s="10029" t="s"/>
      <c r="AA477" s="10030" t="s"/>
      <c r="AB477" s="103" t="s">
        <v>4285</v>
      </c>
      <c r="AC477" s="10031" t="s"/>
      <c r="AD477" s="10032" t="s"/>
      <c r="AE477" s="10033" t="s"/>
      <c r="AF477" s="103" t="s">
        <v>4286</v>
      </c>
      <c r="AG477" s="10034" t="s"/>
      <c r="AH477" s="10035" t="s"/>
      <c r="AI477" s="10036" t="s"/>
      <c r="AJ477" s="103" t="s">
        <v>4287</v>
      </c>
      <c r="AK477" s="10037" t="s"/>
    </row>
    <row hidden="false" ht="15.75" outlineLevel="0" r="478">
      <c r="C478" s="98" t="s">
        <v>176</v>
      </c>
      <c r="D478" s="122" t="s">
        <v>177</v>
      </c>
      <c r="E478" s="123" t="s">
        <v>3892</v>
      </c>
      <c r="F478" s="123" t="s">
        <v>179</v>
      </c>
      <c r="G478" s="124" t="s">
        <v>870</v>
      </c>
      <c r="H478" s="273" t="n">
        <f aca="false" ca="false" dt2D="false" dtr="false" t="normal">MID($A$47, 8, 2)</f>
        <v>0</v>
      </c>
      <c r="I478" s="7626" t="n">
        <f aca="false" ca="false" dt2D="false" dtr="false" t="normal">MID($A$47, 10, 2)</f>
        <v>0</v>
      </c>
      <c r="J478" s="7626" t="n">
        <f aca="false" ca="false" dt2D="false" dtr="false" t="normal">MID($A$47, 12, 2)</f>
        <v>0</v>
      </c>
      <c r="K478" s="7626" t="n">
        <f aca="false" ca="false" dt2D="false" dtr="false" t="normal">MID($A$47, 14, 2)</f>
        <v>0</v>
      </c>
      <c r="L478" s="7627" t="n">
        <f aca="false" ca="false" dt2D="false" dtr="false" t="normal">MID($A$47, 16, 2)</f>
        <v>0</v>
      </c>
      <c r="M478" s="7553" t="str">
        <f aca="false" ca="false" dt2D="false" dtr="false" t="normal">MID($A$47, 18, 2)</f>
        <v>F1</v>
      </c>
      <c r="N478" s="63" t="s">
        <v>180</v>
      </c>
      <c r="P478" s="129" t="s">
        <v>180</v>
      </c>
      <c r="Q478" s="130" t="s">
        <v>181</v>
      </c>
      <c r="R478" s="121" t="s">
        <v>182</v>
      </c>
      <c r="S478" s="131" t="n"/>
      <c r="T478" s="129" t="s">
        <v>180</v>
      </c>
      <c r="U478" s="130" t="s">
        <v>181</v>
      </c>
      <c r="V478" s="121" t="s">
        <v>182</v>
      </c>
      <c r="W478" s="131" t="n"/>
      <c r="X478" s="129" t="s">
        <v>180</v>
      </c>
      <c r="Y478" s="130" t="s">
        <v>181</v>
      </c>
      <c r="Z478" s="121" t="s">
        <v>182</v>
      </c>
      <c r="AA478" s="131" t="n"/>
      <c r="AB478" s="129" t="s">
        <v>180</v>
      </c>
      <c r="AC478" s="130" t="s">
        <v>181</v>
      </c>
      <c r="AD478" s="121" t="s">
        <v>182</v>
      </c>
      <c r="AE478" s="131" t="n"/>
      <c r="AF478" s="129" t="s">
        <v>180</v>
      </c>
      <c r="AG478" s="130" t="s">
        <v>181</v>
      </c>
      <c r="AH478" s="121" t="s">
        <v>182</v>
      </c>
      <c r="AI478" s="121" t="n"/>
      <c r="AJ478" s="116" t="s">
        <v>183</v>
      </c>
      <c r="AK478" s="10038" t="s"/>
    </row>
    <row hidden="false" ht="15" outlineLevel="0" r="479">
      <c r="C479" s="98" t="s">
        <v>185</v>
      </c>
      <c r="D479" s="149" t="n">
        <f aca="false" ca="false" dt2D="false" dtr="false" t="normal">HEX2BIN(D478, 8)</f>
        <v>111</v>
      </c>
      <c r="E479" s="149" t="n">
        <f aca="false" ca="false" dt2D="false" dtr="false" t="normal">HEX2BIN(E478, 8)</f>
        <v>10100101</v>
      </c>
      <c r="F479" s="149" t="n">
        <f aca="false" ca="false" dt2D="false" dtr="false" t="normal">HEX2BIN(F478, 8)</f>
        <v>1</v>
      </c>
      <c r="G479" s="149" t="n">
        <f aca="false" ca="false" dt2D="false" dtr="false" t="normal">HEX2BIN(G478, 8)</f>
        <v>1000100</v>
      </c>
      <c r="H479" s="53" t="n">
        <f aca="false" ca="false" dt2D="false" dtr="false" t="normal">HEX2BIN(H478, 8)</f>
        <v>0</v>
      </c>
      <c r="I479" s="53" t="n">
        <f aca="false" ca="false" dt2D="false" dtr="false" t="normal">HEX2BIN(I478, 8)</f>
        <v>0</v>
      </c>
      <c r="J479" s="53" t="n">
        <f aca="false" ca="false" dt2D="false" dtr="false" t="normal">HEX2BIN(J478, 8)</f>
        <v>0</v>
      </c>
      <c r="K479" s="53" t="n">
        <f aca="false" ca="false" dt2D="false" dtr="false" t="normal">HEX2BIN(K478, 8)</f>
        <v>0</v>
      </c>
      <c r="L479" s="53" t="n">
        <f aca="false" ca="false" dt2D="false" dtr="false" t="normal">HEX2BIN(L478, 8)</f>
        <v>0</v>
      </c>
      <c r="M479" s="53" t="n"/>
      <c r="N479" s="63" t="n"/>
      <c r="P479" s="136" t="n">
        <f aca="false" ca="false" dt2D="false" dtr="false" t="normal">MID(H479, 1, 1)</f>
        <v>0</v>
      </c>
      <c r="Q479" s="137" t="n">
        <f aca="false" ca="false" dt2D="false" dtr="false" t="normal">P479</f>
        <v>0</v>
      </c>
      <c r="R479" s="120" t="s">
        <v>186</v>
      </c>
      <c r="S479" s="131" t="s">
        <v>196</v>
      </c>
      <c r="T479" s="136" t="n">
        <f aca="false" ca="false" dt2D="false" dtr="false" t="normal">MID(I479, 1, 1)</f>
        <v>0</v>
      </c>
      <c r="U479" s="137" t="n">
        <f aca="false" ca="false" dt2D="false" dtr="false" t="normal">T479</f>
        <v>0</v>
      </c>
      <c r="V479" s="120" t="s">
        <v>186</v>
      </c>
      <c r="W479" s="131" t="s">
        <v>196</v>
      </c>
      <c r="X479" s="136" t="n">
        <f aca="false" ca="false" dt2D="false" dtr="false" t="normal">MID(J479, 1, 1)</f>
        <v>0</v>
      </c>
      <c r="Y479" s="137" t="n">
        <f aca="false" ca="false" dt2D="false" dtr="false" t="normal">X479</f>
        <v>0</v>
      </c>
      <c r="Z479" s="120" t="s">
        <v>186</v>
      </c>
      <c r="AA479" s="131" t="s">
        <v>196</v>
      </c>
      <c r="AB479" s="136" t="n">
        <f aca="false" ca="false" dt2D="false" dtr="false" t="normal">MID(K479, 1, 1)</f>
        <v>0</v>
      </c>
      <c r="AC479" s="137" t="n">
        <f aca="false" ca="false" dt2D="false" dtr="false" t="normal">AB479</f>
        <v>0</v>
      </c>
      <c r="AD479" s="120" t="s">
        <v>186</v>
      </c>
      <c r="AE479" s="131" t="s">
        <v>196</v>
      </c>
      <c r="AF479" s="136" t="n">
        <f aca="false" ca="false" dt2D="false" dtr="false" t="normal">MID(L479, 1, 1)</f>
        <v>0</v>
      </c>
      <c r="AG479" s="137" t="n">
        <f aca="false" ca="false" dt2D="false" dtr="false" t="normal">AF479</f>
        <v>0</v>
      </c>
      <c r="AH479" s="120" t="s">
        <v>186</v>
      </c>
      <c r="AI479" s="131" t="s">
        <v>196</v>
      </c>
      <c r="AJ479" s="10039" t="s"/>
      <c r="AK479" s="10040" t="s"/>
    </row>
    <row hidden="false" ht="15" outlineLevel="0" r="480">
      <c r="C480" s="98" t="s">
        <v>191</v>
      </c>
      <c r="D480" s="149" t="n">
        <f aca="false" ca="false" dt2D="false" dtr="false" t="normal">HEX2DEC(D478)</f>
        <v>7</v>
      </c>
      <c r="E480" s="149" t="n">
        <f aca="false" ca="false" dt2D="false" dtr="false" t="normal">HEX2DEC(E478)</f>
        <v>165</v>
      </c>
      <c r="F480" s="149" t="n">
        <f aca="false" ca="false" dt2D="false" dtr="false" t="normal">HEX2DEC(F478)</f>
        <v>1</v>
      </c>
      <c r="G480" s="149" t="n">
        <f aca="false" ca="false" dt2D="false" dtr="false" t="normal">HEX2DEC(G478)</f>
        <v>68</v>
      </c>
      <c r="H480" s="53" t="n">
        <f aca="false" ca="false" dt2D="false" dtr="false" t="normal">HEX2DEC(H478)</f>
        <v>0</v>
      </c>
      <c r="I480" s="53" t="n">
        <f aca="false" ca="false" dt2D="false" dtr="false" t="normal">HEX2DEC(I478)</f>
        <v>0</v>
      </c>
      <c r="J480" s="53" t="n">
        <f aca="false" ca="false" dt2D="false" dtr="false" t="normal">HEX2DEC(J478)</f>
        <v>0</v>
      </c>
      <c r="K480" s="53" t="n">
        <f aca="false" ca="false" dt2D="false" dtr="false" t="normal">HEX2DEC(K478)</f>
        <v>0</v>
      </c>
      <c r="L480" s="53" t="n">
        <f aca="false" ca="false" dt2D="false" dtr="false" t="normal">HEX2DEC(L478)</f>
        <v>0</v>
      </c>
      <c r="M480" s="53" t="n">
        <f aca="false" ca="false" dt2D="false" dtr="false" t="normal">SUM(D480:L480)</f>
        <v>241</v>
      </c>
      <c r="N480" s="63" t="n"/>
      <c r="P480" s="136" t="n">
        <f aca="false" ca="false" dt2D="false" dtr="false" t="normal">MID(H479, 2, 1)</f>
        <v>0</v>
      </c>
      <c r="Q480" s="137" t="n">
        <f aca="false" ca="false" dt2D="false" dtr="false" t="normal">P480</f>
        <v>0</v>
      </c>
      <c r="R480" s="120" t="s">
        <v>192</v>
      </c>
      <c r="S480" s="131" t="s">
        <v>196</v>
      </c>
      <c r="T480" s="136" t="n">
        <f aca="false" ca="false" dt2D="false" dtr="false" t="normal">MID(I479, 2, 1)</f>
        <v>0</v>
      </c>
      <c r="U480" s="137" t="n">
        <f aca="false" ca="false" dt2D="false" dtr="false" t="normal">T480</f>
        <v>0</v>
      </c>
      <c r="V480" s="120" t="s">
        <v>192</v>
      </c>
      <c r="W480" s="131" t="s">
        <v>196</v>
      </c>
      <c r="X480" s="136" t="n">
        <f aca="false" ca="false" dt2D="false" dtr="false" t="normal">MID(J479, 2, 1)</f>
        <v>0</v>
      </c>
      <c r="Y480" s="137" t="n">
        <f aca="false" ca="false" dt2D="false" dtr="false" t="normal">X480</f>
        <v>0</v>
      </c>
      <c r="Z480" s="120" t="s">
        <v>192</v>
      </c>
      <c r="AA480" s="131" t="s">
        <v>196</v>
      </c>
      <c r="AB480" s="136" t="n">
        <f aca="false" ca="false" dt2D="false" dtr="false" t="normal">MID(K479, 2, 1)</f>
        <v>0</v>
      </c>
      <c r="AC480" s="137" t="n">
        <f aca="false" ca="false" dt2D="false" dtr="false" t="normal">AB480</f>
        <v>0</v>
      </c>
      <c r="AD480" s="120" t="s">
        <v>192</v>
      </c>
      <c r="AE480" s="131" t="s">
        <v>196</v>
      </c>
      <c r="AF480" s="136" t="n">
        <f aca="false" ca="false" dt2D="false" dtr="false" t="normal">MID(L479, 2, 1)</f>
        <v>0</v>
      </c>
      <c r="AG480" s="137" t="n">
        <f aca="false" ca="false" dt2D="false" dtr="false" t="normal">AF480</f>
        <v>0</v>
      </c>
      <c r="AH480" s="120" t="s">
        <v>192</v>
      </c>
      <c r="AI480" s="131" t="s">
        <v>196</v>
      </c>
      <c r="AJ480" s="10041" t="s"/>
      <c r="AK480" s="10042" t="s"/>
    </row>
    <row hidden="false" ht="15" outlineLevel="0" r="481">
      <c r="C481" s="98" t="s">
        <v>194</v>
      </c>
      <c r="D481" s="149" t="n">
        <f aca="false" ca="false" dt2D="false" dtr="false" t="normal">D478</f>
        <v>7</v>
      </c>
      <c r="E481" s="149" t="str">
        <f aca="false" ca="false" dt2D="false" dtr="false" t="normal">E478</f>
        <v>A5</v>
      </c>
      <c r="F481" s="149" t="str">
        <f aca="false" ca="false" dt2D="false" dtr="false" t="normal">MID($A$47, 4, 2)</f>
        <v>G1</v>
      </c>
      <c r="G481" s="149" t="str">
        <f aca="false" ca="false" dt2D="false" dtr="false" t="normal">MID($A$47, 6, 2)</f>
        <v>IC</v>
      </c>
      <c r="N481" s="63" t="n"/>
      <c r="P481" s="136" t="n">
        <f aca="false" ca="false" dt2D="false" dtr="false" t="normal">MID(H479, 3, 1)</f>
        <v>0</v>
      </c>
      <c r="Q481" s="137" t="n">
        <f aca="false" ca="false" dt2D="false" dtr="false" t="normal">P481</f>
        <v>0</v>
      </c>
      <c r="R481" s="120" t="s">
        <v>195</v>
      </c>
      <c r="S481" s="131" t="s">
        <v>196</v>
      </c>
      <c r="T481" s="136" t="n">
        <f aca="false" ca="false" dt2D="false" dtr="false" t="normal">MID(I479, 3, 1)</f>
        <v>0</v>
      </c>
      <c r="U481" s="137" t="n">
        <f aca="false" ca="false" dt2D="false" dtr="false" t="normal">T481</f>
        <v>0</v>
      </c>
      <c r="V481" s="120" t="s">
        <v>195</v>
      </c>
      <c r="W481" s="131" t="s">
        <v>196</v>
      </c>
      <c r="X481" s="136" t="n">
        <f aca="false" ca="false" dt2D="false" dtr="false" t="normal">MID(J479, 3, 1)</f>
        <v>0</v>
      </c>
      <c r="Y481" s="137" t="n">
        <f aca="false" ca="false" dt2D="false" dtr="false" t="normal">X481</f>
        <v>0</v>
      </c>
      <c r="Z481" s="120" t="s">
        <v>195</v>
      </c>
      <c r="AA481" s="131" t="s">
        <v>196</v>
      </c>
      <c r="AB481" s="136" t="n">
        <f aca="false" ca="false" dt2D="false" dtr="false" t="normal">MID(K479, 3, 1)</f>
        <v>0</v>
      </c>
      <c r="AC481" s="137" t="n">
        <f aca="false" ca="false" dt2D="false" dtr="false" t="normal">AB481</f>
        <v>0</v>
      </c>
      <c r="AD481" s="120" t="s">
        <v>195</v>
      </c>
      <c r="AE481" s="131" t="s">
        <v>196</v>
      </c>
      <c r="AF481" s="136" t="n">
        <f aca="false" ca="false" dt2D="false" dtr="false" t="normal">MID(L479, 3, 1)</f>
        <v>0</v>
      </c>
      <c r="AG481" s="137" t="n">
        <f aca="false" ca="false" dt2D="false" dtr="false" t="normal">AF481</f>
        <v>0</v>
      </c>
      <c r="AH481" s="120" t="s">
        <v>195</v>
      </c>
      <c r="AI481" s="131" t="s">
        <v>196</v>
      </c>
      <c r="AJ481" s="10043" t="s"/>
      <c r="AK481" s="10044" t="s"/>
    </row>
    <row hidden="false" ht="15.75" outlineLevel="0" r="482">
      <c r="C482" s="98" t="n"/>
      <c r="N482" s="63" t="n"/>
      <c r="P482" s="136" t="n">
        <f aca="false" ca="false" dt2D="false" dtr="false" t="normal">MID(H479, 4, 1)</f>
        <v>0</v>
      </c>
      <c r="Q482" s="137" t="n">
        <f aca="false" ca="false" dt2D="false" dtr="false" t="normal">P482</f>
        <v>0</v>
      </c>
      <c r="R482" s="120" t="s">
        <v>197</v>
      </c>
      <c r="S482" s="131" t="s">
        <v>196</v>
      </c>
      <c r="T482" s="136" t="n">
        <f aca="false" ca="false" dt2D="false" dtr="false" t="normal">MID(I479, 4, 1)</f>
        <v>0</v>
      </c>
      <c r="U482" s="137" t="n">
        <f aca="false" ca="false" dt2D="false" dtr="false" t="normal">T482</f>
        <v>0</v>
      </c>
      <c r="V482" s="120" t="s">
        <v>197</v>
      </c>
      <c r="W482" s="131" t="s">
        <v>196</v>
      </c>
      <c r="X482" s="136" t="n">
        <f aca="false" ca="false" dt2D="false" dtr="false" t="normal">MID(J479, 4, 1)</f>
        <v>0</v>
      </c>
      <c r="Y482" s="137" t="n">
        <f aca="false" ca="false" dt2D="false" dtr="false" t="normal">X482</f>
        <v>0</v>
      </c>
      <c r="Z482" s="120" t="s">
        <v>197</v>
      </c>
      <c r="AA482" s="131" t="s">
        <v>196</v>
      </c>
      <c r="AB482" s="136" t="n">
        <f aca="false" ca="false" dt2D="false" dtr="false" t="normal">MID(K479, 4, 1)</f>
        <v>0</v>
      </c>
      <c r="AC482" s="137" t="n">
        <f aca="false" ca="false" dt2D="false" dtr="false" t="normal">AB482</f>
        <v>0</v>
      </c>
      <c r="AD482" s="120" t="s">
        <v>197</v>
      </c>
      <c r="AE482" s="131" t="s">
        <v>196</v>
      </c>
      <c r="AF482" s="136" t="n">
        <f aca="false" ca="false" dt2D="false" dtr="false" t="normal">MID(L479, 4, 1)</f>
        <v>0</v>
      </c>
      <c r="AG482" s="137" t="n">
        <f aca="false" ca="false" dt2D="false" dtr="false" t="normal">AF482</f>
        <v>0</v>
      </c>
      <c r="AH482" s="120" t="s">
        <v>197</v>
      </c>
      <c r="AI482" s="131" t="s">
        <v>196</v>
      </c>
      <c r="AJ482" s="10045" t="s"/>
      <c r="AK482" s="10046" t="s"/>
    </row>
    <row hidden="false" ht="15.75" outlineLevel="0" r="483">
      <c r="C483" s="98" t="s">
        <v>176</v>
      </c>
      <c r="D483" s="122" t="n">
        <f aca="false" ca="false" dt2D="false" dtr="false" t="normal">D478</f>
        <v>7</v>
      </c>
      <c r="E483" s="123" t="str">
        <f aca="false" ca="false" dt2D="false" dtr="false" t="normal">E478</f>
        <v>A5</v>
      </c>
      <c r="F483" s="123" t="n">
        <f aca="false" ca="false" dt2D="false" dtr="false" t="normal">F478</f>
        <v>1</v>
      </c>
      <c r="G483" s="124" t="n">
        <f aca="false" ca="false" dt2D="false" dtr="false" t="normal">G478</f>
        <v>44</v>
      </c>
      <c r="H483" s="162" t="n">
        <f aca="false" ca="false" dt2D="false" dtr="false" t="normal">BIN2HEX(H484, 2)</f>
        <v>0</v>
      </c>
      <c r="I483" s="163" t="n">
        <f aca="false" ca="false" dt2D="false" dtr="false" t="normal">BIN2HEX(I484, 2)</f>
        <v>0</v>
      </c>
      <c r="J483" s="164" t="n">
        <f aca="false" ca="false" dt2D="false" dtr="false" t="normal">BIN2HEX(J484, 2)</f>
        <v>0</v>
      </c>
      <c r="K483" s="165" t="n">
        <f aca="false" ca="false" dt2D="false" dtr="false" t="normal">BIN2HEX(K484, 2)</f>
        <v>0</v>
      </c>
      <c r="L483" s="288" t="n">
        <f aca="false" ca="false" dt2D="false" dtr="false" t="normal">BIN2HEX(L484, 2)</f>
        <v>0</v>
      </c>
      <c r="M483" s="166" t="str">
        <f aca="false" ca="false" dt2D="false" dtr="false" t="normal">IF(LEN(M484)&gt;2, MID(M484, 2, 2), M484)</f>
        <v>F1</v>
      </c>
      <c r="N483" s="63" t="s">
        <v>181</v>
      </c>
      <c r="P483" s="136" t="n">
        <f aca="false" ca="false" dt2D="false" dtr="false" t="normal">MID(H479, 5, 1)</f>
        <v>0</v>
      </c>
      <c r="Q483" s="137" t="n">
        <f aca="false" ca="false" dt2D="false" dtr="false" t="normal">P483</f>
        <v>0</v>
      </c>
      <c r="R483" s="120" t="s">
        <v>200</v>
      </c>
      <c r="S483" s="131" t="s">
        <v>196</v>
      </c>
      <c r="T483" s="136" t="n">
        <f aca="false" ca="false" dt2D="false" dtr="false" t="normal">MID(I479, 5, 1)</f>
        <v>0</v>
      </c>
      <c r="U483" s="137" t="n">
        <f aca="false" ca="false" dt2D="false" dtr="false" t="normal">T483</f>
        <v>0</v>
      </c>
      <c r="V483" s="120" t="s">
        <v>200</v>
      </c>
      <c r="W483" s="131" t="s">
        <v>196</v>
      </c>
      <c r="X483" s="136" t="n">
        <f aca="false" ca="false" dt2D="false" dtr="false" t="normal">MID(J479, 5, 1)</f>
        <v>0</v>
      </c>
      <c r="Y483" s="137" t="n">
        <f aca="false" ca="false" dt2D="false" dtr="false" t="normal">X483</f>
        <v>0</v>
      </c>
      <c r="Z483" s="120" t="s">
        <v>200</v>
      </c>
      <c r="AA483" s="131" t="s">
        <v>196</v>
      </c>
      <c r="AB483" s="136" t="n">
        <f aca="false" ca="false" dt2D="false" dtr="false" t="normal">MID(K479, 5, 1)</f>
        <v>0</v>
      </c>
      <c r="AC483" s="137" t="n">
        <f aca="false" ca="false" dt2D="false" dtr="false" t="normal">AB483</f>
        <v>0</v>
      </c>
      <c r="AD483" s="120" t="s">
        <v>200</v>
      </c>
      <c r="AE483" s="131" t="s">
        <v>196</v>
      </c>
      <c r="AF483" s="136" t="n">
        <f aca="false" ca="false" dt2D="false" dtr="false" t="normal">MID(L479, 5, 1)</f>
        <v>0</v>
      </c>
      <c r="AG483" s="137" t="n">
        <f aca="false" ca="false" dt2D="false" dtr="false" t="normal">AF483</f>
        <v>0</v>
      </c>
      <c r="AH483" s="120" t="s">
        <v>200</v>
      </c>
      <c r="AI483" s="131" t="s">
        <v>196</v>
      </c>
      <c r="AJ483" s="10047" t="s"/>
      <c r="AK483" s="10048" t="s"/>
    </row>
    <row hidden="false" ht="15" outlineLevel="0" r="484">
      <c r="C484" s="98" t="s">
        <v>185</v>
      </c>
      <c r="D484" s="149" t="n">
        <f aca="false" ca="false" dt2D="false" dtr="false" t="normal">HEX2BIN(D483, 8)</f>
        <v>111</v>
      </c>
      <c r="E484" s="149" t="n">
        <f aca="false" ca="false" dt2D="false" dtr="false" t="normal">HEX2BIN(E483, 8)</f>
        <v>10100101</v>
      </c>
      <c r="F484" s="149" t="n">
        <f aca="false" ca="false" dt2D="false" dtr="false" t="normal">HEX2BIN(F483, 8)</f>
        <v>1</v>
      </c>
      <c r="G484" s="149" t="n">
        <f aca="false" ca="false" dt2D="false" dtr="false" t="normal">HEX2BIN(G483, 8)</f>
        <v>1000100</v>
      </c>
      <c r="H484" s="53" t="n">
        <f aca="false" ca="false" dt2D="false" dtr="false" t="normal">Q479&amp;Q480&amp;Q481&amp;Q482&amp;Q483&amp;Q484&amp;Q485&amp;Q486</f>
        <v>0</v>
      </c>
      <c r="I484" s="53" t="n">
        <f aca="false" ca="false" dt2D="false" dtr="false" t="normal">U479&amp;U480&amp;U481&amp;U482&amp;U483&amp;U484&amp;U485&amp;U486</f>
        <v>0</v>
      </c>
      <c r="J484" s="53" t="n">
        <f aca="false" ca="false" dt2D="false" dtr="false" t="normal">Y479&amp;Y480&amp;Y481&amp;Y482&amp;Y483&amp;Y484&amp;Y485&amp;Y486</f>
        <v>0</v>
      </c>
      <c r="K484" s="53" t="n">
        <f aca="false" ca="false" dt2D="false" dtr="false" t="normal">AC479&amp;AC480&amp;AC481&amp;AC482&amp;AC483&amp;AC484&amp;AC485&amp;AC486</f>
        <v>0</v>
      </c>
      <c r="L484" s="53" t="n">
        <f aca="false" ca="false" dt2D="false" dtr="false" t="normal">AG479&amp;AG480&amp;AG481&amp;AG482&amp;AG483&amp;AG484&amp;AG485&amp;AG486</f>
        <v>0</v>
      </c>
      <c r="M484" s="53" t="str">
        <f aca="false" ca="false" dt2D="false" dtr="false" t="normal">DEC2HEX(M485)</f>
        <v>F1</v>
      </c>
      <c r="N484" s="63" t="n"/>
      <c r="P484" s="136" t="n">
        <f aca="false" ca="false" dt2D="false" dtr="false" t="normal">MID(H479, 6, 1)</f>
        <v>0</v>
      </c>
      <c r="Q484" s="137" t="n">
        <f aca="false" ca="false" dt2D="false" dtr="false" t="normal">P484</f>
        <v>0</v>
      </c>
      <c r="R484" s="120" t="s">
        <v>203</v>
      </c>
      <c r="S484" s="131" t="s">
        <v>196</v>
      </c>
      <c r="T484" s="136" t="n">
        <f aca="false" ca="false" dt2D="false" dtr="false" t="normal">MID(I479, 6, 1)</f>
        <v>0</v>
      </c>
      <c r="U484" s="137" t="n">
        <f aca="false" ca="false" dt2D="false" dtr="false" t="normal">T484</f>
        <v>0</v>
      </c>
      <c r="V484" s="120" t="s">
        <v>203</v>
      </c>
      <c r="W484" s="131" t="s">
        <v>196</v>
      </c>
      <c r="X484" s="136" t="n">
        <f aca="false" ca="false" dt2D="false" dtr="false" t="normal">MID(J479, 6, 1)</f>
        <v>0</v>
      </c>
      <c r="Y484" s="137" t="n">
        <f aca="false" ca="false" dt2D="false" dtr="false" t="normal">X484</f>
        <v>0</v>
      </c>
      <c r="Z484" s="120" t="s">
        <v>203</v>
      </c>
      <c r="AA484" s="131" t="s">
        <v>196</v>
      </c>
      <c r="AB484" s="136" t="n">
        <f aca="false" ca="false" dt2D="false" dtr="false" t="normal">MID(K479, 6, 1)</f>
        <v>0</v>
      </c>
      <c r="AC484" s="137" t="n">
        <f aca="false" ca="false" dt2D="false" dtr="false" t="normal">AB484</f>
        <v>0</v>
      </c>
      <c r="AD484" s="120" t="s">
        <v>203</v>
      </c>
      <c r="AE484" s="131" t="s">
        <v>196</v>
      </c>
      <c r="AF484" s="136" t="n">
        <f aca="false" ca="false" dt2D="false" dtr="false" t="normal">MID(L479, 6, 1)</f>
        <v>0</v>
      </c>
      <c r="AG484" s="137" t="n">
        <f aca="false" ca="false" dt2D="false" dtr="false" t="normal">AF484</f>
        <v>0</v>
      </c>
      <c r="AH484" s="120" t="s">
        <v>203</v>
      </c>
      <c r="AI484" s="131" t="s">
        <v>196</v>
      </c>
      <c r="AJ484" s="10049" t="s"/>
      <c r="AK484" s="10050" t="s"/>
    </row>
    <row hidden="false" ht="15" outlineLevel="0" r="485">
      <c r="C485" s="98" t="s">
        <v>191</v>
      </c>
      <c r="D485" s="149" t="n">
        <f aca="false" ca="false" dt2D="false" dtr="false" t="normal">HEX2DEC(D483)</f>
        <v>7</v>
      </c>
      <c r="E485" s="149" t="n">
        <f aca="false" ca="false" dt2D="false" dtr="false" t="normal">HEX2DEC(E483)</f>
        <v>165</v>
      </c>
      <c r="F485" s="149" t="n">
        <f aca="false" ca="false" dt2D="false" dtr="false" t="normal">HEX2DEC(F483)</f>
        <v>1</v>
      </c>
      <c r="G485" s="149" t="n">
        <f aca="false" ca="false" dt2D="false" dtr="false" t="normal">HEX2DEC(G483)</f>
        <v>68</v>
      </c>
      <c r="H485" s="53" t="n">
        <f aca="false" ca="false" dt2D="false" dtr="false" t="normal">HEX2DEC(H483)</f>
        <v>0</v>
      </c>
      <c r="I485" s="53" t="n">
        <f aca="false" ca="false" dt2D="false" dtr="false" t="normal">HEX2DEC(I483)</f>
        <v>0</v>
      </c>
      <c r="J485" s="53" t="n">
        <f aca="false" ca="false" dt2D="false" dtr="false" t="normal">HEX2DEC(J483)</f>
        <v>0</v>
      </c>
      <c r="K485" s="53" t="n">
        <f aca="false" ca="false" dt2D="false" dtr="false" t="normal">HEX2DEC(K483)</f>
        <v>0</v>
      </c>
      <c r="L485" s="53" t="n">
        <f aca="false" ca="false" dt2D="false" dtr="false" t="normal">HEX2DEC(L483)</f>
        <v>0</v>
      </c>
      <c r="M485" s="53" t="n">
        <f aca="false" ca="false" dt2D="false" dtr="false" t="normal">SUM(D485:L485)</f>
        <v>241</v>
      </c>
      <c r="N485" s="63" t="n"/>
      <c r="P485" s="136" t="n">
        <f aca="false" ca="false" dt2D="false" dtr="false" t="normal">MID(H479, 7, 1)</f>
        <v>0</v>
      </c>
      <c r="Q485" s="137" t="n">
        <f aca="false" ca="false" dt2D="false" dtr="false" t="normal">P485</f>
        <v>0</v>
      </c>
      <c r="R485" s="120" t="s">
        <v>206</v>
      </c>
      <c r="S485" s="131" t="s">
        <v>196</v>
      </c>
      <c r="T485" s="136" t="n">
        <f aca="false" ca="false" dt2D="false" dtr="false" t="normal">MID(I479, 7, 1)</f>
        <v>0</v>
      </c>
      <c r="U485" s="137" t="n">
        <f aca="false" ca="false" dt2D="false" dtr="false" t="normal">T485</f>
        <v>0</v>
      </c>
      <c r="V485" s="120" t="s">
        <v>206</v>
      </c>
      <c r="W485" s="131" t="s">
        <v>196</v>
      </c>
      <c r="X485" s="136" t="n">
        <f aca="false" ca="false" dt2D="false" dtr="false" t="normal">MID(J479, 7, 1)</f>
        <v>0</v>
      </c>
      <c r="Y485" s="137" t="n">
        <f aca="false" ca="false" dt2D="false" dtr="false" t="normal">X485</f>
        <v>0</v>
      </c>
      <c r="Z485" s="120" t="s">
        <v>206</v>
      </c>
      <c r="AA485" s="131" t="s">
        <v>196</v>
      </c>
      <c r="AB485" s="136" t="n">
        <f aca="false" ca="false" dt2D="false" dtr="false" t="normal">MID(K479, 7, 1)</f>
        <v>0</v>
      </c>
      <c r="AC485" s="137" t="n">
        <f aca="false" ca="false" dt2D="false" dtr="false" t="normal">AB485</f>
        <v>0</v>
      </c>
      <c r="AD485" s="120" t="s">
        <v>206</v>
      </c>
      <c r="AE485" s="131" t="s">
        <v>196</v>
      </c>
      <c r="AF485" s="136" t="n">
        <f aca="false" ca="false" dt2D="false" dtr="false" t="normal">MID(L479, 7, 1)</f>
        <v>0</v>
      </c>
      <c r="AG485" s="137" t="n">
        <f aca="false" ca="false" dt2D="false" dtr="false" t="normal">AF485</f>
        <v>0</v>
      </c>
      <c r="AH485" s="120" t="s">
        <v>206</v>
      </c>
      <c r="AI485" s="131" t="s">
        <v>196</v>
      </c>
      <c r="AJ485" s="10051" t="s"/>
      <c r="AK485" s="10052" t="s"/>
    </row>
    <row hidden="false" ht="15.75" outlineLevel="0" r="486">
      <c r="C486" s="180" t="s">
        <v>194</v>
      </c>
      <c r="D486" s="181" t="n">
        <f aca="false" ca="false" dt2D="false" dtr="false" t="normal">D481</f>
        <v>7</v>
      </c>
      <c r="E486" s="181" t="str">
        <f aca="false" ca="false" dt2D="false" dtr="false" t="normal">E481</f>
        <v>A5</v>
      </c>
      <c r="F486" s="181" t="str">
        <f aca="false" ca="false" dt2D="false" dtr="false" t="normal">F481</f>
        <v>G1</v>
      </c>
      <c r="G486" s="181" t="str">
        <f aca="false" ca="false" dt2D="false" dtr="false" t="normal">G481</f>
        <v>IC</v>
      </c>
      <c r="H486" s="45" t="n"/>
      <c r="I486" s="45" t="n"/>
      <c r="J486" s="45" t="n"/>
      <c r="K486" s="45" t="n"/>
      <c r="L486" s="45" t="n"/>
      <c r="M486" s="45" t="n"/>
      <c r="N486" s="49" t="n"/>
      <c r="P486" s="182" t="n">
        <f aca="false" ca="false" dt2D="false" dtr="false" t="normal">MID(H479, 8, 1)</f>
        <v>0</v>
      </c>
      <c r="Q486" s="183" t="n">
        <f aca="false" ca="false" dt2D="false" dtr="false" t="normal">P486</f>
        <v>0</v>
      </c>
      <c r="R486" s="184" t="s">
        <v>208</v>
      </c>
      <c r="S486" s="185" t="s">
        <v>196</v>
      </c>
      <c r="T486" s="182" t="n">
        <f aca="false" ca="false" dt2D="false" dtr="false" t="normal">MID(I479, 8, 1)</f>
        <v>0</v>
      </c>
      <c r="U486" s="183" t="n">
        <f aca="false" ca="false" dt2D="false" dtr="false" t="normal">T486</f>
        <v>0</v>
      </c>
      <c r="V486" s="184" t="s">
        <v>208</v>
      </c>
      <c r="W486" s="185" t="s">
        <v>196</v>
      </c>
      <c r="X486" s="182" t="n">
        <f aca="false" ca="false" dt2D="false" dtr="false" t="normal">MID(J479, 8, 1)</f>
        <v>0</v>
      </c>
      <c r="Y486" s="183" t="n">
        <f aca="false" ca="false" dt2D="false" dtr="false" t="normal">X486</f>
        <v>0</v>
      </c>
      <c r="Z486" s="184" t="s">
        <v>208</v>
      </c>
      <c r="AA486" s="185" t="s">
        <v>196</v>
      </c>
      <c r="AB486" s="182" t="n">
        <f aca="false" ca="false" dt2D="false" dtr="false" t="normal">MID(K479, 8, 1)</f>
        <v>0</v>
      </c>
      <c r="AC486" s="183" t="n">
        <f aca="false" ca="false" dt2D="false" dtr="false" t="normal">AB486</f>
        <v>0</v>
      </c>
      <c r="AD486" s="184" t="s">
        <v>208</v>
      </c>
      <c r="AE486" s="185" t="s">
        <v>196</v>
      </c>
      <c r="AF486" s="182" t="n">
        <f aca="false" ca="false" dt2D="false" dtr="false" t="normal">MID(L479, 8, 1)</f>
        <v>0</v>
      </c>
      <c r="AG486" s="183" t="n">
        <f aca="false" ca="false" dt2D="false" dtr="false" t="normal">AF486</f>
        <v>0</v>
      </c>
      <c r="AH486" s="184" t="s">
        <v>208</v>
      </c>
      <c r="AI486" s="185" t="s">
        <v>196</v>
      </c>
      <c r="AJ486" s="10053" t="s"/>
      <c r="AK486" s="10054" t="s"/>
    </row>
    <row hidden="false" ht="15.75" outlineLevel="0" r="487">
      <c r="C487" s="93" t="n"/>
      <c r="D487" s="7585" t="n"/>
      <c r="E487" s="7585" t="n"/>
      <c r="F487" s="7585" t="n"/>
      <c r="G487" s="7585" t="n"/>
      <c r="H487" s="94" t="n"/>
      <c r="I487" s="94" t="n"/>
      <c r="J487" s="94" t="n"/>
      <c r="K487" s="94" t="n"/>
      <c r="L487" s="94" t="n"/>
      <c r="M487" s="94" t="s">
        <v>161</v>
      </c>
      <c r="N487" s="60" t="n"/>
      <c r="P487" s="95" t="str">
        <f aca="false" ca="false" dt2D="false" dtr="false" t="normal">RIGHT(D489, 1)&amp;E489&amp;"-"&amp;F489&amp;"-"&amp;G489</f>
        <v>7A5-01-45</v>
      </c>
      <c r="Q487" s="10055" t="s"/>
      <c r="R487" s="234" t="s">
        <v>4288</v>
      </c>
      <c r="S487" s="10056" t="s"/>
      <c r="T487" s="10057" t="s"/>
      <c r="U487" s="10058" t="s"/>
      <c r="V487" s="10059" t="s"/>
      <c r="W487" s="10060" t="s"/>
      <c r="X487" s="10061" t="s"/>
      <c r="Y487" s="10062" t="s"/>
      <c r="Z487" s="10063" t="s"/>
      <c r="AA487" s="10064" t="s"/>
      <c r="AB487" s="10065" t="s"/>
      <c r="AC487" s="10066" t="s"/>
      <c r="AD487" s="10067" t="s"/>
      <c r="AE487" s="10068" t="s"/>
      <c r="AF487" s="10069" t="s"/>
      <c r="AG487" s="10070" t="s"/>
      <c r="AH487" s="10071" t="s"/>
      <c r="AI487" s="10072" t="s"/>
      <c r="AJ487" s="10073" t="s"/>
      <c r="AK487" s="10074" t="s"/>
    </row>
    <row hidden="false" ht="15.75" outlineLevel="0" r="488">
      <c r="C488" s="98" t="n"/>
      <c r="D488" s="7606" t="s">
        <v>4289</v>
      </c>
      <c r="E488" s="10075" t="s"/>
      <c r="F488" s="10076" t="s"/>
      <c r="G488" s="10077" t="s"/>
      <c r="H488" s="53" t="s">
        <v>165</v>
      </c>
      <c r="I488" s="53" t="s">
        <v>166</v>
      </c>
      <c r="J488" s="53" t="s">
        <v>167</v>
      </c>
      <c r="K488" s="53" t="s">
        <v>168</v>
      </c>
      <c r="L488" s="53" t="s">
        <v>169</v>
      </c>
      <c r="M488" s="53" t="s">
        <v>221</v>
      </c>
      <c r="N488" s="63" t="n"/>
      <c r="P488" s="103" t="s">
        <v>4290</v>
      </c>
      <c r="Q488" s="10078" t="s"/>
      <c r="R488" s="10079" t="s"/>
      <c r="S488" s="10080" t="s"/>
      <c r="T488" s="103" t="s">
        <v>4291</v>
      </c>
      <c r="U488" s="10081" t="s"/>
      <c r="V488" s="10082" t="s"/>
      <c r="W488" s="10083" t="s"/>
      <c r="X488" s="103" t="s">
        <v>4292</v>
      </c>
      <c r="Y488" s="10084" t="s"/>
      <c r="Z488" s="10085" t="s"/>
      <c r="AA488" s="10086" t="s"/>
      <c r="AB488" s="103" t="s">
        <v>4293</v>
      </c>
      <c r="AC488" s="10087" t="s"/>
      <c r="AD488" s="10088" t="s"/>
      <c r="AE488" s="10089" t="s"/>
      <c r="AF488" s="103" t="s">
        <v>4294</v>
      </c>
      <c r="AG488" s="10090" t="s"/>
      <c r="AH488" s="10091" t="s"/>
      <c r="AI488" s="10092" t="s"/>
      <c r="AJ488" s="103" t="s">
        <v>4295</v>
      </c>
      <c r="AK488" s="10093" t="s"/>
    </row>
    <row hidden="false" ht="15.75" outlineLevel="0" r="489">
      <c r="C489" s="98" t="s">
        <v>176</v>
      </c>
      <c r="D489" s="122" t="s">
        <v>177</v>
      </c>
      <c r="E489" s="123" t="s">
        <v>3892</v>
      </c>
      <c r="F489" s="123" t="s">
        <v>179</v>
      </c>
      <c r="G489" s="124" t="s">
        <v>872</v>
      </c>
      <c r="H489" s="273" t="n">
        <f aca="false" ca="false" dt2D="false" dtr="false" t="normal">MID($A$48, 8, 2)</f>
        <v>0</v>
      </c>
      <c r="I489" s="7626" t="n">
        <f aca="false" ca="false" dt2D="false" dtr="false" t="normal">MID($A$48, 10, 2)</f>
        <v>0</v>
      </c>
      <c r="J489" s="7626" t="n">
        <f aca="false" ca="false" dt2D="false" dtr="false" t="normal">MID($A$48, 12, 2)</f>
        <v>0</v>
      </c>
      <c r="K489" s="7626" t="n">
        <f aca="false" ca="false" dt2D="false" dtr="false" t="normal">MID($A$48, 14, 2)</f>
        <v>0</v>
      </c>
      <c r="L489" s="7627" t="n">
        <f aca="false" ca="false" dt2D="false" dtr="false" t="normal">MID($A$48, 16, 2)</f>
        <v>0</v>
      </c>
      <c r="M489" s="7553" t="str">
        <f aca="false" ca="false" dt2D="false" dtr="false" t="normal">MID($A$48, 18, 2)</f>
        <v>F2</v>
      </c>
      <c r="N489" s="63" t="s">
        <v>180</v>
      </c>
      <c r="P489" s="129" t="s">
        <v>180</v>
      </c>
      <c r="Q489" s="130" t="s">
        <v>181</v>
      </c>
      <c r="R489" s="121" t="s">
        <v>182</v>
      </c>
      <c r="S489" s="131" t="n"/>
      <c r="T489" s="129" t="s">
        <v>180</v>
      </c>
      <c r="U489" s="130" t="s">
        <v>181</v>
      </c>
      <c r="V489" s="121" t="s">
        <v>182</v>
      </c>
      <c r="W489" s="131" t="n"/>
      <c r="X489" s="129" t="s">
        <v>180</v>
      </c>
      <c r="Y489" s="130" t="s">
        <v>181</v>
      </c>
      <c r="Z489" s="121" t="s">
        <v>182</v>
      </c>
      <c r="AA489" s="131" t="n"/>
      <c r="AB489" s="129" t="s">
        <v>180</v>
      </c>
      <c r="AC489" s="130" t="s">
        <v>181</v>
      </c>
      <c r="AD489" s="121" t="s">
        <v>182</v>
      </c>
      <c r="AE489" s="131" t="n"/>
      <c r="AF489" s="129" t="s">
        <v>180</v>
      </c>
      <c r="AG489" s="130" t="s">
        <v>181</v>
      </c>
      <c r="AH489" s="121" t="s">
        <v>182</v>
      </c>
      <c r="AI489" s="121" t="n"/>
      <c r="AJ489" s="116" t="s">
        <v>183</v>
      </c>
      <c r="AK489" s="10094" t="s"/>
    </row>
    <row hidden="false" ht="15" outlineLevel="0" r="490">
      <c r="C490" s="98" t="s">
        <v>185</v>
      </c>
      <c r="D490" s="149" t="n">
        <f aca="false" ca="false" dt2D="false" dtr="false" t="normal">HEX2BIN(D489, 8)</f>
        <v>111</v>
      </c>
      <c r="E490" s="149" t="n">
        <f aca="false" ca="false" dt2D="false" dtr="false" t="normal">HEX2BIN(E489, 8)</f>
        <v>10100101</v>
      </c>
      <c r="F490" s="149" t="n">
        <f aca="false" ca="false" dt2D="false" dtr="false" t="normal">HEX2BIN(F489, 8)</f>
        <v>1</v>
      </c>
      <c r="G490" s="149" t="n">
        <f aca="false" ca="false" dt2D="false" dtr="false" t="normal">HEX2BIN(G489, 8)</f>
        <v>1000101</v>
      </c>
      <c r="H490" s="53" t="n">
        <f aca="false" ca="false" dt2D="false" dtr="false" t="normal">HEX2BIN(H489, 8)</f>
        <v>0</v>
      </c>
      <c r="I490" s="53" t="n">
        <f aca="false" ca="false" dt2D="false" dtr="false" t="normal">HEX2BIN(I489, 8)</f>
        <v>0</v>
      </c>
      <c r="J490" s="53" t="n">
        <f aca="false" ca="false" dt2D="false" dtr="false" t="normal">HEX2BIN(J489, 8)</f>
        <v>0</v>
      </c>
      <c r="K490" s="53" t="n">
        <f aca="false" ca="false" dt2D="false" dtr="false" t="normal">HEX2BIN(K489, 8)</f>
        <v>0</v>
      </c>
      <c r="L490" s="53" t="n">
        <f aca="false" ca="false" dt2D="false" dtr="false" t="normal">HEX2BIN(L489, 8)</f>
        <v>0</v>
      </c>
      <c r="M490" s="53" t="n"/>
      <c r="N490" s="63" t="n"/>
      <c r="P490" s="136" t="n">
        <f aca="false" ca="false" dt2D="false" dtr="false" t="normal">MID(H490, 1, 1)</f>
        <v>0</v>
      </c>
      <c r="Q490" s="137" t="n">
        <f aca="false" ca="false" dt2D="false" dtr="false" t="normal">P490</f>
        <v>0</v>
      </c>
      <c r="R490" s="120" t="s">
        <v>186</v>
      </c>
      <c r="S490" s="131" t="s">
        <v>196</v>
      </c>
      <c r="T490" s="136" t="n">
        <f aca="false" ca="false" dt2D="false" dtr="false" t="normal">MID(I490, 1, 1)</f>
        <v>0</v>
      </c>
      <c r="U490" s="137" t="n">
        <f aca="false" ca="false" dt2D="false" dtr="false" t="normal">T490</f>
        <v>0</v>
      </c>
      <c r="V490" s="120" t="s">
        <v>186</v>
      </c>
      <c r="W490" s="131" t="s">
        <v>196</v>
      </c>
      <c r="X490" s="136" t="n">
        <f aca="false" ca="false" dt2D="false" dtr="false" t="normal">MID(J490, 1, 1)</f>
        <v>0</v>
      </c>
      <c r="Y490" s="137" t="n">
        <f aca="false" ca="false" dt2D="false" dtr="false" t="normal">X490</f>
        <v>0</v>
      </c>
      <c r="Z490" s="120" t="s">
        <v>186</v>
      </c>
      <c r="AA490" s="131" t="s">
        <v>196</v>
      </c>
      <c r="AB490" s="136" t="n">
        <f aca="false" ca="false" dt2D="false" dtr="false" t="normal">MID(K490, 1, 1)</f>
        <v>0</v>
      </c>
      <c r="AC490" s="137" t="n">
        <f aca="false" ca="false" dt2D="false" dtr="false" t="normal">AB490</f>
        <v>0</v>
      </c>
      <c r="AD490" s="120" t="s">
        <v>186</v>
      </c>
      <c r="AE490" s="131" t="s">
        <v>196</v>
      </c>
      <c r="AF490" s="136" t="n">
        <f aca="false" ca="false" dt2D="false" dtr="false" t="normal">MID(L490, 1, 1)</f>
        <v>0</v>
      </c>
      <c r="AG490" s="137" t="n">
        <f aca="false" ca="false" dt2D="false" dtr="false" t="normal">AF490</f>
        <v>0</v>
      </c>
      <c r="AH490" s="120" t="s">
        <v>186</v>
      </c>
      <c r="AI490" s="131" t="s">
        <v>196</v>
      </c>
      <c r="AJ490" s="10095" t="s"/>
      <c r="AK490" s="10096" t="s"/>
    </row>
    <row hidden="false" ht="15" outlineLevel="0" r="491">
      <c r="C491" s="98" t="s">
        <v>191</v>
      </c>
      <c r="D491" s="149" t="n">
        <f aca="false" ca="false" dt2D="false" dtr="false" t="normal">HEX2DEC(D489)</f>
        <v>7</v>
      </c>
      <c r="E491" s="149" t="n">
        <f aca="false" ca="false" dt2D="false" dtr="false" t="normal">HEX2DEC(E489)</f>
        <v>165</v>
      </c>
      <c r="F491" s="149" t="n">
        <f aca="false" ca="false" dt2D="false" dtr="false" t="normal">HEX2DEC(F489)</f>
        <v>1</v>
      </c>
      <c r="G491" s="149" t="n">
        <f aca="false" ca="false" dt2D="false" dtr="false" t="normal">HEX2DEC(G489)</f>
        <v>69</v>
      </c>
      <c r="H491" s="53" t="n">
        <f aca="false" ca="false" dt2D="false" dtr="false" t="normal">HEX2DEC(H489)</f>
        <v>0</v>
      </c>
      <c r="I491" s="53" t="n">
        <f aca="false" ca="false" dt2D="false" dtr="false" t="normal">HEX2DEC(I489)</f>
        <v>0</v>
      </c>
      <c r="J491" s="53" t="n">
        <f aca="false" ca="false" dt2D="false" dtr="false" t="normal">HEX2DEC(J489)</f>
        <v>0</v>
      </c>
      <c r="K491" s="53" t="n">
        <f aca="false" ca="false" dt2D="false" dtr="false" t="normal">HEX2DEC(K489)</f>
        <v>0</v>
      </c>
      <c r="L491" s="53" t="n">
        <f aca="false" ca="false" dt2D="false" dtr="false" t="normal">HEX2DEC(L489)</f>
        <v>0</v>
      </c>
      <c r="M491" s="53" t="n">
        <f aca="false" ca="false" dt2D="false" dtr="false" t="normal">SUM(D491:L491)</f>
        <v>242</v>
      </c>
      <c r="N491" s="63" t="n"/>
      <c r="P491" s="136" t="n">
        <f aca="false" ca="false" dt2D="false" dtr="false" t="normal">MID(H490, 2, 1)</f>
        <v>0</v>
      </c>
      <c r="Q491" s="137" t="n">
        <f aca="false" ca="false" dt2D="false" dtr="false" t="normal">P491</f>
        <v>0</v>
      </c>
      <c r="R491" s="120" t="s">
        <v>192</v>
      </c>
      <c r="S491" s="131" t="s">
        <v>196</v>
      </c>
      <c r="T491" s="136" t="n">
        <f aca="false" ca="false" dt2D="false" dtr="false" t="normal">MID(I490, 2, 1)</f>
        <v>0</v>
      </c>
      <c r="U491" s="137" t="n">
        <f aca="false" ca="false" dt2D="false" dtr="false" t="normal">T491</f>
        <v>0</v>
      </c>
      <c r="V491" s="120" t="s">
        <v>192</v>
      </c>
      <c r="W491" s="131" t="s">
        <v>196</v>
      </c>
      <c r="X491" s="136" t="n">
        <f aca="false" ca="false" dt2D="false" dtr="false" t="normal">MID(J490, 2, 1)</f>
        <v>0</v>
      </c>
      <c r="Y491" s="137" t="n">
        <f aca="false" ca="false" dt2D="false" dtr="false" t="normal">X491</f>
        <v>0</v>
      </c>
      <c r="Z491" s="120" t="s">
        <v>192</v>
      </c>
      <c r="AA491" s="131" t="s">
        <v>196</v>
      </c>
      <c r="AB491" s="136" t="n">
        <f aca="false" ca="false" dt2D="false" dtr="false" t="normal">MID(K490, 2, 1)</f>
        <v>0</v>
      </c>
      <c r="AC491" s="137" t="n">
        <f aca="false" ca="false" dt2D="false" dtr="false" t="normal">AB491</f>
        <v>0</v>
      </c>
      <c r="AD491" s="120" t="s">
        <v>192</v>
      </c>
      <c r="AE491" s="131" t="s">
        <v>196</v>
      </c>
      <c r="AF491" s="136" t="n">
        <f aca="false" ca="false" dt2D="false" dtr="false" t="normal">MID(L490, 2, 1)</f>
        <v>0</v>
      </c>
      <c r="AG491" s="137" t="n">
        <f aca="false" ca="false" dt2D="false" dtr="false" t="normal">AF491</f>
        <v>0</v>
      </c>
      <c r="AH491" s="120" t="s">
        <v>192</v>
      </c>
      <c r="AI491" s="131" t="s">
        <v>196</v>
      </c>
      <c r="AJ491" s="10097" t="s"/>
      <c r="AK491" s="10098" t="s"/>
    </row>
    <row hidden="false" ht="15" outlineLevel="0" r="492">
      <c r="C492" s="98" t="s">
        <v>194</v>
      </c>
      <c r="D492" s="149" t="n">
        <f aca="false" ca="false" dt2D="false" dtr="false" t="normal">D489</f>
        <v>7</v>
      </c>
      <c r="E492" s="149" t="str">
        <f aca="false" ca="false" dt2D="false" dtr="false" t="normal">E489</f>
        <v>A5</v>
      </c>
      <c r="F492" s="149" t="str">
        <f aca="false" ca="false" dt2D="false" dtr="false" t="normal">MID($A$48, 4, 2)</f>
        <v>G1</v>
      </c>
      <c r="G492" s="149" t="str">
        <f aca="false" ca="false" dt2D="false" dtr="false" t="normal">MID($A$48, 6, 2)</f>
        <v>ID</v>
      </c>
      <c r="N492" s="63" t="n"/>
      <c r="P492" s="136" t="n">
        <f aca="false" ca="false" dt2D="false" dtr="false" t="normal">MID(H490, 3, 1)</f>
        <v>0</v>
      </c>
      <c r="Q492" s="137" t="n">
        <f aca="false" ca="false" dt2D="false" dtr="false" t="normal">P492</f>
        <v>0</v>
      </c>
      <c r="R492" s="120" t="s">
        <v>195</v>
      </c>
      <c r="S492" s="131" t="s">
        <v>196</v>
      </c>
      <c r="T492" s="136" t="n">
        <f aca="false" ca="false" dt2D="false" dtr="false" t="normal">MID(I490, 3, 1)</f>
        <v>0</v>
      </c>
      <c r="U492" s="137" t="n">
        <f aca="false" ca="false" dt2D="false" dtr="false" t="normal">T492</f>
        <v>0</v>
      </c>
      <c r="V492" s="120" t="s">
        <v>195</v>
      </c>
      <c r="W492" s="131" t="s">
        <v>196</v>
      </c>
      <c r="X492" s="136" t="n">
        <f aca="false" ca="false" dt2D="false" dtr="false" t="normal">MID(J490, 3, 1)</f>
        <v>0</v>
      </c>
      <c r="Y492" s="137" t="n">
        <f aca="false" ca="false" dt2D="false" dtr="false" t="normal">X492</f>
        <v>0</v>
      </c>
      <c r="Z492" s="120" t="s">
        <v>195</v>
      </c>
      <c r="AA492" s="131" t="s">
        <v>196</v>
      </c>
      <c r="AB492" s="136" t="n">
        <f aca="false" ca="false" dt2D="false" dtr="false" t="normal">MID(K490, 3, 1)</f>
        <v>0</v>
      </c>
      <c r="AC492" s="137" t="n">
        <f aca="false" ca="false" dt2D="false" dtr="false" t="normal">AB492</f>
        <v>0</v>
      </c>
      <c r="AD492" s="120" t="s">
        <v>195</v>
      </c>
      <c r="AE492" s="131" t="s">
        <v>196</v>
      </c>
      <c r="AF492" s="136" t="n">
        <f aca="false" ca="false" dt2D="false" dtr="false" t="normal">MID(L490, 3, 1)</f>
        <v>0</v>
      </c>
      <c r="AG492" s="137" t="n">
        <f aca="false" ca="false" dt2D="false" dtr="false" t="normal">AF492</f>
        <v>0</v>
      </c>
      <c r="AH492" s="120" t="s">
        <v>195</v>
      </c>
      <c r="AI492" s="131" t="s">
        <v>196</v>
      </c>
      <c r="AJ492" s="10099" t="s"/>
      <c r="AK492" s="10100" t="s"/>
    </row>
    <row hidden="false" ht="15.75" outlineLevel="0" r="493">
      <c r="C493" s="98" t="n"/>
      <c r="N493" s="63" t="n"/>
      <c r="P493" s="136" t="n">
        <f aca="false" ca="false" dt2D="false" dtr="false" t="normal">MID(H490, 4, 1)</f>
        <v>0</v>
      </c>
      <c r="Q493" s="137" t="n">
        <f aca="false" ca="false" dt2D="false" dtr="false" t="normal">P493</f>
        <v>0</v>
      </c>
      <c r="R493" s="120" t="s">
        <v>197</v>
      </c>
      <c r="S493" s="131" t="s">
        <v>196</v>
      </c>
      <c r="T493" s="136" t="n">
        <f aca="false" ca="false" dt2D="false" dtr="false" t="normal">MID(I490, 4, 1)</f>
        <v>0</v>
      </c>
      <c r="U493" s="137" t="n">
        <f aca="false" ca="false" dt2D="false" dtr="false" t="normal">T493</f>
        <v>0</v>
      </c>
      <c r="V493" s="120" t="s">
        <v>197</v>
      </c>
      <c r="W493" s="131" t="s">
        <v>196</v>
      </c>
      <c r="X493" s="136" t="n">
        <f aca="false" ca="false" dt2D="false" dtr="false" t="normal">MID(J490, 4, 1)</f>
        <v>0</v>
      </c>
      <c r="Y493" s="137" t="n">
        <f aca="false" ca="false" dt2D="false" dtr="false" t="normal">X493</f>
        <v>0</v>
      </c>
      <c r="Z493" s="120" t="s">
        <v>197</v>
      </c>
      <c r="AA493" s="131" t="s">
        <v>196</v>
      </c>
      <c r="AB493" s="136" t="n">
        <f aca="false" ca="false" dt2D="false" dtr="false" t="normal">MID(K490, 4, 1)</f>
        <v>0</v>
      </c>
      <c r="AC493" s="137" t="n">
        <f aca="false" ca="false" dt2D="false" dtr="false" t="normal">AB493</f>
        <v>0</v>
      </c>
      <c r="AD493" s="120" t="s">
        <v>197</v>
      </c>
      <c r="AE493" s="131" t="s">
        <v>196</v>
      </c>
      <c r="AF493" s="136" t="n">
        <f aca="false" ca="false" dt2D="false" dtr="false" t="normal">MID(L490, 4, 1)</f>
        <v>0</v>
      </c>
      <c r="AG493" s="137" t="n">
        <f aca="false" ca="false" dt2D="false" dtr="false" t="normal">AF493</f>
        <v>0</v>
      </c>
      <c r="AH493" s="120" t="s">
        <v>197</v>
      </c>
      <c r="AI493" s="131" t="s">
        <v>196</v>
      </c>
      <c r="AJ493" s="10101" t="s"/>
      <c r="AK493" s="10102" t="s"/>
    </row>
    <row hidden="false" ht="15.75" outlineLevel="0" r="494">
      <c r="C494" s="98" t="s">
        <v>176</v>
      </c>
      <c r="D494" s="122" t="n">
        <f aca="false" ca="false" dt2D="false" dtr="false" t="normal">D489</f>
        <v>7</v>
      </c>
      <c r="E494" s="123" t="str">
        <f aca="false" ca="false" dt2D="false" dtr="false" t="normal">E489</f>
        <v>A5</v>
      </c>
      <c r="F494" s="123" t="n">
        <f aca="false" ca="false" dt2D="false" dtr="false" t="normal">F489</f>
        <v>1</v>
      </c>
      <c r="G494" s="124" t="n">
        <f aca="false" ca="false" dt2D="false" dtr="false" t="normal">G489</f>
        <v>45</v>
      </c>
      <c r="H494" s="162" t="n">
        <f aca="false" ca="false" dt2D="false" dtr="false" t="normal">BIN2HEX(H495, 2)</f>
        <v>0</v>
      </c>
      <c r="I494" s="163" t="n">
        <f aca="false" ca="false" dt2D="false" dtr="false" t="normal">BIN2HEX(I495, 2)</f>
        <v>0</v>
      </c>
      <c r="J494" s="164" t="n">
        <f aca="false" ca="false" dt2D="false" dtr="false" t="normal">BIN2HEX(J495, 2)</f>
        <v>0</v>
      </c>
      <c r="K494" s="165" t="n">
        <f aca="false" ca="false" dt2D="false" dtr="false" t="normal">BIN2HEX(K495, 2)</f>
        <v>0</v>
      </c>
      <c r="L494" s="288" t="n">
        <f aca="false" ca="false" dt2D="false" dtr="false" t="normal">BIN2HEX(L495, 2)</f>
        <v>0</v>
      </c>
      <c r="M494" s="166" t="str">
        <f aca="false" ca="false" dt2D="false" dtr="false" t="normal">IF(LEN(M495)&gt;2, MID(M495, 2, 2), M495)</f>
        <v>F2</v>
      </c>
      <c r="N494" s="63" t="s">
        <v>181</v>
      </c>
      <c r="P494" s="136" t="n">
        <f aca="false" ca="false" dt2D="false" dtr="false" t="normal">MID(H490, 5, 1)</f>
        <v>0</v>
      </c>
      <c r="Q494" s="137" t="n">
        <f aca="false" ca="false" dt2D="false" dtr="false" t="normal">P494</f>
        <v>0</v>
      </c>
      <c r="R494" s="120" t="s">
        <v>200</v>
      </c>
      <c r="S494" s="131" t="s">
        <v>196</v>
      </c>
      <c r="T494" s="136" t="n">
        <f aca="false" ca="false" dt2D="false" dtr="false" t="normal">MID(I490, 5, 1)</f>
        <v>0</v>
      </c>
      <c r="U494" s="137" t="n">
        <f aca="false" ca="false" dt2D="false" dtr="false" t="normal">T494</f>
        <v>0</v>
      </c>
      <c r="V494" s="120" t="s">
        <v>200</v>
      </c>
      <c r="W494" s="131" t="s">
        <v>196</v>
      </c>
      <c r="X494" s="136" t="n">
        <f aca="false" ca="false" dt2D="false" dtr="false" t="normal">MID(J490, 5, 1)</f>
        <v>0</v>
      </c>
      <c r="Y494" s="137" t="n">
        <f aca="false" ca="false" dt2D="false" dtr="false" t="normal">X494</f>
        <v>0</v>
      </c>
      <c r="Z494" s="120" t="s">
        <v>200</v>
      </c>
      <c r="AA494" s="131" t="s">
        <v>196</v>
      </c>
      <c r="AB494" s="136" t="n">
        <f aca="false" ca="false" dt2D="false" dtr="false" t="normal">MID(K490, 5, 1)</f>
        <v>0</v>
      </c>
      <c r="AC494" s="137" t="n">
        <f aca="false" ca="false" dt2D="false" dtr="false" t="normal">AB494</f>
        <v>0</v>
      </c>
      <c r="AD494" s="120" t="s">
        <v>200</v>
      </c>
      <c r="AE494" s="131" t="s">
        <v>196</v>
      </c>
      <c r="AF494" s="136" t="n">
        <f aca="false" ca="false" dt2D="false" dtr="false" t="normal">MID(L490, 5, 1)</f>
        <v>0</v>
      </c>
      <c r="AG494" s="137" t="n">
        <f aca="false" ca="false" dt2D="false" dtr="false" t="normal">AF494</f>
        <v>0</v>
      </c>
      <c r="AH494" s="120" t="s">
        <v>200</v>
      </c>
      <c r="AI494" s="131" t="s">
        <v>196</v>
      </c>
      <c r="AJ494" s="10103" t="s"/>
      <c r="AK494" s="10104" t="s"/>
    </row>
    <row hidden="false" ht="15" outlineLevel="0" r="495">
      <c r="C495" s="98" t="s">
        <v>185</v>
      </c>
      <c r="D495" s="149" t="n">
        <f aca="false" ca="false" dt2D="false" dtr="false" t="normal">HEX2BIN(D494, 8)</f>
        <v>111</v>
      </c>
      <c r="E495" s="149" t="n">
        <f aca="false" ca="false" dt2D="false" dtr="false" t="normal">HEX2BIN(E494, 8)</f>
        <v>10100101</v>
      </c>
      <c r="F495" s="149" t="n">
        <f aca="false" ca="false" dt2D="false" dtr="false" t="normal">HEX2BIN(F494, 8)</f>
        <v>1</v>
      </c>
      <c r="G495" s="149" t="n">
        <f aca="false" ca="false" dt2D="false" dtr="false" t="normal">HEX2BIN(G494, 8)</f>
        <v>1000101</v>
      </c>
      <c r="H495" s="53" t="n">
        <f aca="false" ca="false" dt2D="false" dtr="false" t="normal">Q490&amp;Q491&amp;Q492&amp;Q493&amp;Q494&amp;Q495&amp;Q496&amp;Q497</f>
        <v>0</v>
      </c>
      <c r="I495" s="53" t="n">
        <f aca="false" ca="false" dt2D="false" dtr="false" t="normal">U490&amp;U491&amp;U492&amp;U493&amp;U494&amp;U495&amp;U496&amp;U497</f>
        <v>0</v>
      </c>
      <c r="J495" s="53" t="n">
        <f aca="false" ca="false" dt2D="false" dtr="false" t="normal">Y490&amp;Y491&amp;Y492&amp;Y493&amp;Y494&amp;Y495&amp;Y496&amp;Y497</f>
        <v>0</v>
      </c>
      <c r="K495" s="53" t="n">
        <f aca="false" ca="false" dt2D="false" dtr="false" t="normal">AC490&amp;AC491&amp;AC492&amp;AC493&amp;AC494&amp;AC495&amp;AC496&amp;AC497</f>
        <v>0</v>
      </c>
      <c r="L495" s="53" t="n">
        <f aca="false" ca="false" dt2D="false" dtr="false" t="normal">AG490&amp;AG491&amp;AG492&amp;AG493&amp;AG494&amp;AG495&amp;AG496&amp;AG497</f>
        <v>0</v>
      </c>
      <c r="M495" s="53" t="str">
        <f aca="false" ca="false" dt2D="false" dtr="false" t="normal">DEC2HEX(M496)</f>
        <v>F2</v>
      </c>
      <c r="N495" s="63" t="n"/>
      <c r="P495" s="136" t="n">
        <f aca="false" ca="false" dt2D="false" dtr="false" t="normal">MID(H490, 6, 1)</f>
        <v>0</v>
      </c>
      <c r="Q495" s="137" t="n">
        <f aca="false" ca="false" dt2D="false" dtr="false" t="normal">P495</f>
        <v>0</v>
      </c>
      <c r="R495" s="120" t="s">
        <v>203</v>
      </c>
      <c r="S495" s="131" t="s">
        <v>196</v>
      </c>
      <c r="T495" s="136" t="n">
        <f aca="false" ca="false" dt2D="false" dtr="false" t="normal">MID(I490, 6, 1)</f>
        <v>0</v>
      </c>
      <c r="U495" s="137" t="n">
        <f aca="false" ca="false" dt2D="false" dtr="false" t="normal">T495</f>
        <v>0</v>
      </c>
      <c r="V495" s="120" t="s">
        <v>203</v>
      </c>
      <c r="W495" s="131" t="s">
        <v>196</v>
      </c>
      <c r="X495" s="136" t="n">
        <f aca="false" ca="false" dt2D="false" dtr="false" t="normal">MID(J490, 6, 1)</f>
        <v>0</v>
      </c>
      <c r="Y495" s="137" t="n">
        <f aca="false" ca="false" dt2D="false" dtr="false" t="normal">X495</f>
        <v>0</v>
      </c>
      <c r="Z495" s="120" t="s">
        <v>203</v>
      </c>
      <c r="AA495" s="131" t="s">
        <v>196</v>
      </c>
      <c r="AB495" s="136" t="n">
        <f aca="false" ca="false" dt2D="false" dtr="false" t="normal">MID(K490, 6, 1)</f>
        <v>0</v>
      </c>
      <c r="AC495" s="137" t="n">
        <f aca="false" ca="false" dt2D="false" dtr="false" t="normal">AB495</f>
        <v>0</v>
      </c>
      <c r="AD495" s="120" t="s">
        <v>203</v>
      </c>
      <c r="AE495" s="131" t="s">
        <v>196</v>
      </c>
      <c r="AF495" s="136" t="n">
        <f aca="false" ca="false" dt2D="false" dtr="false" t="normal">MID(L490, 6, 1)</f>
        <v>0</v>
      </c>
      <c r="AG495" s="137" t="n">
        <f aca="false" ca="false" dt2D="false" dtr="false" t="normal">AF495</f>
        <v>0</v>
      </c>
      <c r="AH495" s="120" t="s">
        <v>203</v>
      </c>
      <c r="AI495" s="131" t="s">
        <v>196</v>
      </c>
      <c r="AJ495" s="10105" t="s"/>
      <c r="AK495" s="10106" t="s"/>
    </row>
    <row hidden="false" ht="15" outlineLevel="0" r="496">
      <c r="C496" s="98" t="s">
        <v>191</v>
      </c>
      <c r="D496" s="149" t="n">
        <f aca="false" ca="false" dt2D="false" dtr="false" t="normal">HEX2DEC(D494)</f>
        <v>7</v>
      </c>
      <c r="E496" s="149" t="n">
        <f aca="false" ca="false" dt2D="false" dtr="false" t="normal">HEX2DEC(E494)</f>
        <v>165</v>
      </c>
      <c r="F496" s="149" t="n">
        <f aca="false" ca="false" dt2D="false" dtr="false" t="normal">HEX2DEC(F494)</f>
        <v>1</v>
      </c>
      <c r="G496" s="149" t="n">
        <f aca="false" ca="false" dt2D="false" dtr="false" t="normal">HEX2DEC(G494)</f>
        <v>69</v>
      </c>
      <c r="H496" s="53" t="n">
        <f aca="false" ca="false" dt2D="false" dtr="false" t="normal">HEX2DEC(H494)</f>
        <v>0</v>
      </c>
      <c r="I496" s="53" t="n">
        <f aca="false" ca="false" dt2D="false" dtr="false" t="normal">HEX2DEC(I494)</f>
        <v>0</v>
      </c>
      <c r="J496" s="53" t="n">
        <f aca="false" ca="false" dt2D="false" dtr="false" t="normal">HEX2DEC(J494)</f>
        <v>0</v>
      </c>
      <c r="K496" s="53" t="n">
        <f aca="false" ca="false" dt2D="false" dtr="false" t="normal">HEX2DEC(K494)</f>
        <v>0</v>
      </c>
      <c r="L496" s="53" t="n">
        <f aca="false" ca="false" dt2D="false" dtr="false" t="normal">HEX2DEC(L494)</f>
        <v>0</v>
      </c>
      <c r="M496" s="53" t="n">
        <f aca="false" ca="false" dt2D="false" dtr="false" t="normal">SUM(D496:L496)</f>
        <v>242</v>
      </c>
      <c r="N496" s="63" t="n"/>
      <c r="P496" s="136" t="n">
        <f aca="false" ca="false" dt2D="false" dtr="false" t="normal">MID(H490, 7, 1)</f>
        <v>0</v>
      </c>
      <c r="Q496" s="137" t="n">
        <f aca="false" ca="false" dt2D="false" dtr="false" t="normal">P496</f>
        <v>0</v>
      </c>
      <c r="R496" s="120" t="s">
        <v>206</v>
      </c>
      <c r="S496" s="131" t="s">
        <v>196</v>
      </c>
      <c r="T496" s="136" t="n">
        <f aca="false" ca="false" dt2D="false" dtr="false" t="normal">MID(I490, 7, 1)</f>
        <v>0</v>
      </c>
      <c r="U496" s="137" t="n">
        <f aca="false" ca="false" dt2D="false" dtr="false" t="normal">T496</f>
        <v>0</v>
      </c>
      <c r="V496" s="120" t="s">
        <v>206</v>
      </c>
      <c r="W496" s="131" t="s">
        <v>196</v>
      </c>
      <c r="X496" s="136" t="n">
        <f aca="false" ca="false" dt2D="false" dtr="false" t="normal">MID(J490, 7, 1)</f>
        <v>0</v>
      </c>
      <c r="Y496" s="137" t="n">
        <f aca="false" ca="false" dt2D="false" dtr="false" t="normal">X496</f>
        <v>0</v>
      </c>
      <c r="Z496" s="120" t="s">
        <v>206</v>
      </c>
      <c r="AA496" s="131" t="s">
        <v>196</v>
      </c>
      <c r="AB496" s="136" t="n">
        <f aca="false" ca="false" dt2D="false" dtr="false" t="normal">MID(K490, 7, 1)</f>
        <v>0</v>
      </c>
      <c r="AC496" s="137" t="n">
        <f aca="false" ca="false" dt2D="false" dtr="false" t="normal">AB496</f>
        <v>0</v>
      </c>
      <c r="AD496" s="120" t="s">
        <v>206</v>
      </c>
      <c r="AE496" s="131" t="s">
        <v>196</v>
      </c>
      <c r="AF496" s="136" t="n">
        <f aca="false" ca="false" dt2D="false" dtr="false" t="normal">MID(L490, 7, 1)</f>
        <v>0</v>
      </c>
      <c r="AG496" s="137" t="n">
        <f aca="false" ca="false" dt2D="false" dtr="false" t="normal">AF496</f>
        <v>0</v>
      </c>
      <c r="AH496" s="120" t="s">
        <v>206</v>
      </c>
      <c r="AI496" s="131" t="s">
        <v>196</v>
      </c>
      <c r="AJ496" s="10107" t="s"/>
      <c r="AK496" s="10108" t="s"/>
    </row>
    <row hidden="false" ht="15.75" outlineLevel="0" r="497">
      <c r="C497" s="180" t="s">
        <v>194</v>
      </c>
      <c r="D497" s="181" t="n">
        <f aca="false" ca="false" dt2D="false" dtr="false" t="normal">D492</f>
        <v>7</v>
      </c>
      <c r="E497" s="181" t="str">
        <f aca="false" ca="false" dt2D="false" dtr="false" t="normal">E492</f>
        <v>A5</v>
      </c>
      <c r="F497" s="181" t="str">
        <f aca="false" ca="false" dt2D="false" dtr="false" t="normal">F492</f>
        <v>G1</v>
      </c>
      <c r="G497" s="181" t="str">
        <f aca="false" ca="false" dt2D="false" dtr="false" t="normal">G492</f>
        <v>ID</v>
      </c>
      <c r="H497" s="45" t="n"/>
      <c r="I497" s="45" t="n"/>
      <c r="J497" s="45" t="n"/>
      <c r="K497" s="45" t="n"/>
      <c r="L497" s="45" t="n"/>
      <c r="M497" s="45" t="n"/>
      <c r="N497" s="49" t="n"/>
      <c r="P497" s="182" t="n">
        <f aca="false" ca="false" dt2D="false" dtr="false" t="normal">MID(H490, 8, 1)</f>
        <v>0</v>
      </c>
      <c r="Q497" s="183" t="n">
        <f aca="false" ca="false" dt2D="false" dtr="false" t="normal">P497</f>
        <v>0</v>
      </c>
      <c r="R497" s="184" t="s">
        <v>208</v>
      </c>
      <c r="S497" s="185" t="s">
        <v>196</v>
      </c>
      <c r="T497" s="182" t="n">
        <f aca="false" ca="false" dt2D="false" dtr="false" t="normal">MID(I490, 8, 1)</f>
        <v>0</v>
      </c>
      <c r="U497" s="183" t="n">
        <f aca="false" ca="false" dt2D="false" dtr="false" t="normal">T497</f>
        <v>0</v>
      </c>
      <c r="V497" s="184" t="s">
        <v>208</v>
      </c>
      <c r="W497" s="185" t="s">
        <v>196</v>
      </c>
      <c r="X497" s="182" t="n">
        <f aca="false" ca="false" dt2D="false" dtr="false" t="normal">MID(J490, 8, 1)</f>
        <v>0</v>
      </c>
      <c r="Y497" s="183" t="n">
        <f aca="false" ca="false" dt2D="false" dtr="false" t="normal">X497</f>
        <v>0</v>
      </c>
      <c r="Z497" s="184" t="s">
        <v>208</v>
      </c>
      <c r="AA497" s="185" t="s">
        <v>196</v>
      </c>
      <c r="AB497" s="182" t="n">
        <f aca="false" ca="false" dt2D="false" dtr="false" t="normal">MID(K490, 8, 1)</f>
        <v>0</v>
      </c>
      <c r="AC497" s="183" t="n">
        <f aca="false" ca="false" dt2D="false" dtr="false" t="normal">AB497</f>
        <v>0</v>
      </c>
      <c r="AD497" s="184" t="s">
        <v>208</v>
      </c>
      <c r="AE497" s="185" t="s">
        <v>196</v>
      </c>
      <c r="AF497" s="182" t="n">
        <f aca="false" ca="false" dt2D="false" dtr="false" t="normal">MID(L490, 8, 1)</f>
        <v>0</v>
      </c>
      <c r="AG497" s="183" t="n">
        <f aca="false" ca="false" dt2D="false" dtr="false" t="normal">AF497</f>
        <v>0</v>
      </c>
      <c r="AH497" s="184" t="s">
        <v>208</v>
      </c>
      <c r="AI497" s="185" t="s">
        <v>196</v>
      </c>
      <c r="AJ497" s="10109" t="s"/>
      <c r="AK497" s="10110" t="s"/>
    </row>
    <row hidden="false" ht="15.75" outlineLevel="0" r="498">
      <c r="C498" s="93" t="n"/>
      <c r="D498" s="7585" t="n"/>
      <c r="E498" s="7585" t="n"/>
      <c r="F498" s="7585" t="n"/>
      <c r="G498" s="7585" t="n"/>
      <c r="H498" s="94" t="n"/>
      <c r="I498" s="94" t="n"/>
      <c r="J498" s="94" t="n"/>
      <c r="K498" s="94" t="n"/>
      <c r="L498" s="94" t="n"/>
      <c r="M498" s="94" t="s">
        <v>161</v>
      </c>
      <c r="N498" s="60" t="n"/>
      <c r="P498" s="95" t="str">
        <f aca="false" ca="false" dt2D="false" dtr="false" t="normal">RIGHT(D500, 1)&amp;E500&amp;"-"&amp;F500&amp;"-"&amp;G500</f>
        <v>7A5-01-46</v>
      </c>
      <c r="Q498" s="10111" t="s"/>
      <c r="R498" s="234" t="s">
        <v>4296</v>
      </c>
      <c r="S498" s="10112" t="s"/>
      <c r="T498" s="10113" t="s"/>
      <c r="U498" s="10114" t="s"/>
      <c r="V498" s="10115" t="s"/>
      <c r="W498" s="10116" t="s"/>
      <c r="X498" s="10117" t="s"/>
      <c r="Y498" s="10118" t="s"/>
      <c r="Z498" s="10119" t="s"/>
      <c r="AA498" s="10120" t="s"/>
      <c r="AB498" s="10121" t="s"/>
      <c r="AC498" s="10122" t="s"/>
      <c r="AD498" s="10123" t="s"/>
      <c r="AE498" s="10124" t="s"/>
      <c r="AF498" s="10125" t="s"/>
      <c r="AG498" s="10126" t="s"/>
      <c r="AH498" s="10127" t="s"/>
      <c r="AI498" s="10128" t="s"/>
      <c r="AJ498" s="10129" t="s"/>
      <c r="AK498" s="10130" t="s"/>
    </row>
    <row hidden="false" ht="15.75" outlineLevel="0" r="499">
      <c r="C499" s="98" t="n"/>
      <c r="D499" s="7606" t="s">
        <v>4297</v>
      </c>
      <c r="E499" s="10131" t="s"/>
      <c r="F499" s="10132" t="s"/>
      <c r="G499" s="10133" t="s"/>
      <c r="H499" s="53" t="s">
        <v>165</v>
      </c>
      <c r="I499" s="53" t="s">
        <v>166</v>
      </c>
      <c r="J499" s="53" t="s">
        <v>167</v>
      </c>
      <c r="K499" s="53" t="s">
        <v>168</v>
      </c>
      <c r="L499" s="53" t="s">
        <v>169</v>
      </c>
      <c r="M499" s="53" t="s">
        <v>221</v>
      </c>
      <c r="N499" s="63" t="n"/>
      <c r="P499" s="103" t="s">
        <v>4298</v>
      </c>
      <c r="Q499" s="10134" t="s"/>
      <c r="R499" s="10135" t="s"/>
      <c r="S499" s="10136" t="s"/>
      <c r="T499" s="103" t="s">
        <v>4299</v>
      </c>
      <c r="U499" s="10137" t="s"/>
      <c r="V499" s="10138" t="s"/>
      <c r="W499" s="10139" t="s"/>
      <c r="X499" s="103" t="s">
        <v>4300</v>
      </c>
      <c r="Y499" s="10140" t="s"/>
      <c r="Z499" s="10141" t="s"/>
      <c r="AA499" s="10142" t="s"/>
      <c r="AB499" s="103" t="s">
        <v>4301</v>
      </c>
      <c r="AC499" s="10143" t="s"/>
      <c r="AD499" s="10144" t="s"/>
      <c r="AE499" s="10145" t="s"/>
      <c r="AF499" s="103" t="s">
        <v>4302</v>
      </c>
      <c r="AG499" s="10146" t="s"/>
      <c r="AH499" s="10147" t="s"/>
      <c r="AI499" s="10148" t="s"/>
      <c r="AJ499" s="103" t="s">
        <v>4303</v>
      </c>
      <c r="AK499" s="10149" t="s"/>
    </row>
    <row hidden="false" ht="15.75" outlineLevel="0" r="500">
      <c r="C500" s="98" t="s">
        <v>176</v>
      </c>
      <c r="D500" s="122" t="s">
        <v>177</v>
      </c>
      <c r="E500" s="123" t="s">
        <v>3892</v>
      </c>
      <c r="F500" s="123" t="s">
        <v>179</v>
      </c>
      <c r="G500" s="124" t="s">
        <v>874</v>
      </c>
      <c r="H500" s="273" t="n">
        <f aca="false" ca="false" dt2D="false" dtr="false" t="normal">MID($A$49, 8, 2)</f>
        <v>0</v>
      </c>
      <c r="I500" s="7626" t="n">
        <f aca="false" ca="false" dt2D="false" dtr="false" t="normal">MID($A$49, 10, 2)</f>
        <v>0</v>
      </c>
      <c r="J500" s="7626" t="n">
        <f aca="false" ca="false" dt2D="false" dtr="false" t="normal">MID($A$49, 12, 2)</f>
        <v>0</v>
      </c>
      <c r="K500" s="7626" t="n">
        <f aca="false" ca="false" dt2D="false" dtr="false" t="normal">MID($A$49, 14, 2)</f>
        <v>0</v>
      </c>
      <c r="L500" s="7627" t="n">
        <f aca="false" ca="false" dt2D="false" dtr="false" t="normal">MID($A$49, 16, 2)</f>
        <v>0</v>
      </c>
      <c r="M500" s="7553" t="str">
        <f aca="false" ca="false" dt2D="false" dtr="false" t="normal">MID($A$49, 18, 2)</f>
        <v>F3</v>
      </c>
      <c r="N500" s="63" t="s">
        <v>180</v>
      </c>
      <c r="P500" s="129" t="s">
        <v>180</v>
      </c>
      <c r="Q500" s="130" t="s">
        <v>181</v>
      </c>
      <c r="R500" s="121" t="s">
        <v>182</v>
      </c>
      <c r="S500" s="131" t="n"/>
      <c r="T500" s="129" t="s">
        <v>180</v>
      </c>
      <c r="U500" s="130" t="s">
        <v>181</v>
      </c>
      <c r="V500" s="121" t="s">
        <v>182</v>
      </c>
      <c r="W500" s="131" t="n"/>
      <c r="X500" s="129" t="s">
        <v>180</v>
      </c>
      <c r="Y500" s="130" t="s">
        <v>181</v>
      </c>
      <c r="Z500" s="121" t="s">
        <v>182</v>
      </c>
      <c r="AA500" s="131" t="n"/>
      <c r="AB500" s="129" t="s">
        <v>180</v>
      </c>
      <c r="AC500" s="130" t="s">
        <v>181</v>
      </c>
      <c r="AD500" s="121" t="s">
        <v>182</v>
      </c>
      <c r="AE500" s="131" t="n"/>
      <c r="AF500" s="129" t="s">
        <v>180</v>
      </c>
      <c r="AG500" s="130" t="s">
        <v>181</v>
      </c>
      <c r="AH500" s="121" t="s">
        <v>182</v>
      </c>
      <c r="AI500" s="121" t="n"/>
      <c r="AJ500" s="116" t="s">
        <v>183</v>
      </c>
      <c r="AK500" s="10150" t="s"/>
    </row>
    <row hidden="false" ht="15" outlineLevel="0" r="501">
      <c r="C501" s="98" t="s">
        <v>185</v>
      </c>
      <c r="D501" s="149" t="n">
        <f aca="false" ca="false" dt2D="false" dtr="false" t="normal">HEX2BIN(D500, 8)</f>
        <v>111</v>
      </c>
      <c r="E501" s="149" t="n">
        <f aca="false" ca="false" dt2D="false" dtr="false" t="normal">HEX2BIN(E500, 8)</f>
        <v>10100101</v>
      </c>
      <c r="F501" s="149" t="n">
        <f aca="false" ca="false" dt2D="false" dtr="false" t="normal">HEX2BIN(F500, 8)</f>
        <v>1</v>
      </c>
      <c r="G501" s="149" t="n">
        <f aca="false" ca="false" dt2D="false" dtr="false" t="normal">HEX2BIN(G500, 8)</f>
        <v>1000110</v>
      </c>
      <c r="H501" s="53" t="n">
        <f aca="false" ca="false" dt2D="false" dtr="false" t="normal">HEX2BIN(H500, 8)</f>
        <v>0</v>
      </c>
      <c r="I501" s="53" t="n">
        <f aca="false" ca="false" dt2D="false" dtr="false" t="normal">HEX2BIN(I500, 8)</f>
        <v>0</v>
      </c>
      <c r="J501" s="53" t="n">
        <f aca="false" ca="false" dt2D="false" dtr="false" t="normal">HEX2BIN(J500, 8)</f>
        <v>0</v>
      </c>
      <c r="K501" s="53" t="n">
        <f aca="false" ca="false" dt2D="false" dtr="false" t="normal">HEX2BIN(K500, 8)</f>
        <v>0</v>
      </c>
      <c r="L501" s="53" t="n">
        <f aca="false" ca="false" dt2D="false" dtr="false" t="normal">HEX2BIN(L500, 8)</f>
        <v>0</v>
      </c>
      <c r="M501" s="53" t="n"/>
      <c r="N501" s="63" t="n"/>
      <c r="P501" s="136" t="n">
        <f aca="false" ca="false" dt2D="false" dtr="false" t="normal">MID(H501, 1, 1)</f>
        <v>0</v>
      </c>
      <c r="Q501" s="137" t="n">
        <f aca="false" ca="false" dt2D="false" dtr="false" t="normal">P501</f>
        <v>0</v>
      </c>
      <c r="R501" s="120" t="s">
        <v>186</v>
      </c>
      <c r="S501" s="131" t="s">
        <v>196</v>
      </c>
      <c r="T501" s="136" t="n">
        <f aca="false" ca="false" dt2D="false" dtr="false" t="normal">MID(I501, 1, 1)</f>
        <v>0</v>
      </c>
      <c r="U501" s="137" t="n">
        <f aca="false" ca="false" dt2D="false" dtr="false" t="normal">T501</f>
        <v>0</v>
      </c>
      <c r="V501" s="120" t="s">
        <v>186</v>
      </c>
      <c r="W501" s="131" t="s">
        <v>196</v>
      </c>
      <c r="X501" s="136" t="n">
        <f aca="false" ca="false" dt2D="false" dtr="false" t="normal">MID(J501, 1, 1)</f>
        <v>0</v>
      </c>
      <c r="Y501" s="137" t="n">
        <f aca="false" ca="false" dt2D="false" dtr="false" t="normal">X501</f>
        <v>0</v>
      </c>
      <c r="Z501" s="120" t="s">
        <v>186</v>
      </c>
      <c r="AA501" s="131" t="s">
        <v>196</v>
      </c>
      <c r="AB501" s="136" t="n">
        <f aca="false" ca="false" dt2D="false" dtr="false" t="normal">MID(K501, 1, 1)</f>
        <v>0</v>
      </c>
      <c r="AC501" s="137" t="n">
        <f aca="false" ca="false" dt2D="false" dtr="false" t="normal">AB501</f>
        <v>0</v>
      </c>
      <c r="AD501" s="120" t="s">
        <v>186</v>
      </c>
      <c r="AE501" s="131" t="s">
        <v>196</v>
      </c>
      <c r="AF501" s="136" t="n">
        <f aca="false" ca="false" dt2D="false" dtr="false" t="normal">MID(L501, 1, 1)</f>
        <v>0</v>
      </c>
      <c r="AG501" s="137" t="n">
        <f aca="false" ca="false" dt2D="false" dtr="false" t="normal">AF501</f>
        <v>0</v>
      </c>
      <c r="AH501" s="120" t="s">
        <v>186</v>
      </c>
      <c r="AI501" s="131" t="s">
        <v>196</v>
      </c>
      <c r="AJ501" s="10151" t="s"/>
      <c r="AK501" s="10152" t="s"/>
    </row>
    <row hidden="false" ht="15" outlineLevel="0" r="502">
      <c r="C502" s="98" t="s">
        <v>191</v>
      </c>
      <c r="D502" s="149" t="n">
        <f aca="false" ca="false" dt2D="false" dtr="false" t="normal">HEX2DEC(D500)</f>
        <v>7</v>
      </c>
      <c r="E502" s="149" t="n">
        <f aca="false" ca="false" dt2D="false" dtr="false" t="normal">HEX2DEC(E500)</f>
        <v>165</v>
      </c>
      <c r="F502" s="149" t="n">
        <f aca="false" ca="false" dt2D="false" dtr="false" t="normal">HEX2DEC(F500)</f>
        <v>1</v>
      </c>
      <c r="G502" s="149" t="n">
        <f aca="false" ca="false" dt2D="false" dtr="false" t="normal">HEX2DEC(G500)</f>
        <v>70</v>
      </c>
      <c r="H502" s="53" t="n">
        <f aca="false" ca="false" dt2D="false" dtr="false" t="normal">HEX2DEC(H500)</f>
        <v>0</v>
      </c>
      <c r="I502" s="53" t="n">
        <f aca="false" ca="false" dt2D="false" dtr="false" t="normal">HEX2DEC(I500)</f>
        <v>0</v>
      </c>
      <c r="J502" s="53" t="n">
        <f aca="false" ca="false" dt2D="false" dtr="false" t="normal">HEX2DEC(J500)</f>
        <v>0</v>
      </c>
      <c r="K502" s="53" t="n">
        <f aca="false" ca="false" dt2D="false" dtr="false" t="normal">HEX2DEC(K500)</f>
        <v>0</v>
      </c>
      <c r="L502" s="53" t="n">
        <f aca="false" ca="false" dt2D="false" dtr="false" t="normal">HEX2DEC(L500)</f>
        <v>0</v>
      </c>
      <c r="M502" s="53" t="n">
        <f aca="false" ca="false" dt2D="false" dtr="false" t="normal">SUM(D502:L502)</f>
        <v>243</v>
      </c>
      <c r="N502" s="63" t="n"/>
      <c r="P502" s="136" t="n">
        <f aca="false" ca="false" dt2D="false" dtr="false" t="normal">MID(H501, 2, 1)</f>
        <v>0</v>
      </c>
      <c r="Q502" s="137" t="n">
        <f aca="false" ca="false" dt2D="false" dtr="false" t="normal">P502</f>
        <v>0</v>
      </c>
      <c r="R502" s="120" t="s">
        <v>192</v>
      </c>
      <c r="S502" s="131" t="s">
        <v>196</v>
      </c>
      <c r="T502" s="136" t="n">
        <f aca="false" ca="false" dt2D="false" dtr="false" t="normal">MID(I501, 2, 1)</f>
        <v>0</v>
      </c>
      <c r="U502" s="137" t="n">
        <f aca="false" ca="false" dt2D="false" dtr="false" t="normal">T502</f>
        <v>0</v>
      </c>
      <c r="V502" s="120" t="s">
        <v>192</v>
      </c>
      <c r="W502" s="131" t="s">
        <v>196</v>
      </c>
      <c r="X502" s="136" t="n">
        <f aca="false" ca="false" dt2D="false" dtr="false" t="normal">MID(J501, 2, 1)</f>
        <v>0</v>
      </c>
      <c r="Y502" s="137" t="n">
        <f aca="false" ca="false" dt2D="false" dtr="false" t="normal">X502</f>
        <v>0</v>
      </c>
      <c r="Z502" s="120" t="s">
        <v>192</v>
      </c>
      <c r="AA502" s="131" t="s">
        <v>196</v>
      </c>
      <c r="AB502" s="136" t="n">
        <f aca="false" ca="false" dt2D="false" dtr="false" t="normal">MID(K501, 2, 1)</f>
        <v>0</v>
      </c>
      <c r="AC502" s="137" t="n">
        <f aca="false" ca="false" dt2D="false" dtr="false" t="normal">AB502</f>
        <v>0</v>
      </c>
      <c r="AD502" s="120" t="s">
        <v>192</v>
      </c>
      <c r="AE502" s="131" t="s">
        <v>196</v>
      </c>
      <c r="AF502" s="136" t="n">
        <f aca="false" ca="false" dt2D="false" dtr="false" t="normal">MID(L501, 2, 1)</f>
        <v>0</v>
      </c>
      <c r="AG502" s="137" t="n">
        <f aca="false" ca="false" dt2D="false" dtr="false" t="normal">AF502</f>
        <v>0</v>
      </c>
      <c r="AH502" s="120" t="s">
        <v>192</v>
      </c>
      <c r="AI502" s="131" t="s">
        <v>196</v>
      </c>
      <c r="AJ502" s="10153" t="s"/>
      <c r="AK502" s="10154" t="s"/>
    </row>
    <row hidden="false" ht="15" outlineLevel="0" r="503">
      <c r="C503" s="98" t="s">
        <v>194</v>
      </c>
      <c r="D503" s="149" t="n">
        <f aca="false" ca="false" dt2D="false" dtr="false" t="normal">D500</f>
        <v>7</v>
      </c>
      <c r="E503" s="149" t="str">
        <f aca="false" ca="false" dt2D="false" dtr="false" t="normal">E500</f>
        <v>A5</v>
      </c>
      <c r="F503" s="149" t="str">
        <f aca="false" ca="false" dt2D="false" dtr="false" t="normal">MID($A$49, 4, 2)</f>
        <v>G1</v>
      </c>
      <c r="G503" s="149" t="str">
        <f aca="false" ca="false" dt2D="false" dtr="false" t="normal">MID($A$49, 6, 2)</f>
        <v>IE</v>
      </c>
      <c r="N503" s="63" t="n"/>
      <c r="P503" s="136" t="n">
        <f aca="false" ca="false" dt2D="false" dtr="false" t="normal">MID(H501, 3, 1)</f>
        <v>0</v>
      </c>
      <c r="Q503" s="137" t="n">
        <f aca="false" ca="false" dt2D="false" dtr="false" t="normal">P503</f>
        <v>0</v>
      </c>
      <c r="R503" s="120" t="s">
        <v>195</v>
      </c>
      <c r="S503" s="131" t="s">
        <v>196</v>
      </c>
      <c r="T503" s="136" t="n">
        <f aca="false" ca="false" dt2D="false" dtr="false" t="normal">MID(I501, 3, 1)</f>
        <v>0</v>
      </c>
      <c r="U503" s="137" t="n">
        <f aca="false" ca="false" dt2D="false" dtr="false" t="normal">T503</f>
        <v>0</v>
      </c>
      <c r="V503" s="120" t="s">
        <v>195</v>
      </c>
      <c r="W503" s="131" t="s">
        <v>196</v>
      </c>
      <c r="X503" s="136" t="n">
        <f aca="false" ca="false" dt2D="false" dtr="false" t="normal">MID(J501, 3, 1)</f>
        <v>0</v>
      </c>
      <c r="Y503" s="137" t="n">
        <f aca="false" ca="false" dt2D="false" dtr="false" t="normal">X503</f>
        <v>0</v>
      </c>
      <c r="Z503" s="120" t="s">
        <v>195</v>
      </c>
      <c r="AA503" s="131" t="s">
        <v>196</v>
      </c>
      <c r="AB503" s="136" t="n">
        <f aca="false" ca="false" dt2D="false" dtr="false" t="normal">MID(K501, 3, 1)</f>
        <v>0</v>
      </c>
      <c r="AC503" s="137" t="n">
        <f aca="false" ca="false" dt2D="false" dtr="false" t="normal">AB503</f>
        <v>0</v>
      </c>
      <c r="AD503" s="120" t="s">
        <v>195</v>
      </c>
      <c r="AE503" s="131" t="s">
        <v>196</v>
      </c>
      <c r="AF503" s="136" t="n">
        <f aca="false" ca="false" dt2D="false" dtr="false" t="normal">MID(L501, 3, 1)</f>
        <v>0</v>
      </c>
      <c r="AG503" s="137" t="n">
        <f aca="false" ca="false" dt2D="false" dtr="false" t="normal">AF503</f>
        <v>0</v>
      </c>
      <c r="AH503" s="120" t="s">
        <v>195</v>
      </c>
      <c r="AI503" s="131" t="s">
        <v>196</v>
      </c>
      <c r="AJ503" s="10155" t="s"/>
      <c r="AK503" s="10156" t="s"/>
    </row>
    <row hidden="false" ht="15.75" outlineLevel="0" r="504">
      <c r="C504" s="98" t="n"/>
      <c r="N504" s="63" t="n"/>
      <c r="P504" s="136" t="n">
        <f aca="false" ca="false" dt2D="false" dtr="false" t="normal">MID(H501, 4, 1)</f>
        <v>0</v>
      </c>
      <c r="Q504" s="137" t="n">
        <f aca="false" ca="false" dt2D="false" dtr="false" t="normal">P504</f>
        <v>0</v>
      </c>
      <c r="R504" s="120" t="s">
        <v>197</v>
      </c>
      <c r="S504" s="131" t="s">
        <v>196</v>
      </c>
      <c r="T504" s="136" t="n">
        <f aca="false" ca="false" dt2D="false" dtr="false" t="normal">MID(I501, 4, 1)</f>
        <v>0</v>
      </c>
      <c r="U504" s="137" t="n">
        <f aca="false" ca="false" dt2D="false" dtr="false" t="normal">T504</f>
        <v>0</v>
      </c>
      <c r="V504" s="120" t="s">
        <v>197</v>
      </c>
      <c r="W504" s="131" t="s">
        <v>196</v>
      </c>
      <c r="X504" s="136" t="n">
        <f aca="false" ca="false" dt2D="false" dtr="false" t="normal">MID(J501, 4, 1)</f>
        <v>0</v>
      </c>
      <c r="Y504" s="137" t="n">
        <f aca="false" ca="false" dt2D="false" dtr="false" t="normal">X504</f>
        <v>0</v>
      </c>
      <c r="Z504" s="120" t="s">
        <v>197</v>
      </c>
      <c r="AA504" s="131" t="s">
        <v>196</v>
      </c>
      <c r="AB504" s="136" t="n">
        <f aca="false" ca="false" dt2D="false" dtr="false" t="normal">MID(K501, 4, 1)</f>
        <v>0</v>
      </c>
      <c r="AC504" s="137" t="n">
        <f aca="false" ca="false" dt2D="false" dtr="false" t="normal">AB504</f>
        <v>0</v>
      </c>
      <c r="AD504" s="120" t="s">
        <v>197</v>
      </c>
      <c r="AE504" s="131" t="s">
        <v>196</v>
      </c>
      <c r="AF504" s="136" t="n">
        <f aca="false" ca="false" dt2D="false" dtr="false" t="normal">MID(L501, 4, 1)</f>
        <v>0</v>
      </c>
      <c r="AG504" s="137" t="n">
        <f aca="false" ca="false" dt2D="false" dtr="false" t="normal">AF504</f>
        <v>0</v>
      </c>
      <c r="AH504" s="120" t="s">
        <v>197</v>
      </c>
      <c r="AI504" s="131" t="s">
        <v>196</v>
      </c>
      <c r="AJ504" s="10157" t="s"/>
      <c r="AK504" s="10158" t="s"/>
    </row>
    <row hidden="false" ht="15.75" outlineLevel="0" r="505">
      <c r="C505" s="98" t="s">
        <v>176</v>
      </c>
      <c r="D505" s="122" t="n">
        <f aca="false" ca="false" dt2D="false" dtr="false" t="normal">D500</f>
        <v>7</v>
      </c>
      <c r="E505" s="123" t="str">
        <f aca="false" ca="false" dt2D="false" dtr="false" t="normal">E500</f>
        <v>A5</v>
      </c>
      <c r="F505" s="123" t="n">
        <f aca="false" ca="false" dt2D="false" dtr="false" t="normal">F500</f>
        <v>1</v>
      </c>
      <c r="G505" s="124" t="n">
        <f aca="false" ca="false" dt2D="false" dtr="false" t="normal">G500</f>
        <v>46</v>
      </c>
      <c r="H505" s="162" t="n">
        <f aca="false" ca="false" dt2D="false" dtr="false" t="normal">BIN2HEX(H506, 2)</f>
        <v>0</v>
      </c>
      <c r="I505" s="163" t="n">
        <f aca="false" ca="false" dt2D="false" dtr="false" t="normal">BIN2HEX(I506, 2)</f>
        <v>0</v>
      </c>
      <c r="J505" s="164" t="n">
        <f aca="false" ca="false" dt2D="false" dtr="false" t="normal">BIN2HEX(J506, 2)</f>
        <v>0</v>
      </c>
      <c r="K505" s="165" t="n">
        <f aca="false" ca="false" dt2D="false" dtr="false" t="normal">BIN2HEX(K506, 2)</f>
        <v>0</v>
      </c>
      <c r="L505" s="288" t="n">
        <f aca="false" ca="false" dt2D="false" dtr="false" t="normal">BIN2HEX(L506, 2)</f>
        <v>0</v>
      </c>
      <c r="M505" s="166" t="str">
        <f aca="false" ca="false" dt2D="false" dtr="false" t="normal">IF(LEN(M506)&gt;2, MID(M506, 2, 2), M506)</f>
        <v>F3</v>
      </c>
      <c r="N505" s="63" t="s">
        <v>181</v>
      </c>
      <c r="P505" s="136" t="n">
        <f aca="false" ca="false" dt2D="false" dtr="false" t="normal">MID(H501, 5, 1)</f>
        <v>0</v>
      </c>
      <c r="Q505" s="137" t="n">
        <f aca="false" ca="false" dt2D="false" dtr="false" t="normal">P505</f>
        <v>0</v>
      </c>
      <c r="R505" s="120" t="s">
        <v>200</v>
      </c>
      <c r="S505" s="131" t="s">
        <v>196</v>
      </c>
      <c r="T505" s="136" t="n">
        <f aca="false" ca="false" dt2D="false" dtr="false" t="normal">MID(I501, 5, 1)</f>
        <v>0</v>
      </c>
      <c r="U505" s="137" t="n">
        <f aca="false" ca="false" dt2D="false" dtr="false" t="normal">T505</f>
        <v>0</v>
      </c>
      <c r="V505" s="120" t="s">
        <v>200</v>
      </c>
      <c r="W505" s="131" t="s">
        <v>196</v>
      </c>
      <c r="X505" s="136" t="n">
        <f aca="false" ca="false" dt2D="false" dtr="false" t="normal">MID(J501, 5, 1)</f>
        <v>0</v>
      </c>
      <c r="Y505" s="137" t="n">
        <f aca="false" ca="false" dt2D="false" dtr="false" t="normal">X505</f>
        <v>0</v>
      </c>
      <c r="Z505" s="120" t="s">
        <v>200</v>
      </c>
      <c r="AA505" s="131" t="s">
        <v>196</v>
      </c>
      <c r="AB505" s="136" t="n">
        <f aca="false" ca="false" dt2D="false" dtr="false" t="normal">MID(K501, 5, 1)</f>
        <v>0</v>
      </c>
      <c r="AC505" s="137" t="n">
        <f aca="false" ca="false" dt2D="false" dtr="false" t="normal">AB505</f>
        <v>0</v>
      </c>
      <c r="AD505" s="120" t="s">
        <v>200</v>
      </c>
      <c r="AE505" s="131" t="s">
        <v>196</v>
      </c>
      <c r="AF505" s="136" t="n">
        <f aca="false" ca="false" dt2D="false" dtr="false" t="normal">MID(L501, 5, 1)</f>
        <v>0</v>
      </c>
      <c r="AG505" s="137" t="n">
        <f aca="false" ca="false" dt2D="false" dtr="false" t="normal">AF505</f>
        <v>0</v>
      </c>
      <c r="AH505" s="120" t="s">
        <v>200</v>
      </c>
      <c r="AI505" s="131" t="s">
        <v>196</v>
      </c>
      <c r="AJ505" s="10159" t="s"/>
      <c r="AK505" s="10160" t="s"/>
    </row>
    <row hidden="false" ht="15" outlineLevel="0" r="506">
      <c r="C506" s="98" t="s">
        <v>185</v>
      </c>
      <c r="D506" s="149" t="n">
        <f aca="false" ca="false" dt2D="false" dtr="false" t="normal">HEX2BIN(D505, 8)</f>
        <v>111</v>
      </c>
      <c r="E506" s="149" t="n">
        <f aca="false" ca="false" dt2D="false" dtr="false" t="normal">HEX2BIN(E505, 8)</f>
        <v>10100101</v>
      </c>
      <c r="F506" s="149" t="n">
        <f aca="false" ca="false" dt2D="false" dtr="false" t="normal">HEX2BIN(F505, 8)</f>
        <v>1</v>
      </c>
      <c r="G506" s="149" t="n">
        <f aca="false" ca="false" dt2D="false" dtr="false" t="normal">HEX2BIN(G505, 8)</f>
        <v>1000110</v>
      </c>
      <c r="H506" s="53" t="n">
        <f aca="false" ca="false" dt2D="false" dtr="false" t="normal">Q501&amp;Q502&amp;Q503&amp;Q504&amp;Q505&amp;Q506&amp;Q507&amp;Q508</f>
        <v>0</v>
      </c>
      <c r="I506" s="53" t="n">
        <f aca="false" ca="false" dt2D="false" dtr="false" t="normal">U501&amp;U502&amp;U503&amp;U504&amp;U505&amp;U506&amp;U507&amp;U508</f>
        <v>0</v>
      </c>
      <c r="J506" s="53" t="n">
        <f aca="false" ca="false" dt2D="false" dtr="false" t="normal">Y501&amp;Y502&amp;Y503&amp;Y504&amp;Y505&amp;Y506&amp;Y507&amp;Y508</f>
        <v>0</v>
      </c>
      <c r="K506" s="53" t="n">
        <f aca="false" ca="false" dt2D="false" dtr="false" t="normal">AC501&amp;AC502&amp;AC503&amp;AC504&amp;AC505&amp;AC506&amp;AC507&amp;AC508</f>
        <v>0</v>
      </c>
      <c r="L506" s="53" t="n">
        <f aca="false" ca="false" dt2D="false" dtr="false" t="normal">AG501&amp;AG502&amp;AG503&amp;AG504&amp;AG505&amp;AG506&amp;AG507&amp;AG508</f>
        <v>0</v>
      </c>
      <c r="M506" s="53" t="str">
        <f aca="false" ca="false" dt2D="false" dtr="false" t="normal">DEC2HEX(M507)</f>
        <v>F3</v>
      </c>
      <c r="N506" s="63" t="n"/>
      <c r="P506" s="136" t="n">
        <f aca="false" ca="false" dt2D="false" dtr="false" t="normal">MID(H501, 6, 1)</f>
        <v>0</v>
      </c>
      <c r="Q506" s="137" t="n">
        <f aca="false" ca="false" dt2D="false" dtr="false" t="normal">P506</f>
        <v>0</v>
      </c>
      <c r="R506" s="120" t="s">
        <v>203</v>
      </c>
      <c r="S506" s="131" t="s">
        <v>196</v>
      </c>
      <c r="T506" s="136" t="n">
        <f aca="false" ca="false" dt2D="false" dtr="false" t="normal">MID(I501, 6, 1)</f>
        <v>0</v>
      </c>
      <c r="U506" s="137" t="n">
        <f aca="false" ca="false" dt2D="false" dtr="false" t="normal">T506</f>
        <v>0</v>
      </c>
      <c r="V506" s="120" t="s">
        <v>203</v>
      </c>
      <c r="W506" s="131" t="s">
        <v>196</v>
      </c>
      <c r="X506" s="136" t="n">
        <f aca="false" ca="false" dt2D="false" dtr="false" t="normal">MID(J501, 6, 1)</f>
        <v>0</v>
      </c>
      <c r="Y506" s="137" t="n">
        <f aca="false" ca="false" dt2D="false" dtr="false" t="normal">X506</f>
        <v>0</v>
      </c>
      <c r="Z506" s="120" t="s">
        <v>203</v>
      </c>
      <c r="AA506" s="131" t="s">
        <v>196</v>
      </c>
      <c r="AB506" s="136" t="n">
        <f aca="false" ca="false" dt2D="false" dtr="false" t="normal">MID(K501, 6, 1)</f>
        <v>0</v>
      </c>
      <c r="AC506" s="137" t="n">
        <f aca="false" ca="false" dt2D="false" dtr="false" t="normal">AB506</f>
        <v>0</v>
      </c>
      <c r="AD506" s="120" t="s">
        <v>203</v>
      </c>
      <c r="AE506" s="131" t="s">
        <v>196</v>
      </c>
      <c r="AF506" s="136" t="n">
        <f aca="false" ca="false" dt2D="false" dtr="false" t="normal">MID(L501, 6, 1)</f>
        <v>0</v>
      </c>
      <c r="AG506" s="137" t="n">
        <f aca="false" ca="false" dt2D="false" dtr="false" t="normal">AF506</f>
        <v>0</v>
      </c>
      <c r="AH506" s="120" t="s">
        <v>203</v>
      </c>
      <c r="AI506" s="131" t="s">
        <v>196</v>
      </c>
      <c r="AJ506" s="10161" t="s"/>
      <c r="AK506" s="10162" t="s"/>
    </row>
    <row hidden="false" ht="15" outlineLevel="0" r="507">
      <c r="C507" s="98" t="s">
        <v>191</v>
      </c>
      <c r="D507" s="149" t="n">
        <f aca="false" ca="false" dt2D="false" dtr="false" t="normal">HEX2DEC(D505)</f>
        <v>7</v>
      </c>
      <c r="E507" s="149" t="n">
        <f aca="false" ca="false" dt2D="false" dtr="false" t="normal">HEX2DEC(E505)</f>
        <v>165</v>
      </c>
      <c r="F507" s="149" t="n">
        <f aca="false" ca="false" dt2D="false" dtr="false" t="normal">HEX2DEC(F505)</f>
        <v>1</v>
      </c>
      <c r="G507" s="149" t="n">
        <f aca="false" ca="false" dt2D="false" dtr="false" t="normal">HEX2DEC(G505)</f>
        <v>70</v>
      </c>
      <c r="H507" s="53" t="n">
        <f aca="false" ca="false" dt2D="false" dtr="false" t="normal">HEX2DEC(H505)</f>
        <v>0</v>
      </c>
      <c r="I507" s="53" t="n">
        <f aca="false" ca="false" dt2D="false" dtr="false" t="normal">HEX2DEC(I505)</f>
        <v>0</v>
      </c>
      <c r="J507" s="53" t="n">
        <f aca="false" ca="false" dt2D="false" dtr="false" t="normal">HEX2DEC(J505)</f>
        <v>0</v>
      </c>
      <c r="K507" s="53" t="n">
        <f aca="false" ca="false" dt2D="false" dtr="false" t="normal">HEX2DEC(K505)</f>
        <v>0</v>
      </c>
      <c r="L507" s="53" t="n">
        <f aca="false" ca="false" dt2D="false" dtr="false" t="normal">HEX2DEC(L505)</f>
        <v>0</v>
      </c>
      <c r="M507" s="53" t="n">
        <f aca="false" ca="false" dt2D="false" dtr="false" t="normal">SUM(D507:L507)</f>
        <v>243</v>
      </c>
      <c r="N507" s="63" t="n"/>
      <c r="P507" s="136" t="n">
        <f aca="false" ca="false" dt2D="false" dtr="false" t="normal">MID(H501, 7, 1)</f>
        <v>0</v>
      </c>
      <c r="Q507" s="137" t="n">
        <f aca="false" ca="false" dt2D="false" dtr="false" t="normal">P507</f>
        <v>0</v>
      </c>
      <c r="R507" s="120" t="s">
        <v>206</v>
      </c>
      <c r="S507" s="131" t="s">
        <v>196</v>
      </c>
      <c r="T507" s="136" t="n">
        <f aca="false" ca="false" dt2D="false" dtr="false" t="normal">MID(I501, 7, 1)</f>
        <v>0</v>
      </c>
      <c r="U507" s="137" t="n">
        <f aca="false" ca="false" dt2D="false" dtr="false" t="normal">T507</f>
        <v>0</v>
      </c>
      <c r="V507" s="120" t="s">
        <v>206</v>
      </c>
      <c r="W507" s="131" t="s">
        <v>196</v>
      </c>
      <c r="X507" s="136" t="n">
        <f aca="false" ca="false" dt2D="false" dtr="false" t="normal">MID(J501, 7, 1)</f>
        <v>0</v>
      </c>
      <c r="Y507" s="137" t="n">
        <f aca="false" ca="false" dt2D="false" dtr="false" t="normal">X507</f>
        <v>0</v>
      </c>
      <c r="Z507" s="120" t="s">
        <v>206</v>
      </c>
      <c r="AA507" s="131" t="s">
        <v>196</v>
      </c>
      <c r="AB507" s="136" t="n">
        <f aca="false" ca="false" dt2D="false" dtr="false" t="normal">MID(K501, 7, 1)</f>
        <v>0</v>
      </c>
      <c r="AC507" s="137" t="n">
        <f aca="false" ca="false" dt2D="false" dtr="false" t="normal">AB507</f>
        <v>0</v>
      </c>
      <c r="AD507" s="120" t="s">
        <v>206</v>
      </c>
      <c r="AE507" s="131" t="s">
        <v>196</v>
      </c>
      <c r="AF507" s="136" t="n">
        <f aca="false" ca="false" dt2D="false" dtr="false" t="normal">MID(L501, 7, 1)</f>
        <v>0</v>
      </c>
      <c r="AG507" s="137" t="n">
        <f aca="false" ca="false" dt2D="false" dtr="false" t="normal">AF507</f>
        <v>0</v>
      </c>
      <c r="AH507" s="120" t="s">
        <v>206</v>
      </c>
      <c r="AI507" s="131" t="s">
        <v>196</v>
      </c>
      <c r="AJ507" s="10163" t="s"/>
      <c r="AK507" s="10164" t="s"/>
    </row>
    <row hidden="false" ht="15.75" outlineLevel="0" r="508">
      <c r="C508" s="180" t="s">
        <v>194</v>
      </c>
      <c r="D508" s="181" t="n">
        <f aca="false" ca="false" dt2D="false" dtr="false" t="normal">D503</f>
        <v>7</v>
      </c>
      <c r="E508" s="181" t="str">
        <f aca="false" ca="false" dt2D="false" dtr="false" t="normal">E503</f>
        <v>A5</v>
      </c>
      <c r="F508" s="181" t="str">
        <f aca="false" ca="false" dt2D="false" dtr="false" t="normal">F503</f>
        <v>G1</v>
      </c>
      <c r="G508" s="181" t="str">
        <f aca="false" ca="false" dt2D="false" dtr="false" t="normal">G503</f>
        <v>IE</v>
      </c>
      <c r="H508" s="45" t="n"/>
      <c r="I508" s="45" t="n"/>
      <c r="J508" s="45" t="n"/>
      <c r="K508" s="45" t="n"/>
      <c r="L508" s="45" t="n"/>
      <c r="M508" s="45" t="n"/>
      <c r="N508" s="49" t="n"/>
      <c r="P508" s="182" t="n">
        <f aca="false" ca="false" dt2D="false" dtr="false" t="normal">MID(H501, 8, 1)</f>
        <v>0</v>
      </c>
      <c r="Q508" s="183" t="n">
        <f aca="false" ca="false" dt2D="false" dtr="false" t="normal">P508</f>
        <v>0</v>
      </c>
      <c r="R508" s="184" t="s">
        <v>208</v>
      </c>
      <c r="S508" s="185" t="s">
        <v>196</v>
      </c>
      <c r="T508" s="182" t="n">
        <f aca="false" ca="false" dt2D="false" dtr="false" t="normal">MID(I501, 8, 1)</f>
        <v>0</v>
      </c>
      <c r="U508" s="183" t="n">
        <f aca="false" ca="false" dt2D="false" dtr="false" t="normal">T508</f>
        <v>0</v>
      </c>
      <c r="V508" s="184" t="s">
        <v>208</v>
      </c>
      <c r="W508" s="185" t="s">
        <v>196</v>
      </c>
      <c r="X508" s="182" t="n">
        <f aca="false" ca="false" dt2D="false" dtr="false" t="normal">MID(J501, 8, 1)</f>
        <v>0</v>
      </c>
      <c r="Y508" s="183" t="n">
        <f aca="false" ca="false" dt2D="false" dtr="false" t="normal">X508</f>
        <v>0</v>
      </c>
      <c r="Z508" s="184" t="s">
        <v>208</v>
      </c>
      <c r="AA508" s="185" t="s">
        <v>196</v>
      </c>
      <c r="AB508" s="182" t="n">
        <f aca="false" ca="false" dt2D="false" dtr="false" t="normal">MID(K501, 8, 1)</f>
        <v>0</v>
      </c>
      <c r="AC508" s="183" t="n">
        <f aca="false" ca="false" dt2D="false" dtr="false" t="normal">AB508</f>
        <v>0</v>
      </c>
      <c r="AD508" s="184" t="s">
        <v>208</v>
      </c>
      <c r="AE508" s="185" t="s">
        <v>196</v>
      </c>
      <c r="AF508" s="182" t="n">
        <f aca="false" ca="false" dt2D="false" dtr="false" t="normal">MID(L501, 8, 1)</f>
        <v>0</v>
      </c>
      <c r="AG508" s="183" t="n">
        <f aca="false" ca="false" dt2D="false" dtr="false" t="normal">AF508</f>
        <v>0</v>
      </c>
      <c r="AH508" s="184" t="s">
        <v>208</v>
      </c>
      <c r="AI508" s="185" t="s">
        <v>196</v>
      </c>
      <c r="AJ508" s="10165" t="s"/>
      <c r="AK508" s="10166" t="s"/>
    </row>
    <row hidden="false" ht="15.75" outlineLevel="0" r="509">
      <c r="C509" s="93" t="n"/>
      <c r="D509" s="7585" t="n"/>
      <c r="E509" s="7585" t="n"/>
      <c r="F509" s="7585" t="n"/>
      <c r="G509" s="7585" t="n"/>
      <c r="H509" s="94" t="n"/>
      <c r="I509" s="94" t="n"/>
      <c r="J509" s="94" t="n"/>
      <c r="K509" s="94" t="n"/>
      <c r="L509" s="94" t="n"/>
      <c r="M509" s="94" t="s">
        <v>161</v>
      </c>
      <c r="N509" s="60" t="n"/>
      <c r="P509" s="95" t="str">
        <f aca="false" ca="false" dt2D="false" dtr="false" t="normal">RIGHT(D511, 1)&amp;E511&amp;"-"&amp;F511&amp;"-"&amp;G511</f>
        <v>7A5-01-47</v>
      </c>
      <c r="Q509" s="10167" t="s"/>
      <c r="R509" s="234" t="s">
        <v>4304</v>
      </c>
      <c r="S509" s="10168" t="s"/>
      <c r="T509" s="10169" t="s"/>
      <c r="U509" s="10170" t="s"/>
      <c r="V509" s="10171" t="s"/>
      <c r="W509" s="10172" t="s"/>
      <c r="X509" s="10173" t="s"/>
      <c r="Y509" s="10174" t="s"/>
      <c r="Z509" s="10175" t="s"/>
      <c r="AA509" s="10176" t="s"/>
      <c r="AB509" s="10177" t="s"/>
      <c r="AC509" s="10178" t="s"/>
      <c r="AD509" s="10179" t="s"/>
      <c r="AE509" s="10180" t="s"/>
      <c r="AF509" s="10181" t="s"/>
      <c r="AG509" s="10182" t="s"/>
      <c r="AH509" s="10183" t="s"/>
      <c r="AI509" s="10184" t="s"/>
      <c r="AJ509" s="10185" t="s"/>
      <c r="AK509" s="10186" t="s"/>
    </row>
    <row hidden="false" ht="15.75" outlineLevel="0" r="510">
      <c r="C510" s="98" t="n"/>
      <c r="D510" s="7606" t="s">
        <v>4305</v>
      </c>
      <c r="E510" s="10187" t="s"/>
      <c r="F510" s="10188" t="s"/>
      <c r="G510" s="10189" t="s"/>
      <c r="H510" s="53" t="s">
        <v>165</v>
      </c>
      <c r="I510" s="53" t="s">
        <v>166</v>
      </c>
      <c r="J510" s="53" t="s">
        <v>167</v>
      </c>
      <c r="K510" s="53" t="s">
        <v>168</v>
      </c>
      <c r="L510" s="53" t="s">
        <v>169</v>
      </c>
      <c r="M510" s="53" t="s">
        <v>221</v>
      </c>
      <c r="N510" s="63" t="n"/>
      <c r="P510" s="103" t="s">
        <v>4306</v>
      </c>
      <c r="Q510" s="10190" t="s"/>
      <c r="R510" s="10191" t="s"/>
      <c r="S510" s="10192" t="s"/>
      <c r="T510" s="103" t="s">
        <v>4307</v>
      </c>
      <c r="U510" s="10193" t="s"/>
      <c r="V510" s="10194" t="s"/>
      <c r="W510" s="10195" t="s"/>
      <c r="X510" s="103" t="s">
        <v>4308</v>
      </c>
      <c r="Y510" s="10196" t="s"/>
      <c r="Z510" s="10197" t="s"/>
      <c r="AA510" s="10198" t="s"/>
      <c r="AB510" s="103" t="s">
        <v>4309</v>
      </c>
      <c r="AC510" s="10199" t="s"/>
      <c r="AD510" s="10200" t="s"/>
      <c r="AE510" s="10201" t="s"/>
      <c r="AF510" s="103" t="s">
        <v>4310</v>
      </c>
      <c r="AG510" s="10202" t="s"/>
      <c r="AH510" s="10203" t="s"/>
      <c r="AI510" s="10204" t="s"/>
      <c r="AJ510" s="103" t="s">
        <v>4311</v>
      </c>
      <c r="AK510" s="10205" t="s"/>
    </row>
    <row hidden="false" ht="15.75" outlineLevel="0" r="511">
      <c r="C511" s="98" t="s">
        <v>176</v>
      </c>
      <c r="D511" s="122" t="s">
        <v>177</v>
      </c>
      <c r="E511" s="123" t="s">
        <v>3892</v>
      </c>
      <c r="F511" s="123" t="s">
        <v>179</v>
      </c>
      <c r="G511" s="124" t="s">
        <v>876</v>
      </c>
      <c r="H511" s="273" t="n">
        <f aca="false" ca="false" dt2D="false" dtr="false" t="normal">MID($A$50, 8, 2)</f>
        <v>0</v>
      </c>
      <c r="I511" s="7626" t="n">
        <f aca="false" ca="false" dt2D="false" dtr="false" t="normal">MID($A$50, 10, 2)</f>
        <v>0</v>
      </c>
      <c r="J511" s="7626" t="n">
        <f aca="false" ca="false" dt2D="false" dtr="false" t="normal">MID($A$50, 12, 2)</f>
        <v>0</v>
      </c>
      <c r="K511" s="7626" t="n">
        <f aca="false" ca="false" dt2D="false" dtr="false" t="normal">MID($A$50, 14, 2)</f>
        <v>0</v>
      </c>
      <c r="L511" s="7627" t="n">
        <f aca="false" ca="false" dt2D="false" dtr="false" t="normal">MID($A$50, 16, 2)</f>
        <v>0</v>
      </c>
      <c r="M511" s="7553" t="str">
        <f aca="false" ca="false" dt2D="false" dtr="false" t="normal">MID($A$50, 18, 2)</f>
        <v>F4</v>
      </c>
      <c r="N511" s="63" t="s">
        <v>180</v>
      </c>
      <c r="P511" s="129" t="s">
        <v>180</v>
      </c>
      <c r="Q511" s="130" t="s">
        <v>181</v>
      </c>
      <c r="R511" s="121" t="s">
        <v>182</v>
      </c>
      <c r="S511" s="131" t="n"/>
      <c r="T511" s="129" t="s">
        <v>180</v>
      </c>
      <c r="U511" s="130" t="s">
        <v>181</v>
      </c>
      <c r="V511" s="121" t="s">
        <v>182</v>
      </c>
      <c r="W511" s="131" t="n"/>
      <c r="X511" s="129" t="s">
        <v>180</v>
      </c>
      <c r="Y511" s="130" t="s">
        <v>181</v>
      </c>
      <c r="Z511" s="121" t="s">
        <v>182</v>
      </c>
      <c r="AA511" s="131" t="n"/>
      <c r="AB511" s="129" t="s">
        <v>180</v>
      </c>
      <c r="AC511" s="130" t="s">
        <v>181</v>
      </c>
      <c r="AD511" s="121" t="s">
        <v>182</v>
      </c>
      <c r="AE511" s="131" t="n"/>
      <c r="AF511" s="129" t="s">
        <v>180</v>
      </c>
      <c r="AG511" s="130" t="s">
        <v>181</v>
      </c>
      <c r="AH511" s="121" t="s">
        <v>182</v>
      </c>
      <c r="AI511" s="121" t="n"/>
      <c r="AJ511" s="116" t="s">
        <v>183</v>
      </c>
      <c r="AK511" s="10206" t="s"/>
    </row>
    <row hidden="false" ht="15" outlineLevel="0" r="512">
      <c r="C512" s="98" t="s">
        <v>185</v>
      </c>
      <c r="D512" s="149" t="n">
        <f aca="false" ca="false" dt2D="false" dtr="false" t="normal">HEX2BIN(D511, 8)</f>
        <v>111</v>
      </c>
      <c r="E512" s="149" t="n">
        <f aca="false" ca="false" dt2D="false" dtr="false" t="normal">HEX2BIN(E511, 8)</f>
        <v>10100101</v>
      </c>
      <c r="F512" s="149" t="n">
        <f aca="false" ca="false" dt2D="false" dtr="false" t="normal">HEX2BIN(F511, 8)</f>
        <v>1</v>
      </c>
      <c r="G512" s="149" t="n">
        <f aca="false" ca="false" dt2D="false" dtr="false" t="normal">HEX2BIN(G511, 8)</f>
        <v>1000111</v>
      </c>
      <c r="H512" s="53" t="n">
        <f aca="false" ca="false" dt2D="false" dtr="false" t="normal">HEX2BIN(H511, 8)</f>
        <v>0</v>
      </c>
      <c r="I512" s="53" t="n">
        <f aca="false" ca="false" dt2D="false" dtr="false" t="normal">HEX2BIN(I511, 8)</f>
        <v>0</v>
      </c>
      <c r="J512" s="53" t="n">
        <f aca="false" ca="false" dt2D="false" dtr="false" t="normal">HEX2BIN(J511, 8)</f>
        <v>0</v>
      </c>
      <c r="K512" s="53" t="n">
        <f aca="false" ca="false" dt2D="false" dtr="false" t="normal">HEX2BIN(K511, 8)</f>
        <v>0</v>
      </c>
      <c r="L512" s="53" t="n">
        <f aca="false" ca="false" dt2D="false" dtr="false" t="normal">HEX2BIN(L511, 8)</f>
        <v>0</v>
      </c>
      <c r="M512" s="53" t="n"/>
      <c r="N512" s="63" t="n"/>
      <c r="P512" s="136" t="n">
        <f aca="false" ca="false" dt2D="false" dtr="false" t="normal">MID(H512, 1, 1)</f>
        <v>0</v>
      </c>
      <c r="Q512" s="137" t="n">
        <f aca="false" ca="false" dt2D="false" dtr="false" t="normal">P512</f>
        <v>0</v>
      </c>
      <c r="R512" s="120" t="s">
        <v>186</v>
      </c>
      <c r="S512" s="131" t="s">
        <v>196</v>
      </c>
      <c r="T512" s="136" t="n">
        <f aca="false" ca="false" dt2D="false" dtr="false" t="normal">MID(I512, 1, 1)</f>
        <v>0</v>
      </c>
      <c r="U512" s="137" t="n">
        <f aca="false" ca="false" dt2D="false" dtr="false" t="normal">T512</f>
        <v>0</v>
      </c>
      <c r="V512" s="120" t="s">
        <v>186</v>
      </c>
      <c r="W512" s="131" t="s">
        <v>196</v>
      </c>
      <c r="X512" s="136" t="n">
        <f aca="false" ca="false" dt2D="false" dtr="false" t="normal">MID(J512, 1, 1)</f>
        <v>0</v>
      </c>
      <c r="Y512" s="137" t="n">
        <f aca="false" ca="false" dt2D="false" dtr="false" t="normal">X512</f>
        <v>0</v>
      </c>
      <c r="Z512" s="120" t="s">
        <v>186</v>
      </c>
      <c r="AA512" s="131" t="s">
        <v>196</v>
      </c>
      <c r="AB512" s="136" t="n">
        <f aca="false" ca="false" dt2D="false" dtr="false" t="normal">MID(K512, 1, 1)</f>
        <v>0</v>
      </c>
      <c r="AC512" s="137" t="n">
        <f aca="false" ca="false" dt2D="false" dtr="false" t="normal">AB512</f>
        <v>0</v>
      </c>
      <c r="AD512" s="120" t="s">
        <v>186</v>
      </c>
      <c r="AE512" s="131" t="s">
        <v>196</v>
      </c>
      <c r="AF512" s="136" t="n">
        <f aca="false" ca="false" dt2D="false" dtr="false" t="normal">MID(L512, 1, 1)</f>
        <v>0</v>
      </c>
      <c r="AG512" s="137" t="n">
        <f aca="false" ca="false" dt2D="false" dtr="false" t="normal">AF512</f>
        <v>0</v>
      </c>
      <c r="AH512" s="120" t="s">
        <v>186</v>
      </c>
      <c r="AI512" s="131" t="s">
        <v>196</v>
      </c>
      <c r="AJ512" s="10207" t="s"/>
      <c r="AK512" s="10208" t="s"/>
    </row>
    <row hidden="false" ht="15" outlineLevel="0" r="513">
      <c r="C513" s="98" t="s">
        <v>191</v>
      </c>
      <c r="D513" s="149" t="n">
        <f aca="false" ca="false" dt2D="false" dtr="false" t="normal">HEX2DEC(D511)</f>
        <v>7</v>
      </c>
      <c r="E513" s="149" t="n">
        <f aca="false" ca="false" dt2D="false" dtr="false" t="normal">HEX2DEC(E511)</f>
        <v>165</v>
      </c>
      <c r="F513" s="149" t="n">
        <f aca="false" ca="false" dt2D="false" dtr="false" t="normal">HEX2DEC(F511)</f>
        <v>1</v>
      </c>
      <c r="G513" s="149" t="n">
        <f aca="false" ca="false" dt2D="false" dtr="false" t="normal">HEX2DEC(G511)</f>
        <v>71</v>
      </c>
      <c r="H513" s="53" t="n">
        <f aca="false" ca="false" dt2D="false" dtr="false" t="normal">HEX2DEC(H511)</f>
        <v>0</v>
      </c>
      <c r="I513" s="53" t="n">
        <f aca="false" ca="false" dt2D="false" dtr="false" t="normal">HEX2DEC(I511)</f>
        <v>0</v>
      </c>
      <c r="J513" s="53" t="n">
        <f aca="false" ca="false" dt2D="false" dtr="false" t="normal">HEX2DEC(J511)</f>
        <v>0</v>
      </c>
      <c r="K513" s="53" t="n">
        <f aca="false" ca="false" dt2D="false" dtr="false" t="normal">HEX2DEC(K511)</f>
        <v>0</v>
      </c>
      <c r="L513" s="53" t="n">
        <f aca="false" ca="false" dt2D="false" dtr="false" t="normal">HEX2DEC(L511)</f>
        <v>0</v>
      </c>
      <c r="M513" s="53" t="n">
        <f aca="false" ca="false" dt2D="false" dtr="false" t="normal">SUM(D513:L513)</f>
        <v>244</v>
      </c>
      <c r="N513" s="63" t="n"/>
      <c r="P513" s="136" t="n">
        <f aca="false" ca="false" dt2D="false" dtr="false" t="normal">MID(H512, 2, 1)</f>
        <v>0</v>
      </c>
      <c r="Q513" s="137" t="n">
        <f aca="false" ca="false" dt2D="false" dtr="false" t="normal">P513</f>
        <v>0</v>
      </c>
      <c r="R513" s="120" t="s">
        <v>192</v>
      </c>
      <c r="S513" s="131" t="s">
        <v>196</v>
      </c>
      <c r="T513" s="136" t="n">
        <f aca="false" ca="false" dt2D="false" dtr="false" t="normal">MID(I512, 2, 1)</f>
        <v>0</v>
      </c>
      <c r="U513" s="137" t="n">
        <f aca="false" ca="false" dt2D="false" dtr="false" t="normal">T513</f>
        <v>0</v>
      </c>
      <c r="V513" s="120" t="s">
        <v>192</v>
      </c>
      <c r="W513" s="131" t="s">
        <v>196</v>
      </c>
      <c r="X513" s="136" t="n">
        <f aca="false" ca="false" dt2D="false" dtr="false" t="normal">MID(J512, 2, 1)</f>
        <v>0</v>
      </c>
      <c r="Y513" s="137" t="n">
        <f aca="false" ca="false" dt2D="false" dtr="false" t="normal">X513</f>
        <v>0</v>
      </c>
      <c r="Z513" s="120" t="s">
        <v>192</v>
      </c>
      <c r="AA513" s="131" t="s">
        <v>196</v>
      </c>
      <c r="AB513" s="136" t="n">
        <f aca="false" ca="false" dt2D="false" dtr="false" t="normal">MID(K512, 2, 1)</f>
        <v>0</v>
      </c>
      <c r="AC513" s="137" t="n">
        <f aca="false" ca="false" dt2D="false" dtr="false" t="normal">AB513</f>
        <v>0</v>
      </c>
      <c r="AD513" s="120" t="s">
        <v>192</v>
      </c>
      <c r="AE513" s="131" t="s">
        <v>196</v>
      </c>
      <c r="AF513" s="136" t="n">
        <f aca="false" ca="false" dt2D="false" dtr="false" t="normal">MID(L512, 2, 1)</f>
        <v>0</v>
      </c>
      <c r="AG513" s="137" t="n">
        <f aca="false" ca="false" dt2D="false" dtr="false" t="normal">AF513</f>
        <v>0</v>
      </c>
      <c r="AH513" s="120" t="s">
        <v>192</v>
      </c>
      <c r="AI513" s="131" t="s">
        <v>196</v>
      </c>
      <c r="AJ513" s="10209" t="s"/>
      <c r="AK513" s="10210" t="s"/>
    </row>
    <row hidden="false" ht="15" outlineLevel="0" r="514">
      <c r="C514" s="98" t="s">
        <v>194</v>
      </c>
      <c r="D514" s="149" t="n">
        <f aca="false" ca="false" dt2D="false" dtr="false" t="normal">D511</f>
        <v>7</v>
      </c>
      <c r="E514" s="149" t="str">
        <f aca="false" ca="false" dt2D="false" dtr="false" t="normal">E511</f>
        <v>A5</v>
      </c>
      <c r="F514" s="149" t="str">
        <f aca="false" ca="false" dt2D="false" dtr="false" t="normal">MID($A$50, 4, 2)</f>
        <v>G1</v>
      </c>
      <c r="G514" s="149" t="str">
        <f aca="false" ca="false" dt2D="false" dtr="false" t="normal">MID($A$50, 6, 2)</f>
        <v>IF</v>
      </c>
      <c r="N514" s="63" t="n"/>
      <c r="P514" s="136" t="n">
        <f aca="false" ca="false" dt2D="false" dtr="false" t="normal">MID(H512, 3, 1)</f>
        <v>0</v>
      </c>
      <c r="Q514" s="137" t="n">
        <f aca="false" ca="false" dt2D="false" dtr="false" t="normal">P514</f>
        <v>0</v>
      </c>
      <c r="R514" s="120" t="s">
        <v>195</v>
      </c>
      <c r="S514" s="131" t="s">
        <v>196</v>
      </c>
      <c r="T514" s="136" t="n">
        <f aca="false" ca="false" dt2D="false" dtr="false" t="normal">MID(I512, 3, 1)</f>
        <v>0</v>
      </c>
      <c r="U514" s="137" t="n">
        <f aca="false" ca="false" dt2D="false" dtr="false" t="normal">T514</f>
        <v>0</v>
      </c>
      <c r="V514" s="120" t="s">
        <v>195</v>
      </c>
      <c r="W514" s="131" t="s">
        <v>196</v>
      </c>
      <c r="X514" s="136" t="n">
        <f aca="false" ca="false" dt2D="false" dtr="false" t="normal">MID(J512, 3, 1)</f>
        <v>0</v>
      </c>
      <c r="Y514" s="137" t="n">
        <f aca="false" ca="false" dt2D="false" dtr="false" t="normal">X514</f>
        <v>0</v>
      </c>
      <c r="Z514" s="120" t="s">
        <v>195</v>
      </c>
      <c r="AA514" s="131" t="s">
        <v>196</v>
      </c>
      <c r="AB514" s="136" t="n">
        <f aca="false" ca="false" dt2D="false" dtr="false" t="normal">MID(K512, 3, 1)</f>
        <v>0</v>
      </c>
      <c r="AC514" s="137" t="n">
        <f aca="false" ca="false" dt2D="false" dtr="false" t="normal">AB514</f>
        <v>0</v>
      </c>
      <c r="AD514" s="120" t="s">
        <v>195</v>
      </c>
      <c r="AE514" s="131" t="s">
        <v>196</v>
      </c>
      <c r="AF514" s="136" t="n">
        <f aca="false" ca="false" dt2D="false" dtr="false" t="normal">MID(L512, 3, 1)</f>
        <v>0</v>
      </c>
      <c r="AG514" s="137" t="n">
        <f aca="false" ca="false" dt2D="false" dtr="false" t="normal">AF514</f>
        <v>0</v>
      </c>
      <c r="AH514" s="120" t="s">
        <v>195</v>
      </c>
      <c r="AI514" s="131" t="s">
        <v>196</v>
      </c>
      <c r="AJ514" s="10211" t="s"/>
      <c r="AK514" s="10212" t="s"/>
    </row>
    <row hidden="false" ht="15.75" outlineLevel="0" r="515">
      <c r="C515" s="98" t="n"/>
      <c r="N515" s="63" t="n"/>
      <c r="P515" s="136" t="n">
        <f aca="false" ca="false" dt2D="false" dtr="false" t="normal">MID(H512, 4, 1)</f>
        <v>0</v>
      </c>
      <c r="Q515" s="137" t="n">
        <f aca="false" ca="false" dt2D="false" dtr="false" t="normal">P515</f>
        <v>0</v>
      </c>
      <c r="R515" s="120" t="s">
        <v>197</v>
      </c>
      <c r="S515" s="131" t="s">
        <v>196</v>
      </c>
      <c r="T515" s="136" t="n">
        <f aca="false" ca="false" dt2D="false" dtr="false" t="normal">MID(I512, 4, 1)</f>
        <v>0</v>
      </c>
      <c r="U515" s="137" t="n">
        <f aca="false" ca="false" dt2D="false" dtr="false" t="normal">T515</f>
        <v>0</v>
      </c>
      <c r="V515" s="120" t="s">
        <v>197</v>
      </c>
      <c r="W515" s="131" t="s">
        <v>196</v>
      </c>
      <c r="X515" s="136" t="n">
        <f aca="false" ca="false" dt2D="false" dtr="false" t="normal">MID(J512, 4, 1)</f>
        <v>0</v>
      </c>
      <c r="Y515" s="137" t="n">
        <f aca="false" ca="false" dt2D="false" dtr="false" t="normal">X515</f>
        <v>0</v>
      </c>
      <c r="Z515" s="120" t="s">
        <v>197</v>
      </c>
      <c r="AA515" s="131" t="s">
        <v>196</v>
      </c>
      <c r="AB515" s="136" t="n">
        <f aca="false" ca="false" dt2D="false" dtr="false" t="normal">MID(K512, 4, 1)</f>
        <v>0</v>
      </c>
      <c r="AC515" s="137" t="n">
        <f aca="false" ca="false" dt2D="false" dtr="false" t="normal">AB515</f>
        <v>0</v>
      </c>
      <c r="AD515" s="120" t="s">
        <v>197</v>
      </c>
      <c r="AE515" s="131" t="s">
        <v>196</v>
      </c>
      <c r="AF515" s="136" t="n">
        <f aca="false" ca="false" dt2D="false" dtr="false" t="normal">MID(L512, 4, 1)</f>
        <v>0</v>
      </c>
      <c r="AG515" s="137" t="n">
        <f aca="false" ca="false" dt2D="false" dtr="false" t="normal">AF515</f>
        <v>0</v>
      </c>
      <c r="AH515" s="120" t="s">
        <v>197</v>
      </c>
      <c r="AI515" s="131" t="s">
        <v>196</v>
      </c>
      <c r="AJ515" s="10213" t="s"/>
      <c r="AK515" s="10214" t="s"/>
    </row>
    <row hidden="false" ht="15.75" outlineLevel="0" r="516">
      <c r="C516" s="98" t="s">
        <v>176</v>
      </c>
      <c r="D516" s="122" t="n">
        <f aca="false" ca="false" dt2D="false" dtr="false" t="normal">D511</f>
        <v>7</v>
      </c>
      <c r="E516" s="123" t="str">
        <f aca="false" ca="false" dt2D="false" dtr="false" t="normal">E511</f>
        <v>A5</v>
      </c>
      <c r="F516" s="123" t="n">
        <f aca="false" ca="false" dt2D="false" dtr="false" t="normal">F511</f>
        <v>1</v>
      </c>
      <c r="G516" s="124" t="n">
        <f aca="false" ca="false" dt2D="false" dtr="false" t="normal">G511</f>
        <v>47</v>
      </c>
      <c r="H516" s="162" t="n">
        <f aca="false" ca="false" dt2D="false" dtr="false" t="normal">BIN2HEX(H517, 2)</f>
        <v>0</v>
      </c>
      <c r="I516" s="163" t="n">
        <f aca="false" ca="false" dt2D="false" dtr="false" t="normal">BIN2HEX(I517, 2)</f>
        <v>0</v>
      </c>
      <c r="J516" s="164" t="n">
        <f aca="false" ca="false" dt2D="false" dtr="false" t="normal">BIN2HEX(J517, 2)</f>
        <v>0</v>
      </c>
      <c r="K516" s="165" t="n">
        <f aca="false" ca="false" dt2D="false" dtr="false" t="normal">BIN2HEX(K517, 2)</f>
        <v>0</v>
      </c>
      <c r="L516" s="288" t="n">
        <f aca="false" ca="false" dt2D="false" dtr="false" t="normal">BIN2HEX(L517, 2)</f>
        <v>0</v>
      </c>
      <c r="M516" s="166" t="str">
        <f aca="false" ca="false" dt2D="false" dtr="false" t="normal">IF(LEN(M517)&gt;2, MID(M517, 2, 2), M517)</f>
        <v>F4</v>
      </c>
      <c r="N516" s="63" t="s">
        <v>181</v>
      </c>
      <c r="P516" s="136" t="n">
        <f aca="false" ca="false" dt2D="false" dtr="false" t="normal">MID(H512, 5, 1)</f>
        <v>0</v>
      </c>
      <c r="Q516" s="137" t="n">
        <f aca="false" ca="false" dt2D="false" dtr="false" t="normal">P516</f>
        <v>0</v>
      </c>
      <c r="R516" s="120" t="s">
        <v>200</v>
      </c>
      <c r="S516" s="131" t="s">
        <v>196</v>
      </c>
      <c r="T516" s="136" t="n">
        <f aca="false" ca="false" dt2D="false" dtr="false" t="normal">MID(I512, 5, 1)</f>
        <v>0</v>
      </c>
      <c r="U516" s="137" t="n">
        <f aca="false" ca="false" dt2D="false" dtr="false" t="normal">T516</f>
        <v>0</v>
      </c>
      <c r="V516" s="120" t="s">
        <v>200</v>
      </c>
      <c r="W516" s="131" t="s">
        <v>196</v>
      </c>
      <c r="X516" s="136" t="n">
        <f aca="false" ca="false" dt2D="false" dtr="false" t="normal">MID(J512, 5, 1)</f>
        <v>0</v>
      </c>
      <c r="Y516" s="137" t="n">
        <f aca="false" ca="false" dt2D="false" dtr="false" t="normal">X516</f>
        <v>0</v>
      </c>
      <c r="Z516" s="120" t="s">
        <v>200</v>
      </c>
      <c r="AA516" s="131" t="s">
        <v>196</v>
      </c>
      <c r="AB516" s="136" t="n">
        <f aca="false" ca="false" dt2D="false" dtr="false" t="normal">MID(K512, 5, 1)</f>
        <v>0</v>
      </c>
      <c r="AC516" s="137" t="n">
        <f aca="false" ca="false" dt2D="false" dtr="false" t="normal">AB516</f>
        <v>0</v>
      </c>
      <c r="AD516" s="120" t="s">
        <v>200</v>
      </c>
      <c r="AE516" s="131" t="s">
        <v>196</v>
      </c>
      <c r="AF516" s="136" t="n">
        <f aca="false" ca="false" dt2D="false" dtr="false" t="normal">MID(L512, 5, 1)</f>
        <v>0</v>
      </c>
      <c r="AG516" s="137" t="n">
        <f aca="false" ca="false" dt2D="false" dtr="false" t="normal">AF516</f>
        <v>0</v>
      </c>
      <c r="AH516" s="120" t="s">
        <v>200</v>
      </c>
      <c r="AI516" s="131" t="s">
        <v>196</v>
      </c>
      <c r="AJ516" s="10215" t="s"/>
      <c r="AK516" s="10216" t="s"/>
    </row>
    <row hidden="false" ht="15" outlineLevel="0" r="517">
      <c r="C517" s="98" t="s">
        <v>185</v>
      </c>
      <c r="D517" s="149" t="n">
        <f aca="false" ca="false" dt2D="false" dtr="false" t="normal">HEX2BIN(D516, 8)</f>
        <v>111</v>
      </c>
      <c r="E517" s="149" t="n">
        <f aca="false" ca="false" dt2D="false" dtr="false" t="normal">HEX2BIN(E516, 8)</f>
        <v>10100101</v>
      </c>
      <c r="F517" s="149" t="n">
        <f aca="false" ca="false" dt2D="false" dtr="false" t="normal">HEX2BIN(F516, 8)</f>
        <v>1</v>
      </c>
      <c r="G517" s="149" t="n">
        <f aca="false" ca="false" dt2D="false" dtr="false" t="normal">HEX2BIN(G516, 8)</f>
        <v>1000111</v>
      </c>
      <c r="H517" s="53" t="n">
        <f aca="false" ca="false" dt2D="false" dtr="false" t="normal">Q512&amp;Q513&amp;Q514&amp;Q515&amp;Q516&amp;Q517&amp;Q518&amp;Q519</f>
        <v>0</v>
      </c>
      <c r="I517" s="53" t="n">
        <f aca="false" ca="false" dt2D="false" dtr="false" t="normal">U512&amp;U513&amp;U514&amp;U515&amp;U516&amp;U517&amp;U518&amp;U519</f>
        <v>0</v>
      </c>
      <c r="J517" s="53" t="n">
        <f aca="false" ca="false" dt2D="false" dtr="false" t="normal">Y512&amp;Y513&amp;Y514&amp;Y515&amp;Y516&amp;Y517&amp;Y518&amp;Y519</f>
        <v>0</v>
      </c>
      <c r="K517" s="53" t="n">
        <f aca="false" ca="false" dt2D="false" dtr="false" t="normal">AC512&amp;AC513&amp;AC514&amp;AC515&amp;AC516&amp;AC517&amp;AC518&amp;AC519</f>
        <v>0</v>
      </c>
      <c r="L517" s="53" t="n">
        <f aca="false" ca="false" dt2D="false" dtr="false" t="normal">AG512&amp;AG513&amp;AG514&amp;AG515&amp;AG516&amp;AG517&amp;AG518&amp;AG519</f>
        <v>0</v>
      </c>
      <c r="M517" s="53" t="str">
        <f aca="false" ca="false" dt2D="false" dtr="false" t="normal">DEC2HEX(M518)</f>
        <v>F4</v>
      </c>
      <c r="N517" s="63" t="n"/>
      <c r="P517" s="136" t="n">
        <f aca="false" ca="false" dt2D="false" dtr="false" t="normal">MID(H512, 6, 1)</f>
        <v>0</v>
      </c>
      <c r="Q517" s="137" t="n">
        <f aca="false" ca="false" dt2D="false" dtr="false" t="normal">P517</f>
        <v>0</v>
      </c>
      <c r="R517" s="120" t="s">
        <v>203</v>
      </c>
      <c r="S517" s="131" t="s">
        <v>196</v>
      </c>
      <c r="T517" s="136" t="n">
        <f aca="false" ca="false" dt2D="false" dtr="false" t="normal">MID(I512, 6, 1)</f>
        <v>0</v>
      </c>
      <c r="U517" s="137" t="n">
        <f aca="false" ca="false" dt2D="false" dtr="false" t="normal">T517</f>
        <v>0</v>
      </c>
      <c r="V517" s="120" t="s">
        <v>203</v>
      </c>
      <c r="W517" s="131" t="s">
        <v>196</v>
      </c>
      <c r="X517" s="136" t="n">
        <f aca="false" ca="false" dt2D="false" dtr="false" t="normal">MID(J512, 6, 1)</f>
        <v>0</v>
      </c>
      <c r="Y517" s="137" t="n">
        <f aca="false" ca="false" dt2D="false" dtr="false" t="normal">X517</f>
        <v>0</v>
      </c>
      <c r="Z517" s="120" t="s">
        <v>203</v>
      </c>
      <c r="AA517" s="131" t="s">
        <v>196</v>
      </c>
      <c r="AB517" s="136" t="n">
        <f aca="false" ca="false" dt2D="false" dtr="false" t="normal">MID(K512, 6, 1)</f>
        <v>0</v>
      </c>
      <c r="AC517" s="137" t="n">
        <f aca="false" ca="false" dt2D="false" dtr="false" t="normal">AB517</f>
        <v>0</v>
      </c>
      <c r="AD517" s="120" t="s">
        <v>203</v>
      </c>
      <c r="AE517" s="131" t="s">
        <v>196</v>
      </c>
      <c r="AF517" s="136" t="n">
        <f aca="false" ca="false" dt2D="false" dtr="false" t="normal">MID(L512, 6, 1)</f>
        <v>0</v>
      </c>
      <c r="AG517" s="137" t="n">
        <f aca="false" ca="false" dt2D="false" dtr="false" t="normal">AF517</f>
        <v>0</v>
      </c>
      <c r="AH517" s="120" t="s">
        <v>203</v>
      </c>
      <c r="AI517" s="131" t="s">
        <v>196</v>
      </c>
      <c r="AJ517" s="10217" t="s"/>
      <c r="AK517" s="10218" t="s"/>
    </row>
    <row hidden="false" ht="15" outlineLevel="0" r="518">
      <c r="C518" s="98" t="s">
        <v>191</v>
      </c>
      <c r="D518" s="149" t="n">
        <f aca="false" ca="false" dt2D="false" dtr="false" t="normal">HEX2DEC(D516)</f>
        <v>7</v>
      </c>
      <c r="E518" s="149" t="n">
        <f aca="false" ca="false" dt2D="false" dtr="false" t="normal">HEX2DEC(E516)</f>
        <v>165</v>
      </c>
      <c r="F518" s="149" t="n">
        <f aca="false" ca="false" dt2D="false" dtr="false" t="normal">HEX2DEC(F516)</f>
        <v>1</v>
      </c>
      <c r="G518" s="149" t="n">
        <f aca="false" ca="false" dt2D="false" dtr="false" t="normal">HEX2DEC(G516)</f>
        <v>71</v>
      </c>
      <c r="H518" s="53" t="n">
        <f aca="false" ca="false" dt2D="false" dtr="false" t="normal">HEX2DEC(H516)</f>
        <v>0</v>
      </c>
      <c r="I518" s="53" t="n">
        <f aca="false" ca="false" dt2D="false" dtr="false" t="normal">HEX2DEC(I516)</f>
        <v>0</v>
      </c>
      <c r="J518" s="53" t="n">
        <f aca="false" ca="false" dt2D="false" dtr="false" t="normal">HEX2DEC(J516)</f>
        <v>0</v>
      </c>
      <c r="K518" s="53" t="n">
        <f aca="false" ca="false" dt2D="false" dtr="false" t="normal">HEX2DEC(K516)</f>
        <v>0</v>
      </c>
      <c r="L518" s="53" t="n">
        <f aca="false" ca="false" dt2D="false" dtr="false" t="normal">HEX2DEC(L516)</f>
        <v>0</v>
      </c>
      <c r="M518" s="53" t="n">
        <f aca="false" ca="false" dt2D="false" dtr="false" t="normal">SUM(D518:L518)</f>
        <v>244</v>
      </c>
      <c r="N518" s="63" t="n"/>
      <c r="P518" s="136" t="n">
        <f aca="false" ca="false" dt2D="false" dtr="false" t="normal">MID(H512, 7, 1)</f>
        <v>0</v>
      </c>
      <c r="Q518" s="137" t="n">
        <f aca="false" ca="false" dt2D="false" dtr="false" t="normal">P518</f>
        <v>0</v>
      </c>
      <c r="R518" s="120" t="s">
        <v>206</v>
      </c>
      <c r="S518" s="131" t="s">
        <v>196</v>
      </c>
      <c r="T518" s="136" t="n">
        <f aca="false" ca="false" dt2D="false" dtr="false" t="normal">MID(I512, 7, 1)</f>
        <v>0</v>
      </c>
      <c r="U518" s="137" t="n">
        <f aca="false" ca="false" dt2D="false" dtr="false" t="normal">T518</f>
        <v>0</v>
      </c>
      <c r="V518" s="120" t="s">
        <v>206</v>
      </c>
      <c r="W518" s="131" t="s">
        <v>196</v>
      </c>
      <c r="X518" s="136" t="n">
        <f aca="false" ca="false" dt2D="false" dtr="false" t="normal">MID(J512, 7, 1)</f>
        <v>0</v>
      </c>
      <c r="Y518" s="137" t="n">
        <f aca="false" ca="false" dt2D="false" dtr="false" t="normal">X518</f>
        <v>0</v>
      </c>
      <c r="Z518" s="120" t="s">
        <v>206</v>
      </c>
      <c r="AA518" s="131" t="s">
        <v>196</v>
      </c>
      <c r="AB518" s="136" t="n">
        <f aca="false" ca="false" dt2D="false" dtr="false" t="normal">MID(K512, 7, 1)</f>
        <v>0</v>
      </c>
      <c r="AC518" s="137" t="n">
        <f aca="false" ca="false" dt2D="false" dtr="false" t="normal">AB518</f>
        <v>0</v>
      </c>
      <c r="AD518" s="120" t="s">
        <v>206</v>
      </c>
      <c r="AE518" s="131" t="s">
        <v>196</v>
      </c>
      <c r="AF518" s="136" t="n">
        <f aca="false" ca="false" dt2D="false" dtr="false" t="normal">MID(L512, 7, 1)</f>
        <v>0</v>
      </c>
      <c r="AG518" s="137" t="n">
        <f aca="false" ca="false" dt2D="false" dtr="false" t="normal">AF518</f>
        <v>0</v>
      </c>
      <c r="AH518" s="120" t="s">
        <v>206</v>
      </c>
      <c r="AI518" s="131" t="s">
        <v>196</v>
      </c>
      <c r="AJ518" s="10219" t="s"/>
      <c r="AK518" s="10220" t="s"/>
    </row>
    <row hidden="false" ht="15.75" outlineLevel="0" r="519">
      <c r="C519" s="180" t="s">
        <v>194</v>
      </c>
      <c r="D519" s="181" t="n">
        <f aca="false" ca="false" dt2D="false" dtr="false" t="normal">D514</f>
        <v>7</v>
      </c>
      <c r="E519" s="181" t="str">
        <f aca="false" ca="false" dt2D="false" dtr="false" t="normal">E514</f>
        <v>A5</v>
      </c>
      <c r="F519" s="181" t="str">
        <f aca="false" ca="false" dt2D="false" dtr="false" t="normal">F514</f>
        <v>G1</v>
      </c>
      <c r="G519" s="181" t="str">
        <f aca="false" ca="false" dt2D="false" dtr="false" t="normal">G514</f>
        <v>IF</v>
      </c>
      <c r="H519" s="45" t="n"/>
      <c r="I519" s="45" t="n"/>
      <c r="J519" s="45" t="n"/>
      <c r="K519" s="45" t="n"/>
      <c r="L519" s="45" t="n"/>
      <c r="M519" s="45" t="n"/>
      <c r="N519" s="49" t="n"/>
      <c r="P519" s="182" t="n">
        <f aca="false" ca="false" dt2D="false" dtr="false" t="normal">MID(H512, 8, 1)</f>
        <v>0</v>
      </c>
      <c r="Q519" s="183" t="n">
        <f aca="false" ca="false" dt2D="false" dtr="false" t="normal">P519</f>
        <v>0</v>
      </c>
      <c r="R519" s="184" t="s">
        <v>208</v>
      </c>
      <c r="S519" s="185" t="s">
        <v>196</v>
      </c>
      <c r="T519" s="182" t="n">
        <f aca="false" ca="false" dt2D="false" dtr="false" t="normal">MID(I512, 8, 1)</f>
        <v>0</v>
      </c>
      <c r="U519" s="183" t="n">
        <f aca="false" ca="false" dt2D="false" dtr="false" t="normal">T519</f>
        <v>0</v>
      </c>
      <c r="V519" s="184" t="s">
        <v>208</v>
      </c>
      <c r="W519" s="185" t="s">
        <v>196</v>
      </c>
      <c r="X519" s="182" t="n">
        <f aca="false" ca="false" dt2D="false" dtr="false" t="normal">MID(J512, 8, 1)</f>
        <v>0</v>
      </c>
      <c r="Y519" s="183" t="n">
        <f aca="false" ca="false" dt2D="false" dtr="false" t="normal">X519</f>
        <v>0</v>
      </c>
      <c r="Z519" s="184" t="s">
        <v>208</v>
      </c>
      <c r="AA519" s="185" t="s">
        <v>196</v>
      </c>
      <c r="AB519" s="182" t="n">
        <f aca="false" ca="false" dt2D="false" dtr="false" t="normal">MID(K512, 8, 1)</f>
        <v>0</v>
      </c>
      <c r="AC519" s="183" t="n">
        <f aca="false" ca="false" dt2D="false" dtr="false" t="normal">AB519</f>
        <v>0</v>
      </c>
      <c r="AD519" s="184" t="s">
        <v>208</v>
      </c>
      <c r="AE519" s="185" t="s">
        <v>196</v>
      </c>
      <c r="AF519" s="182" t="n">
        <f aca="false" ca="false" dt2D="false" dtr="false" t="normal">MID(L512, 8, 1)</f>
        <v>0</v>
      </c>
      <c r="AG519" s="183" t="n">
        <f aca="false" ca="false" dt2D="false" dtr="false" t="normal">AF519</f>
        <v>0</v>
      </c>
      <c r="AH519" s="184" t="s">
        <v>208</v>
      </c>
      <c r="AI519" s="185" t="s">
        <v>196</v>
      </c>
      <c r="AJ519" s="10221" t="s"/>
      <c r="AK519" s="10222" t="s"/>
    </row>
    <row hidden="false" ht="15.75" outlineLevel="0" r="520">
      <c r="C520" s="93" t="n"/>
      <c r="D520" s="7585" t="n"/>
      <c r="E520" s="7585" t="n"/>
      <c r="F520" s="7585" t="n"/>
      <c r="G520" s="7585" t="n"/>
      <c r="H520" s="94" t="n"/>
      <c r="I520" s="94" t="n"/>
      <c r="J520" s="94" t="n"/>
      <c r="K520" s="94" t="n"/>
      <c r="L520" s="94" t="n"/>
      <c r="M520" s="94" t="s">
        <v>161</v>
      </c>
      <c r="N520" s="60" t="n"/>
      <c r="P520" s="95" t="str">
        <f aca="false" ca="false" dt2D="false" dtr="false" t="normal">RIGHT(D522, 1)&amp;E522&amp;"-"&amp;F522&amp;"-"&amp;G522</f>
        <v>7A5-01-48</v>
      </c>
      <c r="Q520" s="10223" t="s"/>
      <c r="R520" s="234" t="s">
        <v>4312</v>
      </c>
      <c r="S520" s="10224" t="s"/>
      <c r="T520" s="10225" t="s"/>
      <c r="U520" s="10226" t="s"/>
      <c r="V520" s="10227" t="s"/>
      <c r="W520" s="10228" t="s"/>
      <c r="X520" s="10229" t="s"/>
      <c r="Y520" s="10230" t="s"/>
      <c r="Z520" s="10231" t="s"/>
      <c r="AA520" s="10232" t="s"/>
      <c r="AB520" s="10233" t="s"/>
      <c r="AC520" s="10234" t="s"/>
      <c r="AD520" s="10235" t="s"/>
      <c r="AE520" s="10236" t="s"/>
      <c r="AF520" s="10237" t="s"/>
      <c r="AG520" s="10238" t="s"/>
      <c r="AH520" s="10239" t="s"/>
      <c r="AI520" s="10240" t="s"/>
      <c r="AJ520" s="10241" t="s"/>
      <c r="AK520" s="10242" t="s"/>
    </row>
    <row hidden="false" ht="15.75" outlineLevel="0" r="521">
      <c r="C521" s="98" t="n"/>
      <c r="D521" s="7606" t="s">
        <v>4313</v>
      </c>
      <c r="E521" s="10243" t="s"/>
      <c r="F521" s="10244" t="s"/>
      <c r="G521" s="10245" t="s"/>
      <c r="H521" s="53" t="s">
        <v>165</v>
      </c>
      <c r="I521" s="53" t="s">
        <v>166</v>
      </c>
      <c r="J521" s="53" t="s">
        <v>167</v>
      </c>
      <c r="K521" s="53" t="s">
        <v>168</v>
      </c>
      <c r="L521" s="53" t="s">
        <v>169</v>
      </c>
      <c r="M521" s="53" t="s">
        <v>221</v>
      </c>
      <c r="N521" s="63" t="n"/>
      <c r="P521" s="103" t="s">
        <v>4314</v>
      </c>
      <c r="Q521" s="10246" t="s"/>
      <c r="R521" s="10247" t="s"/>
      <c r="S521" s="10248" t="s"/>
      <c r="T521" s="103" t="s">
        <v>4315</v>
      </c>
      <c r="U521" s="10249" t="s"/>
      <c r="V521" s="10250" t="s"/>
      <c r="W521" s="10251" t="s"/>
      <c r="X521" s="103" t="s">
        <v>4316</v>
      </c>
      <c r="Y521" s="10252" t="s"/>
      <c r="Z521" s="10253" t="s"/>
      <c r="AA521" s="10254" t="s"/>
      <c r="AB521" s="103" t="s">
        <v>4317</v>
      </c>
      <c r="AC521" s="10255" t="s"/>
      <c r="AD521" s="10256" t="s"/>
      <c r="AE521" s="10257" t="s"/>
      <c r="AF521" s="103" t="s">
        <v>4318</v>
      </c>
      <c r="AG521" s="10258" t="s"/>
      <c r="AH521" s="10259" t="s"/>
      <c r="AI521" s="10260" t="s"/>
      <c r="AJ521" s="103" t="s">
        <v>4319</v>
      </c>
      <c r="AK521" s="10261" t="s"/>
    </row>
    <row hidden="false" ht="15.75" outlineLevel="0" r="522">
      <c r="C522" s="98" t="s">
        <v>176</v>
      </c>
      <c r="D522" s="122" t="s">
        <v>177</v>
      </c>
      <c r="E522" s="123" t="s">
        <v>3892</v>
      </c>
      <c r="F522" s="123" t="s">
        <v>179</v>
      </c>
      <c r="G522" s="124" t="s">
        <v>878</v>
      </c>
      <c r="H522" s="273" t="n">
        <f aca="false" ca="false" dt2D="false" dtr="false" t="normal">MID($A$51, 8, 2)</f>
        <v>0</v>
      </c>
      <c r="I522" s="7626" t="n">
        <f aca="false" ca="false" dt2D="false" dtr="false" t="normal">MID($A$51, 10, 2)</f>
        <v>0</v>
      </c>
      <c r="J522" s="7626" t="n">
        <f aca="false" ca="false" dt2D="false" dtr="false" t="normal">MID($A$51, 12, 2)</f>
        <v>0</v>
      </c>
      <c r="K522" s="7626" t="n">
        <f aca="false" ca="false" dt2D="false" dtr="false" t="normal">MID($A$51, 14, 2)</f>
        <v>0</v>
      </c>
      <c r="L522" s="7627" t="n">
        <f aca="false" ca="false" dt2D="false" dtr="false" t="normal">MID($A$51, 16, 2)</f>
        <v>0</v>
      </c>
      <c r="M522" s="7553" t="str">
        <f aca="false" ca="false" dt2D="false" dtr="false" t="normal">MID($A$51, 18, 2)</f>
        <v>F5</v>
      </c>
      <c r="N522" s="63" t="s">
        <v>180</v>
      </c>
      <c r="P522" s="129" t="s">
        <v>180</v>
      </c>
      <c r="Q522" s="130" t="s">
        <v>181</v>
      </c>
      <c r="R522" s="121" t="s">
        <v>182</v>
      </c>
      <c r="S522" s="131" t="n"/>
      <c r="T522" s="129" t="s">
        <v>180</v>
      </c>
      <c r="U522" s="130" t="s">
        <v>181</v>
      </c>
      <c r="V522" s="121" t="s">
        <v>182</v>
      </c>
      <c r="W522" s="131" t="n"/>
      <c r="X522" s="129" t="s">
        <v>180</v>
      </c>
      <c r="Y522" s="130" t="s">
        <v>181</v>
      </c>
      <c r="Z522" s="121" t="s">
        <v>182</v>
      </c>
      <c r="AA522" s="131" t="n"/>
      <c r="AB522" s="129" t="s">
        <v>180</v>
      </c>
      <c r="AC522" s="130" t="s">
        <v>181</v>
      </c>
      <c r="AD522" s="121" t="s">
        <v>182</v>
      </c>
      <c r="AE522" s="131" t="n"/>
      <c r="AF522" s="129" t="s">
        <v>180</v>
      </c>
      <c r="AG522" s="130" t="s">
        <v>181</v>
      </c>
      <c r="AH522" s="121" t="s">
        <v>182</v>
      </c>
      <c r="AI522" s="121" t="n"/>
      <c r="AJ522" s="116" t="s">
        <v>183</v>
      </c>
      <c r="AK522" s="10262" t="s"/>
    </row>
    <row hidden="false" ht="15" outlineLevel="0" r="523">
      <c r="C523" s="98" t="s">
        <v>185</v>
      </c>
      <c r="D523" s="149" t="n">
        <f aca="false" ca="false" dt2D="false" dtr="false" t="normal">HEX2BIN(D522, 8)</f>
        <v>111</v>
      </c>
      <c r="E523" s="149" t="n">
        <f aca="false" ca="false" dt2D="false" dtr="false" t="normal">HEX2BIN(E522, 8)</f>
        <v>10100101</v>
      </c>
      <c r="F523" s="149" t="n">
        <f aca="false" ca="false" dt2D="false" dtr="false" t="normal">HEX2BIN(F522, 8)</f>
        <v>1</v>
      </c>
      <c r="G523" s="149" t="n">
        <f aca="false" ca="false" dt2D="false" dtr="false" t="normal">HEX2BIN(G522, 8)</f>
        <v>1001000</v>
      </c>
      <c r="H523" s="53" t="n">
        <f aca="false" ca="false" dt2D="false" dtr="false" t="normal">HEX2BIN(H522, 8)</f>
        <v>0</v>
      </c>
      <c r="I523" s="53" t="n">
        <f aca="false" ca="false" dt2D="false" dtr="false" t="normal">HEX2BIN(I522, 8)</f>
        <v>0</v>
      </c>
      <c r="J523" s="53" t="n">
        <f aca="false" ca="false" dt2D="false" dtr="false" t="normal">HEX2BIN(J522, 8)</f>
        <v>0</v>
      </c>
      <c r="K523" s="53" t="n">
        <f aca="false" ca="false" dt2D="false" dtr="false" t="normal">HEX2BIN(K522, 8)</f>
        <v>0</v>
      </c>
      <c r="L523" s="53" t="n">
        <f aca="false" ca="false" dt2D="false" dtr="false" t="normal">HEX2BIN(L522, 8)</f>
        <v>0</v>
      </c>
      <c r="M523" s="53" t="n"/>
      <c r="N523" s="63" t="n"/>
      <c r="P523" s="136" t="n">
        <f aca="false" ca="false" dt2D="false" dtr="false" t="normal">MID(H523, 1, 1)</f>
        <v>0</v>
      </c>
      <c r="Q523" s="137" t="n">
        <f aca="false" ca="false" dt2D="false" dtr="false" t="normal">P523</f>
        <v>0</v>
      </c>
      <c r="R523" s="120" t="s">
        <v>186</v>
      </c>
      <c r="S523" s="131" t="s">
        <v>196</v>
      </c>
      <c r="T523" s="136" t="n">
        <f aca="false" ca="false" dt2D="false" dtr="false" t="normal">MID(I523, 1, 1)</f>
        <v>0</v>
      </c>
      <c r="U523" s="137" t="n">
        <f aca="false" ca="false" dt2D="false" dtr="false" t="normal">T523</f>
        <v>0</v>
      </c>
      <c r="V523" s="120" t="s">
        <v>186</v>
      </c>
      <c r="W523" s="131" t="s">
        <v>196</v>
      </c>
      <c r="X523" s="136" t="n">
        <f aca="false" ca="false" dt2D="false" dtr="false" t="normal">MID(J523, 1, 1)</f>
        <v>0</v>
      </c>
      <c r="Y523" s="137" t="n">
        <f aca="false" ca="false" dt2D="false" dtr="false" t="normal">X523</f>
        <v>0</v>
      </c>
      <c r="Z523" s="120" t="s">
        <v>186</v>
      </c>
      <c r="AA523" s="131" t="s">
        <v>196</v>
      </c>
      <c r="AB523" s="136" t="n">
        <f aca="false" ca="false" dt2D="false" dtr="false" t="normal">MID(K523, 1, 1)</f>
        <v>0</v>
      </c>
      <c r="AC523" s="137" t="n">
        <f aca="false" ca="false" dt2D="false" dtr="false" t="normal">AB523</f>
        <v>0</v>
      </c>
      <c r="AD523" s="120" t="s">
        <v>186</v>
      </c>
      <c r="AE523" s="131" t="s">
        <v>196</v>
      </c>
      <c r="AF523" s="136" t="n">
        <f aca="false" ca="false" dt2D="false" dtr="false" t="normal">MID(L523, 1, 1)</f>
        <v>0</v>
      </c>
      <c r="AG523" s="137" t="n">
        <f aca="false" ca="false" dt2D="false" dtr="false" t="normal">AF523</f>
        <v>0</v>
      </c>
      <c r="AH523" s="120" t="s">
        <v>186</v>
      </c>
      <c r="AI523" s="131" t="s">
        <v>196</v>
      </c>
      <c r="AJ523" s="10263" t="s"/>
      <c r="AK523" s="10264" t="s"/>
    </row>
    <row hidden="false" ht="15" outlineLevel="0" r="524">
      <c r="C524" s="98" t="s">
        <v>191</v>
      </c>
      <c r="D524" s="149" t="n">
        <f aca="false" ca="false" dt2D="false" dtr="false" t="normal">HEX2DEC(D522)</f>
        <v>7</v>
      </c>
      <c r="E524" s="149" t="n">
        <f aca="false" ca="false" dt2D="false" dtr="false" t="normal">HEX2DEC(E522)</f>
        <v>165</v>
      </c>
      <c r="F524" s="149" t="n">
        <f aca="false" ca="false" dt2D="false" dtr="false" t="normal">HEX2DEC(F522)</f>
        <v>1</v>
      </c>
      <c r="G524" s="149" t="n">
        <f aca="false" ca="false" dt2D="false" dtr="false" t="normal">HEX2DEC(G522)</f>
        <v>72</v>
      </c>
      <c r="H524" s="53" t="n">
        <f aca="false" ca="false" dt2D="false" dtr="false" t="normal">HEX2DEC(H522)</f>
        <v>0</v>
      </c>
      <c r="I524" s="53" t="n">
        <f aca="false" ca="false" dt2D="false" dtr="false" t="normal">HEX2DEC(I522)</f>
        <v>0</v>
      </c>
      <c r="J524" s="53" t="n">
        <f aca="false" ca="false" dt2D="false" dtr="false" t="normal">HEX2DEC(J522)</f>
        <v>0</v>
      </c>
      <c r="K524" s="53" t="n">
        <f aca="false" ca="false" dt2D="false" dtr="false" t="normal">HEX2DEC(K522)</f>
        <v>0</v>
      </c>
      <c r="L524" s="53" t="n">
        <f aca="false" ca="false" dt2D="false" dtr="false" t="normal">HEX2DEC(L522)</f>
        <v>0</v>
      </c>
      <c r="M524" s="53" t="n">
        <f aca="false" ca="false" dt2D="false" dtr="false" t="normal">SUM(D524:L524)</f>
        <v>245</v>
      </c>
      <c r="N524" s="63" t="n"/>
      <c r="P524" s="136" t="n">
        <f aca="false" ca="false" dt2D="false" dtr="false" t="normal">MID(H523, 2, 1)</f>
        <v>0</v>
      </c>
      <c r="Q524" s="137" t="n">
        <f aca="false" ca="false" dt2D="false" dtr="false" t="normal">P524</f>
        <v>0</v>
      </c>
      <c r="R524" s="120" t="s">
        <v>192</v>
      </c>
      <c r="S524" s="131" t="s">
        <v>196</v>
      </c>
      <c r="T524" s="136" t="n">
        <f aca="false" ca="false" dt2D="false" dtr="false" t="normal">MID(I523, 2, 1)</f>
        <v>0</v>
      </c>
      <c r="U524" s="137" t="n">
        <f aca="false" ca="false" dt2D="false" dtr="false" t="normal">T524</f>
        <v>0</v>
      </c>
      <c r="V524" s="120" t="s">
        <v>192</v>
      </c>
      <c r="W524" s="131" t="s">
        <v>196</v>
      </c>
      <c r="X524" s="136" t="n">
        <f aca="false" ca="false" dt2D="false" dtr="false" t="normal">MID(J523, 2, 1)</f>
        <v>0</v>
      </c>
      <c r="Y524" s="137" t="n">
        <f aca="false" ca="false" dt2D="false" dtr="false" t="normal">X524</f>
        <v>0</v>
      </c>
      <c r="Z524" s="120" t="s">
        <v>192</v>
      </c>
      <c r="AA524" s="131" t="s">
        <v>196</v>
      </c>
      <c r="AB524" s="136" t="n">
        <f aca="false" ca="false" dt2D="false" dtr="false" t="normal">MID(K523, 2, 1)</f>
        <v>0</v>
      </c>
      <c r="AC524" s="137" t="n">
        <f aca="false" ca="false" dt2D="false" dtr="false" t="normal">AB524</f>
        <v>0</v>
      </c>
      <c r="AD524" s="120" t="s">
        <v>192</v>
      </c>
      <c r="AE524" s="131" t="s">
        <v>196</v>
      </c>
      <c r="AF524" s="136" t="n">
        <f aca="false" ca="false" dt2D="false" dtr="false" t="normal">MID(L523, 2, 1)</f>
        <v>0</v>
      </c>
      <c r="AG524" s="137" t="n">
        <f aca="false" ca="false" dt2D="false" dtr="false" t="normal">AF524</f>
        <v>0</v>
      </c>
      <c r="AH524" s="120" t="s">
        <v>192</v>
      </c>
      <c r="AI524" s="131" t="s">
        <v>196</v>
      </c>
      <c r="AJ524" s="10265" t="s"/>
      <c r="AK524" s="10266" t="s"/>
    </row>
    <row hidden="false" ht="15" outlineLevel="0" r="525">
      <c r="C525" s="98" t="s">
        <v>194</v>
      </c>
      <c r="D525" s="149" t="n">
        <f aca="false" ca="false" dt2D="false" dtr="false" t="normal">D522</f>
        <v>7</v>
      </c>
      <c r="E525" s="149" t="str">
        <f aca="false" ca="false" dt2D="false" dtr="false" t="normal">E522</f>
        <v>A5</v>
      </c>
      <c r="F525" s="149" t="str">
        <f aca="false" ca="false" dt2D="false" dtr="false" t="normal">MID($A$51, 4, 2)</f>
        <v>G1</v>
      </c>
      <c r="G525" s="149" t="str">
        <f aca="false" ca="false" dt2D="false" dtr="false" t="normal">MID($A$51, 6, 2)</f>
        <v>J0</v>
      </c>
      <c r="N525" s="63" t="n"/>
      <c r="P525" s="136" t="n">
        <f aca="false" ca="false" dt2D="false" dtr="false" t="normal">MID(H523, 3, 1)</f>
        <v>0</v>
      </c>
      <c r="Q525" s="137" t="n">
        <f aca="false" ca="false" dt2D="false" dtr="false" t="normal">P525</f>
        <v>0</v>
      </c>
      <c r="R525" s="120" t="s">
        <v>195</v>
      </c>
      <c r="S525" s="131" t="s">
        <v>196</v>
      </c>
      <c r="T525" s="136" t="n">
        <f aca="false" ca="false" dt2D="false" dtr="false" t="normal">MID(I523, 3, 1)</f>
        <v>0</v>
      </c>
      <c r="U525" s="137" t="n">
        <f aca="false" ca="false" dt2D="false" dtr="false" t="normal">T525</f>
        <v>0</v>
      </c>
      <c r="V525" s="120" t="s">
        <v>195</v>
      </c>
      <c r="W525" s="131" t="s">
        <v>196</v>
      </c>
      <c r="X525" s="136" t="n">
        <f aca="false" ca="false" dt2D="false" dtr="false" t="normal">MID(J523, 3, 1)</f>
        <v>0</v>
      </c>
      <c r="Y525" s="137" t="n">
        <f aca="false" ca="false" dt2D="false" dtr="false" t="normal">X525</f>
        <v>0</v>
      </c>
      <c r="Z525" s="120" t="s">
        <v>195</v>
      </c>
      <c r="AA525" s="131" t="s">
        <v>196</v>
      </c>
      <c r="AB525" s="136" t="n">
        <f aca="false" ca="false" dt2D="false" dtr="false" t="normal">MID(K523, 3, 1)</f>
        <v>0</v>
      </c>
      <c r="AC525" s="137" t="n">
        <f aca="false" ca="false" dt2D="false" dtr="false" t="normal">AB525</f>
        <v>0</v>
      </c>
      <c r="AD525" s="120" t="s">
        <v>195</v>
      </c>
      <c r="AE525" s="131" t="s">
        <v>196</v>
      </c>
      <c r="AF525" s="136" t="n">
        <f aca="false" ca="false" dt2D="false" dtr="false" t="normal">MID(L523, 3, 1)</f>
        <v>0</v>
      </c>
      <c r="AG525" s="137" t="n">
        <f aca="false" ca="false" dt2D="false" dtr="false" t="normal">AF525</f>
        <v>0</v>
      </c>
      <c r="AH525" s="120" t="s">
        <v>195</v>
      </c>
      <c r="AI525" s="131" t="s">
        <v>196</v>
      </c>
      <c r="AJ525" s="10267" t="s"/>
      <c r="AK525" s="10268" t="s"/>
    </row>
    <row hidden="false" ht="15.75" outlineLevel="0" r="526">
      <c r="C526" s="98" t="n"/>
      <c r="N526" s="63" t="n"/>
      <c r="P526" s="136" t="n">
        <f aca="false" ca="false" dt2D="false" dtr="false" t="normal">MID(H523, 4, 1)</f>
        <v>0</v>
      </c>
      <c r="Q526" s="137" t="n">
        <f aca="false" ca="false" dt2D="false" dtr="false" t="normal">P526</f>
        <v>0</v>
      </c>
      <c r="R526" s="120" t="s">
        <v>197</v>
      </c>
      <c r="S526" s="131" t="s">
        <v>196</v>
      </c>
      <c r="T526" s="136" t="n">
        <f aca="false" ca="false" dt2D="false" dtr="false" t="normal">MID(I523, 4, 1)</f>
        <v>0</v>
      </c>
      <c r="U526" s="137" t="n">
        <f aca="false" ca="false" dt2D="false" dtr="false" t="normal">T526</f>
        <v>0</v>
      </c>
      <c r="V526" s="120" t="s">
        <v>197</v>
      </c>
      <c r="W526" s="131" t="s">
        <v>196</v>
      </c>
      <c r="X526" s="136" t="n">
        <f aca="false" ca="false" dt2D="false" dtr="false" t="normal">MID(J523, 4, 1)</f>
        <v>0</v>
      </c>
      <c r="Y526" s="137" t="n">
        <f aca="false" ca="false" dt2D="false" dtr="false" t="normal">X526</f>
        <v>0</v>
      </c>
      <c r="Z526" s="120" t="s">
        <v>197</v>
      </c>
      <c r="AA526" s="131" t="s">
        <v>196</v>
      </c>
      <c r="AB526" s="136" t="n">
        <f aca="false" ca="false" dt2D="false" dtr="false" t="normal">MID(K523, 4, 1)</f>
        <v>0</v>
      </c>
      <c r="AC526" s="137" t="n">
        <f aca="false" ca="false" dt2D="false" dtr="false" t="normal">AB526</f>
        <v>0</v>
      </c>
      <c r="AD526" s="120" t="s">
        <v>197</v>
      </c>
      <c r="AE526" s="131" t="s">
        <v>196</v>
      </c>
      <c r="AF526" s="136" t="n">
        <f aca="false" ca="false" dt2D="false" dtr="false" t="normal">MID(L523, 4, 1)</f>
        <v>0</v>
      </c>
      <c r="AG526" s="137" t="n">
        <f aca="false" ca="false" dt2D="false" dtr="false" t="normal">AF526</f>
        <v>0</v>
      </c>
      <c r="AH526" s="120" t="s">
        <v>197</v>
      </c>
      <c r="AI526" s="131" t="s">
        <v>196</v>
      </c>
      <c r="AJ526" s="10269" t="s"/>
      <c r="AK526" s="10270" t="s"/>
    </row>
    <row hidden="false" ht="15.75" outlineLevel="0" r="527">
      <c r="C527" s="98" t="s">
        <v>176</v>
      </c>
      <c r="D527" s="122" t="n">
        <f aca="false" ca="false" dt2D="false" dtr="false" t="normal">D522</f>
        <v>7</v>
      </c>
      <c r="E527" s="123" t="str">
        <f aca="false" ca="false" dt2D="false" dtr="false" t="normal">E522</f>
        <v>A5</v>
      </c>
      <c r="F527" s="123" t="n">
        <f aca="false" ca="false" dt2D="false" dtr="false" t="normal">F522</f>
        <v>1</v>
      </c>
      <c r="G527" s="124" t="n">
        <f aca="false" ca="false" dt2D="false" dtr="false" t="normal">G522</f>
        <v>48</v>
      </c>
      <c r="H527" s="162" t="n">
        <f aca="false" ca="false" dt2D="false" dtr="false" t="normal">BIN2HEX(H528, 2)</f>
        <v>0</v>
      </c>
      <c r="I527" s="163" t="n">
        <f aca="false" ca="false" dt2D="false" dtr="false" t="normal">BIN2HEX(I528, 2)</f>
        <v>0</v>
      </c>
      <c r="J527" s="164" t="n">
        <f aca="false" ca="false" dt2D="false" dtr="false" t="normal">BIN2HEX(J528, 2)</f>
        <v>0</v>
      </c>
      <c r="K527" s="165" t="n">
        <f aca="false" ca="false" dt2D="false" dtr="false" t="normal">BIN2HEX(K528, 2)</f>
        <v>0</v>
      </c>
      <c r="L527" s="288" t="n">
        <f aca="false" ca="false" dt2D="false" dtr="false" t="normal">BIN2HEX(L528, 2)</f>
        <v>0</v>
      </c>
      <c r="M527" s="166" t="str">
        <f aca="false" ca="false" dt2D="false" dtr="false" t="normal">IF(LEN(M528)&gt;2, MID(M528, 2, 2), M528)</f>
        <v>F5</v>
      </c>
      <c r="N527" s="63" t="s">
        <v>181</v>
      </c>
      <c r="P527" s="136" t="n">
        <f aca="false" ca="false" dt2D="false" dtr="false" t="normal">MID(H523, 5, 1)</f>
        <v>0</v>
      </c>
      <c r="Q527" s="137" t="n">
        <f aca="false" ca="false" dt2D="false" dtr="false" t="normal">P527</f>
        <v>0</v>
      </c>
      <c r="R527" s="120" t="s">
        <v>200</v>
      </c>
      <c r="S527" s="131" t="s">
        <v>196</v>
      </c>
      <c r="T527" s="136" t="n">
        <f aca="false" ca="false" dt2D="false" dtr="false" t="normal">MID(I523, 5, 1)</f>
        <v>0</v>
      </c>
      <c r="U527" s="137" t="n">
        <f aca="false" ca="false" dt2D="false" dtr="false" t="normal">T527</f>
        <v>0</v>
      </c>
      <c r="V527" s="120" t="s">
        <v>200</v>
      </c>
      <c r="W527" s="131" t="s">
        <v>196</v>
      </c>
      <c r="X527" s="136" t="n">
        <f aca="false" ca="false" dt2D="false" dtr="false" t="normal">MID(J523, 5, 1)</f>
        <v>0</v>
      </c>
      <c r="Y527" s="137" t="n">
        <f aca="false" ca="false" dt2D="false" dtr="false" t="normal">X527</f>
        <v>0</v>
      </c>
      <c r="Z527" s="120" t="s">
        <v>200</v>
      </c>
      <c r="AA527" s="131" t="s">
        <v>196</v>
      </c>
      <c r="AB527" s="136" t="n">
        <f aca="false" ca="false" dt2D="false" dtr="false" t="normal">MID(K523, 5, 1)</f>
        <v>0</v>
      </c>
      <c r="AC527" s="137" t="n">
        <f aca="false" ca="false" dt2D="false" dtr="false" t="normal">AB527</f>
        <v>0</v>
      </c>
      <c r="AD527" s="120" t="s">
        <v>200</v>
      </c>
      <c r="AE527" s="131" t="s">
        <v>196</v>
      </c>
      <c r="AF527" s="136" t="n">
        <f aca="false" ca="false" dt2D="false" dtr="false" t="normal">MID(L523, 5, 1)</f>
        <v>0</v>
      </c>
      <c r="AG527" s="137" t="n">
        <f aca="false" ca="false" dt2D="false" dtr="false" t="normal">AF527</f>
        <v>0</v>
      </c>
      <c r="AH527" s="120" t="s">
        <v>200</v>
      </c>
      <c r="AI527" s="131" t="s">
        <v>196</v>
      </c>
      <c r="AJ527" s="10271" t="s"/>
      <c r="AK527" s="10272" t="s"/>
    </row>
    <row hidden="false" ht="15" outlineLevel="0" r="528">
      <c r="C528" s="98" t="s">
        <v>185</v>
      </c>
      <c r="D528" s="149" t="n">
        <f aca="false" ca="false" dt2D="false" dtr="false" t="normal">HEX2BIN(D527, 8)</f>
        <v>111</v>
      </c>
      <c r="E528" s="149" t="n">
        <f aca="false" ca="false" dt2D="false" dtr="false" t="normal">HEX2BIN(E527, 8)</f>
        <v>10100101</v>
      </c>
      <c r="F528" s="149" t="n">
        <f aca="false" ca="false" dt2D="false" dtr="false" t="normal">HEX2BIN(F527, 8)</f>
        <v>1</v>
      </c>
      <c r="G528" s="149" t="n">
        <f aca="false" ca="false" dt2D="false" dtr="false" t="normal">HEX2BIN(G527, 8)</f>
        <v>1001000</v>
      </c>
      <c r="H528" s="53" t="n">
        <f aca="false" ca="false" dt2D="false" dtr="false" t="normal">Q523&amp;Q524&amp;Q525&amp;Q526&amp;Q527&amp;Q528&amp;Q529&amp;Q530</f>
        <v>0</v>
      </c>
      <c r="I528" s="53" t="n">
        <f aca="false" ca="false" dt2D="false" dtr="false" t="normal">U523&amp;U524&amp;U525&amp;U526&amp;U527&amp;U528&amp;U529&amp;U530</f>
        <v>0</v>
      </c>
      <c r="J528" s="53" t="n">
        <f aca="false" ca="false" dt2D="false" dtr="false" t="normal">Y523&amp;Y524&amp;Y525&amp;Y526&amp;Y527&amp;Y528&amp;Y529&amp;Y530</f>
        <v>0</v>
      </c>
      <c r="K528" s="53" t="n">
        <f aca="false" ca="false" dt2D="false" dtr="false" t="normal">AC523&amp;AC524&amp;AC525&amp;AC526&amp;AC527&amp;AC528&amp;AC529&amp;AC530</f>
        <v>0</v>
      </c>
      <c r="L528" s="53" t="n">
        <f aca="false" ca="false" dt2D="false" dtr="false" t="normal">AG523&amp;AG524&amp;AG525&amp;AG526&amp;AG527&amp;AG528&amp;AG529&amp;AG530</f>
        <v>0</v>
      </c>
      <c r="M528" s="53" t="str">
        <f aca="false" ca="false" dt2D="false" dtr="false" t="normal">DEC2HEX(M529)</f>
        <v>F5</v>
      </c>
      <c r="N528" s="63" t="n"/>
      <c r="P528" s="136" t="n">
        <f aca="false" ca="false" dt2D="false" dtr="false" t="normal">MID(H523, 6, 1)</f>
        <v>0</v>
      </c>
      <c r="Q528" s="137" t="n">
        <f aca="false" ca="false" dt2D="false" dtr="false" t="normal">P528</f>
        <v>0</v>
      </c>
      <c r="R528" s="120" t="s">
        <v>203</v>
      </c>
      <c r="S528" s="131" t="s">
        <v>196</v>
      </c>
      <c r="T528" s="136" t="n">
        <f aca="false" ca="false" dt2D="false" dtr="false" t="normal">MID(I523, 6, 1)</f>
        <v>0</v>
      </c>
      <c r="U528" s="137" t="n">
        <f aca="false" ca="false" dt2D="false" dtr="false" t="normal">T528</f>
        <v>0</v>
      </c>
      <c r="V528" s="120" t="s">
        <v>203</v>
      </c>
      <c r="W528" s="131" t="s">
        <v>196</v>
      </c>
      <c r="X528" s="136" t="n">
        <f aca="false" ca="false" dt2D="false" dtr="false" t="normal">MID(J523, 6, 1)</f>
        <v>0</v>
      </c>
      <c r="Y528" s="137" t="n">
        <f aca="false" ca="false" dt2D="false" dtr="false" t="normal">X528</f>
        <v>0</v>
      </c>
      <c r="Z528" s="120" t="s">
        <v>203</v>
      </c>
      <c r="AA528" s="131" t="s">
        <v>196</v>
      </c>
      <c r="AB528" s="136" t="n">
        <f aca="false" ca="false" dt2D="false" dtr="false" t="normal">MID(K523, 6, 1)</f>
        <v>0</v>
      </c>
      <c r="AC528" s="137" t="n">
        <f aca="false" ca="false" dt2D="false" dtr="false" t="normal">AB528</f>
        <v>0</v>
      </c>
      <c r="AD528" s="120" t="s">
        <v>203</v>
      </c>
      <c r="AE528" s="131" t="s">
        <v>196</v>
      </c>
      <c r="AF528" s="136" t="n">
        <f aca="false" ca="false" dt2D="false" dtr="false" t="normal">MID(L523, 6, 1)</f>
        <v>0</v>
      </c>
      <c r="AG528" s="137" t="n">
        <f aca="false" ca="false" dt2D="false" dtr="false" t="normal">AF528</f>
        <v>0</v>
      </c>
      <c r="AH528" s="120" t="s">
        <v>203</v>
      </c>
      <c r="AI528" s="131" t="s">
        <v>196</v>
      </c>
      <c r="AJ528" s="10273" t="s"/>
      <c r="AK528" s="10274" t="s"/>
    </row>
    <row hidden="false" ht="15" outlineLevel="0" r="529">
      <c r="C529" s="98" t="s">
        <v>191</v>
      </c>
      <c r="D529" s="149" t="n">
        <f aca="false" ca="false" dt2D="false" dtr="false" t="normal">HEX2DEC(D527)</f>
        <v>7</v>
      </c>
      <c r="E529" s="149" t="n">
        <f aca="false" ca="false" dt2D="false" dtr="false" t="normal">HEX2DEC(E527)</f>
        <v>165</v>
      </c>
      <c r="F529" s="149" t="n">
        <f aca="false" ca="false" dt2D="false" dtr="false" t="normal">HEX2DEC(F527)</f>
        <v>1</v>
      </c>
      <c r="G529" s="149" t="n">
        <f aca="false" ca="false" dt2D="false" dtr="false" t="normal">HEX2DEC(G527)</f>
        <v>72</v>
      </c>
      <c r="H529" s="53" t="n">
        <f aca="false" ca="false" dt2D="false" dtr="false" t="normal">HEX2DEC(H527)</f>
        <v>0</v>
      </c>
      <c r="I529" s="53" t="n">
        <f aca="false" ca="false" dt2D="false" dtr="false" t="normal">HEX2DEC(I527)</f>
        <v>0</v>
      </c>
      <c r="J529" s="53" t="n">
        <f aca="false" ca="false" dt2D="false" dtr="false" t="normal">HEX2DEC(J527)</f>
        <v>0</v>
      </c>
      <c r="K529" s="53" t="n">
        <f aca="false" ca="false" dt2D="false" dtr="false" t="normal">HEX2DEC(K527)</f>
        <v>0</v>
      </c>
      <c r="L529" s="53" t="n">
        <f aca="false" ca="false" dt2D="false" dtr="false" t="normal">HEX2DEC(L527)</f>
        <v>0</v>
      </c>
      <c r="M529" s="53" t="n">
        <f aca="false" ca="false" dt2D="false" dtr="false" t="normal">SUM(D529:L529)</f>
        <v>245</v>
      </c>
      <c r="N529" s="63" t="n"/>
      <c r="P529" s="136" t="n">
        <f aca="false" ca="false" dt2D="false" dtr="false" t="normal">MID(H523, 7, 1)</f>
        <v>0</v>
      </c>
      <c r="Q529" s="137" t="n">
        <f aca="false" ca="false" dt2D="false" dtr="false" t="normal">P529</f>
        <v>0</v>
      </c>
      <c r="R529" s="120" t="s">
        <v>206</v>
      </c>
      <c r="S529" s="131" t="s">
        <v>196</v>
      </c>
      <c r="T529" s="136" t="n">
        <f aca="false" ca="false" dt2D="false" dtr="false" t="normal">MID(I523, 7, 1)</f>
        <v>0</v>
      </c>
      <c r="U529" s="137" t="n">
        <f aca="false" ca="false" dt2D="false" dtr="false" t="normal">T529</f>
        <v>0</v>
      </c>
      <c r="V529" s="120" t="s">
        <v>206</v>
      </c>
      <c r="W529" s="131" t="s">
        <v>196</v>
      </c>
      <c r="X529" s="136" t="n">
        <f aca="false" ca="false" dt2D="false" dtr="false" t="normal">MID(J523, 7, 1)</f>
        <v>0</v>
      </c>
      <c r="Y529" s="137" t="n">
        <f aca="false" ca="false" dt2D="false" dtr="false" t="normal">X529</f>
        <v>0</v>
      </c>
      <c r="Z529" s="120" t="s">
        <v>206</v>
      </c>
      <c r="AA529" s="131" t="s">
        <v>196</v>
      </c>
      <c r="AB529" s="136" t="n">
        <f aca="false" ca="false" dt2D="false" dtr="false" t="normal">MID(K523, 7, 1)</f>
        <v>0</v>
      </c>
      <c r="AC529" s="137" t="n">
        <f aca="false" ca="false" dt2D="false" dtr="false" t="normal">AB529</f>
        <v>0</v>
      </c>
      <c r="AD529" s="120" t="s">
        <v>206</v>
      </c>
      <c r="AE529" s="131" t="s">
        <v>196</v>
      </c>
      <c r="AF529" s="136" t="n">
        <f aca="false" ca="false" dt2D="false" dtr="false" t="normal">MID(L523, 7, 1)</f>
        <v>0</v>
      </c>
      <c r="AG529" s="137" t="n">
        <f aca="false" ca="false" dt2D="false" dtr="false" t="normal">AF529</f>
        <v>0</v>
      </c>
      <c r="AH529" s="120" t="s">
        <v>206</v>
      </c>
      <c r="AI529" s="131" t="s">
        <v>196</v>
      </c>
      <c r="AJ529" s="10275" t="s"/>
      <c r="AK529" s="10276" t="s"/>
    </row>
    <row hidden="false" ht="15.75" outlineLevel="0" r="530">
      <c r="C530" s="180" t="s">
        <v>194</v>
      </c>
      <c r="D530" s="181" t="n">
        <f aca="false" ca="false" dt2D="false" dtr="false" t="normal">D525</f>
        <v>7</v>
      </c>
      <c r="E530" s="181" t="str">
        <f aca="false" ca="false" dt2D="false" dtr="false" t="normal">E525</f>
        <v>A5</v>
      </c>
      <c r="F530" s="181" t="str">
        <f aca="false" ca="false" dt2D="false" dtr="false" t="normal">F525</f>
        <v>G1</v>
      </c>
      <c r="G530" s="181" t="str">
        <f aca="false" ca="false" dt2D="false" dtr="false" t="normal">G525</f>
        <v>J0</v>
      </c>
      <c r="H530" s="45" t="n"/>
      <c r="I530" s="45" t="n"/>
      <c r="J530" s="45" t="n"/>
      <c r="K530" s="45" t="n"/>
      <c r="L530" s="45" t="n"/>
      <c r="M530" s="45" t="n"/>
      <c r="N530" s="49" t="n"/>
      <c r="P530" s="182" t="n">
        <f aca="false" ca="false" dt2D="false" dtr="false" t="normal">MID(H523, 8, 1)</f>
        <v>0</v>
      </c>
      <c r="Q530" s="183" t="n">
        <f aca="false" ca="false" dt2D="false" dtr="false" t="normal">P530</f>
        <v>0</v>
      </c>
      <c r="R530" s="184" t="s">
        <v>208</v>
      </c>
      <c r="S530" s="185" t="s">
        <v>196</v>
      </c>
      <c r="T530" s="182" t="n">
        <f aca="false" ca="false" dt2D="false" dtr="false" t="normal">MID(I523, 8, 1)</f>
        <v>0</v>
      </c>
      <c r="U530" s="183" t="n">
        <f aca="false" ca="false" dt2D="false" dtr="false" t="normal">T530</f>
        <v>0</v>
      </c>
      <c r="V530" s="184" t="s">
        <v>208</v>
      </c>
      <c r="W530" s="185" t="s">
        <v>196</v>
      </c>
      <c r="X530" s="182" t="n">
        <f aca="false" ca="false" dt2D="false" dtr="false" t="normal">MID(J523, 8, 1)</f>
        <v>0</v>
      </c>
      <c r="Y530" s="183" t="n">
        <f aca="false" ca="false" dt2D="false" dtr="false" t="normal">X530</f>
        <v>0</v>
      </c>
      <c r="Z530" s="184" t="s">
        <v>208</v>
      </c>
      <c r="AA530" s="185" t="s">
        <v>196</v>
      </c>
      <c r="AB530" s="182" t="n">
        <f aca="false" ca="false" dt2D="false" dtr="false" t="normal">MID(K523, 8, 1)</f>
        <v>0</v>
      </c>
      <c r="AC530" s="183" t="n">
        <f aca="false" ca="false" dt2D="false" dtr="false" t="normal">AB530</f>
        <v>0</v>
      </c>
      <c r="AD530" s="184" t="s">
        <v>208</v>
      </c>
      <c r="AE530" s="185" t="s">
        <v>196</v>
      </c>
      <c r="AF530" s="182" t="n">
        <f aca="false" ca="false" dt2D="false" dtr="false" t="normal">MID(L523, 8, 1)</f>
        <v>0</v>
      </c>
      <c r="AG530" s="183" t="n">
        <f aca="false" ca="false" dt2D="false" dtr="false" t="normal">AF530</f>
        <v>0</v>
      </c>
      <c r="AH530" s="184" t="s">
        <v>208</v>
      </c>
      <c r="AI530" s="185" t="s">
        <v>196</v>
      </c>
      <c r="AJ530" s="10277" t="s"/>
      <c r="AK530" s="10278" t="s"/>
    </row>
    <row hidden="false" ht="15.75" outlineLevel="0" r="531">
      <c r="C531" s="93" t="n"/>
      <c r="D531" s="7585" t="n"/>
      <c r="E531" s="7585" t="n"/>
      <c r="F531" s="7585" t="n"/>
      <c r="G531" s="7585" t="n"/>
      <c r="H531" s="94" t="n"/>
      <c r="I531" s="94" t="n"/>
      <c r="J531" s="94" t="n"/>
      <c r="K531" s="94" t="n"/>
      <c r="L531" s="94" t="n"/>
      <c r="M531" s="94" t="s">
        <v>161</v>
      </c>
      <c r="N531" s="60" t="n"/>
      <c r="P531" s="95" t="str">
        <f aca="false" ca="false" dt2D="false" dtr="false" t="normal">RIGHT(D533, 1)&amp;E533&amp;"-"&amp;F533&amp;"-"&amp;G533</f>
        <v>7A5-01-49</v>
      </c>
      <c r="Q531" s="10279" t="s"/>
      <c r="R531" s="234" t="s">
        <v>4320</v>
      </c>
      <c r="S531" s="10280" t="s"/>
      <c r="T531" s="10281" t="s"/>
      <c r="U531" s="10282" t="s"/>
      <c r="V531" s="10283" t="s"/>
      <c r="W531" s="10284" t="s"/>
      <c r="X531" s="10285" t="s"/>
      <c r="Y531" s="10286" t="s"/>
      <c r="Z531" s="10287" t="s"/>
      <c r="AA531" s="10288" t="s"/>
      <c r="AB531" s="10289" t="s"/>
      <c r="AC531" s="10290" t="s"/>
      <c r="AD531" s="10291" t="s"/>
      <c r="AE531" s="10292" t="s"/>
      <c r="AF531" s="10293" t="s"/>
      <c r="AG531" s="10294" t="s"/>
      <c r="AH531" s="10295" t="s"/>
      <c r="AI531" s="10296" t="s"/>
      <c r="AJ531" s="10297" t="s"/>
      <c r="AK531" s="10298" t="s"/>
    </row>
    <row hidden="false" ht="15.75" outlineLevel="0" r="532">
      <c r="C532" s="98" t="n"/>
      <c r="D532" s="7606" t="s">
        <v>4321</v>
      </c>
      <c r="E532" s="10299" t="s"/>
      <c r="F532" s="10300" t="s"/>
      <c r="G532" s="10301" t="s"/>
      <c r="H532" s="53" t="s">
        <v>165</v>
      </c>
      <c r="I532" s="53" t="s">
        <v>166</v>
      </c>
      <c r="J532" s="53" t="s">
        <v>167</v>
      </c>
      <c r="K532" s="53" t="s">
        <v>168</v>
      </c>
      <c r="L532" s="53" t="s">
        <v>169</v>
      </c>
      <c r="M532" s="53" t="s">
        <v>221</v>
      </c>
      <c r="N532" s="63" t="n"/>
      <c r="P532" s="103" t="s">
        <v>4322</v>
      </c>
      <c r="Q532" s="10302" t="s"/>
      <c r="R532" s="10303" t="s"/>
      <c r="S532" s="10304" t="s"/>
      <c r="T532" s="103" t="s">
        <v>4323</v>
      </c>
      <c r="U532" s="10305" t="s"/>
      <c r="V532" s="10306" t="s"/>
      <c r="W532" s="10307" t="s"/>
      <c r="X532" s="103" t="s">
        <v>4324</v>
      </c>
      <c r="Y532" s="10308" t="s"/>
      <c r="Z532" s="10309" t="s"/>
      <c r="AA532" s="10310" t="s"/>
      <c r="AB532" s="103" t="s">
        <v>4325</v>
      </c>
      <c r="AC532" s="10311" t="s"/>
      <c r="AD532" s="10312" t="s"/>
      <c r="AE532" s="10313" t="s"/>
      <c r="AF532" s="103" t="s">
        <v>4326</v>
      </c>
      <c r="AG532" s="10314" t="s"/>
      <c r="AH532" s="10315" t="s"/>
      <c r="AI532" s="10316" t="s"/>
      <c r="AJ532" s="103" t="s">
        <v>4327</v>
      </c>
      <c r="AK532" s="10317" t="s"/>
    </row>
    <row hidden="false" ht="15.75" outlineLevel="0" r="533">
      <c r="C533" s="98" t="s">
        <v>176</v>
      </c>
      <c r="D533" s="122" t="s">
        <v>177</v>
      </c>
      <c r="E533" s="123" t="s">
        <v>3892</v>
      </c>
      <c r="F533" s="123" t="s">
        <v>179</v>
      </c>
      <c r="G533" s="124" t="s">
        <v>880</v>
      </c>
      <c r="H533" s="273" t="n">
        <f aca="false" ca="false" dt2D="false" dtr="false" t="normal">MID($A$52, 8, 2)</f>
        <v>0</v>
      </c>
      <c r="I533" s="7626" t="n">
        <f aca="false" ca="false" dt2D="false" dtr="false" t="normal">MID($A$52, 10, 2)</f>
        <v>0</v>
      </c>
      <c r="J533" s="7626" t="n">
        <f aca="false" ca="false" dt2D="false" dtr="false" t="normal">MID($A$52, 12, 2)</f>
        <v>0</v>
      </c>
      <c r="K533" s="7626" t="n">
        <f aca="false" ca="false" dt2D="false" dtr="false" t="normal">MID($A$52, 14, 2)</f>
        <v>0</v>
      </c>
      <c r="L533" s="7627" t="n">
        <f aca="false" ca="false" dt2D="false" dtr="false" t="normal">MID($A$52, 16, 2)</f>
        <v>0</v>
      </c>
      <c r="M533" s="7553" t="str">
        <f aca="false" ca="false" dt2D="false" dtr="false" t="normal">MID($A$52, 18, 2)</f>
        <v>F6</v>
      </c>
      <c r="N533" s="63" t="s">
        <v>180</v>
      </c>
      <c r="P533" s="129" t="s">
        <v>180</v>
      </c>
      <c r="Q533" s="130" t="s">
        <v>181</v>
      </c>
      <c r="R533" s="121" t="s">
        <v>182</v>
      </c>
      <c r="S533" s="131" t="n"/>
      <c r="T533" s="129" t="s">
        <v>180</v>
      </c>
      <c r="U533" s="130" t="s">
        <v>181</v>
      </c>
      <c r="V533" s="121" t="s">
        <v>182</v>
      </c>
      <c r="W533" s="131" t="n"/>
      <c r="X533" s="129" t="s">
        <v>180</v>
      </c>
      <c r="Y533" s="130" t="s">
        <v>181</v>
      </c>
      <c r="Z533" s="121" t="s">
        <v>182</v>
      </c>
      <c r="AA533" s="131" t="n"/>
      <c r="AB533" s="129" t="s">
        <v>180</v>
      </c>
      <c r="AC533" s="130" t="s">
        <v>181</v>
      </c>
      <c r="AD533" s="121" t="s">
        <v>182</v>
      </c>
      <c r="AE533" s="131" t="n"/>
      <c r="AF533" s="129" t="s">
        <v>180</v>
      </c>
      <c r="AG533" s="130" t="s">
        <v>181</v>
      </c>
      <c r="AH533" s="121" t="s">
        <v>182</v>
      </c>
      <c r="AI533" s="121" t="n"/>
      <c r="AJ533" s="116" t="s">
        <v>183</v>
      </c>
      <c r="AK533" s="10318" t="s"/>
    </row>
    <row hidden="false" ht="15" outlineLevel="0" r="534">
      <c r="C534" s="98" t="s">
        <v>185</v>
      </c>
      <c r="D534" s="149" t="n">
        <f aca="false" ca="false" dt2D="false" dtr="false" t="normal">HEX2BIN(D533, 8)</f>
        <v>111</v>
      </c>
      <c r="E534" s="149" t="n">
        <f aca="false" ca="false" dt2D="false" dtr="false" t="normal">HEX2BIN(E533, 8)</f>
        <v>10100101</v>
      </c>
      <c r="F534" s="149" t="n">
        <f aca="false" ca="false" dt2D="false" dtr="false" t="normal">HEX2BIN(F533, 8)</f>
        <v>1</v>
      </c>
      <c r="G534" s="149" t="n">
        <f aca="false" ca="false" dt2D="false" dtr="false" t="normal">HEX2BIN(G533, 8)</f>
        <v>1001001</v>
      </c>
      <c r="H534" s="53" t="n">
        <f aca="false" ca="false" dt2D="false" dtr="false" t="normal">HEX2BIN(H533, 8)</f>
        <v>0</v>
      </c>
      <c r="I534" s="53" t="n">
        <f aca="false" ca="false" dt2D="false" dtr="false" t="normal">HEX2BIN(I533, 8)</f>
        <v>0</v>
      </c>
      <c r="J534" s="53" t="n">
        <f aca="false" ca="false" dt2D="false" dtr="false" t="normal">HEX2BIN(J533, 8)</f>
        <v>0</v>
      </c>
      <c r="K534" s="53" t="n">
        <f aca="false" ca="false" dt2D="false" dtr="false" t="normal">HEX2BIN(K533, 8)</f>
        <v>0</v>
      </c>
      <c r="L534" s="53" t="n">
        <f aca="false" ca="false" dt2D="false" dtr="false" t="normal">HEX2BIN(L533, 8)</f>
        <v>0</v>
      </c>
      <c r="M534" s="53" t="n"/>
      <c r="N534" s="63" t="n"/>
      <c r="P534" s="136" t="n">
        <f aca="false" ca="false" dt2D="false" dtr="false" t="normal">MID(H534, 1, 1)</f>
        <v>0</v>
      </c>
      <c r="Q534" s="137" t="n">
        <f aca="false" ca="false" dt2D="false" dtr="false" t="normal">P534</f>
        <v>0</v>
      </c>
      <c r="R534" s="120" t="s">
        <v>186</v>
      </c>
      <c r="S534" s="131" t="s">
        <v>196</v>
      </c>
      <c r="T534" s="136" t="n">
        <f aca="false" ca="false" dt2D="false" dtr="false" t="normal">MID(I534, 1, 1)</f>
        <v>0</v>
      </c>
      <c r="U534" s="137" t="n">
        <f aca="false" ca="false" dt2D="false" dtr="false" t="normal">T534</f>
        <v>0</v>
      </c>
      <c r="V534" s="120" t="s">
        <v>186</v>
      </c>
      <c r="W534" s="131" t="s">
        <v>196</v>
      </c>
      <c r="X534" s="136" t="n">
        <f aca="false" ca="false" dt2D="false" dtr="false" t="normal">MID(J534, 1, 1)</f>
        <v>0</v>
      </c>
      <c r="Y534" s="137" t="n">
        <f aca="false" ca="false" dt2D="false" dtr="false" t="normal">X534</f>
        <v>0</v>
      </c>
      <c r="Z534" s="120" t="s">
        <v>186</v>
      </c>
      <c r="AA534" s="131" t="s">
        <v>196</v>
      </c>
      <c r="AB534" s="136" t="n">
        <f aca="false" ca="false" dt2D="false" dtr="false" t="normal">MID(K534, 1, 1)</f>
        <v>0</v>
      </c>
      <c r="AC534" s="137" t="n">
        <f aca="false" ca="false" dt2D="false" dtr="false" t="normal">AB534</f>
        <v>0</v>
      </c>
      <c r="AD534" s="120" t="s">
        <v>186</v>
      </c>
      <c r="AE534" s="131" t="s">
        <v>196</v>
      </c>
      <c r="AF534" s="136" t="n">
        <f aca="false" ca="false" dt2D="false" dtr="false" t="normal">MID(L534, 1, 1)</f>
        <v>0</v>
      </c>
      <c r="AG534" s="137" t="n">
        <f aca="false" ca="false" dt2D="false" dtr="false" t="normal">AF534</f>
        <v>0</v>
      </c>
      <c r="AH534" s="120" t="s">
        <v>186</v>
      </c>
      <c r="AI534" s="131" t="s">
        <v>196</v>
      </c>
      <c r="AJ534" s="10319" t="s"/>
      <c r="AK534" s="10320" t="s"/>
    </row>
    <row hidden="false" ht="15" outlineLevel="0" r="535">
      <c r="C535" s="98" t="s">
        <v>191</v>
      </c>
      <c r="D535" s="149" t="n">
        <f aca="false" ca="false" dt2D="false" dtr="false" t="normal">HEX2DEC(D533)</f>
        <v>7</v>
      </c>
      <c r="E535" s="149" t="n">
        <f aca="false" ca="false" dt2D="false" dtr="false" t="normal">HEX2DEC(E533)</f>
        <v>165</v>
      </c>
      <c r="F535" s="149" t="n">
        <f aca="false" ca="false" dt2D="false" dtr="false" t="normal">HEX2DEC(F533)</f>
        <v>1</v>
      </c>
      <c r="G535" s="149" t="n">
        <f aca="false" ca="false" dt2D="false" dtr="false" t="normal">HEX2DEC(G533)</f>
        <v>73</v>
      </c>
      <c r="H535" s="53" t="n">
        <f aca="false" ca="false" dt2D="false" dtr="false" t="normal">HEX2DEC(H533)</f>
        <v>0</v>
      </c>
      <c r="I535" s="53" t="n">
        <f aca="false" ca="false" dt2D="false" dtr="false" t="normal">HEX2DEC(I533)</f>
        <v>0</v>
      </c>
      <c r="J535" s="53" t="n">
        <f aca="false" ca="false" dt2D="false" dtr="false" t="normal">HEX2DEC(J533)</f>
        <v>0</v>
      </c>
      <c r="K535" s="53" t="n">
        <f aca="false" ca="false" dt2D="false" dtr="false" t="normal">HEX2DEC(K533)</f>
        <v>0</v>
      </c>
      <c r="L535" s="53" t="n">
        <f aca="false" ca="false" dt2D="false" dtr="false" t="normal">HEX2DEC(L533)</f>
        <v>0</v>
      </c>
      <c r="M535" s="53" t="n">
        <f aca="false" ca="false" dt2D="false" dtr="false" t="normal">SUM(D535:L535)</f>
        <v>246</v>
      </c>
      <c r="N535" s="63" t="n"/>
      <c r="P535" s="136" t="n">
        <f aca="false" ca="false" dt2D="false" dtr="false" t="normal">MID(H534, 2, 1)</f>
        <v>0</v>
      </c>
      <c r="Q535" s="137" t="n">
        <f aca="false" ca="false" dt2D="false" dtr="false" t="normal">P535</f>
        <v>0</v>
      </c>
      <c r="R535" s="120" t="s">
        <v>192</v>
      </c>
      <c r="S535" s="131" t="s">
        <v>196</v>
      </c>
      <c r="T535" s="136" t="n">
        <f aca="false" ca="false" dt2D="false" dtr="false" t="normal">MID(I534, 2, 1)</f>
        <v>0</v>
      </c>
      <c r="U535" s="137" t="n">
        <f aca="false" ca="false" dt2D="false" dtr="false" t="normal">T535</f>
        <v>0</v>
      </c>
      <c r="V535" s="120" t="s">
        <v>192</v>
      </c>
      <c r="W535" s="131" t="s">
        <v>196</v>
      </c>
      <c r="X535" s="136" t="n">
        <f aca="false" ca="false" dt2D="false" dtr="false" t="normal">MID(J534, 2, 1)</f>
        <v>0</v>
      </c>
      <c r="Y535" s="137" t="n">
        <f aca="false" ca="false" dt2D="false" dtr="false" t="normal">X535</f>
        <v>0</v>
      </c>
      <c r="Z535" s="120" t="s">
        <v>192</v>
      </c>
      <c r="AA535" s="131" t="s">
        <v>196</v>
      </c>
      <c r="AB535" s="136" t="n">
        <f aca="false" ca="false" dt2D="false" dtr="false" t="normal">MID(K534, 2, 1)</f>
        <v>0</v>
      </c>
      <c r="AC535" s="137" t="n">
        <f aca="false" ca="false" dt2D="false" dtr="false" t="normal">AB535</f>
        <v>0</v>
      </c>
      <c r="AD535" s="120" t="s">
        <v>192</v>
      </c>
      <c r="AE535" s="131" t="s">
        <v>196</v>
      </c>
      <c r="AF535" s="136" t="n">
        <f aca="false" ca="false" dt2D="false" dtr="false" t="normal">MID(L534, 2, 1)</f>
        <v>0</v>
      </c>
      <c r="AG535" s="137" t="n">
        <f aca="false" ca="false" dt2D="false" dtr="false" t="normal">AF535</f>
        <v>0</v>
      </c>
      <c r="AH535" s="120" t="s">
        <v>192</v>
      </c>
      <c r="AI535" s="131" t="s">
        <v>196</v>
      </c>
      <c r="AJ535" s="10321" t="s"/>
      <c r="AK535" s="10322" t="s"/>
    </row>
    <row hidden="false" ht="15" outlineLevel="0" r="536">
      <c r="C536" s="98" t="s">
        <v>194</v>
      </c>
      <c r="D536" s="149" t="n">
        <f aca="false" ca="false" dt2D="false" dtr="false" t="normal">D533</f>
        <v>7</v>
      </c>
      <c r="E536" s="149" t="str">
        <f aca="false" ca="false" dt2D="false" dtr="false" t="normal">E533</f>
        <v>A5</v>
      </c>
      <c r="F536" s="149" t="str">
        <f aca="false" ca="false" dt2D="false" dtr="false" t="normal">MID($A$52, 4, 2)</f>
        <v>G1</v>
      </c>
      <c r="G536" s="149" t="str">
        <f aca="false" ca="false" dt2D="false" dtr="false" t="normal">MID($A$52, 6, 2)</f>
        <v>J1</v>
      </c>
      <c r="N536" s="63" t="n"/>
      <c r="P536" s="136" t="n">
        <f aca="false" ca="false" dt2D="false" dtr="false" t="normal">MID(H534, 3, 1)</f>
        <v>0</v>
      </c>
      <c r="Q536" s="137" t="n">
        <f aca="false" ca="false" dt2D="false" dtr="false" t="normal">P536</f>
        <v>0</v>
      </c>
      <c r="R536" s="120" t="s">
        <v>195</v>
      </c>
      <c r="S536" s="131" t="s">
        <v>196</v>
      </c>
      <c r="T536" s="136" t="n">
        <f aca="false" ca="false" dt2D="false" dtr="false" t="normal">MID(I534, 3, 1)</f>
        <v>0</v>
      </c>
      <c r="U536" s="137" t="n">
        <f aca="false" ca="false" dt2D="false" dtr="false" t="normal">T536</f>
        <v>0</v>
      </c>
      <c r="V536" s="120" t="s">
        <v>195</v>
      </c>
      <c r="W536" s="131" t="s">
        <v>196</v>
      </c>
      <c r="X536" s="136" t="n">
        <f aca="false" ca="false" dt2D="false" dtr="false" t="normal">MID(J534, 3, 1)</f>
        <v>0</v>
      </c>
      <c r="Y536" s="137" t="n">
        <f aca="false" ca="false" dt2D="false" dtr="false" t="normal">X536</f>
        <v>0</v>
      </c>
      <c r="Z536" s="120" t="s">
        <v>195</v>
      </c>
      <c r="AA536" s="131" t="s">
        <v>196</v>
      </c>
      <c r="AB536" s="136" t="n">
        <f aca="false" ca="false" dt2D="false" dtr="false" t="normal">MID(K534, 3, 1)</f>
        <v>0</v>
      </c>
      <c r="AC536" s="137" t="n">
        <f aca="false" ca="false" dt2D="false" dtr="false" t="normal">AB536</f>
        <v>0</v>
      </c>
      <c r="AD536" s="120" t="s">
        <v>195</v>
      </c>
      <c r="AE536" s="131" t="s">
        <v>196</v>
      </c>
      <c r="AF536" s="136" t="n">
        <f aca="false" ca="false" dt2D="false" dtr="false" t="normal">MID(L534, 3, 1)</f>
        <v>0</v>
      </c>
      <c r="AG536" s="137" t="n">
        <f aca="false" ca="false" dt2D="false" dtr="false" t="normal">AF536</f>
        <v>0</v>
      </c>
      <c r="AH536" s="120" t="s">
        <v>195</v>
      </c>
      <c r="AI536" s="131" t="s">
        <v>196</v>
      </c>
      <c r="AJ536" s="10323" t="s"/>
      <c r="AK536" s="10324" t="s"/>
    </row>
    <row hidden="false" ht="15.75" outlineLevel="0" r="537">
      <c r="C537" s="98" t="n"/>
      <c r="N537" s="63" t="n"/>
      <c r="P537" s="136" t="n">
        <f aca="false" ca="false" dt2D="false" dtr="false" t="normal">MID(H534, 4, 1)</f>
        <v>0</v>
      </c>
      <c r="Q537" s="137" t="n">
        <f aca="false" ca="false" dt2D="false" dtr="false" t="normal">P537</f>
        <v>0</v>
      </c>
      <c r="R537" s="120" t="s">
        <v>197</v>
      </c>
      <c r="S537" s="131" t="s">
        <v>196</v>
      </c>
      <c r="T537" s="136" t="n">
        <f aca="false" ca="false" dt2D="false" dtr="false" t="normal">MID(I534, 4, 1)</f>
        <v>0</v>
      </c>
      <c r="U537" s="137" t="n">
        <f aca="false" ca="false" dt2D="false" dtr="false" t="normal">T537</f>
        <v>0</v>
      </c>
      <c r="V537" s="120" t="s">
        <v>197</v>
      </c>
      <c r="W537" s="131" t="s">
        <v>196</v>
      </c>
      <c r="X537" s="136" t="n">
        <f aca="false" ca="false" dt2D="false" dtr="false" t="normal">MID(J534, 4, 1)</f>
        <v>0</v>
      </c>
      <c r="Y537" s="137" t="n">
        <f aca="false" ca="false" dt2D="false" dtr="false" t="normal">X537</f>
        <v>0</v>
      </c>
      <c r="Z537" s="120" t="s">
        <v>197</v>
      </c>
      <c r="AA537" s="131" t="s">
        <v>196</v>
      </c>
      <c r="AB537" s="136" t="n">
        <f aca="false" ca="false" dt2D="false" dtr="false" t="normal">MID(K534, 4, 1)</f>
        <v>0</v>
      </c>
      <c r="AC537" s="137" t="n">
        <f aca="false" ca="false" dt2D="false" dtr="false" t="normal">AB537</f>
        <v>0</v>
      </c>
      <c r="AD537" s="120" t="s">
        <v>197</v>
      </c>
      <c r="AE537" s="131" t="s">
        <v>196</v>
      </c>
      <c r="AF537" s="136" t="n">
        <f aca="false" ca="false" dt2D="false" dtr="false" t="normal">MID(L534, 4, 1)</f>
        <v>0</v>
      </c>
      <c r="AG537" s="137" t="n">
        <f aca="false" ca="false" dt2D="false" dtr="false" t="normal">AF537</f>
        <v>0</v>
      </c>
      <c r="AH537" s="120" t="s">
        <v>197</v>
      </c>
      <c r="AI537" s="131" t="s">
        <v>196</v>
      </c>
      <c r="AJ537" s="10325" t="s"/>
      <c r="AK537" s="10326" t="s"/>
    </row>
    <row hidden="false" ht="15.75" outlineLevel="0" r="538">
      <c r="C538" s="98" t="s">
        <v>176</v>
      </c>
      <c r="D538" s="122" t="n">
        <f aca="false" ca="false" dt2D="false" dtr="false" t="normal">D533</f>
        <v>7</v>
      </c>
      <c r="E538" s="123" t="str">
        <f aca="false" ca="false" dt2D="false" dtr="false" t="normal">E533</f>
        <v>A5</v>
      </c>
      <c r="F538" s="123" t="n">
        <f aca="false" ca="false" dt2D="false" dtr="false" t="normal">F533</f>
        <v>1</v>
      </c>
      <c r="G538" s="124" t="n">
        <f aca="false" ca="false" dt2D="false" dtr="false" t="normal">G533</f>
        <v>49</v>
      </c>
      <c r="H538" s="162" t="n">
        <f aca="false" ca="false" dt2D="false" dtr="false" t="normal">BIN2HEX(H539, 2)</f>
        <v>0</v>
      </c>
      <c r="I538" s="163" t="n">
        <f aca="false" ca="false" dt2D="false" dtr="false" t="normal">BIN2HEX(I539, 2)</f>
        <v>0</v>
      </c>
      <c r="J538" s="164" t="n">
        <f aca="false" ca="false" dt2D="false" dtr="false" t="normal">BIN2HEX(J539, 2)</f>
        <v>0</v>
      </c>
      <c r="K538" s="165" t="n">
        <f aca="false" ca="false" dt2D="false" dtr="false" t="normal">BIN2HEX(K539, 2)</f>
        <v>0</v>
      </c>
      <c r="L538" s="288" t="n">
        <f aca="false" ca="false" dt2D="false" dtr="false" t="normal">BIN2HEX(L539, 2)</f>
        <v>0</v>
      </c>
      <c r="M538" s="166" t="str">
        <f aca="false" ca="false" dt2D="false" dtr="false" t="normal">IF(LEN(M539)&gt;2, MID(M539, 2, 2), M539)</f>
        <v>F6</v>
      </c>
      <c r="N538" s="63" t="s">
        <v>181</v>
      </c>
      <c r="P538" s="136" t="n">
        <f aca="false" ca="false" dt2D="false" dtr="false" t="normal">MID(H534, 5, 1)</f>
        <v>0</v>
      </c>
      <c r="Q538" s="137" t="n">
        <f aca="false" ca="false" dt2D="false" dtr="false" t="normal">P538</f>
        <v>0</v>
      </c>
      <c r="R538" s="120" t="s">
        <v>200</v>
      </c>
      <c r="S538" s="131" t="s">
        <v>196</v>
      </c>
      <c r="T538" s="136" t="n">
        <f aca="false" ca="false" dt2D="false" dtr="false" t="normal">MID(I534, 5, 1)</f>
        <v>0</v>
      </c>
      <c r="U538" s="137" t="n">
        <f aca="false" ca="false" dt2D="false" dtr="false" t="normal">T538</f>
        <v>0</v>
      </c>
      <c r="V538" s="120" t="s">
        <v>200</v>
      </c>
      <c r="W538" s="131" t="s">
        <v>196</v>
      </c>
      <c r="X538" s="136" t="n">
        <f aca="false" ca="false" dt2D="false" dtr="false" t="normal">MID(J534, 5, 1)</f>
        <v>0</v>
      </c>
      <c r="Y538" s="137" t="n">
        <f aca="false" ca="false" dt2D="false" dtr="false" t="normal">X538</f>
        <v>0</v>
      </c>
      <c r="Z538" s="120" t="s">
        <v>200</v>
      </c>
      <c r="AA538" s="131" t="s">
        <v>196</v>
      </c>
      <c r="AB538" s="136" t="n">
        <f aca="false" ca="false" dt2D="false" dtr="false" t="normal">MID(K534, 5, 1)</f>
        <v>0</v>
      </c>
      <c r="AC538" s="137" t="n">
        <f aca="false" ca="false" dt2D="false" dtr="false" t="normal">AB538</f>
        <v>0</v>
      </c>
      <c r="AD538" s="120" t="s">
        <v>200</v>
      </c>
      <c r="AE538" s="131" t="s">
        <v>196</v>
      </c>
      <c r="AF538" s="136" t="n">
        <f aca="false" ca="false" dt2D="false" dtr="false" t="normal">MID(L534, 5, 1)</f>
        <v>0</v>
      </c>
      <c r="AG538" s="137" t="n">
        <f aca="false" ca="false" dt2D="false" dtr="false" t="normal">AF538</f>
        <v>0</v>
      </c>
      <c r="AH538" s="120" t="s">
        <v>200</v>
      </c>
      <c r="AI538" s="131" t="s">
        <v>196</v>
      </c>
      <c r="AJ538" s="10327" t="s"/>
      <c r="AK538" s="10328" t="s"/>
    </row>
    <row hidden="false" ht="15" outlineLevel="0" r="539">
      <c r="C539" s="98" t="s">
        <v>185</v>
      </c>
      <c r="D539" s="149" t="n">
        <f aca="false" ca="false" dt2D="false" dtr="false" t="normal">HEX2BIN(D538, 8)</f>
        <v>111</v>
      </c>
      <c r="E539" s="149" t="n">
        <f aca="false" ca="false" dt2D="false" dtr="false" t="normal">HEX2BIN(E538, 8)</f>
        <v>10100101</v>
      </c>
      <c r="F539" s="149" t="n">
        <f aca="false" ca="false" dt2D="false" dtr="false" t="normal">HEX2BIN(F538, 8)</f>
        <v>1</v>
      </c>
      <c r="G539" s="149" t="n">
        <f aca="false" ca="false" dt2D="false" dtr="false" t="normal">HEX2BIN(G538, 8)</f>
        <v>1001001</v>
      </c>
      <c r="H539" s="53" t="n">
        <f aca="false" ca="false" dt2D="false" dtr="false" t="normal">Q534&amp;Q535&amp;Q536&amp;Q537&amp;Q538&amp;Q539&amp;Q540&amp;Q541</f>
        <v>0</v>
      </c>
      <c r="I539" s="53" t="n">
        <f aca="false" ca="false" dt2D="false" dtr="false" t="normal">U534&amp;U535&amp;U536&amp;U537&amp;U538&amp;U539&amp;U540&amp;U541</f>
        <v>0</v>
      </c>
      <c r="J539" s="53" t="n">
        <f aca="false" ca="false" dt2D="false" dtr="false" t="normal">Y534&amp;Y535&amp;Y536&amp;Y537&amp;Y538&amp;Y539&amp;Y540&amp;Y541</f>
        <v>0</v>
      </c>
      <c r="K539" s="53" t="n">
        <f aca="false" ca="false" dt2D="false" dtr="false" t="normal">AC534&amp;AC535&amp;AC536&amp;AC537&amp;AC538&amp;AC539&amp;AC540&amp;AC541</f>
        <v>0</v>
      </c>
      <c r="L539" s="53" t="n">
        <f aca="false" ca="false" dt2D="false" dtr="false" t="normal">AG534&amp;AG535&amp;AG536&amp;AG537&amp;AG538&amp;AG539&amp;AG540&amp;AG541</f>
        <v>0</v>
      </c>
      <c r="M539" s="53" t="str">
        <f aca="false" ca="false" dt2D="false" dtr="false" t="normal">DEC2HEX(M540)</f>
        <v>F6</v>
      </c>
      <c r="N539" s="63" t="n"/>
      <c r="P539" s="136" t="n">
        <f aca="false" ca="false" dt2D="false" dtr="false" t="normal">MID(H534, 6, 1)</f>
        <v>0</v>
      </c>
      <c r="Q539" s="137" t="n">
        <f aca="false" ca="false" dt2D="false" dtr="false" t="normal">P539</f>
        <v>0</v>
      </c>
      <c r="R539" s="120" t="s">
        <v>203</v>
      </c>
      <c r="S539" s="131" t="s">
        <v>196</v>
      </c>
      <c r="T539" s="136" t="n">
        <f aca="false" ca="false" dt2D="false" dtr="false" t="normal">MID(I534, 6, 1)</f>
        <v>0</v>
      </c>
      <c r="U539" s="137" t="n">
        <f aca="false" ca="false" dt2D="false" dtr="false" t="normal">T539</f>
        <v>0</v>
      </c>
      <c r="V539" s="120" t="s">
        <v>203</v>
      </c>
      <c r="W539" s="131" t="s">
        <v>196</v>
      </c>
      <c r="X539" s="136" t="n">
        <f aca="false" ca="false" dt2D="false" dtr="false" t="normal">MID(J534, 6, 1)</f>
        <v>0</v>
      </c>
      <c r="Y539" s="137" t="n">
        <f aca="false" ca="false" dt2D="false" dtr="false" t="normal">X539</f>
        <v>0</v>
      </c>
      <c r="Z539" s="120" t="s">
        <v>203</v>
      </c>
      <c r="AA539" s="131" t="s">
        <v>196</v>
      </c>
      <c r="AB539" s="136" t="n">
        <f aca="false" ca="false" dt2D="false" dtr="false" t="normal">MID(K534, 6, 1)</f>
        <v>0</v>
      </c>
      <c r="AC539" s="137" t="n">
        <f aca="false" ca="false" dt2D="false" dtr="false" t="normal">AB539</f>
        <v>0</v>
      </c>
      <c r="AD539" s="120" t="s">
        <v>203</v>
      </c>
      <c r="AE539" s="131" t="s">
        <v>196</v>
      </c>
      <c r="AF539" s="136" t="n">
        <f aca="false" ca="false" dt2D="false" dtr="false" t="normal">MID(L534, 6, 1)</f>
        <v>0</v>
      </c>
      <c r="AG539" s="137" t="n">
        <f aca="false" ca="false" dt2D="false" dtr="false" t="normal">AF539</f>
        <v>0</v>
      </c>
      <c r="AH539" s="120" t="s">
        <v>203</v>
      </c>
      <c r="AI539" s="131" t="s">
        <v>196</v>
      </c>
      <c r="AJ539" s="10329" t="s"/>
      <c r="AK539" s="10330" t="s"/>
    </row>
    <row hidden="false" ht="15" outlineLevel="0" r="540">
      <c r="C540" s="98" t="s">
        <v>191</v>
      </c>
      <c r="D540" s="149" t="n">
        <f aca="false" ca="false" dt2D="false" dtr="false" t="normal">HEX2DEC(D538)</f>
        <v>7</v>
      </c>
      <c r="E540" s="149" t="n">
        <f aca="false" ca="false" dt2D="false" dtr="false" t="normal">HEX2DEC(E538)</f>
        <v>165</v>
      </c>
      <c r="F540" s="149" t="n">
        <f aca="false" ca="false" dt2D="false" dtr="false" t="normal">HEX2DEC(F538)</f>
        <v>1</v>
      </c>
      <c r="G540" s="149" t="n">
        <f aca="false" ca="false" dt2D="false" dtr="false" t="normal">HEX2DEC(G538)</f>
        <v>73</v>
      </c>
      <c r="H540" s="53" t="n">
        <f aca="false" ca="false" dt2D="false" dtr="false" t="normal">HEX2DEC(H538)</f>
        <v>0</v>
      </c>
      <c r="I540" s="53" t="n">
        <f aca="false" ca="false" dt2D="false" dtr="false" t="normal">HEX2DEC(I538)</f>
        <v>0</v>
      </c>
      <c r="J540" s="53" t="n">
        <f aca="false" ca="false" dt2D="false" dtr="false" t="normal">HEX2DEC(J538)</f>
        <v>0</v>
      </c>
      <c r="K540" s="53" t="n">
        <f aca="false" ca="false" dt2D="false" dtr="false" t="normal">HEX2DEC(K538)</f>
        <v>0</v>
      </c>
      <c r="L540" s="53" t="n">
        <f aca="false" ca="false" dt2D="false" dtr="false" t="normal">HEX2DEC(L538)</f>
        <v>0</v>
      </c>
      <c r="M540" s="53" t="n">
        <f aca="false" ca="false" dt2D="false" dtr="false" t="normal">SUM(D540:L540)</f>
        <v>246</v>
      </c>
      <c r="N540" s="63" t="n"/>
      <c r="P540" s="136" t="n">
        <f aca="false" ca="false" dt2D="false" dtr="false" t="normal">MID(H534, 7, 1)</f>
        <v>0</v>
      </c>
      <c r="Q540" s="137" t="n">
        <f aca="false" ca="false" dt2D="false" dtr="false" t="normal">P540</f>
        <v>0</v>
      </c>
      <c r="R540" s="120" t="s">
        <v>206</v>
      </c>
      <c r="S540" s="131" t="s">
        <v>196</v>
      </c>
      <c r="T540" s="136" t="n">
        <f aca="false" ca="false" dt2D="false" dtr="false" t="normal">MID(I534, 7, 1)</f>
        <v>0</v>
      </c>
      <c r="U540" s="137" t="n">
        <f aca="false" ca="false" dt2D="false" dtr="false" t="normal">T540</f>
        <v>0</v>
      </c>
      <c r="V540" s="120" t="s">
        <v>206</v>
      </c>
      <c r="W540" s="131" t="s">
        <v>196</v>
      </c>
      <c r="X540" s="136" t="n">
        <f aca="false" ca="false" dt2D="false" dtr="false" t="normal">MID(J534, 7, 1)</f>
        <v>0</v>
      </c>
      <c r="Y540" s="137" t="n">
        <f aca="false" ca="false" dt2D="false" dtr="false" t="normal">X540</f>
        <v>0</v>
      </c>
      <c r="Z540" s="120" t="s">
        <v>206</v>
      </c>
      <c r="AA540" s="131" t="s">
        <v>196</v>
      </c>
      <c r="AB540" s="136" t="n">
        <f aca="false" ca="false" dt2D="false" dtr="false" t="normal">MID(K534, 7, 1)</f>
        <v>0</v>
      </c>
      <c r="AC540" s="137" t="n">
        <f aca="false" ca="false" dt2D="false" dtr="false" t="normal">AB540</f>
        <v>0</v>
      </c>
      <c r="AD540" s="120" t="s">
        <v>206</v>
      </c>
      <c r="AE540" s="131" t="s">
        <v>196</v>
      </c>
      <c r="AF540" s="136" t="n">
        <f aca="false" ca="false" dt2D="false" dtr="false" t="normal">MID(L534, 7, 1)</f>
        <v>0</v>
      </c>
      <c r="AG540" s="137" t="n">
        <f aca="false" ca="false" dt2D="false" dtr="false" t="normal">AF540</f>
        <v>0</v>
      </c>
      <c r="AH540" s="120" t="s">
        <v>206</v>
      </c>
      <c r="AI540" s="131" t="s">
        <v>196</v>
      </c>
      <c r="AJ540" s="10331" t="s"/>
      <c r="AK540" s="10332" t="s"/>
    </row>
    <row hidden="false" ht="15.75" outlineLevel="0" r="541">
      <c r="C541" s="180" t="s">
        <v>194</v>
      </c>
      <c r="D541" s="181" t="n">
        <f aca="false" ca="false" dt2D="false" dtr="false" t="normal">D536</f>
        <v>7</v>
      </c>
      <c r="E541" s="181" t="str">
        <f aca="false" ca="false" dt2D="false" dtr="false" t="normal">E536</f>
        <v>A5</v>
      </c>
      <c r="F541" s="181" t="str">
        <f aca="false" ca="false" dt2D="false" dtr="false" t="normal">F536</f>
        <v>G1</v>
      </c>
      <c r="G541" s="181" t="str">
        <f aca="false" ca="false" dt2D="false" dtr="false" t="normal">G536</f>
        <v>J1</v>
      </c>
      <c r="H541" s="45" t="n"/>
      <c r="I541" s="45" t="n"/>
      <c r="J541" s="45" t="n"/>
      <c r="K541" s="45" t="n"/>
      <c r="L541" s="45" t="n"/>
      <c r="M541" s="45" t="n"/>
      <c r="N541" s="49" t="n"/>
      <c r="P541" s="182" t="n">
        <f aca="false" ca="false" dt2D="false" dtr="false" t="normal">MID(H534, 8, 1)</f>
        <v>0</v>
      </c>
      <c r="Q541" s="183" t="n">
        <f aca="false" ca="false" dt2D="false" dtr="false" t="normal">P541</f>
        <v>0</v>
      </c>
      <c r="R541" s="184" t="s">
        <v>208</v>
      </c>
      <c r="S541" s="185" t="s">
        <v>196</v>
      </c>
      <c r="T541" s="182" t="n">
        <f aca="false" ca="false" dt2D="false" dtr="false" t="normal">MID(I534, 8, 1)</f>
        <v>0</v>
      </c>
      <c r="U541" s="183" t="n">
        <f aca="false" ca="false" dt2D="false" dtr="false" t="normal">T541</f>
        <v>0</v>
      </c>
      <c r="V541" s="184" t="s">
        <v>208</v>
      </c>
      <c r="W541" s="185" t="s">
        <v>196</v>
      </c>
      <c r="X541" s="182" t="n">
        <f aca="false" ca="false" dt2D="false" dtr="false" t="normal">MID(J534, 8, 1)</f>
        <v>0</v>
      </c>
      <c r="Y541" s="183" t="n">
        <f aca="false" ca="false" dt2D="false" dtr="false" t="normal">X541</f>
        <v>0</v>
      </c>
      <c r="Z541" s="184" t="s">
        <v>208</v>
      </c>
      <c r="AA541" s="185" t="s">
        <v>196</v>
      </c>
      <c r="AB541" s="182" t="n">
        <f aca="false" ca="false" dt2D="false" dtr="false" t="normal">MID(K534, 8, 1)</f>
        <v>0</v>
      </c>
      <c r="AC541" s="183" t="n">
        <f aca="false" ca="false" dt2D="false" dtr="false" t="normal">AB541</f>
        <v>0</v>
      </c>
      <c r="AD541" s="184" t="s">
        <v>208</v>
      </c>
      <c r="AE541" s="185" t="s">
        <v>196</v>
      </c>
      <c r="AF541" s="182" t="n">
        <f aca="false" ca="false" dt2D="false" dtr="false" t="normal">MID(L534, 8, 1)</f>
        <v>0</v>
      </c>
      <c r="AG541" s="183" t="n">
        <f aca="false" ca="false" dt2D="false" dtr="false" t="normal">AF541</f>
        <v>0</v>
      </c>
      <c r="AH541" s="184" t="s">
        <v>208</v>
      </c>
      <c r="AI541" s="185" t="s">
        <v>196</v>
      </c>
      <c r="AJ541" s="10333" t="s"/>
      <c r="AK541" s="10334" t="s"/>
    </row>
    <row hidden="false" ht="15.75" outlineLevel="0" r="542">
      <c r="C542" s="93" t="n"/>
      <c r="D542" s="7585" t="n"/>
      <c r="E542" s="7585" t="n"/>
      <c r="F542" s="7585" t="n"/>
      <c r="G542" s="7585" t="n"/>
      <c r="H542" s="94" t="n"/>
      <c r="I542" s="94" t="n"/>
      <c r="J542" s="94" t="n"/>
      <c r="K542" s="94" t="n"/>
      <c r="L542" s="94" t="n"/>
      <c r="M542" s="94" t="s">
        <v>161</v>
      </c>
      <c r="N542" s="60" t="n"/>
      <c r="P542" s="95" t="str">
        <f aca="false" ca="false" dt2D="false" dtr="false" t="normal">RIGHT(D544, 1)&amp;E544&amp;"-"&amp;F544&amp;"-"&amp;G544</f>
        <v>7A5-01-50</v>
      </c>
      <c r="Q542" s="10335" t="s"/>
      <c r="R542" s="234" t="s">
        <v>4328</v>
      </c>
      <c r="S542" s="10336" t="s"/>
      <c r="T542" s="10337" t="s"/>
      <c r="U542" s="10338" t="s"/>
      <c r="V542" s="10339" t="s"/>
      <c r="W542" s="10340" t="s"/>
      <c r="X542" s="10341" t="s"/>
      <c r="Y542" s="10342" t="s"/>
      <c r="Z542" s="10343" t="s"/>
      <c r="AA542" s="10344" t="s"/>
      <c r="AB542" s="10345" t="s"/>
      <c r="AC542" s="10346" t="s"/>
      <c r="AD542" s="10347" t="s"/>
      <c r="AE542" s="10348" t="s"/>
      <c r="AF542" s="10349" t="s"/>
      <c r="AG542" s="10350" t="s"/>
      <c r="AH542" s="10351" t="s"/>
      <c r="AI542" s="10352" t="s"/>
      <c r="AJ542" s="10353" t="s"/>
      <c r="AK542" s="10354" t="s"/>
    </row>
    <row hidden="false" ht="15.75" outlineLevel="0" r="543">
      <c r="C543" s="98" t="n"/>
      <c r="D543" s="7606" t="s">
        <v>4329</v>
      </c>
      <c r="E543" s="10355" t="s"/>
      <c r="F543" s="10356" t="s"/>
      <c r="G543" s="10357" t="s"/>
      <c r="H543" s="53" t="s">
        <v>165</v>
      </c>
      <c r="I543" s="53" t="s">
        <v>166</v>
      </c>
      <c r="J543" s="53" t="s">
        <v>167</v>
      </c>
      <c r="K543" s="53" t="s">
        <v>168</v>
      </c>
      <c r="L543" s="53" t="s">
        <v>169</v>
      </c>
      <c r="M543" s="53" t="s">
        <v>221</v>
      </c>
      <c r="N543" s="63" t="n"/>
      <c r="P543" s="103" t="s">
        <v>4330</v>
      </c>
      <c r="Q543" s="10358" t="s"/>
      <c r="R543" s="10359" t="s"/>
      <c r="S543" s="10360" t="s"/>
      <c r="T543" s="103" t="s">
        <v>4331</v>
      </c>
      <c r="U543" s="10361" t="s"/>
      <c r="V543" s="10362" t="s"/>
      <c r="W543" s="10363" t="s"/>
      <c r="X543" s="103" t="s">
        <v>4332</v>
      </c>
      <c r="Y543" s="10364" t="s"/>
      <c r="Z543" s="10365" t="s"/>
      <c r="AA543" s="10366" t="s"/>
      <c r="AB543" s="103" t="s">
        <v>4333</v>
      </c>
      <c r="AC543" s="10367" t="s"/>
      <c r="AD543" s="10368" t="s"/>
      <c r="AE543" s="10369" t="s"/>
      <c r="AF543" s="103" t="s">
        <v>4334</v>
      </c>
      <c r="AG543" s="10370" t="s"/>
      <c r="AH543" s="10371" t="s"/>
      <c r="AI543" s="10372" t="s"/>
      <c r="AJ543" s="103" t="s">
        <v>4335</v>
      </c>
      <c r="AK543" s="10373" t="s"/>
    </row>
    <row hidden="false" ht="15.75" outlineLevel="0" r="544">
      <c r="C544" s="98" t="s">
        <v>176</v>
      </c>
      <c r="D544" s="122" t="s">
        <v>177</v>
      </c>
      <c r="E544" s="123" t="s">
        <v>3892</v>
      </c>
      <c r="F544" s="123" t="s">
        <v>179</v>
      </c>
      <c r="G544" s="124" t="s">
        <v>905</v>
      </c>
      <c r="H544" s="273" t="n">
        <f aca="false" ca="false" dt2D="false" dtr="false" t="normal">MID($A$53, 8, 2)</f>
        <v>0</v>
      </c>
      <c r="I544" s="7626" t="n">
        <f aca="false" ca="false" dt2D="false" dtr="false" t="normal">MID($A$53, 10, 2)</f>
        <v>0</v>
      </c>
      <c r="J544" s="7626" t="n">
        <f aca="false" ca="false" dt2D="false" dtr="false" t="normal">MID($A$53, 12, 2)</f>
        <v>0</v>
      </c>
      <c r="K544" s="7626" t="n">
        <f aca="false" ca="false" dt2D="false" dtr="false" t="normal">MID($A$53, 14, 2)</f>
        <v>0</v>
      </c>
      <c r="L544" s="7627" t="n">
        <f aca="false" ca="false" dt2D="false" dtr="false" t="normal">MID($A$53, 16, 2)</f>
        <v>0</v>
      </c>
      <c r="M544" s="7553" t="str">
        <f aca="false" ca="false" dt2D="false" dtr="false" t="normal">MID($A$53, 18, 2)</f>
        <v>FD</v>
      </c>
      <c r="N544" s="63" t="s">
        <v>180</v>
      </c>
      <c r="P544" s="129" t="s">
        <v>180</v>
      </c>
      <c r="Q544" s="130" t="s">
        <v>181</v>
      </c>
      <c r="R544" s="121" t="s">
        <v>182</v>
      </c>
      <c r="S544" s="131" t="n"/>
      <c r="T544" s="129" t="s">
        <v>180</v>
      </c>
      <c r="U544" s="130" t="s">
        <v>181</v>
      </c>
      <c r="V544" s="121" t="s">
        <v>182</v>
      </c>
      <c r="W544" s="131" t="n"/>
      <c r="X544" s="129" t="s">
        <v>180</v>
      </c>
      <c r="Y544" s="130" t="s">
        <v>181</v>
      </c>
      <c r="Z544" s="121" t="s">
        <v>182</v>
      </c>
      <c r="AA544" s="131" t="n"/>
      <c r="AB544" s="129" t="s">
        <v>180</v>
      </c>
      <c r="AC544" s="130" t="s">
        <v>181</v>
      </c>
      <c r="AD544" s="121" t="s">
        <v>182</v>
      </c>
      <c r="AE544" s="131" t="n"/>
      <c r="AF544" s="129" t="s">
        <v>180</v>
      </c>
      <c r="AG544" s="130" t="s">
        <v>181</v>
      </c>
      <c r="AH544" s="121" t="s">
        <v>182</v>
      </c>
      <c r="AI544" s="121" t="n"/>
      <c r="AJ544" s="116" t="s">
        <v>183</v>
      </c>
      <c r="AK544" s="10374" t="s"/>
    </row>
    <row hidden="false" ht="15" outlineLevel="0" r="545">
      <c r="C545" s="98" t="s">
        <v>185</v>
      </c>
      <c r="D545" s="149" t="n">
        <f aca="false" ca="false" dt2D="false" dtr="false" t="normal">HEX2BIN(D544, 8)</f>
        <v>111</v>
      </c>
      <c r="E545" s="149" t="n">
        <f aca="false" ca="false" dt2D="false" dtr="false" t="normal">HEX2BIN(E544, 8)</f>
        <v>10100101</v>
      </c>
      <c r="F545" s="149" t="n">
        <f aca="false" ca="false" dt2D="false" dtr="false" t="normal">HEX2BIN(F544, 8)</f>
        <v>1</v>
      </c>
      <c r="G545" s="149" t="n">
        <f aca="false" ca="false" dt2D="false" dtr="false" t="normal">HEX2BIN(G544, 8)</f>
        <v>1010000</v>
      </c>
      <c r="H545" s="53" t="n">
        <f aca="false" ca="false" dt2D="false" dtr="false" t="normal">HEX2BIN(H544, 8)</f>
        <v>0</v>
      </c>
      <c r="I545" s="53" t="n">
        <f aca="false" ca="false" dt2D="false" dtr="false" t="normal">HEX2BIN(I544, 8)</f>
        <v>0</v>
      </c>
      <c r="J545" s="53" t="n">
        <f aca="false" ca="false" dt2D="false" dtr="false" t="normal">HEX2BIN(J544, 8)</f>
        <v>0</v>
      </c>
      <c r="K545" s="53" t="n">
        <f aca="false" ca="false" dt2D="false" dtr="false" t="normal">HEX2BIN(K544, 8)</f>
        <v>0</v>
      </c>
      <c r="L545" s="53" t="n">
        <f aca="false" ca="false" dt2D="false" dtr="false" t="normal">HEX2BIN(L544, 8)</f>
        <v>0</v>
      </c>
      <c r="M545" s="53" t="n"/>
      <c r="N545" s="63" t="n"/>
      <c r="P545" s="136" t="n">
        <f aca="false" ca="false" dt2D="false" dtr="false" t="normal">MID(H545, 1, 1)</f>
        <v>0</v>
      </c>
      <c r="Q545" s="137" t="n">
        <f aca="false" ca="false" dt2D="false" dtr="false" t="normal">P545</f>
        <v>0</v>
      </c>
      <c r="R545" s="120" t="s">
        <v>186</v>
      </c>
      <c r="S545" s="131" t="s">
        <v>196</v>
      </c>
      <c r="T545" s="136" t="n">
        <f aca="false" ca="false" dt2D="false" dtr="false" t="normal">MID(I545, 1, 1)</f>
        <v>0</v>
      </c>
      <c r="U545" s="137" t="n">
        <f aca="false" ca="false" dt2D="false" dtr="false" t="normal">T545</f>
        <v>0</v>
      </c>
      <c r="V545" s="120" t="s">
        <v>186</v>
      </c>
      <c r="W545" s="131" t="s">
        <v>196</v>
      </c>
      <c r="X545" s="136" t="n">
        <f aca="false" ca="false" dt2D="false" dtr="false" t="normal">MID(J545, 1, 1)</f>
        <v>0</v>
      </c>
      <c r="Y545" s="137" t="n">
        <f aca="false" ca="false" dt2D="false" dtr="false" t="normal">X545</f>
        <v>0</v>
      </c>
      <c r="Z545" s="120" t="s">
        <v>186</v>
      </c>
      <c r="AA545" s="131" t="s">
        <v>196</v>
      </c>
      <c r="AB545" s="136" t="n">
        <f aca="false" ca="false" dt2D="false" dtr="false" t="normal">MID(K545, 1, 1)</f>
        <v>0</v>
      </c>
      <c r="AC545" s="137" t="n">
        <f aca="false" ca="false" dt2D="false" dtr="false" t="normal">AB545</f>
        <v>0</v>
      </c>
      <c r="AD545" s="120" t="s">
        <v>186</v>
      </c>
      <c r="AE545" s="131" t="s">
        <v>196</v>
      </c>
      <c r="AF545" s="136" t="n">
        <f aca="false" ca="false" dt2D="false" dtr="false" t="normal">MID(L545, 1, 1)</f>
        <v>0</v>
      </c>
      <c r="AG545" s="137" t="n">
        <f aca="false" ca="false" dt2D="false" dtr="false" t="normal">AF545</f>
        <v>0</v>
      </c>
      <c r="AH545" s="120" t="s">
        <v>186</v>
      </c>
      <c r="AI545" s="131" t="s">
        <v>196</v>
      </c>
      <c r="AJ545" s="10375" t="s"/>
      <c r="AK545" s="10376" t="s"/>
    </row>
    <row hidden="false" ht="15" outlineLevel="0" r="546">
      <c r="C546" s="98" t="s">
        <v>191</v>
      </c>
      <c r="D546" s="149" t="n">
        <f aca="false" ca="false" dt2D="false" dtr="false" t="normal">HEX2DEC(D544)</f>
        <v>7</v>
      </c>
      <c r="E546" s="149" t="n">
        <f aca="false" ca="false" dt2D="false" dtr="false" t="normal">HEX2DEC(E544)</f>
        <v>165</v>
      </c>
      <c r="F546" s="149" t="n">
        <f aca="false" ca="false" dt2D="false" dtr="false" t="normal">HEX2DEC(F544)</f>
        <v>1</v>
      </c>
      <c r="G546" s="149" t="n">
        <f aca="false" ca="false" dt2D="false" dtr="false" t="normal">HEX2DEC(G544)</f>
        <v>80</v>
      </c>
      <c r="H546" s="53" t="n">
        <f aca="false" ca="false" dt2D="false" dtr="false" t="normal">HEX2DEC(H544)</f>
        <v>0</v>
      </c>
      <c r="I546" s="53" t="n">
        <f aca="false" ca="false" dt2D="false" dtr="false" t="normal">HEX2DEC(I544)</f>
        <v>0</v>
      </c>
      <c r="J546" s="53" t="n">
        <f aca="false" ca="false" dt2D="false" dtr="false" t="normal">HEX2DEC(J544)</f>
        <v>0</v>
      </c>
      <c r="K546" s="53" t="n">
        <f aca="false" ca="false" dt2D="false" dtr="false" t="normal">HEX2DEC(K544)</f>
        <v>0</v>
      </c>
      <c r="L546" s="53" t="n">
        <f aca="false" ca="false" dt2D="false" dtr="false" t="normal">HEX2DEC(L544)</f>
        <v>0</v>
      </c>
      <c r="M546" s="53" t="n">
        <f aca="false" ca="false" dt2D="false" dtr="false" t="normal">SUM(D546:L546)</f>
        <v>253</v>
      </c>
      <c r="N546" s="63" t="n"/>
      <c r="P546" s="136" t="n">
        <f aca="false" ca="false" dt2D="false" dtr="false" t="normal">MID(H545, 2, 1)</f>
        <v>0</v>
      </c>
      <c r="Q546" s="137" t="n">
        <f aca="false" ca="false" dt2D="false" dtr="false" t="normal">P546</f>
        <v>0</v>
      </c>
      <c r="R546" s="120" t="s">
        <v>192</v>
      </c>
      <c r="S546" s="131" t="s">
        <v>196</v>
      </c>
      <c r="T546" s="136" t="n">
        <f aca="false" ca="false" dt2D="false" dtr="false" t="normal">MID(I545, 2, 1)</f>
        <v>0</v>
      </c>
      <c r="U546" s="137" t="n">
        <f aca="false" ca="false" dt2D="false" dtr="false" t="normal">T546</f>
        <v>0</v>
      </c>
      <c r="V546" s="120" t="s">
        <v>192</v>
      </c>
      <c r="W546" s="131" t="s">
        <v>196</v>
      </c>
      <c r="X546" s="136" t="n">
        <f aca="false" ca="false" dt2D="false" dtr="false" t="normal">MID(J545, 2, 1)</f>
        <v>0</v>
      </c>
      <c r="Y546" s="137" t="n">
        <f aca="false" ca="false" dt2D="false" dtr="false" t="normal">X546</f>
        <v>0</v>
      </c>
      <c r="Z546" s="120" t="s">
        <v>192</v>
      </c>
      <c r="AA546" s="131" t="s">
        <v>196</v>
      </c>
      <c r="AB546" s="136" t="n">
        <f aca="false" ca="false" dt2D="false" dtr="false" t="normal">MID(K545, 2, 1)</f>
        <v>0</v>
      </c>
      <c r="AC546" s="137" t="n">
        <f aca="false" ca="false" dt2D="false" dtr="false" t="normal">AB546</f>
        <v>0</v>
      </c>
      <c r="AD546" s="120" t="s">
        <v>192</v>
      </c>
      <c r="AE546" s="131" t="s">
        <v>196</v>
      </c>
      <c r="AF546" s="136" t="n">
        <f aca="false" ca="false" dt2D="false" dtr="false" t="normal">MID(L545, 2, 1)</f>
        <v>0</v>
      </c>
      <c r="AG546" s="137" t="n">
        <f aca="false" ca="false" dt2D="false" dtr="false" t="normal">AF546</f>
        <v>0</v>
      </c>
      <c r="AH546" s="120" t="s">
        <v>192</v>
      </c>
      <c r="AI546" s="131" t="s">
        <v>196</v>
      </c>
      <c r="AJ546" s="10377" t="s"/>
      <c r="AK546" s="10378" t="s"/>
    </row>
    <row hidden="false" ht="15" outlineLevel="0" r="547">
      <c r="C547" s="98" t="s">
        <v>194</v>
      </c>
      <c r="D547" s="149" t="n">
        <f aca="false" ca="false" dt2D="false" dtr="false" t="normal">D544</f>
        <v>7</v>
      </c>
      <c r="E547" s="149" t="str">
        <f aca="false" ca="false" dt2D="false" dtr="false" t="normal">E544</f>
        <v>A5</v>
      </c>
      <c r="F547" s="149" t="str">
        <f aca="false" ca="false" dt2D="false" dtr="false" t="normal">MID($A$53, 4, 2)</f>
        <v>G1</v>
      </c>
      <c r="G547" s="149" t="str">
        <f aca="false" ca="false" dt2D="false" dtr="false" t="normal">MID($A$53, 6, 2)</f>
        <v>J2</v>
      </c>
      <c r="N547" s="63" t="n"/>
      <c r="P547" s="136" t="n">
        <f aca="false" ca="false" dt2D="false" dtr="false" t="normal">MID(H545, 3, 1)</f>
        <v>0</v>
      </c>
      <c r="Q547" s="137" t="n">
        <f aca="false" ca="false" dt2D="false" dtr="false" t="normal">P547</f>
        <v>0</v>
      </c>
      <c r="R547" s="120" t="s">
        <v>195</v>
      </c>
      <c r="S547" s="131" t="s">
        <v>196</v>
      </c>
      <c r="T547" s="136" t="n">
        <f aca="false" ca="false" dt2D="false" dtr="false" t="normal">MID(I545, 3, 1)</f>
        <v>0</v>
      </c>
      <c r="U547" s="137" t="n">
        <f aca="false" ca="false" dt2D="false" dtr="false" t="normal">T547</f>
        <v>0</v>
      </c>
      <c r="V547" s="120" t="s">
        <v>195</v>
      </c>
      <c r="W547" s="131" t="s">
        <v>196</v>
      </c>
      <c r="X547" s="136" t="n">
        <f aca="false" ca="false" dt2D="false" dtr="false" t="normal">MID(J545, 3, 1)</f>
        <v>0</v>
      </c>
      <c r="Y547" s="137" t="n">
        <f aca="false" ca="false" dt2D="false" dtr="false" t="normal">X547</f>
        <v>0</v>
      </c>
      <c r="Z547" s="120" t="s">
        <v>195</v>
      </c>
      <c r="AA547" s="131" t="s">
        <v>196</v>
      </c>
      <c r="AB547" s="136" t="n">
        <f aca="false" ca="false" dt2D="false" dtr="false" t="normal">MID(K545, 3, 1)</f>
        <v>0</v>
      </c>
      <c r="AC547" s="137" t="n">
        <f aca="false" ca="false" dt2D="false" dtr="false" t="normal">AB547</f>
        <v>0</v>
      </c>
      <c r="AD547" s="120" t="s">
        <v>195</v>
      </c>
      <c r="AE547" s="131" t="s">
        <v>196</v>
      </c>
      <c r="AF547" s="136" t="n">
        <f aca="false" ca="false" dt2D="false" dtr="false" t="normal">MID(L545, 3, 1)</f>
        <v>0</v>
      </c>
      <c r="AG547" s="137" t="n">
        <f aca="false" ca="false" dt2D="false" dtr="false" t="normal">AF547</f>
        <v>0</v>
      </c>
      <c r="AH547" s="120" t="s">
        <v>195</v>
      </c>
      <c r="AI547" s="131" t="s">
        <v>196</v>
      </c>
      <c r="AJ547" s="10379" t="s"/>
      <c r="AK547" s="10380" t="s"/>
    </row>
    <row hidden="false" ht="15.75" outlineLevel="0" r="548">
      <c r="C548" s="98" t="n"/>
      <c r="N548" s="63" t="n"/>
      <c r="P548" s="136" t="n">
        <f aca="false" ca="false" dt2D="false" dtr="false" t="normal">MID(H545, 4, 1)</f>
        <v>0</v>
      </c>
      <c r="Q548" s="137" t="n">
        <f aca="false" ca="false" dt2D="false" dtr="false" t="normal">P548</f>
        <v>0</v>
      </c>
      <c r="R548" s="120" t="s">
        <v>197</v>
      </c>
      <c r="S548" s="131" t="s">
        <v>196</v>
      </c>
      <c r="T548" s="136" t="n">
        <f aca="false" ca="false" dt2D="false" dtr="false" t="normal">MID(I545, 4, 1)</f>
        <v>0</v>
      </c>
      <c r="U548" s="137" t="n">
        <f aca="false" ca="false" dt2D="false" dtr="false" t="normal">T548</f>
        <v>0</v>
      </c>
      <c r="V548" s="120" t="s">
        <v>197</v>
      </c>
      <c r="W548" s="131" t="s">
        <v>196</v>
      </c>
      <c r="X548" s="136" t="n">
        <f aca="false" ca="false" dt2D="false" dtr="false" t="normal">MID(J545, 4, 1)</f>
        <v>0</v>
      </c>
      <c r="Y548" s="137" t="n">
        <f aca="false" ca="false" dt2D="false" dtr="false" t="normal">X548</f>
        <v>0</v>
      </c>
      <c r="Z548" s="120" t="s">
        <v>197</v>
      </c>
      <c r="AA548" s="131" t="s">
        <v>196</v>
      </c>
      <c r="AB548" s="136" t="n">
        <f aca="false" ca="false" dt2D="false" dtr="false" t="normal">MID(K545, 4, 1)</f>
        <v>0</v>
      </c>
      <c r="AC548" s="137" t="n">
        <f aca="false" ca="false" dt2D="false" dtr="false" t="normal">AB548</f>
        <v>0</v>
      </c>
      <c r="AD548" s="120" t="s">
        <v>197</v>
      </c>
      <c r="AE548" s="131" t="s">
        <v>196</v>
      </c>
      <c r="AF548" s="136" t="n">
        <f aca="false" ca="false" dt2D="false" dtr="false" t="normal">MID(L545, 4, 1)</f>
        <v>0</v>
      </c>
      <c r="AG548" s="137" t="n">
        <f aca="false" ca="false" dt2D="false" dtr="false" t="normal">AF548</f>
        <v>0</v>
      </c>
      <c r="AH548" s="120" t="s">
        <v>197</v>
      </c>
      <c r="AI548" s="131" t="s">
        <v>196</v>
      </c>
      <c r="AJ548" s="10381" t="s"/>
      <c r="AK548" s="10382" t="s"/>
    </row>
    <row hidden="false" ht="15.75" outlineLevel="0" r="549">
      <c r="C549" s="98" t="s">
        <v>176</v>
      </c>
      <c r="D549" s="122" t="n">
        <f aca="false" ca="false" dt2D="false" dtr="false" t="normal">D544</f>
        <v>7</v>
      </c>
      <c r="E549" s="123" t="str">
        <f aca="false" ca="false" dt2D="false" dtr="false" t="normal">E544</f>
        <v>A5</v>
      </c>
      <c r="F549" s="123" t="n">
        <f aca="false" ca="false" dt2D="false" dtr="false" t="normal">F544</f>
        <v>1</v>
      </c>
      <c r="G549" s="124" t="n">
        <f aca="false" ca="false" dt2D="false" dtr="false" t="normal">G544</f>
        <v>50</v>
      </c>
      <c r="H549" s="162" t="n">
        <f aca="false" ca="false" dt2D="false" dtr="false" t="normal">BIN2HEX(H550, 2)</f>
        <v>0</v>
      </c>
      <c r="I549" s="163" t="n">
        <f aca="false" ca="false" dt2D="false" dtr="false" t="normal">BIN2HEX(I550, 2)</f>
        <v>0</v>
      </c>
      <c r="J549" s="164" t="n">
        <f aca="false" ca="false" dt2D="false" dtr="false" t="normal">BIN2HEX(J550, 2)</f>
        <v>0</v>
      </c>
      <c r="K549" s="165" t="n">
        <f aca="false" ca="false" dt2D="false" dtr="false" t="normal">BIN2HEX(K550, 2)</f>
        <v>0</v>
      </c>
      <c r="L549" s="288" t="n">
        <f aca="false" ca="false" dt2D="false" dtr="false" t="normal">BIN2HEX(L550, 2)</f>
        <v>0</v>
      </c>
      <c r="M549" s="166" t="str">
        <f aca="false" ca="false" dt2D="false" dtr="false" t="normal">IF(LEN(M550)&gt;2, MID(M550, 2, 2), M550)</f>
        <v>FD</v>
      </c>
      <c r="N549" s="63" t="s">
        <v>181</v>
      </c>
      <c r="P549" s="136" t="n">
        <f aca="false" ca="false" dt2D="false" dtr="false" t="normal">MID(H545, 5, 1)</f>
        <v>0</v>
      </c>
      <c r="Q549" s="137" t="n">
        <f aca="false" ca="false" dt2D="false" dtr="false" t="normal">P549</f>
        <v>0</v>
      </c>
      <c r="R549" s="120" t="s">
        <v>200</v>
      </c>
      <c r="S549" s="131" t="s">
        <v>196</v>
      </c>
      <c r="T549" s="136" t="n">
        <f aca="false" ca="false" dt2D="false" dtr="false" t="normal">MID(I545, 5, 1)</f>
        <v>0</v>
      </c>
      <c r="U549" s="137" t="n">
        <f aca="false" ca="false" dt2D="false" dtr="false" t="normal">T549</f>
        <v>0</v>
      </c>
      <c r="V549" s="120" t="s">
        <v>200</v>
      </c>
      <c r="W549" s="131" t="s">
        <v>196</v>
      </c>
      <c r="X549" s="136" t="n">
        <f aca="false" ca="false" dt2D="false" dtr="false" t="normal">MID(J545, 5, 1)</f>
        <v>0</v>
      </c>
      <c r="Y549" s="137" t="n">
        <f aca="false" ca="false" dt2D="false" dtr="false" t="normal">X549</f>
        <v>0</v>
      </c>
      <c r="Z549" s="120" t="s">
        <v>200</v>
      </c>
      <c r="AA549" s="131" t="s">
        <v>196</v>
      </c>
      <c r="AB549" s="136" t="n">
        <f aca="false" ca="false" dt2D="false" dtr="false" t="normal">MID(K545, 5, 1)</f>
        <v>0</v>
      </c>
      <c r="AC549" s="137" t="n">
        <f aca="false" ca="false" dt2D="false" dtr="false" t="normal">AB549</f>
        <v>0</v>
      </c>
      <c r="AD549" s="120" t="s">
        <v>200</v>
      </c>
      <c r="AE549" s="131" t="s">
        <v>196</v>
      </c>
      <c r="AF549" s="136" t="n">
        <f aca="false" ca="false" dt2D="false" dtr="false" t="normal">MID(L545, 5, 1)</f>
        <v>0</v>
      </c>
      <c r="AG549" s="137" t="n">
        <f aca="false" ca="false" dt2D="false" dtr="false" t="normal">AF549</f>
        <v>0</v>
      </c>
      <c r="AH549" s="120" t="s">
        <v>200</v>
      </c>
      <c r="AI549" s="131" t="s">
        <v>196</v>
      </c>
      <c r="AJ549" s="10383" t="s"/>
      <c r="AK549" s="10384" t="s"/>
    </row>
    <row hidden="false" ht="15" outlineLevel="0" r="550">
      <c r="C550" s="98" t="s">
        <v>185</v>
      </c>
      <c r="D550" s="149" t="n">
        <f aca="false" ca="false" dt2D="false" dtr="false" t="normal">HEX2BIN(D549, 8)</f>
        <v>111</v>
      </c>
      <c r="E550" s="149" t="n">
        <f aca="false" ca="false" dt2D="false" dtr="false" t="normal">HEX2BIN(E549, 8)</f>
        <v>10100101</v>
      </c>
      <c r="F550" s="149" t="n">
        <f aca="false" ca="false" dt2D="false" dtr="false" t="normal">HEX2BIN(F549, 8)</f>
        <v>1</v>
      </c>
      <c r="G550" s="149" t="n">
        <f aca="false" ca="false" dt2D="false" dtr="false" t="normal">HEX2BIN(G549, 8)</f>
        <v>1010000</v>
      </c>
      <c r="H550" s="53" t="n">
        <f aca="false" ca="false" dt2D="false" dtr="false" t="normal">Q545&amp;Q546&amp;Q547&amp;Q548&amp;Q549&amp;Q550&amp;Q551&amp;Q552</f>
        <v>0</v>
      </c>
      <c r="I550" s="53" t="n">
        <f aca="false" ca="false" dt2D="false" dtr="false" t="normal">U545&amp;U546&amp;U547&amp;U548&amp;U549&amp;U550&amp;U551&amp;U552</f>
        <v>0</v>
      </c>
      <c r="J550" s="53" t="n">
        <f aca="false" ca="false" dt2D="false" dtr="false" t="normal">Y545&amp;Y546&amp;Y547&amp;Y548&amp;Y549&amp;Y550&amp;Y551&amp;Y552</f>
        <v>0</v>
      </c>
      <c r="K550" s="53" t="n">
        <f aca="false" ca="false" dt2D="false" dtr="false" t="normal">AC545&amp;AC546&amp;AC547&amp;AC548&amp;AC549&amp;AC550&amp;AC551&amp;AC552</f>
        <v>0</v>
      </c>
      <c r="L550" s="53" t="n">
        <f aca="false" ca="false" dt2D="false" dtr="false" t="normal">AG545&amp;AG546&amp;AG547&amp;AG548&amp;AG549&amp;AG550&amp;AG551&amp;AG552</f>
        <v>0</v>
      </c>
      <c r="M550" s="53" t="str">
        <f aca="false" ca="false" dt2D="false" dtr="false" t="normal">DEC2HEX(M551)</f>
        <v>FD</v>
      </c>
      <c r="N550" s="63" t="n"/>
      <c r="P550" s="136" t="n">
        <f aca="false" ca="false" dt2D="false" dtr="false" t="normal">MID(H545, 6, 1)</f>
        <v>0</v>
      </c>
      <c r="Q550" s="137" t="n">
        <f aca="false" ca="false" dt2D="false" dtr="false" t="normal">P550</f>
        <v>0</v>
      </c>
      <c r="R550" s="120" t="s">
        <v>203</v>
      </c>
      <c r="S550" s="131" t="s">
        <v>196</v>
      </c>
      <c r="T550" s="136" t="n">
        <f aca="false" ca="false" dt2D="false" dtr="false" t="normal">MID(I545, 6, 1)</f>
        <v>0</v>
      </c>
      <c r="U550" s="137" t="n">
        <f aca="false" ca="false" dt2D="false" dtr="false" t="normal">T550</f>
        <v>0</v>
      </c>
      <c r="V550" s="120" t="s">
        <v>203</v>
      </c>
      <c r="W550" s="131" t="s">
        <v>196</v>
      </c>
      <c r="X550" s="136" t="n">
        <f aca="false" ca="false" dt2D="false" dtr="false" t="normal">MID(J545, 6, 1)</f>
        <v>0</v>
      </c>
      <c r="Y550" s="137" t="n">
        <f aca="false" ca="false" dt2D="false" dtr="false" t="normal">X550</f>
        <v>0</v>
      </c>
      <c r="Z550" s="120" t="s">
        <v>203</v>
      </c>
      <c r="AA550" s="131" t="s">
        <v>196</v>
      </c>
      <c r="AB550" s="136" t="n">
        <f aca="false" ca="false" dt2D="false" dtr="false" t="normal">MID(K545, 6, 1)</f>
        <v>0</v>
      </c>
      <c r="AC550" s="137" t="n">
        <f aca="false" ca="false" dt2D="false" dtr="false" t="normal">AB550</f>
        <v>0</v>
      </c>
      <c r="AD550" s="120" t="s">
        <v>203</v>
      </c>
      <c r="AE550" s="131" t="s">
        <v>196</v>
      </c>
      <c r="AF550" s="136" t="n">
        <f aca="false" ca="false" dt2D="false" dtr="false" t="normal">MID(L545, 6, 1)</f>
        <v>0</v>
      </c>
      <c r="AG550" s="137" t="n">
        <f aca="false" ca="false" dt2D="false" dtr="false" t="normal">AF550</f>
        <v>0</v>
      </c>
      <c r="AH550" s="120" t="s">
        <v>203</v>
      </c>
      <c r="AI550" s="131" t="s">
        <v>196</v>
      </c>
      <c r="AJ550" s="10385" t="s"/>
      <c r="AK550" s="10386" t="s"/>
    </row>
    <row hidden="false" ht="15" outlineLevel="0" r="551">
      <c r="C551" s="98" t="s">
        <v>191</v>
      </c>
      <c r="D551" s="149" t="n">
        <f aca="false" ca="false" dt2D="false" dtr="false" t="normal">HEX2DEC(D549)</f>
        <v>7</v>
      </c>
      <c r="E551" s="149" t="n">
        <f aca="false" ca="false" dt2D="false" dtr="false" t="normal">HEX2DEC(E549)</f>
        <v>165</v>
      </c>
      <c r="F551" s="149" t="n">
        <f aca="false" ca="false" dt2D="false" dtr="false" t="normal">HEX2DEC(F549)</f>
        <v>1</v>
      </c>
      <c r="G551" s="149" t="n">
        <f aca="false" ca="false" dt2D="false" dtr="false" t="normal">HEX2DEC(G549)</f>
        <v>80</v>
      </c>
      <c r="H551" s="53" t="n">
        <f aca="false" ca="false" dt2D="false" dtr="false" t="normal">HEX2DEC(H549)</f>
        <v>0</v>
      </c>
      <c r="I551" s="53" t="n">
        <f aca="false" ca="false" dt2D="false" dtr="false" t="normal">HEX2DEC(I549)</f>
        <v>0</v>
      </c>
      <c r="J551" s="53" t="n">
        <f aca="false" ca="false" dt2D="false" dtr="false" t="normal">HEX2DEC(J549)</f>
        <v>0</v>
      </c>
      <c r="K551" s="53" t="n">
        <f aca="false" ca="false" dt2D="false" dtr="false" t="normal">HEX2DEC(K549)</f>
        <v>0</v>
      </c>
      <c r="L551" s="53" t="n">
        <f aca="false" ca="false" dt2D="false" dtr="false" t="normal">HEX2DEC(L549)</f>
        <v>0</v>
      </c>
      <c r="M551" s="53" t="n">
        <f aca="false" ca="false" dt2D="false" dtr="false" t="normal">SUM(D551:L551)</f>
        <v>253</v>
      </c>
      <c r="N551" s="63" t="n"/>
      <c r="P551" s="136" t="n">
        <f aca="false" ca="false" dt2D="false" dtr="false" t="normal">MID(H545, 7, 1)</f>
        <v>0</v>
      </c>
      <c r="Q551" s="137" t="n">
        <f aca="false" ca="false" dt2D="false" dtr="false" t="normal">P551</f>
        <v>0</v>
      </c>
      <c r="R551" s="120" t="s">
        <v>206</v>
      </c>
      <c r="S551" s="131" t="s">
        <v>196</v>
      </c>
      <c r="T551" s="136" t="n">
        <f aca="false" ca="false" dt2D="false" dtr="false" t="normal">MID(I545, 7, 1)</f>
        <v>0</v>
      </c>
      <c r="U551" s="137" t="n">
        <f aca="false" ca="false" dt2D="false" dtr="false" t="normal">T551</f>
        <v>0</v>
      </c>
      <c r="V551" s="120" t="s">
        <v>206</v>
      </c>
      <c r="W551" s="131" t="s">
        <v>196</v>
      </c>
      <c r="X551" s="136" t="n">
        <f aca="false" ca="false" dt2D="false" dtr="false" t="normal">MID(J545, 7, 1)</f>
        <v>0</v>
      </c>
      <c r="Y551" s="137" t="n">
        <f aca="false" ca="false" dt2D="false" dtr="false" t="normal">X551</f>
        <v>0</v>
      </c>
      <c r="Z551" s="120" t="s">
        <v>206</v>
      </c>
      <c r="AA551" s="131" t="s">
        <v>196</v>
      </c>
      <c r="AB551" s="136" t="n">
        <f aca="false" ca="false" dt2D="false" dtr="false" t="normal">MID(K545, 7, 1)</f>
        <v>0</v>
      </c>
      <c r="AC551" s="137" t="n">
        <f aca="false" ca="false" dt2D="false" dtr="false" t="normal">AB551</f>
        <v>0</v>
      </c>
      <c r="AD551" s="120" t="s">
        <v>206</v>
      </c>
      <c r="AE551" s="131" t="s">
        <v>196</v>
      </c>
      <c r="AF551" s="136" t="n">
        <f aca="false" ca="false" dt2D="false" dtr="false" t="normal">MID(L545, 7, 1)</f>
        <v>0</v>
      </c>
      <c r="AG551" s="137" t="n">
        <f aca="false" ca="false" dt2D="false" dtr="false" t="normal">AF551</f>
        <v>0</v>
      </c>
      <c r="AH551" s="120" t="s">
        <v>206</v>
      </c>
      <c r="AI551" s="131" t="s">
        <v>196</v>
      </c>
      <c r="AJ551" s="10387" t="s"/>
      <c r="AK551" s="10388" t="s"/>
    </row>
    <row hidden="false" ht="15.75" outlineLevel="0" r="552">
      <c r="C552" s="180" t="s">
        <v>194</v>
      </c>
      <c r="D552" s="181" t="n">
        <f aca="false" ca="false" dt2D="false" dtr="false" t="normal">D547</f>
        <v>7</v>
      </c>
      <c r="E552" s="181" t="str">
        <f aca="false" ca="false" dt2D="false" dtr="false" t="normal">E547</f>
        <v>A5</v>
      </c>
      <c r="F552" s="181" t="str">
        <f aca="false" ca="false" dt2D="false" dtr="false" t="normal">F547</f>
        <v>G1</v>
      </c>
      <c r="G552" s="181" t="str">
        <f aca="false" ca="false" dt2D="false" dtr="false" t="normal">G547</f>
        <v>J2</v>
      </c>
      <c r="H552" s="45" t="n"/>
      <c r="I552" s="45" t="n"/>
      <c r="J552" s="45" t="n"/>
      <c r="K552" s="45" t="n"/>
      <c r="L552" s="45" t="n"/>
      <c r="M552" s="45" t="n"/>
      <c r="N552" s="49" t="n"/>
      <c r="P552" s="182" t="n">
        <f aca="false" ca="false" dt2D="false" dtr="false" t="normal">MID(H545, 8, 1)</f>
        <v>0</v>
      </c>
      <c r="Q552" s="183" t="n">
        <f aca="false" ca="false" dt2D="false" dtr="false" t="normal">P552</f>
        <v>0</v>
      </c>
      <c r="R552" s="184" t="s">
        <v>208</v>
      </c>
      <c r="S552" s="185" t="s">
        <v>196</v>
      </c>
      <c r="T552" s="182" t="n">
        <f aca="false" ca="false" dt2D="false" dtr="false" t="normal">MID(I545, 8, 1)</f>
        <v>0</v>
      </c>
      <c r="U552" s="183" t="n">
        <f aca="false" ca="false" dt2D="false" dtr="false" t="normal">T552</f>
        <v>0</v>
      </c>
      <c r="V552" s="184" t="s">
        <v>208</v>
      </c>
      <c r="W552" s="185" t="s">
        <v>196</v>
      </c>
      <c r="X552" s="182" t="n">
        <f aca="false" ca="false" dt2D="false" dtr="false" t="normal">MID(J545, 8, 1)</f>
        <v>0</v>
      </c>
      <c r="Y552" s="183" t="n">
        <f aca="false" ca="false" dt2D="false" dtr="false" t="normal">X552</f>
        <v>0</v>
      </c>
      <c r="Z552" s="184" t="s">
        <v>208</v>
      </c>
      <c r="AA552" s="185" t="s">
        <v>196</v>
      </c>
      <c r="AB552" s="182" t="n">
        <f aca="false" ca="false" dt2D="false" dtr="false" t="normal">MID(K545, 8, 1)</f>
        <v>0</v>
      </c>
      <c r="AC552" s="183" t="n">
        <f aca="false" ca="false" dt2D="false" dtr="false" t="normal">AB552</f>
        <v>0</v>
      </c>
      <c r="AD552" s="184" t="s">
        <v>208</v>
      </c>
      <c r="AE552" s="185" t="s">
        <v>196</v>
      </c>
      <c r="AF552" s="182" t="n">
        <f aca="false" ca="false" dt2D="false" dtr="false" t="normal">MID(L545, 8, 1)</f>
        <v>0</v>
      </c>
      <c r="AG552" s="183" t="n">
        <f aca="false" ca="false" dt2D="false" dtr="false" t="normal">AF552</f>
        <v>0</v>
      </c>
      <c r="AH552" s="184" t="s">
        <v>208</v>
      </c>
      <c r="AI552" s="185" t="s">
        <v>196</v>
      </c>
      <c r="AJ552" s="10389" t="s"/>
      <c r="AK552" s="10390" t="s"/>
    </row>
    <row hidden="false" ht="15.75" outlineLevel="0" r="553">
      <c r="C553" s="93" t="n"/>
      <c r="D553" s="7585" t="n"/>
      <c r="E553" s="7585" t="n"/>
      <c r="F553" s="7585" t="n"/>
      <c r="G553" s="7585" t="n"/>
      <c r="H553" s="94" t="n"/>
      <c r="I553" s="94" t="n"/>
      <c r="J553" s="94" t="n"/>
      <c r="K553" s="94" t="n"/>
      <c r="L553" s="94" t="n"/>
      <c r="M553" s="94" t="s">
        <v>161</v>
      </c>
      <c r="N553" s="60" t="n"/>
      <c r="P553" s="95" t="str">
        <f aca="false" ca="false" dt2D="false" dtr="false" t="normal">RIGHT(D555, 1)&amp;E555&amp;"-"&amp;F555&amp;"-"&amp;G555</f>
        <v>7A5-01-51</v>
      </c>
      <c r="Q553" s="10391" t="s"/>
      <c r="R553" s="234" t="s">
        <v>4336</v>
      </c>
      <c r="S553" s="10392" t="s"/>
      <c r="T553" s="10393" t="s"/>
      <c r="U553" s="10394" t="s"/>
      <c r="V553" s="10395" t="s"/>
      <c r="W553" s="10396" t="s"/>
      <c r="X553" s="10397" t="s"/>
      <c r="Y553" s="10398" t="s"/>
      <c r="Z553" s="10399" t="s"/>
      <c r="AA553" s="10400" t="s"/>
      <c r="AB553" s="10401" t="s"/>
      <c r="AC553" s="10402" t="s"/>
      <c r="AD553" s="10403" t="s"/>
      <c r="AE553" s="10404" t="s"/>
      <c r="AF553" s="10405" t="s"/>
      <c r="AG553" s="10406" t="s"/>
      <c r="AH553" s="10407" t="s"/>
      <c r="AI553" s="10408" t="s"/>
      <c r="AJ553" s="10409" t="s"/>
      <c r="AK553" s="10410" t="s"/>
    </row>
    <row hidden="false" ht="15.75" outlineLevel="0" r="554">
      <c r="C554" s="98" t="n"/>
      <c r="D554" s="7606" t="s">
        <v>4337</v>
      </c>
      <c r="E554" s="10411" t="s"/>
      <c r="F554" s="10412" t="s"/>
      <c r="G554" s="10413" t="s"/>
      <c r="H554" s="53" t="s">
        <v>165</v>
      </c>
      <c r="I554" s="53" t="s">
        <v>166</v>
      </c>
      <c r="J554" s="53" t="s">
        <v>167</v>
      </c>
      <c r="K554" s="53" t="s">
        <v>168</v>
      </c>
      <c r="L554" s="53" t="s">
        <v>169</v>
      </c>
      <c r="M554" s="53" t="s">
        <v>221</v>
      </c>
      <c r="N554" s="63" t="n"/>
      <c r="P554" s="103" t="s">
        <v>4338</v>
      </c>
      <c r="Q554" s="10414" t="s"/>
      <c r="R554" s="10415" t="s"/>
      <c r="S554" s="10416" t="s"/>
      <c r="T554" s="103" t="s">
        <v>4339</v>
      </c>
      <c r="U554" s="10417" t="s"/>
      <c r="V554" s="10418" t="s"/>
      <c r="W554" s="10419" t="s"/>
      <c r="X554" s="103" t="s">
        <v>4340</v>
      </c>
      <c r="Y554" s="10420" t="s"/>
      <c r="Z554" s="10421" t="s"/>
      <c r="AA554" s="10422" t="s"/>
      <c r="AB554" s="103" t="s">
        <v>4341</v>
      </c>
      <c r="AC554" s="10423" t="s"/>
      <c r="AD554" s="10424" t="s"/>
      <c r="AE554" s="10425" t="s"/>
      <c r="AF554" s="103" t="s">
        <v>4342</v>
      </c>
      <c r="AG554" s="10426" t="s"/>
      <c r="AH554" s="10427" t="s"/>
      <c r="AI554" s="10428" t="s"/>
      <c r="AJ554" s="103" t="s">
        <v>4343</v>
      </c>
      <c r="AK554" s="10429" t="s"/>
    </row>
    <row hidden="false" ht="15.75" outlineLevel="0" r="555">
      <c r="C555" s="98" t="s">
        <v>176</v>
      </c>
      <c r="D555" s="122" t="s">
        <v>177</v>
      </c>
      <c r="E555" s="123" t="s">
        <v>3892</v>
      </c>
      <c r="F555" s="123" t="s">
        <v>179</v>
      </c>
      <c r="G555" s="124" t="s">
        <v>908</v>
      </c>
      <c r="H555" s="273" t="n">
        <f aca="false" ca="false" dt2D="false" dtr="false" t="normal">MID($A$54, 8, 2)</f>
        <v>0</v>
      </c>
      <c r="I555" s="7626" t="n">
        <f aca="false" ca="false" dt2D="false" dtr="false" t="normal">MID($A$54, 10, 2)</f>
        <v>0</v>
      </c>
      <c r="J555" s="7626" t="n">
        <f aca="false" ca="false" dt2D="false" dtr="false" t="normal">MID($A$54, 12, 2)</f>
        <v>0</v>
      </c>
      <c r="K555" s="7626" t="n">
        <f aca="false" ca="false" dt2D="false" dtr="false" t="normal">MID($A$54, 14, 2)</f>
        <v>0</v>
      </c>
      <c r="L555" s="7627" t="n">
        <f aca="false" ca="false" dt2D="false" dtr="false" t="normal">MID($A$54, 16, 2)</f>
        <v>0</v>
      </c>
      <c r="M555" s="7553" t="str">
        <f aca="false" ca="false" dt2D="false" dtr="false" t="normal">MID($A$54, 18, 2)</f>
        <v>FE</v>
      </c>
      <c r="N555" s="63" t="s">
        <v>180</v>
      </c>
      <c r="P555" s="129" t="s">
        <v>180</v>
      </c>
      <c r="Q555" s="130" t="s">
        <v>181</v>
      </c>
      <c r="R555" s="121" t="s">
        <v>182</v>
      </c>
      <c r="S555" s="131" t="n"/>
      <c r="T555" s="129" t="s">
        <v>180</v>
      </c>
      <c r="U555" s="130" t="s">
        <v>181</v>
      </c>
      <c r="V555" s="121" t="s">
        <v>182</v>
      </c>
      <c r="W555" s="131" t="n"/>
      <c r="X555" s="129" t="s">
        <v>180</v>
      </c>
      <c r="Y555" s="130" t="s">
        <v>181</v>
      </c>
      <c r="Z555" s="121" t="s">
        <v>182</v>
      </c>
      <c r="AA555" s="131" t="n"/>
      <c r="AB555" s="129" t="s">
        <v>180</v>
      </c>
      <c r="AC555" s="130" t="s">
        <v>181</v>
      </c>
      <c r="AD555" s="121" t="s">
        <v>182</v>
      </c>
      <c r="AE555" s="131" t="n"/>
      <c r="AF555" s="129" t="s">
        <v>180</v>
      </c>
      <c r="AG555" s="130" t="s">
        <v>181</v>
      </c>
      <c r="AH555" s="121" t="s">
        <v>182</v>
      </c>
      <c r="AI555" s="121" t="n"/>
      <c r="AJ555" s="116" t="s">
        <v>183</v>
      </c>
      <c r="AK555" s="10430" t="s"/>
    </row>
    <row hidden="false" ht="15" outlineLevel="0" r="556">
      <c r="C556" s="98" t="s">
        <v>185</v>
      </c>
      <c r="D556" s="149" t="n">
        <f aca="false" ca="false" dt2D="false" dtr="false" t="normal">HEX2BIN(D555, 8)</f>
        <v>111</v>
      </c>
      <c r="E556" s="149" t="n">
        <f aca="false" ca="false" dt2D="false" dtr="false" t="normal">HEX2BIN(E555, 8)</f>
        <v>10100101</v>
      </c>
      <c r="F556" s="149" t="n">
        <f aca="false" ca="false" dt2D="false" dtr="false" t="normal">HEX2BIN(F555, 8)</f>
        <v>1</v>
      </c>
      <c r="G556" s="149" t="n">
        <f aca="false" ca="false" dt2D="false" dtr="false" t="normal">HEX2BIN(G555, 8)</f>
        <v>1010001</v>
      </c>
      <c r="H556" s="53" t="n">
        <f aca="false" ca="false" dt2D="false" dtr="false" t="normal">HEX2BIN(H555, 8)</f>
        <v>0</v>
      </c>
      <c r="I556" s="53" t="n">
        <f aca="false" ca="false" dt2D="false" dtr="false" t="normal">HEX2BIN(I555, 8)</f>
        <v>0</v>
      </c>
      <c r="J556" s="53" t="n">
        <f aca="false" ca="false" dt2D="false" dtr="false" t="normal">HEX2BIN(J555, 8)</f>
        <v>0</v>
      </c>
      <c r="K556" s="53" t="n">
        <f aca="false" ca="false" dt2D="false" dtr="false" t="normal">HEX2BIN(K555, 8)</f>
        <v>0</v>
      </c>
      <c r="L556" s="53" t="n">
        <f aca="false" ca="false" dt2D="false" dtr="false" t="normal">HEX2BIN(L555, 8)</f>
        <v>0</v>
      </c>
      <c r="M556" s="53" t="n"/>
      <c r="N556" s="63" t="n"/>
      <c r="P556" s="136" t="n">
        <f aca="false" ca="false" dt2D="false" dtr="false" t="normal">MID(H556, 1, 1)</f>
        <v>0</v>
      </c>
      <c r="Q556" s="137" t="n">
        <f aca="false" ca="false" dt2D="false" dtr="false" t="normal">P556</f>
        <v>0</v>
      </c>
      <c r="R556" s="120" t="s">
        <v>186</v>
      </c>
      <c r="S556" s="131" t="s">
        <v>196</v>
      </c>
      <c r="T556" s="136" t="n">
        <f aca="false" ca="false" dt2D="false" dtr="false" t="normal">MID(I556, 1, 1)</f>
        <v>0</v>
      </c>
      <c r="U556" s="137" t="n">
        <f aca="false" ca="false" dt2D="false" dtr="false" t="normal">T556</f>
        <v>0</v>
      </c>
      <c r="V556" s="120" t="s">
        <v>186</v>
      </c>
      <c r="W556" s="131" t="s">
        <v>196</v>
      </c>
      <c r="X556" s="136" t="n">
        <f aca="false" ca="false" dt2D="false" dtr="false" t="normal">MID(J556, 1, 1)</f>
        <v>0</v>
      </c>
      <c r="Y556" s="137" t="n">
        <f aca="false" ca="false" dt2D="false" dtr="false" t="normal">X556</f>
        <v>0</v>
      </c>
      <c r="Z556" s="120" t="s">
        <v>186</v>
      </c>
      <c r="AA556" s="131" t="s">
        <v>196</v>
      </c>
      <c r="AB556" s="136" t="n">
        <f aca="false" ca="false" dt2D="false" dtr="false" t="normal">MID(K556, 1, 1)</f>
        <v>0</v>
      </c>
      <c r="AC556" s="137" t="n">
        <f aca="false" ca="false" dt2D="false" dtr="false" t="normal">AB556</f>
        <v>0</v>
      </c>
      <c r="AD556" s="120" t="s">
        <v>186</v>
      </c>
      <c r="AE556" s="131" t="s">
        <v>196</v>
      </c>
      <c r="AF556" s="136" t="n">
        <f aca="false" ca="false" dt2D="false" dtr="false" t="normal">MID(L556, 1, 1)</f>
        <v>0</v>
      </c>
      <c r="AG556" s="137" t="n">
        <f aca="false" ca="false" dt2D="false" dtr="false" t="normal">AF556</f>
        <v>0</v>
      </c>
      <c r="AH556" s="120" t="s">
        <v>186</v>
      </c>
      <c r="AI556" s="131" t="s">
        <v>196</v>
      </c>
      <c r="AJ556" s="10431" t="s"/>
      <c r="AK556" s="10432" t="s"/>
    </row>
    <row hidden="false" ht="15" outlineLevel="0" r="557">
      <c r="C557" s="98" t="s">
        <v>191</v>
      </c>
      <c r="D557" s="149" t="n">
        <f aca="false" ca="false" dt2D="false" dtr="false" t="normal">HEX2DEC(D555)</f>
        <v>7</v>
      </c>
      <c r="E557" s="149" t="n">
        <f aca="false" ca="false" dt2D="false" dtr="false" t="normal">HEX2DEC(E555)</f>
        <v>165</v>
      </c>
      <c r="F557" s="149" t="n">
        <f aca="false" ca="false" dt2D="false" dtr="false" t="normal">HEX2DEC(F555)</f>
        <v>1</v>
      </c>
      <c r="G557" s="149" t="n">
        <f aca="false" ca="false" dt2D="false" dtr="false" t="normal">HEX2DEC(G555)</f>
        <v>81</v>
      </c>
      <c r="H557" s="53" t="n">
        <f aca="false" ca="false" dt2D="false" dtr="false" t="normal">HEX2DEC(H555)</f>
        <v>0</v>
      </c>
      <c r="I557" s="53" t="n">
        <f aca="false" ca="false" dt2D="false" dtr="false" t="normal">HEX2DEC(I555)</f>
        <v>0</v>
      </c>
      <c r="J557" s="53" t="n">
        <f aca="false" ca="false" dt2D="false" dtr="false" t="normal">HEX2DEC(J555)</f>
        <v>0</v>
      </c>
      <c r="K557" s="53" t="n">
        <f aca="false" ca="false" dt2D="false" dtr="false" t="normal">HEX2DEC(K555)</f>
        <v>0</v>
      </c>
      <c r="L557" s="53" t="n">
        <f aca="false" ca="false" dt2D="false" dtr="false" t="normal">HEX2DEC(L555)</f>
        <v>0</v>
      </c>
      <c r="M557" s="53" t="n">
        <f aca="false" ca="false" dt2D="false" dtr="false" t="normal">SUM(D557:L557)</f>
        <v>254</v>
      </c>
      <c r="N557" s="63" t="n"/>
      <c r="P557" s="136" t="n">
        <f aca="false" ca="false" dt2D="false" dtr="false" t="normal">MID(H556, 2, 1)</f>
        <v>0</v>
      </c>
      <c r="Q557" s="137" t="n">
        <f aca="false" ca="false" dt2D="false" dtr="false" t="normal">P557</f>
        <v>0</v>
      </c>
      <c r="R557" s="120" t="s">
        <v>192</v>
      </c>
      <c r="S557" s="131" t="s">
        <v>196</v>
      </c>
      <c r="T557" s="136" t="n">
        <f aca="false" ca="false" dt2D="false" dtr="false" t="normal">MID(I556, 2, 1)</f>
        <v>0</v>
      </c>
      <c r="U557" s="137" t="n">
        <f aca="false" ca="false" dt2D="false" dtr="false" t="normal">T557</f>
        <v>0</v>
      </c>
      <c r="V557" s="120" t="s">
        <v>192</v>
      </c>
      <c r="W557" s="131" t="s">
        <v>196</v>
      </c>
      <c r="X557" s="136" t="n">
        <f aca="false" ca="false" dt2D="false" dtr="false" t="normal">MID(J556, 2, 1)</f>
        <v>0</v>
      </c>
      <c r="Y557" s="137" t="n">
        <f aca="false" ca="false" dt2D="false" dtr="false" t="normal">X557</f>
        <v>0</v>
      </c>
      <c r="Z557" s="120" t="s">
        <v>192</v>
      </c>
      <c r="AA557" s="131" t="s">
        <v>196</v>
      </c>
      <c r="AB557" s="136" t="n">
        <f aca="false" ca="false" dt2D="false" dtr="false" t="normal">MID(K556, 2, 1)</f>
        <v>0</v>
      </c>
      <c r="AC557" s="137" t="n">
        <f aca="false" ca="false" dt2D="false" dtr="false" t="normal">AB557</f>
        <v>0</v>
      </c>
      <c r="AD557" s="120" t="s">
        <v>192</v>
      </c>
      <c r="AE557" s="131" t="s">
        <v>196</v>
      </c>
      <c r="AF557" s="136" t="n">
        <f aca="false" ca="false" dt2D="false" dtr="false" t="normal">MID(L556, 2, 1)</f>
        <v>0</v>
      </c>
      <c r="AG557" s="137" t="n">
        <f aca="false" ca="false" dt2D="false" dtr="false" t="normal">AF557</f>
        <v>0</v>
      </c>
      <c r="AH557" s="120" t="s">
        <v>192</v>
      </c>
      <c r="AI557" s="131" t="s">
        <v>196</v>
      </c>
      <c r="AJ557" s="10433" t="s"/>
      <c r="AK557" s="10434" t="s"/>
    </row>
    <row hidden="false" ht="15" outlineLevel="0" r="558">
      <c r="C558" s="98" t="s">
        <v>194</v>
      </c>
      <c r="D558" s="149" t="n">
        <f aca="false" ca="false" dt2D="false" dtr="false" t="normal">D555</f>
        <v>7</v>
      </c>
      <c r="E558" s="149" t="str">
        <f aca="false" ca="false" dt2D="false" dtr="false" t="normal">E555</f>
        <v>A5</v>
      </c>
      <c r="F558" s="149" t="str">
        <f aca="false" ca="false" dt2D="false" dtr="false" t="normal">MID($A$54, 4, 2)</f>
        <v>G1</v>
      </c>
      <c r="G558" s="149" t="str">
        <f aca="false" ca="false" dt2D="false" dtr="false" t="normal">MID($A$54, 6, 2)</f>
        <v>J3</v>
      </c>
      <c r="N558" s="63" t="n"/>
      <c r="P558" s="136" t="n">
        <f aca="false" ca="false" dt2D="false" dtr="false" t="normal">MID(H556, 3, 1)</f>
        <v>0</v>
      </c>
      <c r="Q558" s="137" t="n">
        <f aca="false" ca="false" dt2D="false" dtr="false" t="normal">P558</f>
        <v>0</v>
      </c>
      <c r="R558" s="120" t="s">
        <v>195</v>
      </c>
      <c r="S558" s="131" t="s">
        <v>196</v>
      </c>
      <c r="T558" s="136" t="n">
        <f aca="false" ca="false" dt2D="false" dtr="false" t="normal">MID(I556, 3, 1)</f>
        <v>0</v>
      </c>
      <c r="U558" s="137" t="n">
        <f aca="false" ca="false" dt2D="false" dtr="false" t="normal">T558</f>
        <v>0</v>
      </c>
      <c r="V558" s="120" t="s">
        <v>195</v>
      </c>
      <c r="W558" s="131" t="s">
        <v>196</v>
      </c>
      <c r="X558" s="136" t="n">
        <f aca="false" ca="false" dt2D="false" dtr="false" t="normal">MID(J556, 3, 1)</f>
        <v>0</v>
      </c>
      <c r="Y558" s="137" t="n">
        <f aca="false" ca="false" dt2D="false" dtr="false" t="normal">X558</f>
        <v>0</v>
      </c>
      <c r="Z558" s="120" t="s">
        <v>195</v>
      </c>
      <c r="AA558" s="131" t="s">
        <v>196</v>
      </c>
      <c r="AB558" s="136" t="n">
        <f aca="false" ca="false" dt2D="false" dtr="false" t="normal">MID(K556, 3, 1)</f>
        <v>0</v>
      </c>
      <c r="AC558" s="137" t="n">
        <f aca="false" ca="false" dt2D="false" dtr="false" t="normal">AB558</f>
        <v>0</v>
      </c>
      <c r="AD558" s="120" t="s">
        <v>195</v>
      </c>
      <c r="AE558" s="131" t="s">
        <v>196</v>
      </c>
      <c r="AF558" s="136" t="n">
        <f aca="false" ca="false" dt2D="false" dtr="false" t="normal">MID(L556, 3, 1)</f>
        <v>0</v>
      </c>
      <c r="AG558" s="137" t="n">
        <f aca="false" ca="false" dt2D="false" dtr="false" t="normal">AF558</f>
        <v>0</v>
      </c>
      <c r="AH558" s="120" t="s">
        <v>195</v>
      </c>
      <c r="AI558" s="131" t="s">
        <v>196</v>
      </c>
      <c r="AJ558" s="10435" t="s"/>
      <c r="AK558" s="10436" t="s"/>
    </row>
    <row hidden="false" ht="15.75" outlineLevel="0" r="559">
      <c r="C559" s="98" t="n"/>
      <c r="N559" s="63" t="n"/>
      <c r="P559" s="136" t="n">
        <f aca="false" ca="false" dt2D="false" dtr="false" t="normal">MID(H556, 4, 1)</f>
        <v>0</v>
      </c>
      <c r="Q559" s="137" t="n">
        <f aca="false" ca="false" dt2D="false" dtr="false" t="normal">P559</f>
        <v>0</v>
      </c>
      <c r="R559" s="120" t="s">
        <v>197</v>
      </c>
      <c r="S559" s="131" t="s">
        <v>196</v>
      </c>
      <c r="T559" s="136" t="n">
        <f aca="false" ca="false" dt2D="false" dtr="false" t="normal">MID(I556, 4, 1)</f>
        <v>0</v>
      </c>
      <c r="U559" s="137" t="n">
        <f aca="false" ca="false" dt2D="false" dtr="false" t="normal">T559</f>
        <v>0</v>
      </c>
      <c r="V559" s="120" t="s">
        <v>197</v>
      </c>
      <c r="W559" s="131" t="s">
        <v>196</v>
      </c>
      <c r="X559" s="136" t="n">
        <f aca="false" ca="false" dt2D="false" dtr="false" t="normal">MID(J556, 4, 1)</f>
        <v>0</v>
      </c>
      <c r="Y559" s="137" t="n">
        <f aca="false" ca="false" dt2D="false" dtr="false" t="normal">X559</f>
        <v>0</v>
      </c>
      <c r="Z559" s="120" t="s">
        <v>197</v>
      </c>
      <c r="AA559" s="131" t="s">
        <v>196</v>
      </c>
      <c r="AB559" s="136" t="n">
        <f aca="false" ca="false" dt2D="false" dtr="false" t="normal">MID(K556, 4, 1)</f>
        <v>0</v>
      </c>
      <c r="AC559" s="137" t="n">
        <f aca="false" ca="false" dt2D="false" dtr="false" t="normal">AB559</f>
        <v>0</v>
      </c>
      <c r="AD559" s="120" t="s">
        <v>197</v>
      </c>
      <c r="AE559" s="131" t="s">
        <v>196</v>
      </c>
      <c r="AF559" s="136" t="n">
        <f aca="false" ca="false" dt2D="false" dtr="false" t="normal">MID(L556, 4, 1)</f>
        <v>0</v>
      </c>
      <c r="AG559" s="137" t="n">
        <f aca="false" ca="false" dt2D="false" dtr="false" t="normal">AF559</f>
        <v>0</v>
      </c>
      <c r="AH559" s="120" t="s">
        <v>197</v>
      </c>
      <c r="AI559" s="131" t="s">
        <v>196</v>
      </c>
      <c r="AJ559" s="10437" t="s"/>
      <c r="AK559" s="10438" t="s"/>
    </row>
    <row hidden="false" ht="15.75" outlineLevel="0" r="560">
      <c r="C560" s="98" t="s">
        <v>176</v>
      </c>
      <c r="D560" s="122" t="n">
        <f aca="false" ca="false" dt2D="false" dtr="false" t="normal">D555</f>
        <v>7</v>
      </c>
      <c r="E560" s="123" t="str">
        <f aca="false" ca="false" dt2D="false" dtr="false" t="normal">E555</f>
        <v>A5</v>
      </c>
      <c r="F560" s="123" t="n">
        <f aca="false" ca="false" dt2D="false" dtr="false" t="normal">F555</f>
        <v>1</v>
      </c>
      <c r="G560" s="124" t="n">
        <f aca="false" ca="false" dt2D="false" dtr="false" t="normal">G555</f>
        <v>51</v>
      </c>
      <c r="H560" s="162" t="n">
        <f aca="false" ca="false" dt2D="false" dtr="false" t="normal">BIN2HEX(H561, 2)</f>
        <v>0</v>
      </c>
      <c r="I560" s="163" t="n">
        <f aca="false" ca="false" dt2D="false" dtr="false" t="normal">BIN2HEX(I561, 2)</f>
        <v>0</v>
      </c>
      <c r="J560" s="164" t="n">
        <f aca="false" ca="false" dt2D="false" dtr="false" t="normal">BIN2HEX(J561, 2)</f>
        <v>0</v>
      </c>
      <c r="K560" s="165" t="n">
        <f aca="false" ca="false" dt2D="false" dtr="false" t="normal">BIN2HEX(K561, 2)</f>
        <v>0</v>
      </c>
      <c r="L560" s="288" t="n">
        <f aca="false" ca="false" dt2D="false" dtr="false" t="normal">BIN2HEX(L561, 2)</f>
        <v>0</v>
      </c>
      <c r="M560" s="166" t="str">
        <f aca="false" ca="false" dt2D="false" dtr="false" t="normal">IF(LEN(M561)&gt;2, MID(M561, 2, 2), M561)</f>
        <v>FE</v>
      </c>
      <c r="N560" s="63" t="s">
        <v>181</v>
      </c>
      <c r="P560" s="136" t="n">
        <f aca="false" ca="false" dt2D="false" dtr="false" t="normal">MID(H556, 5, 1)</f>
        <v>0</v>
      </c>
      <c r="Q560" s="137" t="n">
        <f aca="false" ca="false" dt2D="false" dtr="false" t="normal">P560</f>
        <v>0</v>
      </c>
      <c r="R560" s="120" t="s">
        <v>200</v>
      </c>
      <c r="S560" s="131" t="s">
        <v>196</v>
      </c>
      <c r="T560" s="136" t="n">
        <f aca="false" ca="false" dt2D="false" dtr="false" t="normal">MID(I556, 5, 1)</f>
        <v>0</v>
      </c>
      <c r="U560" s="137" t="n">
        <f aca="false" ca="false" dt2D="false" dtr="false" t="normal">T560</f>
        <v>0</v>
      </c>
      <c r="V560" s="120" t="s">
        <v>200</v>
      </c>
      <c r="W560" s="131" t="s">
        <v>196</v>
      </c>
      <c r="X560" s="136" t="n">
        <f aca="false" ca="false" dt2D="false" dtr="false" t="normal">MID(J556, 5, 1)</f>
        <v>0</v>
      </c>
      <c r="Y560" s="137" t="n">
        <f aca="false" ca="false" dt2D="false" dtr="false" t="normal">X560</f>
        <v>0</v>
      </c>
      <c r="Z560" s="120" t="s">
        <v>200</v>
      </c>
      <c r="AA560" s="131" t="s">
        <v>196</v>
      </c>
      <c r="AB560" s="136" t="n">
        <f aca="false" ca="false" dt2D="false" dtr="false" t="normal">MID(K556, 5, 1)</f>
        <v>0</v>
      </c>
      <c r="AC560" s="137" t="n">
        <f aca="false" ca="false" dt2D="false" dtr="false" t="normal">AB560</f>
        <v>0</v>
      </c>
      <c r="AD560" s="120" t="s">
        <v>200</v>
      </c>
      <c r="AE560" s="131" t="s">
        <v>196</v>
      </c>
      <c r="AF560" s="136" t="n">
        <f aca="false" ca="false" dt2D="false" dtr="false" t="normal">MID(L556, 5, 1)</f>
        <v>0</v>
      </c>
      <c r="AG560" s="137" t="n">
        <f aca="false" ca="false" dt2D="false" dtr="false" t="normal">AF560</f>
        <v>0</v>
      </c>
      <c r="AH560" s="120" t="s">
        <v>200</v>
      </c>
      <c r="AI560" s="131" t="s">
        <v>196</v>
      </c>
      <c r="AJ560" s="10439" t="s"/>
      <c r="AK560" s="10440" t="s"/>
    </row>
    <row hidden="false" ht="15" outlineLevel="0" r="561">
      <c r="C561" s="98" t="s">
        <v>185</v>
      </c>
      <c r="D561" s="149" t="n">
        <f aca="false" ca="false" dt2D="false" dtr="false" t="normal">HEX2BIN(D560, 8)</f>
        <v>111</v>
      </c>
      <c r="E561" s="149" t="n">
        <f aca="false" ca="false" dt2D="false" dtr="false" t="normal">HEX2BIN(E560, 8)</f>
        <v>10100101</v>
      </c>
      <c r="F561" s="149" t="n">
        <f aca="false" ca="false" dt2D="false" dtr="false" t="normal">HEX2BIN(F560, 8)</f>
        <v>1</v>
      </c>
      <c r="G561" s="149" t="n">
        <f aca="false" ca="false" dt2D="false" dtr="false" t="normal">HEX2BIN(G560, 8)</f>
        <v>1010001</v>
      </c>
      <c r="H561" s="53" t="n">
        <f aca="false" ca="false" dt2D="false" dtr="false" t="normal">Q556&amp;Q557&amp;Q558&amp;Q559&amp;Q560&amp;Q561&amp;Q562&amp;Q563</f>
        <v>0</v>
      </c>
      <c r="I561" s="53" t="n">
        <f aca="false" ca="false" dt2D="false" dtr="false" t="normal">U556&amp;U557&amp;U558&amp;U559&amp;U560&amp;U561&amp;U562&amp;U563</f>
        <v>0</v>
      </c>
      <c r="J561" s="53" t="n">
        <f aca="false" ca="false" dt2D="false" dtr="false" t="normal">Y556&amp;Y557&amp;Y558&amp;Y559&amp;Y560&amp;Y561&amp;Y562&amp;Y563</f>
        <v>0</v>
      </c>
      <c r="K561" s="53" t="n">
        <f aca="false" ca="false" dt2D="false" dtr="false" t="normal">AC556&amp;AC557&amp;AC558&amp;AC559&amp;AC560&amp;AC561&amp;AC562&amp;AC563</f>
        <v>0</v>
      </c>
      <c r="L561" s="53" t="n">
        <f aca="false" ca="false" dt2D="false" dtr="false" t="normal">AG556&amp;AG557&amp;AG558&amp;AG559&amp;AG560&amp;AG561&amp;AG562&amp;AG563</f>
        <v>0</v>
      </c>
      <c r="M561" s="53" t="str">
        <f aca="false" ca="false" dt2D="false" dtr="false" t="normal">DEC2HEX(M562)</f>
        <v>FE</v>
      </c>
      <c r="N561" s="63" t="n"/>
      <c r="P561" s="136" t="n">
        <f aca="false" ca="false" dt2D="false" dtr="false" t="normal">MID(H556, 6, 1)</f>
        <v>0</v>
      </c>
      <c r="Q561" s="137" t="n">
        <f aca="false" ca="false" dt2D="false" dtr="false" t="normal">P561</f>
        <v>0</v>
      </c>
      <c r="R561" s="120" t="s">
        <v>203</v>
      </c>
      <c r="S561" s="131" t="s">
        <v>196</v>
      </c>
      <c r="T561" s="136" t="n">
        <f aca="false" ca="false" dt2D="false" dtr="false" t="normal">MID(I556, 6, 1)</f>
        <v>0</v>
      </c>
      <c r="U561" s="137" t="n">
        <f aca="false" ca="false" dt2D="false" dtr="false" t="normal">T561</f>
        <v>0</v>
      </c>
      <c r="V561" s="120" t="s">
        <v>203</v>
      </c>
      <c r="W561" s="131" t="s">
        <v>196</v>
      </c>
      <c r="X561" s="136" t="n">
        <f aca="false" ca="false" dt2D="false" dtr="false" t="normal">MID(J556, 6, 1)</f>
        <v>0</v>
      </c>
      <c r="Y561" s="137" t="n">
        <f aca="false" ca="false" dt2D="false" dtr="false" t="normal">X561</f>
        <v>0</v>
      </c>
      <c r="Z561" s="120" t="s">
        <v>203</v>
      </c>
      <c r="AA561" s="131" t="s">
        <v>196</v>
      </c>
      <c r="AB561" s="136" t="n">
        <f aca="false" ca="false" dt2D="false" dtr="false" t="normal">MID(K556, 6, 1)</f>
        <v>0</v>
      </c>
      <c r="AC561" s="137" t="n">
        <f aca="false" ca="false" dt2D="false" dtr="false" t="normal">AB561</f>
        <v>0</v>
      </c>
      <c r="AD561" s="120" t="s">
        <v>203</v>
      </c>
      <c r="AE561" s="131" t="s">
        <v>196</v>
      </c>
      <c r="AF561" s="136" t="n">
        <f aca="false" ca="false" dt2D="false" dtr="false" t="normal">MID(L556, 6, 1)</f>
        <v>0</v>
      </c>
      <c r="AG561" s="137" t="n">
        <f aca="false" ca="false" dt2D="false" dtr="false" t="normal">AF561</f>
        <v>0</v>
      </c>
      <c r="AH561" s="120" t="s">
        <v>203</v>
      </c>
      <c r="AI561" s="131" t="s">
        <v>196</v>
      </c>
      <c r="AJ561" s="10441" t="s"/>
      <c r="AK561" s="10442" t="s"/>
    </row>
    <row hidden="false" ht="15" outlineLevel="0" r="562">
      <c r="C562" s="98" t="s">
        <v>191</v>
      </c>
      <c r="D562" s="149" t="n">
        <f aca="false" ca="false" dt2D="false" dtr="false" t="normal">HEX2DEC(D560)</f>
        <v>7</v>
      </c>
      <c r="E562" s="149" t="n">
        <f aca="false" ca="false" dt2D="false" dtr="false" t="normal">HEX2DEC(E560)</f>
        <v>165</v>
      </c>
      <c r="F562" s="149" t="n">
        <f aca="false" ca="false" dt2D="false" dtr="false" t="normal">HEX2DEC(F560)</f>
        <v>1</v>
      </c>
      <c r="G562" s="149" t="n">
        <f aca="false" ca="false" dt2D="false" dtr="false" t="normal">HEX2DEC(G560)</f>
        <v>81</v>
      </c>
      <c r="H562" s="53" t="n">
        <f aca="false" ca="false" dt2D="false" dtr="false" t="normal">HEX2DEC(H560)</f>
        <v>0</v>
      </c>
      <c r="I562" s="53" t="n">
        <f aca="false" ca="false" dt2D="false" dtr="false" t="normal">HEX2DEC(I560)</f>
        <v>0</v>
      </c>
      <c r="J562" s="53" t="n">
        <f aca="false" ca="false" dt2D="false" dtr="false" t="normal">HEX2DEC(J560)</f>
        <v>0</v>
      </c>
      <c r="K562" s="53" t="n">
        <f aca="false" ca="false" dt2D="false" dtr="false" t="normal">HEX2DEC(K560)</f>
        <v>0</v>
      </c>
      <c r="L562" s="53" t="n">
        <f aca="false" ca="false" dt2D="false" dtr="false" t="normal">HEX2DEC(L560)</f>
        <v>0</v>
      </c>
      <c r="M562" s="53" t="n">
        <f aca="false" ca="false" dt2D="false" dtr="false" t="normal">SUM(D562:L562)</f>
        <v>254</v>
      </c>
      <c r="N562" s="63" t="n"/>
      <c r="P562" s="136" t="n">
        <f aca="false" ca="false" dt2D="false" dtr="false" t="normal">MID(H556, 7, 1)</f>
        <v>0</v>
      </c>
      <c r="Q562" s="137" t="n">
        <f aca="false" ca="false" dt2D="false" dtr="false" t="normal">P562</f>
        <v>0</v>
      </c>
      <c r="R562" s="120" t="s">
        <v>206</v>
      </c>
      <c r="S562" s="131" t="s">
        <v>196</v>
      </c>
      <c r="T562" s="136" t="n">
        <f aca="false" ca="false" dt2D="false" dtr="false" t="normal">MID(I556, 7, 1)</f>
        <v>0</v>
      </c>
      <c r="U562" s="137" t="n">
        <f aca="false" ca="false" dt2D="false" dtr="false" t="normal">T562</f>
        <v>0</v>
      </c>
      <c r="V562" s="120" t="s">
        <v>206</v>
      </c>
      <c r="W562" s="131" t="s">
        <v>196</v>
      </c>
      <c r="X562" s="136" t="n">
        <f aca="false" ca="false" dt2D="false" dtr="false" t="normal">MID(J556, 7, 1)</f>
        <v>0</v>
      </c>
      <c r="Y562" s="137" t="n">
        <f aca="false" ca="false" dt2D="false" dtr="false" t="normal">X562</f>
        <v>0</v>
      </c>
      <c r="Z562" s="120" t="s">
        <v>206</v>
      </c>
      <c r="AA562" s="131" t="s">
        <v>196</v>
      </c>
      <c r="AB562" s="136" t="n">
        <f aca="false" ca="false" dt2D="false" dtr="false" t="normal">MID(K556, 7, 1)</f>
        <v>0</v>
      </c>
      <c r="AC562" s="137" t="n">
        <f aca="false" ca="false" dt2D="false" dtr="false" t="normal">AB562</f>
        <v>0</v>
      </c>
      <c r="AD562" s="120" t="s">
        <v>206</v>
      </c>
      <c r="AE562" s="131" t="s">
        <v>196</v>
      </c>
      <c r="AF562" s="136" t="n">
        <f aca="false" ca="false" dt2D="false" dtr="false" t="normal">MID(L556, 7, 1)</f>
        <v>0</v>
      </c>
      <c r="AG562" s="137" t="n">
        <f aca="false" ca="false" dt2D="false" dtr="false" t="normal">AF562</f>
        <v>0</v>
      </c>
      <c r="AH562" s="120" t="s">
        <v>206</v>
      </c>
      <c r="AI562" s="131" t="s">
        <v>196</v>
      </c>
      <c r="AJ562" s="10443" t="s"/>
      <c r="AK562" s="10444" t="s"/>
    </row>
    <row hidden="false" ht="15.75" outlineLevel="0" r="563">
      <c r="C563" s="180" t="s">
        <v>194</v>
      </c>
      <c r="D563" s="181" t="n">
        <f aca="false" ca="false" dt2D="false" dtr="false" t="normal">D558</f>
        <v>7</v>
      </c>
      <c r="E563" s="181" t="str">
        <f aca="false" ca="false" dt2D="false" dtr="false" t="normal">E558</f>
        <v>A5</v>
      </c>
      <c r="F563" s="181" t="str">
        <f aca="false" ca="false" dt2D="false" dtr="false" t="normal">F558</f>
        <v>G1</v>
      </c>
      <c r="G563" s="181" t="str">
        <f aca="false" ca="false" dt2D="false" dtr="false" t="normal">G558</f>
        <v>J3</v>
      </c>
      <c r="H563" s="45" t="n"/>
      <c r="I563" s="45" t="n"/>
      <c r="J563" s="45" t="n"/>
      <c r="K563" s="45" t="n"/>
      <c r="L563" s="45" t="n"/>
      <c r="M563" s="45" t="n"/>
      <c r="N563" s="49" t="n"/>
      <c r="P563" s="182" t="n">
        <f aca="false" ca="false" dt2D="false" dtr="false" t="normal">MID(H556, 8, 1)</f>
        <v>0</v>
      </c>
      <c r="Q563" s="183" t="n">
        <f aca="false" ca="false" dt2D="false" dtr="false" t="normal">P563</f>
        <v>0</v>
      </c>
      <c r="R563" s="184" t="s">
        <v>208</v>
      </c>
      <c r="S563" s="185" t="s">
        <v>196</v>
      </c>
      <c r="T563" s="182" t="n">
        <f aca="false" ca="false" dt2D="false" dtr="false" t="normal">MID(I556, 8, 1)</f>
        <v>0</v>
      </c>
      <c r="U563" s="183" t="n">
        <f aca="false" ca="false" dt2D="false" dtr="false" t="normal">T563</f>
        <v>0</v>
      </c>
      <c r="V563" s="184" t="s">
        <v>208</v>
      </c>
      <c r="W563" s="185" t="s">
        <v>196</v>
      </c>
      <c r="X563" s="182" t="n">
        <f aca="false" ca="false" dt2D="false" dtr="false" t="normal">MID(J556, 8, 1)</f>
        <v>0</v>
      </c>
      <c r="Y563" s="183" t="n">
        <f aca="false" ca="false" dt2D="false" dtr="false" t="normal">X563</f>
        <v>0</v>
      </c>
      <c r="Z563" s="184" t="s">
        <v>208</v>
      </c>
      <c r="AA563" s="185" t="s">
        <v>196</v>
      </c>
      <c r="AB563" s="182" t="n">
        <f aca="false" ca="false" dt2D="false" dtr="false" t="normal">MID(K556, 8, 1)</f>
        <v>0</v>
      </c>
      <c r="AC563" s="183" t="n">
        <f aca="false" ca="false" dt2D="false" dtr="false" t="normal">AB563</f>
        <v>0</v>
      </c>
      <c r="AD563" s="184" t="s">
        <v>208</v>
      </c>
      <c r="AE563" s="185" t="s">
        <v>196</v>
      </c>
      <c r="AF563" s="182" t="n">
        <f aca="false" ca="false" dt2D="false" dtr="false" t="normal">MID(L556, 8, 1)</f>
        <v>0</v>
      </c>
      <c r="AG563" s="183" t="n">
        <f aca="false" ca="false" dt2D="false" dtr="false" t="normal">AF563</f>
        <v>0</v>
      </c>
      <c r="AH563" s="184" t="s">
        <v>208</v>
      </c>
      <c r="AI563" s="185" t="s">
        <v>196</v>
      </c>
      <c r="AJ563" s="10445" t="s"/>
      <c r="AK563" s="10446" t="s"/>
    </row>
    <row hidden="false" ht="15.75" outlineLevel="0" r="564">
      <c r="C564" s="93" t="n"/>
      <c r="D564" s="7585" t="n"/>
      <c r="E564" s="7585" t="n"/>
      <c r="F564" s="7585" t="n"/>
      <c r="G564" s="7585" t="n"/>
      <c r="H564" s="94" t="n"/>
      <c r="I564" s="94" t="n"/>
      <c r="J564" s="94" t="n"/>
      <c r="K564" s="94" t="n"/>
      <c r="L564" s="94" t="n"/>
      <c r="M564" s="94" t="s">
        <v>161</v>
      </c>
      <c r="N564" s="60" t="n"/>
      <c r="P564" s="95" t="str">
        <f aca="false" ca="false" dt2D="false" dtr="false" t="normal">RIGHT(D566, 1)&amp;E566&amp;"-"&amp;F566&amp;"-"&amp;G566</f>
        <v>7A5-01-52</v>
      </c>
      <c r="Q564" s="10447" t="s"/>
      <c r="R564" s="234" t="s">
        <v>4344</v>
      </c>
      <c r="S564" s="10448" t="s"/>
      <c r="T564" s="10449" t="s"/>
      <c r="U564" s="10450" t="s"/>
      <c r="V564" s="10451" t="s"/>
      <c r="W564" s="10452" t="s"/>
      <c r="X564" s="10453" t="s"/>
      <c r="Y564" s="10454" t="s"/>
      <c r="Z564" s="10455" t="s"/>
      <c r="AA564" s="10456" t="s"/>
      <c r="AB564" s="10457" t="s"/>
      <c r="AC564" s="10458" t="s"/>
      <c r="AD564" s="10459" t="s"/>
      <c r="AE564" s="10460" t="s"/>
      <c r="AF564" s="10461" t="s"/>
      <c r="AG564" s="10462" t="s"/>
      <c r="AH564" s="10463" t="s"/>
      <c r="AI564" s="10464" t="s"/>
      <c r="AJ564" s="10465" t="s"/>
      <c r="AK564" s="10466" t="s"/>
    </row>
    <row hidden="false" ht="15.75" outlineLevel="0" r="565">
      <c r="C565" s="98" t="n"/>
      <c r="D565" s="7606" t="s">
        <v>4345</v>
      </c>
      <c r="E565" s="10467" t="s"/>
      <c r="F565" s="10468" t="s"/>
      <c r="G565" s="10469" t="s"/>
      <c r="H565" s="53" t="s">
        <v>165</v>
      </c>
      <c r="I565" s="53" t="s">
        <v>166</v>
      </c>
      <c r="J565" s="53" t="s">
        <v>167</v>
      </c>
      <c r="K565" s="53" t="s">
        <v>168</v>
      </c>
      <c r="L565" s="53" t="s">
        <v>169</v>
      </c>
      <c r="M565" s="53" t="s">
        <v>221</v>
      </c>
      <c r="N565" s="63" t="n"/>
      <c r="P565" s="103" t="s">
        <v>4346</v>
      </c>
      <c r="Q565" s="10470" t="s"/>
      <c r="R565" s="10471" t="s"/>
      <c r="S565" s="10472" t="s"/>
      <c r="T565" s="103" t="s">
        <v>4347</v>
      </c>
      <c r="U565" s="10473" t="s"/>
      <c r="V565" s="10474" t="s"/>
      <c r="W565" s="10475" t="s"/>
      <c r="X565" s="103" t="s">
        <v>4348</v>
      </c>
      <c r="Y565" s="10476" t="s"/>
      <c r="Z565" s="10477" t="s"/>
      <c r="AA565" s="10478" t="s"/>
      <c r="AB565" s="103" t="s">
        <v>4349</v>
      </c>
      <c r="AC565" s="10479" t="s"/>
      <c r="AD565" s="10480" t="s"/>
      <c r="AE565" s="10481" t="s"/>
      <c r="AF565" s="103" t="s">
        <v>4350</v>
      </c>
      <c r="AG565" s="10482" t="s"/>
      <c r="AH565" s="10483" t="s"/>
      <c r="AI565" s="10484" t="s"/>
      <c r="AJ565" s="103" t="s">
        <v>4351</v>
      </c>
      <c r="AK565" s="10485" t="s"/>
    </row>
    <row hidden="false" ht="15.75" outlineLevel="0" r="566">
      <c r="C566" s="98" t="s">
        <v>176</v>
      </c>
      <c r="D566" s="122" t="s">
        <v>177</v>
      </c>
      <c r="E566" s="123" t="s">
        <v>3892</v>
      </c>
      <c r="F566" s="123" t="s">
        <v>179</v>
      </c>
      <c r="G566" s="124" t="s">
        <v>911</v>
      </c>
      <c r="H566" s="273" t="n">
        <f aca="false" ca="false" dt2D="false" dtr="false" t="normal">MID($A$55, 8, 2)</f>
        <v>0</v>
      </c>
      <c r="I566" s="7626" t="n">
        <f aca="false" ca="false" dt2D="false" dtr="false" t="normal">MID($A$55, 10, 2)</f>
        <v>0</v>
      </c>
      <c r="J566" s="7626" t="n">
        <f aca="false" ca="false" dt2D="false" dtr="false" t="normal">MID($A$55, 12, 2)</f>
        <v>0</v>
      </c>
      <c r="K566" s="7626" t="n">
        <f aca="false" ca="false" dt2D="false" dtr="false" t="normal">MID($A$55, 14, 2)</f>
        <v>0</v>
      </c>
      <c r="L566" s="7627" t="n">
        <f aca="false" ca="false" dt2D="false" dtr="false" t="normal">MID($A$55, 16, 2)</f>
        <v>0</v>
      </c>
      <c r="M566" s="7553" t="str">
        <f aca="false" ca="false" dt2D="false" dtr="false" t="normal">MID($A$55, 18, 2)</f>
        <v>FF</v>
      </c>
      <c r="N566" s="63" t="s">
        <v>180</v>
      </c>
      <c r="P566" s="129" t="s">
        <v>180</v>
      </c>
      <c r="Q566" s="130" t="s">
        <v>181</v>
      </c>
      <c r="R566" s="121" t="s">
        <v>182</v>
      </c>
      <c r="S566" s="131" t="n"/>
      <c r="T566" s="129" t="s">
        <v>180</v>
      </c>
      <c r="U566" s="130" t="s">
        <v>181</v>
      </c>
      <c r="V566" s="121" t="s">
        <v>182</v>
      </c>
      <c r="W566" s="131" t="n"/>
      <c r="X566" s="129" t="s">
        <v>180</v>
      </c>
      <c r="Y566" s="130" t="s">
        <v>181</v>
      </c>
      <c r="Z566" s="121" t="s">
        <v>182</v>
      </c>
      <c r="AA566" s="131" t="n"/>
      <c r="AB566" s="129" t="s">
        <v>180</v>
      </c>
      <c r="AC566" s="130" t="s">
        <v>181</v>
      </c>
      <c r="AD566" s="121" t="s">
        <v>182</v>
      </c>
      <c r="AE566" s="131" t="n"/>
      <c r="AF566" s="129" t="s">
        <v>180</v>
      </c>
      <c r="AG566" s="130" t="s">
        <v>181</v>
      </c>
      <c r="AH566" s="121" t="s">
        <v>182</v>
      </c>
      <c r="AI566" s="121" t="n"/>
      <c r="AJ566" s="116" t="s">
        <v>183</v>
      </c>
      <c r="AK566" s="10486" t="s"/>
    </row>
    <row hidden="false" ht="15" outlineLevel="0" r="567">
      <c r="C567" s="98" t="s">
        <v>185</v>
      </c>
      <c r="D567" s="149" t="n">
        <f aca="false" ca="false" dt2D="false" dtr="false" t="normal">HEX2BIN(D566, 8)</f>
        <v>111</v>
      </c>
      <c r="E567" s="149" t="n">
        <f aca="false" ca="false" dt2D="false" dtr="false" t="normal">HEX2BIN(E566, 8)</f>
        <v>10100101</v>
      </c>
      <c r="F567" s="149" t="n">
        <f aca="false" ca="false" dt2D="false" dtr="false" t="normal">HEX2BIN(F566, 8)</f>
        <v>1</v>
      </c>
      <c r="G567" s="149" t="n">
        <f aca="false" ca="false" dt2D="false" dtr="false" t="normal">HEX2BIN(G566, 8)</f>
        <v>1010010</v>
      </c>
      <c r="H567" s="53" t="n">
        <f aca="false" ca="false" dt2D="false" dtr="false" t="normal">HEX2BIN(H566, 8)</f>
        <v>0</v>
      </c>
      <c r="I567" s="53" t="n">
        <f aca="false" ca="false" dt2D="false" dtr="false" t="normal">HEX2BIN(I566, 8)</f>
        <v>0</v>
      </c>
      <c r="J567" s="53" t="n">
        <f aca="false" ca="false" dt2D="false" dtr="false" t="normal">HEX2BIN(J566, 8)</f>
        <v>0</v>
      </c>
      <c r="K567" s="53" t="n">
        <f aca="false" ca="false" dt2D="false" dtr="false" t="normal">HEX2BIN(K566, 8)</f>
        <v>0</v>
      </c>
      <c r="L567" s="53" t="n">
        <f aca="false" ca="false" dt2D="false" dtr="false" t="normal">HEX2BIN(L566, 8)</f>
        <v>0</v>
      </c>
      <c r="M567" s="53" t="n"/>
      <c r="N567" s="63" t="n"/>
      <c r="P567" s="136" t="n">
        <f aca="false" ca="false" dt2D="false" dtr="false" t="normal">MID(H567, 1, 1)</f>
        <v>0</v>
      </c>
      <c r="Q567" s="137" t="n">
        <f aca="false" ca="false" dt2D="false" dtr="false" t="normal">P567</f>
        <v>0</v>
      </c>
      <c r="R567" s="120" t="s">
        <v>186</v>
      </c>
      <c r="S567" s="131" t="s">
        <v>196</v>
      </c>
      <c r="T567" s="136" t="n">
        <f aca="false" ca="false" dt2D="false" dtr="false" t="normal">MID(I567, 1, 1)</f>
        <v>0</v>
      </c>
      <c r="U567" s="137" t="n">
        <f aca="false" ca="false" dt2D="false" dtr="false" t="normal">T567</f>
        <v>0</v>
      </c>
      <c r="V567" s="120" t="s">
        <v>186</v>
      </c>
      <c r="W567" s="131" t="s">
        <v>196</v>
      </c>
      <c r="X567" s="136" t="n">
        <f aca="false" ca="false" dt2D="false" dtr="false" t="normal">MID(J567, 1, 1)</f>
        <v>0</v>
      </c>
      <c r="Y567" s="137" t="n">
        <f aca="false" ca="false" dt2D="false" dtr="false" t="normal">X567</f>
        <v>0</v>
      </c>
      <c r="Z567" s="120" t="s">
        <v>186</v>
      </c>
      <c r="AA567" s="131" t="s">
        <v>196</v>
      </c>
      <c r="AB567" s="136" t="n">
        <f aca="false" ca="false" dt2D="false" dtr="false" t="normal">MID(K567, 1, 1)</f>
        <v>0</v>
      </c>
      <c r="AC567" s="137" t="n">
        <f aca="false" ca="false" dt2D="false" dtr="false" t="normal">AB567</f>
        <v>0</v>
      </c>
      <c r="AD567" s="120" t="s">
        <v>186</v>
      </c>
      <c r="AE567" s="131" t="s">
        <v>196</v>
      </c>
      <c r="AF567" s="136" t="n">
        <f aca="false" ca="false" dt2D="false" dtr="false" t="normal">MID(L567, 1, 1)</f>
        <v>0</v>
      </c>
      <c r="AG567" s="137" t="n">
        <f aca="false" ca="false" dt2D="false" dtr="false" t="normal">AF567</f>
        <v>0</v>
      </c>
      <c r="AH567" s="120" t="s">
        <v>186</v>
      </c>
      <c r="AI567" s="131" t="s">
        <v>196</v>
      </c>
      <c r="AJ567" s="10487" t="s"/>
      <c r="AK567" s="10488" t="s"/>
    </row>
    <row hidden="false" ht="15" outlineLevel="0" r="568">
      <c r="C568" s="98" t="s">
        <v>191</v>
      </c>
      <c r="D568" s="149" t="n">
        <f aca="false" ca="false" dt2D="false" dtr="false" t="normal">HEX2DEC(D566)</f>
        <v>7</v>
      </c>
      <c r="E568" s="149" t="n">
        <f aca="false" ca="false" dt2D="false" dtr="false" t="normal">HEX2DEC(E566)</f>
        <v>165</v>
      </c>
      <c r="F568" s="149" t="n">
        <f aca="false" ca="false" dt2D="false" dtr="false" t="normal">HEX2DEC(F566)</f>
        <v>1</v>
      </c>
      <c r="G568" s="149" t="n">
        <f aca="false" ca="false" dt2D="false" dtr="false" t="normal">HEX2DEC(G566)</f>
        <v>82</v>
      </c>
      <c r="H568" s="53" t="n">
        <f aca="false" ca="false" dt2D="false" dtr="false" t="normal">HEX2DEC(H566)</f>
        <v>0</v>
      </c>
      <c r="I568" s="53" t="n">
        <f aca="false" ca="false" dt2D="false" dtr="false" t="normal">HEX2DEC(I566)</f>
        <v>0</v>
      </c>
      <c r="J568" s="53" t="n">
        <f aca="false" ca="false" dt2D="false" dtr="false" t="normal">HEX2DEC(J566)</f>
        <v>0</v>
      </c>
      <c r="K568" s="53" t="n">
        <f aca="false" ca="false" dt2D="false" dtr="false" t="normal">HEX2DEC(K566)</f>
        <v>0</v>
      </c>
      <c r="L568" s="53" t="n">
        <f aca="false" ca="false" dt2D="false" dtr="false" t="normal">HEX2DEC(L566)</f>
        <v>0</v>
      </c>
      <c r="M568" s="53" t="n">
        <f aca="false" ca="false" dt2D="false" dtr="false" t="normal">SUM(D568:L568)</f>
        <v>255</v>
      </c>
      <c r="N568" s="63" t="n"/>
      <c r="P568" s="136" t="n">
        <f aca="false" ca="false" dt2D="false" dtr="false" t="normal">MID(H567, 2, 1)</f>
        <v>0</v>
      </c>
      <c r="Q568" s="137" t="n">
        <f aca="false" ca="false" dt2D="false" dtr="false" t="normal">P568</f>
        <v>0</v>
      </c>
      <c r="R568" s="120" t="s">
        <v>192</v>
      </c>
      <c r="S568" s="131" t="s">
        <v>196</v>
      </c>
      <c r="T568" s="136" t="n">
        <f aca="false" ca="false" dt2D="false" dtr="false" t="normal">MID(I567, 2, 1)</f>
        <v>0</v>
      </c>
      <c r="U568" s="137" t="n">
        <f aca="false" ca="false" dt2D="false" dtr="false" t="normal">T568</f>
        <v>0</v>
      </c>
      <c r="V568" s="120" t="s">
        <v>192</v>
      </c>
      <c r="W568" s="131" t="s">
        <v>196</v>
      </c>
      <c r="X568" s="136" t="n">
        <f aca="false" ca="false" dt2D="false" dtr="false" t="normal">MID(J567, 2, 1)</f>
        <v>0</v>
      </c>
      <c r="Y568" s="137" t="n">
        <f aca="false" ca="false" dt2D="false" dtr="false" t="normal">X568</f>
        <v>0</v>
      </c>
      <c r="Z568" s="120" t="s">
        <v>192</v>
      </c>
      <c r="AA568" s="131" t="s">
        <v>196</v>
      </c>
      <c r="AB568" s="136" t="n">
        <f aca="false" ca="false" dt2D="false" dtr="false" t="normal">MID(K567, 2, 1)</f>
        <v>0</v>
      </c>
      <c r="AC568" s="137" t="n">
        <f aca="false" ca="false" dt2D="false" dtr="false" t="normal">AB568</f>
        <v>0</v>
      </c>
      <c r="AD568" s="120" t="s">
        <v>192</v>
      </c>
      <c r="AE568" s="131" t="s">
        <v>196</v>
      </c>
      <c r="AF568" s="136" t="n">
        <f aca="false" ca="false" dt2D="false" dtr="false" t="normal">MID(L567, 2, 1)</f>
        <v>0</v>
      </c>
      <c r="AG568" s="137" t="n">
        <f aca="false" ca="false" dt2D="false" dtr="false" t="normal">AF568</f>
        <v>0</v>
      </c>
      <c r="AH568" s="120" t="s">
        <v>192</v>
      </c>
      <c r="AI568" s="131" t="s">
        <v>196</v>
      </c>
      <c r="AJ568" s="10489" t="s"/>
      <c r="AK568" s="10490" t="s"/>
    </row>
    <row hidden="false" ht="15" outlineLevel="0" r="569">
      <c r="C569" s="98" t="s">
        <v>194</v>
      </c>
      <c r="D569" s="149" t="n">
        <f aca="false" ca="false" dt2D="false" dtr="false" t="normal">D566</f>
        <v>7</v>
      </c>
      <c r="E569" s="149" t="str">
        <f aca="false" ca="false" dt2D="false" dtr="false" t="normal">E566</f>
        <v>A5</v>
      </c>
      <c r="F569" s="149" t="str">
        <f aca="false" ca="false" dt2D="false" dtr="false" t="normal">MID($A$55, 4, 2)</f>
        <v>G1</v>
      </c>
      <c r="G569" s="149" t="str">
        <f aca="false" ca="false" dt2D="false" dtr="false" t="normal">MID($A$55, 6, 2)</f>
        <v>J4</v>
      </c>
      <c r="N569" s="63" t="n"/>
      <c r="P569" s="136" t="n">
        <f aca="false" ca="false" dt2D="false" dtr="false" t="normal">MID(H567, 3, 1)</f>
        <v>0</v>
      </c>
      <c r="Q569" s="137" t="n">
        <f aca="false" ca="false" dt2D="false" dtr="false" t="normal">P569</f>
        <v>0</v>
      </c>
      <c r="R569" s="120" t="s">
        <v>195</v>
      </c>
      <c r="S569" s="131" t="s">
        <v>196</v>
      </c>
      <c r="T569" s="136" t="n">
        <f aca="false" ca="false" dt2D="false" dtr="false" t="normal">MID(I567, 3, 1)</f>
        <v>0</v>
      </c>
      <c r="U569" s="137" t="n">
        <f aca="false" ca="false" dt2D="false" dtr="false" t="normal">T569</f>
        <v>0</v>
      </c>
      <c r="V569" s="120" t="s">
        <v>195</v>
      </c>
      <c r="W569" s="131" t="s">
        <v>196</v>
      </c>
      <c r="X569" s="136" t="n">
        <f aca="false" ca="false" dt2D="false" dtr="false" t="normal">MID(J567, 3, 1)</f>
        <v>0</v>
      </c>
      <c r="Y569" s="137" t="n">
        <f aca="false" ca="false" dt2D="false" dtr="false" t="normal">X569</f>
        <v>0</v>
      </c>
      <c r="Z569" s="120" t="s">
        <v>195</v>
      </c>
      <c r="AA569" s="131" t="s">
        <v>196</v>
      </c>
      <c r="AB569" s="136" t="n">
        <f aca="false" ca="false" dt2D="false" dtr="false" t="normal">MID(K567, 3, 1)</f>
        <v>0</v>
      </c>
      <c r="AC569" s="137" t="n">
        <f aca="false" ca="false" dt2D="false" dtr="false" t="normal">AB569</f>
        <v>0</v>
      </c>
      <c r="AD569" s="120" t="s">
        <v>195</v>
      </c>
      <c r="AE569" s="131" t="s">
        <v>196</v>
      </c>
      <c r="AF569" s="136" t="n">
        <f aca="false" ca="false" dt2D="false" dtr="false" t="normal">MID(L567, 3, 1)</f>
        <v>0</v>
      </c>
      <c r="AG569" s="137" t="n">
        <f aca="false" ca="false" dt2D="false" dtr="false" t="normal">AF569</f>
        <v>0</v>
      </c>
      <c r="AH569" s="120" t="s">
        <v>195</v>
      </c>
      <c r="AI569" s="131" t="s">
        <v>196</v>
      </c>
      <c r="AJ569" s="10491" t="s"/>
      <c r="AK569" s="10492" t="s"/>
    </row>
    <row hidden="false" ht="15.75" outlineLevel="0" r="570">
      <c r="C570" s="98" t="n"/>
      <c r="N570" s="63" t="n"/>
      <c r="P570" s="136" t="n">
        <f aca="false" ca="false" dt2D="false" dtr="false" t="normal">MID(H567, 4, 1)</f>
        <v>0</v>
      </c>
      <c r="Q570" s="137" t="n">
        <f aca="false" ca="false" dt2D="false" dtr="false" t="normal">P570</f>
        <v>0</v>
      </c>
      <c r="R570" s="120" t="s">
        <v>197</v>
      </c>
      <c r="S570" s="131" t="s">
        <v>196</v>
      </c>
      <c r="T570" s="136" t="n">
        <f aca="false" ca="false" dt2D="false" dtr="false" t="normal">MID(I567, 4, 1)</f>
        <v>0</v>
      </c>
      <c r="U570" s="137" t="n">
        <f aca="false" ca="false" dt2D="false" dtr="false" t="normal">T570</f>
        <v>0</v>
      </c>
      <c r="V570" s="120" t="s">
        <v>197</v>
      </c>
      <c r="W570" s="131" t="s">
        <v>196</v>
      </c>
      <c r="X570" s="136" t="n">
        <f aca="false" ca="false" dt2D="false" dtr="false" t="normal">MID(J567, 4, 1)</f>
        <v>0</v>
      </c>
      <c r="Y570" s="137" t="n">
        <f aca="false" ca="false" dt2D="false" dtr="false" t="normal">X570</f>
        <v>0</v>
      </c>
      <c r="Z570" s="120" t="s">
        <v>197</v>
      </c>
      <c r="AA570" s="131" t="s">
        <v>196</v>
      </c>
      <c r="AB570" s="136" t="n">
        <f aca="false" ca="false" dt2D="false" dtr="false" t="normal">MID(K567, 4, 1)</f>
        <v>0</v>
      </c>
      <c r="AC570" s="137" t="n">
        <f aca="false" ca="false" dt2D="false" dtr="false" t="normal">AB570</f>
        <v>0</v>
      </c>
      <c r="AD570" s="120" t="s">
        <v>197</v>
      </c>
      <c r="AE570" s="131" t="s">
        <v>196</v>
      </c>
      <c r="AF570" s="136" t="n">
        <f aca="false" ca="false" dt2D="false" dtr="false" t="normal">MID(L567, 4, 1)</f>
        <v>0</v>
      </c>
      <c r="AG570" s="137" t="n">
        <f aca="false" ca="false" dt2D="false" dtr="false" t="normal">AF570</f>
        <v>0</v>
      </c>
      <c r="AH570" s="120" t="s">
        <v>197</v>
      </c>
      <c r="AI570" s="131" t="s">
        <v>196</v>
      </c>
      <c r="AJ570" s="10493" t="s"/>
      <c r="AK570" s="10494" t="s"/>
    </row>
    <row hidden="false" ht="15.75" outlineLevel="0" r="571">
      <c r="C571" s="98" t="s">
        <v>176</v>
      </c>
      <c r="D571" s="122" t="n">
        <f aca="false" ca="false" dt2D="false" dtr="false" t="normal">D566</f>
        <v>7</v>
      </c>
      <c r="E571" s="123" t="str">
        <f aca="false" ca="false" dt2D="false" dtr="false" t="normal">E566</f>
        <v>A5</v>
      </c>
      <c r="F571" s="123" t="n">
        <f aca="false" ca="false" dt2D="false" dtr="false" t="normal">F566</f>
        <v>1</v>
      </c>
      <c r="G571" s="124" t="n">
        <f aca="false" ca="false" dt2D="false" dtr="false" t="normal">G566</f>
        <v>52</v>
      </c>
      <c r="H571" s="162" t="n">
        <f aca="false" ca="false" dt2D="false" dtr="false" t="normal">BIN2HEX(H572, 2)</f>
        <v>0</v>
      </c>
      <c r="I571" s="163" t="n">
        <f aca="false" ca="false" dt2D="false" dtr="false" t="normal">BIN2HEX(I572, 2)</f>
        <v>0</v>
      </c>
      <c r="J571" s="164" t="n">
        <f aca="false" ca="false" dt2D="false" dtr="false" t="normal">BIN2HEX(J572, 2)</f>
        <v>0</v>
      </c>
      <c r="K571" s="165" t="n">
        <f aca="false" ca="false" dt2D="false" dtr="false" t="normal">BIN2HEX(K572, 2)</f>
        <v>0</v>
      </c>
      <c r="L571" s="288" t="n">
        <f aca="false" ca="false" dt2D="false" dtr="false" t="normal">BIN2HEX(L572, 2)</f>
        <v>0</v>
      </c>
      <c r="M571" s="166" t="str">
        <f aca="false" ca="false" dt2D="false" dtr="false" t="normal">IF(LEN(M572)&gt;2, MID(M572, 2, 2), M572)</f>
        <v>FF</v>
      </c>
      <c r="N571" s="63" t="s">
        <v>181</v>
      </c>
      <c r="P571" s="136" t="n">
        <f aca="false" ca="false" dt2D="false" dtr="false" t="normal">MID(H567, 5, 1)</f>
        <v>0</v>
      </c>
      <c r="Q571" s="137" t="n">
        <f aca="false" ca="false" dt2D="false" dtr="false" t="normal">P571</f>
        <v>0</v>
      </c>
      <c r="R571" s="120" t="s">
        <v>200</v>
      </c>
      <c r="S571" s="131" t="s">
        <v>196</v>
      </c>
      <c r="T571" s="136" t="n">
        <f aca="false" ca="false" dt2D="false" dtr="false" t="normal">MID(I567, 5, 1)</f>
        <v>0</v>
      </c>
      <c r="U571" s="137" t="n">
        <f aca="false" ca="false" dt2D="false" dtr="false" t="normal">T571</f>
        <v>0</v>
      </c>
      <c r="V571" s="120" t="s">
        <v>200</v>
      </c>
      <c r="W571" s="131" t="s">
        <v>196</v>
      </c>
      <c r="X571" s="136" t="n">
        <f aca="false" ca="false" dt2D="false" dtr="false" t="normal">MID(J567, 5, 1)</f>
        <v>0</v>
      </c>
      <c r="Y571" s="137" t="n">
        <f aca="false" ca="false" dt2D="false" dtr="false" t="normal">X571</f>
        <v>0</v>
      </c>
      <c r="Z571" s="120" t="s">
        <v>200</v>
      </c>
      <c r="AA571" s="131" t="s">
        <v>196</v>
      </c>
      <c r="AB571" s="136" t="n">
        <f aca="false" ca="false" dt2D="false" dtr="false" t="normal">MID(K567, 5, 1)</f>
        <v>0</v>
      </c>
      <c r="AC571" s="137" t="n">
        <f aca="false" ca="false" dt2D="false" dtr="false" t="normal">AB571</f>
        <v>0</v>
      </c>
      <c r="AD571" s="120" t="s">
        <v>200</v>
      </c>
      <c r="AE571" s="131" t="s">
        <v>196</v>
      </c>
      <c r="AF571" s="136" t="n">
        <f aca="false" ca="false" dt2D="false" dtr="false" t="normal">MID(L567, 5, 1)</f>
        <v>0</v>
      </c>
      <c r="AG571" s="137" t="n">
        <f aca="false" ca="false" dt2D="false" dtr="false" t="normal">AF571</f>
        <v>0</v>
      </c>
      <c r="AH571" s="120" t="s">
        <v>200</v>
      </c>
      <c r="AI571" s="131" t="s">
        <v>196</v>
      </c>
      <c r="AJ571" s="10495" t="s"/>
      <c r="AK571" s="10496" t="s"/>
    </row>
    <row hidden="false" ht="15" outlineLevel="0" r="572">
      <c r="C572" s="98" t="s">
        <v>185</v>
      </c>
      <c r="D572" s="149" t="n">
        <f aca="false" ca="false" dt2D="false" dtr="false" t="normal">HEX2BIN(D571, 8)</f>
        <v>111</v>
      </c>
      <c r="E572" s="149" t="n">
        <f aca="false" ca="false" dt2D="false" dtr="false" t="normal">HEX2BIN(E571, 8)</f>
        <v>10100101</v>
      </c>
      <c r="F572" s="149" t="n">
        <f aca="false" ca="false" dt2D="false" dtr="false" t="normal">HEX2BIN(F571, 8)</f>
        <v>1</v>
      </c>
      <c r="G572" s="149" t="n">
        <f aca="false" ca="false" dt2D="false" dtr="false" t="normal">HEX2BIN(G571, 8)</f>
        <v>1010010</v>
      </c>
      <c r="H572" s="53" t="n">
        <f aca="false" ca="false" dt2D="false" dtr="false" t="normal">Q567&amp;Q568&amp;Q569&amp;Q570&amp;Q571&amp;Q572&amp;Q573&amp;Q574</f>
        <v>0</v>
      </c>
      <c r="I572" s="53" t="n">
        <f aca="false" ca="false" dt2D="false" dtr="false" t="normal">U567&amp;U568&amp;U569&amp;U570&amp;U571&amp;U572&amp;U573&amp;U574</f>
        <v>0</v>
      </c>
      <c r="J572" s="53" t="n">
        <f aca="false" ca="false" dt2D="false" dtr="false" t="normal">Y567&amp;Y568&amp;Y569&amp;Y570&amp;Y571&amp;Y572&amp;Y573&amp;Y574</f>
        <v>0</v>
      </c>
      <c r="K572" s="53" t="n">
        <f aca="false" ca="false" dt2D="false" dtr="false" t="normal">AC567&amp;AC568&amp;AC569&amp;AC570&amp;AC571&amp;AC572&amp;AC573&amp;AC574</f>
        <v>0</v>
      </c>
      <c r="L572" s="53" t="n">
        <f aca="false" ca="false" dt2D="false" dtr="false" t="normal">AG567&amp;AG568&amp;AG569&amp;AG570&amp;AG571&amp;AG572&amp;AG573&amp;AG574</f>
        <v>0</v>
      </c>
      <c r="M572" s="53" t="str">
        <f aca="false" ca="false" dt2D="false" dtr="false" t="normal">DEC2HEX(M573)</f>
        <v>FF</v>
      </c>
      <c r="N572" s="63" t="n"/>
      <c r="P572" s="136" t="n">
        <f aca="false" ca="false" dt2D="false" dtr="false" t="normal">MID(H567, 6, 1)</f>
        <v>0</v>
      </c>
      <c r="Q572" s="137" t="n">
        <f aca="false" ca="false" dt2D="false" dtr="false" t="normal">P572</f>
        <v>0</v>
      </c>
      <c r="R572" s="120" t="s">
        <v>203</v>
      </c>
      <c r="S572" s="131" t="s">
        <v>196</v>
      </c>
      <c r="T572" s="136" t="n">
        <f aca="false" ca="false" dt2D="false" dtr="false" t="normal">MID(I567, 6, 1)</f>
        <v>0</v>
      </c>
      <c r="U572" s="137" t="n">
        <f aca="false" ca="false" dt2D="false" dtr="false" t="normal">T572</f>
        <v>0</v>
      </c>
      <c r="V572" s="120" t="s">
        <v>203</v>
      </c>
      <c r="W572" s="131" t="s">
        <v>196</v>
      </c>
      <c r="X572" s="136" t="n">
        <f aca="false" ca="false" dt2D="false" dtr="false" t="normal">MID(J567, 6, 1)</f>
        <v>0</v>
      </c>
      <c r="Y572" s="137" t="n">
        <f aca="false" ca="false" dt2D="false" dtr="false" t="normal">X572</f>
        <v>0</v>
      </c>
      <c r="Z572" s="120" t="s">
        <v>203</v>
      </c>
      <c r="AA572" s="131" t="s">
        <v>196</v>
      </c>
      <c r="AB572" s="136" t="n">
        <f aca="false" ca="false" dt2D="false" dtr="false" t="normal">MID(K567, 6, 1)</f>
        <v>0</v>
      </c>
      <c r="AC572" s="137" t="n">
        <f aca="false" ca="false" dt2D="false" dtr="false" t="normal">AB572</f>
        <v>0</v>
      </c>
      <c r="AD572" s="120" t="s">
        <v>203</v>
      </c>
      <c r="AE572" s="131" t="s">
        <v>196</v>
      </c>
      <c r="AF572" s="136" t="n">
        <f aca="false" ca="false" dt2D="false" dtr="false" t="normal">MID(L567, 6, 1)</f>
        <v>0</v>
      </c>
      <c r="AG572" s="137" t="n">
        <f aca="false" ca="false" dt2D="false" dtr="false" t="normal">AF572</f>
        <v>0</v>
      </c>
      <c r="AH572" s="120" t="s">
        <v>203</v>
      </c>
      <c r="AI572" s="131" t="s">
        <v>196</v>
      </c>
      <c r="AJ572" s="10497" t="s"/>
      <c r="AK572" s="10498" t="s"/>
    </row>
    <row hidden="false" ht="15" outlineLevel="0" r="573">
      <c r="C573" s="98" t="s">
        <v>191</v>
      </c>
      <c r="D573" s="149" t="n">
        <f aca="false" ca="false" dt2D="false" dtr="false" t="normal">HEX2DEC(D571)</f>
        <v>7</v>
      </c>
      <c r="E573" s="149" t="n">
        <f aca="false" ca="false" dt2D="false" dtr="false" t="normal">HEX2DEC(E571)</f>
        <v>165</v>
      </c>
      <c r="F573" s="149" t="n">
        <f aca="false" ca="false" dt2D="false" dtr="false" t="normal">HEX2DEC(F571)</f>
        <v>1</v>
      </c>
      <c r="G573" s="149" t="n">
        <f aca="false" ca="false" dt2D="false" dtr="false" t="normal">HEX2DEC(G571)</f>
        <v>82</v>
      </c>
      <c r="H573" s="53" t="n">
        <f aca="false" ca="false" dt2D="false" dtr="false" t="normal">HEX2DEC(H571)</f>
        <v>0</v>
      </c>
      <c r="I573" s="53" t="n">
        <f aca="false" ca="false" dt2D="false" dtr="false" t="normal">HEX2DEC(I571)</f>
        <v>0</v>
      </c>
      <c r="J573" s="53" t="n">
        <f aca="false" ca="false" dt2D="false" dtr="false" t="normal">HEX2DEC(J571)</f>
        <v>0</v>
      </c>
      <c r="K573" s="53" t="n">
        <f aca="false" ca="false" dt2D="false" dtr="false" t="normal">HEX2DEC(K571)</f>
        <v>0</v>
      </c>
      <c r="L573" s="53" t="n">
        <f aca="false" ca="false" dt2D="false" dtr="false" t="normal">HEX2DEC(L571)</f>
        <v>0</v>
      </c>
      <c r="M573" s="53" t="n">
        <f aca="false" ca="false" dt2D="false" dtr="false" t="normal">SUM(D573:L573)</f>
        <v>255</v>
      </c>
      <c r="N573" s="63" t="n"/>
      <c r="P573" s="136" t="n">
        <f aca="false" ca="false" dt2D="false" dtr="false" t="normal">MID(H567, 7, 1)</f>
        <v>0</v>
      </c>
      <c r="Q573" s="137" t="n">
        <f aca="false" ca="false" dt2D="false" dtr="false" t="normal">P573</f>
        <v>0</v>
      </c>
      <c r="R573" s="120" t="s">
        <v>206</v>
      </c>
      <c r="S573" s="131" t="s">
        <v>196</v>
      </c>
      <c r="T573" s="136" t="n">
        <f aca="false" ca="false" dt2D="false" dtr="false" t="normal">MID(I567, 7, 1)</f>
        <v>0</v>
      </c>
      <c r="U573" s="137" t="n">
        <f aca="false" ca="false" dt2D="false" dtr="false" t="normal">T573</f>
        <v>0</v>
      </c>
      <c r="V573" s="120" t="s">
        <v>206</v>
      </c>
      <c r="W573" s="131" t="s">
        <v>196</v>
      </c>
      <c r="X573" s="136" t="n">
        <f aca="false" ca="false" dt2D="false" dtr="false" t="normal">MID(J567, 7, 1)</f>
        <v>0</v>
      </c>
      <c r="Y573" s="137" t="n">
        <f aca="false" ca="false" dt2D="false" dtr="false" t="normal">X573</f>
        <v>0</v>
      </c>
      <c r="Z573" s="120" t="s">
        <v>206</v>
      </c>
      <c r="AA573" s="131" t="s">
        <v>196</v>
      </c>
      <c r="AB573" s="136" t="n">
        <f aca="false" ca="false" dt2D="false" dtr="false" t="normal">MID(K567, 7, 1)</f>
        <v>0</v>
      </c>
      <c r="AC573" s="137" t="n">
        <f aca="false" ca="false" dt2D="false" dtr="false" t="normal">AB573</f>
        <v>0</v>
      </c>
      <c r="AD573" s="120" t="s">
        <v>206</v>
      </c>
      <c r="AE573" s="131" t="s">
        <v>196</v>
      </c>
      <c r="AF573" s="136" t="n">
        <f aca="false" ca="false" dt2D="false" dtr="false" t="normal">MID(L567, 7, 1)</f>
        <v>0</v>
      </c>
      <c r="AG573" s="137" t="n">
        <f aca="false" ca="false" dt2D="false" dtr="false" t="normal">AF573</f>
        <v>0</v>
      </c>
      <c r="AH573" s="120" t="s">
        <v>206</v>
      </c>
      <c r="AI573" s="131" t="s">
        <v>196</v>
      </c>
      <c r="AJ573" s="10499" t="s"/>
      <c r="AK573" s="10500" t="s"/>
    </row>
    <row hidden="false" ht="15.75" outlineLevel="0" r="574">
      <c r="C574" s="180" t="s">
        <v>194</v>
      </c>
      <c r="D574" s="181" t="n">
        <f aca="false" ca="false" dt2D="false" dtr="false" t="normal">D569</f>
        <v>7</v>
      </c>
      <c r="E574" s="181" t="str">
        <f aca="false" ca="false" dt2D="false" dtr="false" t="normal">E569</f>
        <v>A5</v>
      </c>
      <c r="F574" s="181" t="str">
        <f aca="false" ca="false" dt2D="false" dtr="false" t="normal">F569</f>
        <v>G1</v>
      </c>
      <c r="G574" s="181" t="str">
        <f aca="false" ca="false" dt2D="false" dtr="false" t="normal">G569</f>
        <v>J4</v>
      </c>
      <c r="H574" s="45" t="n"/>
      <c r="I574" s="45" t="n"/>
      <c r="J574" s="45" t="n"/>
      <c r="K574" s="45" t="n"/>
      <c r="L574" s="45" t="n"/>
      <c r="M574" s="45" t="n"/>
      <c r="N574" s="49" t="n"/>
      <c r="P574" s="182" t="n">
        <f aca="false" ca="false" dt2D="false" dtr="false" t="normal">MID(H567, 8, 1)</f>
        <v>0</v>
      </c>
      <c r="Q574" s="183" t="n">
        <f aca="false" ca="false" dt2D="false" dtr="false" t="normal">P574</f>
        <v>0</v>
      </c>
      <c r="R574" s="184" t="s">
        <v>208</v>
      </c>
      <c r="S574" s="185" t="s">
        <v>196</v>
      </c>
      <c r="T574" s="182" t="n">
        <f aca="false" ca="false" dt2D="false" dtr="false" t="normal">MID(I567, 8, 1)</f>
        <v>0</v>
      </c>
      <c r="U574" s="183" t="n">
        <f aca="false" ca="false" dt2D="false" dtr="false" t="normal">T574</f>
        <v>0</v>
      </c>
      <c r="V574" s="184" t="s">
        <v>208</v>
      </c>
      <c r="W574" s="185" t="s">
        <v>196</v>
      </c>
      <c r="X574" s="182" t="n">
        <f aca="false" ca="false" dt2D="false" dtr="false" t="normal">MID(J567, 8, 1)</f>
        <v>0</v>
      </c>
      <c r="Y574" s="183" t="n">
        <f aca="false" ca="false" dt2D="false" dtr="false" t="normal">X574</f>
        <v>0</v>
      </c>
      <c r="Z574" s="184" t="s">
        <v>208</v>
      </c>
      <c r="AA574" s="185" t="s">
        <v>196</v>
      </c>
      <c r="AB574" s="182" t="n">
        <f aca="false" ca="false" dt2D="false" dtr="false" t="normal">MID(K567, 8, 1)</f>
        <v>0</v>
      </c>
      <c r="AC574" s="183" t="n">
        <f aca="false" ca="false" dt2D="false" dtr="false" t="normal">AB574</f>
        <v>0</v>
      </c>
      <c r="AD574" s="184" t="s">
        <v>208</v>
      </c>
      <c r="AE574" s="185" t="s">
        <v>196</v>
      </c>
      <c r="AF574" s="182" t="n">
        <f aca="false" ca="false" dt2D="false" dtr="false" t="normal">MID(L567, 8, 1)</f>
        <v>0</v>
      </c>
      <c r="AG574" s="183" t="n">
        <f aca="false" ca="false" dt2D="false" dtr="false" t="normal">AF574</f>
        <v>0</v>
      </c>
      <c r="AH574" s="184" t="s">
        <v>208</v>
      </c>
      <c r="AI574" s="185" t="s">
        <v>196</v>
      </c>
      <c r="AJ574" s="10501" t="s"/>
      <c r="AK574" s="10502" t="s"/>
    </row>
    <row hidden="false" ht="15.75" outlineLevel="0" r="575">
      <c r="C575" s="93" t="n"/>
      <c r="D575" s="7585" t="n"/>
      <c r="E575" s="7585" t="n"/>
      <c r="F575" s="7585" t="n"/>
      <c r="G575" s="7585" t="n"/>
      <c r="H575" s="94" t="n"/>
      <c r="I575" s="94" t="n"/>
      <c r="J575" s="94" t="n"/>
      <c r="K575" s="94" t="n"/>
      <c r="L575" s="94" t="s">
        <v>161</v>
      </c>
      <c r="N575" s="60" t="n"/>
      <c r="P575" s="95" t="str">
        <f aca="false" ca="false" dt2D="false" dtr="false" t="normal">RIGHT(D577, 1)&amp;E577&amp;"-"&amp;F577&amp;"-"&amp;G577</f>
        <v>7A5-01-53</v>
      </c>
      <c r="Q575" s="10503" t="s"/>
      <c r="R575" s="97" t="s">
        <v>4352</v>
      </c>
      <c r="S575" s="97" t="s"/>
      <c r="T575" s="97" t="s"/>
      <c r="U575" s="97" t="s"/>
      <c r="V575" s="97" t="s"/>
      <c r="W575" s="97" t="s"/>
      <c r="X575" s="97" t="s"/>
      <c r="Y575" s="97" t="s"/>
      <c r="Z575" s="97" t="s"/>
      <c r="AA575" s="97" t="s"/>
      <c r="AB575" s="97" t="s"/>
      <c r="AC575" s="97" t="s"/>
      <c r="AD575" s="97" t="s"/>
      <c r="AE575" s="97" t="s"/>
      <c r="AF575" s="97" t="s"/>
      <c r="AG575" s="97" t="s"/>
      <c r="AH575" s="97" t="s"/>
      <c r="AI575" s="97" t="s"/>
      <c r="AJ575" s="97" t="s"/>
      <c r="AK575" s="97" t="s"/>
    </row>
    <row hidden="false" ht="15.75" outlineLevel="0" r="576">
      <c r="C576" s="98" t="n"/>
      <c r="D576" s="7606" t="s">
        <v>4353</v>
      </c>
      <c r="E576" s="10504" t="s"/>
      <c r="F576" s="10505" t="s"/>
      <c r="G576" s="10506" t="s"/>
      <c r="H576" s="53" t="s">
        <v>165</v>
      </c>
      <c r="I576" s="53" t="s">
        <v>166</v>
      </c>
      <c r="J576" s="53" t="s">
        <v>167</v>
      </c>
      <c r="K576" s="53" t="s">
        <v>168</v>
      </c>
      <c r="L576" s="53" t="s">
        <v>169</v>
      </c>
      <c r="N576" s="63" t="n"/>
      <c r="P576" s="103" t="s">
        <v>4354</v>
      </c>
      <c r="Q576" s="10507" t="s"/>
      <c r="R576" s="10508" t="s"/>
      <c r="S576" s="10509" t="s"/>
      <c r="T576" s="103" t="s">
        <v>4355</v>
      </c>
      <c r="U576" s="10510" t="s"/>
      <c r="V576" s="10511" t="s"/>
      <c r="W576" s="10512" t="s"/>
      <c r="X576" s="103" t="s">
        <v>4356</v>
      </c>
      <c r="Y576" s="10513" t="s"/>
      <c r="Z576" s="10514" t="s"/>
      <c r="AA576" s="10515" t="s"/>
      <c r="AB576" s="103" t="s">
        <v>4357</v>
      </c>
      <c r="AC576" s="10516" t="s"/>
      <c r="AD576" s="10517" t="s"/>
      <c r="AE576" s="10518" t="s"/>
      <c r="AF576" s="103" t="s">
        <v>4358</v>
      </c>
      <c r="AG576" s="10519" t="s"/>
      <c r="AH576" s="10520" t="s"/>
      <c r="AI576" s="10521" t="s"/>
      <c r="AJ576" s="120" t="n"/>
      <c r="AK576" s="121" t="n"/>
    </row>
    <row hidden="false" ht="15.75" outlineLevel="0" r="577">
      <c r="C577" s="98" t="s">
        <v>176</v>
      </c>
      <c r="D577" s="122" t="s">
        <v>177</v>
      </c>
      <c r="E577" s="123" t="s">
        <v>3892</v>
      </c>
      <c r="F577" s="123" t="s">
        <v>179</v>
      </c>
      <c r="G577" s="124" t="s">
        <v>914</v>
      </c>
      <c r="H577" s="273" t="n">
        <f aca="false" ca="false" dt2D="false" dtr="false" t="normal">MID($A$56, 8, 2)</f>
        <v>0</v>
      </c>
      <c r="I577" s="7626" t="n">
        <f aca="false" ca="false" dt2D="false" dtr="false" t="normal">MID($A$56, 10, 2)</f>
        <v>0</v>
      </c>
      <c r="J577" s="7626" t="n">
        <f aca="false" ca="false" dt2D="false" dtr="false" t="normal">MID($A$56, 12, 2)</f>
        <v>0</v>
      </c>
      <c r="K577" s="10522" t="n">
        <f aca="false" ca="false" dt2D="false" dtr="false" t="normal">MID($A$56, 14, 2)</f>
        <v>0</v>
      </c>
      <c r="L577" s="7553" t="n">
        <f aca="false" ca="false" dt2D="false" dtr="false" t="normal">MID($A$56, 16, 2)</f>
        <v>0</v>
      </c>
      <c r="N577" s="63" t="s">
        <v>180</v>
      </c>
      <c r="P577" s="129" t="s">
        <v>180</v>
      </c>
      <c r="Q577" s="130" t="s">
        <v>181</v>
      </c>
      <c r="R577" s="121" t="s">
        <v>182</v>
      </c>
      <c r="S577" s="131" t="n"/>
      <c r="T577" s="129" t="s">
        <v>180</v>
      </c>
      <c r="U577" s="130" t="s">
        <v>181</v>
      </c>
      <c r="V577" s="121" t="s">
        <v>182</v>
      </c>
      <c r="W577" s="131" t="n"/>
      <c r="X577" s="129" t="s">
        <v>180</v>
      </c>
      <c r="Y577" s="130" t="s">
        <v>181</v>
      </c>
      <c r="Z577" s="121" t="s">
        <v>182</v>
      </c>
      <c r="AA577" s="131" t="n"/>
      <c r="AB577" s="129" t="s">
        <v>180</v>
      </c>
      <c r="AC577" s="130" t="s">
        <v>181</v>
      </c>
      <c r="AD577" s="121" t="s">
        <v>182</v>
      </c>
      <c r="AE577" s="131" t="n"/>
      <c r="AF577" s="116" t="s">
        <v>183</v>
      </c>
      <c r="AG577" s="10523" t="s"/>
      <c r="AH577" s="10524" t="s"/>
      <c r="AI577" s="10525" t="s"/>
      <c r="AJ577" s="121" t="n"/>
      <c r="AK577" s="121" t="n"/>
    </row>
    <row hidden="false" ht="15" outlineLevel="0" r="578">
      <c r="C578" s="98" t="s">
        <v>185</v>
      </c>
      <c r="D578" s="149" t="n">
        <f aca="false" ca="false" dt2D="false" dtr="false" t="normal">HEX2BIN(D577, 8)</f>
        <v>111</v>
      </c>
      <c r="E578" s="149" t="n">
        <f aca="false" ca="false" dt2D="false" dtr="false" t="normal">HEX2BIN(E577, 8)</f>
        <v>10100101</v>
      </c>
      <c r="F578" s="149" t="n">
        <f aca="false" ca="false" dt2D="false" dtr="false" t="normal">HEX2BIN(F577, 8)</f>
        <v>1</v>
      </c>
      <c r="G578" s="149" t="n">
        <f aca="false" ca="false" dt2D="false" dtr="false" t="normal">HEX2BIN(G577, 8)</f>
        <v>1010011</v>
      </c>
      <c r="H578" s="53" t="n">
        <f aca="false" ca="false" dt2D="false" dtr="false" t="normal">HEX2BIN(H577, 8)</f>
        <v>0</v>
      </c>
      <c r="I578" s="53" t="n">
        <f aca="false" ca="false" dt2D="false" dtr="false" t="normal">HEX2BIN(I577, 8)</f>
        <v>0</v>
      </c>
      <c r="J578" s="53" t="n">
        <f aca="false" ca="false" dt2D="false" dtr="false" t="normal">HEX2BIN(J577, 8)</f>
        <v>0</v>
      </c>
      <c r="K578" s="53" t="n">
        <f aca="false" ca="false" dt2D="false" dtr="false" t="normal">HEX2BIN(K577, 8)</f>
        <v>0</v>
      </c>
      <c r="L578" s="53" t="n"/>
      <c r="M578" s="53" t="n"/>
      <c r="N578" s="63" t="n"/>
      <c r="P578" s="136" t="n">
        <f aca="false" ca="false" dt2D="false" dtr="false" t="normal">MID(H578, 1, 1)</f>
        <v>0</v>
      </c>
      <c r="Q578" s="137" t="n">
        <f aca="false" ca="false" dt2D="false" dtr="false" t="normal">P578</f>
        <v>0</v>
      </c>
      <c r="R578" s="120" t="s">
        <v>186</v>
      </c>
      <c r="S578" s="131" t="s">
        <v>196</v>
      </c>
      <c r="T578" s="136" t="n">
        <f aca="false" ca="false" dt2D="false" dtr="false" t="normal">MID(I578, 1, 1)</f>
        <v>0</v>
      </c>
      <c r="U578" s="137" t="n">
        <f aca="false" ca="false" dt2D="false" dtr="false" t="normal">T578</f>
        <v>0</v>
      </c>
      <c r="V578" s="120" t="s">
        <v>186</v>
      </c>
      <c r="W578" s="131" t="s">
        <v>196</v>
      </c>
      <c r="X578" s="136" t="n">
        <f aca="false" ca="false" dt2D="false" dtr="false" t="normal">MID(J578, 1, 1)</f>
        <v>0</v>
      </c>
      <c r="Y578" s="137" t="n">
        <f aca="false" ca="false" dt2D="false" dtr="false" t="normal">X578</f>
        <v>0</v>
      </c>
      <c r="Z578" s="120" t="s">
        <v>186</v>
      </c>
      <c r="AA578" s="131" t="s">
        <v>196</v>
      </c>
      <c r="AB578" s="136" t="n">
        <f aca="false" ca="false" dt2D="false" dtr="false" t="normal">MID(K578, 1, 1)</f>
        <v>0</v>
      </c>
      <c r="AC578" s="137" t="n">
        <f aca="false" ca="false" dt2D="false" dtr="false" t="normal">AB578</f>
        <v>0</v>
      </c>
      <c r="AD578" s="120" t="s">
        <v>186</v>
      </c>
      <c r="AE578" s="131" t="s">
        <v>196</v>
      </c>
      <c r="AF578" s="10526" t="s"/>
      <c r="AG578" s="142" t="s"/>
      <c r="AH578" s="142" t="s"/>
      <c r="AI578" s="10527" t="s"/>
      <c r="AJ578" s="121" t="n"/>
      <c r="AK578" s="121" t="n"/>
    </row>
    <row hidden="false" ht="15" outlineLevel="0" r="579">
      <c r="C579" s="98" t="s">
        <v>191</v>
      </c>
      <c r="D579" s="149" t="n">
        <f aca="false" ca="false" dt2D="false" dtr="false" t="normal">HEX2DEC(D577)</f>
        <v>7</v>
      </c>
      <c r="E579" s="149" t="n">
        <f aca="false" ca="false" dt2D="false" dtr="false" t="normal">HEX2DEC(E577)</f>
        <v>165</v>
      </c>
      <c r="F579" s="149" t="n">
        <f aca="false" ca="false" dt2D="false" dtr="false" t="normal">HEX2DEC(F577)</f>
        <v>1</v>
      </c>
      <c r="G579" s="149" t="n">
        <f aca="false" ca="false" dt2D="false" dtr="false" t="normal">HEX2DEC(G577)</f>
        <v>83</v>
      </c>
      <c r="H579" s="53" t="n">
        <f aca="false" ca="false" dt2D="false" dtr="false" t="normal">HEX2DEC(H577)</f>
        <v>0</v>
      </c>
      <c r="I579" s="53" t="n">
        <f aca="false" ca="false" dt2D="false" dtr="false" t="normal">HEX2DEC(I577)</f>
        <v>0</v>
      </c>
      <c r="J579" s="53" t="n">
        <f aca="false" ca="false" dt2D="false" dtr="false" t="normal">HEX2DEC(J577)</f>
        <v>0</v>
      </c>
      <c r="K579" s="53" t="n">
        <f aca="false" ca="false" dt2D="false" dtr="false" t="normal">HEX2DEC(K577)</f>
        <v>0</v>
      </c>
      <c r="L579" s="149" t="n">
        <f aca="false" ca="false" dt2D="false" dtr="false" t="normal">SUM(D579:K579)</f>
        <v>256</v>
      </c>
      <c r="N579" s="63" t="n"/>
      <c r="P579" s="136" t="n">
        <f aca="false" ca="false" dt2D="false" dtr="false" t="normal">MID(H578, 2, 1)</f>
        <v>0</v>
      </c>
      <c r="Q579" s="137" t="n">
        <f aca="false" ca="false" dt2D="false" dtr="false" t="normal">P579</f>
        <v>0</v>
      </c>
      <c r="R579" s="120" t="s">
        <v>192</v>
      </c>
      <c r="S579" s="131" t="s">
        <v>196</v>
      </c>
      <c r="T579" s="136" t="n">
        <f aca="false" ca="false" dt2D="false" dtr="false" t="normal">MID(I578, 2, 1)</f>
        <v>0</v>
      </c>
      <c r="U579" s="137" t="n">
        <f aca="false" ca="false" dt2D="false" dtr="false" t="normal">T579</f>
        <v>0</v>
      </c>
      <c r="V579" s="120" t="s">
        <v>192</v>
      </c>
      <c r="W579" s="131" t="s">
        <v>196</v>
      </c>
      <c r="X579" s="136" t="n">
        <f aca="false" ca="false" dt2D="false" dtr="false" t="normal">MID(J578, 2, 1)</f>
        <v>0</v>
      </c>
      <c r="Y579" s="137" t="n">
        <f aca="false" ca="false" dt2D="false" dtr="false" t="normal">X579</f>
        <v>0</v>
      </c>
      <c r="Z579" s="120" t="s">
        <v>192</v>
      </c>
      <c r="AA579" s="131" t="s">
        <v>196</v>
      </c>
      <c r="AB579" s="136" t="n">
        <f aca="false" ca="false" dt2D="false" dtr="false" t="normal">MID(K578, 2, 1)</f>
        <v>0</v>
      </c>
      <c r="AC579" s="137" t="n">
        <f aca="false" ca="false" dt2D="false" dtr="false" t="normal">AB579</f>
        <v>0</v>
      </c>
      <c r="AD579" s="120" t="s">
        <v>192</v>
      </c>
      <c r="AE579" s="131" t="s">
        <v>196</v>
      </c>
      <c r="AF579" s="10528" t="s"/>
      <c r="AG579" s="142" t="s"/>
      <c r="AH579" s="142" t="s"/>
      <c r="AI579" s="10529" t="s"/>
      <c r="AJ579" s="121" t="n"/>
      <c r="AK579" s="121" t="n"/>
    </row>
    <row hidden="false" ht="15" outlineLevel="0" r="580">
      <c r="C580" s="98" t="s">
        <v>194</v>
      </c>
      <c r="D580" s="149" t="n">
        <f aca="false" ca="false" dt2D="false" dtr="false" t="normal">D577</f>
        <v>7</v>
      </c>
      <c r="E580" s="149" t="str">
        <f aca="false" ca="false" dt2D="false" dtr="false" t="normal">E577</f>
        <v>A5</v>
      </c>
      <c r="F580" s="149" t="str">
        <f aca="false" ca="false" dt2D="false" dtr="false" t="normal">MID($A$56, 4, 2)</f>
        <v>G1</v>
      </c>
      <c r="G580" s="149" t="str">
        <f aca="false" ca="false" dt2D="false" dtr="false" t="normal">MID($A$56, 6, 2)</f>
        <v>J5</v>
      </c>
      <c r="N580" s="63" t="n"/>
      <c r="P580" s="136" t="n">
        <f aca="false" ca="false" dt2D="false" dtr="false" t="normal">MID(H578, 3, 1)</f>
        <v>0</v>
      </c>
      <c r="Q580" s="137" t="n">
        <f aca="false" ca="false" dt2D="false" dtr="false" t="normal">P580</f>
        <v>0</v>
      </c>
      <c r="R580" s="120" t="s">
        <v>195</v>
      </c>
      <c r="S580" s="131" t="s">
        <v>196</v>
      </c>
      <c r="T580" s="136" t="n">
        <f aca="false" ca="false" dt2D="false" dtr="false" t="normal">MID(I578, 3, 1)</f>
        <v>0</v>
      </c>
      <c r="U580" s="137" t="n">
        <f aca="false" ca="false" dt2D="false" dtr="false" t="normal">T580</f>
        <v>0</v>
      </c>
      <c r="V580" s="120" t="s">
        <v>195</v>
      </c>
      <c r="W580" s="131" t="s">
        <v>196</v>
      </c>
      <c r="X580" s="136" t="n">
        <f aca="false" ca="false" dt2D="false" dtr="false" t="normal">MID(J578, 3, 1)</f>
        <v>0</v>
      </c>
      <c r="Y580" s="137" t="n">
        <f aca="false" ca="false" dt2D="false" dtr="false" t="normal">X580</f>
        <v>0</v>
      </c>
      <c r="Z580" s="120" t="s">
        <v>195</v>
      </c>
      <c r="AA580" s="131" t="s">
        <v>196</v>
      </c>
      <c r="AB580" s="136" t="n">
        <f aca="false" ca="false" dt2D="false" dtr="false" t="normal">MID(K578, 3, 1)</f>
        <v>0</v>
      </c>
      <c r="AC580" s="137" t="n">
        <f aca="false" ca="false" dt2D="false" dtr="false" t="normal">AB580</f>
        <v>0</v>
      </c>
      <c r="AD580" s="120" t="s">
        <v>195</v>
      </c>
      <c r="AE580" s="131" t="s">
        <v>196</v>
      </c>
      <c r="AF580" s="10530" t="s"/>
      <c r="AG580" s="142" t="s"/>
      <c r="AH580" s="142" t="s"/>
      <c r="AI580" s="10531" t="s"/>
      <c r="AJ580" s="121" t="n"/>
      <c r="AK580" s="121" t="n"/>
    </row>
    <row hidden="false" ht="15.75" outlineLevel="0" r="581">
      <c r="C581" s="98" t="n"/>
      <c r="N581" s="63" t="n"/>
      <c r="P581" s="136" t="n">
        <f aca="false" ca="false" dt2D="false" dtr="false" t="normal">MID(H578, 4, 1)</f>
        <v>0</v>
      </c>
      <c r="Q581" s="137" t="n">
        <f aca="false" ca="false" dt2D="false" dtr="false" t="normal">P581</f>
        <v>0</v>
      </c>
      <c r="R581" s="120" t="s">
        <v>197</v>
      </c>
      <c r="S581" s="131" t="s">
        <v>196</v>
      </c>
      <c r="T581" s="136" t="n">
        <f aca="false" ca="false" dt2D="false" dtr="false" t="normal">MID(I578, 4, 1)</f>
        <v>0</v>
      </c>
      <c r="U581" s="137" t="n">
        <f aca="false" ca="false" dt2D="false" dtr="false" t="normal">T581</f>
        <v>0</v>
      </c>
      <c r="V581" s="120" t="s">
        <v>197</v>
      </c>
      <c r="W581" s="131" t="s">
        <v>196</v>
      </c>
      <c r="X581" s="136" t="n">
        <f aca="false" ca="false" dt2D="false" dtr="false" t="normal">MID(J578, 4, 1)</f>
        <v>0</v>
      </c>
      <c r="Y581" s="137" t="n">
        <f aca="false" ca="false" dt2D="false" dtr="false" t="normal">X581</f>
        <v>0</v>
      </c>
      <c r="Z581" s="120" t="s">
        <v>197</v>
      </c>
      <c r="AA581" s="131" t="s">
        <v>196</v>
      </c>
      <c r="AB581" s="136" t="n">
        <f aca="false" ca="false" dt2D="false" dtr="false" t="normal">MID(K578, 4, 1)</f>
        <v>0</v>
      </c>
      <c r="AC581" s="137" t="n">
        <f aca="false" ca="false" dt2D="false" dtr="false" t="normal">AB581</f>
        <v>0</v>
      </c>
      <c r="AD581" s="120" t="s">
        <v>197</v>
      </c>
      <c r="AE581" s="131" t="s">
        <v>196</v>
      </c>
      <c r="AF581" s="10532" t="s"/>
      <c r="AG581" s="142" t="s"/>
      <c r="AH581" s="142" t="s"/>
      <c r="AI581" s="10533" t="s"/>
      <c r="AJ581" s="121" t="n"/>
      <c r="AK581" s="121" t="n"/>
    </row>
    <row hidden="false" ht="15.75" outlineLevel="0" r="582">
      <c r="C582" s="98" t="s">
        <v>176</v>
      </c>
      <c r="D582" s="122" t="n">
        <f aca="false" ca="false" dt2D="false" dtr="false" t="normal">D577</f>
        <v>7</v>
      </c>
      <c r="E582" s="123" t="str">
        <f aca="false" ca="false" dt2D="false" dtr="false" t="normal">E577</f>
        <v>A5</v>
      </c>
      <c r="F582" s="123" t="n">
        <f aca="false" ca="false" dt2D="false" dtr="false" t="normal">F577</f>
        <v>1</v>
      </c>
      <c r="G582" s="124" t="n">
        <f aca="false" ca="false" dt2D="false" dtr="false" t="normal">G577</f>
        <v>53</v>
      </c>
      <c r="H582" s="162" t="n">
        <f aca="false" ca="false" dt2D="false" dtr="false" t="normal">BIN2HEX(H583, 2)</f>
        <v>0</v>
      </c>
      <c r="I582" s="163" t="n">
        <f aca="false" ca="false" dt2D="false" dtr="false" t="normal">BIN2HEX(I583, 2)</f>
        <v>0</v>
      </c>
      <c r="J582" s="164" t="n">
        <f aca="false" ca="false" dt2D="false" dtr="false" t="normal">BIN2HEX(J583, 2)</f>
        <v>0</v>
      </c>
      <c r="K582" s="165" t="n">
        <f aca="false" ca="false" dt2D="false" dtr="false" t="normal">BIN2HEX(K583, 2)</f>
        <v>0</v>
      </c>
      <c r="L582" s="166" t="n">
        <f aca="false" ca="false" dt2D="false" dtr="false" t="normal">IF(LEN(L583)&gt;2, MID(L583, 2, 2), L583)</f>
        <v>0</v>
      </c>
      <c r="N582" s="63" t="s">
        <v>181</v>
      </c>
      <c r="P582" s="136" t="n">
        <f aca="false" ca="false" dt2D="false" dtr="false" t="normal">MID(H578, 5, 1)</f>
        <v>0</v>
      </c>
      <c r="Q582" s="137" t="n">
        <f aca="false" ca="false" dt2D="false" dtr="false" t="normal">P582</f>
        <v>0</v>
      </c>
      <c r="R582" s="120" t="s">
        <v>200</v>
      </c>
      <c r="S582" s="131" t="s">
        <v>196</v>
      </c>
      <c r="T582" s="136" t="n">
        <f aca="false" ca="false" dt2D="false" dtr="false" t="normal">MID(I578, 5, 1)</f>
        <v>0</v>
      </c>
      <c r="U582" s="137" t="n">
        <f aca="false" ca="false" dt2D="false" dtr="false" t="normal">T582</f>
        <v>0</v>
      </c>
      <c r="V582" s="120" t="s">
        <v>200</v>
      </c>
      <c r="W582" s="131" t="s">
        <v>196</v>
      </c>
      <c r="X582" s="136" t="n">
        <f aca="false" ca="false" dt2D="false" dtr="false" t="normal">MID(J578, 5, 1)</f>
        <v>0</v>
      </c>
      <c r="Y582" s="137" t="n">
        <f aca="false" ca="false" dt2D="false" dtr="false" t="normal">X582</f>
        <v>0</v>
      </c>
      <c r="Z582" s="120" t="s">
        <v>200</v>
      </c>
      <c r="AA582" s="131" t="s">
        <v>196</v>
      </c>
      <c r="AB582" s="136" t="n">
        <f aca="false" ca="false" dt2D="false" dtr="false" t="normal">MID(K578, 5, 1)</f>
        <v>0</v>
      </c>
      <c r="AC582" s="137" t="n">
        <f aca="false" ca="false" dt2D="false" dtr="false" t="normal">AB582</f>
        <v>0</v>
      </c>
      <c r="AD582" s="120" t="s">
        <v>200</v>
      </c>
      <c r="AE582" s="131" t="s">
        <v>196</v>
      </c>
      <c r="AF582" s="10534" t="s"/>
      <c r="AG582" s="142" t="s"/>
      <c r="AH582" s="142" t="s"/>
      <c r="AI582" s="10535" t="s"/>
      <c r="AJ582" s="121" t="n"/>
      <c r="AK582" s="121" t="n"/>
    </row>
    <row hidden="false" ht="15" outlineLevel="0" r="583">
      <c r="C583" s="98" t="s">
        <v>185</v>
      </c>
      <c r="D583" s="149" t="n">
        <f aca="false" ca="false" dt2D="false" dtr="false" t="normal">HEX2BIN(D582, 8)</f>
        <v>111</v>
      </c>
      <c r="E583" s="149" t="n">
        <f aca="false" ca="false" dt2D="false" dtr="false" t="normal">HEX2BIN(E582, 8)</f>
        <v>10100101</v>
      </c>
      <c r="F583" s="149" t="n">
        <f aca="false" ca="false" dt2D="false" dtr="false" t="normal">HEX2BIN(F582, 8)</f>
        <v>1</v>
      </c>
      <c r="G583" s="149" t="n">
        <f aca="false" ca="false" dt2D="false" dtr="false" t="normal">HEX2BIN(G582, 8)</f>
        <v>1010011</v>
      </c>
      <c r="H583" s="53" t="n">
        <f aca="false" ca="false" dt2D="false" dtr="false" t="normal">Q578&amp;Q579&amp;Q580&amp;Q581&amp;Q582&amp;Q583&amp;Q584&amp;Q585</f>
        <v>0</v>
      </c>
      <c r="I583" s="53" t="n">
        <f aca="false" ca="false" dt2D="false" dtr="false" t="normal">U578&amp;U579&amp;U580&amp;U581&amp;U582&amp;U583&amp;U584&amp;U585</f>
        <v>0</v>
      </c>
      <c r="J583" s="53" t="n">
        <f aca="false" ca="false" dt2D="false" dtr="false" t="normal">Y578&amp;Y579&amp;Y580&amp;Y581&amp;Y582&amp;Y583&amp;Y584&amp;Y585</f>
        <v>0</v>
      </c>
      <c r="K583" s="53" t="n">
        <f aca="false" ca="false" dt2D="false" dtr="false" t="normal">AC578&amp;AC579&amp;AC580&amp;AC581&amp;AC582&amp;AC583&amp;AC584&amp;AC585</f>
        <v>0</v>
      </c>
      <c r="L583" s="53" t="n">
        <f aca="false" ca="false" dt2D="false" dtr="false" t="normal">DEC2HEX(L584)</f>
        <v>100</v>
      </c>
      <c r="N583" s="63" t="n"/>
      <c r="P583" s="136" t="n">
        <f aca="false" ca="false" dt2D="false" dtr="false" t="normal">MID(H578, 6, 1)</f>
        <v>0</v>
      </c>
      <c r="Q583" s="137" t="n">
        <f aca="false" ca="false" dt2D="false" dtr="false" t="normal">P583</f>
        <v>0</v>
      </c>
      <c r="R583" s="120" t="s">
        <v>203</v>
      </c>
      <c r="S583" s="131" t="s">
        <v>196</v>
      </c>
      <c r="T583" s="136" t="n">
        <f aca="false" ca="false" dt2D="false" dtr="false" t="normal">MID(I578, 6, 1)</f>
        <v>0</v>
      </c>
      <c r="U583" s="137" t="n">
        <f aca="false" ca="false" dt2D="false" dtr="false" t="normal">T583</f>
        <v>0</v>
      </c>
      <c r="V583" s="120" t="s">
        <v>203</v>
      </c>
      <c r="W583" s="131" t="s">
        <v>196</v>
      </c>
      <c r="X583" s="136" t="n">
        <f aca="false" ca="false" dt2D="false" dtr="false" t="normal">MID(J578, 6, 1)</f>
        <v>0</v>
      </c>
      <c r="Y583" s="137" t="n">
        <f aca="false" ca="false" dt2D="false" dtr="false" t="normal">X583</f>
        <v>0</v>
      </c>
      <c r="Z583" s="120" t="s">
        <v>203</v>
      </c>
      <c r="AA583" s="131" t="s">
        <v>196</v>
      </c>
      <c r="AB583" s="136" t="n">
        <f aca="false" ca="false" dt2D="false" dtr="false" t="normal">MID(K578, 6, 1)</f>
        <v>0</v>
      </c>
      <c r="AC583" s="137" t="n">
        <f aca="false" ca="false" dt2D="false" dtr="false" t="normal">AB583</f>
        <v>0</v>
      </c>
      <c r="AD583" s="120" t="s">
        <v>203</v>
      </c>
      <c r="AE583" s="131" t="s">
        <v>196</v>
      </c>
      <c r="AF583" s="10536" t="s"/>
      <c r="AG583" s="142" t="s"/>
      <c r="AH583" s="142" t="s"/>
      <c r="AI583" s="10537" t="s"/>
      <c r="AJ583" s="121" t="n"/>
      <c r="AK583" s="121" t="n"/>
    </row>
    <row hidden="false" ht="15" outlineLevel="0" r="584">
      <c r="C584" s="98" t="s">
        <v>191</v>
      </c>
      <c r="D584" s="149" t="n">
        <f aca="false" ca="false" dt2D="false" dtr="false" t="normal">HEX2DEC(D582)</f>
        <v>7</v>
      </c>
      <c r="E584" s="149" t="n">
        <f aca="false" ca="false" dt2D="false" dtr="false" t="normal">HEX2DEC(E582)</f>
        <v>165</v>
      </c>
      <c r="F584" s="149" t="n">
        <f aca="false" ca="false" dt2D="false" dtr="false" t="normal">HEX2DEC(F582)</f>
        <v>1</v>
      </c>
      <c r="G584" s="149" t="n">
        <f aca="false" ca="false" dt2D="false" dtr="false" t="normal">HEX2DEC(G582)</f>
        <v>83</v>
      </c>
      <c r="H584" s="53" t="n">
        <f aca="false" ca="false" dt2D="false" dtr="false" t="normal">HEX2DEC(H582)</f>
        <v>0</v>
      </c>
      <c r="I584" s="53" t="n">
        <f aca="false" ca="false" dt2D="false" dtr="false" t="normal">HEX2DEC(I582)</f>
        <v>0</v>
      </c>
      <c r="J584" s="53" t="n">
        <f aca="false" ca="false" dt2D="false" dtr="false" t="normal">HEX2DEC(J582)</f>
        <v>0</v>
      </c>
      <c r="K584" s="53" t="n">
        <f aca="false" ca="false" dt2D="false" dtr="false" t="normal">HEX2DEC(K582)</f>
        <v>0</v>
      </c>
      <c r="L584" s="149" t="n">
        <f aca="false" ca="false" dt2D="false" dtr="false" t="normal">SUM(D584:K584)</f>
        <v>256</v>
      </c>
      <c r="N584" s="63" t="n"/>
      <c r="P584" s="136" t="n">
        <f aca="false" ca="false" dt2D="false" dtr="false" t="normal">MID(H578, 7, 1)</f>
        <v>0</v>
      </c>
      <c r="Q584" s="137" t="n">
        <f aca="false" ca="false" dt2D="false" dtr="false" t="normal">P584</f>
        <v>0</v>
      </c>
      <c r="R584" s="120" t="s">
        <v>206</v>
      </c>
      <c r="S584" s="131" t="s">
        <v>196</v>
      </c>
      <c r="T584" s="136" t="n">
        <f aca="false" ca="false" dt2D="false" dtr="false" t="normal">MID(I578, 7, 1)</f>
        <v>0</v>
      </c>
      <c r="U584" s="137" t="n">
        <f aca="false" ca="false" dt2D="false" dtr="false" t="normal">T584</f>
        <v>0</v>
      </c>
      <c r="V584" s="120" t="s">
        <v>206</v>
      </c>
      <c r="W584" s="131" t="s">
        <v>196</v>
      </c>
      <c r="X584" s="136" t="n">
        <f aca="false" ca="false" dt2D="false" dtr="false" t="normal">MID(J578, 7, 1)</f>
        <v>0</v>
      </c>
      <c r="Y584" s="137" t="n">
        <f aca="false" ca="false" dt2D="false" dtr="false" t="normal">X584</f>
        <v>0</v>
      </c>
      <c r="Z584" s="120" t="s">
        <v>206</v>
      </c>
      <c r="AA584" s="131" t="s">
        <v>196</v>
      </c>
      <c r="AB584" s="136" t="n">
        <f aca="false" ca="false" dt2D="false" dtr="false" t="normal">MID(K578, 7, 1)</f>
        <v>0</v>
      </c>
      <c r="AC584" s="137" t="n">
        <f aca="false" ca="false" dt2D="false" dtr="false" t="normal">AB584</f>
        <v>0</v>
      </c>
      <c r="AD584" s="120" t="s">
        <v>206</v>
      </c>
      <c r="AE584" s="131" t="s">
        <v>196</v>
      </c>
      <c r="AF584" s="10538" t="s"/>
      <c r="AG584" s="142" t="s"/>
      <c r="AH584" s="142" t="s"/>
      <c r="AI584" s="10539" t="s"/>
      <c r="AJ584" s="121" t="n"/>
      <c r="AK584" s="121" t="n"/>
    </row>
    <row hidden="false" ht="15.75" outlineLevel="0" r="585">
      <c r="C585" s="180" t="s">
        <v>194</v>
      </c>
      <c r="D585" s="181" t="n">
        <f aca="false" ca="false" dt2D="false" dtr="false" t="normal">D580</f>
        <v>7</v>
      </c>
      <c r="E585" s="181" t="str">
        <f aca="false" ca="false" dt2D="false" dtr="false" t="normal">E580</f>
        <v>A5</v>
      </c>
      <c r="F585" s="181" t="str">
        <f aca="false" ca="false" dt2D="false" dtr="false" t="normal">F580</f>
        <v>G1</v>
      </c>
      <c r="G585" s="181" t="str">
        <f aca="false" ca="false" dt2D="false" dtr="false" t="normal">G580</f>
        <v>J5</v>
      </c>
      <c r="H585" s="45" t="n"/>
      <c r="I585" s="45" t="n"/>
      <c r="J585" s="45" t="n"/>
      <c r="K585" s="45" t="n"/>
      <c r="L585" s="45" t="n"/>
      <c r="M585" s="45" t="n"/>
      <c r="N585" s="49" t="n"/>
      <c r="P585" s="182" t="n">
        <f aca="false" ca="false" dt2D="false" dtr="false" t="normal">MID(H578, 8, 1)</f>
        <v>0</v>
      </c>
      <c r="Q585" s="183" t="n">
        <f aca="false" ca="false" dt2D="false" dtr="false" t="normal">P585</f>
        <v>0</v>
      </c>
      <c r="R585" s="184" t="s">
        <v>208</v>
      </c>
      <c r="S585" s="185" t="s">
        <v>196</v>
      </c>
      <c r="T585" s="182" t="n">
        <f aca="false" ca="false" dt2D="false" dtr="false" t="normal">MID(I578, 8, 1)</f>
        <v>0</v>
      </c>
      <c r="U585" s="183" t="n">
        <f aca="false" ca="false" dt2D="false" dtr="false" t="normal">T585</f>
        <v>0</v>
      </c>
      <c r="V585" s="184" t="s">
        <v>208</v>
      </c>
      <c r="W585" s="185" t="s">
        <v>196</v>
      </c>
      <c r="X585" s="182" t="n">
        <f aca="false" ca="false" dt2D="false" dtr="false" t="normal">MID(J578, 8, 1)</f>
        <v>0</v>
      </c>
      <c r="Y585" s="183" t="n">
        <f aca="false" ca="false" dt2D="false" dtr="false" t="normal">X585</f>
        <v>0</v>
      </c>
      <c r="Z585" s="184" t="s">
        <v>208</v>
      </c>
      <c r="AA585" s="185" t="s">
        <v>196</v>
      </c>
      <c r="AB585" s="182" t="n">
        <f aca="false" ca="false" dt2D="false" dtr="false" t="normal">MID(K578, 8, 1)</f>
        <v>0</v>
      </c>
      <c r="AC585" s="183" t="n">
        <f aca="false" ca="false" dt2D="false" dtr="false" t="normal">AB585</f>
        <v>0</v>
      </c>
      <c r="AD585" s="184" t="s">
        <v>208</v>
      </c>
      <c r="AE585" s="185" t="s">
        <v>196</v>
      </c>
      <c r="AF585" s="10540" t="s"/>
      <c r="AG585" s="10541" t="s"/>
      <c r="AH585" s="10542" t="s"/>
      <c r="AI585" s="10543" t="s"/>
      <c r="AJ585" s="121" t="n"/>
      <c r="AK585" s="121" t="n"/>
    </row>
    <row hidden="false" ht="15" outlineLevel="0" r="586"/>
    <row hidden="false" ht="15" outlineLevel="0" r="587"/>
    <row hidden="false" ht="15" outlineLevel="0" r="588"/>
  </sheetData>
  <mergeCells count="531">
    <mergeCell ref="R3:AK3"/>
    <mergeCell ref="AJ4:AK4"/>
    <mergeCell ref="AF4:AI4"/>
    <mergeCell ref="AB4:AE4"/>
    <mergeCell ref="X4:AA4"/>
    <mergeCell ref="T4:W4"/>
    <mergeCell ref="P4:S4"/>
    <mergeCell ref="A1:B1"/>
    <mergeCell ref="C2:E2"/>
    <mergeCell ref="G2:M2"/>
    <mergeCell ref="P3:Q3"/>
    <mergeCell ref="D4:G4"/>
    <mergeCell ref="AJ5:AK13"/>
    <mergeCell ref="AF15:AI15"/>
    <mergeCell ref="AB15:AE15"/>
    <mergeCell ref="X15:AA15"/>
    <mergeCell ref="R14:AK14"/>
    <mergeCell ref="P14:Q14"/>
    <mergeCell ref="T15:W15"/>
    <mergeCell ref="P15:S15"/>
    <mergeCell ref="D15:G15"/>
    <mergeCell ref="AJ15:AK15"/>
    <mergeCell ref="D26:G26"/>
    <mergeCell ref="P26:S26"/>
    <mergeCell ref="P25:Q25"/>
    <mergeCell ref="R25:AK25"/>
    <mergeCell ref="T26:W26"/>
    <mergeCell ref="X26:AA26"/>
    <mergeCell ref="AB26:AE26"/>
    <mergeCell ref="AF26:AI26"/>
    <mergeCell ref="AJ16:AK24"/>
    <mergeCell ref="AJ26:AK26"/>
    <mergeCell ref="R36:AK36"/>
    <mergeCell ref="AF37:AI37"/>
    <mergeCell ref="AB37:AE37"/>
    <mergeCell ref="X37:AA37"/>
    <mergeCell ref="P36:Q36"/>
    <mergeCell ref="T37:W37"/>
    <mergeCell ref="P37:S37"/>
    <mergeCell ref="D37:G37"/>
    <mergeCell ref="R47:AK47"/>
    <mergeCell ref="AF48:AI48"/>
    <mergeCell ref="AB48:AE48"/>
    <mergeCell ref="X48:AA48"/>
    <mergeCell ref="T48:W48"/>
    <mergeCell ref="P47:Q47"/>
    <mergeCell ref="P48:S48"/>
    <mergeCell ref="D48:G48"/>
    <mergeCell ref="D565:G565"/>
    <mergeCell ref="D510:G510"/>
    <mergeCell ref="D532:G532"/>
    <mergeCell ref="D543:G543"/>
    <mergeCell ref="D521:G521"/>
    <mergeCell ref="D554:G554"/>
    <mergeCell ref="D576:G576"/>
    <mergeCell ref="D367:G367"/>
    <mergeCell ref="D378:G378"/>
    <mergeCell ref="D389:G389"/>
    <mergeCell ref="D400:G400"/>
    <mergeCell ref="D411:G411"/>
    <mergeCell ref="D422:G422"/>
    <mergeCell ref="D433:G433"/>
    <mergeCell ref="D444:G444"/>
    <mergeCell ref="D455:G455"/>
    <mergeCell ref="D466:G466"/>
    <mergeCell ref="D477:G477"/>
    <mergeCell ref="D488:G488"/>
    <mergeCell ref="D499:G499"/>
    <mergeCell ref="P565:S565"/>
    <mergeCell ref="P521:S521"/>
    <mergeCell ref="P543:S543"/>
    <mergeCell ref="P510:S510"/>
    <mergeCell ref="P509:Q509"/>
    <mergeCell ref="P520:Q520"/>
    <mergeCell ref="P531:Q531"/>
    <mergeCell ref="P532:S532"/>
    <mergeCell ref="P542:Q542"/>
    <mergeCell ref="P553:Q553"/>
    <mergeCell ref="P554:S554"/>
    <mergeCell ref="P564:Q564"/>
    <mergeCell ref="P576:S576"/>
    <mergeCell ref="P575:Q575"/>
    <mergeCell ref="D235:G235"/>
    <mergeCell ref="D246:G246"/>
    <mergeCell ref="D257:G257"/>
    <mergeCell ref="D268:G268"/>
    <mergeCell ref="D279:G279"/>
    <mergeCell ref="D290:G290"/>
    <mergeCell ref="D301:G301"/>
    <mergeCell ref="D312:G312"/>
    <mergeCell ref="D323:G323"/>
    <mergeCell ref="D334:G334"/>
    <mergeCell ref="D345:G345"/>
    <mergeCell ref="D356:G356"/>
    <mergeCell ref="P235:S235"/>
    <mergeCell ref="P245:Q245"/>
    <mergeCell ref="P246:S246"/>
    <mergeCell ref="P256:Q256"/>
    <mergeCell ref="P257:S257"/>
    <mergeCell ref="P267:Q267"/>
    <mergeCell ref="P268:S268"/>
    <mergeCell ref="P278:Q278"/>
    <mergeCell ref="P279:S279"/>
    <mergeCell ref="P289:Q289"/>
    <mergeCell ref="P290:S290"/>
    <mergeCell ref="P300:Q300"/>
    <mergeCell ref="P301:S301"/>
    <mergeCell ref="P432:Q432"/>
    <mergeCell ref="P433:S433"/>
    <mergeCell ref="P443:Q443"/>
    <mergeCell ref="P444:S444"/>
    <mergeCell ref="P455:S455"/>
    <mergeCell ref="P465:Q465"/>
    <mergeCell ref="P466:S466"/>
    <mergeCell ref="P476:Q476"/>
    <mergeCell ref="P477:S477"/>
    <mergeCell ref="P487:Q487"/>
    <mergeCell ref="P488:S488"/>
    <mergeCell ref="P498:Q498"/>
    <mergeCell ref="P499:S499"/>
    <mergeCell ref="P454:Q454"/>
    <mergeCell ref="P422:S422"/>
    <mergeCell ref="P312:S312"/>
    <mergeCell ref="P400:S400"/>
    <mergeCell ref="P311:Q311"/>
    <mergeCell ref="P322:Q322"/>
    <mergeCell ref="P323:S323"/>
    <mergeCell ref="P333:Q333"/>
    <mergeCell ref="P334:S334"/>
    <mergeCell ref="P344:Q344"/>
    <mergeCell ref="P356:S356"/>
    <mergeCell ref="P367:S367"/>
    <mergeCell ref="P411:S411"/>
    <mergeCell ref="P410:Q410"/>
    <mergeCell ref="P421:Q421"/>
    <mergeCell ref="D59:G59"/>
    <mergeCell ref="P58:Q58"/>
    <mergeCell ref="R58:AK58"/>
    <mergeCell ref="P59:S59"/>
    <mergeCell ref="T59:W59"/>
    <mergeCell ref="X59:AA59"/>
    <mergeCell ref="AF59:AI59"/>
    <mergeCell ref="AB59:AE59"/>
    <mergeCell ref="D70:G70"/>
    <mergeCell ref="P69:Q69"/>
    <mergeCell ref="P70:S70"/>
    <mergeCell ref="R69:AK69"/>
    <mergeCell ref="T70:W70"/>
    <mergeCell ref="X70:AA70"/>
    <mergeCell ref="AB70:AE70"/>
    <mergeCell ref="AF70:AI70"/>
    <mergeCell ref="D81:G81"/>
    <mergeCell ref="P80:Q80"/>
    <mergeCell ref="P81:S81"/>
    <mergeCell ref="R80:AK80"/>
    <mergeCell ref="AF81:AI81"/>
    <mergeCell ref="AB81:AE81"/>
    <mergeCell ref="X81:AA81"/>
    <mergeCell ref="T81:W81"/>
    <mergeCell ref="D92:G92"/>
    <mergeCell ref="P91:Q91"/>
    <mergeCell ref="P92:S92"/>
    <mergeCell ref="R91:AK91"/>
    <mergeCell ref="AF92:AI92"/>
    <mergeCell ref="AB92:AE92"/>
    <mergeCell ref="X92:AA92"/>
    <mergeCell ref="T92:W92"/>
    <mergeCell ref="D103:G103"/>
    <mergeCell ref="P102:Q102"/>
    <mergeCell ref="P103:S103"/>
    <mergeCell ref="R102:AK102"/>
    <mergeCell ref="AF103:AI103"/>
    <mergeCell ref="AB103:AE103"/>
    <mergeCell ref="X103:AA103"/>
    <mergeCell ref="T103:W103"/>
    <mergeCell ref="R124:AK124"/>
    <mergeCell ref="T114:W114"/>
    <mergeCell ref="X114:AA114"/>
    <mergeCell ref="AB114:AE114"/>
    <mergeCell ref="AF114:AI114"/>
    <mergeCell ref="P114:S114"/>
    <mergeCell ref="P113:Q113"/>
    <mergeCell ref="R113:AK113"/>
    <mergeCell ref="D114:G114"/>
    <mergeCell ref="AF125:AI125"/>
    <mergeCell ref="AB125:AE125"/>
    <mergeCell ref="X125:AA125"/>
    <mergeCell ref="T125:W125"/>
    <mergeCell ref="P125:S125"/>
    <mergeCell ref="P124:Q124"/>
    <mergeCell ref="D147:G147"/>
    <mergeCell ref="D136:G136"/>
    <mergeCell ref="D125:G125"/>
    <mergeCell ref="P135:Q135"/>
    <mergeCell ref="R135:AK135"/>
    <mergeCell ref="AF136:AI136"/>
    <mergeCell ref="AJ147:AK147"/>
    <mergeCell ref="AB136:AE136"/>
    <mergeCell ref="X136:AA136"/>
    <mergeCell ref="T136:W136"/>
    <mergeCell ref="P136:S136"/>
    <mergeCell ref="R146:AK146"/>
    <mergeCell ref="AF147:AI147"/>
    <mergeCell ref="AB147:AE147"/>
    <mergeCell ref="X147:AA147"/>
    <mergeCell ref="T147:W147"/>
    <mergeCell ref="P146:Q146"/>
    <mergeCell ref="P147:S147"/>
    <mergeCell ref="D180:G180"/>
    <mergeCell ref="D191:G191"/>
    <mergeCell ref="D202:G202"/>
    <mergeCell ref="D224:G224"/>
    <mergeCell ref="D158:G158"/>
    <mergeCell ref="D169:G169"/>
    <mergeCell ref="D213:G213"/>
    <mergeCell ref="P224:S224"/>
    <mergeCell ref="P223:Q223"/>
    <mergeCell ref="P190:Q190"/>
    <mergeCell ref="P158:S158"/>
    <mergeCell ref="P157:Q157"/>
    <mergeCell ref="P168:Q168"/>
    <mergeCell ref="P169:S169"/>
    <mergeCell ref="P180:S180"/>
    <mergeCell ref="P179:Q179"/>
    <mergeCell ref="P191:S191"/>
    <mergeCell ref="P201:Q201"/>
    <mergeCell ref="P202:S202"/>
    <mergeCell ref="P212:Q212"/>
    <mergeCell ref="P213:S213"/>
    <mergeCell ref="P234:Q234"/>
    <mergeCell ref="R157:AK157"/>
    <mergeCell ref="AJ158:AK158"/>
    <mergeCell ref="AF158:AI158"/>
    <mergeCell ref="AB158:AE158"/>
    <mergeCell ref="X158:AA158"/>
    <mergeCell ref="T158:W158"/>
    <mergeCell ref="AJ159:AK167"/>
    <mergeCell ref="R168:AK168"/>
    <mergeCell ref="AF169:AI169"/>
    <mergeCell ref="AB169:AE169"/>
    <mergeCell ref="AJ169:AK169"/>
    <mergeCell ref="X169:AA169"/>
    <mergeCell ref="T169:W169"/>
    <mergeCell ref="R179:AK179"/>
    <mergeCell ref="X180:AA180"/>
    <mergeCell ref="T180:W180"/>
    <mergeCell ref="AB180:AE180"/>
    <mergeCell ref="R190:AK190"/>
    <mergeCell ref="T191:W191"/>
    <mergeCell ref="X191:AA191"/>
    <mergeCell ref="AB191:AE191"/>
    <mergeCell ref="R201:AK201"/>
    <mergeCell ref="T202:W202"/>
    <mergeCell ref="X202:AA202"/>
    <mergeCell ref="AB202:AE202"/>
    <mergeCell ref="R223:AK223"/>
    <mergeCell ref="AB213:AE213"/>
    <mergeCell ref="X213:AA213"/>
    <mergeCell ref="T213:W213"/>
    <mergeCell ref="R212:AK212"/>
    <mergeCell ref="R234:AK234"/>
    <mergeCell ref="T235:W235"/>
    <mergeCell ref="AF235:AI235"/>
    <mergeCell ref="AB235:AE235"/>
    <mergeCell ref="X235:AA235"/>
    <mergeCell ref="AJ235:AK235"/>
    <mergeCell ref="AJ27:AK35"/>
    <mergeCell ref="AJ37:AK37"/>
    <mergeCell ref="AJ38:AK46"/>
    <mergeCell ref="AJ48:AK48"/>
    <mergeCell ref="AJ49:AK57"/>
    <mergeCell ref="AJ59:AK59"/>
    <mergeCell ref="AJ60:AK68"/>
    <mergeCell ref="AJ70:AK70"/>
    <mergeCell ref="AJ71:AK79"/>
    <mergeCell ref="AJ81:AK81"/>
    <mergeCell ref="AJ82:AK90"/>
    <mergeCell ref="AJ92:AK92"/>
    <mergeCell ref="AJ93:AK101"/>
    <mergeCell ref="AJ103:AK103"/>
    <mergeCell ref="AJ104:AK112"/>
    <mergeCell ref="AJ114:AK114"/>
    <mergeCell ref="AJ115:AK123"/>
    <mergeCell ref="AJ125:AK125"/>
    <mergeCell ref="AJ126:AK134"/>
    <mergeCell ref="AJ136:AK136"/>
    <mergeCell ref="AJ137:AK145"/>
    <mergeCell ref="AJ148:AK156"/>
    <mergeCell ref="AJ170:AK178"/>
    <mergeCell ref="AJ180:AK180"/>
    <mergeCell ref="AJ214:AK222"/>
    <mergeCell ref="AJ224:AK224"/>
    <mergeCell ref="AJ225:AK233"/>
    <mergeCell ref="AJ236:AK244"/>
    <mergeCell ref="AJ246:AK246"/>
    <mergeCell ref="AJ247:AK255"/>
    <mergeCell ref="AJ257:AK257"/>
    <mergeCell ref="AJ258:AK266"/>
    <mergeCell ref="AJ455:AK455"/>
    <mergeCell ref="AJ434:AK442"/>
    <mergeCell ref="AJ433:AK433"/>
    <mergeCell ref="AJ423:AK431"/>
    <mergeCell ref="AJ412:AK420"/>
    <mergeCell ref="AJ411:AK411"/>
    <mergeCell ref="AJ401:AK409"/>
    <mergeCell ref="AJ400:AK400"/>
    <mergeCell ref="AJ422:AK422"/>
    <mergeCell ref="AJ555:AK563"/>
    <mergeCell ref="AJ554:AK554"/>
    <mergeCell ref="AJ544:AK552"/>
    <mergeCell ref="AJ543:AK543"/>
    <mergeCell ref="AJ533:AK541"/>
    <mergeCell ref="AJ532:AK532"/>
    <mergeCell ref="AJ522:AK530"/>
    <mergeCell ref="AJ521:AK521"/>
    <mergeCell ref="AJ511:AK519"/>
    <mergeCell ref="AJ566:AK574"/>
    <mergeCell ref="AJ510:AK510"/>
    <mergeCell ref="AJ565:AK565"/>
    <mergeCell ref="AJ324:AK332"/>
    <mergeCell ref="AJ323:AK323"/>
    <mergeCell ref="AJ313:AK321"/>
    <mergeCell ref="AJ312:AK312"/>
    <mergeCell ref="AJ302:AK310"/>
    <mergeCell ref="AJ301:AK301"/>
    <mergeCell ref="AJ291:AK299"/>
    <mergeCell ref="AJ290:AK290"/>
    <mergeCell ref="AJ280:AK288"/>
    <mergeCell ref="AJ279:AK279"/>
    <mergeCell ref="AJ269:AK277"/>
    <mergeCell ref="AJ268:AK268"/>
    <mergeCell ref="AJ334:AK334"/>
    <mergeCell ref="AJ335:AK343"/>
    <mergeCell ref="AJ345:AK345"/>
    <mergeCell ref="AJ346:AK354"/>
    <mergeCell ref="AJ356:AK356"/>
    <mergeCell ref="AJ357:AK365"/>
    <mergeCell ref="AJ367:AK367"/>
    <mergeCell ref="AJ368:AK376"/>
    <mergeCell ref="AJ378:AK378"/>
    <mergeCell ref="AJ379:AK387"/>
    <mergeCell ref="AJ389:AK389"/>
    <mergeCell ref="AJ390:AK398"/>
    <mergeCell ref="AF180:AI180"/>
    <mergeCell ref="AJ181:AK189"/>
    <mergeCell ref="AJ191:AK191"/>
    <mergeCell ref="AF191:AI191"/>
    <mergeCell ref="AJ192:AK200"/>
    <mergeCell ref="AJ202:AK202"/>
    <mergeCell ref="AF202:AI202"/>
    <mergeCell ref="AJ203:AK211"/>
    <mergeCell ref="AJ213:AK213"/>
    <mergeCell ref="AF213:AI213"/>
    <mergeCell ref="AF224:AI224"/>
    <mergeCell ref="AB224:AE224"/>
    <mergeCell ref="X224:AA224"/>
    <mergeCell ref="T224:W224"/>
    <mergeCell ref="R245:AK245"/>
    <mergeCell ref="AF246:AI246"/>
    <mergeCell ref="AB246:AE246"/>
    <mergeCell ref="X246:AA246"/>
    <mergeCell ref="R256:AK256"/>
    <mergeCell ref="AB257:AE257"/>
    <mergeCell ref="AF257:AI257"/>
    <mergeCell ref="X257:AA257"/>
    <mergeCell ref="T257:W257"/>
    <mergeCell ref="T246:W246"/>
    <mergeCell ref="R267:AK267"/>
    <mergeCell ref="AF268:AI268"/>
    <mergeCell ref="X268:AA268"/>
    <mergeCell ref="AB268:AE268"/>
    <mergeCell ref="R278:AK278"/>
    <mergeCell ref="X279:AA279"/>
    <mergeCell ref="T279:W279"/>
    <mergeCell ref="AF279:AI279"/>
    <mergeCell ref="AB279:AE279"/>
    <mergeCell ref="T268:W268"/>
    <mergeCell ref="R289:AK289"/>
    <mergeCell ref="X290:AA290"/>
    <mergeCell ref="AB290:AE290"/>
    <mergeCell ref="AF290:AI290"/>
    <mergeCell ref="R300:AK300"/>
    <mergeCell ref="X301:AA301"/>
    <mergeCell ref="AB301:AE301"/>
    <mergeCell ref="AF301:AI301"/>
    <mergeCell ref="T301:W301"/>
    <mergeCell ref="T290:W290"/>
    <mergeCell ref="R311:AK311"/>
    <mergeCell ref="AF312:AI312"/>
    <mergeCell ref="AB312:AE312"/>
    <mergeCell ref="X312:AA312"/>
    <mergeCell ref="T312:W312"/>
    <mergeCell ref="R322:AK322"/>
    <mergeCell ref="AF323:AI323"/>
    <mergeCell ref="X323:AA323"/>
    <mergeCell ref="AB323:AE323"/>
    <mergeCell ref="T323:W323"/>
    <mergeCell ref="R333:AK333"/>
    <mergeCell ref="AB334:AE334"/>
    <mergeCell ref="AF334:AI334"/>
    <mergeCell ref="T334:W334"/>
    <mergeCell ref="X334:AA334"/>
    <mergeCell ref="R344:AK344"/>
    <mergeCell ref="AB345:AE345"/>
    <mergeCell ref="AF345:AI345"/>
    <mergeCell ref="X345:AA345"/>
    <mergeCell ref="T345:W345"/>
    <mergeCell ref="R355:AK355"/>
    <mergeCell ref="T356:W356"/>
    <mergeCell ref="X356:AA356"/>
    <mergeCell ref="P345:S345"/>
    <mergeCell ref="AF356:AI356"/>
    <mergeCell ref="AB356:AE356"/>
    <mergeCell ref="AB367:AE367"/>
    <mergeCell ref="AF367:AI367"/>
    <mergeCell ref="X367:AA367"/>
    <mergeCell ref="P366:AK366"/>
    <mergeCell ref="T367:W367"/>
    <mergeCell ref="P355:Q355"/>
    <mergeCell ref="R399:AK399"/>
    <mergeCell ref="AF400:AI400"/>
    <mergeCell ref="AB400:AE400"/>
    <mergeCell ref="T400:W400"/>
    <mergeCell ref="X400:AA400"/>
    <mergeCell ref="AF389:AI389"/>
    <mergeCell ref="X389:AA389"/>
    <mergeCell ref="AB389:AE389"/>
    <mergeCell ref="T389:W389"/>
    <mergeCell ref="P389:S389"/>
    <mergeCell ref="R388:AK388"/>
    <mergeCell ref="P388:Q388"/>
    <mergeCell ref="P399:Q399"/>
    <mergeCell ref="P378:S378"/>
    <mergeCell ref="T378:W378"/>
    <mergeCell ref="AB378:AE378"/>
    <mergeCell ref="X378:AA378"/>
    <mergeCell ref="AF378:AI378"/>
    <mergeCell ref="R377:AK377"/>
    <mergeCell ref="P377:Q377"/>
    <mergeCell ref="AF577:AI585"/>
    <mergeCell ref="AB576:AE576"/>
    <mergeCell ref="AF565:AI565"/>
    <mergeCell ref="AB565:AE565"/>
    <mergeCell ref="X576:AA576"/>
    <mergeCell ref="T576:W576"/>
    <mergeCell ref="AF576:AI576"/>
    <mergeCell ref="R575:AK575"/>
    <mergeCell ref="R542:AK542"/>
    <mergeCell ref="T543:W543"/>
    <mergeCell ref="X543:AA543"/>
    <mergeCell ref="R553:AK553"/>
    <mergeCell ref="T554:W554"/>
    <mergeCell ref="X554:AA554"/>
    <mergeCell ref="AF543:AI543"/>
    <mergeCell ref="AB543:AE543"/>
    <mergeCell ref="AB554:AE554"/>
    <mergeCell ref="AF554:AI554"/>
    <mergeCell ref="R564:AK564"/>
    <mergeCell ref="T565:W565"/>
    <mergeCell ref="X565:AA565"/>
    <mergeCell ref="R531:AK531"/>
    <mergeCell ref="AF532:AI532"/>
    <mergeCell ref="AB532:AE532"/>
    <mergeCell ref="T532:W532"/>
    <mergeCell ref="X532:AA532"/>
    <mergeCell ref="R520:AK520"/>
    <mergeCell ref="AF521:AI521"/>
    <mergeCell ref="T521:W521"/>
    <mergeCell ref="AB521:AE521"/>
    <mergeCell ref="X521:AA521"/>
    <mergeCell ref="R509:AK509"/>
    <mergeCell ref="AB510:AE510"/>
    <mergeCell ref="X510:AA510"/>
    <mergeCell ref="T510:W510"/>
    <mergeCell ref="AF510:AI510"/>
    <mergeCell ref="R498:AK498"/>
    <mergeCell ref="AF499:AI499"/>
    <mergeCell ref="AB499:AE499"/>
    <mergeCell ref="X499:AA499"/>
    <mergeCell ref="T499:W499"/>
    <mergeCell ref="R487:AK487"/>
    <mergeCell ref="AF488:AI488"/>
    <mergeCell ref="X488:AA488"/>
    <mergeCell ref="T488:W488"/>
    <mergeCell ref="AB488:AE488"/>
    <mergeCell ref="R476:AK476"/>
    <mergeCell ref="AF477:AI477"/>
    <mergeCell ref="T477:W477"/>
    <mergeCell ref="AB477:AE477"/>
    <mergeCell ref="X477:AA477"/>
    <mergeCell ref="AJ477:AK477"/>
    <mergeCell ref="R465:AK465"/>
    <mergeCell ref="AF466:AI466"/>
    <mergeCell ref="AB466:AE466"/>
    <mergeCell ref="X466:AA466"/>
    <mergeCell ref="T466:W466"/>
    <mergeCell ref="R443:AK443"/>
    <mergeCell ref="AF444:AI444"/>
    <mergeCell ref="AJ444:AK444"/>
    <mergeCell ref="T444:W444"/>
    <mergeCell ref="AB444:AE444"/>
    <mergeCell ref="X444:AA444"/>
    <mergeCell ref="AJ445:AK453"/>
    <mergeCell ref="R454:AK454"/>
    <mergeCell ref="X455:AA455"/>
    <mergeCell ref="T455:W455"/>
    <mergeCell ref="AB455:AE455"/>
    <mergeCell ref="AF455:AI455"/>
    <mergeCell ref="R432:AK432"/>
    <mergeCell ref="AB433:AE433"/>
    <mergeCell ref="X433:AA433"/>
    <mergeCell ref="AF433:AI433"/>
    <mergeCell ref="T422:W422"/>
    <mergeCell ref="T411:W411"/>
    <mergeCell ref="T433:W433"/>
    <mergeCell ref="R410:AK410"/>
    <mergeCell ref="X411:AA411"/>
    <mergeCell ref="AF411:AI411"/>
    <mergeCell ref="AB411:AE411"/>
    <mergeCell ref="R421:AK421"/>
    <mergeCell ref="AF422:AI422"/>
    <mergeCell ref="AB422:AE422"/>
    <mergeCell ref="X422:AA422"/>
    <mergeCell ref="AJ456:AK464"/>
    <mergeCell ref="AJ466:AK466"/>
    <mergeCell ref="AJ467:AK475"/>
    <mergeCell ref="AJ478:AK486"/>
    <mergeCell ref="AJ488:AK488"/>
    <mergeCell ref="AJ489:AK497"/>
    <mergeCell ref="AJ499:AK499"/>
    <mergeCell ref="AJ500:AK508"/>
  </mergeCells>
  <conditionalFormatting pivot="false" sqref="B3:B70">
    <cfRule aboveAverage="true" bottom="false" dxfId="2" equalAverage="false" percent="false" priority="221" stopIfTrue="false" text="7A5G1" type="beginsWith">
      <formula>LEFT(B3,LEN("7A5G1"))="7A5G1"</formula>
    </cfRule>
  </conditionalFormatting>
  <conditionalFormatting pivot="false" sqref="B3:B70">
    <cfRule aboveAverage="true" bottom="false" dxfId="1" equalAverage="false" percent="false" priority="220" stopIfTrue="false" text="7A501" type="beginsWith">
      <formula>LEFT(B3,LEN("7A501"))="7A501"</formula>
    </cfRule>
  </conditionalFormatting>
  <conditionalFormatting pivot="false" sqref="B3:B70">
    <cfRule aboveAverage="true" bottom="false" dxfId="3" equalAverage="false" percent="false" priority="219" stopIfTrue="false" text=";Block" type="containsText">
      <formula>NOT(ISERROR(SEARCH(";Block",B3)))</formula>
    </cfRule>
  </conditionalFormatting>
  <conditionalFormatting pivot="false" sqref="B3:B70">
    <cfRule aboveAverage="true" bottom="false" dxfId="4" equalAverage="false" percent="false" priority="218" stopIfTrue="false" type="expression">
      <formula>IF(A3&lt;&gt;B3, 1, 0)</formula>
    </cfRule>
  </conditionalFormatting>
  <conditionalFormatting pivot="false" sqref="AG29:AG35 AG40:AG46 AG51:AG57 AG62:AG68 AG73:AG79 AG84:AG90">
    <cfRule aboveAverage="true" bottom="false" dxfId="0" equalAverage="false" percent="false" priority="217" stopIfTrue="false" type="expression">
      <formula>AG29:AG124&lt;&gt;AF29:AF124</formula>
    </cfRule>
  </conditionalFormatting>
  <conditionalFormatting pivot="false" sqref="Q29:Q35 U29:U35 Y29:Y35 AC29:AC35">
    <cfRule aboveAverage="true" bottom="false" dxfId="0" equalAverage="false" percent="false" priority="216" stopIfTrue="false" type="expression">
      <formula>Q29:Q124&lt;&gt;P29:P124</formula>
    </cfRule>
  </conditionalFormatting>
  <conditionalFormatting pivot="false" sqref="Q28 U28 Y28 AC28 AG28">
    <cfRule aboveAverage="true" bottom="false" dxfId="0" equalAverage="false" percent="false" priority="215" stopIfTrue="false" type="expression">
      <formula>Q28:Q35&lt;&gt;P28:P35</formula>
    </cfRule>
  </conditionalFormatting>
  <conditionalFormatting pivot="false" sqref="Q40:Q46 U40:U46 Y40:Y46 AC40:AC46">
    <cfRule aboveAverage="true" bottom="false" dxfId="0" equalAverage="false" percent="false" priority="214" stopIfTrue="false" type="expression">
      <formula>Q40:Q135&lt;&gt;P40:P135</formula>
    </cfRule>
  </conditionalFormatting>
  <conditionalFormatting pivot="false" sqref="Q39 U39 Y39 AC39 AG39">
    <cfRule aboveAverage="true" bottom="false" dxfId="0" equalAverage="false" percent="false" priority="213" stopIfTrue="false" type="expression">
      <formula>Q39:Q46&lt;&gt;P39:P46</formula>
    </cfRule>
  </conditionalFormatting>
  <conditionalFormatting pivot="false" sqref="Q51:Q57 U51:U57 Y51:Y57 AC51:AC57">
    <cfRule aboveAverage="true" bottom="false" dxfId="0" equalAverage="false" percent="false" priority="212" stopIfTrue="false" type="expression">
      <formula>Q51:Q146&lt;&gt;P51:P146</formula>
    </cfRule>
  </conditionalFormatting>
  <conditionalFormatting pivot="false" sqref="Q50 U50 Y50 AC50 AG50">
    <cfRule aboveAverage="true" bottom="false" dxfId="0" equalAverage="false" percent="false" priority="211" stopIfTrue="false" type="expression">
      <formula>Q50:Q57&lt;&gt;P50:P57</formula>
    </cfRule>
  </conditionalFormatting>
  <conditionalFormatting pivot="false" sqref="Q62:Q68 U62:U68 Y62:Y68 AC62:AC68">
    <cfRule aboveAverage="true" bottom="false" dxfId="0" equalAverage="false" percent="false" priority="210" stopIfTrue="false" type="expression">
      <formula>Q62:Q157&lt;&gt;P62:P157</formula>
    </cfRule>
  </conditionalFormatting>
  <conditionalFormatting pivot="false" sqref="Q61 U61 Y61 AC61 AG61">
    <cfRule aboveAverage="true" bottom="false" dxfId="0" equalAverage="false" percent="false" priority="209" stopIfTrue="false" type="expression">
      <formula>Q61:Q68&lt;&gt;P61:P68</formula>
    </cfRule>
  </conditionalFormatting>
  <conditionalFormatting pivot="false" sqref="Q73:Q79 U73:U79 Y73:Y79 AC73:AC79">
    <cfRule aboveAverage="true" bottom="false" dxfId="0" equalAverage="false" percent="false" priority="208" stopIfTrue="false" type="expression">
      <formula>Q73:Q168&lt;&gt;P73:P168</formula>
    </cfRule>
  </conditionalFormatting>
  <conditionalFormatting pivot="false" sqref="Q72 U72 Y72 AC72 AG72">
    <cfRule aboveAverage="true" bottom="false" dxfId="0" equalAverage="false" percent="false" priority="207" stopIfTrue="false" type="expression">
      <formula>Q72:Q79&lt;&gt;P72:P79</formula>
    </cfRule>
  </conditionalFormatting>
  <conditionalFormatting pivot="false" sqref="Q84:Q90 U84:U90 Y84:Y90 AC84:AC90">
    <cfRule aboveAverage="true" bottom="false" dxfId="0" equalAverage="false" percent="false" priority="206" stopIfTrue="false" type="expression">
      <formula>Q84:Q179&lt;&gt;P84:P179</formula>
    </cfRule>
  </conditionalFormatting>
  <conditionalFormatting pivot="false" sqref="Q83 U83 Y83 AC83 AG83">
    <cfRule aboveAverage="true" bottom="false" dxfId="0" equalAverage="false" percent="false" priority="205" stopIfTrue="false" type="expression">
      <formula>Q83:Q90&lt;&gt;P83:P90</formula>
    </cfRule>
  </conditionalFormatting>
  <conditionalFormatting pivot="false" sqref="Q95:Q101 U95:U101 Y95:Y101 AC95:AC101">
    <cfRule aboveAverage="true" bottom="false" dxfId="0" equalAverage="false" percent="false" priority="204" stopIfTrue="false" type="expression">
      <formula>Q95:Q190&lt;&gt;P95:P190</formula>
    </cfRule>
  </conditionalFormatting>
  <conditionalFormatting pivot="false" sqref="Q94 U94 Y94 AC94">
    <cfRule aboveAverage="true" bottom="false" dxfId="0" equalAverage="false" percent="false" priority="203" stopIfTrue="false" type="expression">
      <formula>Q94:Q101&lt;&gt;P94:P101</formula>
    </cfRule>
  </conditionalFormatting>
  <conditionalFormatting pivot="false" sqref="A11:A56">
    <cfRule aboveAverage="true" bottom="false" dxfId="7" equalAverage="false" percent="false" priority="202" stopIfTrue="false" type="notContainsBlanks">
      <formula>LEN(TRIM(A11))&gt;0</formula>
    </cfRule>
  </conditionalFormatting>
  <conditionalFormatting pivot="false" sqref="A11:A56">
    <cfRule aboveAverage="true" bottom="false" dxfId="5" equalAverage="false" percent="false" priority="201" stopIfTrue="false" text=";Block 3" type="containsText">
      <formula>NOT(ISERROR(SEARCH(";Block 3",A11)))</formula>
    </cfRule>
  </conditionalFormatting>
  <conditionalFormatting pivot="false" sqref="A11:A56">
    <cfRule aboveAverage="true" bottom="false" dxfId="5" equalAverage="false" percent="false" priority="200" stopIfTrue="false" text="720G3" type="beginsWith">
      <formula>LEFT(A11,LEN("720G3"))="720G3"</formula>
    </cfRule>
  </conditionalFormatting>
  <conditionalFormatting pivot="false" sqref="A11:A56">
    <cfRule aboveAverage="true" bottom="false" dxfId="5" equalAverage="false" percent="false" priority="199" stopIfTrue="false" text="72003" type="beginsWith">
      <formula>LEFT(A11,LEN("72003"))="72003"</formula>
    </cfRule>
  </conditionalFormatting>
  <conditionalFormatting pivot="false" sqref="A4:A10">
    <cfRule aboveAverage="true" bottom="false" dxfId="5" equalAverage="false" percent="false" priority="198" stopIfTrue="false" text="Block 3" type="containsText">
      <formula>NOT(ISERROR(SEARCH("Block 3",A4)))</formula>
    </cfRule>
  </conditionalFormatting>
  <conditionalFormatting pivot="false" sqref="A4:A10">
    <cfRule aboveAverage="true" bottom="false" dxfId="5" equalAverage="false" percent="false" priority="197" stopIfTrue="false" text="720G3" type="containsText">
      <formula>NOT(ISERROR(SEARCH("720G3",A4)))</formula>
    </cfRule>
  </conditionalFormatting>
  <conditionalFormatting pivot="false" sqref="A3">
    <cfRule aboveAverage="true" bottom="false" dxfId="8" equalAverage="false" percent="false" priority="196" stopIfTrue="false" text="720G4" type="containsText">
      <formula>NOT(ISERROR(SEARCH("720G4",A3)))</formula>
    </cfRule>
  </conditionalFormatting>
  <conditionalFormatting pivot="false" sqref="A3">
    <cfRule aboveAverage="true" bottom="false" dxfId="8" equalAverage="false" percent="false" priority="195" stopIfTrue="false" text="720G2" type="containsText">
      <formula>NOT(ISERROR(SEARCH("720G2",A3)))</formula>
    </cfRule>
  </conditionalFormatting>
  <conditionalFormatting pivot="false" sqref="A3">
    <cfRule aboveAverage="true" bottom="false" dxfId="7" equalAverage="false" percent="false" priority="194" stopIfTrue="false" text="720G1" type="containsText">
      <formula>NOT(ISERROR(SEARCH("720G1",A3)))</formula>
    </cfRule>
  </conditionalFormatting>
  <conditionalFormatting pivot="false" sqref="A3">
    <cfRule aboveAverage="true" bottom="false" dxfId="7" equalAverage="false" percent="false" priority="193" stopIfTrue="false" text=";Block 1" type="containsText">
      <formula>NOT(ISERROR(SEARCH(";Block 1",A3)))</formula>
    </cfRule>
  </conditionalFormatting>
  <conditionalFormatting pivot="false" sqref="A3">
    <cfRule aboveAverage="true" bottom="false" dxfId="7" equalAverage="false" percent="false" priority="192" stopIfTrue="false" text=";Block 2" type="containsText">
      <formula>NOT(ISERROR(SEARCH(";Block 2",A3)))</formula>
    </cfRule>
  </conditionalFormatting>
  <conditionalFormatting pivot="false" sqref="A3">
    <cfRule aboveAverage="true" bottom="false" dxfId="7" equalAverage="false" percent="false" priority="191" stopIfTrue="false" text=";Block 4" type="containsText">
      <formula>NOT(ISERROR(SEARCH(";Block 4",A3)))</formula>
    </cfRule>
  </conditionalFormatting>
  <conditionalFormatting pivot="false" sqref="AC8:AC12">
    <cfRule aboveAverage="true" bottom="false" dxfId="0" equalAverage="false" percent="false" priority="190" stopIfTrue="false" type="expression">
      <formula>AC8:AC14&lt;&gt;AB8:AB14</formula>
    </cfRule>
  </conditionalFormatting>
  <conditionalFormatting pivot="false" sqref="AC6:AC7">
    <cfRule aboveAverage="true" bottom="false" dxfId="0" equalAverage="false" percent="false" priority="189" stopIfTrue="false" type="expression">
      <formula>AC6:AC13&lt;&gt;AB6:AB13</formula>
    </cfRule>
  </conditionalFormatting>
  <conditionalFormatting pivot="false" sqref="AC19:AC23">
    <cfRule aboveAverage="true" bottom="false" dxfId="0" equalAverage="false" percent="false" priority="188" stopIfTrue="false" type="expression">
      <formula>AC19:AC25&lt;&gt;AB19:AB25</formula>
    </cfRule>
  </conditionalFormatting>
  <conditionalFormatting pivot="false" sqref="AC17:AC18">
    <cfRule aboveAverage="true" bottom="false" dxfId="0" equalAverage="false" percent="false" priority="187" stopIfTrue="false" type="expression">
      <formula>AC17:AC24&lt;&gt;AB17:AB24</formula>
    </cfRule>
  </conditionalFormatting>
  <conditionalFormatting pivot="false" sqref="AG95:AG101">
    <cfRule aboveAverage="true" bottom="false" dxfId="0" equalAverage="false" percent="false" priority="186" stopIfTrue="false" type="expression">
      <formula>AG95:AG190&lt;&gt;AF95:AF190</formula>
    </cfRule>
  </conditionalFormatting>
  <conditionalFormatting pivot="false" sqref="AG94">
    <cfRule aboveAverage="true" bottom="false" dxfId="0" equalAverage="false" percent="false" priority="185" stopIfTrue="false" type="expression">
      <formula>AG94:AG101&lt;&gt;AF94:AF101</formula>
    </cfRule>
  </conditionalFormatting>
  <conditionalFormatting pivot="false" sqref="Q106:Q112 U106:U112 Y106:Y112 AC106:AC112">
    <cfRule aboveAverage="true" bottom="false" dxfId="0" equalAverage="false" percent="false" priority="184" stopIfTrue="false" type="expression">
      <formula>Q106:Q201&lt;&gt;P106:P201</formula>
    </cfRule>
  </conditionalFormatting>
  <conditionalFormatting pivot="false" sqref="Q105 U105 Y105 AC105">
    <cfRule aboveAverage="true" bottom="false" dxfId="0" equalAverage="false" percent="false" priority="183" stopIfTrue="false" type="expression">
      <formula>Q105:Q112&lt;&gt;P105:P112</formula>
    </cfRule>
  </conditionalFormatting>
  <conditionalFormatting pivot="false" sqref="AG106:AG112">
    <cfRule aboveAverage="true" bottom="false" dxfId="0" equalAverage="false" percent="false" priority="182" stopIfTrue="false" type="expression">
      <formula>AG106:AG201&lt;&gt;AF106:AF201</formula>
    </cfRule>
  </conditionalFormatting>
  <conditionalFormatting pivot="false" sqref="AG105">
    <cfRule aboveAverage="true" bottom="false" dxfId="0" equalAverage="false" percent="false" priority="181" stopIfTrue="false" type="expression">
      <formula>AG105:AG112&lt;&gt;AF105:AF112</formula>
    </cfRule>
  </conditionalFormatting>
  <conditionalFormatting pivot="false" sqref="Q117:Q123 U117:U123 Y117:Y123 AC117:AC123">
    <cfRule aboveAverage="true" bottom="false" dxfId="0" equalAverage="false" percent="false" priority="180" stopIfTrue="false" type="expression">
      <formula>Q117:Q212&lt;&gt;P117:P212</formula>
    </cfRule>
  </conditionalFormatting>
  <conditionalFormatting pivot="false" sqref="Q116 U116 Y116 AC116">
    <cfRule aboveAverage="true" bottom="false" dxfId="0" equalAverage="false" percent="false" priority="179" stopIfTrue="false" type="expression">
      <formula>Q116:Q123&lt;&gt;P116:P123</formula>
    </cfRule>
  </conditionalFormatting>
  <conditionalFormatting pivot="false" sqref="AG117:AG123">
    <cfRule aboveAverage="true" bottom="false" dxfId="0" equalAverage="false" percent="false" priority="178" stopIfTrue="false" type="expression">
      <formula>AG117:AG212&lt;&gt;AF117:AF212</formula>
    </cfRule>
  </conditionalFormatting>
  <conditionalFormatting pivot="false" sqref="AG116">
    <cfRule aboveAverage="true" bottom="false" dxfId="0" equalAverage="false" percent="false" priority="177" stopIfTrue="false" type="expression">
      <formula>AG116:AG123&lt;&gt;AF116:AF123</formula>
    </cfRule>
  </conditionalFormatting>
  <conditionalFormatting pivot="false" sqref="Q128:Q134 U128:U134 Y128:Y134 AC128:AC134">
    <cfRule aboveAverage="true" bottom="false" dxfId="0" equalAverage="false" percent="false" priority="176" stopIfTrue="false" type="expression">
      <formula>Q128:Q223&lt;&gt;P128:P223</formula>
    </cfRule>
  </conditionalFormatting>
  <conditionalFormatting pivot="false" sqref="Q127 U127 Y127 AC127">
    <cfRule aboveAverage="true" bottom="false" dxfId="0" equalAverage="false" percent="false" priority="175" stopIfTrue="false" type="expression">
      <formula>Q127:Q134&lt;&gt;P127:P134</formula>
    </cfRule>
  </conditionalFormatting>
  <conditionalFormatting pivot="false" sqref="AG128:AG134">
    <cfRule aboveAverage="true" bottom="false" dxfId="0" equalAverage="false" percent="false" priority="174" stopIfTrue="false" type="expression">
      <formula>AG128:AG223&lt;&gt;AF128:AF223</formula>
    </cfRule>
  </conditionalFormatting>
  <conditionalFormatting pivot="false" sqref="AG127">
    <cfRule aboveAverage="true" bottom="false" dxfId="0" equalAverage="false" percent="false" priority="173" stopIfTrue="false" type="expression">
      <formula>AG127:AG134&lt;&gt;AF127:AF134</formula>
    </cfRule>
  </conditionalFormatting>
  <conditionalFormatting pivot="false" sqref="Q139:Q145 U139:U145 Y139:Y145 AC139:AC145">
    <cfRule aboveAverage="true" bottom="false" dxfId="0" equalAverage="false" percent="false" priority="172" stopIfTrue="false" type="expression">
      <formula>Q139:Q234&lt;&gt;P139:P234</formula>
    </cfRule>
  </conditionalFormatting>
  <conditionalFormatting pivot="false" sqref="Q138 U138 Y138 AC138">
    <cfRule aboveAverage="true" bottom="false" dxfId="0" equalAverage="false" percent="false" priority="171" stopIfTrue="false" type="expression">
      <formula>Q138:Q145&lt;&gt;P138:P145</formula>
    </cfRule>
  </conditionalFormatting>
  <conditionalFormatting pivot="false" sqref="AG139:AG145">
    <cfRule aboveAverage="true" bottom="false" dxfId="0" equalAverage="false" percent="false" priority="170" stopIfTrue="false" type="expression">
      <formula>AG139:AG234&lt;&gt;AF139:AF234</formula>
    </cfRule>
  </conditionalFormatting>
  <conditionalFormatting pivot="false" sqref="AG138">
    <cfRule aboveAverage="true" bottom="false" dxfId="0" equalAverage="false" percent="false" priority="169" stopIfTrue="false" type="expression">
      <formula>AG138:AG145&lt;&gt;AF138:AF145</formula>
    </cfRule>
  </conditionalFormatting>
  <conditionalFormatting pivot="false" sqref="Q150:Q156 U150:U156 Y150:Y156 AC150:AC156">
    <cfRule aboveAverage="true" bottom="false" dxfId="0" equalAverage="false" percent="false" priority="168" stopIfTrue="false" type="expression">
      <formula>Q150:Q245&lt;&gt;P150:P245</formula>
    </cfRule>
  </conditionalFormatting>
  <conditionalFormatting pivot="false" sqref="Q149 U149 Y149 AC149">
    <cfRule aboveAverage="true" bottom="false" dxfId="0" equalAverage="false" percent="false" priority="167" stopIfTrue="false" type="expression">
      <formula>Q149:Q156&lt;&gt;P149:P156</formula>
    </cfRule>
  </conditionalFormatting>
  <conditionalFormatting pivot="false" sqref="AG150:AG156">
    <cfRule aboveAverage="true" bottom="false" dxfId="0" equalAverage="false" percent="false" priority="166" stopIfTrue="false" type="expression">
      <formula>AG150:AG245&lt;&gt;AF150:AF245</formula>
    </cfRule>
  </conditionalFormatting>
  <conditionalFormatting pivot="false" sqref="AG149">
    <cfRule aboveAverage="true" bottom="false" dxfId="0" equalAverage="false" percent="false" priority="165" stopIfTrue="false" type="expression">
      <formula>AG149:AG156&lt;&gt;AF149:AF156</formula>
    </cfRule>
  </conditionalFormatting>
  <conditionalFormatting pivot="false" sqref="Q161:Q167 U161:U167 Y161:Y167 AC161:AC167">
    <cfRule aboveAverage="true" bottom="false" dxfId="0" equalAverage="false" percent="false" priority="164" stopIfTrue="false" type="expression">
      <formula>Q161:Q256&lt;&gt;P161:P256</formula>
    </cfRule>
  </conditionalFormatting>
  <conditionalFormatting pivot="false" sqref="Q160 U160 Y160 AC160">
    <cfRule aboveAverage="true" bottom="false" dxfId="0" equalAverage="false" percent="false" priority="163" stopIfTrue="false" type="expression">
      <formula>Q160:Q167&lt;&gt;P160:P167</formula>
    </cfRule>
  </conditionalFormatting>
  <conditionalFormatting pivot="false" sqref="AG161:AG167">
    <cfRule aboveAverage="true" bottom="false" dxfId="0" equalAverage="false" percent="false" priority="162" stopIfTrue="false" type="expression">
      <formula>AG161:AG256&lt;&gt;AF161:AF256</formula>
    </cfRule>
  </conditionalFormatting>
  <conditionalFormatting pivot="false" sqref="AG160">
    <cfRule aboveAverage="true" bottom="false" dxfId="0" equalAverage="false" percent="false" priority="161" stopIfTrue="false" type="expression">
      <formula>AG160:AG167&lt;&gt;AF160:AF167</formula>
    </cfRule>
  </conditionalFormatting>
  <conditionalFormatting pivot="false" sqref="Q172:Q178 U172:U178 Y172:Y178 AC172:AC178">
    <cfRule aboveAverage="true" bottom="false" dxfId="0" equalAverage="false" percent="false" priority="160" stopIfTrue="false" type="expression">
      <formula>Q172:Q267&lt;&gt;P172:P267</formula>
    </cfRule>
  </conditionalFormatting>
  <conditionalFormatting pivot="false" sqref="Q171 U171 Y171 AC171">
    <cfRule aboveAverage="true" bottom="false" dxfId="0" equalAverage="false" percent="false" priority="159" stopIfTrue="false" type="expression">
      <formula>Q171:Q178&lt;&gt;P171:P178</formula>
    </cfRule>
  </conditionalFormatting>
  <conditionalFormatting pivot="false" sqref="AG172:AG178">
    <cfRule aboveAverage="true" bottom="false" dxfId="0" equalAverage="false" percent="false" priority="158" stopIfTrue="false" type="expression">
      <formula>AG172:AG267&lt;&gt;AF172:AF267</formula>
    </cfRule>
  </conditionalFormatting>
  <conditionalFormatting pivot="false" sqref="AG171">
    <cfRule aboveAverage="true" bottom="false" dxfId="0" equalAverage="false" percent="false" priority="157" stopIfTrue="false" type="expression">
      <formula>AG171:AG178&lt;&gt;AF171:AF178</formula>
    </cfRule>
  </conditionalFormatting>
  <conditionalFormatting pivot="false" sqref="Q183:Q189 U183:U189 Y183:Y189 AC183:AC189">
    <cfRule aboveAverage="true" bottom="false" dxfId="0" equalAverage="false" percent="false" priority="156" stopIfTrue="false" type="expression">
      <formula>Q183:Q278&lt;&gt;P183:P278</formula>
    </cfRule>
  </conditionalFormatting>
  <conditionalFormatting pivot="false" sqref="Q182 U182 Y182 AC182">
    <cfRule aboveAverage="true" bottom="false" dxfId="0" equalAverage="false" percent="false" priority="155" stopIfTrue="false" type="expression">
      <formula>Q182:Q189&lt;&gt;P182:P189</formula>
    </cfRule>
  </conditionalFormatting>
  <conditionalFormatting pivot="false" sqref="AG183:AG189">
    <cfRule aboveAverage="true" bottom="false" dxfId="0" equalAverage="false" percent="false" priority="154" stopIfTrue="false" type="expression">
      <formula>AG183:AG278&lt;&gt;AF183:AF278</formula>
    </cfRule>
  </conditionalFormatting>
  <conditionalFormatting pivot="false" sqref="AG182">
    <cfRule aboveAverage="true" bottom="false" dxfId="0" equalAverage="false" percent="false" priority="153" stopIfTrue="false" type="expression">
      <formula>AG182:AG189&lt;&gt;AF182:AF189</formula>
    </cfRule>
  </conditionalFormatting>
  <conditionalFormatting pivot="false" sqref="Q194:Q200 U194:U200 Y194:Y200 AC194:AC200">
    <cfRule aboveAverage="true" bottom="false" dxfId="0" equalAverage="false" percent="false" priority="152" stopIfTrue="false" type="expression">
      <formula>Q194:Q289&lt;&gt;P194:P289</formula>
    </cfRule>
  </conditionalFormatting>
  <conditionalFormatting pivot="false" sqref="Q193 U193 Y193 AC193">
    <cfRule aboveAverage="true" bottom="false" dxfId="0" equalAverage="false" percent="false" priority="151" stopIfTrue="false" type="expression">
      <formula>Q193:Q200&lt;&gt;P193:P200</formula>
    </cfRule>
  </conditionalFormatting>
  <conditionalFormatting pivot="false" sqref="AG194:AG200">
    <cfRule aboveAverage="true" bottom="false" dxfId="0" equalAverage="false" percent="false" priority="150" stopIfTrue="false" type="expression">
      <formula>AG194:AG289&lt;&gt;AF194:AF289</formula>
    </cfRule>
  </conditionalFormatting>
  <conditionalFormatting pivot="false" sqref="AG193">
    <cfRule aboveAverage="true" bottom="false" dxfId="0" equalAverage="false" percent="false" priority="149" stopIfTrue="false" type="expression">
      <formula>AG193:AG200&lt;&gt;AF193:AF200</formula>
    </cfRule>
  </conditionalFormatting>
  <conditionalFormatting pivot="false" sqref="Q205:Q211 U205:U211 Y205:Y211 AC205:AC211">
    <cfRule aboveAverage="true" bottom="false" dxfId="0" equalAverage="false" percent="false" priority="148" stopIfTrue="false" type="expression">
      <formula>Q205:Q300&lt;&gt;P205:P300</formula>
    </cfRule>
  </conditionalFormatting>
  <conditionalFormatting pivot="false" sqref="Q204 U204 Y204 AC204">
    <cfRule aboveAverage="true" bottom="false" dxfId="0" equalAverage="false" percent="false" priority="147" stopIfTrue="false" type="expression">
      <formula>Q204:Q211&lt;&gt;P204:P211</formula>
    </cfRule>
  </conditionalFormatting>
  <conditionalFormatting pivot="false" sqref="AG205:AG211">
    <cfRule aboveAverage="true" bottom="false" dxfId="0" equalAverage="false" percent="false" priority="146" stopIfTrue="false" type="expression">
      <formula>AG205:AG300&lt;&gt;AF205:AF300</formula>
    </cfRule>
  </conditionalFormatting>
  <conditionalFormatting pivot="false" sqref="AG204">
    <cfRule aboveAverage="true" bottom="false" dxfId="0" equalAverage="false" percent="false" priority="145" stopIfTrue="false" type="expression">
      <formula>AG204:AG211&lt;&gt;AF204:AF211</formula>
    </cfRule>
  </conditionalFormatting>
  <conditionalFormatting pivot="false" sqref="Q216:Q222 U216:U222 Y216:Y222 AC216:AC222">
    <cfRule aboveAverage="true" bottom="false" dxfId="0" equalAverage="false" percent="false" priority="144" stopIfTrue="false" type="expression">
      <formula>Q216:Q311&lt;&gt;P216:P311</formula>
    </cfRule>
  </conditionalFormatting>
  <conditionalFormatting pivot="false" sqref="Q215 U215 Y215 AC215">
    <cfRule aboveAverage="true" bottom="false" dxfId="0" equalAverage="false" percent="false" priority="143" stopIfTrue="false" type="expression">
      <formula>Q215:Q222&lt;&gt;P215:P222</formula>
    </cfRule>
  </conditionalFormatting>
  <conditionalFormatting pivot="false" sqref="AG216:AG222">
    <cfRule aboveAverage="true" bottom="false" dxfId="0" equalAverage="false" percent="false" priority="142" stopIfTrue="false" type="expression">
      <formula>AG216:AG311&lt;&gt;AF216:AF311</formula>
    </cfRule>
  </conditionalFormatting>
  <conditionalFormatting pivot="false" sqref="AG215">
    <cfRule aboveAverage="true" bottom="false" dxfId="0" equalAverage="false" percent="false" priority="141" stopIfTrue="false" type="expression">
      <formula>AG215:AG222&lt;&gt;AF215:AF222</formula>
    </cfRule>
  </conditionalFormatting>
  <conditionalFormatting pivot="false" sqref="Q227:Q233 U227:U233 Y227:Y233 AC227:AC233">
    <cfRule aboveAverage="true" bottom="false" dxfId="0" equalAverage="false" percent="false" priority="140" stopIfTrue="false" type="expression">
      <formula>Q227:Q322&lt;&gt;P227:P322</formula>
    </cfRule>
  </conditionalFormatting>
  <conditionalFormatting pivot="false" sqref="Q226 U226 Y226 AC226">
    <cfRule aboveAverage="true" bottom="false" dxfId="0" equalAverage="false" percent="false" priority="139" stopIfTrue="false" type="expression">
      <formula>Q226:Q233&lt;&gt;P226:P233</formula>
    </cfRule>
  </conditionalFormatting>
  <conditionalFormatting pivot="false" sqref="AG227:AG233">
    <cfRule aboveAverage="true" bottom="false" dxfId="0" equalAverage="false" percent="false" priority="138" stopIfTrue="false" type="expression">
      <formula>AG227:AG322&lt;&gt;AF227:AF322</formula>
    </cfRule>
  </conditionalFormatting>
  <conditionalFormatting pivot="false" sqref="AG226">
    <cfRule aboveAverage="true" bottom="false" dxfId="0" equalAverage="false" percent="false" priority="137" stopIfTrue="false" type="expression">
      <formula>AG226:AG233&lt;&gt;AF226:AF233</formula>
    </cfRule>
  </conditionalFormatting>
  <conditionalFormatting pivot="false" sqref="Q238:Q244 U238:U244 Y238:Y244 AC238:AC244">
    <cfRule aboveAverage="true" bottom="false" dxfId="0" equalAverage="false" percent="false" priority="136" stopIfTrue="false" type="expression">
      <formula>Q238:Q333&lt;&gt;P238:P333</formula>
    </cfRule>
  </conditionalFormatting>
  <conditionalFormatting pivot="false" sqref="Q237 U237 Y237 AC237">
    <cfRule aboveAverage="true" bottom="false" dxfId="0" equalAverage="false" percent="false" priority="135" stopIfTrue="false" type="expression">
      <formula>Q237:Q244&lt;&gt;P237:P244</formula>
    </cfRule>
  </conditionalFormatting>
  <conditionalFormatting pivot="false" sqref="AG238:AG244">
    <cfRule aboveAverage="true" bottom="false" dxfId="0" equalAverage="false" percent="false" priority="134" stopIfTrue="false" type="expression">
      <formula>AG238:AG333&lt;&gt;AF238:AF333</formula>
    </cfRule>
  </conditionalFormatting>
  <conditionalFormatting pivot="false" sqref="AG237">
    <cfRule aboveAverage="true" bottom="false" dxfId="0" equalAverage="false" percent="false" priority="133" stopIfTrue="false" type="expression">
      <formula>AG237:AG244&lt;&gt;AF237:AF244</formula>
    </cfRule>
  </conditionalFormatting>
  <conditionalFormatting pivot="false" sqref="Q249:Q255 U249:U255 Y249:Y255 AC249:AC255">
    <cfRule aboveAverage="true" bottom="false" dxfId="0" equalAverage="false" percent="false" priority="132" stopIfTrue="false" type="expression">
      <formula>Q249:Q344&lt;&gt;P249:P344</formula>
    </cfRule>
  </conditionalFormatting>
  <conditionalFormatting pivot="false" sqref="Q248 U248 Y248 AC248">
    <cfRule aboveAverage="true" bottom="false" dxfId="0" equalAverage="false" percent="false" priority="131" stopIfTrue="false" type="expression">
      <formula>Q248:Q255&lt;&gt;P248:P255</formula>
    </cfRule>
  </conditionalFormatting>
  <conditionalFormatting pivot="false" sqref="AG249:AG255">
    <cfRule aboveAverage="true" bottom="false" dxfId="0" equalAverage="false" percent="false" priority="130" stopIfTrue="false" type="expression">
      <formula>AG249:AG344&lt;&gt;AF249:AF344</formula>
    </cfRule>
  </conditionalFormatting>
  <conditionalFormatting pivot="false" sqref="AG248">
    <cfRule aboveAverage="true" bottom="false" dxfId="0" equalAverage="false" percent="false" priority="129" stopIfTrue="false" type="expression">
      <formula>AG248:AG255&lt;&gt;AF248:AF255</formula>
    </cfRule>
  </conditionalFormatting>
  <conditionalFormatting pivot="false" sqref="Q260:Q266 U260:U266 Y260:Y266 AC260:AC266">
    <cfRule aboveAverage="true" bottom="false" dxfId="0" equalAverage="false" percent="false" priority="128" stopIfTrue="false" type="expression">
      <formula>Q260:Q355&lt;&gt;P260:P355</formula>
    </cfRule>
  </conditionalFormatting>
  <conditionalFormatting pivot="false" sqref="Q259 U259 Y259 AC259">
    <cfRule aboveAverage="true" bottom="false" dxfId="0" equalAverage="false" percent="false" priority="127" stopIfTrue="false" type="expression">
      <formula>Q259:Q266&lt;&gt;P259:P266</formula>
    </cfRule>
  </conditionalFormatting>
  <conditionalFormatting pivot="false" sqref="AG260:AG266">
    <cfRule aboveAverage="true" bottom="false" dxfId="0" equalAverage="false" percent="false" priority="126" stopIfTrue="false" type="expression">
      <formula>AG260:AG355&lt;&gt;AF260:AF355</formula>
    </cfRule>
  </conditionalFormatting>
  <conditionalFormatting pivot="false" sqref="AG259">
    <cfRule aboveAverage="true" bottom="false" dxfId="0" equalAverage="false" percent="false" priority="125" stopIfTrue="false" type="expression">
      <formula>AG259:AG266&lt;&gt;AF259:AF266</formula>
    </cfRule>
  </conditionalFormatting>
  <conditionalFormatting pivot="false" sqref="Q271:Q277 U271:U277 Y271:Y277 AC271:AC277">
    <cfRule aboveAverage="true" bottom="false" dxfId="0" equalAverage="false" percent="false" priority="124" stopIfTrue="false" type="expression">
      <formula>Q271:Q366&lt;&gt;P271:P366</formula>
    </cfRule>
  </conditionalFormatting>
  <conditionalFormatting pivot="false" sqref="Q270 U270 Y270 AC270">
    <cfRule aboveAverage="true" bottom="false" dxfId="0" equalAverage="false" percent="false" priority="123" stopIfTrue="false" type="expression">
      <formula>Q270:Q277&lt;&gt;P270:P277</formula>
    </cfRule>
  </conditionalFormatting>
  <conditionalFormatting pivot="false" sqref="AG271:AG277">
    <cfRule aboveAverage="true" bottom="false" dxfId="0" equalAverage="false" percent="false" priority="122" stopIfTrue="false" type="expression">
      <formula>AG271:AG366&lt;&gt;AF271:AF366</formula>
    </cfRule>
  </conditionalFormatting>
  <conditionalFormatting pivot="false" sqref="AG270">
    <cfRule aboveAverage="true" bottom="false" dxfId="0" equalAverage="false" percent="false" priority="121" stopIfTrue="false" type="expression">
      <formula>AG270:AG277&lt;&gt;AF270:AF277</formula>
    </cfRule>
  </conditionalFormatting>
  <conditionalFormatting pivot="false" sqref="Q282:Q288 U282:U288 Y282:Y288 AC282:AC288">
    <cfRule aboveAverage="true" bottom="false" dxfId="0" equalAverage="false" percent="false" priority="120" stopIfTrue="false" type="expression">
      <formula>Q282:Q377&lt;&gt;P282:P377</formula>
    </cfRule>
  </conditionalFormatting>
  <conditionalFormatting pivot="false" sqref="Q281 U281 Y281 AC281">
    <cfRule aboveAverage="true" bottom="false" dxfId="0" equalAverage="false" percent="false" priority="119" stopIfTrue="false" type="expression">
      <formula>Q281:Q288&lt;&gt;P281:P288</formula>
    </cfRule>
  </conditionalFormatting>
  <conditionalFormatting pivot="false" sqref="AG282:AG288">
    <cfRule aboveAverage="true" bottom="false" dxfId="0" equalAverage="false" percent="false" priority="118" stopIfTrue="false" type="expression">
      <formula>AG282:AG377&lt;&gt;AF282:AF377</formula>
    </cfRule>
  </conditionalFormatting>
  <conditionalFormatting pivot="false" sqref="AG281">
    <cfRule aboveAverage="true" bottom="false" dxfId="0" equalAverage="false" percent="false" priority="117" stopIfTrue="false" type="expression">
      <formula>AG281:AG288&lt;&gt;AF281:AF288</formula>
    </cfRule>
  </conditionalFormatting>
  <conditionalFormatting pivot="false" sqref="Q293:Q299 U293:U299 Y293:Y299 AC293:AC299">
    <cfRule aboveAverage="true" bottom="false" dxfId="0" equalAverage="false" percent="false" priority="116" stopIfTrue="false" type="expression">
      <formula>Q293:Q388&lt;&gt;P293:P388</formula>
    </cfRule>
  </conditionalFormatting>
  <conditionalFormatting pivot="false" sqref="Q292 U292 Y292 AC292">
    <cfRule aboveAverage="true" bottom="false" dxfId="0" equalAverage="false" percent="false" priority="115" stopIfTrue="false" type="expression">
      <formula>Q292:Q299&lt;&gt;P292:P299</formula>
    </cfRule>
  </conditionalFormatting>
  <conditionalFormatting pivot="false" sqref="AG293:AG299">
    <cfRule aboveAverage="true" bottom="false" dxfId="0" equalAverage="false" percent="false" priority="114" stopIfTrue="false" type="expression">
      <formula>AG293:AG388&lt;&gt;AF293:AF388</formula>
    </cfRule>
  </conditionalFormatting>
  <conditionalFormatting pivot="false" sqref="AG292">
    <cfRule aboveAverage="true" bottom="false" dxfId="0" equalAverage="false" percent="false" priority="113" stopIfTrue="false" type="expression">
      <formula>AG292:AG299&lt;&gt;AF292:AF299</formula>
    </cfRule>
  </conditionalFormatting>
  <conditionalFormatting pivot="false" sqref="Q304:Q310 U304:U310 Y304:Y310 AC304:AC310">
    <cfRule aboveAverage="true" bottom="false" dxfId="0" equalAverage="false" percent="false" priority="112" stopIfTrue="false" type="expression">
      <formula>Q304:Q399&lt;&gt;P304:P399</formula>
    </cfRule>
  </conditionalFormatting>
  <conditionalFormatting pivot="false" sqref="Q303 U303 Y303 AC303">
    <cfRule aboveAverage="true" bottom="false" dxfId="0" equalAverage="false" percent="false" priority="111" stopIfTrue="false" type="expression">
      <formula>Q303:Q310&lt;&gt;P303:P310</formula>
    </cfRule>
  </conditionalFormatting>
  <conditionalFormatting pivot="false" sqref="AG304:AG310">
    <cfRule aboveAverage="true" bottom="false" dxfId="0" equalAverage="false" percent="false" priority="110" stopIfTrue="false" type="expression">
      <formula>AG304:AG399&lt;&gt;AF304:AF399</formula>
    </cfRule>
  </conditionalFormatting>
  <conditionalFormatting pivot="false" sqref="AG303">
    <cfRule aboveAverage="true" bottom="false" dxfId="0" equalAverage="false" percent="false" priority="109" stopIfTrue="false" type="expression">
      <formula>AG303:AG310&lt;&gt;AF303:AF310</formula>
    </cfRule>
  </conditionalFormatting>
  <conditionalFormatting pivot="false" sqref="Q315:Q321 U315:U321 Y315:Y321 AC315:AC321">
    <cfRule aboveAverage="true" bottom="false" dxfId="0" equalAverage="false" percent="false" priority="108" stopIfTrue="false" type="expression">
      <formula>Q315:Q410&lt;&gt;P315:P410</formula>
    </cfRule>
  </conditionalFormatting>
  <conditionalFormatting pivot="false" sqref="Q314 U314 Y314 AC314">
    <cfRule aboveAverage="true" bottom="false" dxfId="0" equalAverage="false" percent="false" priority="107" stopIfTrue="false" type="expression">
      <formula>Q314:Q321&lt;&gt;P314:P321</formula>
    </cfRule>
  </conditionalFormatting>
  <conditionalFormatting pivot="false" sqref="AG315:AG321">
    <cfRule aboveAverage="true" bottom="false" dxfId="0" equalAverage="false" percent="false" priority="106" stopIfTrue="false" type="expression">
      <formula>AG315:AG410&lt;&gt;AF315:AF410</formula>
    </cfRule>
  </conditionalFormatting>
  <conditionalFormatting pivot="false" sqref="AG314">
    <cfRule aboveAverage="true" bottom="false" dxfId="0" equalAverage="false" percent="false" priority="105" stopIfTrue="false" type="expression">
      <formula>AG314:AG321&lt;&gt;AF314:AF321</formula>
    </cfRule>
  </conditionalFormatting>
  <conditionalFormatting pivot="false" sqref="Q326:Q332 U326:U332 Y326:Y332 AC326:AC332">
    <cfRule aboveAverage="true" bottom="false" dxfId="0" equalAverage="false" percent="false" priority="104" stopIfTrue="false" type="expression">
      <formula>Q326:Q421&lt;&gt;P326:P421</formula>
    </cfRule>
  </conditionalFormatting>
  <conditionalFormatting pivot="false" sqref="Q325 U325 Y325 AC325">
    <cfRule aboveAverage="true" bottom="false" dxfId="0" equalAverage="false" percent="false" priority="103" stopIfTrue="false" type="expression">
      <formula>Q325:Q332&lt;&gt;P325:P332</formula>
    </cfRule>
  </conditionalFormatting>
  <conditionalFormatting pivot="false" sqref="AG326:AG332">
    <cfRule aboveAverage="true" bottom="false" dxfId="0" equalAverage="false" percent="false" priority="102" stopIfTrue="false" type="expression">
      <formula>AG326:AG421&lt;&gt;AF326:AF421</formula>
    </cfRule>
  </conditionalFormatting>
  <conditionalFormatting pivot="false" sqref="AG325">
    <cfRule aboveAverage="true" bottom="false" dxfId="0" equalAverage="false" percent="false" priority="101" stopIfTrue="false" type="expression">
      <formula>AG325:AG332&lt;&gt;AF325:AF332</formula>
    </cfRule>
  </conditionalFormatting>
  <conditionalFormatting pivot="false" sqref="Q337:Q343 U337:U343 Y337:Y343 AC337:AC343">
    <cfRule aboveAverage="true" bottom="false" dxfId="0" equalAverage="false" percent="false" priority="100" stopIfTrue="false" type="expression">
      <formula>Q337:Q432&lt;&gt;P337:P432</formula>
    </cfRule>
  </conditionalFormatting>
  <conditionalFormatting pivot="false" sqref="Q336 U336 Y336 AC336">
    <cfRule aboveAverage="true" bottom="false" dxfId="0" equalAverage="false" percent="false" priority="99" stopIfTrue="false" type="expression">
      <formula>Q336:Q343&lt;&gt;P336:P343</formula>
    </cfRule>
  </conditionalFormatting>
  <conditionalFormatting pivot="false" sqref="AG337:AG343">
    <cfRule aboveAverage="true" bottom="false" dxfId="0" equalAverage="false" percent="false" priority="98" stopIfTrue="false" type="expression">
      <formula>AG337:AG432&lt;&gt;AF337:AF432</formula>
    </cfRule>
  </conditionalFormatting>
  <conditionalFormatting pivot="false" sqref="AG336">
    <cfRule aboveAverage="true" bottom="false" dxfId="0" equalAverage="false" percent="false" priority="97" stopIfTrue="false" type="expression">
      <formula>AG336:AG343&lt;&gt;AF336:AF343</formula>
    </cfRule>
  </conditionalFormatting>
  <conditionalFormatting pivot="false" sqref="Q348:Q354 U348:U354 Y348:Y354 AC348:AC354">
    <cfRule aboveAverage="true" bottom="false" dxfId="0" equalAverage="false" percent="false" priority="96" stopIfTrue="false" type="expression">
      <formula>Q348:Q443&lt;&gt;P348:P443</formula>
    </cfRule>
  </conditionalFormatting>
  <conditionalFormatting pivot="false" sqref="Q347 U347 Y347 AC347">
    <cfRule aboveAverage="true" bottom="false" dxfId="0" equalAverage="false" percent="false" priority="95" stopIfTrue="false" type="expression">
      <formula>Q347:Q354&lt;&gt;P347:P354</formula>
    </cfRule>
  </conditionalFormatting>
  <conditionalFormatting pivot="false" sqref="AG348:AG354">
    <cfRule aboveAverage="true" bottom="false" dxfId="0" equalAverage="false" percent="false" priority="94" stopIfTrue="false" type="expression">
      <formula>AG348:AG443&lt;&gt;AF348:AF443</formula>
    </cfRule>
  </conditionalFormatting>
  <conditionalFormatting pivot="false" sqref="AG347">
    <cfRule aboveAverage="true" bottom="false" dxfId="0" equalAverage="false" percent="false" priority="93" stopIfTrue="false" type="expression">
      <formula>AG347:AG354&lt;&gt;AF347:AF354</formula>
    </cfRule>
  </conditionalFormatting>
  <conditionalFormatting pivot="false" sqref="Q359:Q365 U359:U365 Y359:Y365 AC359:AC365">
    <cfRule aboveAverage="true" bottom="false" dxfId="0" equalAverage="false" percent="false" priority="92" stopIfTrue="false" type="expression">
      <formula>Q359:Q454&lt;&gt;P359:P454</formula>
    </cfRule>
  </conditionalFormatting>
  <conditionalFormatting pivot="false" sqref="Q358 U358 Y358 AC358">
    <cfRule aboveAverage="true" bottom="false" dxfId="0" equalAverage="false" percent="false" priority="91" stopIfTrue="false" type="expression">
      <formula>Q358:Q365&lt;&gt;P358:P365</formula>
    </cfRule>
  </conditionalFormatting>
  <conditionalFormatting pivot="false" sqref="AG359:AG365">
    <cfRule aboveAverage="true" bottom="false" dxfId="0" equalAverage="false" percent="false" priority="90" stopIfTrue="false" type="expression">
      <formula>AG359:AG454&lt;&gt;AF359:AF454</formula>
    </cfRule>
  </conditionalFormatting>
  <conditionalFormatting pivot="false" sqref="AG358">
    <cfRule aboveAverage="true" bottom="false" dxfId="0" equalAverage="false" percent="false" priority="89" stopIfTrue="false" type="expression">
      <formula>AG358:AG365&lt;&gt;AF358:AF365</formula>
    </cfRule>
  </conditionalFormatting>
  <conditionalFormatting pivot="false" sqref="Q370:Q376 U370:U376 Y370:Y376 AC370:AC376">
    <cfRule aboveAverage="true" bottom="false" dxfId="0" equalAverage="false" percent="false" priority="88" stopIfTrue="false" type="expression">
      <formula>Q370:Q465&lt;&gt;P370:P465</formula>
    </cfRule>
  </conditionalFormatting>
  <conditionalFormatting pivot="false" sqref="Q369 U369 Y369 AC369">
    <cfRule aboveAverage="true" bottom="false" dxfId="0" equalAverage="false" percent="false" priority="87" stopIfTrue="false" type="expression">
      <formula>Q369:Q376&lt;&gt;P369:P376</formula>
    </cfRule>
  </conditionalFormatting>
  <conditionalFormatting pivot="false" sqref="AG370:AG376">
    <cfRule aboveAverage="true" bottom="false" dxfId="0" equalAverage="false" percent="false" priority="86" stopIfTrue="false" type="expression">
      <formula>AG370:AG465&lt;&gt;AF370:AF465</formula>
    </cfRule>
  </conditionalFormatting>
  <conditionalFormatting pivot="false" sqref="AG369">
    <cfRule aboveAverage="true" bottom="false" dxfId="0" equalAverage="false" percent="false" priority="85" stopIfTrue="false" type="expression">
      <formula>AG369:AG376&lt;&gt;AF369:AF376</formula>
    </cfRule>
  </conditionalFormatting>
  <conditionalFormatting pivot="false" sqref="Q381:Q387 U381:U387 Y381:Y387 AC381:AC387">
    <cfRule aboveAverage="true" bottom="false" dxfId="0" equalAverage="false" percent="false" priority="84" stopIfTrue="false" type="expression">
      <formula>Q381:Q476&lt;&gt;P381:P476</formula>
    </cfRule>
  </conditionalFormatting>
  <conditionalFormatting pivot="false" sqref="Q380 U380 Y380 AC380">
    <cfRule aboveAverage="true" bottom="false" dxfId="0" equalAverage="false" percent="false" priority="83" stopIfTrue="false" type="expression">
      <formula>Q380:Q387&lt;&gt;P380:P387</formula>
    </cfRule>
  </conditionalFormatting>
  <conditionalFormatting pivot="false" sqref="AG381:AG387">
    <cfRule aboveAverage="true" bottom="false" dxfId="0" equalAverage="false" percent="false" priority="82" stopIfTrue="false" type="expression">
      <formula>AG381:AG476&lt;&gt;AF381:AF476</formula>
    </cfRule>
  </conditionalFormatting>
  <conditionalFormatting pivot="false" sqref="AG380">
    <cfRule aboveAverage="true" bottom="false" dxfId="0" equalAverage="false" percent="false" priority="81" stopIfTrue="false" type="expression">
      <formula>AG380:AG387&lt;&gt;AF380:AF387</formula>
    </cfRule>
  </conditionalFormatting>
  <conditionalFormatting pivot="false" sqref="Q392:Q398 U392:U398 Y392:Y398 AC392:AC398">
    <cfRule aboveAverage="true" bottom="false" dxfId="0" equalAverage="false" percent="false" priority="80" stopIfTrue="false" type="expression">
      <formula>Q392:Q487&lt;&gt;P392:P487</formula>
    </cfRule>
  </conditionalFormatting>
  <conditionalFormatting pivot="false" sqref="Q391 U391 Y391 AC391">
    <cfRule aboveAverage="true" bottom="false" dxfId="0" equalAverage="false" percent="false" priority="79" stopIfTrue="false" type="expression">
      <formula>Q391:Q398&lt;&gt;P391:P398</formula>
    </cfRule>
  </conditionalFormatting>
  <conditionalFormatting pivot="false" sqref="AG392:AG398">
    <cfRule aboveAverage="true" bottom="false" dxfId="0" equalAverage="false" percent="false" priority="78" stopIfTrue="false" type="expression">
      <formula>AG392:AG487&lt;&gt;AF392:AF487</formula>
    </cfRule>
  </conditionalFormatting>
  <conditionalFormatting pivot="false" sqref="AG391">
    <cfRule aboveAverage="true" bottom="false" dxfId="0" equalAverage="false" percent="false" priority="77" stopIfTrue="false" type="expression">
      <formula>AG391:AG398&lt;&gt;AF391:AF398</formula>
    </cfRule>
  </conditionalFormatting>
  <conditionalFormatting pivot="false" sqref="Q403:Q409 U403:U409 Y403:Y409 AC403:AC409">
    <cfRule aboveAverage="true" bottom="false" dxfId="0" equalAverage="false" percent="false" priority="76" stopIfTrue="false" type="expression">
      <formula>Q403:Q498&lt;&gt;P403:P498</formula>
    </cfRule>
  </conditionalFormatting>
  <conditionalFormatting pivot="false" sqref="Q402 U402 Y402 AC402">
    <cfRule aboveAverage="true" bottom="false" dxfId="0" equalAverage="false" percent="false" priority="75" stopIfTrue="false" type="expression">
      <formula>Q402:Q409&lt;&gt;P402:P409</formula>
    </cfRule>
  </conditionalFormatting>
  <conditionalFormatting pivot="false" sqref="AG403:AG409">
    <cfRule aboveAverage="true" bottom="false" dxfId="0" equalAverage="false" percent="false" priority="74" stopIfTrue="false" type="expression">
      <formula>AG403:AG498&lt;&gt;AF403:AF498</formula>
    </cfRule>
  </conditionalFormatting>
  <conditionalFormatting pivot="false" sqref="AG402">
    <cfRule aboveAverage="true" bottom="false" dxfId="0" equalAverage="false" percent="false" priority="73" stopIfTrue="false" type="expression">
      <formula>AG402:AG409&lt;&gt;AF402:AF409</formula>
    </cfRule>
  </conditionalFormatting>
  <conditionalFormatting pivot="false" sqref="Q414:Q420 U414:U420 Y414:Y420 AC414:AC420">
    <cfRule aboveAverage="true" bottom="false" dxfId="0" equalAverage="false" percent="false" priority="72" stopIfTrue="false" type="expression">
      <formula>Q414:Q509&lt;&gt;P414:P509</formula>
    </cfRule>
  </conditionalFormatting>
  <conditionalFormatting pivot="false" sqref="Q413 U413 Y413 AC413">
    <cfRule aboveAverage="true" bottom="false" dxfId="0" equalAverage="false" percent="false" priority="71" stopIfTrue="false" type="expression">
      <formula>Q413:Q420&lt;&gt;P413:P420</formula>
    </cfRule>
  </conditionalFormatting>
  <conditionalFormatting pivot="false" sqref="AG414:AG420">
    <cfRule aboveAverage="true" bottom="false" dxfId="0" equalAverage="false" percent="false" priority="70" stopIfTrue="false" type="expression">
      <formula>AG414:AG509&lt;&gt;AF414:AF509</formula>
    </cfRule>
  </conditionalFormatting>
  <conditionalFormatting pivot="false" sqref="AG413">
    <cfRule aboveAverage="true" bottom="false" dxfId="0" equalAverage="false" percent="false" priority="69" stopIfTrue="false" type="expression">
      <formula>AG413:AG420&lt;&gt;AF413:AF420</formula>
    </cfRule>
  </conditionalFormatting>
  <conditionalFormatting pivot="false" sqref="Q425:Q431 U425:U431 Y425:Y431 AC425:AC431">
    <cfRule aboveAverage="true" bottom="false" dxfId="0" equalAverage="false" percent="false" priority="68" stopIfTrue="false" type="expression">
      <formula>Q425:Q520&lt;&gt;P425:P520</formula>
    </cfRule>
  </conditionalFormatting>
  <conditionalFormatting pivot="false" sqref="Q424 U424 Y424 AC424">
    <cfRule aboveAverage="true" bottom="false" dxfId="0" equalAverage="false" percent="false" priority="67" stopIfTrue="false" type="expression">
      <formula>Q424:Q431&lt;&gt;P424:P431</formula>
    </cfRule>
  </conditionalFormatting>
  <conditionalFormatting pivot="false" sqref="AG425:AG431">
    <cfRule aboveAverage="true" bottom="false" dxfId="0" equalAverage="false" percent="false" priority="66" stopIfTrue="false" type="expression">
      <formula>AG425:AG520&lt;&gt;AF425:AF520</formula>
    </cfRule>
  </conditionalFormatting>
  <conditionalFormatting pivot="false" sqref="AG424">
    <cfRule aboveAverage="true" bottom="false" dxfId="0" equalAverage="false" percent="false" priority="65" stopIfTrue="false" type="expression">
      <formula>AG424:AG431&lt;&gt;AF424:AF431</formula>
    </cfRule>
  </conditionalFormatting>
  <conditionalFormatting pivot="false" sqref="Q436:Q442 U436:U442 Y436:Y442 AC436:AC442">
    <cfRule aboveAverage="true" bottom="false" dxfId="0" equalAverage="false" percent="false" priority="64" stopIfTrue="false" type="expression">
      <formula>Q436:Q531&lt;&gt;P436:P531</formula>
    </cfRule>
  </conditionalFormatting>
  <conditionalFormatting pivot="false" sqref="Q435 U435 Y435 AC435">
    <cfRule aboveAverage="true" bottom="false" dxfId="0" equalAverage="false" percent="false" priority="63" stopIfTrue="false" type="expression">
      <formula>Q435:Q442&lt;&gt;P435:P442</formula>
    </cfRule>
  </conditionalFormatting>
  <conditionalFormatting pivot="false" sqref="AG436:AG442">
    <cfRule aboveAverage="true" bottom="false" dxfId="0" equalAverage="false" percent="false" priority="62" stopIfTrue="false" type="expression">
      <formula>AG436:AG531&lt;&gt;AF436:AF531</formula>
    </cfRule>
  </conditionalFormatting>
  <conditionalFormatting pivot="false" sqref="AG435">
    <cfRule aboveAverage="true" bottom="false" dxfId="0" equalAverage="false" percent="false" priority="61" stopIfTrue="false" type="expression">
      <formula>AG435:AG442&lt;&gt;AF435:AF442</formula>
    </cfRule>
  </conditionalFormatting>
  <conditionalFormatting pivot="false" sqref="Q447:Q453 U447:U453 Y447:Y453 AC447:AC453">
    <cfRule aboveAverage="true" bottom="false" dxfId="0" equalAverage="false" percent="false" priority="60" stopIfTrue="false" type="expression">
      <formula>Q447:Q542&lt;&gt;P447:P542</formula>
    </cfRule>
  </conditionalFormatting>
  <conditionalFormatting pivot="false" sqref="Q446 U446 Y446 AC446">
    <cfRule aboveAverage="true" bottom="false" dxfId="0" equalAverage="false" percent="false" priority="59" stopIfTrue="false" type="expression">
      <formula>Q446:Q453&lt;&gt;P446:P453</formula>
    </cfRule>
  </conditionalFormatting>
  <conditionalFormatting pivot="false" sqref="AG447:AG453">
    <cfRule aboveAverage="true" bottom="false" dxfId="0" equalAverage="false" percent="false" priority="58" stopIfTrue="false" type="expression">
      <formula>AG447:AG542&lt;&gt;AF447:AF542</formula>
    </cfRule>
  </conditionalFormatting>
  <conditionalFormatting pivot="false" sqref="AG446">
    <cfRule aboveAverage="true" bottom="false" dxfId="0" equalAverage="false" percent="false" priority="57" stopIfTrue="false" type="expression">
      <formula>AG446:AG453&lt;&gt;AF446:AF453</formula>
    </cfRule>
  </conditionalFormatting>
  <conditionalFormatting pivot="false" sqref="Q458:Q464 U458:U464 Y458:Y464 AC458:AC464">
    <cfRule aboveAverage="true" bottom="false" dxfId="0" equalAverage="false" percent="false" priority="56" stopIfTrue="false" type="expression">
      <formula>Q458:Q553&lt;&gt;P458:P553</formula>
    </cfRule>
  </conditionalFormatting>
  <conditionalFormatting pivot="false" sqref="Q457 U457 Y457 AC457">
    <cfRule aboveAverage="true" bottom="false" dxfId="0" equalAverage="false" percent="false" priority="55" stopIfTrue="false" type="expression">
      <formula>Q457:Q464&lt;&gt;P457:P464</formula>
    </cfRule>
  </conditionalFormatting>
  <conditionalFormatting pivot="false" sqref="AG458:AG464">
    <cfRule aboveAverage="true" bottom="false" dxfId="0" equalAverage="false" percent="false" priority="54" stopIfTrue="false" type="expression">
      <formula>AG458:AG553&lt;&gt;AF458:AF553</formula>
    </cfRule>
  </conditionalFormatting>
  <conditionalFormatting pivot="false" sqref="AG457">
    <cfRule aboveAverage="true" bottom="false" dxfId="0" equalAverage="false" percent="false" priority="53" stopIfTrue="false" type="expression">
      <formula>AG457:AG464&lt;&gt;AF457:AF464</formula>
    </cfRule>
  </conditionalFormatting>
  <conditionalFormatting pivot="false" sqref="Q469:Q475 U469:U475 Y469:Y475 AC469:AC475">
    <cfRule aboveAverage="true" bottom="false" dxfId="0" equalAverage="false" percent="false" priority="52" stopIfTrue="false" type="expression">
      <formula>Q469:Q564&lt;&gt;P469:P564</formula>
    </cfRule>
  </conditionalFormatting>
  <conditionalFormatting pivot="false" sqref="Q468 U468 Y468 AC468">
    <cfRule aboveAverage="true" bottom="false" dxfId="0" equalAverage="false" percent="false" priority="51" stopIfTrue="false" type="expression">
      <formula>Q468:Q475&lt;&gt;P468:P475</formula>
    </cfRule>
  </conditionalFormatting>
  <conditionalFormatting pivot="false" sqref="AG469:AG475">
    <cfRule aboveAverage="true" bottom="false" dxfId="0" equalAverage="false" percent="false" priority="50" stopIfTrue="false" type="expression">
      <formula>AG469:AG564&lt;&gt;AF469:AF564</formula>
    </cfRule>
  </conditionalFormatting>
  <conditionalFormatting pivot="false" sqref="AG468">
    <cfRule aboveAverage="true" bottom="false" dxfId="0" equalAverage="false" percent="false" priority="49" stopIfTrue="false" type="expression">
      <formula>AG468:AG475&lt;&gt;AF468:AF475</formula>
    </cfRule>
  </conditionalFormatting>
  <conditionalFormatting pivot="false" sqref="Q480:Q486 U480:U486 Y480:Y486 AC480:AC486">
    <cfRule aboveAverage="true" bottom="false" dxfId="0" equalAverage="false" percent="false" priority="48" stopIfTrue="false" type="expression">
      <formula>Q480:Q575&lt;&gt;P480:P575</formula>
    </cfRule>
  </conditionalFormatting>
  <conditionalFormatting pivot="false" sqref="Q479 U479 Y479 AC479">
    <cfRule aboveAverage="true" bottom="false" dxfId="0" equalAverage="false" percent="false" priority="47" stopIfTrue="false" type="expression">
      <formula>Q479:Q486&lt;&gt;P479:P486</formula>
    </cfRule>
  </conditionalFormatting>
  <conditionalFormatting pivot="false" sqref="AG480:AG486">
    <cfRule aboveAverage="true" bottom="false" dxfId="0" equalAverage="false" percent="false" priority="46" stopIfTrue="false" type="expression">
      <formula>AG480:AG575&lt;&gt;AF480:AF575</formula>
    </cfRule>
  </conditionalFormatting>
  <conditionalFormatting pivot="false" sqref="AG479">
    <cfRule aboveAverage="true" bottom="false" dxfId="0" equalAverage="false" percent="false" priority="45" stopIfTrue="false" type="expression">
      <formula>AG479:AG486&lt;&gt;AF479:AF486</formula>
    </cfRule>
  </conditionalFormatting>
  <conditionalFormatting pivot="false" sqref="Q491:Q497 U491:U497 Y491:Y497 AC491:AC497">
    <cfRule aboveAverage="true" bottom="false" dxfId="0" equalAverage="false" percent="false" priority="44" stopIfTrue="false" type="expression">
      <formula>Q491:Q586&lt;&gt;P491:P586</formula>
    </cfRule>
  </conditionalFormatting>
  <conditionalFormatting pivot="false" sqref="Q490 U490 Y490 AC490">
    <cfRule aboveAverage="true" bottom="false" dxfId="0" equalAverage="false" percent="false" priority="43" stopIfTrue="false" type="expression">
      <formula>Q490:Q497&lt;&gt;P490:P497</formula>
    </cfRule>
  </conditionalFormatting>
  <conditionalFormatting pivot="false" sqref="AG491:AG497">
    <cfRule aboveAverage="true" bottom="false" dxfId="0" equalAverage="false" percent="false" priority="42" stopIfTrue="false" type="expression">
      <formula>AG491:AG586&lt;&gt;AF491:AF586</formula>
    </cfRule>
  </conditionalFormatting>
  <conditionalFormatting pivot="false" sqref="AG490">
    <cfRule aboveAverage="true" bottom="false" dxfId="0" equalAverage="false" percent="false" priority="41" stopIfTrue="false" type="expression">
      <formula>AG490:AG497&lt;&gt;AF490:AF497</formula>
    </cfRule>
  </conditionalFormatting>
  <conditionalFormatting pivot="false" sqref="Q502:Q508 U502:U508 Y502:Y508 AC502:AC508">
    <cfRule aboveAverage="true" bottom="false" dxfId="0" equalAverage="false" percent="false" priority="40" stopIfTrue="false" type="expression">
      <formula>Q502:Q597&lt;&gt;P502:P597</formula>
    </cfRule>
  </conditionalFormatting>
  <conditionalFormatting pivot="false" sqref="Q501 U501 Y501 AC501">
    <cfRule aboveAverage="true" bottom="false" dxfId="0" equalAverage="false" percent="false" priority="39" stopIfTrue="false" type="expression">
      <formula>Q501:Q508&lt;&gt;P501:P508</formula>
    </cfRule>
  </conditionalFormatting>
  <conditionalFormatting pivot="false" sqref="AG502:AG508">
    <cfRule aboveAverage="true" bottom="false" dxfId="0" equalAverage="false" percent="false" priority="38" stopIfTrue="false" type="expression">
      <formula>AG502:AG597&lt;&gt;AF502:AF597</formula>
    </cfRule>
  </conditionalFormatting>
  <conditionalFormatting pivot="false" sqref="AG501">
    <cfRule aboveAverage="true" bottom="false" dxfId="0" equalAverage="false" percent="false" priority="37" stopIfTrue="false" type="expression">
      <formula>AG501:AG508&lt;&gt;AF501:AF508</formula>
    </cfRule>
  </conditionalFormatting>
  <conditionalFormatting pivot="false" sqref="Q513:Q519 U513:U519 Y513:Y519 AC513:AC519">
    <cfRule aboveAverage="true" bottom="false" dxfId="0" equalAverage="false" percent="false" priority="36" stopIfTrue="false" type="expression">
      <formula>Q513:Q608&lt;&gt;P513:P608</formula>
    </cfRule>
  </conditionalFormatting>
  <conditionalFormatting pivot="false" sqref="Q512 U512 Y512 AC512">
    <cfRule aboveAverage="true" bottom="false" dxfId="0" equalAverage="false" percent="false" priority="35" stopIfTrue="false" type="expression">
      <formula>Q512:Q519&lt;&gt;P512:P519</formula>
    </cfRule>
  </conditionalFormatting>
  <conditionalFormatting pivot="false" sqref="AG513:AG519">
    <cfRule aboveAverage="true" bottom="false" dxfId="0" equalAverage="false" percent="false" priority="34" stopIfTrue="false" type="expression">
      <formula>AG513:AG608&lt;&gt;AF513:AF608</formula>
    </cfRule>
  </conditionalFormatting>
  <conditionalFormatting pivot="false" sqref="AG512">
    <cfRule aboveAverage="true" bottom="false" dxfId="0" equalAverage="false" percent="false" priority="33" stopIfTrue="false" type="expression">
      <formula>AG512:AG519&lt;&gt;AF512:AF519</formula>
    </cfRule>
  </conditionalFormatting>
  <conditionalFormatting pivot="false" sqref="Q524:Q530 U524:U530 Y524:Y530 AC524:AC530">
    <cfRule aboveAverage="true" bottom="false" dxfId="0" equalAverage="false" percent="false" priority="32" stopIfTrue="false" type="expression">
      <formula>Q524:Q619&lt;&gt;P524:P619</formula>
    </cfRule>
  </conditionalFormatting>
  <conditionalFormatting pivot="false" sqref="Q523 U523 Y523 AC523">
    <cfRule aboveAverage="true" bottom="false" dxfId="0" equalAverage="false" percent="false" priority="31" stopIfTrue="false" type="expression">
      <formula>Q523:Q530&lt;&gt;P523:P530</formula>
    </cfRule>
  </conditionalFormatting>
  <conditionalFormatting pivot="false" sqref="AG524:AG530">
    <cfRule aboveAverage="true" bottom="false" dxfId="0" equalAverage="false" percent="false" priority="30" stopIfTrue="false" type="expression">
      <formula>AG524:AG619&lt;&gt;AF524:AF619</formula>
    </cfRule>
  </conditionalFormatting>
  <conditionalFormatting pivot="false" sqref="AG523">
    <cfRule aboveAverage="true" bottom="false" dxfId="0" equalAverage="false" percent="false" priority="29" stopIfTrue="false" type="expression">
      <formula>AG523:AG530&lt;&gt;AF523:AF530</formula>
    </cfRule>
  </conditionalFormatting>
  <conditionalFormatting pivot="false" sqref="Q535:Q541 U535:U541 Y535:Y541 AC535:AC541">
    <cfRule aboveAverage="true" bottom="false" dxfId="0" equalAverage="false" percent="false" priority="28" stopIfTrue="false" type="expression">
      <formula>Q535:Q630&lt;&gt;P535:P630</formula>
    </cfRule>
  </conditionalFormatting>
  <conditionalFormatting pivot="false" sqref="Q534 U534 Y534 AC534">
    <cfRule aboveAverage="true" bottom="false" dxfId="0" equalAverage="false" percent="false" priority="27" stopIfTrue="false" type="expression">
      <formula>Q534:Q541&lt;&gt;P534:P541</formula>
    </cfRule>
  </conditionalFormatting>
  <conditionalFormatting pivot="false" sqref="AG535:AG541">
    <cfRule aboveAverage="true" bottom="false" dxfId="0" equalAverage="false" percent="false" priority="26" stopIfTrue="false" type="expression">
      <formula>AG535:AG630&lt;&gt;AF535:AF630</formula>
    </cfRule>
  </conditionalFormatting>
  <conditionalFormatting pivot="false" sqref="AG534">
    <cfRule aboveAverage="true" bottom="false" dxfId="0" equalAverage="false" percent="false" priority="25" stopIfTrue="false" type="expression">
      <formula>AG534:AG541&lt;&gt;AF534:AF541</formula>
    </cfRule>
  </conditionalFormatting>
  <conditionalFormatting pivot="false" sqref="Q546:Q552 U546:U552 Y546:Y552 AC546:AC552">
    <cfRule aboveAverage="true" bottom="false" dxfId="0" equalAverage="false" percent="false" priority="24" stopIfTrue="false" type="expression">
      <formula>Q546:Q641&lt;&gt;P546:P641</formula>
    </cfRule>
  </conditionalFormatting>
  <conditionalFormatting pivot="false" sqref="Q545 U545 Y545 AC545">
    <cfRule aboveAverage="true" bottom="false" dxfId="0" equalAverage="false" percent="false" priority="23" stopIfTrue="false" type="expression">
      <formula>Q545:Q552&lt;&gt;P545:P552</formula>
    </cfRule>
  </conditionalFormatting>
  <conditionalFormatting pivot="false" sqref="AG546:AG552">
    <cfRule aboveAverage="true" bottom="false" dxfId="0" equalAverage="false" percent="false" priority="22" stopIfTrue="false" type="expression">
      <formula>AG546:AG641&lt;&gt;AF546:AF641</formula>
    </cfRule>
  </conditionalFormatting>
  <conditionalFormatting pivot="false" sqref="AG545">
    <cfRule aboveAverage="true" bottom="false" dxfId="0" equalAverage="false" percent="false" priority="21" stopIfTrue="false" type="expression">
      <formula>AG545:AG552&lt;&gt;AF545:AF552</formula>
    </cfRule>
  </conditionalFormatting>
  <conditionalFormatting pivot="false" sqref="Q557:Q563 U557:U563 Y557:Y563 AC557:AC563">
    <cfRule aboveAverage="true" bottom="false" dxfId="0" equalAverage="false" percent="false" priority="20" stopIfTrue="false" type="expression">
      <formula>Q557:Q652&lt;&gt;P557:P652</formula>
    </cfRule>
  </conditionalFormatting>
  <conditionalFormatting pivot="false" sqref="Q556 U556 Y556 AC556">
    <cfRule aboveAverage="true" bottom="false" dxfId="0" equalAverage="false" percent="false" priority="19" stopIfTrue="false" type="expression">
      <formula>Q556:Q563&lt;&gt;P556:P563</formula>
    </cfRule>
  </conditionalFormatting>
  <conditionalFormatting pivot="false" sqref="AG557:AG563">
    <cfRule aboveAverage="true" bottom="false" dxfId="0" equalAverage="false" percent="false" priority="18" stopIfTrue="false" type="expression">
      <formula>AG557:AG652&lt;&gt;AF557:AF652</formula>
    </cfRule>
  </conditionalFormatting>
  <conditionalFormatting pivot="false" sqref="AG556">
    <cfRule aboveAverage="true" bottom="false" dxfId="0" equalAverage="false" percent="false" priority="17" stopIfTrue="false" type="expression">
      <formula>AG556:AG563&lt;&gt;AF556:AF563</formula>
    </cfRule>
  </conditionalFormatting>
  <conditionalFormatting pivot="false" sqref="Q568:Q574 U568:U574 Y568:Y574 AC568:AC574">
    <cfRule aboveAverage="true" bottom="false" dxfId="0" equalAverage="false" percent="false" priority="16" stopIfTrue="false" type="expression">
      <formula>Q568:Q663&lt;&gt;P568:P663</formula>
    </cfRule>
  </conditionalFormatting>
  <conditionalFormatting pivot="false" sqref="Q567 U567 Y567 AC567">
    <cfRule aboveAverage="true" bottom="false" dxfId="0" equalAverage="false" percent="false" priority="15" stopIfTrue="false" type="expression">
      <formula>Q567:Q574&lt;&gt;P567:P574</formula>
    </cfRule>
  </conditionalFormatting>
  <conditionalFormatting pivot="false" sqref="AG568:AG574">
    <cfRule aboveAverage="true" bottom="false" dxfId="0" equalAverage="false" percent="false" priority="14" stopIfTrue="false" type="expression">
      <formula>AG568:AG663&lt;&gt;AF568:AF663</formula>
    </cfRule>
  </conditionalFormatting>
  <conditionalFormatting pivot="false" sqref="AG567">
    <cfRule aboveAverage="true" bottom="false" dxfId="0" equalAverage="false" percent="false" priority="13" stopIfTrue="false" type="expression">
      <formula>AG567:AG574&lt;&gt;AF567:AF574</formula>
    </cfRule>
  </conditionalFormatting>
  <conditionalFormatting pivot="false" sqref="Q579:Q585 U579:U585 Y579:Y585 AC579:AC585">
    <cfRule aboveAverage="true" bottom="false" dxfId="0" equalAverage="false" percent="false" priority="12" stopIfTrue="false" type="expression">
      <formula>Q579:Q674&lt;&gt;P579:P674</formula>
    </cfRule>
  </conditionalFormatting>
  <conditionalFormatting pivot="false" sqref="Q578 U578 Y578 AC578">
    <cfRule aboveAverage="true" bottom="false" dxfId="0" equalAverage="false" percent="false" priority="11" stopIfTrue="false" type="expression">
      <formula>Q578:Q585&lt;&gt;P578:P585</formula>
    </cfRule>
  </conditionalFormatting>
  <conditionalFormatting pivot="false" sqref="Q6:Q13">
    <cfRule aboveAverage="true" bottom="false" dxfId="0" equalAverage="false" percent="false" priority="10" stopIfTrue="false" type="expression">
      <formula>Q6:Q13&lt;&gt;P6:P13</formula>
    </cfRule>
  </conditionalFormatting>
  <conditionalFormatting pivot="false" sqref="U6:U13">
    <cfRule aboveAverage="true" bottom="false" dxfId="0" equalAverage="false" percent="false" priority="9" stopIfTrue="false" type="expression">
      <formula>U6:U13&lt;&gt;T6:T13</formula>
    </cfRule>
  </conditionalFormatting>
  <conditionalFormatting pivot="false" sqref="Y6:Y13">
    <cfRule aboveAverage="true" bottom="false" dxfId="0" equalAverage="false" percent="false" priority="8" stopIfTrue="false" type="expression">
      <formula>Y6:Y13&lt;&gt;X6:X13</formula>
    </cfRule>
  </conditionalFormatting>
  <conditionalFormatting pivot="false" sqref="AC13">
    <cfRule aboveAverage="true" bottom="false" dxfId="0" equalAverage="false" percent="false" priority="7" stopIfTrue="false" type="expression">
      <formula>AC13:AC20&lt;&gt;AB13:AB20</formula>
    </cfRule>
  </conditionalFormatting>
  <conditionalFormatting pivot="false" sqref="AG6:AG13">
    <cfRule aboveAverage="true" bottom="false" dxfId="0" equalAverage="false" percent="false" priority="6" stopIfTrue="false" type="expression">
      <formula>AG6:AG13&lt;&gt;AF6:AF13</formula>
    </cfRule>
  </conditionalFormatting>
  <conditionalFormatting pivot="false" sqref="Q17:Q24">
    <cfRule aboveAverage="true" bottom="false" dxfId="0" equalAverage="false" percent="false" priority="5" stopIfTrue="false" type="expression">
      <formula>Q17:Q24&lt;&gt;P17:P24</formula>
    </cfRule>
  </conditionalFormatting>
  <conditionalFormatting pivot="false" sqref="U17:U24">
    <cfRule aboveAverage="true" bottom="false" dxfId="0" equalAverage="false" percent="false" priority="4" stopIfTrue="false" type="expression">
      <formula>U17:U24&lt;&gt;T17:T24</formula>
    </cfRule>
  </conditionalFormatting>
  <conditionalFormatting pivot="false" sqref="Y17:Y24">
    <cfRule aboveAverage="true" bottom="false" dxfId="0" equalAverage="false" percent="false" priority="3" stopIfTrue="false" type="expression">
      <formula>Y17:Y24&lt;&gt;X17:X24</formula>
    </cfRule>
  </conditionalFormatting>
  <conditionalFormatting pivot="false" sqref="AC24">
    <cfRule aboveAverage="true" bottom="false" dxfId="0" equalAverage="false" percent="false" priority="2" stopIfTrue="false" type="expression">
      <formula>AC24:AC31&lt;&gt;AB24:AB31</formula>
    </cfRule>
  </conditionalFormatting>
  <conditionalFormatting pivot="false" sqref="AG17:AG24">
    <cfRule aboveAverage="true" bottom="false" dxfId="0" equalAverage="false" percent="false" priority="1" stopIfTrue="false" type="expression">
      <formula>AG17:AG24&lt;&gt;AF17:AF24</formula>
    </cfRule>
  </conditionalFormatting>
  <dataValidations>
    <dataValidation allowBlank="true" error="This is a Binary value, which can be either 0 or 1." errorStyle="stop" errorTitle="Wrong Value" imeMode="noControl" operator="between" showDropDown="false" showErrorMessage="true" showInputMessage="true" sqref="Q380:Q387 Q138:Q145 Q545:Q552 Q523:Q530 Q501:Q508 Q358:Q365 Q259:Q266 Q61:Q68 Q149:Q156 Q171:Q178 Q193:Q200 Q204:Q211 Q567:Q574 Q83:Q90 Q270:Q277 Q281:Q288 Q105:Q112 Q215:Q222 Q303:Q310 Q50:Q57 Q413:Q420 Q391:Q398 Q116:Q123 Q402:Q409 Q556:Q563 Q325:Q332 Q314:Q321 Q347:Q354 Q28:Q35 Q226:Q233 Q182:Q189 Q94:Q101 Q248:Q255 Q6:Q13 Q369:Q376 Q237:Q244 Q72:Q79 Q336:Q343 Q424:Q431 Q435:Q442 Q446:Q453 Q457:Q464 Q468:Q475 Q479:Q486 Q490:Q497 Q17:Q24 Q127:Q134 Q534:Q541 Q512:Q519 Q578:Q585 Q292:Q299 Q39:Q46 Q160:Q167 AG226:AG233 AG50:AG57 AG28:AG35 AG567:AG574 AG380:AG387 AG325:AG332 AG193:AG200 AG83:AG90 AG17:AG24 AG402:AG409 AG468:AG475 AG446:AG453 AG424:AG431 AG292:AG299 AG556:AG563 AG72:AG79 AG270:AG277 AG479:AG486 AG61:AG68 AG127:AG134 AG545:AG552 AG523:AG530 AG501:AG508 AG94:AG101 AG116:AG123 AG171:AG178 AG138:AG145 AG160:AG167 AG281:AG288 AG105:AG112 AG534:AG541 AG512:AG519 AG336:AG343 AG358:AG365 AG6:AG13 AG149:AG156 AG182:AG189 AG457:AG464 AG435:AG442 AG413:AG420 AG39:AG46 AG303:AG310 AG248:AG255 AG490:AG497 AG391:AG398 AG215:AG222 AG237:AG244 AG259:AG266 AG314:AG321 AG347:AG354 AG369:AG376 AG204:AG211 AC215:AC222 AC523:AC530 AC501:AC508 AC479:AC486 AC446:AC453 AC237:AC244 AC336:AC343 AC413:AC420 AC534:AC541 AC556:AC563 AC567:AC574 AC578:AC585 AC182:AC189 AC193:AC200 AC160:AC167 AC138:AC145 AC94:AC101 AC358:AC365 AC39:AC46 AC83:AC90 AC204:AC211 AC6:AC13 AC171:AC178 AC149:AC156 AC127:AC134 AC270:AC277 AC105:AC112 AC61:AC68 AC226:AC233 AC17:AC24 AC314:AC321 AC281:AC288 AC248:AC255 AC116:AC123 AC303:AC310 AC50:AC57 AC347:AC354 AC325:AC332 AC424:AC431 AC402:AC409 AC369:AC376 AC72:AC79 AC391:AC398 AC259:AC266 AC457:AC464 AC435:AC442 AC512:AC519 AC490:AC497 AC468:AC475 AC292:AC299 AC28:AC35 AC380:AC387 AC545:AC552 U391:U398 U512:U519 U490:U497 U468:U475 U435:U442 U6:U13 U292:U299 U402:U409 U523:U530 U545:U552 U556:U563 U567:U574 U578:U585 U358:U365 U83:U90 U61:U68 U39:U46 U182:U189 U215:U222 U303:U310 U105:U112 U116:U123 U127:U134 U138:U145 U149:U156 U160:U167 U171:U178 U193:U200 U204:U211 Y237:Y244 Y28:Y35 Y391:Y398 Y193:Y200 Y314:Y321 Y358:Y365 Y347:Y354 Y61:Y68 Y578:Y585 Y116:Y123 Y468:Y475 Y446:Y453 Y424:Y431 Y336:Y343 Y50:Y57 Y248:Y255 Y204:Y211 Y479:Y486 Y182:Y189 Y457:Y464 Y435:Y442 Y413:Y420 Y94:Y101 Y325:Y332 Y270:Y277 Y490:Y497 Y39:Y46 Y105:Y112 Y545:Y552 Y523:Y530 Y501:Y508 Y6:Y13 Y402:Y409 Y17:Y24 Y127:Y134 Y149:Y156 Y160:Y167 Y226:Y233 Y556:Y563 Y534:Y541 Y512:Y519 Y281:Y288 Y303:Y310 Y72:Y79 Y138:Y145 Y380:Y387 Y292:Y299 Y171:Y178 Y215:Y222 Y567:Y574 Y369:Y376 Y83:Y90 Y259:Y266 U17:U24 U259:U266 U336:U343 U94:U101 U325:U332 U237:U244 U50:U57 U314:U321 U281:U288 U413:U420 U380:U387 U347:U354 U72:U79 U248:U255 U270:U277 U446:U453 U424:U431 U501:U508 U479:U486 U457:U464 U226:U233 U28:U35 U369:U376 U534:U541" type="whole">
      <formula1>0</formula1>
      <formula2>1</formula2>
    </dataValidation>
  </dataValidations>
  <hyperlinks>
    <hyperlink display="https://www.mazda3revolution.com/threads/change-configuration-explore-different-functions-asbuilt.169393/" r:id="rId1" ref="P1"/>
  </hyperlinks>
  <pageMargins bottom="0.75" footer="0.30000001192092896" header="0.30000001192092896" left="0.70000004768371582" right="0.70000004768371582" top="0.75"/>
</worksheet>
</file>

<file path=xl/worksheets/sheet17.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BA588"/>
  <sheetViews>
    <sheetView showZeros="true" workbookViewId="0"/>
  </sheetViews>
  <sheetFormatPr baseColWidth="8" customHeight="false" defaultColWidth="9.1406253092569258" defaultRowHeight="15" zeroHeight="true"/>
  <cols>
    <col bestFit="true" customWidth="true" max="1" min="1" outlineLevel="0" width="21.570312147129918"/>
    <col bestFit="true" customWidth="true" max="2" min="2" outlineLevel="0" width="21.855468136111785"/>
    <col customWidth="true" max="3" min="3" outlineLevel="0" width="4.5703126546284629"/>
    <col customWidth="true" max="7" min="4" outlineLevel="0" style="56" width="9.1406253092569258"/>
    <col customWidth="true" max="13" min="8" outlineLevel="0" width="9.1406253092569258"/>
    <col customWidth="true" max="14" min="14" outlineLevel="0" width="5.7109372872206619"/>
    <col customWidth="true" max="15" min="15" outlineLevel="0" width="1.7109374563868438"/>
    <col customWidth="true" max="16" min="16" outlineLevel="0" width="5.4257812982387943"/>
    <col customWidth="true" max="17" min="17" outlineLevel="0" width="5.28515615814805"/>
    <col customWidth="true" max="18" min="18" outlineLevel="0" width="3.4257812982387938"/>
    <col customWidth="true" max="19" min="19" outlineLevel="0" width="20.140625140090744"/>
    <col customWidth="true" max="20" min="20" outlineLevel="0" width="5.4257812982387943"/>
    <col customWidth="true" max="21" min="21" outlineLevel="0" width="5.28515615814805"/>
    <col customWidth="true" max="22" min="22" outlineLevel="0" width="3.4257812982387938"/>
    <col customWidth="true" max="23" min="23" outlineLevel="0" width="20.425781129072611"/>
    <col customWidth="true" max="24" min="24" outlineLevel="0" width="5.4257812982387943"/>
    <col customWidth="true" max="25" min="25" outlineLevel="0" width="5.28515615814805"/>
    <col customWidth="true" max="26" min="26" outlineLevel="0" width="3.4257812982387938"/>
    <col customWidth="true" max="27" min="27" outlineLevel="0" width="20.570312654628463"/>
    <col customWidth="true" max="28" min="28" outlineLevel="0" width="5.4257812982387943"/>
    <col customWidth="true" max="29" min="29" outlineLevel="0" width="5.28515615814805"/>
    <col customWidth="true" max="30" min="30" outlineLevel="0" width="3.4257812982387938"/>
    <col customWidth="true" max="31" min="31" outlineLevel="0" width="20.425781129072611"/>
    <col customWidth="true" max="32" min="32" outlineLevel="0" width="5.4257812982387943"/>
    <col customWidth="true" max="33" min="33" outlineLevel="0" width="5.28515615814805"/>
    <col customWidth="true" max="34" min="34" outlineLevel="0" width="3.4257812982387938"/>
    <col customWidth="true" max="35" min="35" outlineLevel="0" width="20.000000676664726"/>
    <col customWidth="true" max="37" min="36" outlineLevel="0" width="9.1406253092569258"/>
    <col customWidth="true" max="38" min="38" outlineLevel="0" width="12.570312654628463"/>
    <col bestFit="true" customWidth="true" max="39" min="39" outlineLevel="0" width="12.570312654628463"/>
    <col customWidth="true" max="40" min="40" outlineLevel="0" width="9.1406253092569258"/>
    <col customWidth="true" hidden="true" max="44" min="41" outlineLevel="0" width="9.1406253092569258"/>
    <col customWidth="true" hidden="true" max="45" min="45" outlineLevel="0" width="54.570314346290282"/>
    <col bestFit="true" customWidth="true" hidden="true" max="53" min="46" outlineLevel="0" width="0"/>
    <col bestFit="true" customWidth="true" hidden="true" max="16384" min="54" outlineLevel="0" width="9.1406253092569258"/>
  </cols>
  <sheetData>
    <row hidden="false" ht="15" outlineLevel="0" r="1">
      <c r="A1" s="85" t="s">
        <v>155</v>
      </c>
      <c r="B1" s="10544" t="s"/>
      <c r="P1" s="51" t="s">
        <v>156</v>
      </c>
    </row>
    <row hidden="false" ht="15.75" outlineLevel="0" r="2">
      <c r="A2" s="88" t="s">
        <v>157</v>
      </c>
      <c r="B2" s="89" t="s">
        <v>158</v>
      </c>
      <c r="C2" s="230" t="s">
        <v>159</v>
      </c>
      <c r="D2" s="10545" t="s"/>
      <c r="E2" s="10546" t="s"/>
      <c r="G2" s="1144" t="n"/>
      <c r="H2" s="10547" t="s"/>
      <c r="I2" s="10548" t="s"/>
      <c r="J2" s="10549" t="s"/>
      <c r="K2" s="10550" t="s"/>
      <c r="L2" s="10551" t="s"/>
      <c r="M2" s="10552" t="s"/>
    </row>
    <row hidden="false" ht="15.75" outlineLevel="0" r="3">
      <c r="A3" s="7584" t="s">
        <v>160</v>
      </c>
      <c r="B3" s="92" t="s">
        <v>160</v>
      </c>
      <c r="C3" s="93" t="n"/>
      <c r="D3" s="7585" t="n"/>
      <c r="E3" s="7585" t="n"/>
      <c r="F3" s="7585" t="n"/>
      <c r="G3" s="7585" t="n"/>
      <c r="H3" s="94" t="n"/>
      <c r="I3" s="94" t="n"/>
      <c r="J3" s="94" t="n"/>
      <c r="K3" s="94" t="n"/>
      <c r="L3" s="94" t="n"/>
      <c r="M3" s="94" t="s">
        <v>161</v>
      </c>
      <c r="N3" s="60" t="n"/>
      <c r="P3" s="95" t="str">
        <f aca="false" ca="false" dt2D="false" dtr="false" t="normal">RIGHT(D5, 1)&amp;E5&amp;"-"&amp;F5&amp;"-"&amp;G5</f>
        <v>7B2-01-01</v>
      </c>
      <c r="Q3" s="10553" t="s"/>
      <c r="R3" s="234" t="s">
        <v>4359</v>
      </c>
      <c r="S3" s="10554" t="s"/>
      <c r="T3" s="10555" t="s"/>
      <c r="U3" s="10556" t="s"/>
      <c r="V3" s="10557" t="s"/>
      <c r="W3" s="10558" t="s"/>
      <c r="X3" s="10559" t="s"/>
      <c r="Y3" s="10560" t="s"/>
      <c r="Z3" s="10561" t="s"/>
      <c r="AA3" s="10562" t="s"/>
      <c r="AB3" s="10563" t="s"/>
      <c r="AC3" s="10564" t="s"/>
      <c r="AD3" s="10565" t="s"/>
      <c r="AE3" s="10566" t="s"/>
      <c r="AF3" s="10567" t="s"/>
      <c r="AG3" s="10568" t="s"/>
      <c r="AH3" s="10569" t="s"/>
      <c r="AI3" s="10570" t="s"/>
      <c r="AJ3" s="10571" t="s"/>
      <c r="AK3" s="10572" t="s"/>
      <c r="AL3" s="87" t="n"/>
      <c r="AM3" s="87" t="n"/>
    </row>
    <row hidden="false" ht="15.75" outlineLevel="0" r="4">
      <c r="A4" s="91" t="s">
        <v>4360</v>
      </c>
      <c r="B4" s="92" t="str">
        <f aca="false" ca="false" dt2D="false" dtr="false" t="normal">RIGHT(D13, 1)&amp;E13&amp;F13&amp;G13&amp;H10&amp;I10&amp;J10&amp;K10&amp;L10&amp;M10</f>
        <v>7B2G1G10000000000BB</v>
      </c>
      <c r="C4" s="98" t="n"/>
      <c r="D4" s="7606" t="s">
        <v>4361</v>
      </c>
      <c r="E4" s="10573" t="s"/>
      <c r="F4" s="10574" t="s"/>
      <c r="G4" s="10575" t="s"/>
      <c r="H4" s="53" t="s">
        <v>165</v>
      </c>
      <c r="I4" s="53" t="s">
        <v>166</v>
      </c>
      <c r="J4" s="53" t="s">
        <v>167</v>
      </c>
      <c r="K4" s="53" t="s">
        <v>168</v>
      </c>
      <c r="L4" s="53" t="s">
        <v>169</v>
      </c>
      <c r="M4" s="53" t="s">
        <v>221</v>
      </c>
      <c r="N4" s="63" t="n"/>
      <c r="P4" s="103" t="s">
        <v>4362</v>
      </c>
      <c r="Q4" s="10576" t="s"/>
      <c r="R4" s="10577" t="s"/>
      <c r="S4" s="10578" t="s"/>
      <c r="T4" s="103" t="s">
        <v>4363</v>
      </c>
      <c r="U4" s="10579" t="s"/>
      <c r="V4" s="10580" t="s"/>
      <c r="W4" s="10581" t="s"/>
      <c r="X4" s="103" t="s">
        <v>4364</v>
      </c>
      <c r="Y4" s="10582" t="s"/>
      <c r="Z4" s="10583" t="s"/>
      <c r="AA4" s="10584" t="s"/>
      <c r="AB4" s="103" t="s">
        <v>4365</v>
      </c>
      <c r="AC4" s="10585" t="s"/>
      <c r="AD4" s="10586" t="s"/>
      <c r="AE4" s="10587" t="s"/>
      <c r="AF4" s="103" t="s">
        <v>4366</v>
      </c>
      <c r="AG4" s="10588" t="s"/>
      <c r="AH4" s="10589" t="s"/>
      <c r="AI4" s="10590" t="s"/>
      <c r="AJ4" s="103" t="s">
        <v>4367</v>
      </c>
      <c r="AK4" s="10591" t="s"/>
    </row>
    <row hidden="false" ht="15.75" outlineLevel="0" r="5">
      <c r="A5" s="91" t="s">
        <v>4368</v>
      </c>
      <c r="B5" s="92" t="str">
        <f aca="false" ca="false" dt2D="false" dtr="false" t="normal">RIGHT(D24, 1)&amp;E24&amp;F24&amp;G24&amp;H21&amp;I21&amp;J21&amp;K21&amp;L21&amp;M21</f>
        <v>7B2G1G20000000000BC</v>
      </c>
      <c r="C5" s="98" t="s">
        <v>176</v>
      </c>
      <c r="D5" s="122" t="s">
        <v>177</v>
      </c>
      <c r="E5" s="123" t="s">
        <v>167</v>
      </c>
      <c r="F5" s="123" t="s">
        <v>179</v>
      </c>
      <c r="G5" s="124" t="s">
        <v>179</v>
      </c>
      <c r="H5" s="273" t="n">
        <f aca="false" ca="false" dt2D="false" dtr="false" t="normal">MID($A$4, 8, 2)</f>
        <v>0</v>
      </c>
      <c r="I5" s="7626" t="n">
        <f aca="false" ca="false" dt2D="false" dtr="false" t="normal">MID($A$4, 10, 2)</f>
        <v>0</v>
      </c>
      <c r="J5" s="7626" t="n">
        <f aca="false" ca="false" dt2D="false" dtr="false" t="normal">MID($A$4, 12, 2)</f>
        <v>0</v>
      </c>
      <c r="K5" s="7626" t="n">
        <f aca="false" ca="false" dt2D="false" dtr="false" t="normal">MID($A$4, 14, 2)</f>
        <v>0</v>
      </c>
      <c r="L5" s="7627" t="n">
        <f aca="false" ca="false" dt2D="false" dtr="false" t="normal">MID($A$4, 16, 2)</f>
        <v>0</v>
      </c>
      <c r="M5" s="7553" t="str">
        <f aca="false" ca="false" dt2D="false" dtr="false" t="normal">MID($A$4, 18, 2)</f>
        <v>BB</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10592" t="s"/>
    </row>
    <row hidden="false" ht="15" outlineLevel="0" r="6">
      <c r="A6" s="91" t="s">
        <v>4369</v>
      </c>
      <c r="B6" s="92" t="str">
        <f aca="false" ca="false" dt2D="false" dtr="false" t="normal">RIGHT(D35, 1)&amp;E35&amp;F35&amp;G35&amp;H32&amp;I32&amp;J32&amp;K32&amp;L32&amp;M32</f>
        <v>7B2G1G30000000000BD</v>
      </c>
      <c r="C6" s="98" t="s">
        <v>185</v>
      </c>
      <c r="D6" s="149" t="n">
        <f aca="false" ca="false" dt2D="false" dtr="false" t="normal">HEX2BIN(D5, 8)</f>
        <v>111</v>
      </c>
      <c r="E6" s="149" t="n">
        <f aca="false" ca="false" dt2D="false" dtr="false" t="normal">HEX2BIN(E5, 8)</f>
        <v>10110010</v>
      </c>
      <c r="F6" s="149" t="n">
        <f aca="false" ca="false" dt2D="false" dtr="false" t="normal">HEX2BIN(F5, 8)</f>
        <v>1</v>
      </c>
      <c r="G6" s="149"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131" t="s">
        <v>196</v>
      </c>
      <c r="T6" s="136" t="n">
        <f aca="false" ca="false" dt2D="false" dtr="false" t="normal">MID(I6, 1, 1)</f>
        <v>0</v>
      </c>
      <c r="U6" s="137" t="n">
        <f aca="false" ca="false" dt2D="false" dtr="false" t="normal">T6</f>
        <v>0</v>
      </c>
      <c r="V6" s="120" t="s">
        <v>186</v>
      </c>
      <c r="W6" s="131" t="s">
        <v>196</v>
      </c>
      <c r="X6" s="136" t="n">
        <f aca="false" ca="false" dt2D="false" dtr="false" t="normal">MID(J6, 1, 1)</f>
        <v>0</v>
      </c>
      <c r="Y6" s="137" t="n">
        <f aca="false" ca="false" dt2D="false" dtr="false" t="normal">X6</f>
        <v>0</v>
      </c>
      <c r="Z6" s="120" t="s">
        <v>186</v>
      </c>
      <c r="AA6" s="131" t="s">
        <v>196</v>
      </c>
      <c r="AB6" s="136" t="n">
        <f aca="false" ca="false" dt2D="false" dtr="false" t="normal">MID(K6, 1, 1)</f>
        <v>0</v>
      </c>
      <c r="AC6" s="137" t="n">
        <f aca="false" ca="false" dt2D="false" dtr="false" t="normal">AB6</f>
        <v>0</v>
      </c>
      <c r="AD6" s="120" t="s">
        <v>186</v>
      </c>
      <c r="AE6" s="131" t="s">
        <v>196</v>
      </c>
      <c r="AF6" s="136" t="n">
        <f aca="false" ca="false" dt2D="false" dtr="false" t="normal">MID(L6, 1, 1)</f>
        <v>0</v>
      </c>
      <c r="AG6" s="137" t="n">
        <f aca="false" ca="false" dt2D="false" dtr="false" t="normal">AF6</f>
        <v>0</v>
      </c>
      <c r="AH6" s="120" t="s">
        <v>186</v>
      </c>
      <c r="AI6" s="131" t="s">
        <v>196</v>
      </c>
      <c r="AJ6" s="10593" t="s"/>
      <c r="AK6" s="10594" t="s"/>
    </row>
    <row customHeight="true" hidden="false" ht="15" outlineLevel="0" r="7">
      <c r="A7" s="91" t="s">
        <v>4370</v>
      </c>
      <c r="B7" s="92" t="str">
        <f aca="false" ca="false" dt2D="false" dtr="false" t="normal">RIGHT(D46, 1)&amp;E46&amp;F46&amp;G46&amp;H43&amp;I43&amp;J43&amp;K43&amp;L43&amp;M43</f>
        <v>7B2G1G40000000000BE</v>
      </c>
      <c r="C7" s="98" t="s">
        <v>191</v>
      </c>
      <c r="D7" s="149" t="n">
        <f aca="false" ca="false" dt2D="false" dtr="false" t="normal">HEX2DEC(D5)</f>
        <v>7</v>
      </c>
      <c r="E7" s="149" t="n">
        <f aca="false" ca="false" dt2D="false" dtr="false" t="normal">HEX2DEC(E5)</f>
        <v>178</v>
      </c>
      <c r="F7" s="149" t="n">
        <f aca="false" ca="false" dt2D="false" dtr="false" t="normal">HEX2DEC(F5)</f>
        <v>1</v>
      </c>
      <c r="G7" s="149"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187</v>
      </c>
      <c r="N7" s="63" t="n"/>
      <c r="P7" s="136" t="n">
        <f aca="false" ca="false" dt2D="false" dtr="false" t="normal">MID(H6, 2, 1)</f>
        <v>0</v>
      </c>
      <c r="Q7" s="137" t="n">
        <f aca="false" ca="false" dt2D="false" dtr="false" t="normal">P7</f>
        <v>0</v>
      </c>
      <c r="R7" s="120" t="s">
        <v>192</v>
      </c>
      <c r="S7" s="131" t="s">
        <v>196</v>
      </c>
      <c r="T7" s="136" t="n">
        <f aca="false" ca="false" dt2D="false" dtr="false" t="normal">MID(I6, 2, 1)</f>
        <v>0</v>
      </c>
      <c r="U7" s="137" t="n">
        <f aca="false" ca="false" dt2D="false" dtr="false" t="normal">T7</f>
        <v>0</v>
      </c>
      <c r="V7" s="120" t="s">
        <v>192</v>
      </c>
      <c r="W7" s="131" t="s">
        <v>196</v>
      </c>
      <c r="X7" s="136" t="n">
        <f aca="false" ca="false" dt2D="false" dtr="false" t="normal">MID(J6, 2, 1)</f>
        <v>0</v>
      </c>
      <c r="Y7" s="137" t="n">
        <f aca="false" ca="false" dt2D="false" dtr="false" t="normal">X7</f>
        <v>0</v>
      </c>
      <c r="Z7" s="120" t="s">
        <v>192</v>
      </c>
      <c r="AA7" s="131" t="s">
        <v>196</v>
      </c>
      <c r="AB7" s="136" t="n">
        <f aca="false" ca="false" dt2D="false" dtr="false" t="normal">MID(K6, 2, 1)</f>
        <v>0</v>
      </c>
      <c r="AC7" s="137" t="n">
        <f aca="false" ca="false" dt2D="false" dtr="false" t="normal">AB7</f>
        <v>0</v>
      </c>
      <c r="AD7" s="120" t="s">
        <v>192</v>
      </c>
      <c r="AE7" s="131" t="s">
        <v>196</v>
      </c>
      <c r="AF7" s="136" t="n">
        <f aca="false" ca="false" dt2D="false" dtr="false" t="normal">MID(L6, 2, 1)</f>
        <v>0</v>
      </c>
      <c r="AG7" s="137" t="n">
        <f aca="false" ca="false" dt2D="false" dtr="false" t="normal">AF7</f>
        <v>0</v>
      </c>
      <c r="AH7" s="120" t="s">
        <v>192</v>
      </c>
      <c r="AI7" s="131" t="s">
        <v>196</v>
      </c>
      <c r="AJ7" s="10595" t="s"/>
      <c r="AK7" s="10596" t="s"/>
    </row>
    <row customHeight="true" hidden="false" ht="15" outlineLevel="0" r="8">
      <c r="A8" s="91" t="s">
        <v>4371</v>
      </c>
      <c r="B8" s="92" t="str">
        <f aca="false" ca="false" dt2D="false" dtr="false" t="normal">RIGHT(D57, 1)&amp;E57&amp;F57&amp;G57&amp;H54&amp;I54&amp;J54&amp;K54&amp;L54&amp;M54</f>
        <v>7B2G1G50000000000BF</v>
      </c>
      <c r="C8" s="98" t="s">
        <v>194</v>
      </c>
      <c r="D8" s="149" t="n">
        <f aca="false" ca="false" dt2D="false" dtr="false" t="normal">D5</f>
        <v>7</v>
      </c>
      <c r="E8" s="149" t="str">
        <f aca="false" ca="false" dt2D="false" dtr="false" t="normal">E5</f>
        <v>B2</v>
      </c>
      <c r="F8" s="149" t="str">
        <f aca="false" ca="false" dt2D="false" dtr="false" t="normal">MID($A$4, 4, 2)</f>
        <v>G1</v>
      </c>
      <c r="G8" s="149" t="str">
        <f aca="false" ca="false" dt2D="false" dtr="false" t="normal">MID($A$4, 6, 2)</f>
        <v>G1</v>
      </c>
      <c r="N8" s="63" t="n"/>
      <c r="P8" s="136" t="n">
        <f aca="false" ca="false" dt2D="false" dtr="false" t="normal">MID(H6, 3, 1)</f>
        <v>0</v>
      </c>
      <c r="Q8" s="137" t="n">
        <f aca="false" ca="false" dt2D="false" dtr="false" t="normal">P8</f>
        <v>0</v>
      </c>
      <c r="R8" s="120" t="s">
        <v>195</v>
      </c>
      <c r="S8" s="131" t="s">
        <v>196</v>
      </c>
      <c r="T8" s="136" t="n">
        <f aca="false" ca="false" dt2D="false" dtr="false" t="normal">MID(I6, 3, 1)</f>
        <v>0</v>
      </c>
      <c r="U8" s="137" t="n">
        <f aca="false" ca="false" dt2D="false" dtr="false" t="normal">T8</f>
        <v>0</v>
      </c>
      <c r="V8" s="120" t="s">
        <v>195</v>
      </c>
      <c r="W8" s="131" t="s">
        <v>196</v>
      </c>
      <c r="X8" s="136" t="n">
        <f aca="false" ca="false" dt2D="false" dtr="false" t="normal">MID(J6, 3, 1)</f>
        <v>0</v>
      </c>
      <c r="Y8" s="137" t="n">
        <f aca="false" ca="false" dt2D="false" dtr="false" t="normal">X8</f>
        <v>0</v>
      </c>
      <c r="Z8" s="120" t="s">
        <v>195</v>
      </c>
      <c r="AA8" s="131" t="s">
        <v>196</v>
      </c>
      <c r="AB8" s="136" t="n">
        <f aca="false" ca="false" dt2D="false" dtr="false" t="normal">MID(K6, 3, 1)</f>
        <v>0</v>
      </c>
      <c r="AC8" s="137" t="n">
        <f aca="false" ca="false" dt2D="false" dtr="false" t="normal">AB8</f>
        <v>0</v>
      </c>
      <c r="AD8" s="120" t="s">
        <v>195</v>
      </c>
      <c r="AE8" s="131" t="s">
        <v>196</v>
      </c>
      <c r="AF8" s="136" t="n">
        <f aca="false" ca="false" dt2D="false" dtr="false" t="normal">MID(L6, 3, 1)</f>
        <v>0</v>
      </c>
      <c r="AG8" s="137" t="n">
        <f aca="false" ca="false" dt2D="false" dtr="false" t="normal">AF8</f>
        <v>0</v>
      </c>
      <c r="AH8" s="120" t="s">
        <v>195</v>
      </c>
      <c r="AI8" s="131" t="s">
        <v>196</v>
      </c>
      <c r="AJ8" s="10597" t="s"/>
      <c r="AK8" s="10598" t="s"/>
    </row>
    <row hidden="false" ht="15.75" outlineLevel="0" r="9">
      <c r="A9" s="91" t="s">
        <v>4372</v>
      </c>
      <c r="B9" s="92" t="str">
        <f aca="false" ca="false" dt2D="false" dtr="false" t="normal">RIGHT(D68, 1)&amp;E68&amp;F68&amp;G68&amp;H65&amp;I65&amp;J65&amp;K65&amp;L65&amp;M65</f>
        <v>7B2G1G60000000000C0</v>
      </c>
      <c r="C9" s="98" t="n"/>
      <c r="N9" s="63" t="n"/>
      <c r="P9" s="136" t="n">
        <f aca="false" ca="false" dt2D="false" dtr="false" t="normal">MID(H6, 4, 1)</f>
        <v>0</v>
      </c>
      <c r="Q9" s="137" t="n">
        <f aca="false" ca="false" dt2D="false" dtr="false" t="normal">P9</f>
        <v>0</v>
      </c>
      <c r="R9" s="120" t="s">
        <v>197</v>
      </c>
      <c r="S9" s="131" t="s">
        <v>196</v>
      </c>
      <c r="T9" s="136" t="n">
        <f aca="false" ca="false" dt2D="false" dtr="false" t="normal">MID(I6, 4, 1)</f>
        <v>0</v>
      </c>
      <c r="U9" s="137" t="n">
        <f aca="false" ca="false" dt2D="false" dtr="false" t="normal">T9</f>
        <v>0</v>
      </c>
      <c r="V9" s="120" t="s">
        <v>197</v>
      </c>
      <c r="W9" s="131" t="s">
        <v>196</v>
      </c>
      <c r="X9" s="136" t="n">
        <f aca="false" ca="false" dt2D="false" dtr="false" t="normal">MID(J6, 4, 1)</f>
        <v>0</v>
      </c>
      <c r="Y9" s="137" t="n">
        <f aca="false" ca="false" dt2D="false" dtr="false" t="normal">X9</f>
        <v>0</v>
      </c>
      <c r="Z9" s="120" t="s">
        <v>197</v>
      </c>
      <c r="AA9" s="131" t="s">
        <v>196</v>
      </c>
      <c r="AB9" s="136" t="n">
        <f aca="false" ca="false" dt2D="false" dtr="false" t="normal">MID(K6, 4, 1)</f>
        <v>0</v>
      </c>
      <c r="AC9" s="137" t="n">
        <f aca="false" ca="false" dt2D="false" dtr="false" t="normal">AB9</f>
        <v>0</v>
      </c>
      <c r="AD9" s="120" t="s">
        <v>197</v>
      </c>
      <c r="AE9" s="131" t="s">
        <v>196</v>
      </c>
      <c r="AF9" s="136" t="n">
        <f aca="false" ca="false" dt2D="false" dtr="false" t="normal">MID(L6, 4, 1)</f>
        <v>0</v>
      </c>
      <c r="AG9" s="137" t="n">
        <f aca="false" ca="false" dt2D="false" dtr="false" t="normal">AF9</f>
        <v>0</v>
      </c>
      <c r="AH9" s="120" t="s">
        <v>197</v>
      </c>
      <c r="AI9" s="131" t="s">
        <v>196</v>
      </c>
      <c r="AJ9" s="10599" t="s"/>
      <c r="AK9" s="10600" t="s"/>
    </row>
    <row customHeight="true" hidden="false" ht="15.75" outlineLevel="0" r="10">
      <c r="A10" s="91" t="s">
        <v>4373</v>
      </c>
      <c r="B10" s="92" t="str">
        <f aca="false" ca="false" dt2D="false" dtr="false" t="normal">RIGHT(D79, 1)&amp;E79&amp;F79&amp;G79&amp;H76&amp;I76&amp;J76</f>
        <v>7B2G1G70000C1</v>
      </c>
      <c r="C10" s="98" t="s">
        <v>176</v>
      </c>
      <c r="D10" s="122" t="n">
        <f aca="false" ca="false" dt2D="false" dtr="false" t="normal">D5</f>
        <v>7</v>
      </c>
      <c r="E10" s="123" t="str">
        <f aca="false" ca="false" dt2D="false" dtr="false" t="normal">E5</f>
        <v>B2</v>
      </c>
      <c r="F10" s="123" t="n">
        <f aca="false" ca="false" dt2D="false" dtr="false" t="normal">F5</f>
        <v>1</v>
      </c>
      <c r="G10" s="124"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str">
        <f aca="false" ca="false" dt2D="false" dtr="false" t="normal">IF(LEN(M11)&gt;2, MID(M11, 2, 2), M11)</f>
        <v>BB</v>
      </c>
      <c r="N10" s="63" t="s">
        <v>181</v>
      </c>
      <c r="P10" s="136" t="n">
        <f aca="false" ca="false" dt2D="false" dtr="false" t="normal">MID(H6, 5, 1)</f>
        <v>0</v>
      </c>
      <c r="Q10" s="137" t="n">
        <f aca="false" ca="false" dt2D="false" dtr="false" t="normal">P10</f>
        <v>0</v>
      </c>
      <c r="R10" s="120" t="s">
        <v>200</v>
      </c>
      <c r="S10" s="131" t="s">
        <v>196</v>
      </c>
      <c r="T10" s="136" t="n">
        <f aca="false" ca="false" dt2D="false" dtr="false" t="normal">MID(I6, 5, 1)</f>
        <v>0</v>
      </c>
      <c r="U10" s="137" t="n">
        <f aca="false" ca="false" dt2D="false" dtr="false" t="normal">T10</f>
        <v>0</v>
      </c>
      <c r="V10" s="120" t="s">
        <v>200</v>
      </c>
      <c r="W10" s="131" t="s">
        <v>196</v>
      </c>
      <c r="X10" s="136" t="n">
        <f aca="false" ca="false" dt2D="false" dtr="false" t="normal">MID(J6, 5, 1)</f>
        <v>0</v>
      </c>
      <c r="Y10" s="137" t="n">
        <f aca="false" ca="false" dt2D="false" dtr="false" t="normal">X10</f>
        <v>0</v>
      </c>
      <c r="Z10" s="120" t="s">
        <v>200</v>
      </c>
      <c r="AA10" s="131" t="s">
        <v>196</v>
      </c>
      <c r="AB10" s="136" t="n">
        <f aca="false" ca="false" dt2D="false" dtr="false" t="normal">MID(K6, 5, 1)</f>
        <v>0</v>
      </c>
      <c r="AC10" s="137" t="n">
        <f aca="false" ca="false" dt2D="false" dtr="false" t="normal">AB10</f>
        <v>0</v>
      </c>
      <c r="AD10" s="120" t="s">
        <v>200</v>
      </c>
      <c r="AE10" s="131" t="s">
        <v>196</v>
      </c>
      <c r="AF10" s="136" t="n">
        <f aca="false" ca="false" dt2D="false" dtr="false" t="normal">MID(L6, 5, 1)</f>
        <v>0</v>
      </c>
      <c r="AG10" s="137" t="n">
        <f aca="false" ca="false" dt2D="false" dtr="false" t="normal">AF10</f>
        <v>0</v>
      </c>
      <c r="AH10" s="120" t="s">
        <v>200</v>
      </c>
      <c r="AI10" s="131" t="s">
        <v>196</v>
      </c>
      <c r="AJ10" s="10601" t="s"/>
      <c r="AK10" s="10602" t="s"/>
    </row>
    <row customHeight="true" hidden="false" ht="15" outlineLevel="0" r="11">
      <c r="A11" s="1202" t="s">
        <v>175</v>
      </c>
      <c r="B11" s="92" t="s">
        <v>175</v>
      </c>
      <c r="C11" s="98" t="s">
        <v>185</v>
      </c>
      <c r="D11" s="149" t="n">
        <f aca="false" ca="false" dt2D="false" dtr="false" t="normal">HEX2BIN(D10, 8)</f>
        <v>111</v>
      </c>
      <c r="E11" s="149" t="n">
        <f aca="false" ca="false" dt2D="false" dtr="false" t="normal">HEX2BIN(E10, 8)</f>
        <v>10110010</v>
      </c>
      <c r="F11" s="149" t="n">
        <f aca="false" ca="false" dt2D="false" dtr="false" t="normal">HEX2BIN(F10, 8)</f>
        <v>1</v>
      </c>
      <c r="G11" s="149" t="n">
        <f aca="false" ca="false" dt2D="false" dtr="false" t="normal">HEX2BIN(G10, 8)</f>
        <v>1</v>
      </c>
      <c r="H11" s="53" t="n">
        <f aca="false" ca="false" dt2D="false" dtr="false" t="normal">Q6&amp;Q7&amp;Q8&amp;Q9&amp;Q10&amp;Q11&amp;Q12&amp;Q13</f>
        <v>0</v>
      </c>
      <c r="I11" s="53" t="n">
        <f aca="false" ca="false" dt2D="false" dtr="false" t="normal">U6&amp;U7&amp;U8&amp;U9&amp;U10&amp;U11&amp;U12&amp;U13</f>
        <v>0</v>
      </c>
      <c r="J11" s="53" t="n">
        <f aca="false" ca="false" dt2D="false" dtr="false" t="normal">Y6&amp;Y7&amp;Y8&amp;Y9&amp;Y10&amp;Y11&amp;Y12&amp;Y13</f>
        <v>0</v>
      </c>
      <c r="K11" s="53" t="n">
        <f aca="false" ca="false" dt2D="false" dtr="false" t="normal">AC6&amp;AC7&amp;AC8&amp;AC9&amp;AC10&amp;AC11&amp;AC12&amp;AC13</f>
        <v>0</v>
      </c>
      <c r="L11" s="53" t="n">
        <f aca="false" ca="false" dt2D="false" dtr="false" t="normal">AG6&amp;AG7&amp;AG8&amp;AG9&amp;AG10&amp;AG11&amp;AG12&amp;AG13</f>
        <v>0</v>
      </c>
      <c r="M11" s="53" t="str">
        <f aca="false" ca="false" dt2D="false" dtr="false" t="normal">DEC2HEX(M12)</f>
        <v>BB</v>
      </c>
      <c r="N11" s="63" t="n"/>
      <c r="P11" s="136" t="n">
        <f aca="false" ca="false" dt2D="false" dtr="false" t="normal">MID(H6, 6, 1)</f>
        <v>0</v>
      </c>
      <c r="Q11" s="137" t="n">
        <f aca="false" ca="false" dt2D="false" dtr="false" t="normal">P11</f>
        <v>0</v>
      </c>
      <c r="R11" s="120" t="s">
        <v>203</v>
      </c>
      <c r="S11" s="131" t="s">
        <v>196</v>
      </c>
      <c r="T11" s="136" t="n">
        <f aca="false" ca="false" dt2D="false" dtr="false" t="normal">MID(I6, 6, 1)</f>
        <v>0</v>
      </c>
      <c r="U11" s="137" t="n">
        <f aca="false" ca="false" dt2D="false" dtr="false" t="normal">T11</f>
        <v>0</v>
      </c>
      <c r="V11" s="120" t="s">
        <v>203</v>
      </c>
      <c r="W11" s="131" t="s">
        <v>196</v>
      </c>
      <c r="X11" s="136" t="n">
        <f aca="false" ca="false" dt2D="false" dtr="false" t="normal">MID(J6, 6, 1)</f>
        <v>0</v>
      </c>
      <c r="Y11" s="137" t="n">
        <f aca="false" ca="false" dt2D="false" dtr="false" t="normal">X11</f>
        <v>0</v>
      </c>
      <c r="Z11" s="120" t="s">
        <v>203</v>
      </c>
      <c r="AA11" s="131" t="s">
        <v>196</v>
      </c>
      <c r="AB11" s="136" t="n">
        <f aca="false" ca="false" dt2D="false" dtr="false" t="normal">MID(K6, 6, 1)</f>
        <v>0</v>
      </c>
      <c r="AC11" s="137" t="n">
        <f aca="false" ca="false" dt2D="false" dtr="false" t="normal">AB11</f>
        <v>0</v>
      </c>
      <c r="AD11" s="120" t="s">
        <v>203</v>
      </c>
      <c r="AE11" s="131" t="s">
        <v>196</v>
      </c>
      <c r="AF11" s="136" t="n">
        <f aca="false" ca="false" dt2D="false" dtr="false" t="normal">MID(L6, 6, 1)</f>
        <v>0</v>
      </c>
      <c r="AG11" s="137" t="n">
        <f aca="false" ca="false" dt2D="false" dtr="false" t="normal">AF11</f>
        <v>0</v>
      </c>
      <c r="AH11" s="120" t="s">
        <v>203</v>
      </c>
      <c r="AI11" s="131" t="s">
        <v>196</v>
      </c>
      <c r="AJ11" s="10603" t="s"/>
      <c r="AK11" s="10604" t="s"/>
    </row>
    <row hidden="false" ht="15" outlineLevel="0" r="12">
      <c r="A12" s="1202" t="s">
        <v>4374</v>
      </c>
      <c r="B12" s="92" t="str">
        <f aca="false" ca="false" dt2D="false" dtr="false" t="normal">RIGHT(D90, 1)&amp;E90&amp;F90&amp;G90&amp;H87&amp;I87&amp;J87&amp;K87&amp;L87&amp;M87</f>
        <v>7B2G2G10000000000BC</v>
      </c>
      <c r="C12" s="98" t="s">
        <v>191</v>
      </c>
      <c r="D12" s="149" t="n">
        <f aca="false" ca="false" dt2D="false" dtr="false" t="normal">HEX2DEC(D10)</f>
        <v>7</v>
      </c>
      <c r="E12" s="149" t="n">
        <f aca="false" ca="false" dt2D="false" dtr="false" t="normal">HEX2DEC(E10)</f>
        <v>178</v>
      </c>
      <c r="F12" s="149" t="n">
        <f aca="false" ca="false" dt2D="false" dtr="false" t="normal">HEX2DEC(F10)</f>
        <v>1</v>
      </c>
      <c r="G12" s="149"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187</v>
      </c>
      <c r="N12" s="63" t="n"/>
      <c r="P12" s="136" t="n">
        <f aca="false" ca="false" dt2D="false" dtr="false" t="normal">MID(H6, 7, 1)</f>
        <v>0</v>
      </c>
      <c r="Q12" s="137" t="n">
        <f aca="false" ca="false" dt2D="false" dtr="false" t="normal">P12</f>
        <v>0</v>
      </c>
      <c r="R12" s="120" t="s">
        <v>206</v>
      </c>
      <c r="S12" s="131" t="s">
        <v>196</v>
      </c>
      <c r="T12" s="136" t="n">
        <f aca="false" ca="false" dt2D="false" dtr="false" t="normal">MID(I6, 7, 1)</f>
        <v>0</v>
      </c>
      <c r="U12" s="137" t="n">
        <f aca="false" ca="false" dt2D="false" dtr="false" t="normal">T12</f>
        <v>0</v>
      </c>
      <c r="V12" s="120" t="s">
        <v>206</v>
      </c>
      <c r="W12" s="131" t="s">
        <v>196</v>
      </c>
      <c r="X12" s="136" t="n">
        <f aca="false" ca="false" dt2D="false" dtr="false" t="normal">MID(J6, 7, 1)</f>
        <v>0</v>
      </c>
      <c r="Y12" s="137" t="n">
        <f aca="false" ca="false" dt2D="false" dtr="false" t="normal">X12</f>
        <v>0</v>
      </c>
      <c r="Z12" s="120" t="s">
        <v>206</v>
      </c>
      <c r="AA12" s="131" t="s">
        <v>196</v>
      </c>
      <c r="AB12" s="136" t="n">
        <f aca="false" ca="false" dt2D="false" dtr="false" t="normal">MID(K6, 7, 1)</f>
        <v>0</v>
      </c>
      <c r="AC12" s="137" t="n">
        <f aca="false" ca="false" dt2D="false" dtr="false" t="normal">AB12</f>
        <v>0</v>
      </c>
      <c r="AD12" s="120" t="s">
        <v>206</v>
      </c>
      <c r="AE12" s="131" t="s">
        <v>196</v>
      </c>
      <c r="AF12" s="136" t="n">
        <f aca="false" ca="false" dt2D="false" dtr="false" t="normal">MID(L6, 7, 1)</f>
        <v>0</v>
      </c>
      <c r="AG12" s="137" t="n">
        <f aca="false" ca="false" dt2D="false" dtr="false" t="normal">AF12</f>
        <v>0</v>
      </c>
      <c r="AH12" s="120" t="s">
        <v>206</v>
      </c>
      <c r="AI12" s="131" t="s">
        <v>196</v>
      </c>
      <c r="AJ12" s="10605" t="s"/>
      <c r="AK12" s="10606" t="s"/>
    </row>
    <row hidden="false" ht="15.75" outlineLevel="0" r="13">
      <c r="A13" s="1202" t="s">
        <v>242</v>
      </c>
      <c r="B13" s="92" t="s">
        <v>242</v>
      </c>
      <c r="C13" s="180" t="s">
        <v>194</v>
      </c>
      <c r="D13" s="181" t="n">
        <f aca="false" ca="false" dt2D="false" dtr="false" t="normal">D8</f>
        <v>7</v>
      </c>
      <c r="E13" s="181" t="str">
        <f aca="false" ca="false" dt2D="false" dtr="false" t="normal">E8</f>
        <v>B2</v>
      </c>
      <c r="F13" s="181" t="str">
        <f aca="false" ca="false" dt2D="false" dtr="false" t="normal">F8</f>
        <v>G1</v>
      </c>
      <c r="G13" s="181" t="str">
        <f aca="false" ca="false" dt2D="false" dtr="false" t="normal">G8</f>
        <v>G1</v>
      </c>
      <c r="H13" s="45" t="n"/>
      <c r="I13" s="45" t="n"/>
      <c r="J13" s="45" t="n"/>
      <c r="K13" s="45" t="n"/>
      <c r="L13" s="45" t="n"/>
      <c r="M13" s="45" t="n"/>
      <c r="N13" s="49" t="n"/>
      <c r="P13" s="182" t="n">
        <f aca="false" ca="false" dt2D="false" dtr="false" t="normal">MID(H6, 8, 1)</f>
        <v>0</v>
      </c>
      <c r="Q13" s="183" t="n">
        <f aca="false" ca="false" dt2D="false" dtr="false" t="normal">P13</f>
        <v>0</v>
      </c>
      <c r="R13" s="184" t="s">
        <v>208</v>
      </c>
      <c r="S13" s="185" t="s">
        <v>196</v>
      </c>
      <c r="T13" s="182" t="n">
        <f aca="false" ca="false" dt2D="false" dtr="false" t="normal">MID(I6, 8, 1)</f>
        <v>0</v>
      </c>
      <c r="U13" s="183" t="n">
        <f aca="false" ca="false" dt2D="false" dtr="false" t="normal">T13</f>
        <v>0</v>
      </c>
      <c r="V13" s="184" t="s">
        <v>208</v>
      </c>
      <c r="W13" s="185" t="s">
        <v>196</v>
      </c>
      <c r="X13" s="182" t="n">
        <f aca="false" ca="false" dt2D="false" dtr="false" t="normal">MID(J6, 8, 1)</f>
        <v>0</v>
      </c>
      <c r="Y13" s="183" t="n">
        <f aca="false" ca="false" dt2D="false" dtr="false" t="normal">X13</f>
        <v>0</v>
      </c>
      <c r="Z13" s="184" t="s">
        <v>208</v>
      </c>
      <c r="AA13" s="185" t="s">
        <v>196</v>
      </c>
      <c r="AB13" s="182" t="n">
        <f aca="false" ca="false" dt2D="false" dtr="false" t="normal">MID(K6, 8, 1)</f>
        <v>0</v>
      </c>
      <c r="AC13" s="183" t="n">
        <f aca="false" ca="false" dt2D="false" dtr="false" t="normal">AB13</f>
        <v>0</v>
      </c>
      <c r="AD13" s="184" t="s">
        <v>208</v>
      </c>
      <c r="AE13" s="185" t="s">
        <v>196</v>
      </c>
      <c r="AF13" s="182" t="n">
        <f aca="false" ca="false" dt2D="false" dtr="false" t="normal">MID(L6, 8, 1)</f>
        <v>0</v>
      </c>
      <c r="AG13" s="183" t="n">
        <f aca="false" ca="false" dt2D="false" dtr="false" t="normal">AF13</f>
        <v>0</v>
      </c>
      <c r="AH13" s="184" t="s">
        <v>208</v>
      </c>
      <c r="AI13" s="185" t="s">
        <v>196</v>
      </c>
      <c r="AJ13" s="10607" t="s"/>
      <c r="AK13" s="10608" t="s"/>
    </row>
    <row hidden="false" ht="15.75" outlineLevel="0" r="14">
      <c r="A14" s="1202" t="s">
        <v>4375</v>
      </c>
      <c r="B14" s="92" t="str">
        <f aca="false" ca="false" dt2D="false" dtr="false" t="normal">RIGHT(D101, 1)&amp;E101&amp;F101&amp;G101&amp;H98&amp;I98</f>
        <v>7B2G3G100BD</v>
      </c>
      <c r="C14" s="93" t="n"/>
      <c r="D14" s="7585" t="n"/>
      <c r="E14" s="7585" t="n"/>
      <c r="F14" s="7585" t="n"/>
      <c r="G14" s="7585" t="n"/>
      <c r="H14" s="94" t="n"/>
      <c r="I14" s="94" t="n"/>
      <c r="J14" s="94" t="n"/>
      <c r="K14" s="94" t="n"/>
      <c r="L14" s="94" t="n"/>
      <c r="M14" s="94" t="s">
        <v>161</v>
      </c>
      <c r="N14" s="60" t="n"/>
      <c r="P14" s="95" t="str">
        <f aca="false" ca="false" dt2D="false" dtr="false" t="normal">RIGHT(D16, 1)&amp;E16&amp;"-"&amp;F16&amp;"-"&amp;G16</f>
        <v>7B2-01-02</v>
      </c>
      <c r="Q14" s="10609" t="s"/>
      <c r="R14" s="234" t="s">
        <v>4376</v>
      </c>
      <c r="S14" s="10610" t="s"/>
      <c r="T14" s="10611" t="s"/>
      <c r="U14" s="10612" t="s"/>
      <c r="V14" s="10613" t="s"/>
      <c r="W14" s="10614" t="s"/>
      <c r="X14" s="10615" t="s"/>
      <c r="Y14" s="10616" t="s"/>
      <c r="Z14" s="10617" t="s"/>
      <c r="AA14" s="10618" t="s"/>
      <c r="AB14" s="10619" t="s"/>
      <c r="AC14" s="10620" t="s"/>
      <c r="AD14" s="10621" t="s"/>
      <c r="AE14" s="10622" t="s"/>
      <c r="AF14" s="10623" t="s"/>
      <c r="AG14" s="10624" t="s"/>
      <c r="AH14" s="10625" t="s"/>
      <c r="AI14" s="10626" t="s"/>
      <c r="AJ14" s="10627" t="s"/>
      <c r="AK14" s="10628" t="s"/>
    </row>
    <row hidden="false" ht="15.75" outlineLevel="0" r="15">
      <c r="A15" s="56" t="n"/>
      <c r="B15" s="63" t="n"/>
      <c r="C15" s="98" t="n"/>
      <c r="D15" s="7606" t="s">
        <v>4377</v>
      </c>
      <c r="E15" s="10629" t="s"/>
      <c r="F15" s="10630" t="s"/>
      <c r="G15" s="10631" t="s"/>
      <c r="H15" s="53" t="s">
        <v>165</v>
      </c>
      <c r="I15" s="53" t="s">
        <v>166</v>
      </c>
      <c r="J15" s="53" t="s">
        <v>167</v>
      </c>
      <c r="K15" s="53" t="s">
        <v>168</v>
      </c>
      <c r="L15" s="53" t="s">
        <v>169</v>
      </c>
      <c r="M15" s="53" t="s">
        <v>221</v>
      </c>
      <c r="N15" s="63" t="n"/>
      <c r="P15" s="103" t="s">
        <v>4378</v>
      </c>
      <c r="Q15" s="10632" t="s"/>
      <c r="R15" s="10633" t="s"/>
      <c r="S15" s="10634" t="s"/>
      <c r="T15" s="103" t="s">
        <v>4379</v>
      </c>
      <c r="U15" s="10635" t="s"/>
      <c r="V15" s="10636" t="s"/>
      <c r="W15" s="10637" t="s"/>
      <c r="X15" s="103" t="s">
        <v>4380</v>
      </c>
      <c r="Y15" s="10638" t="s"/>
      <c r="Z15" s="10639" t="s"/>
      <c r="AA15" s="10640" t="s"/>
      <c r="AB15" s="103" t="s">
        <v>4381</v>
      </c>
      <c r="AC15" s="10641" t="s"/>
      <c r="AD15" s="10642" t="s"/>
      <c r="AE15" s="10643" t="s"/>
      <c r="AF15" s="103" t="s">
        <v>4382</v>
      </c>
      <c r="AG15" s="10644" t="s"/>
      <c r="AH15" s="10645" t="s"/>
      <c r="AI15" s="10646" t="s"/>
      <c r="AJ15" s="103" t="s">
        <v>4383</v>
      </c>
      <c r="AK15" s="10647" t="s"/>
    </row>
    <row hidden="false" ht="15.75" outlineLevel="0" r="16">
      <c r="A16" s="56" t="n"/>
      <c r="B16" s="63" t="n"/>
      <c r="C16" s="98" t="s">
        <v>176</v>
      </c>
      <c r="D16" s="122" t="s">
        <v>177</v>
      </c>
      <c r="E16" s="123" t="s">
        <v>167</v>
      </c>
      <c r="F16" s="123" t="s">
        <v>179</v>
      </c>
      <c r="G16" s="124" t="s">
        <v>216</v>
      </c>
      <c r="H16" s="273" t="n">
        <f aca="false" ca="false" dt2D="false" dtr="false" t="normal">MID($A$5, 8, 2)</f>
        <v>0</v>
      </c>
      <c r="I16" s="7626" t="n">
        <f aca="false" ca="false" dt2D="false" dtr="false" t="normal">MID($A$5, 10, 2)</f>
        <v>0</v>
      </c>
      <c r="J16" s="7626" t="n">
        <f aca="false" ca="false" dt2D="false" dtr="false" t="normal">MID($A$5, 12, 2)</f>
        <v>0</v>
      </c>
      <c r="K16" s="7626" t="n">
        <f aca="false" ca="false" dt2D="false" dtr="false" t="normal">MID($A$5, 14, 2)</f>
        <v>0</v>
      </c>
      <c r="L16" s="7627" t="n">
        <f aca="false" ca="false" dt2D="false" dtr="false" t="normal">MID($A$5, 16, 2)</f>
        <v>0</v>
      </c>
      <c r="M16" s="7553" t="str">
        <f aca="false" ca="false" dt2D="false" dtr="false" t="normal">MID($A$5, 18, 2)</f>
        <v>BC</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29" t="s">
        <v>180</v>
      </c>
      <c r="AC16" s="130" t="s">
        <v>181</v>
      </c>
      <c r="AD16" s="121" t="s">
        <v>182</v>
      </c>
      <c r="AE16" s="131" t="n"/>
      <c r="AF16" s="129" t="s">
        <v>180</v>
      </c>
      <c r="AG16" s="130" t="s">
        <v>181</v>
      </c>
      <c r="AH16" s="121" t="s">
        <v>182</v>
      </c>
      <c r="AI16" s="121" t="n"/>
      <c r="AJ16" s="116" t="s">
        <v>183</v>
      </c>
      <c r="AK16" s="10648" t="s"/>
    </row>
    <row customHeight="true" hidden="false" ht="15" outlineLevel="0" r="17">
      <c r="A17" s="56" t="n"/>
      <c r="B17" s="63" t="n"/>
      <c r="C17" s="98" t="s">
        <v>185</v>
      </c>
      <c r="D17" s="149" t="n">
        <f aca="false" ca="false" dt2D="false" dtr="false" t="normal">HEX2BIN(D16, 8)</f>
        <v>111</v>
      </c>
      <c r="E17" s="149" t="n">
        <f aca="false" ca="false" dt2D="false" dtr="false" t="normal">HEX2BIN(E16, 8)</f>
        <v>10110010</v>
      </c>
      <c r="F17" s="149" t="n">
        <f aca="false" ca="false" dt2D="false" dtr="false" t="normal">HEX2BIN(F16, 8)</f>
        <v>1</v>
      </c>
      <c r="G17" s="149"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K17" s="53" t="n">
        <f aca="false" ca="false" dt2D="false" dtr="false" t="normal">HEX2BIN(K16, 8)</f>
        <v>0</v>
      </c>
      <c r="L17" s="53" t="n">
        <f aca="false" ca="false" dt2D="false" dtr="false" t="normal">HEX2BIN(L16, 8)</f>
        <v>0</v>
      </c>
      <c r="M17" s="53" t="n"/>
      <c r="N17" s="63" t="n"/>
      <c r="P17" s="136" t="n">
        <f aca="false" ca="false" dt2D="false" dtr="false" t="normal">MID(H17, 1, 1)</f>
        <v>0</v>
      </c>
      <c r="Q17" s="137" t="n">
        <f aca="false" ca="false" dt2D="false" dtr="false" t="normal">P17</f>
        <v>0</v>
      </c>
      <c r="R17" s="120" t="s">
        <v>186</v>
      </c>
      <c r="S17" s="131" t="s">
        <v>196</v>
      </c>
      <c r="T17" s="136" t="n">
        <f aca="false" ca="false" dt2D="false" dtr="false" t="normal">MID(I17, 1, 1)</f>
        <v>0</v>
      </c>
      <c r="U17" s="137" t="n">
        <f aca="false" ca="false" dt2D="false" dtr="false" t="normal">T17</f>
        <v>0</v>
      </c>
      <c r="V17" s="120" t="s">
        <v>186</v>
      </c>
      <c r="W17" s="131" t="s">
        <v>196</v>
      </c>
      <c r="X17" s="136" t="n">
        <f aca="false" ca="false" dt2D="false" dtr="false" t="normal">MID(J17, 1, 1)</f>
        <v>0</v>
      </c>
      <c r="Y17" s="137" t="n">
        <f aca="false" ca="false" dt2D="false" dtr="false" t="normal">X17</f>
        <v>0</v>
      </c>
      <c r="Z17" s="120" t="s">
        <v>186</v>
      </c>
      <c r="AA17" s="131" t="s">
        <v>196</v>
      </c>
      <c r="AB17" s="136" t="n">
        <f aca="false" ca="false" dt2D="false" dtr="false" t="normal">MID(K17, 1, 1)</f>
        <v>0</v>
      </c>
      <c r="AC17" s="137" t="n">
        <f aca="false" ca="false" dt2D="false" dtr="false" t="normal">AB17</f>
        <v>0</v>
      </c>
      <c r="AD17" s="120" t="s">
        <v>186</v>
      </c>
      <c r="AE17" s="131" t="s">
        <v>196</v>
      </c>
      <c r="AF17" s="136" t="n">
        <f aca="false" ca="false" dt2D="false" dtr="false" t="normal">MID(L17, 1, 1)</f>
        <v>0</v>
      </c>
      <c r="AG17" s="137" t="n">
        <f aca="false" ca="false" dt2D="false" dtr="false" t="normal">AF17</f>
        <v>0</v>
      </c>
      <c r="AH17" s="120" t="s">
        <v>186</v>
      </c>
      <c r="AI17" s="131" t="s">
        <v>196</v>
      </c>
      <c r="AJ17" s="10649" t="s"/>
      <c r="AK17" s="10650" t="s"/>
    </row>
    <row hidden="false" ht="15" outlineLevel="0" r="18">
      <c r="A18" s="56" t="n"/>
      <c r="B18" s="63" t="n"/>
      <c r="C18" s="98" t="s">
        <v>191</v>
      </c>
      <c r="D18" s="149" t="n">
        <f aca="false" ca="false" dt2D="false" dtr="false" t="normal">HEX2DEC(D16)</f>
        <v>7</v>
      </c>
      <c r="E18" s="149" t="n">
        <f aca="false" ca="false" dt2D="false" dtr="false" t="normal">HEX2DEC(E16)</f>
        <v>178</v>
      </c>
      <c r="F18" s="149" t="n">
        <f aca="false" ca="false" dt2D="false" dtr="false" t="normal">HEX2DEC(F16)</f>
        <v>1</v>
      </c>
      <c r="G18" s="149"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HEX2DEC(K16)</f>
        <v>0</v>
      </c>
      <c r="L18" s="53" t="n">
        <f aca="false" ca="false" dt2D="false" dtr="false" t="normal">HEX2DEC(L16)</f>
        <v>0</v>
      </c>
      <c r="M18" s="53" t="n">
        <f aca="false" ca="false" dt2D="false" dtr="false" t="normal">SUM(D18:L18)</f>
        <v>188</v>
      </c>
      <c r="N18" s="63" t="n"/>
      <c r="P18" s="136" t="n">
        <f aca="false" ca="false" dt2D="false" dtr="false" t="normal">MID(H17, 2, 1)</f>
        <v>0</v>
      </c>
      <c r="Q18" s="137" t="n">
        <f aca="false" ca="false" dt2D="false" dtr="false" t="normal">P18</f>
        <v>0</v>
      </c>
      <c r="R18" s="120" t="s">
        <v>192</v>
      </c>
      <c r="S18" s="131" t="s">
        <v>196</v>
      </c>
      <c r="T18" s="136" t="n">
        <f aca="false" ca="false" dt2D="false" dtr="false" t="normal">MID(I17, 2, 1)</f>
        <v>0</v>
      </c>
      <c r="U18" s="137" t="n">
        <f aca="false" ca="false" dt2D="false" dtr="false" t="normal">T18</f>
        <v>0</v>
      </c>
      <c r="V18" s="120" t="s">
        <v>192</v>
      </c>
      <c r="W18" s="131" t="s">
        <v>196</v>
      </c>
      <c r="X18" s="136" t="n">
        <f aca="false" ca="false" dt2D="false" dtr="false" t="normal">MID(J17, 2, 1)</f>
        <v>0</v>
      </c>
      <c r="Y18" s="137" t="n">
        <f aca="false" ca="false" dt2D="false" dtr="false" t="normal">X18</f>
        <v>0</v>
      </c>
      <c r="Z18" s="120" t="s">
        <v>192</v>
      </c>
      <c r="AA18" s="131" t="s">
        <v>196</v>
      </c>
      <c r="AB18" s="136" t="n">
        <f aca="false" ca="false" dt2D="false" dtr="false" t="normal">MID(K17, 2, 1)</f>
        <v>0</v>
      </c>
      <c r="AC18" s="137" t="n">
        <f aca="false" ca="false" dt2D="false" dtr="false" t="normal">AB18</f>
        <v>0</v>
      </c>
      <c r="AD18" s="120" t="s">
        <v>192</v>
      </c>
      <c r="AE18" s="131" t="s">
        <v>196</v>
      </c>
      <c r="AF18" s="136" t="n">
        <f aca="false" ca="false" dt2D="false" dtr="false" t="normal">MID(L17, 2, 1)</f>
        <v>0</v>
      </c>
      <c r="AG18" s="137" t="n">
        <f aca="false" ca="false" dt2D="false" dtr="false" t="normal">AF18</f>
        <v>0</v>
      </c>
      <c r="AH18" s="120" t="s">
        <v>192</v>
      </c>
      <c r="AI18" s="131" t="s">
        <v>196</v>
      </c>
      <c r="AJ18" s="10651" t="s"/>
      <c r="AK18" s="10652" t="s"/>
    </row>
    <row hidden="false" ht="15" outlineLevel="0" r="19">
      <c r="A19" s="56" t="n"/>
      <c r="B19" s="63" t="n"/>
      <c r="C19" s="98" t="s">
        <v>194</v>
      </c>
      <c r="D19" s="149" t="n">
        <f aca="false" ca="false" dt2D="false" dtr="false" t="normal">D16</f>
        <v>7</v>
      </c>
      <c r="E19" s="149" t="str">
        <f aca="false" ca="false" dt2D="false" dtr="false" t="normal">E16</f>
        <v>B2</v>
      </c>
      <c r="F19" s="149" t="str">
        <f aca="false" ca="false" dt2D="false" dtr="false" t="normal">MID($A$5, 4, 2)</f>
        <v>G1</v>
      </c>
      <c r="G19" s="149" t="str">
        <f aca="false" ca="false" dt2D="false" dtr="false" t="normal">MID($A$5, 6, 2)</f>
        <v>G2</v>
      </c>
      <c r="N19" s="63" t="n"/>
      <c r="P19" s="136" t="n">
        <f aca="false" ca="false" dt2D="false" dtr="false" t="normal">MID(H17, 3, 1)</f>
        <v>0</v>
      </c>
      <c r="Q19" s="137" t="n">
        <f aca="false" ca="false" dt2D="false" dtr="false" t="normal">P19</f>
        <v>0</v>
      </c>
      <c r="R19" s="120" t="s">
        <v>195</v>
      </c>
      <c r="S19" s="131" t="s">
        <v>196</v>
      </c>
      <c r="T19" s="136" t="n">
        <f aca="false" ca="false" dt2D="false" dtr="false" t="normal">MID(I17, 3, 1)</f>
        <v>0</v>
      </c>
      <c r="U19" s="137" t="n">
        <f aca="false" ca="false" dt2D="false" dtr="false" t="normal">T19</f>
        <v>0</v>
      </c>
      <c r="V19" s="120" t="s">
        <v>195</v>
      </c>
      <c r="W19" s="131" t="s">
        <v>196</v>
      </c>
      <c r="X19" s="136" t="n">
        <f aca="false" ca="false" dt2D="false" dtr="false" t="normal">MID(J17, 3, 1)</f>
        <v>0</v>
      </c>
      <c r="Y19" s="137" t="n">
        <f aca="false" ca="false" dt2D="false" dtr="false" t="normal">X19</f>
        <v>0</v>
      </c>
      <c r="Z19" s="120" t="s">
        <v>195</v>
      </c>
      <c r="AA19" s="131" t="s">
        <v>196</v>
      </c>
      <c r="AB19" s="136" t="n">
        <f aca="false" ca="false" dt2D="false" dtr="false" t="normal">MID(K17, 3, 1)</f>
        <v>0</v>
      </c>
      <c r="AC19" s="137" t="n">
        <f aca="false" ca="false" dt2D="false" dtr="false" t="normal">AB19</f>
        <v>0</v>
      </c>
      <c r="AD19" s="120" t="s">
        <v>195</v>
      </c>
      <c r="AE19" s="131" t="s">
        <v>196</v>
      </c>
      <c r="AF19" s="136" t="n">
        <f aca="false" ca="false" dt2D="false" dtr="false" t="normal">MID(L17, 3, 1)</f>
        <v>0</v>
      </c>
      <c r="AG19" s="137" t="n">
        <f aca="false" ca="false" dt2D="false" dtr="false" t="normal">AF19</f>
        <v>0</v>
      </c>
      <c r="AH19" s="120" t="s">
        <v>195</v>
      </c>
      <c r="AI19" s="131" t="s">
        <v>196</v>
      </c>
      <c r="AJ19" s="10653" t="s"/>
      <c r="AK19" s="10654" t="s"/>
    </row>
    <row hidden="false" ht="15.75" outlineLevel="0" r="20">
      <c r="A20" s="56" t="n"/>
      <c r="B20" s="63" t="n"/>
      <c r="C20" s="98" t="n"/>
      <c r="N20" s="63" t="n"/>
      <c r="P20" s="136" t="n">
        <f aca="false" ca="false" dt2D="false" dtr="false" t="normal">MID(H17, 4, 1)</f>
        <v>0</v>
      </c>
      <c r="Q20" s="137" t="n">
        <f aca="false" ca="false" dt2D="false" dtr="false" t="normal">P20</f>
        <v>0</v>
      </c>
      <c r="R20" s="120" t="s">
        <v>197</v>
      </c>
      <c r="S20" s="131" t="s">
        <v>196</v>
      </c>
      <c r="T20" s="136" t="n">
        <f aca="false" ca="false" dt2D="false" dtr="false" t="normal">MID(I17, 4, 1)</f>
        <v>0</v>
      </c>
      <c r="U20" s="137" t="n">
        <f aca="false" ca="false" dt2D="false" dtr="false" t="normal">T20</f>
        <v>0</v>
      </c>
      <c r="V20" s="120" t="s">
        <v>197</v>
      </c>
      <c r="W20" s="131" t="s">
        <v>196</v>
      </c>
      <c r="X20" s="136" t="n">
        <f aca="false" ca="false" dt2D="false" dtr="false" t="normal">MID(J17, 4, 1)</f>
        <v>0</v>
      </c>
      <c r="Y20" s="137" t="n">
        <f aca="false" ca="false" dt2D="false" dtr="false" t="normal">X20</f>
        <v>0</v>
      </c>
      <c r="Z20" s="120" t="s">
        <v>197</v>
      </c>
      <c r="AA20" s="131" t="s">
        <v>196</v>
      </c>
      <c r="AB20" s="136" t="n">
        <f aca="false" ca="false" dt2D="false" dtr="false" t="normal">MID(K17, 4, 1)</f>
        <v>0</v>
      </c>
      <c r="AC20" s="137" t="n">
        <f aca="false" ca="false" dt2D="false" dtr="false" t="normal">AB20</f>
        <v>0</v>
      </c>
      <c r="AD20" s="120" t="s">
        <v>197</v>
      </c>
      <c r="AE20" s="131" t="s">
        <v>196</v>
      </c>
      <c r="AF20" s="136" t="n">
        <f aca="false" ca="false" dt2D="false" dtr="false" t="normal">MID(L17, 4, 1)</f>
        <v>0</v>
      </c>
      <c r="AG20" s="137" t="n">
        <f aca="false" ca="false" dt2D="false" dtr="false" t="normal">AF20</f>
        <v>0</v>
      </c>
      <c r="AH20" s="120" t="s">
        <v>197</v>
      </c>
      <c r="AI20" s="131" t="s">
        <v>196</v>
      </c>
      <c r="AJ20" s="10655" t="s"/>
      <c r="AK20" s="10656" t="s"/>
    </row>
    <row hidden="false" ht="15.75" outlineLevel="0" r="21">
      <c r="A21" s="56" t="n"/>
      <c r="B21" s="63" t="n"/>
      <c r="C21" s="98" t="s">
        <v>176</v>
      </c>
      <c r="D21" s="122" t="n">
        <f aca="false" ca="false" dt2D="false" dtr="false" t="normal">D16</f>
        <v>7</v>
      </c>
      <c r="E21" s="123" t="str">
        <f aca="false" ca="false" dt2D="false" dtr="false" t="normal">E16</f>
        <v>B2</v>
      </c>
      <c r="F21" s="123" t="n">
        <f aca="false" ca="false" dt2D="false" dtr="false" t="normal">F16</f>
        <v>1</v>
      </c>
      <c r="G21" s="124"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165" t="n">
        <f aca="false" ca="false" dt2D="false" dtr="false" t="normal">BIN2HEX(K22, 2)</f>
        <v>0</v>
      </c>
      <c r="L21" s="288" t="n">
        <f aca="false" ca="false" dt2D="false" dtr="false" t="normal">BIN2HEX(L22, 2)</f>
        <v>0</v>
      </c>
      <c r="M21" s="166" t="str">
        <f aca="false" ca="false" dt2D="false" dtr="false" t="normal">IF(LEN(M22)&gt;2, MID(M22, 2, 2), M22)</f>
        <v>BC</v>
      </c>
      <c r="N21" s="63" t="s">
        <v>181</v>
      </c>
      <c r="P21" s="136" t="n">
        <f aca="false" ca="false" dt2D="false" dtr="false" t="normal">MID(H17, 5, 1)</f>
        <v>0</v>
      </c>
      <c r="Q21" s="137" t="n">
        <f aca="false" ca="false" dt2D="false" dtr="false" t="normal">P21</f>
        <v>0</v>
      </c>
      <c r="R21" s="120" t="s">
        <v>200</v>
      </c>
      <c r="S21" s="131" t="s">
        <v>196</v>
      </c>
      <c r="T21" s="136" t="n">
        <f aca="false" ca="false" dt2D="false" dtr="false" t="normal">MID(I17, 5, 1)</f>
        <v>0</v>
      </c>
      <c r="U21" s="137" t="n">
        <f aca="false" ca="false" dt2D="false" dtr="false" t="normal">T21</f>
        <v>0</v>
      </c>
      <c r="V21" s="120" t="s">
        <v>200</v>
      </c>
      <c r="W21" s="131" t="s">
        <v>196</v>
      </c>
      <c r="X21" s="136" t="n">
        <f aca="false" ca="false" dt2D="false" dtr="false" t="normal">MID(J17, 5, 1)</f>
        <v>0</v>
      </c>
      <c r="Y21" s="137" t="n">
        <f aca="false" ca="false" dt2D="false" dtr="false" t="normal">X21</f>
        <v>0</v>
      </c>
      <c r="Z21" s="120" t="s">
        <v>200</v>
      </c>
      <c r="AA21" s="131" t="s">
        <v>196</v>
      </c>
      <c r="AB21" s="136" t="n">
        <f aca="false" ca="false" dt2D="false" dtr="false" t="normal">MID(K17, 5, 1)</f>
        <v>0</v>
      </c>
      <c r="AC21" s="137" t="n">
        <f aca="false" ca="false" dt2D="false" dtr="false" t="normal">AB21</f>
        <v>0</v>
      </c>
      <c r="AD21" s="120" t="s">
        <v>200</v>
      </c>
      <c r="AE21" s="131" t="s">
        <v>196</v>
      </c>
      <c r="AF21" s="136" t="n">
        <f aca="false" ca="false" dt2D="false" dtr="false" t="normal">MID(L17, 5, 1)</f>
        <v>0</v>
      </c>
      <c r="AG21" s="137" t="n">
        <f aca="false" ca="false" dt2D="false" dtr="false" t="normal">AF21</f>
        <v>0</v>
      </c>
      <c r="AH21" s="120" t="s">
        <v>200</v>
      </c>
      <c r="AI21" s="131" t="s">
        <v>196</v>
      </c>
      <c r="AJ21" s="10657" t="s"/>
      <c r="AK21" s="10658" t="s"/>
    </row>
    <row hidden="false" ht="15" outlineLevel="0" r="22">
      <c r="A22" s="56" t="n"/>
      <c r="B22" s="63" t="n"/>
      <c r="C22" s="98" t="s">
        <v>185</v>
      </c>
      <c r="D22" s="149" t="n">
        <f aca="false" ca="false" dt2D="false" dtr="false" t="normal">HEX2BIN(D21, 8)</f>
        <v>111</v>
      </c>
      <c r="E22" s="149" t="n">
        <f aca="false" ca="false" dt2D="false" dtr="false" t="normal">HEX2BIN(E21, 8)</f>
        <v>10110010</v>
      </c>
      <c r="F22" s="149" t="n">
        <f aca="false" ca="false" dt2D="false" dtr="false" t="normal">HEX2BIN(F21, 8)</f>
        <v>1</v>
      </c>
      <c r="G22" s="149" t="n">
        <f aca="false" ca="false" dt2D="false" dtr="false" t="normal">HEX2BIN(G21, 8)</f>
        <v>10</v>
      </c>
      <c r="H22" s="53" t="n">
        <f aca="false" ca="false" dt2D="false" dtr="false" t="normal">Q17&amp;Q18&amp;Q19&amp;Q20&amp;Q21&amp;Q22&amp;Q23&amp;Q24</f>
        <v>0</v>
      </c>
      <c r="I22" s="53" t="n">
        <f aca="false" ca="false" dt2D="false" dtr="false" t="normal">U17&amp;U18&amp;U19&amp;U20&amp;U21&amp;U22&amp;U23&amp;U24</f>
        <v>0</v>
      </c>
      <c r="J22" s="53" t="n">
        <f aca="false" ca="false" dt2D="false" dtr="false" t="normal">Y17&amp;Y18&amp;Y19&amp;Y20&amp;Y21&amp;Y22&amp;Y23&amp;Y24</f>
        <v>0</v>
      </c>
      <c r="K22" s="53" t="n">
        <f aca="false" ca="false" dt2D="false" dtr="false" t="normal">AC17&amp;AC18&amp;AC19&amp;AC20&amp;AC21&amp;AC22&amp;AC23&amp;AC24</f>
        <v>0</v>
      </c>
      <c r="L22" s="53" t="n">
        <f aca="false" ca="false" dt2D="false" dtr="false" t="normal">AG17&amp;AG18&amp;AG19&amp;AG20&amp;AG21&amp;AG22&amp;AG23&amp;AG24</f>
        <v>0</v>
      </c>
      <c r="M22" s="53" t="str">
        <f aca="false" ca="false" dt2D="false" dtr="false" t="normal">DEC2HEX(M23)</f>
        <v>BC</v>
      </c>
      <c r="N22" s="63" t="n"/>
      <c r="P22" s="136" t="n">
        <f aca="false" ca="false" dt2D="false" dtr="false" t="normal">MID(H17, 6, 1)</f>
        <v>0</v>
      </c>
      <c r="Q22" s="137" t="n">
        <f aca="false" ca="false" dt2D="false" dtr="false" t="normal">P22</f>
        <v>0</v>
      </c>
      <c r="R22" s="120" t="s">
        <v>203</v>
      </c>
      <c r="S22" s="131" t="s">
        <v>196</v>
      </c>
      <c r="T22" s="136" t="n">
        <f aca="false" ca="false" dt2D="false" dtr="false" t="normal">MID(I17, 6, 1)</f>
        <v>0</v>
      </c>
      <c r="U22" s="137" t="n">
        <f aca="false" ca="false" dt2D="false" dtr="false" t="normal">T22</f>
        <v>0</v>
      </c>
      <c r="V22" s="120" t="s">
        <v>203</v>
      </c>
      <c r="W22" s="131" t="s">
        <v>196</v>
      </c>
      <c r="X22" s="136" t="n">
        <f aca="false" ca="false" dt2D="false" dtr="false" t="normal">MID(J17, 6, 1)</f>
        <v>0</v>
      </c>
      <c r="Y22" s="137" t="n">
        <f aca="false" ca="false" dt2D="false" dtr="false" t="normal">X22</f>
        <v>0</v>
      </c>
      <c r="Z22" s="120" t="s">
        <v>203</v>
      </c>
      <c r="AA22" s="131" t="s">
        <v>196</v>
      </c>
      <c r="AB22" s="136" t="n">
        <f aca="false" ca="false" dt2D="false" dtr="false" t="normal">MID(K17, 6, 1)</f>
        <v>0</v>
      </c>
      <c r="AC22" s="137" t="n">
        <f aca="false" ca="false" dt2D="false" dtr="false" t="normal">AB22</f>
        <v>0</v>
      </c>
      <c r="AD22" s="120" t="s">
        <v>203</v>
      </c>
      <c r="AE22" s="131" t="s">
        <v>196</v>
      </c>
      <c r="AF22" s="136" t="n">
        <f aca="false" ca="false" dt2D="false" dtr="false" t="normal">MID(L17, 6, 1)</f>
        <v>0</v>
      </c>
      <c r="AG22" s="137" t="n">
        <f aca="false" ca="false" dt2D="false" dtr="false" t="normal">AF22</f>
        <v>0</v>
      </c>
      <c r="AH22" s="120" t="s">
        <v>203</v>
      </c>
      <c r="AI22" s="131" t="s">
        <v>196</v>
      </c>
      <c r="AJ22" s="10659" t="s"/>
      <c r="AK22" s="10660" t="s"/>
    </row>
    <row hidden="false" ht="15" outlineLevel="0" r="23">
      <c r="A23" s="56" t="n"/>
      <c r="B23" s="63" t="n"/>
      <c r="C23" s="98" t="s">
        <v>191</v>
      </c>
      <c r="D23" s="149" t="n">
        <f aca="false" ca="false" dt2D="false" dtr="false" t="normal">HEX2DEC(D21)</f>
        <v>7</v>
      </c>
      <c r="E23" s="149" t="n">
        <f aca="false" ca="false" dt2D="false" dtr="false" t="normal">HEX2DEC(E21)</f>
        <v>178</v>
      </c>
      <c r="F23" s="149" t="n">
        <f aca="false" ca="false" dt2D="false" dtr="false" t="normal">HEX2DEC(F21)</f>
        <v>1</v>
      </c>
      <c r="G23" s="149"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HEX2DEC(K21)</f>
        <v>0</v>
      </c>
      <c r="L23" s="53" t="n">
        <f aca="false" ca="false" dt2D="false" dtr="false" t="normal">HEX2DEC(L21)</f>
        <v>0</v>
      </c>
      <c r="M23" s="53" t="n">
        <f aca="false" ca="false" dt2D="false" dtr="false" t="normal">SUM(D23:L23)</f>
        <v>188</v>
      </c>
      <c r="N23" s="63" t="n"/>
      <c r="P23" s="136" t="n">
        <f aca="false" ca="false" dt2D="false" dtr="false" t="normal">MID(H17, 7, 1)</f>
        <v>0</v>
      </c>
      <c r="Q23" s="137" t="n">
        <f aca="false" ca="false" dt2D="false" dtr="false" t="normal">P23</f>
        <v>0</v>
      </c>
      <c r="R23" s="120" t="s">
        <v>206</v>
      </c>
      <c r="S23" s="131" t="s">
        <v>196</v>
      </c>
      <c r="T23" s="136" t="n">
        <f aca="false" ca="false" dt2D="false" dtr="false" t="normal">MID(I17, 7, 1)</f>
        <v>0</v>
      </c>
      <c r="U23" s="137" t="n">
        <f aca="false" ca="false" dt2D="false" dtr="false" t="normal">T23</f>
        <v>0</v>
      </c>
      <c r="V23" s="120" t="s">
        <v>206</v>
      </c>
      <c r="W23" s="131" t="s">
        <v>196</v>
      </c>
      <c r="X23" s="136" t="n">
        <f aca="false" ca="false" dt2D="false" dtr="false" t="normal">MID(J17, 7, 1)</f>
        <v>0</v>
      </c>
      <c r="Y23" s="137" t="n">
        <f aca="false" ca="false" dt2D="false" dtr="false" t="normal">X23</f>
        <v>0</v>
      </c>
      <c r="Z23" s="120" t="s">
        <v>206</v>
      </c>
      <c r="AA23" s="131" t="s">
        <v>196</v>
      </c>
      <c r="AB23" s="136" t="n">
        <f aca="false" ca="false" dt2D="false" dtr="false" t="normal">MID(K17, 7, 1)</f>
        <v>0</v>
      </c>
      <c r="AC23" s="137" t="n">
        <f aca="false" ca="false" dt2D="false" dtr="false" t="normal">AB23</f>
        <v>0</v>
      </c>
      <c r="AD23" s="120" t="s">
        <v>206</v>
      </c>
      <c r="AE23" s="131" t="s">
        <v>196</v>
      </c>
      <c r="AF23" s="136" t="n">
        <f aca="false" ca="false" dt2D="false" dtr="false" t="normal">MID(L17, 7, 1)</f>
        <v>0</v>
      </c>
      <c r="AG23" s="137" t="n">
        <f aca="false" ca="false" dt2D="false" dtr="false" t="normal">AF23</f>
        <v>0</v>
      </c>
      <c r="AH23" s="120" t="s">
        <v>206</v>
      </c>
      <c r="AI23" s="131" t="s">
        <v>196</v>
      </c>
      <c r="AJ23" s="10661" t="s"/>
      <c r="AK23" s="10662" t="s"/>
    </row>
    <row hidden="false" ht="15.75" outlineLevel="0" r="24">
      <c r="A24" s="56" t="n"/>
      <c r="B24" s="63" t="n"/>
      <c r="C24" s="180" t="s">
        <v>194</v>
      </c>
      <c r="D24" s="181" t="n">
        <f aca="false" ca="false" dt2D="false" dtr="false" t="normal">D19</f>
        <v>7</v>
      </c>
      <c r="E24" s="181" t="str">
        <f aca="false" ca="false" dt2D="false" dtr="false" t="normal">E19</f>
        <v>B2</v>
      </c>
      <c r="F24" s="181" t="str">
        <f aca="false" ca="false" dt2D="false" dtr="false" t="normal">F19</f>
        <v>G1</v>
      </c>
      <c r="G24" s="181" t="str">
        <f aca="false" ca="false" dt2D="false" dtr="false" t="normal">G19</f>
        <v>G2</v>
      </c>
      <c r="H24" s="45" t="n"/>
      <c r="I24" s="45" t="n"/>
      <c r="J24" s="45" t="n"/>
      <c r="K24" s="45" t="n"/>
      <c r="L24" s="45" t="n"/>
      <c r="M24" s="45" t="n"/>
      <c r="N24" s="49" t="n"/>
      <c r="P24" s="182" t="n">
        <f aca="false" ca="false" dt2D="false" dtr="false" t="normal">MID(H17, 8, 1)</f>
        <v>0</v>
      </c>
      <c r="Q24" s="183" t="n">
        <f aca="false" ca="false" dt2D="false" dtr="false" t="normal">P24</f>
        <v>0</v>
      </c>
      <c r="R24" s="184" t="s">
        <v>208</v>
      </c>
      <c r="S24" s="185" t="s">
        <v>196</v>
      </c>
      <c r="T24" s="182" t="n">
        <f aca="false" ca="false" dt2D="false" dtr="false" t="normal">MID(I17, 8, 1)</f>
        <v>0</v>
      </c>
      <c r="U24" s="183" t="n">
        <f aca="false" ca="false" dt2D="false" dtr="false" t="normal">T24</f>
        <v>0</v>
      </c>
      <c r="V24" s="184" t="s">
        <v>208</v>
      </c>
      <c r="W24" s="185" t="s">
        <v>196</v>
      </c>
      <c r="X24" s="182" t="n">
        <f aca="false" ca="false" dt2D="false" dtr="false" t="normal">MID(J17, 8, 1)</f>
        <v>0</v>
      </c>
      <c r="Y24" s="183" t="n">
        <f aca="false" ca="false" dt2D="false" dtr="false" t="normal">X24</f>
        <v>0</v>
      </c>
      <c r="Z24" s="184" t="s">
        <v>208</v>
      </c>
      <c r="AA24" s="185" t="s">
        <v>196</v>
      </c>
      <c r="AB24" s="182" t="n">
        <f aca="false" ca="false" dt2D="false" dtr="false" t="normal">MID(K17, 8, 1)</f>
        <v>0</v>
      </c>
      <c r="AC24" s="183" t="n">
        <f aca="false" ca="false" dt2D="false" dtr="false" t="normal">AB24</f>
        <v>0</v>
      </c>
      <c r="AD24" s="184" t="s">
        <v>208</v>
      </c>
      <c r="AE24" s="185" t="s">
        <v>196</v>
      </c>
      <c r="AF24" s="182" t="n">
        <f aca="false" ca="false" dt2D="false" dtr="false" t="normal">MID(L17, 8, 1)</f>
        <v>0</v>
      </c>
      <c r="AG24" s="183" t="n">
        <f aca="false" ca="false" dt2D="false" dtr="false" t="normal">AF24</f>
        <v>0</v>
      </c>
      <c r="AH24" s="184" t="s">
        <v>208</v>
      </c>
      <c r="AI24" s="185" t="s">
        <v>196</v>
      </c>
      <c r="AJ24" s="10663" t="s"/>
      <c r="AK24" s="10664" t="s"/>
    </row>
    <row hidden="false" ht="15.75" outlineLevel="0" r="25">
      <c r="A25" s="56" t="n"/>
      <c r="B25" s="63" t="n"/>
      <c r="C25" s="93" t="n"/>
      <c r="D25" s="7585" t="n"/>
      <c r="E25" s="7585" t="n"/>
      <c r="F25" s="7585" t="n"/>
      <c r="G25" s="7585" t="n"/>
      <c r="H25" s="94" t="n"/>
      <c r="I25" s="94" t="n"/>
      <c r="J25" s="94" t="n"/>
      <c r="K25" s="94" t="n"/>
      <c r="L25" s="94" t="n"/>
      <c r="M25" s="94" t="s">
        <v>161</v>
      </c>
      <c r="N25" s="60" t="n"/>
      <c r="P25" s="95" t="str">
        <f aca="false" ca="false" dt2D="false" dtr="false" t="normal">RIGHT(D27, 1)&amp;E27&amp;"-"&amp;F27&amp;"-"&amp;G27</f>
        <v>7B2-01-03</v>
      </c>
      <c r="Q25" s="10665" t="s"/>
      <c r="R25" s="234" t="s">
        <v>4384</v>
      </c>
      <c r="S25" s="10666" t="s"/>
      <c r="T25" s="10667" t="s"/>
      <c r="U25" s="10668" t="s"/>
      <c r="V25" s="10669" t="s"/>
      <c r="W25" s="10670" t="s"/>
      <c r="X25" s="10671" t="s"/>
      <c r="Y25" s="10672" t="s"/>
      <c r="Z25" s="10673" t="s"/>
      <c r="AA25" s="10674" t="s"/>
      <c r="AB25" s="10675" t="s"/>
      <c r="AC25" s="10676" t="s"/>
      <c r="AD25" s="10677" t="s"/>
      <c r="AE25" s="10678" t="s"/>
      <c r="AF25" s="10679" t="s"/>
      <c r="AG25" s="10680" t="s"/>
      <c r="AH25" s="10681" t="s"/>
      <c r="AI25" s="10682" t="s"/>
      <c r="AJ25" s="10683" t="s"/>
      <c r="AK25" s="10684" t="s"/>
    </row>
    <row hidden="false" ht="15.75" outlineLevel="0" r="26">
      <c r="A26" s="56" t="n"/>
      <c r="B26" s="63" t="n"/>
      <c r="C26" s="98" t="n"/>
      <c r="D26" s="7606" t="s">
        <v>4385</v>
      </c>
      <c r="E26" s="10685" t="s"/>
      <c r="F26" s="10686" t="s"/>
      <c r="G26" s="10687" t="s"/>
      <c r="H26" s="53" t="s">
        <v>165</v>
      </c>
      <c r="I26" s="53" t="s">
        <v>166</v>
      </c>
      <c r="J26" s="53" t="s">
        <v>167</v>
      </c>
      <c r="K26" s="53" t="s">
        <v>168</v>
      </c>
      <c r="L26" s="53" t="s">
        <v>169</v>
      </c>
      <c r="M26" s="53" t="s">
        <v>221</v>
      </c>
      <c r="N26" s="63" t="n"/>
      <c r="P26" s="103" t="s">
        <v>4386</v>
      </c>
      <c r="Q26" s="10688" t="s"/>
      <c r="R26" s="10689" t="s"/>
      <c r="S26" s="10690" t="s"/>
      <c r="T26" s="103" t="s">
        <v>4387</v>
      </c>
      <c r="U26" s="10691" t="s"/>
      <c r="V26" s="10692" t="s"/>
      <c r="W26" s="10693" t="s"/>
      <c r="X26" s="103" t="s">
        <v>4388</v>
      </c>
      <c r="Y26" s="10694" t="s"/>
      <c r="Z26" s="10695" t="s"/>
      <c r="AA26" s="10696" t="s"/>
      <c r="AB26" s="103" t="s">
        <v>4389</v>
      </c>
      <c r="AC26" s="10697" t="s"/>
      <c r="AD26" s="10698" t="s"/>
      <c r="AE26" s="10699" t="s"/>
      <c r="AF26" s="103" t="s">
        <v>4390</v>
      </c>
      <c r="AG26" s="10700" t="s"/>
      <c r="AH26" s="10701" t="s"/>
      <c r="AI26" s="10702" t="s"/>
      <c r="AJ26" s="103" t="s">
        <v>4391</v>
      </c>
      <c r="AK26" s="10703" t="s"/>
    </row>
    <row hidden="false" ht="15.75" outlineLevel="0" r="27">
      <c r="A27" s="56" t="n"/>
      <c r="B27" s="63" t="n"/>
      <c r="C27" s="98" t="s">
        <v>176</v>
      </c>
      <c r="D27" s="122" t="s">
        <v>177</v>
      </c>
      <c r="E27" s="123" t="s">
        <v>167</v>
      </c>
      <c r="F27" s="123" t="s">
        <v>179</v>
      </c>
      <c r="G27" s="124" t="s">
        <v>307</v>
      </c>
      <c r="H27" s="273" t="n">
        <f aca="false" ca="false" dt2D="false" dtr="false" t="normal">MID($A$6, 8, 2)</f>
        <v>0</v>
      </c>
      <c r="I27" s="7626" t="n">
        <f aca="false" ca="false" dt2D="false" dtr="false" t="normal">MID($A$6, 10, 2)</f>
        <v>0</v>
      </c>
      <c r="J27" s="7626" t="n">
        <f aca="false" ca="false" dt2D="false" dtr="false" t="normal">MID($A$6, 12, 2)</f>
        <v>0</v>
      </c>
      <c r="K27" s="7626" t="n">
        <f aca="false" ca="false" dt2D="false" dtr="false" t="normal">MID($A$6, 14, 2)</f>
        <v>0</v>
      </c>
      <c r="L27" s="7627" t="n">
        <f aca="false" ca="false" dt2D="false" dtr="false" t="normal">MID($A$6, 16, 2)</f>
        <v>0</v>
      </c>
      <c r="M27" s="7553" t="str">
        <f aca="false" ca="false" dt2D="false" dtr="false" t="normal">MID($A$6, 18, 2)</f>
        <v>BD</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29" t="s">
        <v>180</v>
      </c>
      <c r="AC27" s="130" t="s">
        <v>181</v>
      </c>
      <c r="AD27" s="121" t="s">
        <v>182</v>
      </c>
      <c r="AE27" s="131" t="n"/>
      <c r="AF27" s="129" t="s">
        <v>180</v>
      </c>
      <c r="AG27" s="130" t="s">
        <v>181</v>
      </c>
      <c r="AH27" s="121" t="s">
        <v>182</v>
      </c>
      <c r="AI27" s="121" t="n"/>
      <c r="AJ27" s="116" t="s">
        <v>183</v>
      </c>
      <c r="AK27" s="10704" t="s"/>
    </row>
    <row hidden="false" ht="15" outlineLevel="0" r="28">
      <c r="A28" s="56" t="n"/>
      <c r="B28" s="63" t="n"/>
      <c r="C28" s="98" t="s">
        <v>185</v>
      </c>
      <c r="D28" s="149" t="n">
        <f aca="false" ca="false" dt2D="false" dtr="false" t="normal">HEX2BIN(D27, 8)</f>
        <v>111</v>
      </c>
      <c r="E28" s="149" t="n">
        <f aca="false" ca="false" dt2D="false" dtr="false" t="normal">HEX2BIN(E27, 8)</f>
        <v>10110010</v>
      </c>
      <c r="F28" s="149" t="n">
        <f aca="false" ca="false" dt2D="false" dtr="false" t="normal">HEX2BIN(F27, 8)</f>
        <v>1</v>
      </c>
      <c r="G28" s="149" t="n">
        <f aca="false" ca="false" dt2D="false" dtr="false" t="normal">HEX2BIN(G27, 8)</f>
        <v>11</v>
      </c>
      <c r="H28" s="53" t="n">
        <f aca="false" ca="false" dt2D="false" dtr="false" t="normal">HEX2BIN(H27, 8)</f>
        <v>0</v>
      </c>
      <c r="I28" s="53" t="n">
        <f aca="false" ca="false" dt2D="false" dtr="false" t="normal">HEX2BIN(I27, 8)</f>
        <v>0</v>
      </c>
      <c r="J28" s="53" t="n">
        <f aca="false" ca="false" dt2D="false" dtr="false" t="normal">HEX2BIN(J27, 8)</f>
        <v>0</v>
      </c>
      <c r="K28" s="53" t="n">
        <f aca="false" ca="false" dt2D="false" dtr="false" t="normal">HEX2BIN(K27, 8)</f>
        <v>0</v>
      </c>
      <c r="L28" s="53" t="n">
        <f aca="false" ca="false" dt2D="false" dtr="false" t="normal">HEX2BIN(L27, 8)</f>
        <v>0</v>
      </c>
      <c r="M28" s="53" t="n"/>
      <c r="N28" s="63" t="n"/>
      <c r="P28" s="136" t="n">
        <f aca="false" ca="false" dt2D="false" dtr="false" t="normal">MID(H28, 1, 1)</f>
        <v>0</v>
      </c>
      <c r="Q28" s="137" t="n">
        <f aca="false" ca="false" dt2D="false" dtr="false" t="normal">P28</f>
        <v>0</v>
      </c>
      <c r="R28" s="120" t="s">
        <v>186</v>
      </c>
      <c r="S28" s="131" t="s">
        <v>196</v>
      </c>
      <c r="T28" s="136" t="n">
        <f aca="false" ca="false" dt2D="false" dtr="false" t="normal">MID(I28, 1, 1)</f>
        <v>0</v>
      </c>
      <c r="U28" s="137" t="n">
        <f aca="false" ca="false" dt2D="false" dtr="false" t="normal">T28</f>
        <v>0</v>
      </c>
      <c r="V28" s="120" t="s">
        <v>186</v>
      </c>
      <c r="W28" s="131" t="s">
        <v>196</v>
      </c>
      <c r="X28" s="136" t="n">
        <f aca="false" ca="false" dt2D="false" dtr="false" t="normal">MID(J28, 1, 1)</f>
        <v>0</v>
      </c>
      <c r="Y28" s="137" t="n">
        <f aca="false" ca="false" dt2D="false" dtr="false" t="normal">X28</f>
        <v>0</v>
      </c>
      <c r="Z28" s="120" t="s">
        <v>186</v>
      </c>
      <c r="AA28" s="131" t="s">
        <v>196</v>
      </c>
      <c r="AB28" s="136" t="n">
        <f aca="false" ca="false" dt2D="false" dtr="false" t="normal">MID(K28, 1, 1)</f>
        <v>0</v>
      </c>
      <c r="AC28" s="137" t="n">
        <f aca="false" ca="false" dt2D="false" dtr="false" t="normal">AB28</f>
        <v>0</v>
      </c>
      <c r="AD28" s="120" t="s">
        <v>186</v>
      </c>
      <c r="AE28" s="131" t="s">
        <v>196</v>
      </c>
      <c r="AF28" s="136" t="n">
        <f aca="false" ca="false" dt2D="false" dtr="false" t="normal">MID(L28, 1, 1)</f>
        <v>0</v>
      </c>
      <c r="AG28" s="137" t="n">
        <f aca="false" ca="false" dt2D="false" dtr="false" t="normal">AF28</f>
        <v>0</v>
      </c>
      <c r="AH28" s="120" t="s">
        <v>186</v>
      </c>
      <c r="AI28" s="131" t="s">
        <v>196</v>
      </c>
      <c r="AJ28" s="10705" t="s"/>
      <c r="AK28" s="10706" t="s"/>
    </row>
    <row hidden="false" ht="15" outlineLevel="0" r="29">
      <c r="A29" s="56" t="n"/>
      <c r="B29" s="63" t="n"/>
      <c r="C29" s="98" t="s">
        <v>191</v>
      </c>
      <c r="D29" s="149" t="n">
        <f aca="false" ca="false" dt2D="false" dtr="false" t="normal">HEX2DEC(D27)</f>
        <v>7</v>
      </c>
      <c r="E29" s="149" t="n">
        <f aca="false" ca="false" dt2D="false" dtr="false" t="normal">HEX2DEC(E27)</f>
        <v>178</v>
      </c>
      <c r="F29" s="149" t="n">
        <f aca="false" ca="false" dt2D="false" dtr="false" t="normal">HEX2DEC(F27)</f>
        <v>1</v>
      </c>
      <c r="G29" s="149" t="n">
        <f aca="false" ca="false" dt2D="false" dtr="false" t="normal">HEX2DEC(G27)</f>
        <v>3</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HEX2DEC(K27)</f>
        <v>0</v>
      </c>
      <c r="L29" s="53" t="n">
        <f aca="false" ca="false" dt2D="false" dtr="false" t="normal">HEX2DEC(L27)</f>
        <v>0</v>
      </c>
      <c r="M29" s="53" t="n">
        <f aca="false" ca="false" dt2D="false" dtr="false" t="normal">SUM(D29:L29)</f>
        <v>189</v>
      </c>
      <c r="N29" s="63" t="n"/>
      <c r="P29" s="136" t="n">
        <f aca="false" ca="false" dt2D="false" dtr="false" t="normal">MID(H28, 2, 1)</f>
        <v>0</v>
      </c>
      <c r="Q29" s="137" t="n">
        <f aca="false" ca="false" dt2D="false" dtr="false" t="normal">P29</f>
        <v>0</v>
      </c>
      <c r="R29" s="120" t="s">
        <v>192</v>
      </c>
      <c r="S29" s="131" t="s">
        <v>196</v>
      </c>
      <c r="T29" s="136" t="n">
        <f aca="false" ca="false" dt2D="false" dtr="false" t="normal">MID(I28, 2, 1)</f>
        <v>0</v>
      </c>
      <c r="U29" s="137" t="n">
        <f aca="false" ca="false" dt2D="false" dtr="false" t="normal">T29</f>
        <v>0</v>
      </c>
      <c r="V29" s="120" t="s">
        <v>192</v>
      </c>
      <c r="W29" s="131" t="s">
        <v>196</v>
      </c>
      <c r="X29" s="136" t="n">
        <f aca="false" ca="false" dt2D="false" dtr="false" t="normal">MID(J28, 2, 1)</f>
        <v>0</v>
      </c>
      <c r="Y29" s="137" t="n">
        <f aca="false" ca="false" dt2D="false" dtr="false" t="normal">X29</f>
        <v>0</v>
      </c>
      <c r="Z29" s="120" t="s">
        <v>192</v>
      </c>
      <c r="AA29" s="131" t="s">
        <v>196</v>
      </c>
      <c r="AB29" s="136" t="n">
        <f aca="false" ca="false" dt2D="false" dtr="false" t="normal">MID(K28, 2, 1)</f>
        <v>0</v>
      </c>
      <c r="AC29" s="137" t="n">
        <f aca="false" ca="false" dt2D="false" dtr="false" t="normal">AB29</f>
        <v>0</v>
      </c>
      <c r="AD29" s="120" t="s">
        <v>192</v>
      </c>
      <c r="AE29" s="131" t="s">
        <v>196</v>
      </c>
      <c r="AF29" s="136" t="n">
        <f aca="false" ca="false" dt2D="false" dtr="false" t="normal">MID(L28, 2, 1)</f>
        <v>0</v>
      </c>
      <c r="AG29" s="137" t="n">
        <f aca="false" ca="false" dt2D="false" dtr="false" t="normal">AF29</f>
        <v>0</v>
      </c>
      <c r="AH29" s="120" t="s">
        <v>192</v>
      </c>
      <c r="AI29" s="131" t="s">
        <v>196</v>
      </c>
      <c r="AJ29" s="10707" t="s"/>
      <c r="AK29" s="10708" t="s"/>
    </row>
    <row hidden="false" ht="15" outlineLevel="0" r="30">
      <c r="A30" s="56" t="n"/>
      <c r="B30" s="63" t="n"/>
      <c r="C30" s="98" t="s">
        <v>194</v>
      </c>
      <c r="D30" s="149" t="n">
        <f aca="false" ca="false" dt2D="false" dtr="false" t="normal">D27</f>
        <v>7</v>
      </c>
      <c r="E30" s="149" t="str">
        <f aca="false" ca="false" dt2D="false" dtr="false" t="normal">E27</f>
        <v>B2</v>
      </c>
      <c r="F30" s="149" t="str">
        <f aca="false" ca="false" dt2D="false" dtr="false" t="normal">MID($A$6, 4, 2)</f>
        <v>G1</v>
      </c>
      <c r="G30" s="149" t="str">
        <f aca="false" ca="false" dt2D="false" dtr="false" t="normal">MID($A$6, 6, 2)</f>
        <v>G3</v>
      </c>
      <c r="N30" s="63" t="n"/>
      <c r="P30" s="136" t="n">
        <f aca="false" ca="false" dt2D="false" dtr="false" t="normal">MID(H28, 3, 1)</f>
        <v>0</v>
      </c>
      <c r="Q30" s="137" t="n">
        <f aca="false" ca="false" dt2D="false" dtr="false" t="normal">P30</f>
        <v>0</v>
      </c>
      <c r="R30" s="120" t="s">
        <v>195</v>
      </c>
      <c r="S30" s="131" t="s">
        <v>196</v>
      </c>
      <c r="T30" s="136" t="n">
        <f aca="false" ca="false" dt2D="false" dtr="false" t="normal">MID(I28, 3, 1)</f>
        <v>0</v>
      </c>
      <c r="U30" s="137" t="n">
        <f aca="false" ca="false" dt2D="false" dtr="false" t="normal">T30</f>
        <v>0</v>
      </c>
      <c r="V30" s="120" t="s">
        <v>195</v>
      </c>
      <c r="W30" s="131" t="s">
        <v>196</v>
      </c>
      <c r="X30" s="136" t="n">
        <f aca="false" ca="false" dt2D="false" dtr="false" t="normal">MID(J28, 3, 1)</f>
        <v>0</v>
      </c>
      <c r="Y30" s="137" t="n">
        <f aca="false" ca="false" dt2D="false" dtr="false" t="normal">X30</f>
        <v>0</v>
      </c>
      <c r="Z30" s="120" t="s">
        <v>195</v>
      </c>
      <c r="AA30" s="131" t="s">
        <v>196</v>
      </c>
      <c r="AB30" s="136" t="n">
        <f aca="false" ca="false" dt2D="false" dtr="false" t="normal">MID(K28, 3, 1)</f>
        <v>0</v>
      </c>
      <c r="AC30" s="137" t="n">
        <f aca="false" ca="false" dt2D="false" dtr="false" t="normal">AB30</f>
        <v>0</v>
      </c>
      <c r="AD30" s="120" t="s">
        <v>195</v>
      </c>
      <c r="AE30" s="131" t="s">
        <v>196</v>
      </c>
      <c r="AF30" s="136" t="n">
        <f aca="false" ca="false" dt2D="false" dtr="false" t="normal">MID(L28, 3, 1)</f>
        <v>0</v>
      </c>
      <c r="AG30" s="137" t="n">
        <f aca="false" ca="false" dt2D="false" dtr="false" t="normal">AF30</f>
        <v>0</v>
      </c>
      <c r="AH30" s="120" t="s">
        <v>195</v>
      </c>
      <c r="AI30" s="131" t="s">
        <v>196</v>
      </c>
      <c r="AJ30" s="10709" t="s"/>
      <c r="AK30" s="10710" t="s"/>
    </row>
    <row hidden="false" ht="15.75" outlineLevel="0" r="31">
      <c r="A31" s="56" t="n"/>
      <c r="B31" s="63" t="n"/>
      <c r="C31" s="98" t="n"/>
      <c r="N31" s="63" t="n"/>
      <c r="P31" s="136" t="n">
        <f aca="false" ca="false" dt2D="false" dtr="false" t="normal">MID(H28, 4, 1)</f>
        <v>0</v>
      </c>
      <c r="Q31" s="137" t="n">
        <f aca="false" ca="false" dt2D="false" dtr="false" t="normal">P31</f>
        <v>0</v>
      </c>
      <c r="R31" s="120" t="s">
        <v>197</v>
      </c>
      <c r="S31" s="131" t="s">
        <v>196</v>
      </c>
      <c r="T31" s="136" t="n">
        <f aca="false" ca="false" dt2D="false" dtr="false" t="normal">MID(I28, 4, 1)</f>
        <v>0</v>
      </c>
      <c r="U31" s="137" t="n">
        <f aca="false" ca="false" dt2D="false" dtr="false" t="normal">T31</f>
        <v>0</v>
      </c>
      <c r="V31" s="120" t="s">
        <v>197</v>
      </c>
      <c r="W31" s="131" t="s">
        <v>196</v>
      </c>
      <c r="X31" s="136" t="n">
        <f aca="false" ca="false" dt2D="false" dtr="false" t="normal">MID(J28, 4, 1)</f>
        <v>0</v>
      </c>
      <c r="Y31" s="137" t="n">
        <f aca="false" ca="false" dt2D="false" dtr="false" t="normal">X31</f>
        <v>0</v>
      </c>
      <c r="Z31" s="120" t="s">
        <v>197</v>
      </c>
      <c r="AA31" s="131" t="s">
        <v>196</v>
      </c>
      <c r="AB31" s="136" t="n">
        <f aca="false" ca="false" dt2D="false" dtr="false" t="normal">MID(K28, 4, 1)</f>
        <v>0</v>
      </c>
      <c r="AC31" s="137" t="n">
        <f aca="false" ca="false" dt2D="false" dtr="false" t="normal">AB31</f>
        <v>0</v>
      </c>
      <c r="AD31" s="120" t="s">
        <v>197</v>
      </c>
      <c r="AE31" s="131" t="s">
        <v>196</v>
      </c>
      <c r="AF31" s="136" t="n">
        <f aca="false" ca="false" dt2D="false" dtr="false" t="normal">MID(L28, 4, 1)</f>
        <v>0</v>
      </c>
      <c r="AG31" s="137" t="n">
        <f aca="false" ca="false" dt2D="false" dtr="false" t="normal">AF31</f>
        <v>0</v>
      </c>
      <c r="AH31" s="120" t="s">
        <v>197</v>
      </c>
      <c r="AI31" s="131" t="s">
        <v>196</v>
      </c>
      <c r="AJ31" s="10711" t="s"/>
      <c r="AK31" s="10712" t="s"/>
    </row>
    <row hidden="false" ht="15.75" outlineLevel="0" r="32">
      <c r="A32" s="56" t="n"/>
      <c r="B32" s="63" t="n"/>
      <c r="C32" s="98" t="s">
        <v>176</v>
      </c>
      <c r="D32" s="122" t="n">
        <f aca="false" ca="false" dt2D="false" dtr="false" t="normal">D27</f>
        <v>7</v>
      </c>
      <c r="E32" s="123" t="str">
        <f aca="false" ca="false" dt2D="false" dtr="false" t="normal">E27</f>
        <v>B2</v>
      </c>
      <c r="F32" s="123" t="n">
        <f aca="false" ca="false" dt2D="false" dtr="false" t="normal">F27</f>
        <v>1</v>
      </c>
      <c r="G32" s="124" t="n">
        <f aca="false" ca="false" dt2D="false" dtr="false" t="normal">G27</f>
        <v>3</v>
      </c>
      <c r="H32" s="162" t="n">
        <f aca="false" ca="false" dt2D="false" dtr="false" t="normal">BIN2HEX(H33, 2)</f>
        <v>0</v>
      </c>
      <c r="I32" s="163" t="n">
        <f aca="false" ca="false" dt2D="false" dtr="false" t="normal">BIN2HEX(I33, 2)</f>
        <v>0</v>
      </c>
      <c r="J32" s="164" t="n">
        <f aca="false" ca="false" dt2D="false" dtr="false" t="normal">BIN2HEX(J33, 2)</f>
        <v>0</v>
      </c>
      <c r="K32" s="165" t="n">
        <f aca="false" ca="false" dt2D="false" dtr="false" t="normal">BIN2HEX(K33, 2)</f>
        <v>0</v>
      </c>
      <c r="L32" s="288" t="n">
        <f aca="false" ca="false" dt2D="false" dtr="false" t="normal">BIN2HEX(L33, 2)</f>
        <v>0</v>
      </c>
      <c r="M32" s="166" t="str">
        <f aca="false" ca="false" dt2D="false" dtr="false" t="normal">IF(LEN(M33)&gt;2, MID(M33, 2, 2), M33)</f>
        <v>BD</v>
      </c>
      <c r="N32" s="63" t="s">
        <v>181</v>
      </c>
      <c r="P32" s="136" t="n">
        <f aca="false" ca="false" dt2D="false" dtr="false" t="normal">MID(H28, 5, 1)</f>
        <v>0</v>
      </c>
      <c r="Q32" s="137" t="n">
        <f aca="false" ca="false" dt2D="false" dtr="false" t="normal">P32</f>
        <v>0</v>
      </c>
      <c r="R32" s="120" t="s">
        <v>200</v>
      </c>
      <c r="S32" s="131" t="s">
        <v>196</v>
      </c>
      <c r="T32" s="136" t="n">
        <f aca="false" ca="false" dt2D="false" dtr="false" t="normal">MID(I28, 5, 1)</f>
        <v>0</v>
      </c>
      <c r="U32" s="137" t="n">
        <f aca="false" ca="false" dt2D="false" dtr="false" t="normal">T32</f>
        <v>0</v>
      </c>
      <c r="V32" s="120" t="s">
        <v>200</v>
      </c>
      <c r="W32" s="131" t="s">
        <v>196</v>
      </c>
      <c r="X32" s="136" t="n">
        <f aca="false" ca="false" dt2D="false" dtr="false" t="normal">MID(J28, 5, 1)</f>
        <v>0</v>
      </c>
      <c r="Y32" s="137" t="n">
        <f aca="false" ca="false" dt2D="false" dtr="false" t="normal">X32</f>
        <v>0</v>
      </c>
      <c r="Z32" s="120" t="s">
        <v>200</v>
      </c>
      <c r="AA32" s="131" t="s">
        <v>196</v>
      </c>
      <c r="AB32" s="136" t="n">
        <f aca="false" ca="false" dt2D="false" dtr="false" t="normal">MID(K28, 5, 1)</f>
        <v>0</v>
      </c>
      <c r="AC32" s="137" t="n">
        <f aca="false" ca="false" dt2D="false" dtr="false" t="normal">AB32</f>
        <v>0</v>
      </c>
      <c r="AD32" s="120" t="s">
        <v>200</v>
      </c>
      <c r="AE32" s="131" t="s">
        <v>196</v>
      </c>
      <c r="AF32" s="136" t="n">
        <f aca="false" ca="false" dt2D="false" dtr="false" t="normal">MID(L28, 5, 1)</f>
        <v>0</v>
      </c>
      <c r="AG32" s="137" t="n">
        <f aca="false" ca="false" dt2D="false" dtr="false" t="normal">AF32</f>
        <v>0</v>
      </c>
      <c r="AH32" s="120" t="s">
        <v>200</v>
      </c>
      <c r="AI32" s="131" t="s">
        <v>196</v>
      </c>
      <c r="AJ32" s="10713" t="s"/>
      <c r="AK32" s="10714" t="s"/>
    </row>
    <row hidden="false" ht="15" outlineLevel="0" r="33">
      <c r="A33" s="56" t="n"/>
      <c r="B33" s="63" t="n"/>
      <c r="C33" s="98" t="s">
        <v>185</v>
      </c>
      <c r="D33" s="149" t="n">
        <f aca="false" ca="false" dt2D="false" dtr="false" t="normal">HEX2BIN(D32, 8)</f>
        <v>111</v>
      </c>
      <c r="E33" s="149" t="n">
        <f aca="false" ca="false" dt2D="false" dtr="false" t="normal">HEX2BIN(E32, 8)</f>
        <v>10110010</v>
      </c>
      <c r="F33" s="149" t="n">
        <f aca="false" ca="false" dt2D="false" dtr="false" t="normal">HEX2BIN(F32, 8)</f>
        <v>1</v>
      </c>
      <c r="G33" s="149" t="n">
        <f aca="false" ca="false" dt2D="false" dtr="false" t="normal">HEX2BIN(G32, 8)</f>
        <v>11</v>
      </c>
      <c r="H33" s="53" t="n">
        <f aca="false" ca="false" dt2D="false" dtr="false" t="normal">Q28&amp;Q29&amp;Q30&amp;Q31&amp;Q32&amp;Q33&amp;Q34&amp;Q35</f>
        <v>0</v>
      </c>
      <c r="I33" s="53" t="n">
        <f aca="false" ca="false" dt2D="false" dtr="false" t="normal">U28&amp;U29&amp;U30&amp;U31&amp;U32&amp;U33&amp;U34&amp;U35</f>
        <v>0</v>
      </c>
      <c r="J33" s="53" t="n">
        <f aca="false" ca="false" dt2D="false" dtr="false" t="normal">Y28&amp;Y29&amp;Y30&amp;Y31&amp;Y32&amp;Y33&amp;Y34&amp;Y35</f>
        <v>0</v>
      </c>
      <c r="K33" s="53" t="n">
        <f aca="false" ca="false" dt2D="false" dtr="false" t="normal">AC28&amp;AC29&amp;AC30&amp;AC31&amp;AC32&amp;AC33&amp;AC34&amp;AC35</f>
        <v>0</v>
      </c>
      <c r="L33" s="53" t="n">
        <f aca="false" ca="false" dt2D="false" dtr="false" t="normal">AG28&amp;AG29&amp;AG30&amp;AG31&amp;AG32&amp;AG33&amp;AG34&amp;AG35</f>
        <v>0</v>
      </c>
      <c r="M33" s="53" t="str">
        <f aca="false" ca="false" dt2D="false" dtr="false" t="normal">DEC2HEX(M34)</f>
        <v>BD</v>
      </c>
      <c r="N33" s="63" t="n"/>
      <c r="P33" s="136" t="n">
        <f aca="false" ca="false" dt2D="false" dtr="false" t="normal">MID(H28, 6, 1)</f>
        <v>0</v>
      </c>
      <c r="Q33" s="137" t="n">
        <f aca="false" ca="false" dt2D="false" dtr="false" t="normal">P33</f>
        <v>0</v>
      </c>
      <c r="R33" s="120" t="s">
        <v>203</v>
      </c>
      <c r="S33" s="131" t="s">
        <v>196</v>
      </c>
      <c r="T33" s="136" t="n">
        <f aca="false" ca="false" dt2D="false" dtr="false" t="normal">MID(I28, 6, 1)</f>
        <v>0</v>
      </c>
      <c r="U33" s="137" t="n">
        <f aca="false" ca="false" dt2D="false" dtr="false" t="normal">T33</f>
        <v>0</v>
      </c>
      <c r="V33" s="120" t="s">
        <v>203</v>
      </c>
      <c r="W33" s="131" t="s">
        <v>196</v>
      </c>
      <c r="X33" s="136" t="n">
        <f aca="false" ca="false" dt2D="false" dtr="false" t="normal">MID(J28, 6, 1)</f>
        <v>0</v>
      </c>
      <c r="Y33" s="137" t="n">
        <f aca="false" ca="false" dt2D="false" dtr="false" t="normal">X33</f>
        <v>0</v>
      </c>
      <c r="Z33" s="120" t="s">
        <v>203</v>
      </c>
      <c r="AA33" s="131" t="s">
        <v>196</v>
      </c>
      <c r="AB33" s="136" t="n">
        <f aca="false" ca="false" dt2D="false" dtr="false" t="normal">MID(K28, 6, 1)</f>
        <v>0</v>
      </c>
      <c r="AC33" s="137" t="n">
        <f aca="false" ca="false" dt2D="false" dtr="false" t="normal">AB33</f>
        <v>0</v>
      </c>
      <c r="AD33" s="120" t="s">
        <v>203</v>
      </c>
      <c r="AE33" s="131" t="s">
        <v>196</v>
      </c>
      <c r="AF33" s="136" t="n">
        <f aca="false" ca="false" dt2D="false" dtr="false" t="normal">MID(L28, 6, 1)</f>
        <v>0</v>
      </c>
      <c r="AG33" s="137" t="n">
        <f aca="false" ca="false" dt2D="false" dtr="false" t="normal">AF33</f>
        <v>0</v>
      </c>
      <c r="AH33" s="120" t="s">
        <v>203</v>
      </c>
      <c r="AI33" s="131" t="s">
        <v>196</v>
      </c>
      <c r="AJ33" s="10715" t="s"/>
      <c r="AK33" s="10716" t="s"/>
    </row>
    <row hidden="false" ht="15" outlineLevel="0" r="34">
      <c r="A34" s="56" t="n"/>
      <c r="B34" s="63" t="n"/>
      <c r="C34" s="98" t="s">
        <v>191</v>
      </c>
      <c r="D34" s="149" t="n">
        <f aca="false" ca="false" dt2D="false" dtr="false" t="normal">HEX2DEC(D32)</f>
        <v>7</v>
      </c>
      <c r="E34" s="149" t="n">
        <f aca="false" ca="false" dt2D="false" dtr="false" t="normal">HEX2DEC(E32)</f>
        <v>178</v>
      </c>
      <c r="F34" s="149" t="n">
        <f aca="false" ca="false" dt2D="false" dtr="false" t="normal">HEX2DEC(F32)</f>
        <v>1</v>
      </c>
      <c r="G34" s="149" t="n">
        <f aca="false" ca="false" dt2D="false" dtr="false" t="normal">HEX2DEC(G32)</f>
        <v>3</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HEX2DEC(K32)</f>
        <v>0</v>
      </c>
      <c r="L34" s="53" t="n">
        <f aca="false" ca="false" dt2D="false" dtr="false" t="normal">HEX2DEC(L32)</f>
        <v>0</v>
      </c>
      <c r="M34" s="53" t="n">
        <f aca="false" ca="false" dt2D="false" dtr="false" t="normal">SUM(D34:L34)</f>
        <v>189</v>
      </c>
      <c r="N34" s="63" t="n"/>
      <c r="P34" s="136" t="n">
        <f aca="false" ca="false" dt2D="false" dtr="false" t="normal">MID(H28, 7, 1)</f>
        <v>0</v>
      </c>
      <c r="Q34" s="137" t="n">
        <f aca="false" ca="false" dt2D="false" dtr="false" t="normal">P34</f>
        <v>0</v>
      </c>
      <c r="R34" s="120" t="s">
        <v>206</v>
      </c>
      <c r="S34" s="131" t="s">
        <v>196</v>
      </c>
      <c r="T34" s="136" t="n">
        <f aca="false" ca="false" dt2D="false" dtr="false" t="normal">MID(I28, 7, 1)</f>
        <v>0</v>
      </c>
      <c r="U34" s="137" t="n">
        <f aca="false" ca="false" dt2D="false" dtr="false" t="normal">T34</f>
        <v>0</v>
      </c>
      <c r="V34" s="120" t="s">
        <v>206</v>
      </c>
      <c r="W34" s="131" t="s">
        <v>196</v>
      </c>
      <c r="X34" s="136" t="n">
        <f aca="false" ca="false" dt2D="false" dtr="false" t="normal">MID(J28, 7, 1)</f>
        <v>0</v>
      </c>
      <c r="Y34" s="137" t="n">
        <f aca="false" ca="false" dt2D="false" dtr="false" t="normal">X34</f>
        <v>0</v>
      </c>
      <c r="Z34" s="120" t="s">
        <v>206</v>
      </c>
      <c r="AA34" s="131" t="s">
        <v>196</v>
      </c>
      <c r="AB34" s="136" t="n">
        <f aca="false" ca="false" dt2D="false" dtr="false" t="normal">MID(K28, 7, 1)</f>
        <v>0</v>
      </c>
      <c r="AC34" s="137" t="n">
        <f aca="false" ca="false" dt2D="false" dtr="false" t="normal">AB34</f>
        <v>0</v>
      </c>
      <c r="AD34" s="120" t="s">
        <v>206</v>
      </c>
      <c r="AE34" s="131" t="s">
        <v>196</v>
      </c>
      <c r="AF34" s="136" t="n">
        <f aca="false" ca="false" dt2D="false" dtr="false" t="normal">MID(L28, 7, 1)</f>
        <v>0</v>
      </c>
      <c r="AG34" s="137" t="n">
        <f aca="false" ca="false" dt2D="false" dtr="false" t="normal">AF34</f>
        <v>0</v>
      </c>
      <c r="AH34" s="120" t="s">
        <v>206</v>
      </c>
      <c r="AI34" s="131" t="s">
        <v>196</v>
      </c>
      <c r="AJ34" s="10717" t="s"/>
      <c r="AK34" s="10718" t="s"/>
    </row>
    <row hidden="false" ht="15.75" outlineLevel="0" r="35">
      <c r="A35" s="56" t="n"/>
      <c r="B35" s="63" t="n"/>
      <c r="C35" s="180" t="s">
        <v>194</v>
      </c>
      <c r="D35" s="181" t="n">
        <f aca="false" ca="false" dt2D="false" dtr="false" t="normal">D30</f>
        <v>7</v>
      </c>
      <c r="E35" s="181" t="str">
        <f aca="false" ca="false" dt2D="false" dtr="false" t="normal">E30</f>
        <v>B2</v>
      </c>
      <c r="F35" s="181" t="str">
        <f aca="false" ca="false" dt2D="false" dtr="false" t="normal">F30</f>
        <v>G1</v>
      </c>
      <c r="G35" s="181" t="str">
        <f aca="false" ca="false" dt2D="false" dtr="false" t="normal">G30</f>
        <v>G3</v>
      </c>
      <c r="H35" s="45" t="n"/>
      <c r="I35" s="45" t="n"/>
      <c r="J35" s="45" t="n"/>
      <c r="K35" s="45" t="n"/>
      <c r="L35" s="45" t="n"/>
      <c r="M35" s="45" t="n"/>
      <c r="N35" s="49" t="n"/>
      <c r="P35" s="182" t="n">
        <f aca="false" ca="false" dt2D="false" dtr="false" t="normal">MID(H28, 8, 1)</f>
        <v>0</v>
      </c>
      <c r="Q35" s="183" t="n">
        <f aca="false" ca="false" dt2D="false" dtr="false" t="normal">P35</f>
        <v>0</v>
      </c>
      <c r="R35" s="184" t="s">
        <v>208</v>
      </c>
      <c r="S35" s="185" t="s">
        <v>196</v>
      </c>
      <c r="T35" s="182" t="n">
        <f aca="false" ca="false" dt2D="false" dtr="false" t="normal">MID(I28, 8, 1)</f>
        <v>0</v>
      </c>
      <c r="U35" s="183" t="n">
        <f aca="false" ca="false" dt2D="false" dtr="false" t="normal">T35</f>
        <v>0</v>
      </c>
      <c r="V35" s="184" t="s">
        <v>208</v>
      </c>
      <c r="W35" s="185" t="s">
        <v>196</v>
      </c>
      <c r="X35" s="182" t="n">
        <f aca="false" ca="false" dt2D="false" dtr="false" t="normal">MID(J28, 8, 1)</f>
        <v>0</v>
      </c>
      <c r="Y35" s="183" t="n">
        <f aca="false" ca="false" dt2D="false" dtr="false" t="normal">X35</f>
        <v>0</v>
      </c>
      <c r="Z35" s="184" t="s">
        <v>208</v>
      </c>
      <c r="AA35" s="185" t="s">
        <v>196</v>
      </c>
      <c r="AB35" s="182" t="n">
        <f aca="false" ca="false" dt2D="false" dtr="false" t="normal">MID(K28, 8, 1)</f>
        <v>0</v>
      </c>
      <c r="AC35" s="183" t="n">
        <f aca="false" ca="false" dt2D="false" dtr="false" t="normal">AB35</f>
        <v>0</v>
      </c>
      <c r="AD35" s="184" t="s">
        <v>208</v>
      </c>
      <c r="AE35" s="185" t="s">
        <v>196</v>
      </c>
      <c r="AF35" s="182" t="n">
        <f aca="false" ca="false" dt2D="false" dtr="false" t="normal">MID(L28, 8, 1)</f>
        <v>0</v>
      </c>
      <c r="AG35" s="183" t="n">
        <f aca="false" ca="false" dt2D="false" dtr="false" t="normal">AF35</f>
        <v>0</v>
      </c>
      <c r="AH35" s="184" t="s">
        <v>208</v>
      </c>
      <c r="AI35" s="185" t="s">
        <v>196</v>
      </c>
      <c r="AJ35" s="10719" t="s"/>
      <c r="AK35" s="10720" t="s"/>
    </row>
    <row hidden="false" ht="15.75" outlineLevel="0" r="36">
      <c r="A36" s="56" t="n"/>
      <c r="B36" s="63" t="n"/>
      <c r="C36" s="93" t="n"/>
      <c r="D36" s="7585" t="n"/>
      <c r="E36" s="7585" t="n"/>
      <c r="F36" s="7585" t="n"/>
      <c r="G36" s="7585" t="n"/>
      <c r="H36" s="94" t="n"/>
      <c r="I36" s="94" t="n"/>
      <c r="J36" s="94" t="n"/>
      <c r="K36" s="94" t="n"/>
      <c r="L36" s="94" t="n"/>
      <c r="M36" s="94" t="s">
        <v>161</v>
      </c>
      <c r="N36" s="60" t="n"/>
      <c r="P36" s="95" t="str">
        <f aca="false" ca="false" dt2D="false" dtr="false" t="normal">RIGHT(D38, 1)&amp;E38&amp;"-"&amp;F38&amp;"-"&amp;G38</f>
        <v>7B2-01-04</v>
      </c>
      <c r="Q36" s="10721" t="s"/>
      <c r="R36" s="234" t="s">
        <v>4392</v>
      </c>
      <c r="S36" s="10722" t="s"/>
      <c r="T36" s="10723" t="s"/>
      <c r="U36" s="10724" t="s"/>
      <c r="V36" s="10725" t="s"/>
      <c r="W36" s="10726" t="s"/>
      <c r="X36" s="10727" t="s"/>
      <c r="Y36" s="10728" t="s"/>
      <c r="Z36" s="10729" t="s"/>
      <c r="AA36" s="10730" t="s"/>
      <c r="AB36" s="10731" t="s"/>
      <c r="AC36" s="10732" t="s"/>
      <c r="AD36" s="10733" t="s"/>
      <c r="AE36" s="10734" t="s"/>
      <c r="AF36" s="10735" t="s"/>
      <c r="AG36" s="10736" t="s"/>
      <c r="AH36" s="10737" t="s"/>
      <c r="AI36" s="10738" t="s"/>
      <c r="AJ36" s="10739" t="s"/>
      <c r="AK36" s="10740" t="s"/>
    </row>
    <row hidden="false" ht="15.75" outlineLevel="0" r="37">
      <c r="A37" s="56" t="n"/>
      <c r="B37" s="63" t="n"/>
      <c r="C37" s="98" t="n"/>
      <c r="D37" s="7606" t="s">
        <v>4393</v>
      </c>
      <c r="E37" s="10741" t="s"/>
      <c r="F37" s="10742" t="s"/>
      <c r="G37" s="10743" t="s"/>
      <c r="H37" s="53" t="s">
        <v>165</v>
      </c>
      <c r="I37" s="53" t="s">
        <v>166</v>
      </c>
      <c r="J37" s="53" t="s">
        <v>167</v>
      </c>
      <c r="K37" s="53" t="s">
        <v>168</v>
      </c>
      <c r="L37" s="53" t="s">
        <v>169</v>
      </c>
      <c r="M37" s="53" t="s">
        <v>221</v>
      </c>
      <c r="N37" s="63" t="n"/>
      <c r="P37" s="103" t="s">
        <v>4394</v>
      </c>
      <c r="Q37" s="10744" t="s"/>
      <c r="R37" s="10745" t="s"/>
      <c r="S37" s="10746" t="s"/>
      <c r="T37" s="103" t="s">
        <v>4395</v>
      </c>
      <c r="U37" s="10747" t="s"/>
      <c r="V37" s="10748" t="s"/>
      <c r="W37" s="10749" t="s"/>
      <c r="X37" s="103" t="s">
        <v>4396</v>
      </c>
      <c r="Y37" s="10750" t="s"/>
      <c r="Z37" s="10751" t="s"/>
      <c r="AA37" s="10752" t="s"/>
      <c r="AB37" s="103" t="s">
        <v>4397</v>
      </c>
      <c r="AC37" s="10753" t="s"/>
      <c r="AD37" s="10754" t="s"/>
      <c r="AE37" s="10755" t="s"/>
      <c r="AF37" s="103" t="s">
        <v>4398</v>
      </c>
      <c r="AG37" s="10756" t="s"/>
      <c r="AH37" s="10757" t="s"/>
      <c r="AI37" s="10758" t="s"/>
      <c r="AJ37" s="103" t="s">
        <v>4399</v>
      </c>
      <c r="AK37" s="10759" t="s"/>
    </row>
    <row hidden="false" ht="15.75" outlineLevel="0" r="38">
      <c r="A38" s="56" t="n"/>
      <c r="B38" s="63" t="n"/>
      <c r="C38" s="98" t="s">
        <v>176</v>
      </c>
      <c r="D38" s="122" t="s">
        <v>177</v>
      </c>
      <c r="E38" s="123" t="s">
        <v>167</v>
      </c>
      <c r="F38" s="123" t="s">
        <v>179</v>
      </c>
      <c r="G38" s="124" t="s">
        <v>342</v>
      </c>
      <c r="H38" s="273" t="n">
        <f aca="false" ca="false" dt2D="false" dtr="false" t="normal">MID($A$7, 8, 2)</f>
        <v>0</v>
      </c>
      <c r="I38" s="7626" t="n">
        <f aca="false" ca="false" dt2D="false" dtr="false" t="normal">MID($A$7, 10, 2)</f>
        <v>0</v>
      </c>
      <c r="J38" s="7626" t="n">
        <f aca="false" ca="false" dt2D="false" dtr="false" t="normal">MID($A$7, 12, 2)</f>
        <v>0</v>
      </c>
      <c r="K38" s="7626" t="n">
        <f aca="false" ca="false" dt2D="false" dtr="false" t="normal">MID($A$7, 14, 2)</f>
        <v>0</v>
      </c>
      <c r="L38" s="7627" t="n">
        <f aca="false" ca="false" dt2D="false" dtr="false" t="normal">MID($A$7, 16, 2)</f>
        <v>0</v>
      </c>
      <c r="M38" s="7553" t="str">
        <f aca="false" ca="false" dt2D="false" dtr="false" t="normal">MID($A$7, 18, 2)</f>
        <v>BE</v>
      </c>
      <c r="N38" s="63" t="s">
        <v>180</v>
      </c>
      <c r="P38" s="129" t="s">
        <v>180</v>
      </c>
      <c r="Q38" s="130" t="s">
        <v>181</v>
      </c>
      <c r="R38" s="121" t="s">
        <v>182</v>
      </c>
      <c r="S38" s="131" t="n"/>
      <c r="T38" s="129" t="s">
        <v>180</v>
      </c>
      <c r="U38" s="130" t="s">
        <v>181</v>
      </c>
      <c r="V38" s="121" t="s">
        <v>182</v>
      </c>
      <c r="W38" s="131" t="n"/>
      <c r="X38" s="129" t="s">
        <v>180</v>
      </c>
      <c r="Y38" s="130" t="s">
        <v>181</v>
      </c>
      <c r="Z38" s="121" t="s">
        <v>182</v>
      </c>
      <c r="AA38" s="131" t="n"/>
      <c r="AB38" s="129" t="s">
        <v>180</v>
      </c>
      <c r="AC38" s="130" t="s">
        <v>181</v>
      </c>
      <c r="AD38" s="121" t="s">
        <v>182</v>
      </c>
      <c r="AE38" s="131" t="n"/>
      <c r="AF38" s="129" t="s">
        <v>180</v>
      </c>
      <c r="AG38" s="130" t="s">
        <v>181</v>
      </c>
      <c r="AH38" s="121" t="s">
        <v>182</v>
      </c>
      <c r="AI38" s="121" t="n"/>
      <c r="AJ38" s="116" t="s">
        <v>183</v>
      </c>
      <c r="AK38" s="10760" t="s"/>
    </row>
    <row hidden="false" ht="15" outlineLevel="0" r="39">
      <c r="A39" s="56" t="n"/>
      <c r="B39" s="63" t="n"/>
      <c r="C39" s="98" t="s">
        <v>185</v>
      </c>
      <c r="D39" s="149" t="n">
        <f aca="false" ca="false" dt2D="false" dtr="false" t="normal">HEX2BIN(D38, 8)</f>
        <v>111</v>
      </c>
      <c r="E39" s="149" t="n">
        <f aca="false" ca="false" dt2D="false" dtr="false" t="normal">HEX2BIN(E38, 8)</f>
        <v>10110010</v>
      </c>
      <c r="F39" s="149" t="n">
        <f aca="false" ca="false" dt2D="false" dtr="false" t="normal">HEX2BIN(F38, 8)</f>
        <v>1</v>
      </c>
      <c r="G39" s="149" t="n">
        <f aca="false" ca="false" dt2D="false" dtr="false" t="normal">HEX2BIN(G38, 8)</f>
        <v>100</v>
      </c>
      <c r="H39" s="53" t="n">
        <f aca="false" ca="false" dt2D="false" dtr="false" t="normal">HEX2BIN(H38, 8)</f>
        <v>0</v>
      </c>
      <c r="I39" s="53" t="n">
        <f aca="false" ca="false" dt2D="false" dtr="false" t="normal">HEX2BIN(I38, 8)</f>
        <v>0</v>
      </c>
      <c r="J39" s="53" t="n">
        <f aca="false" ca="false" dt2D="false" dtr="false" t="normal">HEX2BIN(J38, 8)</f>
        <v>0</v>
      </c>
      <c r="K39" s="53" t="n">
        <f aca="false" ca="false" dt2D="false" dtr="false" t="normal">HEX2BIN(K38, 8)</f>
        <v>0</v>
      </c>
      <c r="L39" s="53" t="n">
        <f aca="false" ca="false" dt2D="false" dtr="false" t="normal">HEX2BIN(L38, 8)</f>
        <v>0</v>
      </c>
      <c r="M39" s="53" t="n"/>
      <c r="N39" s="63" t="n"/>
      <c r="P39" s="136" t="n">
        <f aca="false" ca="false" dt2D="false" dtr="false" t="normal">MID(H39, 1, 1)</f>
        <v>0</v>
      </c>
      <c r="Q39" s="137" t="n">
        <f aca="false" ca="false" dt2D="false" dtr="false" t="normal">P39</f>
        <v>0</v>
      </c>
      <c r="R39" s="120" t="s">
        <v>186</v>
      </c>
      <c r="S39" s="131" t="s">
        <v>196</v>
      </c>
      <c r="T39" s="136" t="n">
        <f aca="false" ca="false" dt2D="false" dtr="false" t="normal">MID(I39, 1, 1)</f>
        <v>0</v>
      </c>
      <c r="U39" s="137" t="n">
        <f aca="false" ca="false" dt2D="false" dtr="false" t="normal">T39</f>
        <v>0</v>
      </c>
      <c r="V39" s="120" t="s">
        <v>186</v>
      </c>
      <c r="W39" s="131" t="s">
        <v>196</v>
      </c>
      <c r="X39" s="136" t="n">
        <f aca="false" ca="false" dt2D="false" dtr="false" t="normal">MID(J39, 1, 1)</f>
        <v>0</v>
      </c>
      <c r="Y39" s="137" t="n">
        <f aca="false" ca="false" dt2D="false" dtr="false" t="normal">X39</f>
        <v>0</v>
      </c>
      <c r="Z39" s="120" t="s">
        <v>186</v>
      </c>
      <c r="AA39" s="131" t="s">
        <v>196</v>
      </c>
      <c r="AB39" s="136" t="n">
        <f aca="false" ca="false" dt2D="false" dtr="false" t="normal">MID(K39, 1, 1)</f>
        <v>0</v>
      </c>
      <c r="AC39" s="137" t="n">
        <f aca="false" ca="false" dt2D="false" dtr="false" t="normal">AB39</f>
        <v>0</v>
      </c>
      <c r="AD39" s="120" t="s">
        <v>186</v>
      </c>
      <c r="AE39" s="131" t="s">
        <v>196</v>
      </c>
      <c r="AF39" s="136" t="n">
        <f aca="false" ca="false" dt2D="false" dtr="false" t="normal">MID(L39, 1, 1)</f>
        <v>0</v>
      </c>
      <c r="AG39" s="137" t="n">
        <f aca="false" ca="false" dt2D="false" dtr="false" t="normal">AF39</f>
        <v>0</v>
      </c>
      <c r="AH39" s="120" t="s">
        <v>186</v>
      </c>
      <c r="AI39" s="131" t="s">
        <v>196</v>
      </c>
      <c r="AJ39" s="10761" t="s"/>
      <c r="AK39" s="10762" t="s"/>
    </row>
    <row hidden="false" ht="15" outlineLevel="0" r="40">
      <c r="A40" s="56" t="n"/>
      <c r="B40" s="63" t="n"/>
      <c r="C40" s="98" t="s">
        <v>191</v>
      </c>
      <c r="D40" s="149" t="n">
        <f aca="false" ca="false" dt2D="false" dtr="false" t="normal">HEX2DEC(D38)</f>
        <v>7</v>
      </c>
      <c r="E40" s="149" t="n">
        <f aca="false" ca="false" dt2D="false" dtr="false" t="normal">HEX2DEC(E38)</f>
        <v>178</v>
      </c>
      <c r="F40" s="149" t="n">
        <f aca="false" ca="false" dt2D="false" dtr="false" t="normal">HEX2DEC(F38)</f>
        <v>1</v>
      </c>
      <c r="G40" s="149" t="n">
        <f aca="false" ca="false" dt2D="false" dtr="false" t="normal">HEX2DEC(G38)</f>
        <v>4</v>
      </c>
      <c r="H40" s="53" t="n">
        <f aca="false" ca="false" dt2D="false" dtr="false" t="normal">HEX2DEC(H38)</f>
        <v>0</v>
      </c>
      <c r="I40" s="53" t="n">
        <f aca="false" ca="false" dt2D="false" dtr="false" t="normal">HEX2DEC(I38)</f>
        <v>0</v>
      </c>
      <c r="J40" s="53" t="n">
        <f aca="false" ca="false" dt2D="false" dtr="false" t="normal">HEX2DEC(J38)</f>
        <v>0</v>
      </c>
      <c r="K40" s="53" t="n">
        <f aca="false" ca="false" dt2D="false" dtr="false" t="normal">HEX2DEC(K38)</f>
        <v>0</v>
      </c>
      <c r="L40" s="53" t="n">
        <f aca="false" ca="false" dt2D="false" dtr="false" t="normal">HEX2DEC(L38)</f>
        <v>0</v>
      </c>
      <c r="M40" s="53" t="n">
        <f aca="false" ca="false" dt2D="false" dtr="false" t="normal">SUM(D40:L40)</f>
        <v>190</v>
      </c>
      <c r="N40" s="63" t="n"/>
      <c r="P40" s="136" t="n">
        <f aca="false" ca="false" dt2D="false" dtr="false" t="normal">MID(H39, 2, 1)</f>
        <v>0</v>
      </c>
      <c r="Q40" s="137" t="n">
        <f aca="false" ca="false" dt2D="false" dtr="false" t="normal">P40</f>
        <v>0</v>
      </c>
      <c r="R40" s="120" t="s">
        <v>192</v>
      </c>
      <c r="S40" s="131" t="s">
        <v>196</v>
      </c>
      <c r="T40" s="136" t="n">
        <f aca="false" ca="false" dt2D="false" dtr="false" t="normal">MID(I39, 2, 1)</f>
        <v>0</v>
      </c>
      <c r="U40" s="137" t="n">
        <f aca="false" ca="false" dt2D="false" dtr="false" t="normal">T40</f>
        <v>0</v>
      </c>
      <c r="V40" s="120" t="s">
        <v>192</v>
      </c>
      <c r="W40" s="131" t="s">
        <v>196</v>
      </c>
      <c r="X40" s="136" t="n">
        <f aca="false" ca="false" dt2D="false" dtr="false" t="normal">MID(J39, 2, 1)</f>
        <v>0</v>
      </c>
      <c r="Y40" s="137" t="n">
        <f aca="false" ca="false" dt2D="false" dtr="false" t="normal">X40</f>
        <v>0</v>
      </c>
      <c r="Z40" s="120" t="s">
        <v>192</v>
      </c>
      <c r="AA40" s="131" t="s">
        <v>196</v>
      </c>
      <c r="AB40" s="136" t="n">
        <f aca="false" ca="false" dt2D="false" dtr="false" t="normal">MID(K39, 2, 1)</f>
        <v>0</v>
      </c>
      <c r="AC40" s="137" t="n">
        <f aca="false" ca="false" dt2D="false" dtr="false" t="normal">AB40</f>
        <v>0</v>
      </c>
      <c r="AD40" s="120" t="s">
        <v>192</v>
      </c>
      <c r="AE40" s="131" t="s">
        <v>196</v>
      </c>
      <c r="AF40" s="136" t="n">
        <f aca="false" ca="false" dt2D="false" dtr="false" t="normal">MID(L39, 2, 1)</f>
        <v>0</v>
      </c>
      <c r="AG40" s="137" t="n">
        <f aca="false" ca="false" dt2D="false" dtr="false" t="normal">AF40</f>
        <v>0</v>
      </c>
      <c r="AH40" s="120" t="s">
        <v>192</v>
      </c>
      <c r="AI40" s="131" t="s">
        <v>196</v>
      </c>
      <c r="AJ40" s="10763" t="s"/>
      <c r="AK40" s="10764" t="s"/>
    </row>
    <row hidden="false" ht="15" outlineLevel="0" r="41">
      <c r="A41" s="56" t="n"/>
      <c r="B41" s="63" t="n"/>
      <c r="C41" s="98" t="s">
        <v>194</v>
      </c>
      <c r="D41" s="149" t="n">
        <f aca="false" ca="false" dt2D="false" dtr="false" t="normal">D38</f>
        <v>7</v>
      </c>
      <c r="E41" s="149" t="str">
        <f aca="false" ca="false" dt2D="false" dtr="false" t="normal">E38</f>
        <v>B2</v>
      </c>
      <c r="F41" s="149" t="str">
        <f aca="false" ca="false" dt2D="false" dtr="false" t="normal">MID($A$7, 4, 2)</f>
        <v>G1</v>
      </c>
      <c r="G41" s="149" t="str">
        <f aca="false" ca="false" dt2D="false" dtr="false" t="normal">MID($A$7, 6, 2)</f>
        <v>G4</v>
      </c>
      <c r="N41" s="63" t="n"/>
      <c r="P41" s="136" t="n">
        <f aca="false" ca="false" dt2D="false" dtr="false" t="normal">MID(H39, 3, 1)</f>
        <v>0</v>
      </c>
      <c r="Q41" s="137" t="n">
        <f aca="false" ca="false" dt2D="false" dtr="false" t="normal">P41</f>
        <v>0</v>
      </c>
      <c r="R41" s="120" t="s">
        <v>195</v>
      </c>
      <c r="S41" s="131" t="s">
        <v>196</v>
      </c>
      <c r="T41" s="136" t="n">
        <f aca="false" ca="false" dt2D="false" dtr="false" t="normal">MID(I39, 3, 1)</f>
        <v>0</v>
      </c>
      <c r="U41" s="137" t="n">
        <f aca="false" ca="false" dt2D="false" dtr="false" t="normal">T41</f>
        <v>0</v>
      </c>
      <c r="V41" s="120" t="s">
        <v>195</v>
      </c>
      <c r="W41" s="131" t="s">
        <v>196</v>
      </c>
      <c r="X41" s="136" t="n">
        <f aca="false" ca="false" dt2D="false" dtr="false" t="normal">MID(J39, 3, 1)</f>
        <v>0</v>
      </c>
      <c r="Y41" s="137" t="n">
        <f aca="false" ca="false" dt2D="false" dtr="false" t="normal">X41</f>
        <v>0</v>
      </c>
      <c r="Z41" s="120" t="s">
        <v>195</v>
      </c>
      <c r="AA41" s="131" t="s">
        <v>196</v>
      </c>
      <c r="AB41" s="136" t="n">
        <f aca="false" ca="false" dt2D="false" dtr="false" t="normal">MID(K39, 3, 1)</f>
        <v>0</v>
      </c>
      <c r="AC41" s="137" t="n">
        <f aca="false" ca="false" dt2D="false" dtr="false" t="normal">AB41</f>
        <v>0</v>
      </c>
      <c r="AD41" s="120" t="s">
        <v>195</v>
      </c>
      <c r="AE41" s="131" t="s">
        <v>196</v>
      </c>
      <c r="AF41" s="136" t="n">
        <f aca="false" ca="false" dt2D="false" dtr="false" t="normal">MID(L39, 3, 1)</f>
        <v>0</v>
      </c>
      <c r="AG41" s="137" t="n">
        <f aca="false" ca="false" dt2D="false" dtr="false" t="normal">AF41</f>
        <v>0</v>
      </c>
      <c r="AH41" s="120" t="s">
        <v>195</v>
      </c>
      <c r="AI41" s="131" t="s">
        <v>196</v>
      </c>
      <c r="AJ41" s="10765" t="s"/>
      <c r="AK41" s="10766" t="s"/>
    </row>
    <row hidden="false" ht="15.75" outlineLevel="0" r="42">
      <c r="A42" s="56" t="n"/>
      <c r="B42" s="63" t="n"/>
      <c r="C42" s="98" t="n"/>
      <c r="N42" s="63" t="n"/>
      <c r="P42" s="136" t="n">
        <f aca="false" ca="false" dt2D="false" dtr="false" t="normal">MID(H39, 4, 1)</f>
        <v>0</v>
      </c>
      <c r="Q42" s="137" t="n">
        <f aca="false" ca="false" dt2D="false" dtr="false" t="normal">P42</f>
        <v>0</v>
      </c>
      <c r="R42" s="120" t="s">
        <v>197</v>
      </c>
      <c r="S42" s="131" t="s">
        <v>196</v>
      </c>
      <c r="T42" s="136" t="n">
        <f aca="false" ca="false" dt2D="false" dtr="false" t="normal">MID(I39, 4, 1)</f>
        <v>0</v>
      </c>
      <c r="U42" s="137" t="n">
        <f aca="false" ca="false" dt2D="false" dtr="false" t="normal">T42</f>
        <v>0</v>
      </c>
      <c r="V42" s="120" t="s">
        <v>197</v>
      </c>
      <c r="W42" s="131" t="s">
        <v>196</v>
      </c>
      <c r="X42" s="136" t="n">
        <f aca="false" ca="false" dt2D="false" dtr="false" t="normal">MID(J39, 4, 1)</f>
        <v>0</v>
      </c>
      <c r="Y42" s="137" t="n">
        <f aca="false" ca="false" dt2D="false" dtr="false" t="normal">X42</f>
        <v>0</v>
      </c>
      <c r="Z42" s="120" t="s">
        <v>197</v>
      </c>
      <c r="AA42" s="131" t="s">
        <v>196</v>
      </c>
      <c r="AB42" s="136" t="n">
        <f aca="false" ca="false" dt2D="false" dtr="false" t="normal">MID(K39, 4, 1)</f>
        <v>0</v>
      </c>
      <c r="AC42" s="137" t="n">
        <f aca="false" ca="false" dt2D="false" dtr="false" t="normal">AB42</f>
        <v>0</v>
      </c>
      <c r="AD42" s="120" t="s">
        <v>197</v>
      </c>
      <c r="AE42" s="131" t="s">
        <v>196</v>
      </c>
      <c r="AF42" s="136" t="n">
        <f aca="false" ca="false" dt2D="false" dtr="false" t="normal">MID(L39, 4, 1)</f>
        <v>0</v>
      </c>
      <c r="AG42" s="137" t="n">
        <f aca="false" ca="false" dt2D="false" dtr="false" t="normal">AF42</f>
        <v>0</v>
      </c>
      <c r="AH42" s="120" t="s">
        <v>197</v>
      </c>
      <c r="AI42" s="131" t="s">
        <v>196</v>
      </c>
      <c r="AJ42" s="10767" t="s"/>
      <c r="AK42" s="10768" t="s"/>
    </row>
    <row hidden="false" ht="15.75" outlineLevel="0" r="43">
      <c r="A43" s="56" t="n"/>
      <c r="B43" s="63" t="n"/>
      <c r="C43" s="98" t="s">
        <v>176</v>
      </c>
      <c r="D43" s="122" t="n">
        <f aca="false" ca="false" dt2D="false" dtr="false" t="normal">D38</f>
        <v>7</v>
      </c>
      <c r="E43" s="123" t="str">
        <f aca="false" ca="false" dt2D="false" dtr="false" t="normal">E38</f>
        <v>B2</v>
      </c>
      <c r="F43" s="123" t="n">
        <f aca="false" ca="false" dt2D="false" dtr="false" t="normal">F38</f>
        <v>1</v>
      </c>
      <c r="G43" s="124" t="n">
        <f aca="false" ca="false" dt2D="false" dtr="false" t="normal">G38</f>
        <v>4</v>
      </c>
      <c r="H43" s="162" t="n">
        <f aca="false" ca="false" dt2D="false" dtr="false" t="normal">BIN2HEX(H44, 2)</f>
        <v>0</v>
      </c>
      <c r="I43" s="163" t="n">
        <f aca="false" ca="false" dt2D="false" dtr="false" t="normal">BIN2HEX(I44, 2)</f>
        <v>0</v>
      </c>
      <c r="J43" s="164" t="n">
        <f aca="false" ca="false" dt2D="false" dtr="false" t="normal">BIN2HEX(J44, 2)</f>
        <v>0</v>
      </c>
      <c r="K43" s="165" t="n">
        <f aca="false" ca="false" dt2D="false" dtr="false" t="normal">BIN2HEX(K44, 2)</f>
        <v>0</v>
      </c>
      <c r="L43" s="288" t="n">
        <f aca="false" ca="false" dt2D="false" dtr="false" t="normal">BIN2HEX(L44, 2)</f>
        <v>0</v>
      </c>
      <c r="M43" s="166" t="str">
        <f aca="false" ca="false" dt2D="false" dtr="false" t="normal">IF(LEN(M44)&gt;2, MID(M44, 2, 2), M44)</f>
        <v>BE</v>
      </c>
      <c r="N43" s="63" t="s">
        <v>181</v>
      </c>
      <c r="P43" s="136" t="n">
        <f aca="false" ca="false" dt2D="false" dtr="false" t="normal">MID(H39, 5, 1)</f>
        <v>0</v>
      </c>
      <c r="Q43" s="137" t="n">
        <f aca="false" ca="false" dt2D="false" dtr="false" t="normal">P43</f>
        <v>0</v>
      </c>
      <c r="R43" s="120" t="s">
        <v>200</v>
      </c>
      <c r="S43" s="131" t="s">
        <v>196</v>
      </c>
      <c r="T43" s="136" t="n">
        <f aca="false" ca="false" dt2D="false" dtr="false" t="normal">MID(I39, 5, 1)</f>
        <v>0</v>
      </c>
      <c r="U43" s="137" t="n">
        <f aca="false" ca="false" dt2D="false" dtr="false" t="normal">T43</f>
        <v>0</v>
      </c>
      <c r="V43" s="120" t="s">
        <v>200</v>
      </c>
      <c r="W43" s="131" t="s">
        <v>196</v>
      </c>
      <c r="X43" s="136" t="n">
        <f aca="false" ca="false" dt2D="false" dtr="false" t="normal">MID(J39, 5, 1)</f>
        <v>0</v>
      </c>
      <c r="Y43" s="137" t="n">
        <f aca="false" ca="false" dt2D="false" dtr="false" t="normal">X43</f>
        <v>0</v>
      </c>
      <c r="Z43" s="120" t="s">
        <v>200</v>
      </c>
      <c r="AA43" s="131" t="s">
        <v>196</v>
      </c>
      <c r="AB43" s="136" t="n">
        <f aca="false" ca="false" dt2D="false" dtr="false" t="normal">MID(K39, 5, 1)</f>
        <v>0</v>
      </c>
      <c r="AC43" s="137" t="n">
        <f aca="false" ca="false" dt2D="false" dtr="false" t="normal">AB43</f>
        <v>0</v>
      </c>
      <c r="AD43" s="120" t="s">
        <v>200</v>
      </c>
      <c r="AE43" s="131" t="s">
        <v>196</v>
      </c>
      <c r="AF43" s="136" t="n">
        <f aca="false" ca="false" dt2D="false" dtr="false" t="normal">MID(L39, 5, 1)</f>
        <v>0</v>
      </c>
      <c r="AG43" s="137" t="n">
        <f aca="false" ca="false" dt2D="false" dtr="false" t="normal">AF43</f>
        <v>0</v>
      </c>
      <c r="AH43" s="120" t="s">
        <v>200</v>
      </c>
      <c r="AI43" s="131" t="s">
        <v>196</v>
      </c>
      <c r="AJ43" s="10769" t="s"/>
      <c r="AK43" s="10770" t="s"/>
    </row>
    <row hidden="false" ht="15" outlineLevel="0" r="44">
      <c r="A44" s="56" t="n"/>
      <c r="B44" s="63" t="n"/>
      <c r="C44" s="98" t="s">
        <v>185</v>
      </c>
      <c r="D44" s="149" t="n">
        <f aca="false" ca="false" dt2D="false" dtr="false" t="normal">HEX2BIN(D43, 8)</f>
        <v>111</v>
      </c>
      <c r="E44" s="149" t="n">
        <f aca="false" ca="false" dt2D="false" dtr="false" t="normal">HEX2BIN(E43, 8)</f>
        <v>10110010</v>
      </c>
      <c r="F44" s="149" t="n">
        <f aca="false" ca="false" dt2D="false" dtr="false" t="normal">HEX2BIN(F43, 8)</f>
        <v>1</v>
      </c>
      <c r="G44" s="149" t="n">
        <f aca="false" ca="false" dt2D="false" dtr="false" t="normal">HEX2BIN(G43, 8)</f>
        <v>100</v>
      </c>
      <c r="H44" s="53" t="n">
        <f aca="false" ca="false" dt2D="false" dtr="false" t="normal">Q39&amp;Q40&amp;Q41&amp;Q42&amp;Q43&amp;Q44&amp;Q45&amp;Q46</f>
        <v>0</v>
      </c>
      <c r="I44" s="53" t="n">
        <f aca="false" ca="false" dt2D="false" dtr="false" t="normal">U39&amp;U40&amp;U41&amp;U42&amp;U43&amp;U44&amp;U45&amp;U46</f>
        <v>0</v>
      </c>
      <c r="J44" s="53" t="n">
        <f aca="false" ca="false" dt2D="false" dtr="false" t="normal">Y39&amp;Y40&amp;Y41&amp;Y42&amp;Y43&amp;Y44&amp;Y45&amp;Y46</f>
        <v>0</v>
      </c>
      <c r="K44" s="53" t="n">
        <f aca="false" ca="false" dt2D="false" dtr="false" t="normal">AC39&amp;AC40&amp;AC41&amp;AC42&amp;AC43&amp;AC44&amp;AC45&amp;AC46</f>
        <v>0</v>
      </c>
      <c r="L44" s="53" t="n">
        <f aca="false" ca="false" dt2D="false" dtr="false" t="normal">AG39&amp;AG40&amp;AG41&amp;AG42&amp;AG43&amp;AG44&amp;AG45&amp;AG46</f>
        <v>0</v>
      </c>
      <c r="M44" s="53" t="str">
        <f aca="false" ca="false" dt2D="false" dtr="false" t="normal">DEC2HEX(M45)</f>
        <v>BE</v>
      </c>
      <c r="N44" s="63" t="n"/>
      <c r="P44" s="136" t="n">
        <f aca="false" ca="false" dt2D="false" dtr="false" t="normal">MID(H39, 6, 1)</f>
        <v>0</v>
      </c>
      <c r="Q44" s="137" t="n">
        <f aca="false" ca="false" dt2D="false" dtr="false" t="normal">P44</f>
        <v>0</v>
      </c>
      <c r="R44" s="120" t="s">
        <v>203</v>
      </c>
      <c r="S44" s="131" t="s">
        <v>196</v>
      </c>
      <c r="T44" s="136" t="n">
        <f aca="false" ca="false" dt2D="false" dtr="false" t="normal">MID(I39, 6, 1)</f>
        <v>0</v>
      </c>
      <c r="U44" s="137" t="n">
        <f aca="false" ca="false" dt2D="false" dtr="false" t="normal">T44</f>
        <v>0</v>
      </c>
      <c r="V44" s="120" t="s">
        <v>203</v>
      </c>
      <c r="W44" s="131" t="s">
        <v>196</v>
      </c>
      <c r="X44" s="136" t="n">
        <f aca="false" ca="false" dt2D="false" dtr="false" t="normal">MID(J39, 6, 1)</f>
        <v>0</v>
      </c>
      <c r="Y44" s="137" t="n">
        <f aca="false" ca="false" dt2D="false" dtr="false" t="normal">X44</f>
        <v>0</v>
      </c>
      <c r="Z44" s="120" t="s">
        <v>203</v>
      </c>
      <c r="AA44" s="131" t="s">
        <v>196</v>
      </c>
      <c r="AB44" s="136" t="n">
        <f aca="false" ca="false" dt2D="false" dtr="false" t="normal">MID(K39, 6, 1)</f>
        <v>0</v>
      </c>
      <c r="AC44" s="137" t="n">
        <f aca="false" ca="false" dt2D="false" dtr="false" t="normal">AB44</f>
        <v>0</v>
      </c>
      <c r="AD44" s="120" t="s">
        <v>203</v>
      </c>
      <c r="AE44" s="131" t="s">
        <v>196</v>
      </c>
      <c r="AF44" s="136" t="n">
        <f aca="false" ca="false" dt2D="false" dtr="false" t="normal">MID(L39, 6, 1)</f>
        <v>0</v>
      </c>
      <c r="AG44" s="137" t="n">
        <f aca="false" ca="false" dt2D="false" dtr="false" t="normal">AF44</f>
        <v>0</v>
      </c>
      <c r="AH44" s="120" t="s">
        <v>203</v>
      </c>
      <c r="AI44" s="131" t="s">
        <v>196</v>
      </c>
      <c r="AJ44" s="10771" t="s"/>
      <c r="AK44" s="10772" t="s"/>
    </row>
    <row hidden="false" ht="15" outlineLevel="0" r="45">
      <c r="A45" s="56" t="n"/>
      <c r="B45" s="63" t="n"/>
      <c r="C45" s="98" t="s">
        <v>191</v>
      </c>
      <c r="D45" s="149" t="n">
        <f aca="false" ca="false" dt2D="false" dtr="false" t="normal">HEX2DEC(D43)</f>
        <v>7</v>
      </c>
      <c r="E45" s="149" t="n">
        <f aca="false" ca="false" dt2D="false" dtr="false" t="normal">HEX2DEC(E43)</f>
        <v>178</v>
      </c>
      <c r="F45" s="149" t="n">
        <f aca="false" ca="false" dt2D="false" dtr="false" t="normal">HEX2DEC(F43)</f>
        <v>1</v>
      </c>
      <c r="G45" s="149" t="n">
        <f aca="false" ca="false" dt2D="false" dtr="false" t="normal">HEX2DEC(G43)</f>
        <v>4</v>
      </c>
      <c r="H45" s="53" t="n">
        <f aca="false" ca="false" dt2D="false" dtr="false" t="normal">HEX2DEC(H43)</f>
        <v>0</v>
      </c>
      <c r="I45" s="53" t="n">
        <f aca="false" ca="false" dt2D="false" dtr="false" t="normal">HEX2DEC(I43)</f>
        <v>0</v>
      </c>
      <c r="J45" s="53" t="n">
        <f aca="false" ca="false" dt2D="false" dtr="false" t="normal">HEX2DEC(J43)</f>
        <v>0</v>
      </c>
      <c r="K45" s="53" t="n">
        <f aca="false" ca="false" dt2D="false" dtr="false" t="normal">HEX2DEC(K43)</f>
        <v>0</v>
      </c>
      <c r="L45" s="53" t="n">
        <f aca="false" ca="false" dt2D="false" dtr="false" t="normal">HEX2DEC(L43)</f>
        <v>0</v>
      </c>
      <c r="M45" s="53" t="n">
        <f aca="false" ca="false" dt2D="false" dtr="false" t="normal">SUM(D45:L45)</f>
        <v>190</v>
      </c>
      <c r="N45" s="63" t="n"/>
      <c r="P45" s="136" t="n">
        <f aca="false" ca="false" dt2D="false" dtr="false" t="normal">MID(H39, 7, 1)</f>
        <v>0</v>
      </c>
      <c r="Q45" s="137" t="n">
        <f aca="false" ca="false" dt2D="false" dtr="false" t="normal">P45</f>
        <v>0</v>
      </c>
      <c r="R45" s="120" t="s">
        <v>206</v>
      </c>
      <c r="S45" s="131" t="s">
        <v>196</v>
      </c>
      <c r="T45" s="136" t="n">
        <f aca="false" ca="false" dt2D="false" dtr="false" t="normal">MID(I39, 7, 1)</f>
        <v>0</v>
      </c>
      <c r="U45" s="137" t="n">
        <f aca="false" ca="false" dt2D="false" dtr="false" t="normal">T45</f>
        <v>0</v>
      </c>
      <c r="V45" s="120" t="s">
        <v>206</v>
      </c>
      <c r="W45" s="131" t="s">
        <v>196</v>
      </c>
      <c r="X45" s="136" t="n">
        <f aca="false" ca="false" dt2D="false" dtr="false" t="normal">MID(J39, 7, 1)</f>
        <v>0</v>
      </c>
      <c r="Y45" s="137" t="n">
        <f aca="false" ca="false" dt2D="false" dtr="false" t="normal">X45</f>
        <v>0</v>
      </c>
      <c r="Z45" s="120" t="s">
        <v>206</v>
      </c>
      <c r="AA45" s="131" t="s">
        <v>196</v>
      </c>
      <c r="AB45" s="136" t="n">
        <f aca="false" ca="false" dt2D="false" dtr="false" t="normal">MID(K39, 7, 1)</f>
        <v>0</v>
      </c>
      <c r="AC45" s="137" t="n">
        <f aca="false" ca="false" dt2D="false" dtr="false" t="normal">AB45</f>
        <v>0</v>
      </c>
      <c r="AD45" s="120" t="s">
        <v>206</v>
      </c>
      <c r="AE45" s="131" t="s">
        <v>196</v>
      </c>
      <c r="AF45" s="136" t="n">
        <f aca="false" ca="false" dt2D="false" dtr="false" t="normal">MID(L39, 7, 1)</f>
        <v>0</v>
      </c>
      <c r="AG45" s="137" t="n">
        <f aca="false" ca="false" dt2D="false" dtr="false" t="normal">AF45</f>
        <v>0</v>
      </c>
      <c r="AH45" s="120" t="s">
        <v>206</v>
      </c>
      <c r="AI45" s="131" t="s">
        <v>196</v>
      </c>
      <c r="AJ45" s="10773" t="s"/>
      <c r="AK45" s="10774" t="s"/>
    </row>
    <row hidden="false" ht="15.75" outlineLevel="0" r="46">
      <c r="A46" s="56" t="n"/>
      <c r="B46" s="63" t="n"/>
      <c r="C46" s="180" t="s">
        <v>194</v>
      </c>
      <c r="D46" s="181" t="n">
        <f aca="false" ca="false" dt2D="false" dtr="false" t="normal">D41</f>
        <v>7</v>
      </c>
      <c r="E46" s="181" t="str">
        <f aca="false" ca="false" dt2D="false" dtr="false" t="normal">E41</f>
        <v>B2</v>
      </c>
      <c r="F46" s="181" t="str">
        <f aca="false" ca="false" dt2D="false" dtr="false" t="normal">F41</f>
        <v>G1</v>
      </c>
      <c r="G46" s="181" t="str">
        <f aca="false" ca="false" dt2D="false" dtr="false" t="normal">G41</f>
        <v>G4</v>
      </c>
      <c r="H46" s="45" t="n"/>
      <c r="I46" s="45" t="n"/>
      <c r="J46" s="45" t="n"/>
      <c r="K46" s="45" t="n"/>
      <c r="L46" s="45" t="n"/>
      <c r="M46" s="45" t="n"/>
      <c r="N46" s="49" t="n"/>
      <c r="P46" s="182" t="n">
        <f aca="false" ca="false" dt2D="false" dtr="false" t="normal">MID(H39, 8, 1)</f>
        <v>0</v>
      </c>
      <c r="Q46" s="183" t="n">
        <f aca="false" ca="false" dt2D="false" dtr="false" t="normal">P46</f>
        <v>0</v>
      </c>
      <c r="R46" s="184" t="s">
        <v>208</v>
      </c>
      <c r="S46" s="185" t="s">
        <v>196</v>
      </c>
      <c r="T46" s="182" t="n">
        <f aca="false" ca="false" dt2D="false" dtr="false" t="normal">MID(I39, 8, 1)</f>
        <v>0</v>
      </c>
      <c r="U46" s="183" t="n">
        <f aca="false" ca="false" dt2D="false" dtr="false" t="normal">T46</f>
        <v>0</v>
      </c>
      <c r="V46" s="184" t="s">
        <v>208</v>
      </c>
      <c r="W46" s="185" t="s">
        <v>196</v>
      </c>
      <c r="X46" s="182" t="n">
        <f aca="false" ca="false" dt2D="false" dtr="false" t="normal">MID(J39, 8, 1)</f>
        <v>0</v>
      </c>
      <c r="Y46" s="183" t="n">
        <f aca="false" ca="false" dt2D="false" dtr="false" t="normal">X46</f>
        <v>0</v>
      </c>
      <c r="Z46" s="184" t="s">
        <v>208</v>
      </c>
      <c r="AA46" s="185" t="s">
        <v>196</v>
      </c>
      <c r="AB46" s="182" t="n">
        <f aca="false" ca="false" dt2D="false" dtr="false" t="normal">MID(K39, 8, 1)</f>
        <v>0</v>
      </c>
      <c r="AC46" s="183" t="n">
        <f aca="false" ca="false" dt2D="false" dtr="false" t="normal">AB46</f>
        <v>0</v>
      </c>
      <c r="AD46" s="184" t="s">
        <v>208</v>
      </c>
      <c r="AE46" s="185" t="s">
        <v>196</v>
      </c>
      <c r="AF46" s="182" t="n">
        <f aca="false" ca="false" dt2D="false" dtr="false" t="normal">MID(L39, 8, 1)</f>
        <v>0</v>
      </c>
      <c r="AG46" s="183" t="n">
        <f aca="false" ca="false" dt2D="false" dtr="false" t="normal">AF46</f>
        <v>0</v>
      </c>
      <c r="AH46" s="184" t="s">
        <v>208</v>
      </c>
      <c r="AI46" s="185" t="s">
        <v>196</v>
      </c>
      <c r="AJ46" s="10775" t="s"/>
      <c r="AK46" s="10776" t="s"/>
    </row>
    <row hidden="false" ht="15.75" outlineLevel="0" r="47">
      <c r="A47" s="56" t="n"/>
      <c r="B47" s="63" t="n"/>
      <c r="C47" s="93" t="n"/>
      <c r="D47" s="7585" t="n"/>
      <c r="E47" s="7585" t="n"/>
      <c r="F47" s="7585" t="n"/>
      <c r="G47" s="7585" t="n"/>
      <c r="H47" s="94" t="n"/>
      <c r="I47" s="94" t="n"/>
      <c r="J47" s="94" t="n"/>
      <c r="K47" s="94" t="n"/>
      <c r="L47" s="94" t="n"/>
      <c r="M47" s="94" t="s">
        <v>161</v>
      </c>
      <c r="N47" s="60" t="n"/>
      <c r="P47" s="95" t="str">
        <f aca="false" ca="false" dt2D="false" dtr="false" t="normal">RIGHT(D49, 1)&amp;E49&amp;"-"&amp;F49&amp;"-"&amp;G49</f>
        <v>7B2-01-05</v>
      </c>
      <c r="Q47" s="10777" t="s"/>
      <c r="R47" s="234" t="s">
        <v>4400</v>
      </c>
      <c r="S47" s="10778" t="s"/>
      <c r="T47" s="10779" t="s"/>
      <c r="U47" s="10780" t="s"/>
      <c r="V47" s="10781" t="s"/>
      <c r="W47" s="10782" t="s"/>
      <c r="X47" s="10783" t="s"/>
      <c r="Y47" s="10784" t="s"/>
      <c r="Z47" s="10785" t="s"/>
      <c r="AA47" s="10786" t="s"/>
      <c r="AB47" s="10787" t="s"/>
      <c r="AC47" s="10788" t="s"/>
      <c r="AD47" s="10789" t="s"/>
      <c r="AE47" s="10790" t="s"/>
      <c r="AF47" s="10791" t="s"/>
      <c r="AG47" s="10792" t="s"/>
      <c r="AH47" s="10793" t="s"/>
      <c r="AI47" s="10794" t="s"/>
      <c r="AJ47" s="10795" t="s"/>
      <c r="AK47" s="10796" t="s"/>
    </row>
    <row hidden="false" ht="15.75" outlineLevel="0" r="48">
      <c r="A48" s="56" t="n"/>
      <c r="B48" s="63" t="n"/>
      <c r="C48" s="98" t="n"/>
      <c r="D48" s="7606" t="s">
        <v>4401</v>
      </c>
      <c r="E48" s="10797" t="s"/>
      <c r="F48" s="10798" t="s"/>
      <c r="G48" s="10799" t="s"/>
      <c r="H48" s="53" t="s">
        <v>165</v>
      </c>
      <c r="I48" s="53" t="s">
        <v>166</v>
      </c>
      <c r="J48" s="53" t="s">
        <v>167</v>
      </c>
      <c r="K48" s="53" t="s">
        <v>168</v>
      </c>
      <c r="L48" s="53" t="s">
        <v>169</v>
      </c>
      <c r="M48" s="53" t="s">
        <v>221</v>
      </c>
      <c r="N48" s="63" t="n"/>
      <c r="P48" s="103" t="s">
        <v>4402</v>
      </c>
      <c r="Q48" s="10800" t="s"/>
      <c r="R48" s="10801" t="s"/>
      <c r="S48" s="10802" t="s"/>
      <c r="T48" s="103" t="s">
        <v>4403</v>
      </c>
      <c r="U48" s="10803" t="s"/>
      <c r="V48" s="10804" t="s"/>
      <c r="W48" s="10805" t="s"/>
      <c r="X48" s="103" t="s">
        <v>4404</v>
      </c>
      <c r="Y48" s="10806" t="s"/>
      <c r="Z48" s="10807" t="s"/>
      <c r="AA48" s="10808" t="s"/>
      <c r="AB48" s="103" t="s">
        <v>4405</v>
      </c>
      <c r="AC48" s="10809" t="s"/>
      <c r="AD48" s="10810" t="s"/>
      <c r="AE48" s="10811" t="s"/>
      <c r="AF48" s="103" t="s">
        <v>4406</v>
      </c>
      <c r="AG48" s="10812" t="s"/>
      <c r="AH48" s="10813" t="s"/>
      <c r="AI48" s="10814" t="s"/>
      <c r="AJ48" s="103" t="s">
        <v>4407</v>
      </c>
      <c r="AK48" s="10815" t="s"/>
    </row>
    <row hidden="false" ht="15.75" outlineLevel="0" r="49">
      <c r="A49" s="56" t="n"/>
      <c r="B49" s="63" t="n"/>
      <c r="C49" s="98" t="s">
        <v>176</v>
      </c>
      <c r="D49" s="122" t="s">
        <v>177</v>
      </c>
      <c r="E49" s="123" t="s">
        <v>167</v>
      </c>
      <c r="F49" s="123" t="s">
        <v>179</v>
      </c>
      <c r="G49" s="124" t="s">
        <v>347</v>
      </c>
      <c r="H49" s="273" t="n">
        <f aca="false" ca="false" dt2D="false" dtr="false" t="normal">MID($A$8, 8, 2)</f>
        <v>0</v>
      </c>
      <c r="I49" s="7626" t="n">
        <f aca="false" ca="false" dt2D="false" dtr="false" t="normal">MID($A$8, 10, 2)</f>
        <v>0</v>
      </c>
      <c r="J49" s="7626" t="n">
        <f aca="false" ca="false" dt2D="false" dtr="false" t="normal">MID($A$8, 12, 2)</f>
        <v>0</v>
      </c>
      <c r="K49" s="7626" t="n">
        <f aca="false" ca="false" dt2D="false" dtr="false" t="normal">MID($A$8, 14, 2)</f>
        <v>0</v>
      </c>
      <c r="L49" s="7627" t="n">
        <f aca="false" ca="false" dt2D="false" dtr="false" t="normal">MID($A$8, 16, 2)</f>
        <v>0</v>
      </c>
      <c r="M49" s="7553" t="str">
        <f aca="false" ca="false" dt2D="false" dtr="false" t="normal">MID($A$8, 18, 2)</f>
        <v>BF</v>
      </c>
      <c r="N49" s="63" t="s">
        <v>180</v>
      </c>
      <c r="P49" s="129" t="s">
        <v>180</v>
      </c>
      <c r="Q49" s="130" t="s">
        <v>181</v>
      </c>
      <c r="R49" s="121" t="s">
        <v>182</v>
      </c>
      <c r="S49" s="131" t="n"/>
      <c r="T49" s="129" t="s">
        <v>180</v>
      </c>
      <c r="U49" s="130" t="s">
        <v>181</v>
      </c>
      <c r="V49" s="121" t="s">
        <v>182</v>
      </c>
      <c r="W49" s="131" t="n"/>
      <c r="X49" s="129" t="s">
        <v>180</v>
      </c>
      <c r="Y49" s="130" t="s">
        <v>181</v>
      </c>
      <c r="Z49" s="121" t="s">
        <v>182</v>
      </c>
      <c r="AA49" s="131" t="n"/>
      <c r="AB49" s="129" t="s">
        <v>180</v>
      </c>
      <c r="AC49" s="130" t="s">
        <v>181</v>
      </c>
      <c r="AD49" s="121" t="s">
        <v>182</v>
      </c>
      <c r="AE49" s="131" t="n"/>
      <c r="AF49" s="129" t="s">
        <v>180</v>
      </c>
      <c r="AG49" s="130" t="s">
        <v>181</v>
      </c>
      <c r="AH49" s="121" t="s">
        <v>182</v>
      </c>
      <c r="AI49" s="121" t="n"/>
      <c r="AJ49" s="116" t="s">
        <v>183</v>
      </c>
      <c r="AK49" s="10816" t="s"/>
    </row>
    <row hidden="false" ht="15" outlineLevel="0" r="50">
      <c r="A50" s="56" t="n"/>
      <c r="B50" s="63" t="n"/>
      <c r="C50" s="98" t="s">
        <v>185</v>
      </c>
      <c r="D50" s="149" t="n">
        <f aca="false" ca="false" dt2D="false" dtr="false" t="normal">HEX2BIN(D49, 8)</f>
        <v>111</v>
      </c>
      <c r="E50" s="149" t="n">
        <f aca="false" ca="false" dt2D="false" dtr="false" t="normal">HEX2BIN(E49, 8)</f>
        <v>10110010</v>
      </c>
      <c r="F50" s="149" t="n">
        <f aca="false" ca="false" dt2D="false" dtr="false" t="normal">HEX2BIN(F49, 8)</f>
        <v>1</v>
      </c>
      <c r="G50" s="149" t="n">
        <f aca="false" ca="false" dt2D="false" dtr="false" t="normal">HEX2BIN(G49, 8)</f>
        <v>101</v>
      </c>
      <c r="H50" s="53" t="n">
        <f aca="false" ca="false" dt2D="false" dtr="false" t="normal">HEX2BIN(H49, 8)</f>
        <v>0</v>
      </c>
      <c r="I50" s="53" t="n">
        <f aca="false" ca="false" dt2D="false" dtr="false" t="normal">HEX2BIN(I49, 8)</f>
        <v>0</v>
      </c>
      <c r="J50" s="53" t="n">
        <f aca="false" ca="false" dt2D="false" dtr="false" t="normal">HEX2BIN(J49, 8)</f>
        <v>0</v>
      </c>
      <c r="K50" s="53" t="n">
        <f aca="false" ca="false" dt2D="false" dtr="false" t="normal">HEX2BIN(K49, 8)</f>
        <v>0</v>
      </c>
      <c r="L50" s="53" t="n">
        <f aca="false" ca="false" dt2D="false" dtr="false" t="normal">HEX2BIN(L49, 8)</f>
        <v>0</v>
      </c>
      <c r="M50" s="53" t="n"/>
      <c r="N50" s="63" t="n"/>
      <c r="P50" s="136" t="n">
        <f aca="false" ca="false" dt2D="false" dtr="false" t="normal">MID(H50, 1, 1)</f>
        <v>0</v>
      </c>
      <c r="Q50" s="137" t="n">
        <f aca="false" ca="false" dt2D="false" dtr="false" t="normal">P50</f>
        <v>0</v>
      </c>
      <c r="R50" s="120" t="s">
        <v>186</v>
      </c>
      <c r="S50" s="131" t="s">
        <v>196</v>
      </c>
      <c r="T50" s="136" t="n">
        <f aca="false" ca="false" dt2D="false" dtr="false" t="normal">MID(I50, 1, 1)</f>
        <v>0</v>
      </c>
      <c r="U50" s="137" t="n">
        <f aca="false" ca="false" dt2D="false" dtr="false" t="normal">T50</f>
        <v>0</v>
      </c>
      <c r="V50" s="120" t="s">
        <v>186</v>
      </c>
      <c r="W50" s="131" t="s">
        <v>196</v>
      </c>
      <c r="X50" s="136" t="n">
        <f aca="false" ca="false" dt2D="false" dtr="false" t="normal">MID(J50, 1, 1)</f>
        <v>0</v>
      </c>
      <c r="Y50" s="137" t="n">
        <f aca="false" ca="false" dt2D="false" dtr="false" t="normal">X50</f>
        <v>0</v>
      </c>
      <c r="Z50" s="120" t="s">
        <v>186</v>
      </c>
      <c r="AA50" s="131" t="s">
        <v>196</v>
      </c>
      <c r="AB50" s="136" t="n">
        <f aca="false" ca="false" dt2D="false" dtr="false" t="normal">MID(K50, 1, 1)</f>
        <v>0</v>
      </c>
      <c r="AC50" s="137" t="n">
        <f aca="false" ca="false" dt2D="false" dtr="false" t="normal">AB50</f>
        <v>0</v>
      </c>
      <c r="AD50" s="120" t="s">
        <v>186</v>
      </c>
      <c r="AE50" s="131" t="s">
        <v>196</v>
      </c>
      <c r="AF50" s="136" t="n">
        <f aca="false" ca="false" dt2D="false" dtr="false" t="normal">MID(L50, 1, 1)</f>
        <v>0</v>
      </c>
      <c r="AG50" s="137" t="n">
        <f aca="false" ca="false" dt2D="false" dtr="false" t="normal">AF50</f>
        <v>0</v>
      </c>
      <c r="AH50" s="120" t="s">
        <v>186</v>
      </c>
      <c r="AI50" s="131" t="s">
        <v>196</v>
      </c>
      <c r="AJ50" s="10817" t="s"/>
      <c r="AK50" s="10818" t="s"/>
    </row>
    <row hidden="false" ht="15" outlineLevel="0" r="51">
      <c r="A51" s="56" t="n"/>
      <c r="B51" s="63" t="n"/>
      <c r="C51" s="98" t="s">
        <v>191</v>
      </c>
      <c r="D51" s="149" t="n">
        <f aca="false" ca="false" dt2D="false" dtr="false" t="normal">HEX2DEC(D49)</f>
        <v>7</v>
      </c>
      <c r="E51" s="149" t="n">
        <f aca="false" ca="false" dt2D="false" dtr="false" t="normal">HEX2DEC(E49)</f>
        <v>178</v>
      </c>
      <c r="F51" s="149" t="n">
        <f aca="false" ca="false" dt2D="false" dtr="false" t="normal">HEX2DEC(F49)</f>
        <v>1</v>
      </c>
      <c r="G51" s="149" t="n">
        <f aca="false" ca="false" dt2D="false" dtr="false" t="normal">HEX2DEC(G49)</f>
        <v>5</v>
      </c>
      <c r="H51" s="53" t="n">
        <f aca="false" ca="false" dt2D="false" dtr="false" t="normal">HEX2DEC(H49)</f>
        <v>0</v>
      </c>
      <c r="I51" s="53" t="n">
        <f aca="false" ca="false" dt2D="false" dtr="false" t="normal">HEX2DEC(I49)</f>
        <v>0</v>
      </c>
      <c r="J51" s="53" t="n">
        <f aca="false" ca="false" dt2D="false" dtr="false" t="normal">HEX2DEC(J49)</f>
        <v>0</v>
      </c>
      <c r="K51" s="53" t="n">
        <f aca="false" ca="false" dt2D="false" dtr="false" t="normal">HEX2DEC(K49)</f>
        <v>0</v>
      </c>
      <c r="L51" s="53" t="n">
        <f aca="false" ca="false" dt2D="false" dtr="false" t="normal">HEX2DEC(L49)</f>
        <v>0</v>
      </c>
      <c r="M51" s="53" t="n">
        <f aca="false" ca="false" dt2D="false" dtr="false" t="normal">SUM(D51:L51)</f>
        <v>191</v>
      </c>
      <c r="N51" s="63" t="n"/>
      <c r="P51" s="136" t="n">
        <f aca="false" ca="false" dt2D="false" dtr="false" t="normal">MID(H50, 2, 1)</f>
        <v>0</v>
      </c>
      <c r="Q51" s="137" t="n">
        <f aca="false" ca="false" dt2D="false" dtr="false" t="normal">P51</f>
        <v>0</v>
      </c>
      <c r="R51" s="120" t="s">
        <v>192</v>
      </c>
      <c r="S51" s="131" t="s">
        <v>196</v>
      </c>
      <c r="T51" s="136" t="n">
        <f aca="false" ca="false" dt2D="false" dtr="false" t="normal">MID(I50, 2, 1)</f>
        <v>0</v>
      </c>
      <c r="U51" s="137" t="n">
        <f aca="false" ca="false" dt2D="false" dtr="false" t="normal">T51</f>
        <v>0</v>
      </c>
      <c r="V51" s="120" t="s">
        <v>192</v>
      </c>
      <c r="W51" s="131" t="s">
        <v>196</v>
      </c>
      <c r="X51" s="136" t="n">
        <f aca="false" ca="false" dt2D="false" dtr="false" t="normal">MID(J50, 2, 1)</f>
        <v>0</v>
      </c>
      <c r="Y51" s="137" t="n">
        <f aca="false" ca="false" dt2D="false" dtr="false" t="normal">X51</f>
        <v>0</v>
      </c>
      <c r="Z51" s="120" t="s">
        <v>192</v>
      </c>
      <c r="AA51" s="131" t="s">
        <v>196</v>
      </c>
      <c r="AB51" s="136" t="n">
        <f aca="false" ca="false" dt2D="false" dtr="false" t="normal">MID(K50, 2, 1)</f>
        <v>0</v>
      </c>
      <c r="AC51" s="137" t="n">
        <f aca="false" ca="false" dt2D="false" dtr="false" t="normal">AB51</f>
        <v>0</v>
      </c>
      <c r="AD51" s="120" t="s">
        <v>192</v>
      </c>
      <c r="AE51" s="131" t="s">
        <v>196</v>
      </c>
      <c r="AF51" s="136" t="n">
        <f aca="false" ca="false" dt2D="false" dtr="false" t="normal">MID(L50, 2, 1)</f>
        <v>0</v>
      </c>
      <c r="AG51" s="137" t="n">
        <f aca="false" ca="false" dt2D="false" dtr="false" t="normal">AF51</f>
        <v>0</v>
      </c>
      <c r="AH51" s="120" t="s">
        <v>192</v>
      </c>
      <c r="AI51" s="131" t="s">
        <v>196</v>
      </c>
      <c r="AJ51" s="10819" t="s"/>
      <c r="AK51" s="10820" t="s"/>
    </row>
    <row hidden="false" ht="15" outlineLevel="0" r="52">
      <c r="A52" s="56" t="n"/>
      <c r="B52" s="63" t="n"/>
      <c r="C52" s="98" t="s">
        <v>194</v>
      </c>
      <c r="D52" s="149" t="n">
        <f aca="false" ca="false" dt2D="false" dtr="false" t="normal">D49</f>
        <v>7</v>
      </c>
      <c r="E52" s="149" t="str">
        <f aca="false" ca="false" dt2D="false" dtr="false" t="normal">E49</f>
        <v>B2</v>
      </c>
      <c r="F52" s="149" t="str">
        <f aca="false" ca="false" dt2D="false" dtr="false" t="normal">MID($A$8, 4, 2)</f>
        <v>G1</v>
      </c>
      <c r="G52" s="149" t="str">
        <f aca="false" ca="false" dt2D="false" dtr="false" t="normal">MID($A$8, 6, 2)</f>
        <v>G5</v>
      </c>
      <c r="N52" s="63" t="n"/>
      <c r="P52" s="136" t="n">
        <f aca="false" ca="false" dt2D="false" dtr="false" t="normal">MID(H50, 3, 1)</f>
        <v>0</v>
      </c>
      <c r="Q52" s="137" t="n">
        <f aca="false" ca="false" dt2D="false" dtr="false" t="normal">P52</f>
        <v>0</v>
      </c>
      <c r="R52" s="120" t="s">
        <v>195</v>
      </c>
      <c r="S52" s="131" t="s">
        <v>196</v>
      </c>
      <c r="T52" s="136" t="n">
        <f aca="false" ca="false" dt2D="false" dtr="false" t="normal">MID(I50, 3, 1)</f>
        <v>0</v>
      </c>
      <c r="U52" s="137" t="n">
        <f aca="false" ca="false" dt2D="false" dtr="false" t="normal">T52</f>
        <v>0</v>
      </c>
      <c r="V52" s="120" t="s">
        <v>195</v>
      </c>
      <c r="W52" s="131" t="s">
        <v>196</v>
      </c>
      <c r="X52" s="136" t="n">
        <f aca="false" ca="false" dt2D="false" dtr="false" t="normal">MID(J50, 3, 1)</f>
        <v>0</v>
      </c>
      <c r="Y52" s="137" t="n">
        <f aca="false" ca="false" dt2D="false" dtr="false" t="normal">X52</f>
        <v>0</v>
      </c>
      <c r="Z52" s="120" t="s">
        <v>195</v>
      </c>
      <c r="AA52" s="131" t="s">
        <v>196</v>
      </c>
      <c r="AB52" s="136" t="n">
        <f aca="false" ca="false" dt2D="false" dtr="false" t="normal">MID(K50, 3, 1)</f>
        <v>0</v>
      </c>
      <c r="AC52" s="137" t="n">
        <f aca="false" ca="false" dt2D="false" dtr="false" t="normal">AB52</f>
        <v>0</v>
      </c>
      <c r="AD52" s="120" t="s">
        <v>195</v>
      </c>
      <c r="AE52" s="131" t="s">
        <v>196</v>
      </c>
      <c r="AF52" s="136" t="n">
        <f aca="false" ca="false" dt2D="false" dtr="false" t="normal">MID(L50, 3, 1)</f>
        <v>0</v>
      </c>
      <c r="AG52" s="137" t="n">
        <f aca="false" ca="false" dt2D="false" dtr="false" t="normal">AF52</f>
        <v>0</v>
      </c>
      <c r="AH52" s="120" t="s">
        <v>195</v>
      </c>
      <c r="AI52" s="131" t="s">
        <v>196</v>
      </c>
      <c r="AJ52" s="10821" t="s"/>
      <c r="AK52" s="10822" t="s"/>
    </row>
    <row hidden="false" ht="15.75" outlineLevel="0" r="53">
      <c r="A53" s="56" t="n"/>
      <c r="B53" s="63" t="n"/>
      <c r="C53" s="98" t="n"/>
      <c r="N53" s="63" t="n"/>
      <c r="P53" s="136" t="n">
        <f aca="false" ca="false" dt2D="false" dtr="false" t="normal">MID(H50, 4, 1)</f>
        <v>0</v>
      </c>
      <c r="Q53" s="137" t="n">
        <f aca="false" ca="false" dt2D="false" dtr="false" t="normal">P53</f>
        <v>0</v>
      </c>
      <c r="R53" s="120" t="s">
        <v>197</v>
      </c>
      <c r="S53" s="131" t="s">
        <v>196</v>
      </c>
      <c r="T53" s="136" t="n">
        <f aca="false" ca="false" dt2D="false" dtr="false" t="normal">MID(I50, 4, 1)</f>
        <v>0</v>
      </c>
      <c r="U53" s="137" t="n">
        <f aca="false" ca="false" dt2D="false" dtr="false" t="normal">T53</f>
        <v>0</v>
      </c>
      <c r="V53" s="120" t="s">
        <v>197</v>
      </c>
      <c r="W53" s="131" t="s">
        <v>196</v>
      </c>
      <c r="X53" s="136" t="n">
        <f aca="false" ca="false" dt2D="false" dtr="false" t="normal">MID(J50, 4, 1)</f>
        <v>0</v>
      </c>
      <c r="Y53" s="137" t="n">
        <f aca="false" ca="false" dt2D="false" dtr="false" t="normal">X53</f>
        <v>0</v>
      </c>
      <c r="Z53" s="120" t="s">
        <v>197</v>
      </c>
      <c r="AA53" s="131" t="s">
        <v>196</v>
      </c>
      <c r="AB53" s="136" t="n">
        <f aca="false" ca="false" dt2D="false" dtr="false" t="normal">MID(K50, 4, 1)</f>
        <v>0</v>
      </c>
      <c r="AC53" s="137" t="n">
        <f aca="false" ca="false" dt2D="false" dtr="false" t="normal">AB53</f>
        <v>0</v>
      </c>
      <c r="AD53" s="120" t="s">
        <v>197</v>
      </c>
      <c r="AE53" s="131" t="s">
        <v>196</v>
      </c>
      <c r="AF53" s="136" t="n">
        <f aca="false" ca="false" dt2D="false" dtr="false" t="normal">MID(L50, 4, 1)</f>
        <v>0</v>
      </c>
      <c r="AG53" s="137" t="n">
        <f aca="false" ca="false" dt2D="false" dtr="false" t="normal">AF53</f>
        <v>0</v>
      </c>
      <c r="AH53" s="120" t="s">
        <v>197</v>
      </c>
      <c r="AI53" s="131" t="s">
        <v>196</v>
      </c>
      <c r="AJ53" s="10823" t="s"/>
      <c r="AK53" s="10824" t="s"/>
    </row>
    <row hidden="false" ht="15.75" outlineLevel="0" r="54">
      <c r="A54" s="56" t="n"/>
      <c r="B54" s="63" t="n"/>
      <c r="C54" s="98" t="s">
        <v>176</v>
      </c>
      <c r="D54" s="122" t="n">
        <f aca="false" ca="false" dt2D="false" dtr="false" t="normal">D49</f>
        <v>7</v>
      </c>
      <c r="E54" s="123" t="str">
        <f aca="false" ca="false" dt2D="false" dtr="false" t="normal">E49</f>
        <v>B2</v>
      </c>
      <c r="F54" s="123" t="n">
        <f aca="false" ca="false" dt2D="false" dtr="false" t="normal">F49</f>
        <v>1</v>
      </c>
      <c r="G54" s="124" t="n">
        <f aca="false" ca="false" dt2D="false" dtr="false" t="normal">G49</f>
        <v>5</v>
      </c>
      <c r="H54" s="162" t="n">
        <f aca="false" ca="false" dt2D="false" dtr="false" t="normal">BIN2HEX(H55, 2)</f>
        <v>0</v>
      </c>
      <c r="I54" s="163" t="n">
        <f aca="false" ca="false" dt2D="false" dtr="false" t="normal">BIN2HEX(I55, 2)</f>
        <v>0</v>
      </c>
      <c r="J54" s="164" t="n">
        <f aca="false" ca="false" dt2D="false" dtr="false" t="normal">BIN2HEX(J55, 2)</f>
        <v>0</v>
      </c>
      <c r="K54" s="165" t="n">
        <f aca="false" ca="false" dt2D="false" dtr="false" t="normal">BIN2HEX(K55, 2)</f>
        <v>0</v>
      </c>
      <c r="L54" s="288" t="n">
        <f aca="false" ca="false" dt2D="false" dtr="false" t="normal">BIN2HEX(L55, 2)</f>
        <v>0</v>
      </c>
      <c r="M54" s="166" t="str">
        <f aca="false" ca="false" dt2D="false" dtr="false" t="normal">IF(LEN(M55)&gt;2, MID(M55, 2, 2), M55)</f>
        <v>BF</v>
      </c>
      <c r="N54" s="63" t="s">
        <v>181</v>
      </c>
      <c r="P54" s="136" t="n">
        <f aca="false" ca="false" dt2D="false" dtr="false" t="normal">MID(H50, 5, 1)</f>
        <v>0</v>
      </c>
      <c r="Q54" s="137" t="n">
        <f aca="false" ca="false" dt2D="false" dtr="false" t="normal">P54</f>
        <v>0</v>
      </c>
      <c r="R54" s="120" t="s">
        <v>200</v>
      </c>
      <c r="S54" s="131" t="s">
        <v>196</v>
      </c>
      <c r="T54" s="136" t="n">
        <f aca="false" ca="false" dt2D="false" dtr="false" t="normal">MID(I50, 5, 1)</f>
        <v>0</v>
      </c>
      <c r="U54" s="137" t="n">
        <f aca="false" ca="false" dt2D="false" dtr="false" t="normal">T54</f>
        <v>0</v>
      </c>
      <c r="V54" s="120" t="s">
        <v>200</v>
      </c>
      <c r="W54" s="131" t="s">
        <v>196</v>
      </c>
      <c r="X54" s="136" t="n">
        <f aca="false" ca="false" dt2D="false" dtr="false" t="normal">MID(J50, 5, 1)</f>
        <v>0</v>
      </c>
      <c r="Y54" s="137" t="n">
        <f aca="false" ca="false" dt2D="false" dtr="false" t="normal">X54</f>
        <v>0</v>
      </c>
      <c r="Z54" s="120" t="s">
        <v>200</v>
      </c>
      <c r="AA54" s="131" t="s">
        <v>196</v>
      </c>
      <c r="AB54" s="136" t="n">
        <f aca="false" ca="false" dt2D="false" dtr="false" t="normal">MID(K50, 5, 1)</f>
        <v>0</v>
      </c>
      <c r="AC54" s="137" t="n">
        <f aca="false" ca="false" dt2D="false" dtr="false" t="normal">AB54</f>
        <v>0</v>
      </c>
      <c r="AD54" s="120" t="s">
        <v>200</v>
      </c>
      <c r="AE54" s="131" t="s">
        <v>196</v>
      </c>
      <c r="AF54" s="136" t="n">
        <f aca="false" ca="false" dt2D="false" dtr="false" t="normal">MID(L50, 5, 1)</f>
        <v>0</v>
      </c>
      <c r="AG54" s="137" t="n">
        <f aca="false" ca="false" dt2D="false" dtr="false" t="normal">AF54</f>
        <v>0</v>
      </c>
      <c r="AH54" s="120" t="s">
        <v>200</v>
      </c>
      <c r="AI54" s="131" t="s">
        <v>196</v>
      </c>
      <c r="AJ54" s="10825" t="s"/>
      <c r="AK54" s="10826" t="s"/>
    </row>
    <row hidden="false" ht="15" outlineLevel="0" r="55">
      <c r="A55" s="56" t="n"/>
      <c r="B55" s="63" t="n"/>
      <c r="C55" s="98" t="s">
        <v>185</v>
      </c>
      <c r="D55" s="149" t="n">
        <f aca="false" ca="false" dt2D="false" dtr="false" t="normal">HEX2BIN(D54, 8)</f>
        <v>111</v>
      </c>
      <c r="E55" s="149" t="n">
        <f aca="false" ca="false" dt2D="false" dtr="false" t="normal">HEX2BIN(E54, 8)</f>
        <v>10110010</v>
      </c>
      <c r="F55" s="149" t="n">
        <f aca="false" ca="false" dt2D="false" dtr="false" t="normal">HEX2BIN(F54, 8)</f>
        <v>1</v>
      </c>
      <c r="G55" s="149" t="n">
        <f aca="false" ca="false" dt2D="false" dtr="false" t="normal">HEX2BIN(G54, 8)</f>
        <v>101</v>
      </c>
      <c r="H55" s="53" t="n">
        <f aca="false" ca="false" dt2D="false" dtr="false" t="normal">Q50&amp;Q51&amp;Q52&amp;Q53&amp;Q54&amp;Q55&amp;Q56&amp;Q57</f>
        <v>0</v>
      </c>
      <c r="I55" s="53" t="n">
        <f aca="false" ca="false" dt2D="false" dtr="false" t="normal">U50&amp;U51&amp;U52&amp;U53&amp;U54&amp;U55&amp;U56&amp;U57</f>
        <v>0</v>
      </c>
      <c r="J55" s="53" t="n">
        <f aca="false" ca="false" dt2D="false" dtr="false" t="normal">Y50&amp;Y51&amp;Y52&amp;Y53&amp;Y54&amp;Y55&amp;Y56&amp;Y57</f>
        <v>0</v>
      </c>
      <c r="K55" s="53" t="n">
        <f aca="false" ca="false" dt2D="false" dtr="false" t="normal">AC50&amp;AC51&amp;AC52&amp;AC53&amp;AC54&amp;AC55&amp;AC56&amp;AC57</f>
        <v>0</v>
      </c>
      <c r="L55" s="53" t="n">
        <f aca="false" ca="false" dt2D="false" dtr="false" t="normal">AG50&amp;AG51&amp;AG52&amp;AG53&amp;AG54&amp;AG55&amp;AG56&amp;AG57</f>
        <v>0</v>
      </c>
      <c r="M55" s="53" t="str">
        <f aca="false" ca="false" dt2D="false" dtr="false" t="normal">DEC2HEX(M56)</f>
        <v>BF</v>
      </c>
      <c r="N55" s="63" t="n"/>
      <c r="P55" s="136" t="n">
        <f aca="false" ca="false" dt2D="false" dtr="false" t="normal">MID(H50, 6, 1)</f>
        <v>0</v>
      </c>
      <c r="Q55" s="137" t="n">
        <f aca="false" ca="false" dt2D="false" dtr="false" t="normal">P55</f>
        <v>0</v>
      </c>
      <c r="R55" s="120" t="s">
        <v>203</v>
      </c>
      <c r="S55" s="131" t="s">
        <v>196</v>
      </c>
      <c r="T55" s="136" t="n">
        <f aca="false" ca="false" dt2D="false" dtr="false" t="normal">MID(I50, 6, 1)</f>
        <v>0</v>
      </c>
      <c r="U55" s="137" t="n">
        <f aca="false" ca="false" dt2D="false" dtr="false" t="normal">T55</f>
        <v>0</v>
      </c>
      <c r="V55" s="120" t="s">
        <v>203</v>
      </c>
      <c r="W55" s="131" t="s">
        <v>196</v>
      </c>
      <c r="X55" s="136" t="n">
        <f aca="false" ca="false" dt2D="false" dtr="false" t="normal">MID(J50, 6, 1)</f>
        <v>0</v>
      </c>
      <c r="Y55" s="137" t="n">
        <f aca="false" ca="false" dt2D="false" dtr="false" t="normal">X55</f>
        <v>0</v>
      </c>
      <c r="Z55" s="120" t="s">
        <v>203</v>
      </c>
      <c r="AA55" s="131" t="s">
        <v>196</v>
      </c>
      <c r="AB55" s="136" t="n">
        <f aca="false" ca="false" dt2D="false" dtr="false" t="normal">MID(K50, 6, 1)</f>
        <v>0</v>
      </c>
      <c r="AC55" s="137" t="n">
        <f aca="false" ca="false" dt2D="false" dtr="false" t="normal">AB55</f>
        <v>0</v>
      </c>
      <c r="AD55" s="120" t="s">
        <v>203</v>
      </c>
      <c r="AE55" s="131" t="s">
        <v>196</v>
      </c>
      <c r="AF55" s="136" t="n">
        <f aca="false" ca="false" dt2D="false" dtr="false" t="normal">MID(L50, 6, 1)</f>
        <v>0</v>
      </c>
      <c r="AG55" s="137" t="n">
        <f aca="false" ca="false" dt2D="false" dtr="false" t="normal">AF55</f>
        <v>0</v>
      </c>
      <c r="AH55" s="120" t="s">
        <v>203</v>
      </c>
      <c r="AI55" s="131" t="s">
        <v>196</v>
      </c>
      <c r="AJ55" s="10827" t="s"/>
      <c r="AK55" s="10828" t="s"/>
    </row>
    <row hidden="false" ht="15" outlineLevel="0" r="56">
      <c r="A56" s="56" t="n"/>
      <c r="B56" s="63" t="n"/>
      <c r="C56" s="98" t="s">
        <v>191</v>
      </c>
      <c r="D56" s="149" t="n">
        <f aca="false" ca="false" dt2D="false" dtr="false" t="normal">HEX2DEC(D54)</f>
        <v>7</v>
      </c>
      <c r="E56" s="149" t="n">
        <f aca="false" ca="false" dt2D="false" dtr="false" t="normal">HEX2DEC(E54)</f>
        <v>178</v>
      </c>
      <c r="F56" s="149" t="n">
        <f aca="false" ca="false" dt2D="false" dtr="false" t="normal">HEX2DEC(F54)</f>
        <v>1</v>
      </c>
      <c r="G56" s="149" t="n">
        <f aca="false" ca="false" dt2D="false" dtr="false" t="normal">HEX2DEC(G54)</f>
        <v>5</v>
      </c>
      <c r="H56" s="53" t="n">
        <f aca="false" ca="false" dt2D="false" dtr="false" t="normal">HEX2DEC(H54)</f>
        <v>0</v>
      </c>
      <c r="I56" s="53" t="n">
        <f aca="false" ca="false" dt2D="false" dtr="false" t="normal">HEX2DEC(I54)</f>
        <v>0</v>
      </c>
      <c r="J56" s="53" t="n">
        <f aca="false" ca="false" dt2D="false" dtr="false" t="normal">HEX2DEC(J54)</f>
        <v>0</v>
      </c>
      <c r="K56" s="53" t="n">
        <f aca="false" ca="false" dt2D="false" dtr="false" t="normal">HEX2DEC(K54)</f>
        <v>0</v>
      </c>
      <c r="L56" s="53" t="n">
        <f aca="false" ca="false" dt2D="false" dtr="false" t="normal">HEX2DEC(L54)</f>
        <v>0</v>
      </c>
      <c r="M56" s="53" t="n">
        <f aca="false" ca="false" dt2D="false" dtr="false" t="normal">SUM(D56:L56)</f>
        <v>191</v>
      </c>
      <c r="N56" s="63" t="n"/>
      <c r="P56" s="136" t="n">
        <f aca="false" ca="false" dt2D="false" dtr="false" t="normal">MID(H50, 7, 1)</f>
        <v>0</v>
      </c>
      <c r="Q56" s="137" t="n">
        <f aca="false" ca="false" dt2D="false" dtr="false" t="normal">P56</f>
        <v>0</v>
      </c>
      <c r="R56" s="120" t="s">
        <v>206</v>
      </c>
      <c r="S56" s="131" t="s">
        <v>196</v>
      </c>
      <c r="T56" s="136" t="n">
        <f aca="false" ca="false" dt2D="false" dtr="false" t="normal">MID(I50, 7, 1)</f>
        <v>0</v>
      </c>
      <c r="U56" s="137" t="n">
        <f aca="false" ca="false" dt2D="false" dtr="false" t="normal">T56</f>
        <v>0</v>
      </c>
      <c r="V56" s="120" t="s">
        <v>206</v>
      </c>
      <c r="W56" s="131" t="s">
        <v>196</v>
      </c>
      <c r="X56" s="136" t="n">
        <f aca="false" ca="false" dt2D="false" dtr="false" t="normal">MID(J50, 7, 1)</f>
        <v>0</v>
      </c>
      <c r="Y56" s="137" t="n">
        <f aca="false" ca="false" dt2D="false" dtr="false" t="normal">X56</f>
        <v>0</v>
      </c>
      <c r="Z56" s="120" t="s">
        <v>206</v>
      </c>
      <c r="AA56" s="131" t="s">
        <v>196</v>
      </c>
      <c r="AB56" s="136" t="n">
        <f aca="false" ca="false" dt2D="false" dtr="false" t="normal">MID(K50, 7, 1)</f>
        <v>0</v>
      </c>
      <c r="AC56" s="137" t="n">
        <f aca="false" ca="false" dt2D="false" dtr="false" t="normal">AB56</f>
        <v>0</v>
      </c>
      <c r="AD56" s="120" t="s">
        <v>206</v>
      </c>
      <c r="AE56" s="131" t="s">
        <v>196</v>
      </c>
      <c r="AF56" s="136" t="n">
        <f aca="false" ca="false" dt2D="false" dtr="false" t="normal">MID(L50, 7, 1)</f>
        <v>0</v>
      </c>
      <c r="AG56" s="137" t="n">
        <f aca="false" ca="false" dt2D="false" dtr="false" t="normal">AF56</f>
        <v>0</v>
      </c>
      <c r="AH56" s="120" t="s">
        <v>206</v>
      </c>
      <c r="AI56" s="131" t="s">
        <v>196</v>
      </c>
      <c r="AJ56" s="10829" t="s"/>
      <c r="AK56" s="10830" t="s"/>
    </row>
    <row hidden="false" ht="15.75" outlineLevel="0" r="57">
      <c r="B57" s="63" t="n"/>
      <c r="C57" s="180" t="s">
        <v>194</v>
      </c>
      <c r="D57" s="181" t="n">
        <f aca="false" ca="false" dt2D="false" dtr="false" t="normal">D52</f>
        <v>7</v>
      </c>
      <c r="E57" s="181" t="str">
        <f aca="false" ca="false" dt2D="false" dtr="false" t="normal">E52</f>
        <v>B2</v>
      </c>
      <c r="F57" s="181" t="str">
        <f aca="false" ca="false" dt2D="false" dtr="false" t="normal">F52</f>
        <v>G1</v>
      </c>
      <c r="G57" s="181" t="str">
        <f aca="false" ca="false" dt2D="false" dtr="false" t="normal">G52</f>
        <v>G5</v>
      </c>
      <c r="H57" s="45" t="n"/>
      <c r="I57" s="45" t="n"/>
      <c r="J57" s="45" t="n"/>
      <c r="K57" s="45" t="n"/>
      <c r="L57" s="45" t="n"/>
      <c r="M57" s="45" t="n"/>
      <c r="N57" s="49" t="n"/>
      <c r="P57" s="182" t="n">
        <f aca="false" ca="false" dt2D="false" dtr="false" t="normal">MID(H50, 8, 1)</f>
        <v>0</v>
      </c>
      <c r="Q57" s="183" t="n">
        <f aca="false" ca="false" dt2D="false" dtr="false" t="normal">P57</f>
        <v>0</v>
      </c>
      <c r="R57" s="184" t="s">
        <v>208</v>
      </c>
      <c r="S57" s="185" t="s">
        <v>196</v>
      </c>
      <c r="T57" s="182" t="n">
        <f aca="false" ca="false" dt2D="false" dtr="false" t="normal">MID(I50, 8, 1)</f>
        <v>0</v>
      </c>
      <c r="U57" s="183" t="n">
        <f aca="false" ca="false" dt2D="false" dtr="false" t="normal">T57</f>
        <v>0</v>
      </c>
      <c r="V57" s="184" t="s">
        <v>208</v>
      </c>
      <c r="W57" s="185" t="s">
        <v>196</v>
      </c>
      <c r="X57" s="182" t="n">
        <f aca="false" ca="false" dt2D="false" dtr="false" t="normal">MID(J50, 8, 1)</f>
        <v>0</v>
      </c>
      <c r="Y57" s="183" t="n">
        <f aca="false" ca="false" dt2D="false" dtr="false" t="normal">X57</f>
        <v>0</v>
      </c>
      <c r="Z57" s="184" t="s">
        <v>208</v>
      </c>
      <c r="AA57" s="185" t="s">
        <v>196</v>
      </c>
      <c r="AB57" s="182" t="n">
        <f aca="false" ca="false" dt2D="false" dtr="false" t="normal">MID(K50, 8, 1)</f>
        <v>0</v>
      </c>
      <c r="AC57" s="183" t="n">
        <f aca="false" ca="false" dt2D="false" dtr="false" t="normal">AB57</f>
        <v>0</v>
      </c>
      <c r="AD57" s="184" t="s">
        <v>208</v>
      </c>
      <c r="AE57" s="185" t="s">
        <v>196</v>
      </c>
      <c r="AF57" s="182" t="n">
        <f aca="false" ca="false" dt2D="false" dtr="false" t="normal">MID(L50, 8, 1)</f>
        <v>0</v>
      </c>
      <c r="AG57" s="183" t="n">
        <f aca="false" ca="false" dt2D="false" dtr="false" t="normal">AF57</f>
        <v>0</v>
      </c>
      <c r="AH57" s="184" t="s">
        <v>208</v>
      </c>
      <c r="AI57" s="185" t="s">
        <v>196</v>
      </c>
      <c r="AJ57" s="10831" t="s"/>
      <c r="AK57" s="10832" t="s"/>
    </row>
    <row customHeight="true" hidden="false" ht="15.75" outlineLevel="0" r="58">
      <c r="B58" s="63" t="n"/>
      <c r="C58" s="93" t="n"/>
      <c r="D58" s="7585" t="n"/>
      <c r="E58" s="7585" t="n"/>
      <c r="F58" s="7585" t="n"/>
      <c r="G58" s="7585" t="n"/>
      <c r="H58" s="94" t="n"/>
      <c r="I58" s="94" t="n"/>
      <c r="J58" s="94" t="n"/>
      <c r="K58" s="94" t="n"/>
      <c r="L58" s="94" t="n"/>
      <c r="M58" s="94" t="s">
        <v>161</v>
      </c>
      <c r="N58" s="60" t="n"/>
      <c r="P58" s="95" t="str">
        <f aca="false" ca="false" dt2D="false" dtr="false" t="normal">RIGHT(D60, 1)&amp;E60&amp;"-"&amp;F60&amp;"-"&amp;G60</f>
        <v>7B2-01-06</v>
      </c>
      <c r="Q58" s="10833" t="s"/>
      <c r="R58" s="234" t="s">
        <v>4408</v>
      </c>
      <c r="S58" s="10834" t="s"/>
      <c r="T58" s="10835" t="s"/>
      <c r="U58" s="10836" t="s"/>
      <c r="V58" s="10837" t="s"/>
      <c r="W58" s="10838" t="s"/>
      <c r="X58" s="10839" t="s"/>
      <c r="Y58" s="10840" t="s"/>
      <c r="Z58" s="10841" t="s"/>
      <c r="AA58" s="10842" t="s"/>
      <c r="AB58" s="10843" t="s"/>
      <c r="AC58" s="10844" t="s"/>
      <c r="AD58" s="10845" t="s"/>
      <c r="AE58" s="10846" t="s"/>
      <c r="AF58" s="10847" t="s"/>
      <c r="AG58" s="10848" t="s"/>
      <c r="AH58" s="10849" t="s"/>
      <c r="AI58" s="10850" t="s"/>
      <c r="AJ58" s="10851" t="s"/>
      <c r="AK58" s="10852" t="s"/>
    </row>
    <row hidden="false" ht="15.75" outlineLevel="0" r="59">
      <c r="B59" s="63" t="n"/>
      <c r="C59" s="98" t="n"/>
      <c r="D59" s="7606" t="s">
        <v>4409</v>
      </c>
      <c r="E59" s="10853" t="s"/>
      <c r="F59" s="10854" t="s"/>
      <c r="G59" s="10855" t="s"/>
      <c r="H59" s="53" t="s">
        <v>165</v>
      </c>
      <c r="I59" s="53" t="s">
        <v>166</v>
      </c>
      <c r="J59" s="53" t="s">
        <v>167</v>
      </c>
      <c r="K59" s="53" t="s">
        <v>168</v>
      </c>
      <c r="L59" s="53" t="s">
        <v>169</v>
      </c>
      <c r="M59" s="53" t="s">
        <v>221</v>
      </c>
      <c r="N59" s="63" t="n"/>
      <c r="P59" s="103" t="s">
        <v>4410</v>
      </c>
      <c r="Q59" s="10856" t="s"/>
      <c r="R59" s="10857" t="s"/>
      <c r="S59" s="10858" t="s"/>
      <c r="T59" s="103" t="s">
        <v>4411</v>
      </c>
      <c r="U59" s="10859" t="s"/>
      <c r="V59" s="10860" t="s"/>
      <c r="W59" s="10861" t="s"/>
      <c r="X59" s="103" t="s">
        <v>4412</v>
      </c>
      <c r="Y59" s="10862" t="s"/>
      <c r="Z59" s="10863" t="s"/>
      <c r="AA59" s="10864" t="s"/>
      <c r="AB59" s="103" t="s">
        <v>4413</v>
      </c>
      <c r="AC59" s="10865" t="s"/>
      <c r="AD59" s="10866" t="s"/>
      <c r="AE59" s="10867" t="s"/>
      <c r="AF59" s="103" t="s">
        <v>4414</v>
      </c>
      <c r="AG59" s="10868" t="s"/>
      <c r="AH59" s="10869" t="s"/>
      <c r="AI59" s="10870" t="s"/>
      <c r="AJ59" s="103" t="s">
        <v>4415</v>
      </c>
      <c r="AK59" s="10871" t="s"/>
    </row>
    <row hidden="false" ht="15.75" outlineLevel="0" r="60">
      <c r="B60" s="63" t="n"/>
      <c r="C60" s="98" t="s">
        <v>176</v>
      </c>
      <c r="D60" s="122" t="s">
        <v>177</v>
      </c>
      <c r="E60" s="123" t="s">
        <v>167</v>
      </c>
      <c r="F60" s="123" t="s">
        <v>179</v>
      </c>
      <c r="G60" s="124" t="s">
        <v>358</v>
      </c>
      <c r="H60" s="273" t="n">
        <f aca="false" ca="false" dt2D="false" dtr="false" t="normal">MID($A$9, 8, 2)</f>
        <v>0</v>
      </c>
      <c r="I60" s="7626" t="n">
        <f aca="false" ca="false" dt2D="false" dtr="false" t="normal">MID($A$9, 10, 2)</f>
        <v>0</v>
      </c>
      <c r="J60" s="7626" t="n">
        <f aca="false" ca="false" dt2D="false" dtr="false" t="normal">MID($A$9, 12, 2)</f>
        <v>0</v>
      </c>
      <c r="K60" s="7626" t="n">
        <f aca="false" ca="false" dt2D="false" dtr="false" t="normal">MID($A$9, 14, 2)</f>
        <v>0</v>
      </c>
      <c r="L60" s="7627" t="n">
        <f aca="false" ca="false" dt2D="false" dtr="false" t="normal">MID($A$9, 16, 2)</f>
        <v>0</v>
      </c>
      <c r="M60" s="7553" t="str">
        <f aca="false" ca="false" dt2D="false" dtr="false" t="normal">MID($A$9, 18, 2)</f>
        <v>C0</v>
      </c>
      <c r="N60" s="63" t="s">
        <v>180</v>
      </c>
      <c r="P60" s="129" t="s">
        <v>180</v>
      </c>
      <c r="Q60" s="130" t="s">
        <v>181</v>
      </c>
      <c r="R60" s="121" t="s">
        <v>182</v>
      </c>
      <c r="S60" s="131" t="n"/>
      <c r="T60" s="129" t="s">
        <v>180</v>
      </c>
      <c r="U60" s="130" t="s">
        <v>181</v>
      </c>
      <c r="V60" s="121" t="s">
        <v>182</v>
      </c>
      <c r="W60" s="131" t="n"/>
      <c r="X60" s="129" t="s">
        <v>180</v>
      </c>
      <c r="Y60" s="130" t="s">
        <v>181</v>
      </c>
      <c r="Z60" s="121" t="s">
        <v>182</v>
      </c>
      <c r="AA60" s="131" t="n"/>
      <c r="AB60" s="129" t="s">
        <v>180</v>
      </c>
      <c r="AC60" s="130" t="s">
        <v>181</v>
      </c>
      <c r="AD60" s="121" t="s">
        <v>182</v>
      </c>
      <c r="AE60" s="131" t="n"/>
      <c r="AF60" s="129" t="s">
        <v>180</v>
      </c>
      <c r="AG60" s="130" t="s">
        <v>181</v>
      </c>
      <c r="AH60" s="121" t="s">
        <v>182</v>
      </c>
      <c r="AI60" s="121" t="n"/>
      <c r="AJ60" s="116" t="s">
        <v>183</v>
      </c>
      <c r="AK60" s="10872" t="s"/>
    </row>
    <row hidden="false" ht="15" outlineLevel="0" r="61">
      <c r="B61" s="63" t="n"/>
      <c r="C61" s="98" t="s">
        <v>185</v>
      </c>
      <c r="D61" s="149" t="n">
        <f aca="false" ca="false" dt2D="false" dtr="false" t="normal">HEX2BIN(D60, 8)</f>
        <v>111</v>
      </c>
      <c r="E61" s="149" t="n">
        <f aca="false" ca="false" dt2D="false" dtr="false" t="normal">HEX2BIN(E60, 8)</f>
        <v>10110010</v>
      </c>
      <c r="F61" s="149" t="n">
        <f aca="false" ca="false" dt2D="false" dtr="false" t="normal">HEX2BIN(F60, 8)</f>
        <v>1</v>
      </c>
      <c r="G61" s="149" t="n">
        <f aca="false" ca="false" dt2D="false" dtr="false" t="normal">HEX2BIN(G60, 8)</f>
        <v>110</v>
      </c>
      <c r="H61" s="53" t="n">
        <f aca="false" ca="false" dt2D="false" dtr="false" t="normal">HEX2BIN(H60, 8)</f>
        <v>0</v>
      </c>
      <c r="I61" s="53" t="n">
        <f aca="false" ca="false" dt2D="false" dtr="false" t="normal">HEX2BIN(I60, 8)</f>
        <v>0</v>
      </c>
      <c r="J61" s="53" t="n">
        <f aca="false" ca="false" dt2D="false" dtr="false" t="normal">HEX2BIN(J60, 8)</f>
        <v>0</v>
      </c>
      <c r="K61" s="53" t="n">
        <f aca="false" ca="false" dt2D="false" dtr="false" t="normal">HEX2BIN(K60, 8)</f>
        <v>0</v>
      </c>
      <c r="L61" s="53" t="n">
        <f aca="false" ca="false" dt2D="false" dtr="false" t="normal">HEX2BIN(L60, 8)</f>
        <v>0</v>
      </c>
      <c r="M61" s="53" t="n"/>
      <c r="N61" s="63" t="n"/>
      <c r="P61" s="136" t="n">
        <f aca="false" ca="false" dt2D="false" dtr="false" t="normal">MID(H61, 1, 1)</f>
        <v>0</v>
      </c>
      <c r="Q61" s="137" t="n">
        <f aca="false" ca="false" dt2D="false" dtr="false" t="normal">P61</f>
        <v>0</v>
      </c>
      <c r="R61" s="120" t="s">
        <v>186</v>
      </c>
      <c r="S61" s="131" t="s">
        <v>196</v>
      </c>
      <c r="T61" s="136" t="n">
        <f aca="false" ca="false" dt2D="false" dtr="false" t="normal">MID(I61, 1, 1)</f>
        <v>0</v>
      </c>
      <c r="U61" s="137" t="n">
        <f aca="false" ca="false" dt2D="false" dtr="false" t="normal">T61</f>
        <v>0</v>
      </c>
      <c r="V61" s="120" t="s">
        <v>186</v>
      </c>
      <c r="W61" s="131" t="s">
        <v>196</v>
      </c>
      <c r="X61" s="136" t="n">
        <f aca="false" ca="false" dt2D="false" dtr="false" t="normal">MID(J61, 1, 1)</f>
        <v>0</v>
      </c>
      <c r="Y61" s="137" t="n">
        <f aca="false" ca="false" dt2D="false" dtr="false" t="normal">X61</f>
        <v>0</v>
      </c>
      <c r="Z61" s="120" t="s">
        <v>186</v>
      </c>
      <c r="AA61" s="131" t="s">
        <v>196</v>
      </c>
      <c r="AB61" s="136" t="n">
        <f aca="false" ca="false" dt2D="false" dtr="false" t="normal">MID(K61, 1, 1)</f>
        <v>0</v>
      </c>
      <c r="AC61" s="137" t="n">
        <f aca="false" ca="false" dt2D="false" dtr="false" t="normal">AB61</f>
        <v>0</v>
      </c>
      <c r="AD61" s="120" t="s">
        <v>186</v>
      </c>
      <c r="AE61" s="131" t="s">
        <v>196</v>
      </c>
      <c r="AF61" s="136" t="n">
        <f aca="false" ca="false" dt2D="false" dtr="false" t="normal">MID(L61, 1, 1)</f>
        <v>0</v>
      </c>
      <c r="AG61" s="137" t="n">
        <f aca="false" ca="false" dt2D="false" dtr="false" t="normal">AF61</f>
        <v>0</v>
      </c>
      <c r="AH61" s="120" t="s">
        <v>186</v>
      </c>
      <c r="AI61" s="131" t="s">
        <v>196</v>
      </c>
      <c r="AJ61" s="10873" t="s"/>
      <c r="AK61" s="10874" t="s"/>
    </row>
    <row hidden="false" ht="15" outlineLevel="0" r="62">
      <c r="B62" s="63" t="n"/>
      <c r="C62" s="98" t="s">
        <v>191</v>
      </c>
      <c r="D62" s="149" t="n">
        <f aca="false" ca="false" dt2D="false" dtr="false" t="normal">HEX2DEC(D60)</f>
        <v>7</v>
      </c>
      <c r="E62" s="149" t="n">
        <f aca="false" ca="false" dt2D="false" dtr="false" t="normal">HEX2DEC(E60)</f>
        <v>178</v>
      </c>
      <c r="F62" s="149" t="n">
        <f aca="false" ca="false" dt2D="false" dtr="false" t="normal">HEX2DEC(F60)</f>
        <v>1</v>
      </c>
      <c r="G62" s="149" t="n">
        <f aca="false" ca="false" dt2D="false" dtr="false" t="normal">HEX2DEC(G60)</f>
        <v>6</v>
      </c>
      <c r="H62" s="53" t="n">
        <f aca="false" ca="false" dt2D="false" dtr="false" t="normal">HEX2DEC(H60)</f>
        <v>0</v>
      </c>
      <c r="I62" s="53" t="n">
        <f aca="false" ca="false" dt2D="false" dtr="false" t="normal">HEX2DEC(I60)</f>
        <v>0</v>
      </c>
      <c r="J62" s="53" t="n">
        <f aca="false" ca="false" dt2D="false" dtr="false" t="normal">HEX2DEC(J60)</f>
        <v>0</v>
      </c>
      <c r="K62" s="53" t="n">
        <f aca="false" ca="false" dt2D="false" dtr="false" t="normal">HEX2DEC(K60)</f>
        <v>0</v>
      </c>
      <c r="L62" s="53" t="n">
        <f aca="false" ca="false" dt2D="false" dtr="false" t="normal">HEX2DEC(L60)</f>
        <v>0</v>
      </c>
      <c r="M62" s="53" t="n">
        <f aca="false" ca="false" dt2D="false" dtr="false" t="normal">SUM(D62:L62)</f>
        <v>192</v>
      </c>
      <c r="N62" s="63" t="n"/>
      <c r="P62" s="136" t="n">
        <f aca="false" ca="false" dt2D="false" dtr="false" t="normal">MID(H61, 2, 1)</f>
        <v>0</v>
      </c>
      <c r="Q62" s="137" t="n">
        <f aca="false" ca="false" dt2D="false" dtr="false" t="normal">P62</f>
        <v>0</v>
      </c>
      <c r="R62" s="120" t="s">
        <v>192</v>
      </c>
      <c r="S62" s="131" t="s">
        <v>196</v>
      </c>
      <c r="T62" s="136" t="n">
        <f aca="false" ca="false" dt2D="false" dtr="false" t="normal">MID(I61, 2, 1)</f>
        <v>0</v>
      </c>
      <c r="U62" s="137" t="n">
        <f aca="false" ca="false" dt2D="false" dtr="false" t="normal">T62</f>
        <v>0</v>
      </c>
      <c r="V62" s="120" t="s">
        <v>192</v>
      </c>
      <c r="W62" s="131" t="s">
        <v>196</v>
      </c>
      <c r="X62" s="136" t="n">
        <f aca="false" ca="false" dt2D="false" dtr="false" t="normal">MID(J61, 2, 1)</f>
        <v>0</v>
      </c>
      <c r="Y62" s="137" t="n">
        <f aca="false" ca="false" dt2D="false" dtr="false" t="normal">X62</f>
        <v>0</v>
      </c>
      <c r="Z62" s="120" t="s">
        <v>192</v>
      </c>
      <c r="AA62" s="131" t="s">
        <v>196</v>
      </c>
      <c r="AB62" s="136" t="n">
        <f aca="false" ca="false" dt2D="false" dtr="false" t="normal">MID(K61, 2, 1)</f>
        <v>0</v>
      </c>
      <c r="AC62" s="137" t="n">
        <f aca="false" ca="false" dt2D="false" dtr="false" t="normal">AB62</f>
        <v>0</v>
      </c>
      <c r="AD62" s="120" t="s">
        <v>192</v>
      </c>
      <c r="AE62" s="131" t="s">
        <v>196</v>
      </c>
      <c r="AF62" s="136" t="n">
        <f aca="false" ca="false" dt2D="false" dtr="false" t="normal">MID(L61, 2, 1)</f>
        <v>0</v>
      </c>
      <c r="AG62" s="137" t="n">
        <f aca="false" ca="false" dt2D="false" dtr="false" t="normal">AF62</f>
        <v>0</v>
      </c>
      <c r="AH62" s="120" t="s">
        <v>192</v>
      </c>
      <c r="AI62" s="131" t="s">
        <v>196</v>
      </c>
      <c r="AJ62" s="10875" t="s"/>
      <c r="AK62" s="10876" t="s"/>
    </row>
    <row hidden="false" ht="15" outlineLevel="0" r="63">
      <c r="B63" s="63" t="n"/>
      <c r="C63" s="98" t="s">
        <v>194</v>
      </c>
      <c r="D63" s="149" t="n">
        <f aca="false" ca="false" dt2D="false" dtr="false" t="normal">D60</f>
        <v>7</v>
      </c>
      <c r="E63" s="149" t="str">
        <f aca="false" ca="false" dt2D="false" dtr="false" t="normal">E60</f>
        <v>B2</v>
      </c>
      <c r="F63" s="149" t="str">
        <f aca="false" ca="false" dt2D="false" dtr="false" t="normal">MID($A$9, 4, 2)</f>
        <v>G1</v>
      </c>
      <c r="G63" s="149" t="str">
        <f aca="false" ca="false" dt2D="false" dtr="false" t="normal">MID($A$9, 6, 2)</f>
        <v>G6</v>
      </c>
      <c r="N63" s="63" t="n"/>
      <c r="P63" s="136" t="n">
        <f aca="false" ca="false" dt2D="false" dtr="false" t="normal">MID(H61, 3, 1)</f>
        <v>0</v>
      </c>
      <c r="Q63" s="137" t="n">
        <f aca="false" ca="false" dt2D="false" dtr="false" t="normal">P63</f>
        <v>0</v>
      </c>
      <c r="R63" s="120" t="s">
        <v>195</v>
      </c>
      <c r="S63" s="131" t="s">
        <v>196</v>
      </c>
      <c r="T63" s="136" t="n">
        <f aca="false" ca="false" dt2D="false" dtr="false" t="normal">MID(I61, 3, 1)</f>
        <v>0</v>
      </c>
      <c r="U63" s="137" t="n">
        <f aca="false" ca="false" dt2D="false" dtr="false" t="normal">T63</f>
        <v>0</v>
      </c>
      <c r="V63" s="120" t="s">
        <v>195</v>
      </c>
      <c r="W63" s="131" t="s">
        <v>196</v>
      </c>
      <c r="X63" s="136" t="n">
        <f aca="false" ca="false" dt2D="false" dtr="false" t="normal">MID(J61, 3, 1)</f>
        <v>0</v>
      </c>
      <c r="Y63" s="137" t="n">
        <f aca="false" ca="false" dt2D="false" dtr="false" t="normal">X63</f>
        <v>0</v>
      </c>
      <c r="Z63" s="120" t="s">
        <v>195</v>
      </c>
      <c r="AA63" s="131" t="s">
        <v>196</v>
      </c>
      <c r="AB63" s="136" t="n">
        <f aca="false" ca="false" dt2D="false" dtr="false" t="normal">MID(K61, 3, 1)</f>
        <v>0</v>
      </c>
      <c r="AC63" s="137" t="n">
        <f aca="false" ca="false" dt2D="false" dtr="false" t="normal">AB63</f>
        <v>0</v>
      </c>
      <c r="AD63" s="120" t="s">
        <v>195</v>
      </c>
      <c r="AE63" s="131" t="s">
        <v>196</v>
      </c>
      <c r="AF63" s="136" t="n">
        <f aca="false" ca="false" dt2D="false" dtr="false" t="normal">MID(L61, 3, 1)</f>
        <v>0</v>
      </c>
      <c r="AG63" s="137" t="n">
        <f aca="false" ca="false" dt2D="false" dtr="false" t="normal">AF63</f>
        <v>0</v>
      </c>
      <c r="AH63" s="120" t="s">
        <v>195</v>
      </c>
      <c r="AI63" s="131" t="s">
        <v>196</v>
      </c>
      <c r="AJ63" s="10877" t="s"/>
      <c r="AK63" s="10878" t="s"/>
    </row>
    <row hidden="false" ht="15.75" outlineLevel="0" r="64">
      <c r="B64" s="63" t="n"/>
      <c r="C64" s="98" t="n"/>
      <c r="N64" s="63" t="n"/>
      <c r="P64" s="136" t="n">
        <f aca="false" ca="false" dt2D="false" dtr="false" t="normal">MID(H61, 4, 1)</f>
        <v>0</v>
      </c>
      <c r="Q64" s="137" t="n">
        <f aca="false" ca="false" dt2D="false" dtr="false" t="normal">P64</f>
        <v>0</v>
      </c>
      <c r="R64" s="120" t="s">
        <v>197</v>
      </c>
      <c r="S64" s="131" t="s">
        <v>196</v>
      </c>
      <c r="T64" s="136" t="n">
        <f aca="false" ca="false" dt2D="false" dtr="false" t="normal">MID(I61, 4, 1)</f>
        <v>0</v>
      </c>
      <c r="U64" s="137" t="n">
        <f aca="false" ca="false" dt2D="false" dtr="false" t="normal">T64</f>
        <v>0</v>
      </c>
      <c r="V64" s="120" t="s">
        <v>197</v>
      </c>
      <c r="W64" s="131" t="s">
        <v>196</v>
      </c>
      <c r="X64" s="136" t="n">
        <f aca="false" ca="false" dt2D="false" dtr="false" t="normal">MID(J61, 4, 1)</f>
        <v>0</v>
      </c>
      <c r="Y64" s="137" t="n">
        <f aca="false" ca="false" dt2D="false" dtr="false" t="normal">X64</f>
        <v>0</v>
      </c>
      <c r="Z64" s="120" t="s">
        <v>197</v>
      </c>
      <c r="AA64" s="131" t="s">
        <v>196</v>
      </c>
      <c r="AB64" s="136" t="n">
        <f aca="false" ca="false" dt2D="false" dtr="false" t="normal">MID(K61, 4, 1)</f>
        <v>0</v>
      </c>
      <c r="AC64" s="137" t="n">
        <f aca="false" ca="false" dt2D="false" dtr="false" t="normal">AB64</f>
        <v>0</v>
      </c>
      <c r="AD64" s="120" t="s">
        <v>197</v>
      </c>
      <c r="AE64" s="131" t="s">
        <v>196</v>
      </c>
      <c r="AF64" s="136" t="n">
        <f aca="false" ca="false" dt2D="false" dtr="false" t="normal">MID(L61, 4, 1)</f>
        <v>0</v>
      </c>
      <c r="AG64" s="137" t="n">
        <f aca="false" ca="false" dt2D="false" dtr="false" t="normal">AF64</f>
        <v>0</v>
      </c>
      <c r="AH64" s="120" t="s">
        <v>197</v>
      </c>
      <c r="AI64" s="131" t="s">
        <v>196</v>
      </c>
      <c r="AJ64" s="10879" t="s"/>
      <c r="AK64" s="10880" t="s"/>
    </row>
    <row hidden="false" ht="15.75" outlineLevel="0" r="65">
      <c r="B65" s="63" t="n"/>
      <c r="C65" s="98" t="s">
        <v>176</v>
      </c>
      <c r="D65" s="122" t="n">
        <f aca="false" ca="false" dt2D="false" dtr="false" t="normal">D60</f>
        <v>7</v>
      </c>
      <c r="E65" s="123" t="str">
        <f aca="false" ca="false" dt2D="false" dtr="false" t="normal">E60</f>
        <v>B2</v>
      </c>
      <c r="F65" s="123" t="n">
        <f aca="false" ca="false" dt2D="false" dtr="false" t="normal">F60</f>
        <v>1</v>
      </c>
      <c r="G65" s="124" t="n">
        <f aca="false" ca="false" dt2D="false" dtr="false" t="normal">G60</f>
        <v>6</v>
      </c>
      <c r="H65" s="162" t="n">
        <f aca="false" ca="false" dt2D="false" dtr="false" t="normal">BIN2HEX(H66, 2)</f>
        <v>0</v>
      </c>
      <c r="I65" s="163" t="n">
        <f aca="false" ca="false" dt2D="false" dtr="false" t="normal">BIN2HEX(I66, 2)</f>
        <v>0</v>
      </c>
      <c r="J65" s="164" t="n">
        <f aca="false" ca="false" dt2D="false" dtr="false" t="normal">BIN2HEX(J66, 2)</f>
        <v>0</v>
      </c>
      <c r="K65" s="165" t="n">
        <f aca="false" ca="false" dt2D="false" dtr="false" t="normal">BIN2HEX(K66, 2)</f>
        <v>0</v>
      </c>
      <c r="L65" s="288" t="n">
        <f aca="false" ca="false" dt2D="false" dtr="false" t="normal">BIN2HEX(L66, 2)</f>
        <v>0</v>
      </c>
      <c r="M65" s="166" t="str">
        <f aca="false" ca="false" dt2D="false" dtr="false" t="normal">IF(LEN(M66)&gt;2, MID(M66, 2, 2), M66)</f>
        <v>C0</v>
      </c>
      <c r="N65" s="63" t="s">
        <v>181</v>
      </c>
      <c r="P65" s="136" t="n">
        <f aca="false" ca="false" dt2D="false" dtr="false" t="normal">MID(H61, 5, 1)</f>
        <v>0</v>
      </c>
      <c r="Q65" s="137" t="n">
        <f aca="false" ca="false" dt2D="false" dtr="false" t="normal">P65</f>
        <v>0</v>
      </c>
      <c r="R65" s="120" t="s">
        <v>200</v>
      </c>
      <c r="S65" s="131" t="s">
        <v>196</v>
      </c>
      <c r="T65" s="136" t="n">
        <f aca="false" ca="false" dt2D="false" dtr="false" t="normal">MID(I61, 5, 1)</f>
        <v>0</v>
      </c>
      <c r="U65" s="137" t="n">
        <f aca="false" ca="false" dt2D="false" dtr="false" t="normal">T65</f>
        <v>0</v>
      </c>
      <c r="V65" s="120" t="s">
        <v>200</v>
      </c>
      <c r="W65" s="131" t="s">
        <v>196</v>
      </c>
      <c r="X65" s="136" t="n">
        <f aca="false" ca="false" dt2D="false" dtr="false" t="normal">MID(J61, 5, 1)</f>
        <v>0</v>
      </c>
      <c r="Y65" s="137" t="n">
        <f aca="false" ca="false" dt2D="false" dtr="false" t="normal">X65</f>
        <v>0</v>
      </c>
      <c r="Z65" s="120" t="s">
        <v>200</v>
      </c>
      <c r="AA65" s="131" t="s">
        <v>196</v>
      </c>
      <c r="AB65" s="136" t="n">
        <f aca="false" ca="false" dt2D="false" dtr="false" t="normal">MID(K61, 5, 1)</f>
        <v>0</v>
      </c>
      <c r="AC65" s="137" t="n">
        <f aca="false" ca="false" dt2D="false" dtr="false" t="normal">AB65</f>
        <v>0</v>
      </c>
      <c r="AD65" s="120" t="s">
        <v>200</v>
      </c>
      <c r="AE65" s="131" t="s">
        <v>196</v>
      </c>
      <c r="AF65" s="136" t="n">
        <f aca="false" ca="false" dt2D="false" dtr="false" t="normal">MID(L61, 5, 1)</f>
        <v>0</v>
      </c>
      <c r="AG65" s="137" t="n">
        <f aca="false" ca="false" dt2D="false" dtr="false" t="normal">AF65</f>
        <v>0</v>
      </c>
      <c r="AH65" s="120" t="s">
        <v>200</v>
      </c>
      <c r="AI65" s="131" t="s">
        <v>196</v>
      </c>
      <c r="AJ65" s="10881" t="s"/>
      <c r="AK65" s="10882" t="s"/>
    </row>
    <row hidden="false" ht="15" outlineLevel="0" r="66">
      <c r="B66" s="63" t="n"/>
      <c r="C66" s="98" t="s">
        <v>185</v>
      </c>
      <c r="D66" s="149" t="n">
        <f aca="false" ca="false" dt2D="false" dtr="false" t="normal">HEX2BIN(D65, 8)</f>
        <v>111</v>
      </c>
      <c r="E66" s="149" t="n">
        <f aca="false" ca="false" dt2D="false" dtr="false" t="normal">HEX2BIN(E65, 8)</f>
        <v>10110010</v>
      </c>
      <c r="F66" s="149" t="n">
        <f aca="false" ca="false" dt2D="false" dtr="false" t="normal">HEX2BIN(F65, 8)</f>
        <v>1</v>
      </c>
      <c r="G66" s="149" t="n">
        <f aca="false" ca="false" dt2D="false" dtr="false" t="normal">HEX2BIN(G65, 8)</f>
        <v>110</v>
      </c>
      <c r="H66" s="53" t="n">
        <f aca="false" ca="false" dt2D="false" dtr="false" t="normal">Q61&amp;Q62&amp;Q63&amp;Q64&amp;Q65&amp;Q66&amp;Q67&amp;Q68</f>
        <v>0</v>
      </c>
      <c r="I66" s="53" t="n">
        <f aca="false" ca="false" dt2D="false" dtr="false" t="normal">U61&amp;U62&amp;U63&amp;U64&amp;U65&amp;U66&amp;U67&amp;U68</f>
        <v>0</v>
      </c>
      <c r="J66" s="53" t="n">
        <f aca="false" ca="false" dt2D="false" dtr="false" t="normal">Y61&amp;Y62&amp;Y63&amp;Y64&amp;Y65&amp;Y66&amp;Y67&amp;Y68</f>
        <v>0</v>
      </c>
      <c r="K66" s="53" t="n">
        <f aca="false" ca="false" dt2D="false" dtr="false" t="normal">AC61&amp;AC62&amp;AC63&amp;AC64&amp;AC65&amp;AC66&amp;AC67&amp;AC68</f>
        <v>0</v>
      </c>
      <c r="L66" s="53" t="n">
        <f aca="false" ca="false" dt2D="false" dtr="false" t="normal">AG61&amp;AG62&amp;AG63&amp;AG64&amp;AG65&amp;AG66&amp;AG67&amp;AG68</f>
        <v>0</v>
      </c>
      <c r="M66" s="53" t="str">
        <f aca="false" ca="false" dt2D="false" dtr="false" t="normal">DEC2HEX(M67)</f>
        <v>C0</v>
      </c>
      <c r="N66" s="63" t="n"/>
      <c r="P66" s="136" t="n">
        <f aca="false" ca="false" dt2D="false" dtr="false" t="normal">MID(H61, 6, 1)</f>
        <v>0</v>
      </c>
      <c r="Q66" s="137" t="n">
        <f aca="false" ca="false" dt2D="false" dtr="false" t="normal">P66</f>
        <v>0</v>
      </c>
      <c r="R66" s="120" t="s">
        <v>203</v>
      </c>
      <c r="S66" s="131" t="s">
        <v>196</v>
      </c>
      <c r="T66" s="136" t="n">
        <f aca="false" ca="false" dt2D="false" dtr="false" t="normal">MID(I61, 6, 1)</f>
        <v>0</v>
      </c>
      <c r="U66" s="137" t="n">
        <f aca="false" ca="false" dt2D="false" dtr="false" t="normal">T66</f>
        <v>0</v>
      </c>
      <c r="V66" s="120" t="s">
        <v>203</v>
      </c>
      <c r="W66" s="131" t="s">
        <v>196</v>
      </c>
      <c r="X66" s="136" t="n">
        <f aca="false" ca="false" dt2D="false" dtr="false" t="normal">MID(J61, 6, 1)</f>
        <v>0</v>
      </c>
      <c r="Y66" s="137" t="n">
        <f aca="false" ca="false" dt2D="false" dtr="false" t="normal">X66</f>
        <v>0</v>
      </c>
      <c r="Z66" s="120" t="s">
        <v>203</v>
      </c>
      <c r="AA66" s="131" t="s">
        <v>196</v>
      </c>
      <c r="AB66" s="136" t="n">
        <f aca="false" ca="false" dt2D="false" dtr="false" t="normal">MID(K61, 6, 1)</f>
        <v>0</v>
      </c>
      <c r="AC66" s="137" t="n">
        <f aca="false" ca="false" dt2D="false" dtr="false" t="normal">AB66</f>
        <v>0</v>
      </c>
      <c r="AD66" s="120" t="s">
        <v>203</v>
      </c>
      <c r="AE66" s="131" t="s">
        <v>196</v>
      </c>
      <c r="AF66" s="136" t="n">
        <f aca="false" ca="false" dt2D="false" dtr="false" t="normal">MID(L61, 6, 1)</f>
        <v>0</v>
      </c>
      <c r="AG66" s="137" t="n">
        <f aca="false" ca="false" dt2D="false" dtr="false" t="normal">AF66</f>
        <v>0</v>
      </c>
      <c r="AH66" s="120" t="s">
        <v>203</v>
      </c>
      <c r="AI66" s="131" t="s">
        <v>196</v>
      </c>
      <c r="AJ66" s="10883" t="s"/>
      <c r="AK66" s="10884" t="s"/>
    </row>
    <row hidden="false" ht="15" outlineLevel="0" r="67">
      <c r="B67" s="63" t="n"/>
      <c r="C67" s="98" t="s">
        <v>191</v>
      </c>
      <c r="D67" s="149" t="n">
        <f aca="false" ca="false" dt2D="false" dtr="false" t="normal">HEX2DEC(D65)</f>
        <v>7</v>
      </c>
      <c r="E67" s="149" t="n">
        <f aca="false" ca="false" dt2D="false" dtr="false" t="normal">HEX2DEC(E65)</f>
        <v>178</v>
      </c>
      <c r="F67" s="149" t="n">
        <f aca="false" ca="false" dt2D="false" dtr="false" t="normal">HEX2DEC(F65)</f>
        <v>1</v>
      </c>
      <c r="G67" s="149" t="n">
        <f aca="false" ca="false" dt2D="false" dtr="false" t="normal">HEX2DEC(G65)</f>
        <v>6</v>
      </c>
      <c r="H67" s="53" t="n">
        <f aca="false" ca="false" dt2D="false" dtr="false" t="normal">HEX2DEC(H65)</f>
        <v>0</v>
      </c>
      <c r="I67" s="53" t="n">
        <f aca="false" ca="false" dt2D="false" dtr="false" t="normal">HEX2DEC(I65)</f>
        <v>0</v>
      </c>
      <c r="J67" s="53" t="n">
        <f aca="false" ca="false" dt2D="false" dtr="false" t="normal">HEX2DEC(J65)</f>
        <v>0</v>
      </c>
      <c r="K67" s="53" t="n">
        <f aca="false" ca="false" dt2D="false" dtr="false" t="normal">HEX2DEC(K65)</f>
        <v>0</v>
      </c>
      <c r="L67" s="53" t="n">
        <f aca="false" ca="false" dt2D="false" dtr="false" t="normal">HEX2DEC(L65)</f>
        <v>0</v>
      </c>
      <c r="M67" s="53" t="n">
        <f aca="false" ca="false" dt2D="false" dtr="false" t="normal">SUM(D67:L67)</f>
        <v>192</v>
      </c>
      <c r="N67" s="63" t="n"/>
      <c r="P67" s="136" t="n">
        <f aca="false" ca="false" dt2D="false" dtr="false" t="normal">MID(H61, 7, 1)</f>
        <v>0</v>
      </c>
      <c r="Q67" s="137" t="n">
        <f aca="false" ca="false" dt2D="false" dtr="false" t="normal">P67</f>
        <v>0</v>
      </c>
      <c r="R67" s="120" t="s">
        <v>206</v>
      </c>
      <c r="S67" s="131" t="s">
        <v>196</v>
      </c>
      <c r="T67" s="136" t="n">
        <f aca="false" ca="false" dt2D="false" dtr="false" t="normal">MID(I61, 7, 1)</f>
        <v>0</v>
      </c>
      <c r="U67" s="137" t="n">
        <f aca="false" ca="false" dt2D="false" dtr="false" t="normal">T67</f>
        <v>0</v>
      </c>
      <c r="V67" s="120" t="s">
        <v>206</v>
      </c>
      <c r="W67" s="131" t="s">
        <v>196</v>
      </c>
      <c r="X67" s="136" t="n">
        <f aca="false" ca="false" dt2D="false" dtr="false" t="normal">MID(J61, 7, 1)</f>
        <v>0</v>
      </c>
      <c r="Y67" s="137" t="n">
        <f aca="false" ca="false" dt2D="false" dtr="false" t="normal">X67</f>
        <v>0</v>
      </c>
      <c r="Z67" s="120" t="s">
        <v>206</v>
      </c>
      <c r="AA67" s="131" t="s">
        <v>196</v>
      </c>
      <c r="AB67" s="136" t="n">
        <f aca="false" ca="false" dt2D="false" dtr="false" t="normal">MID(K61, 7, 1)</f>
        <v>0</v>
      </c>
      <c r="AC67" s="137" t="n">
        <f aca="false" ca="false" dt2D="false" dtr="false" t="normal">AB67</f>
        <v>0</v>
      </c>
      <c r="AD67" s="120" t="s">
        <v>206</v>
      </c>
      <c r="AE67" s="131" t="s">
        <v>196</v>
      </c>
      <c r="AF67" s="136" t="n">
        <f aca="false" ca="false" dt2D="false" dtr="false" t="normal">MID(L61, 7, 1)</f>
        <v>0</v>
      </c>
      <c r="AG67" s="137" t="n">
        <f aca="false" ca="false" dt2D="false" dtr="false" t="normal">AF67</f>
        <v>0</v>
      </c>
      <c r="AH67" s="120" t="s">
        <v>206</v>
      </c>
      <c r="AI67" s="131" t="s">
        <v>196</v>
      </c>
      <c r="AJ67" s="10885" t="s"/>
      <c r="AK67" s="10886" t="s"/>
    </row>
    <row hidden="false" ht="15.75" outlineLevel="0" r="68">
      <c r="B68" s="63" t="n"/>
      <c r="C68" s="180" t="s">
        <v>194</v>
      </c>
      <c r="D68" s="181" t="n">
        <f aca="false" ca="false" dt2D="false" dtr="false" t="normal">D63</f>
        <v>7</v>
      </c>
      <c r="E68" s="181" t="str">
        <f aca="false" ca="false" dt2D="false" dtr="false" t="normal">E63</f>
        <v>B2</v>
      </c>
      <c r="F68" s="181" t="str">
        <f aca="false" ca="false" dt2D="false" dtr="false" t="normal">F63</f>
        <v>G1</v>
      </c>
      <c r="G68" s="181" t="str">
        <f aca="false" ca="false" dt2D="false" dtr="false" t="normal">G63</f>
        <v>G6</v>
      </c>
      <c r="H68" s="45" t="n"/>
      <c r="I68" s="45" t="n"/>
      <c r="J68" s="45" t="n"/>
      <c r="K68" s="45" t="n"/>
      <c r="L68" s="45" t="n"/>
      <c r="M68" s="45" t="n"/>
      <c r="N68" s="49" t="n"/>
      <c r="P68" s="182" t="n">
        <f aca="false" ca="false" dt2D="false" dtr="false" t="normal">MID(H61, 8, 1)</f>
        <v>0</v>
      </c>
      <c r="Q68" s="183" t="n">
        <f aca="false" ca="false" dt2D="false" dtr="false" t="normal">P68</f>
        <v>0</v>
      </c>
      <c r="R68" s="184" t="s">
        <v>208</v>
      </c>
      <c r="S68" s="185" t="s">
        <v>196</v>
      </c>
      <c r="T68" s="182" t="n">
        <f aca="false" ca="false" dt2D="false" dtr="false" t="normal">MID(I61, 8, 1)</f>
        <v>0</v>
      </c>
      <c r="U68" s="183" t="n">
        <f aca="false" ca="false" dt2D="false" dtr="false" t="normal">T68</f>
        <v>0</v>
      </c>
      <c r="V68" s="184" t="s">
        <v>208</v>
      </c>
      <c r="W68" s="185" t="s">
        <v>196</v>
      </c>
      <c r="X68" s="182" t="n">
        <f aca="false" ca="false" dt2D="false" dtr="false" t="normal">MID(J61, 8, 1)</f>
        <v>0</v>
      </c>
      <c r="Y68" s="183" t="n">
        <f aca="false" ca="false" dt2D="false" dtr="false" t="normal">X68</f>
        <v>0</v>
      </c>
      <c r="Z68" s="184" t="s">
        <v>208</v>
      </c>
      <c r="AA68" s="185" t="s">
        <v>196</v>
      </c>
      <c r="AB68" s="182" t="n">
        <f aca="false" ca="false" dt2D="false" dtr="false" t="normal">MID(K61, 8, 1)</f>
        <v>0</v>
      </c>
      <c r="AC68" s="183" t="n">
        <f aca="false" ca="false" dt2D="false" dtr="false" t="normal">AB68</f>
        <v>0</v>
      </c>
      <c r="AD68" s="184" t="s">
        <v>208</v>
      </c>
      <c r="AE68" s="185" t="s">
        <v>196</v>
      </c>
      <c r="AF68" s="182" t="n">
        <f aca="false" ca="false" dt2D="false" dtr="false" t="normal">MID(L61, 8, 1)</f>
        <v>0</v>
      </c>
      <c r="AG68" s="183" t="n">
        <f aca="false" ca="false" dt2D="false" dtr="false" t="normal">AF68</f>
        <v>0</v>
      </c>
      <c r="AH68" s="184" t="s">
        <v>208</v>
      </c>
      <c r="AI68" s="185" t="s">
        <v>196</v>
      </c>
      <c r="AJ68" s="10887" t="s"/>
      <c r="AK68" s="10888" t="s"/>
    </row>
    <row customHeight="true" hidden="false" ht="15.75" outlineLevel="0" r="69">
      <c r="B69" s="63" t="n"/>
      <c r="C69" s="93" t="n"/>
      <c r="D69" s="7585" t="n"/>
      <c r="E69" s="7585" t="n"/>
      <c r="F69" s="7585" t="n"/>
      <c r="G69" s="7585" t="n"/>
      <c r="H69" s="94" t="n"/>
      <c r="I69" s="94" t="n"/>
      <c r="J69" s="94" t="s">
        <v>161</v>
      </c>
      <c r="N69" s="60" t="n"/>
      <c r="P69" s="95" t="str">
        <f aca="false" ca="false" dt2D="false" dtr="false" t="normal">RIGHT(D71, 1)&amp;E71&amp;"-"&amp;F71&amp;"-"&amp;G71</f>
        <v>7B2-01-07</v>
      </c>
      <c r="Q69" s="10889" t="s"/>
      <c r="R69" s="234" t="s">
        <v>4416</v>
      </c>
      <c r="S69" s="10890" t="s"/>
      <c r="T69" s="10891" t="s"/>
      <c r="U69" s="10892" t="s"/>
      <c r="V69" s="10893" t="s"/>
      <c r="W69" s="10894" t="s"/>
      <c r="X69" s="10895" t="s"/>
      <c r="Y69" s="10896" t="s"/>
      <c r="Z69" s="10897" t="s"/>
      <c r="AA69" s="10898" t="s"/>
      <c r="AB69" s="10899" t="s"/>
      <c r="AC69" s="10900" t="s"/>
      <c r="AD69" s="10901" t="s"/>
      <c r="AE69" s="10902" t="s"/>
      <c r="AF69" s="10903" t="s"/>
      <c r="AG69" s="10904" t="s"/>
      <c r="AH69" s="10905" t="s"/>
      <c r="AI69" s="10906" t="s"/>
      <c r="AJ69" s="10907" t="s"/>
      <c r="AK69" s="10908" t="s"/>
    </row>
    <row hidden="false" ht="15.75" outlineLevel="0" r="70">
      <c r="B70" s="63" t="n"/>
      <c r="C70" s="98" t="n"/>
      <c r="D70" s="7606" t="s">
        <v>4417</v>
      </c>
      <c r="E70" s="10909" t="s"/>
      <c r="F70" s="10910" t="s"/>
      <c r="G70" s="10911" t="s"/>
      <c r="H70" s="53" t="s">
        <v>165</v>
      </c>
      <c r="I70" s="53" t="s">
        <v>166</v>
      </c>
      <c r="J70" s="53" t="s">
        <v>167</v>
      </c>
      <c r="N70" s="63" t="n"/>
      <c r="P70" s="103" t="s">
        <v>4418</v>
      </c>
      <c r="Q70" s="10912" t="s"/>
      <c r="R70" s="10913" t="s"/>
      <c r="S70" s="10914" t="s"/>
      <c r="T70" s="103" t="s">
        <v>4419</v>
      </c>
      <c r="U70" s="10915" t="s"/>
      <c r="V70" s="10916" t="s"/>
      <c r="W70" s="10917" t="s"/>
      <c r="X70" s="103" t="s">
        <v>4420</v>
      </c>
      <c r="Y70" s="10918" t="s"/>
      <c r="Z70" s="10919" t="s"/>
      <c r="AA70" s="10920" t="s"/>
      <c r="AB70" s="120" t="n"/>
      <c r="AC70" s="121" t="n"/>
      <c r="AD70" s="121" t="n"/>
      <c r="AE70" s="121" t="n"/>
      <c r="AF70" s="121" t="n"/>
      <c r="AG70" s="121" t="n"/>
      <c r="AH70" s="121" t="n"/>
      <c r="AI70" s="121" t="n"/>
      <c r="AJ70" s="121" t="n"/>
      <c r="AK70" s="121" t="n"/>
    </row>
    <row hidden="false" ht="15.75" outlineLevel="0" r="71">
      <c r="C71" s="98" t="s">
        <v>176</v>
      </c>
      <c r="D71" s="122" t="s">
        <v>177</v>
      </c>
      <c r="E71" s="123" t="s">
        <v>167</v>
      </c>
      <c r="F71" s="123" t="s">
        <v>179</v>
      </c>
      <c r="G71" s="124" t="s">
        <v>177</v>
      </c>
      <c r="H71" s="273" t="n">
        <f aca="false" ca="false" dt2D="false" dtr="false" t="normal">MID($A$10, 8, 2)</f>
        <v>0</v>
      </c>
      <c r="I71" s="7626" t="n">
        <f aca="false" ca="false" dt2D="false" dtr="false" t="normal">MID($A$10, 10, 2)</f>
        <v>0</v>
      </c>
      <c r="J71" s="7553" t="str">
        <f aca="false" ca="false" dt2D="false" dtr="false" t="normal">MID($A$10, 12, 2)</f>
        <v>C1</v>
      </c>
      <c r="N71" s="63" t="s">
        <v>180</v>
      </c>
      <c r="P71" s="129" t="s">
        <v>180</v>
      </c>
      <c r="Q71" s="130" t="s">
        <v>181</v>
      </c>
      <c r="R71" s="121" t="s">
        <v>182</v>
      </c>
      <c r="S71" s="131" t="n"/>
      <c r="T71" s="129" t="s">
        <v>180</v>
      </c>
      <c r="U71" s="130" t="s">
        <v>181</v>
      </c>
      <c r="V71" s="121" t="s">
        <v>182</v>
      </c>
      <c r="W71" s="131" t="n"/>
      <c r="X71" s="116" t="s">
        <v>183</v>
      </c>
      <c r="Y71" s="10921" t="s"/>
      <c r="Z71" s="10922" t="s"/>
      <c r="AA71" s="10923" t="s"/>
      <c r="AB71" s="121" t="n"/>
      <c r="AC71" s="121" t="n"/>
      <c r="AD71" s="121" t="n"/>
      <c r="AE71" s="121" t="n"/>
      <c r="AF71" s="121" t="n"/>
      <c r="AG71" s="121" t="n"/>
      <c r="AH71" s="121" t="n"/>
      <c r="AI71" s="121" t="n"/>
      <c r="AJ71" s="121" t="n"/>
      <c r="AK71" s="121" t="n"/>
    </row>
    <row hidden="false" ht="15" outlineLevel="0" r="72">
      <c r="C72" s="98" t="s">
        <v>185</v>
      </c>
      <c r="D72" s="149" t="n">
        <f aca="false" ca="false" dt2D="false" dtr="false" t="normal">HEX2BIN(D71, 8)</f>
        <v>111</v>
      </c>
      <c r="E72" s="149" t="n">
        <f aca="false" ca="false" dt2D="false" dtr="false" t="normal">HEX2BIN(E71, 8)</f>
        <v>10110010</v>
      </c>
      <c r="F72" s="149" t="n">
        <f aca="false" ca="false" dt2D="false" dtr="false" t="normal">HEX2BIN(F71, 8)</f>
        <v>1</v>
      </c>
      <c r="G72" s="149" t="n">
        <f aca="false" ca="false" dt2D="false" dtr="false" t="normal">HEX2BIN(G71, 8)</f>
        <v>111</v>
      </c>
      <c r="H72" s="53" t="n">
        <f aca="false" ca="false" dt2D="false" dtr="false" t="normal">HEX2BIN(H71, 8)</f>
        <v>0</v>
      </c>
      <c r="I72" s="53" t="n">
        <f aca="false" ca="false" dt2D="false" dtr="false" t="normal">HEX2BIN(I71, 8)</f>
        <v>0</v>
      </c>
      <c r="J72" s="53" t="n"/>
      <c r="N72" s="63" t="n"/>
      <c r="P72" s="136" t="n">
        <f aca="false" ca="false" dt2D="false" dtr="false" t="normal">MID(H72, 1, 1)</f>
        <v>0</v>
      </c>
      <c r="Q72" s="137" t="n">
        <f aca="false" ca="false" dt2D="false" dtr="false" t="normal">P72</f>
        <v>0</v>
      </c>
      <c r="R72" s="120" t="s">
        <v>186</v>
      </c>
      <c r="S72" s="131" t="s">
        <v>196</v>
      </c>
      <c r="T72" s="136" t="n">
        <f aca="false" ca="false" dt2D="false" dtr="false" t="normal">MID(I72, 1, 1)</f>
        <v>0</v>
      </c>
      <c r="U72" s="137" t="n">
        <f aca="false" ca="false" dt2D="false" dtr="false" t="normal">T72</f>
        <v>0</v>
      </c>
      <c r="V72" s="120" t="s">
        <v>186</v>
      </c>
      <c r="W72" s="131" t="s">
        <v>196</v>
      </c>
      <c r="X72" s="10924" t="s"/>
      <c r="Y72" s="142" t="s"/>
      <c r="Z72" s="142" t="s"/>
      <c r="AA72" s="10925" t="s"/>
      <c r="AB72" s="121" t="n"/>
      <c r="AC72" s="121" t="n"/>
      <c r="AD72" s="121" t="n"/>
      <c r="AE72" s="121" t="n"/>
      <c r="AF72" s="121" t="n"/>
      <c r="AG72" s="121" t="n"/>
      <c r="AH72" s="121" t="n"/>
      <c r="AI72" s="121" t="n"/>
      <c r="AJ72" s="121" t="n"/>
      <c r="AK72" s="121" t="n"/>
    </row>
    <row hidden="false" ht="15" outlineLevel="0" r="73">
      <c r="C73" s="98" t="s">
        <v>191</v>
      </c>
      <c r="D73" s="149" t="n">
        <f aca="false" ca="false" dt2D="false" dtr="false" t="normal">HEX2DEC(D71)</f>
        <v>7</v>
      </c>
      <c r="E73" s="149" t="n">
        <f aca="false" ca="false" dt2D="false" dtr="false" t="normal">HEX2DEC(E71)</f>
        <v>178</v>
      </c>
      <c r="F73" s="149" t="n">
        <f aca="false" ca="false" dt2D="false" dtr="false" t="normal">HEX2DEC(F71)</f>
        <v>1</v>
      </c>
      <c r="G73" s="149" t="n">
        <f aca="false" ca="false" dt2D="false" dtr="false" t="normal">HEX2DEC(G71)</f>
        <v>7</v>
      </c>
      <c r="H73" s="53" t="n">
        <f aca="false" ca="false" dt2D="false" dtr="false" t="normal">HEX2DEC(H71)</f>
        <v>0</v>
      </c>
      <c r="I73" s="53" t="n">
        <f aca="false" ca="false" dt2D="false" dtr="false" t="normal">HEX2DEC(I71)</f>
        <v>0</v>
      </c>
      <c r="J73" s="149" t="n">
        <f aca="false" ca="false" dt2D="false" dtr="false" t="normal">SUM(D73:I73)</f>
        <v>193</v>
      </c>
      <c r="N73" s="63" t="n"/>
      <c r="P73" s="136" t="n">
        <f aca="false" ca="false" dt2D="false" dtr="false" t="normal">MID(H72, 2, 1)</f>
        <v>0</v>
      </c>
      <c r="Q73" s="137" t="n">
        <f aca="false" ca="false" dt2D="false" dtr="false" t="normal">P73</f>
        <v>0</v>
      </c>
      <c r="R73" s="120" t="s">
        <v>192</v>
      </c>
      <c r="S73" s="131" t="s">
        <v>196</v>
      </c>
      <c r="T73" s="136" t="n">
        <f aca="false" ca="false" dt2D="false" dtr="false" t="normal">MID(I72, 2, 1)</f>
        <v>0</v>
      </c>
      <c r="U73" s="137" t="n">
        <f aca="false" ca="false" dt2D="false" dtr="false" t="normal">T73</f>
        <v>0</v>
      </c>
      <c r="V73" s="120" t="s">
        <v>192</v>
      </c>
      <c r="W73" s="131" t="s">
        <v>196</v>
      </c>
      <c r="X73" s="10926" t="s"/>
      <c r="Y73" s="142" t="s"/>
      <c r="Z73" s="142" t="s"/>
      <c r="AA73" s="10927" t="s"/>
      <c r="AB73" s="121" t="n"/>
      <c r="AC73" s="121" t="n"/>
      <c r="AD73" s="121" t="n"/>
      <c r="AE73" s="121" t="n"/>
      <c r="AF73" s="121" t="n"/>
      <c r="AG73" s="121" t="n"/>
      <c r="AH73" s="121" t="n"/>
      <c r="AI73" s="121" t="n"/>
      <c r="AJ73" s="121" t="n"/>
      <c r="AK73" s="121" t="n"/>
    </row>
    <row hidden="false" ht="15" outlineLevel="0" r="74">
      <c r="C74" s="98" t="s">
        <v>194</v>
      </c>
      <c r="D74" s="149" t="n">
        <f aca="false" ca="false" dt2D="false" dtr="false" t="normal">D71</f>
        <v>7</v>
      </c>
      <c r="E74" s="149" t="str">
        <f aca="false" ca="false" dt2D="false" dtr="false" t="normal">E71</f>
        <v>B2</v>
      </c>
      <c r="F74" s="149" t="str">
        <f aca="false" ca="false" dt2D="false" dtr="false" t="normal">MID($A$10, 4, 2)</f>
        <v>G1</v>
      </c>
      <c r="G74" s="149" t="str">
        <f aca="false" ca="false" dt2D="false" dtr="false" t="normal">MID($A$10, 6, 2)</f>
        <v>G7</v>
      </c>
      <c r="N74" s="63" t="n"/>
      <c r="P74" s="136" t="n">
        <f aca="false" ca="false" dt2D="false" dtr="false" t="normal">MID(H72, 3, 1)</f>
        <v>0</v>
      </c>
      <c r="Q74" s="137" t="n">
        <f aca="false" ca="false" dt2D="false" dtr="false" t="normal">P74</f>
        <v>0</v>
      </c>
      <c r="R74" s="120" t="s">
        <v>195</v>
      </c>
      <c r="S74" s="131" t="s">
        <v>196</v>
      </c>
      <c r="T74" s="136" t="n">
        <f aca="false" ca="false" dt2D="false" dtr="false" t="normal">MID(I72, 3, 1)</f>
        <v>0</v>
      </c>
      <c r="U74" s="137" t="n">
        <f aca="false" ca="false" dt2D="false" dtr="false" t="normal">T74</f>
        <v>0</v>
      </c>
      <c r="V74" s="120" t="s">
        <v>195</v>
      </c>
      <c r="W74" s="131" t="s">
        <v>196</v>
      </c>
      <c r="X74" s="10928" t="s"/>
      <c r="Y74" s="142" t="s"/>
      <c r="Z74" s="142" t="s"/>
      <c r="AA74" s="10929" t="s"/>
      <c r="AB74" s="121" t="n"/>
      <c r="AC74" s="121" t="n"/>
      <c r="AD74" s="121" t="n"/>
      <c r="AE74" s="121" t="n"/>
      <c r="AF74" s="121" t="n"/>
      <c r="AG74" s="121" t="n"/>
      <c r="AH74" s="121" t="n"/>
      <c r="AI74" s="121" t="n"/>
      <c r="AJ74" s="121" t="n"/>
      <c r="AK74" s="121" t="n"/>
    </row>
    <row hidden="false" ht="15.75" outlineLevel="0" r="75">
      <c r="C75" s="98" t="n"/>
      <c r="N75" s="63" t="n"/>
      <c r="P75" s="136" t="n">
        <f aca="false" ca="false" dt2D="false" dtr="false" t="normal">MID(H72, 4, 1)</f>
        <v>0</v>
      </c>
      <c r="Q75" s="137" t="n">
        <f aca="false" ca="false" dt2D="false" dtr="false" t="normal">P75</f>
        <v>0</v>
      </c>
      <c r="R75" s="120" t="s">
        <v>197</v>
      </c>
      <c r="S75" s="131" t="s">
        <v>196</v>
      </c>
      <c r="T75" s="136" t="n">
        <f aca="false" ca="false" dt2D="false" dtr="false" t="normal">MID(I72, 4, 1)</f>
        <v>0</v>
      </c>
      <c r="U75" s="137" t="n">
        <f aca="false" ca="false" dt2D="false" dtr="false" t="normal">T75</f>
        <v>0</v>
      </c>
      <c r="V75" s="120" t="s">
        <v>197</v>
      </c>
      <c r="W75" s="131" t="s">
        <v>196</v>
      </c>
      <c r="X75" s="10930" t="s"/>
      <c r="Y75" s="142" t="s"/>
      <c r="Z75" s="142" t="s"/>
      <c r="AA75" s="10931" t="s"/>
      <c r="AB75" s="121" t="n"/>
      <c r="AC75" s="121" t="n"/>
      <c r="AD75" s="121" t="n"/>
      <c r="AE75" s="121" t="n"/>
      <c r="AF75" s="121" t="n"/>
      <c r="AG75" s="121" t="n"/>
      <c r="AH75" s="121" t="n"/>
      <c r="AI75" s="121" t="n"/>
      <c r="AJ75" s="121" t="n"/>
      <c r="AK75" s="121" t="n"/>
    </row>
    <row hidden="false" ht="15.75" outlineLevel="0" r="76">
      <c r="C76" s="98" t="s">
        <v>176</v>
      </c>
      <c r="D76" s="122" t="n">
        <f aca="false" ca="false" dt2D="false" dtr="false" t="normal">D71</f>
        <v>7</v>
      </c>
      <c r="E76" s="123" t="str">
        <f aca="false" ca="false" dt2D="false" dtr="false" t="normal">E71</f>
        <v>B2</v>
      </c>
      <c r="F76" s="123" t="n">
        <f aca="false" ca="false" dt2D="false" dtr="false" t="normal">F71</f>
        <v>1</v>
      </c>
      <c r="G76" s="124" t="n">
        <f aca="false" ca="false" dt2D="false" dtr="false" t="normal">G71</f>
        <v>7</v>
      </c>
      <c r="H76" s="162" t="n">
        <f aca="false" ca="false" dt2D="false" dtr="false" t="normal">BIN2HEX(H77, 2)</f>
        <v>0</v>
      </c>
      <c r="I76" s="163" t="n">
        <f aca="false" ca="false" dt2D="false" dtr="false" t="normal">BIN2HEX(I77, 2)</f>
        <v>0</v>
      </c>
      <c r="J76" s="166" t="str">
        <f aca="false" ca="false" dt2D="false" dtr="false" t="normal">IF(LEN(J77)&gt;2, MID(J77, 2, 2), J77)</f>
        <v>C1</v>
      </c>
      <c r="N76" s="63" t="s">
        <v>181</v>
      </c>
      <c r="P76" s="136" t="n">
        <f aca="false" ca="false" dt2D="false" dtr="false" t="normal">MID(H72, 5, 1)</f>
        <v>0</v>
      </c>
      <c r="Q76" s="137" t="n">
        <f aca="false" ca="false" dt2D="false" dtr="false" t="normal">P76</f>
        <v>0</v>
      </c>
      <c r="R76" s="120" t="s">
        <v>200</v>
      </c>
      <c r="S76" s="131" t="s">
        <v>196</v>
      </c>
      <c r="T76" s="136" t="n">
        <f aca="false" ca="false" dt2D="false" dtr="false" t="normal">MID(I72, 5, 1)</f>
        <v>0</v>
      </c>
      <c r="U76" s="137" t="n">
        <f aca="false" ca="false" dt2D="false" dtr="false" t="normal">T76</f>
        <v>0</v>
      </c>
      <c r="V76" s="120" t="s">
        <v>200</v>
      </c>
      <c r="W76" s="131" t="s">
        <v>196</v>
      </c>
      <c r="X76" s="10932" t="s"/>
      <c r="Y76" s="142" t="s"/>
      <c r="Z76" s="142" t="s"/>
      <c r="AA76" s="10933" t="s"/>
      <c r="AB76" s="121" t="n"/>
      <c r="AC76" s="121" t="n"/>
      <c r="AD76" s="121" t="n"/>
      <c r="AE76" s="121" t="n"/>
      <c r="AF76" s="121" t="n"/>
      <c r="AG76" s="121" t="n"/>
      <c r="AH76" s="121" t="n"/>
      <c r="AI76" s="121" t="n"/>
      <c r="AJ76" s="121" t="n"/>
      <c r="AK76" s="121" t="n"/>
    </row>
    <row hidden="false" ht="15" outlineLevel="0" r="77">
      <c r="C77" s="98" t="s">
        <v>185</v>
      </c>
      <c r="D77" s="149" t="n">
        <f aca="false" ca="false" dt2D="false" dtr="false" t="normal">HEX2BIN(D76, 8)</f>
        <v>111</v>
      </c>
      <c r="E77" s="149" t="n">
        <f aca="false" ca="false" dt2D="false" dtr="false" t="normal">HEX2BIN(E76, 8)</f>
        <v>10110010</v>
      </c>
      <c r="F77" s="149" t="n">
        <f aca="false" ca="false" dt2D="false" dtr="false" t="normal">HEX2BIN(F76, 8)</f>
        <v>1</v>
      </c>
      <c r="G77" s="149" t="n">
        <f aca="false" ca="false" dt2D="false" dtr="false" t="normal">HEX2BIN(G76, 8)</f>
        <v>111</v>
      </c>
      <c r="H77" s="53" t="n">
        <f aca="false" ca="false" dt2D="false" dtr="false" t="normal">Q72&amp;Q73&amp;Q74&amp;Q75&amp;Q76&amp;Q77&amp;Q78&amp;Q79</f>
        <v>0</v>
      </c>
      <c r="I77" s="53" t="n">
        <f aca="false" ca="false" dt2D="false" dtr="false" t="normal">U72&amp;U73&amp;U74&amp;U75&amp;U76&amp;U77&amp;U78&amp;U79</f>
        <v>0</v>
      </c>
      <c r="J77" s="53" t="str">
        <f aca="false" ca="false" dt2D="false" dtr="false" t="normal">DEC2HEX(J78)</f>
        <v>C1</v>
      </c>
      <c r="N77" s="63" t="n"/>
      <c r="P77" s="136" t="n">
        <f aca="false" ca="false" dt2D="false" dtr="false" t="normal">MID(H72, 6, 1)</f>
        <v>0</v>
      </c>
      <c r="Q77" s="137" t="n">
        <f aca="false" ca="false" dt2D="false" dtr="false" t="normal">P77</f>
        <v>0</v>
      </c>
      <c r="R77" s="120" t="s">
        <v>203</v>
      </c>
      <c r="S77" s="131" t="s">
        <v>196</v>
      </c>
      <c r="T77" s="136" t="n">
        <f aca="false" ca="false" dt2D="false" dtr="false" t="normal">MID(I72, 6, 1)</f>
        <v>0</v>
      </c>
      <c r="U77" s="137" t="n">
        <f aca="false" ca="false" dt2D="false" dtr="false" t="normal">T77</f>
        <v>0</v>
      </c>
      <c r="V77" s="120" t="s">
        <v>203</v>
      </c>
      <c r="W77" s="131" t="s">
        <v>196</v>
      </c>
      <c r="X77" s="10934" t="s"/>
      <c r="Y77" s="142" t="s"/>
      <c r="Z77" s="142" t="s"/>
      <c r="AA77" s="10935" t="s"/>
      <c r="AB77" s="121" t="n"/>
      <c r="AC77" s="121" t="n"/>
      <c r="AD77" s="121" t="n"/>
      <c r="AE77" s="121" t="n"/>
      <c r="AF77" s="121" t="n"/>
      <c r="AG77" s="121" t="n"/>
      <c r="AH77" s="121" t="n"/>
      <c r="AI77" s="121" t="n"/>
      <c r="AJ77" s="121" t="n"/>
      <c r="AK77" s="121" t="n"/>
    </row>
    <row hidden="false" ht="15" outlineLevel="0" r="78">
      <c r="C78" s="98" t="s">
        <v>191</v>
      </c>
      <c r="D78" s="149" t="n">
        <f aca="false" ca="false" dt2D="false" dtr="false" t="normal">HEX2DEC(D76)</f>
        <v>7</v>
      </c>
      <c r="E78" s="149" t="n">
        <f aca="false" ca="false" dt2D="false" dtr="false" t="normal">HEX2DEC(E76)</f>
        <v>178</v>
      </c>
      <c r="F78" s="149" t="n">
        <f aca="false" ca="false" dt2D="false" dtr="false" t="normal">HEX2DEC(F76)</f>
        <v>1</v>
      </c>
      <c r="G78" s="149" t="n">
        <f aca="false" ca="false" dt2D="false" dtr="false" t="normal">HEX2DEC(G76)</f>
        <v>7</v>
      </c>
      <c r="H78" s="53" t="n">
        <f aca="false" ca="false" dt2D="false" dtr="false" t="normal">HEX2DEC(H76)</f>
        <v>0</v>
      </c>
      <c r="I78" s="53" t="n">
        <f aca="false" ca="false" dt2D="false" dtr="false" t="normal">HEX2DEC(I76)</f>
        <v>0</v>
      </c>
      <c r="J78" s="149" t="n">
        <f aca="false" ca="false" dt2D="false" dtr="false" t="normal">SUM(D78:I78)</f>
        <v>193</v>
      </c>
      <c r="N78" s="63" t="n"/>
      <c r="P78" s="136" t="n">
        <f aca="false" ca="false" dt2D="false" dtr="false" t="normal">MID(H72, 7, 1)</f>
        <v>0</v>
      </c>
      <c r="Q78" s="137" t="n">
        <f aca="false" ca="false" dt2D="false" dtr="false" t="normal">P78</f>
        <v>0</v>
      </c>
      <c r="R78" s="120" t="s">
        <v>206</v>
      </c>
      <c r="S78" s="131" t="s">
        <v>196</v>
      </c>
      <c r="T78" s="136" t="n">
        <f aca="false" ca="false" dt2D="false" dtr="false" t="normal">MID(I72, 7, 1)</f>
        <v>0</v>
      </c>
      <c r="U78" s="137" t="n">
        <f aca="false" ca="false" dt2D="false" dtr="false" t="normal">T78</f>
        <v>0</v>
      </c>
      <c r="V78" s="120" t="s">
        <v>206</v>
      </c>
      <c r="W78" s="131" t="s">
        <v>196</v>
      </c>
      <c r="X78" s="10936" t="s"/>
      <c r="Y78" s="142" t="s"/>
      <c r="Z78" s="142" t="s"/>
      <c r="AA78" s="10937" t="s"/>
      <c r="AB78" s="121" t="n"/>
      <c r="AC78" s="121" t="n"/>
      <c r="AD78" s="121" t="n"/>
      <c r="AE78" s="121" t="n"/>
      <c r="AF78" s="121" t="n"/>
      <c r="AG78" s="121" t="n"/>
      <c r="AH78" s="121" t="n"/>
      <c r="AI78" s="121" t="n"/>
      <c r="AJ78" s="121" t="n"/>
      <c r="AK78" s="121" t="n"/>
    </row>
    <row hidden="false" ht="15.75" outlineLevel="0" r="79">
      <c r="C79" s="180" t="s">
        <v>194</v>
      </c>
      <c r="D79" s="181" t="n">
        <f aca="false" ca="false" dt2D="false" dtr="false" t="normal">D74</f>
        <v>7</v>
      </c>
      <c r="E79" s="181" t="str">
        <f aca="false" ca="false" dt2D="false" dtr="false" t="normal">E74</f>
        <v>B2</v>
      </c>
      <c r="F79" s="181" t="str">
        <f aca="false" ca="false" dt2D="false" dtr="false" t="normal">F74</f>
        <v>G1</v>
      </c>
      <c r="G79" s="181" t="str">
        <f aca="false" ca="false" dt2D="false" dtr="false" t="normal">G74</f>
        <v>G7</v>
      </c>
      <c r="H79" s="45" t="n"/>
      <c r="I79" s="45" t="n"/>
      <c r="J79" s="45" t="n"/>
      <c r="K79" s="45" t="n"/>
      <c r="L79" s="45" t="n"/>
      <c r="M79" s="45" t="n"/>
      <c r="N79" s="49" t="n"/>
      <c r="P79" s="182" t="n">
        <f aca="false" ca="false" dt2D="false" dtr="false" t="normal">MID(H72, 8, 1)</f>
        <v>0</v>
      </c>
      <c r="Q79" s="183" t="n">
        <f aca="false" ca="false" dt2D="false" dtr="false" t="normal">P79</f>
        <v>0</v>
      </c>
      <c r="R79" s="184" t="s">
        <v>208</v>
      </c>
      <c r="S79" s="185" t="s">
        <v>196</v>
      </c>
      <c r="T79" s="182" t="n">
        <f aca="false" ca="false" dt2D="false" dtr="false" t="normal">MID(I72, 8, 1)</f>
        <v>0</v>
      </c>
      <c r="U79" s="183" t="n">
        <f aca="false" ca="false" dt2D="false" dtr="false" t="normal">T79</f>
        <v>0</v>
      </c>
      <c r="V79" s="184" t="s">
        <v>208</v>
      </c>
      <c r="W79" s="185" t="s">
        <v>196</v>
      </c>
      <c r="X79" s="10938" t="s"/>
      <c r="Y79" s="10939" t="s"/>
      <c r="Z79" s="10940" t="s"/>
      <c r="AA79" s="10941" t="s"/>
      <c r="AB79" s="121" t="n"/>
      <c r="AC79" s="121" t="n"/>
      <c r="AD79" s="121" t="n"/>
      <c r="AE79" s="121" t="n"/>
      <c r="AF79" s="121" t="n"/>
      <c r="AG79" s="121" t="n"/>
      <c r="AH79" s="121" t="n"/>
      <c r="AI79" s="121" t="n"/>
      <c r="AJ79" s="121" t="n"/>
      <c r="AK79" s="121" t="n"/>
    </row>
    <row hidden="false" ht="15.75" outlineLevel="0" r="80">
      <c r="C80" s="93" t="n"/>
      <c r="D80" s="7585" t="n"/>
      <c r="E80" s="7585" t="n"/>
      <c r="F80" s="7585" t="n"/>
      <c r="G80" s="7585" t="n"/>
      <c r="H80" s="94" t="n"/>
      <c r="I80" s="94" t="n"/>
      <c r="J80" s="94" t="n"/>
      <c r="K80" s="94" t="n"/>
      <c r="L80" s="94" t="n"/>
      <c r="M80" s="94" t="s">
        <v>161</v>
      </c>
      <c r="N80" s="60" t="n"/>
      <c r="P80" s="95" t="str">
        <f aca="false" ca="false" dt2D="false" dtr="false" t="normal">RIGHT(D82, 1)&amp;E82&amp;"-"&amp;F82&amp;"-"&amp;G82</f>
        <v>7B2-02-01</v>
      </c>
      <c r="Q80" s="10942" t="s"/>
      <c r="R80" s="234" t="s">
        <v>4421</v>
      </c>
      <c r="S80" s="10943" t="s"/>
      <c r="T80" s="10944" t="s"/>
      <c r="U80" s="10945" t="s"/>
      <c r="V80" s="10946" t="s"/>
      <c r="W80" s="10947" t="s"/>
      <c r="X80" s="10948" t="s"/>
      <c r="Y80" s="10949" t="s"/>
      <c r="Z80" s="10950" t="s"/>
      <c r="AA80" s="10951" t="s"/>
      <c r="AB80" s="10952" t="s"/>
      <c r="AC80" s="10953" t="s"/>
      <c r="AD80" s="10954" t="s"/>
      <c r="AE80" s="10955" t="s"/>
      <c r="AF80" s="10956" t="s"/>
      <c r="AG80" s="10957" t="s"/>
      <c r="AH80" s="10958" t="s"/>
      <c r="AI80" s="10959" t="s"/>
      <c r="AJ80" s="10960" t="s"/>
      <c r="AK80" s="10961" t="s"/>
    </row>
    <row hidden="false" ht="15.75" outlineLevel="0" r="81">
      <c r="C81" s="98" t="n"/>
      <c r="D81" s="7606" t="s">
        <v>4422</v>
      </c>
      <c r="E81" s="10962" t="s"/>
      <c r="F81" s="10963" t="s"/>
      <c r="G81" s="10964" t="s"/>
      <c r="H81" s="53" t="s">
        <v>165</v>
      </c>
      <c r="I81" s="53" t="s">
        <v>166</v>
      </c>
      <c r="J81" s="53" t="s">
        <v>167</v>
      </c>
      <c r="K81" s="53" t="s">
        <v>168</v>
      </c>
      <c r="L81" s="53" t="s">
        <v>169</v>
      </c>
      <c r="M81" s="53" t="s">
        <v>221</v>
      </c>
      <c r="N81" s="63" t="n"/>
      <c r="P81" s="103" t="s">
        <v>4423</v>
      </c>
      <c r="Q81" s="10965" t="s"/>
      <c r="R81" s="10966" t="s"/>
      <c r="S81" s="10967" t="s"/>
      <c r="T81" s="103" t="s">
        <v>4424</v>
      </c>
      <c r="U81" s="10968" t="s"/>
      <c r="V81" s="10969" t="s"/>
      <c r="W81" s="10970" t="s"/>
      <c r="X81" s="103" t="s">
        <v>4425</v>
      </c>
      <c r="Y81" s="10971" t="s"/>
      <c r="Z81" s="10972" t="s"/>
      <c r="AA81" s="10973" t="s"/>
      <c r="AB81" s="103" t="s">
        <v>4426</v>
      </c>
      <c r="AC81" s="10974" t="s"/>
      <c r="AD81" s="10975" t="s"/>
      <c r="AE81" s="10976" t="s"/>
      <c r="AF81" s="103" t="s">
        <v>4427</v>
      </c>
      <c r="AG81" s="10977" t="s"/>
      <c r="AH81" s="10978" t="s"/>
      <c r="AI81" s="10979" t="s"/>
      <c r="AJ81" s="103" t="s">
        <v>4428</v>
      </c>
      <c r="AK81" s="10980" t="s"/>
    </row>
    <row hidden="false" ht="15.75" outlineLevel="0" r="82">
      <c r="C82" s="98" t="s">
        <v>176</v>
      </c>
      <c r="D82" s="122" t="s">
        <v>177</v>
      </c>
      <c r="E82" s="123" t="s">
        <v>167</v>
      </c>
      <c r="F82" s="123" t="s">
        <v>216</v>
      </c>
      <c r="G82" s="124" t="s">
        <v>179</v>
      </c>
      <c r="H82" s="273" t="n">
        <f aca="false" ca="false" dt2D="false" dtr="false" t="normal">MID($A$12, 8, 2)</f>
        <v>0</v>
      </c>
      <c r="I82" s="7626" t="n">
        <f aca="false" ca="false" dt2D="false" dtr="false" t="normal">MID($A$12, 10, 2)</f>
        <v>0</v>
      </c>
      <c r="J82" s="7626" t="n">
        <f aca="false" ca="false" dt2D="false" dtr="false" t="normal">MID($A$12, 12, 2)</f>
        <v>0</v>
      </c>
      <c r="K82" s="7626" t="n">
        <f aca="false" ca="false" dt2D="false" dtr="false" t="normal">MID($A$12, 14, 2)</f>
        <v>0</v>
      </c>
      <c r="L82" s="7627" t="n">
        <f aca="false" ca="false" dt2D="false" dtr="false" t="normal">MID($A$12, 16, 2)</f>
        <v>0</v>
      </c>
      <c r="M82" s="7553" t="str">
        <f aca="false" ca="false" dt2D="false" dtr="false" t="normal">MID($A$12, 18, 2)</f>
        <v>BC</v>
      </c>
      <c r="N82" s="63" t="s">
        <v>180</v>
      </c>
      <c r="P82" s="129" t="s">
        <v>180</v>
      </c>
      <c r="Q82" s="130" t="s">
        <v>181</v>
      </c>
      <c r="R82" s="121" t="s">
        <v>182</v>
      </c>
      <c r="S82" s="131" t="n"/>
      <c r="T82" s="129" t="s">
        <v>180</v>
      </c>
      <c r="U82" s="130" t="s">
        <v>181</v>
      </c>
      <c r="V82" s="121" t="s">
        <v>182</v>
      </c>
      <c r="W82" s="131" t="n"/>
      <c r="X82" s="129" t="s">
        <v>180</v>
      </c>
      <c r="Y82" s="130" t="s">
        <v>181</v>
      </c>
      <c r="Z82" s="121" t="s">
        <v>182</v>
      </c>
      <c r="AA82" s="131" t="n"/>
      <c r="AB82" s="129" t="s">
        <v>180</v>
      </c>
      <c r="AC82" s="130" t="s">
        <v>181</v>
      </c>
      <c r="AD82" s="121" t="s">
        <v>182</v>
      </c>
      <c r="AE82" s="131" t="n"/>
      <c r="AF82" s="129" t="s">
        <v>180</v>
      </c>
      <c r="AG82" s="130" t="s">
        <v>181</v>
      </c>
      <c r="AH82" s="121" t="s">
        <v>182</v>
      </c>
      <c r="AI82" s="121" t="n"/>
      <c r="AJ82" s="116" t="s">
        <v>183</v>
      </c>
      <c r="AK82" s="10981" t="s"/>
    </row>
    <row hidden="false" ht="15" outlineLevel="0" r="83">
      <c r="C83" s="98" t="s">
        <v>185</v>
      </c>
      <c r="D83" s="149" t="n">
        <f aca="false" ca="false" dt2D="false" dtr="false" t="normal">HEX2BIN(D82, 8)</f>
        <v>111</v>
      </c>
      <c r="E83" s="149" t="n">
        <f aca="false" ca="false" dt2D="false" dtr="false" t="normal">HEX2BIN(E82, 8)</f>
        <v>10110010</v>
      </c>
      <c r="F83" s="149" t="n">
        <f aca="false" ca="false" dt2D="false" dtr="false" t="normal">HEX2BIN(F82, 8)</f>
        <v>10</v>
      </c>
      <c r="G83" s="149" t="n">
        <f aca="false" ca="false" dt2D="false" dtr="false" t="normal">HEX2BIN(G82, 8)</f>
        <v>1</v>
      </c>
      <c r="H83" s="53" t="n">
        <f aca="false" ca="false" dt2D="false" dtr="false" t="normal">HEX2BIN(H82, 8)</f>
        <v>0</v>
      </c>
      <c r="I83" s="53" t="n">
        <f aca="false" ca="false" dt2D="false" dtr="false" t="normal">HEX2BIN(I82, 8)</f>
        <v>0</v>
      </c>
      <c r="J83" s="53" t="n">
        <f aca="false" ca="false" dt2D="false" dtr="false" t="normal">HEX2BIN(J82, 8)</f>
        <v>0</v>
      </c>
      <c r="K83" s="53" t="n">
        <f aca="false" ca="false" dt2D="false" dtr="false" t="normal">HEX2BIN(K82, 8)</f>
        <v>0</v>
      </c>
      <c r="L83" s="53" t="n">
        <f aca="false" ca="false" dt2D="false" dtr="false" t="normal">HEX2BIN(L82, 8)</f>
        <v>0</v>
      </c>
      <c r="M83" s="53" t="n"/>
      <c r="N83" s="63" t="n"/>
      <c r="P83" s="136" t="n">
        <f aca="false" ca="false" dt2D="false" dtr="false" t="normal">MID(H83, 1, 1)</f>
        <v>0</v>
      </c>
      <c r="Q83" s="137" t="n">
        <f aca="false" ca="false" dt2D="false" dtr="false" t="normal">P83</f>
        <v>0</v>
      </c>
      <c r="R83" s="120" t="s">
        <v>186</v>
      </c>
      <c r="S83" s="131" t="s">
        <v>196</v>
      </c>
      <c r="T83" s="136" t="n">
        <f aca="false" ca="false" dt2D="false" dtr="false" t="normal">MID(I83, 1, 1)</f>
        <v>0</v>
      </c>
      <c r="U83" s="137" t="n">
        <f aca="false" ca="false" dt2D="false" dtr="false" t="normal">T83</f>
        <v>0</v>
      </c>
      <c r="V83" s="120" t="s">
        <v>186</v>
      </c>
      <c r="W83" s="131" t="s">
        <v>196</v>
      </c>
      <c r="X83" s="136" t="n">
        <f aca="false" ca="false" dt2D="false" dtr="false" t="normal">MID(J83, 1, 1)</f>
        <v>0</v>
      </c>
      <c r="Y83" s="137" t="n">
        <f aca="false" ca="false" dt2D="false" dtr="false" t="normal">X83</f>
        <v>0</v>
      </c>
      <c r="Z83" s="120" t="s">
        <v>186</v>
      </c>
      <c r="AA83" s="131" t="s">
        <v>196</v>
      </c>
      <c r="AB83" s="136" t="n">
        <f aca="false" ca="false" dt2D="false" dtr="false" t="normal">MID(K83, 1, 1)</f>
        <v>0</v>
      </c>
      <c r="AC83" s="137" t="n">
        <f aca="false" ca="false" dt2D="false" dtr="false" t="normal">AB83</f>
        <v>0</v>
      </c>
      <c r="AD83" s="120" t="s">
        <v>186</v>
      </c>
      <c r="AE83" s="131" t="s">
        <v>196</v>
      </c>
      <c r="AF83" s="136" t="n">
        <f aca="false" ca="false" dt2D="false" dtr="false" t="normal">MID(L83, 1, 1)</f>
        <v>0</v>
      </c>
      <c r="AG83" s="137" t="n">
        <f aca="false" ca="false" dt2D="false" dtr="false" t="normal">AF83</f>
        <v>0</v>
      </c>
      <c r="AH83" s="120" t="s">
        <v>186</v>
      </c>
      <c r="AI83" s="131" t="s">
        <v>196</v>
      </c>
      <c r="AJ83" s="10982" t="s"/>
      <c r="AK83" s="10983" t="s"/>
    </row>
    <row hidden="false" ht="15" outlineLevel="0" r="84">
      <c r="C84" s="98" t="s">
        <v>191</v>
      </c>
      <c r="D84" s="149" t="n">
        <f aca="false" ca="false" dt2D="false" dtr="false" t="normal">HEX2DEC(D82)</f>
        <v>7</v>
      </c>
      <c r="E84" s="149" t="n">
        <f aca="false" ca="false" dt2D="false" dtr="false" t="normal">HEX2DEC(E82)</f>
        <v>178</v>
      </c>
      <c r="F84" s="149" t="n">
        <f aca="false" ca="false" dt2D="false" dtr="false" t="normal">HEX2DEC(F82)</f>
        <v>2</v>
      </c>
      <c r="G84" s="149" t="n">
        <f aca="false" ca="false" dt2D="false" dtr="false" t="normal">HEX2DEC(G82)</f>
        <v>1</v>
      </c>
      <c r="H84" s="53" t="n">
        <f aca="false" ca="false" dt2D="false" dtr="false" t="normal">HEX2DEC(H82)</f>
        <v>0</v>
      </c>
      <c r="I84" s="53" t="n">
        <f aca="false" ca="false" dt2D="false" dtr="false" t="normal">HEX2DEC(I82)</f>
        <v>0</v>
      </c>
      <c r="J84" s="53" t="n">
        <f aca="false" ca="false" dt2D="false" dtr="false" t="normal">HEX2DEC(J82)</f>
        <v>0</v>
      </c>
      <c r="K84" s="53" t="n">
        <f aca="false" ca="false" dt2D="false" dtr="false" t="normal">HEX2DEC(K82)</f>
        <v>0</v>
      </c>
      <c r="L84" s="53" t="n">
        <f aca="false" ca="false" dt2D="false" dtr="false" t="normal">HEX2DEC(L82)</f>
        <v>0</v>
      </c>
      <c r="M84" s="53" t="n">
        <f aca="false" ca="false" dt2D="false" dtr="false" t="normal">SUM(D84:L84)</f>
        <v>188</v>
      </c>
      <c r="N84" s="63" t="n"/>
      <c r="P84" s="136" t="n">
        <f aca="false" ca="false" dt2D="false" dtr="false" t="normal">MID(H83, 2, 1)</f>
        <v>0</v>
      </c>
      <c r="Q84" s="137" t="n">
        <f aca="false" ca="false" dt2D="false" dtr="false" t="normal">P84</f>
        <v>0</v>
      </c>
      <c r="R84" s="120" t="s">
        <v>192</v>
      </c>
      <c r="S84" s="131" t="s">
        <v>196</v>
      </c>
      <c r="T84" s="136" t="n">
        <f aca="false" ca="false" dt2D="false" dtr="false" t="normal">MID(I83, 2, 1)</f>
        <v>0</v>
      </c>
      <c r="U84" s="137" t="n">
        <f aca="false" ca="false" dt2D="false" dtr="false" t="normal">T84</f>
        <v>0</v>
      </c>
      <c r="V84" s="120" t="s">
        <v>192</v>
      </c>
      <c r="W84" s="131" t="s">
        <v>196</v>
      </c>
      <c r="X84" s="136" t="n">
        <f aca="false" ca="false" dt2D="false" dtr="false" t="normal">MID(J83, 2, 1)</f>
        <v>0</v>
      </c>
      <c r="Y84" s="137" t="n">
        <f aca="false" ca="false" dt2D="false" dtr="false" t="normal">X84</f>
        <v>0</v>
      </c>
      <c r="Z84" s="120" t="s">
        <v>192</v>
      </c>
      <c r="AA84" s="131" t="s">
        <v>196</v>
      </c>
      <c r="AB84" s="136" t="n">
        <f aca="false" ca="false" dt2D="false" dtr="false" t="normal">MID(K83, 2, 1)</f>
        <v>0</v>
      </c>
      <c r="AC84" s="137" t="n">
        <f aca="false" ca="false" dt2D="false" dtr="false" t="normal">AB84</f>
        <v>0</v>
      </c>
      <c r="AD84" s="120" t="s">
        <v>192</v>
      </c>
      <c r="AE84" s="131" t="s">
        <v>196</v>
      </c>
      <c r="AF84" s="136" t="n">
        <f aca="false" ca="false" dt2D="false" dtr="false" t="normal">MID(L83, 2, 1)</f>
        <v>0</v>
      </c>
      <c r="AG84" s="137" t="n">
        <f aca="false" ca="false" dt2D="false" dtr="false" t="normal">AF84</f>
        <v>0</v>
      </c>
      <c r="AH84" s="120" t="s">
        <v>192</v>
      </c>
      <c r="AI84" s="131" t="s">
        <v>196</v>
      </c>
      <c r="AJ84" s="10984" t="s"/>
      <c r="AK84" s="10985" t="s"/>
    </row>
    <row hidden="false" ht="15" outlineLevel="0" r="85">
      <c r="C85" s="98" t="s">
        <v>194</v>
      </c>
      <c r="D85" s="149" t="n">
        <f aca="false" ca="false" dt2D="false" dtr="false" t="normal">D82</f>
        <v>7</v>
      </c>
      <c r="E85" s="149" t="str">
        <f aca="false" ca="false" dt2D="false" dtr="false" t="normal">E82</f>
        <v>B2</v>
      </c>
      <c r="F85" s="53" t="str">
        <f aca="false" ca="false" dt2D="false" dtr="false" t="normal">MID($A$12, 4, 2)</f>
        <v>G2</v>
      </c>
      <c r="G85" s="53" t="str">
        <f aca="false" ca="false" dt2D="false" dtr="false" t="normal">MID($A$12, 6, 2)</f>
        <v>G1</v>
      </c>
      <c r="N85" s="63" t="n"/>
      <c r="P85" s="136" t="n">
        <f aca="false" ca="false" dt2D="false" dtr="false" t="normal">MID(H83, 3, 1)</f>
        <v>0</v>
      </c>
      <c r="Q85" s="137" t="n">
        <f aca="false" ca="false" dt2D="false" dtr="false" t="normal">P85</f>
        <v>0</v>
      </c>
      <c r="R85" s="120" t="s">
        <v>195</v>
      </c>
      <c r="S85" s="131" t="s">
        <v>196</v>
      </c>
      <c r="T85" s="136" t="n">
        <f aca="false" ca="false" dt2D="false" dtr="false" t="normal">MID(I83, 3, 1)</f>
        <v>0</v>
      </c>
      <c r="U85" s="137" t="n">
        <f aca="false" ca="false" dt2D="false" dtr="false" t="normal">T85</f>
        <v>0</v>
      </c>
      <c r="V85" s="120" t="s">
        <v>195</v>
      </c>
      <c r="W85" s="131" t="s">
        <v>196</v>
      </c>
      <c r="X85" s="136" t="n">
        <f aca="false" ca="false" dt2D="false" dtr="false" t="normal">MID(J83, 3, 1)</f>
        <v>0</v>
      </c>
      <c r="Y85" s="137" t="n">
        <f aca="false" ca="false" dt2D="false" dtr="false" t="normal">X85</f>
        <v>0</v>
      </c>
      <c r="Z85" s="120" t="s">
        <v>195</v>
      </c>
      <c r="AA85" s="131" t="s">
        <v>196</v>
      </c>
      <c r="AB85" s="136" t="n">
        <f aca="false" ca="false" dt2D="false" dtr="false" t="normal">MID(K83, 3, 1)</f>
        <v>0</v>
      </c>
      <c r="AC85" s="137" t="n">
        <f aca="false" ca="false" dt2D="false" dtr="false" t="normal">AB85</f>
        <v>0</v>
      </c>
      <c r="AD85" s="120" t="s">
        <v>195</v>
      </c>
      <c r="AE85" s="131" t="s">
        <v>196</v>
      </c>
      <c r="AF85" s="136" t="n">
        <f aca="false" ca="false" dt2D="false" dtr="false" t="normal">MID(L83, 3, 1)</f>
        <v>0</v>
      </c>
      <c r="AG85" s="137" t="n">
        <f aca="false" ca="false" dt2D="false" dtr="false" t="normal">AF85</f>
        <v>0</v>
      </c>
      <c r="AH85" s="120" t="s">
        <v>195</v>
      </c>
      <c r="AI85" s="131" t="s">
        <v>196</v>
      </c>
      <c r="AJ85" s="10986" t="s"/>
      <c r="AK85" s="10987" t="s"/>
    </row>
    <row hidden="false" ht="15.75" outlineLevel="0" r="86">
      <c r="C86" s="98" t="n"/>
      <c r="N86" s="63" t="n"/>
      <c r="P86" s="136" t="n">
        <f aca="false" ca="false" dt2D="false" dtr="false" t="normal">MID(H83, 4, 1)</f>
        <v>0</v>
      </c>
      <c r="Q86" s="137" t="n">
        <f aca="false" ca="false" dt2D="false" dtr="false" t="normal">P86</f>
        <v>0</v>
      </c>
      <c r="R86" s="120" t="s">
        <v>197</v>
      </c>
      <c r="S86" s="131" t="s">
        <v>196</v>
      </c>
      <c r="T86" s="136" t="n">
        <f aca="false" ca="false" dt2D="false" dtr="false" t="normal">MID(I83, 4, 1)</f>
        <v>0</v>
      </c>
      <c r="U86" s="137" t="n">
        <f aca="false" ca="false" dt2D="false" dtr="false" t="normal">T86</f>
        <v>0</v>
      </c>
      <c r="V86" s="120" t="s">
        <v>197</v>
      </c>
      <c r="W86" s="131" t="s">
        <v>196</v>
      </c>
      <c r="X86" s="136" t="n">
        <f aca="false" ca="false" dt2D="false" dtr="false" t="normal">MID(J83, 4, 1)</f>
        <v>0</v>
      </c>
      <c r="Y86" s="137" t="n">
        <f aca="false" ca="false" dt2D="false" dtr="false" t="normal">X86</f>
        <v>0</v>
      </c>
      <c r="Z86" s="120" t="s">
        <v>197</v>
      </c>
      <c r="AA86" s="131" t="s">
        <v>196</v>
      </c>
      <c r="AB86" s="136" t="n">
        <f aca="false" ca="false" dt2D="false" dtr="false" t="normal">MID(K83, 4, 1)</f>
        <v>0</v>
      </c>
      <c r="AC86" s="137" t="n">
        <f aca="false" ca="false" dt2D="false" dtr="false" t="normal">AB86</f>
        <v>0</v>
      </c>
      <c r="AD86" s="120" t="s">
        <v>197</v>
      </c>
      <c r="AE86" s="131" t="s">
        <v>196</v>
      </c>
      <c r="AF86" s="136" t="n">
        <f aca="false" ca="false" dt2D="false" dtr="false" t="normal">MID(L83, 4, 1)</f>
        <v>0</v>
      </c>
      <c r="AG86" s="137" t="n">
        <f aca="false" ca="false" dt2D="false" dtr="false" t="normal">AF86</f>
        <v>0</v>
      </c>
      <c r="AH86" s="120" t="s">
        <v>197</v>
      </c>
      <c r="AI86" s="131" t="s">
        <v>196</v>
      </c>
      <c r="AJ86" s="10988" t="s"/>
      <c r="AK86" s="10989" t="s"/>
    </row>
    <row hidden="false" ht="15.75" outlineLevel="0" r="87">
      <c r="C87" s="98" t="s">
        <v>176</v>
      </c>
      <c r="D87" s="122" t="n">
        <f aca="false" ca="false" dt2D="false" dtr="false" t="normal">D82</f>
        <v>7</v>
      </c>
      <c r="E87" s="123" t="str">
        <f aca="false" ca="false" dt2D="false" dtr="false" t="normal">E82</f>
        <v>B2</v>
      </c>
      <c r="F87" s="123" t="n">
        <f aca="false" ca="false" dt2D="false" dtr="false" t="normal">F82</f>
        <v>2</v>
      </c>
      <c r="G87" s="124" t="n">
        <f aca="false" ca="false" dt2D="false" dtr="false" t="normal">G82</f>
        <v>1</v>
      </c>
      <c r="H87" s="162" t="n">
        <f aca="false" ca="false" dt2D="false" dtr="false" t="normal">BIN2HEX(H88, 2)</f>
        <v>0</v>
      </c>
      <c r="I87" s="163" t="n">
        <f aca="false" ca="false" dt2D="false" dtr="false" t="normal">BIN2HEX(I88, 2)</f>
        <v>0</v>
      </c>
      <c r="J87" s="164" t="n">
        <f aca="false" ca="false" dt2D="false" dtr="false" t="normal">BIN2HEX(J88, 2)</f>
        <v>0</v>
      </c>
      <c r="K87" s="165" t="n">
        <f aca="false" ca="false" dt2D="false" dtr="false" t="normal">BIN2HEX(K88, 2)</f>
        <v>0</v>
      </c>
      <c r="L87" s="288" t="n">
        <f aca="false" ca="false" dt2D="false" dtr="false" t="normal">BIN2HEX(L88, 2)</f>
        <v>0</v>
      </c>
      <c r="M87" s="166" t="str">
        <f aca="false" ca="false" dt2D="false" dtr="false" t="normal">IF(LEN(M88)&gt;2, MID(M88, 2, 2), M88)</f>
        <v>BC</v>
      </c>
      <c r="N87" s="63" t="s">
        <v>181</v>
      </c>
      <c r="P87" s="136" t="n">
        <f aca="false" ca="false" dt2D="false" dtr="false" t="normal">MID(H83, 5, 1)</f>
        <v>0</v>
      </c>
      <c r="Q87" s="137" t="n">
        <f aca="false" ca="false" dt2D="false" dtr="false" t="normal">P87</f>
        <v>0</v>
      </c>
      <c r="R87" s="120" t="s">
        <v>200</v>
      </c>
      <c r="S87" s="131" t="s">
        <v>196</v>
      </c>
      <c r="T87" s="136" t="n">
        <f aca="false" ca="false" dt2D="false" dtr="false" t="normal">MID(I83, 5, 1)</f>
        <v>0</v>
      </c>
      <c r="U87" s="137" t="n">
        <f aca="false" ca="false" dt2D="false" dtr="false" t="normal">T87</f>
        <v>0</v>
      </c>
      <c r="V87" s="120" t="s">
        <v>200</v>
      </c>
      <c r="W87" s="131" t="s">
        <v>196</v>
      </c>
      <c r="X87" s="136" t="n">
        <f aca="false" ca="false" dt2D="false" dtr="false" t="normal">MID(J83, 5, 1)</f>
        <v>0</v>
      </c>
      <c r="Y87" s="137" t="n">
        <f aca="false" ca="false" dt2D="false" dtr="false" t="normal">X87</f>
        <v>0</v>
      </c>
      <c r="Z87" s="120" t="s">
        <v>200</v>
      </c>
      <c r="AA87" s="131" t="s">
        <v>196</v>
      </c>
      <c r="AB87" s="136" t="n">
        <f aca="false" ca="false" dt2D="false" dtr="false" t="normal">MID(K83, 5, 1)</f>
        <v>0</v>
      </c>
      <c r="AC87" s="137" t="n">
        <f aca="false" ca="false" dt2D="false" dtr="false" t="normal">AB87</f>
        <v>0</v>
      </c>
      <c r="AD87" s="120" t="s">
        <v>200</v>
      </c>
      <c r="AE87" s="131" t="s">
        <v>196</v>
      </c>
      <c r="AF87" s="136" t="n">
        <f aca="false" ca="false" dt2D="false" dtr="false" t="normal">MID(L83, 5, 1)</f>
        <v>0</v>
      </c>
      <c r="AG87" s="137" t="n">
        <f aca="false" ca="false" dt2D="false" dtr="false" t="normal">AF87</f>
        <v>0</v>
      </c>
      <c r="AH87" s="120" t="s">
        <v>200</v>
      </c>
      <c r="AI87" s="131" t="s">
        <v>196</v>
      </c>
      <c r="AJ87" s="10990" t="s"/>
      <c r="AK87" s="10991" t="s"/>
    </row>
    <row hidden="false" ht="15" outlineLevel="0" r="88">
      <c r="C88" s="98" t="s">
        <v>185</v>
      </c>
      <c r="D88" s="149" t="n">
        <f aca="false" ca="false" dt2D="false" dtr="false" t="normal">HEX2BIN(D87, 8)</f>
        <v>111</v>
      </c>
      <c r="E88" s="149" t="n">
        <f aca="false" ca="false" dt2D="false" dtr="false" t="normal">HEX2BIN(E87, 8)</f>
        <v>10110010</v>
      </c>
      <c r="F88" s="149" t="n">
        <f aca="false" ca="false" dt2D="false" dtr="false" t="normal">HEX2BIN(F87, 8)</f>
        <v>10</v>
      </c>
      <c r="G88" s="149" t="n">
        <f aca="false" ca="false" dt2D="false" dtr="false" t="normal">HEX2BIN(G87, 8)</f>
        <v>1</v>
      </c>
      <c r="H88" s="53" t="n">
        <f aca="false" ca="false" dt2D="false" dtr="false" t="normal">Q83&amp;Q84&amp;Q85&amp;Q86&amp;Q87&amp;Q88&amp;Q89&amp;Q90</f>
        <v>0</v>
      </c>
      <c r="I88" s="53" t="n">
        <f aca="false" ca="false" dt2D="false" dtr="false" t="normal">U83&amp;U84&amp;U85&amp;U86&amp;U87&amp;U88&amp;U89&amp;U90</f>
        <v>0</v>
      </c>
      <c r="J88" s="53" t="n">
        <f aca="false" ca="false" dt2D="false" dtr="false" t="normal">Y83&amp;Y84&amp;Y85&amp;Y86&amp;Y87&amp;Y88&amp;Y89&amp;Y90</f>
        <v>0</v>
      </c>
      <c r="K88" s="53" t="n">
        <f aca="false" ca="false" dt2D="false" dtr="false" t="normal">AC83&amp;AC84&amp;AC85&amp;AC86&amp;AC87&amp;AC88&amp;AC89&amp;AC90</f>
        <v>0</v>
      </c>
      <c r="L88" s="53" t="n">
        <f aca="false" ca="false" dt2D="false" dtr="false" t="normal">AG83&amp;AG84&amp;AG85&amp;AG86&amp;AG87&amp;AG88&amp;AG89&amp;AG90</f>
        <v>0</v>
      </c>
      <c r="M88" s="53" t="str">
        <f aca="false" ca="false" dt2D="false" dtr="false" t="normal">DEC2HEX(M89)</f>
        <v>BC</v>
      </c>
      <c r="N88" s="63" t="n"/>
      <c r="P88" s="136" t="n">
        <f aca="false" ca="false" dt2D="false" dtr="false" t="normal">MID(H83, 6, 1)</f>
        <v>0</v>
      </c>
      <c r="Q88" s="137" t="n">
        <f aca="false" ca="false" dt2D="false" dtr="false" t="normal">P88</f>
        <v>0</v>
      </c>
      <c r="R88" s="120" t="s">
        <v>203</v>
      </c>
      <c r="S88" s="131" t="s">
        <v>196</v>
      </c>
      <c r="T88" s="136" t="n">
        <f aca="false" ca="false" dt2D="false" dtr="false" t="normal">MID(I83, 6, 1)</f>
        <v>0</v>
      </c>
      <c r="U88" s="137" t="n">
        <f aca="false" ca="false" dt2D="false" dtr="false" t="normal">T88</f>
        <v>0</v>
      </c>
      <c r="V88" s="120" t="s">
        <v>203</v>
      </c>
      <c r="W88" s="131" t="s">
        <v>196</v>
      </c>
      <c r="X88" s="136" t="n">
        <f aca="false" ca="false" dt2D="false" dtr="false" t="normal">MID(J83, 6, 1)</f>
        <v>0</v>
      </c>
      <c r="Y88" s="137" t="n">
        <f aca="false" ca="false" dt2D="false" dtr="false" t="normal">X88</f>
        <v>0</v>
      </c>
      <c r="Z88" s="120" t="s">
        <v>203</v>
      </c>
      <c r="AA88" s="131" t="s">
        <v>196</v>
      </c>
      <c r="AB88" s="136" t="n">
        <f aca="false" ca="false" dt2D="false" dtr="false" t="normal">MID(K83, 6, 1)</f>
        <v>0</v>
      </c>
      <c r="AC88" s="137" t="n">
        <f aca="false" ca="false" dt2D="false" dtr="false" t="normal">AB88</f>
        <v>0</v>
      </c>
      <c r="AD88" s="120" t="s">
        <v>203</v>
      </c>
      <c r="AE88" s="131" t="s">
        <v>196</v>
      </c>
      <c r="AF88" s="136" t="n">
        <f aca="false" ca="false" dt2D="false" dtr="false" t="normal">MID(L83, 6, 1)</f>
        <v>0</v>
      </c>
      <c r="AG88" s="137" t="n">
        <f aca="false" ca="false" dt2D="false" dtr="false" t="normal">AF88</f>
        <v>0</v>
      </c>
      <c r="AH88" s="120" t="s">
        <v>203</v>
      </c>
      <c r="AI88" s="131" t="s">
        <v>196</v>
      </c>
      <c r="AJ88" s="10992" t="s"/>
      <c r="AK88" s="10993" t="s"/>
    </row>
    <row hidden="false" ht="15" outlineLevel="0" r="89">
      <c r="C89" s="98" t="s">
        <v>191</v>
      </c>
      <c r="D89" s="149" t="n">
        <f aca="false" ca="false" dt2D="false" dtr="false" t="normal">HEX2DEC(D87)</f>
        <v>7</v>
      </c>
      <c r="E89" s="149" t="n">
        <f aca="false" ca="false" dt2D="false" dtr="false" t="normal">HEX2DEC(E87)</f>
        <v>178</v>
      </c>
      <c r="F89" s="149" t="n">
        <f aca="false" ca="false" dt2D="false" dtr="false" t="normal">HEX2DEC(F87)</f>
        <v>2</v>
      </c>
      <c r="G89" s="149" t="n">
        <f aca="false" ca="false" dt2D="false" dtr="false" t="normal">HEX2DEC(G87)</f>
        <v>1</v>
      </c>
      <c r="H89" s="53" t="n">
        <f aca="false" ca="false" dt2D="false" dtr="false" t="normal">HEX2DEC(H87)</f>
        <v>0</v>
      </c>
      <c r="I89" s="53" t="n">
        <f aca="false" ca="false" dt2D="false" dtr="false" t="normal">HEX2DEC(I87)</f>
        <v>0</v>
      </c>
      <c r="J89" s="53" t="n">
        <f aca="false" ca="false" dt2D="false" dtr="false" t="normal">HEX2DEC(J87)</f>
        <v>0</v>
      </c>
      <c r="K89" s="53" t="n">
        <f aca="false" ca="false" dt2D="false" dtr="false" t="normal">HEX2DEC(K87)</f>
        <v>0</v>
      </c>
      <c r="L89" s="53" t="n">
        <f aca="false" ca="false" dt2D="false" dtr="false" t="normal">HEX2DEC(L87)</f>
        <v>0</v>
      </c>
      <c r="M89" s="53" t="n">
        <f aca="false" ca="false" dt2D="false" dtr="false" t="normal">SUM(D89:L89)</f>
        <v>188</v>
      </c>
      <c r="N89" s="63" t="n"/>
      <c r="P89" s="136" t="n">
        <f aca="false" ca="false" dt2D="false" dtr="false" t="normal">MID(H83, 7, 1)</f>
        <v>0</v>
      </c>
      <c r="Q89" s="137" t="n">
        <f aca="false" ca="false" dt2D="false" dtr="false" t="normal">P89</f>
        <v>0</v>
      </c>
      <c r="R89" s="120" t="s">
        <v>206</v>
      </c>
      <c r="S89" s="131" t="s">
        <v>196</v>
      </c>
      <c r="T89" s="136" t="n">
        <f aca="false" ca="false" dt2D="false" dtr="false" t="normal">MID(I83, 7, 1)</f>
        <v>0</v>
      </c>
      <c r="U89" s="137" t="n">
        <f aca="false" ca="false" dt2D="false" dtr="false" t="normal">T89</f>
        <v>0</v>
      </c>
      <c r="V89" s="120" t="s">
        <v>206</v>
      </c>
      <c r="W89" s="131" t="s">
        <v>196</v>
      </c>
      <c r="X89" s="136" t="n">
        <f aca="false" ca="false" dt2D="false" dtr="false" t="normal">MID(J83, 7, 1)</f>
        <v>0</v>
      </c>
      <c r="Y89" s="137" t="n">
        <f aca="false" ca="false" dt2D="false" dtr="false" t="normal">X89</f>
        <v>0</v>
      </c>
      <c r="Z89" s="120" t="s">
        <v>206</v>
      </c>
      <c r="AA89" s="131" t="s">
        <v>196</v>
      </c>
      <c r="AB89" s="136" t="n">
        <f aca="false" ca="false" dt2D="false" dtr="false" t="normal">MID(K83, 7, 1)</f>
        <v>0</v>
      </c>
      <c r="AC89" s="137" t="n">
        <f aca="false" ca="false" dt2D="false" dtr="false" t="normal">AB89</f>
        <v>0</v>
      </c>
      <c r="AD89" s="120" t="s">
        <v>206</v>
      </c>
      <c r="AE89" s="131" t="s">
        <v>196</v>
      </c>
      <c r="AF89" s="136" t="n">
        <f aca="false" ca="false" dt2D="false" dtr="false" t="normal">MID(L83, 7, 1)</f>
        <v>0</v>
      </c>
      <c r="AG89" s="137" t="n">
        <f aca="false" ca="false" dt2D="false" dtr="false" t="normal">AF89</f>
        <v>0</v>
      </c>
      <c r="AH89" s="120" t="s">
        <v>206</v>
      </c>
      <c r="AI89" s="131" t="s">
        <v>196</v>
      </c>
      <c r="AJ89" s="10994" t="s"/>
      <c r="AK89" s="10995" t="s"/>
    </row>
    <row hidden="false" ht="15.75" outlineLevel="0" r="90">
      <c r="C90" s="180" t="s">
        <v>194</v>
      </c>
      <c r="D90" s="181" t="n">
        <f aca="false" ca="false" dt2D="false" dtr="false" t="normal">D85</f>
        <v>7</v>
      </c>
      <c r="E90" s="181" t="str">
        <f aca="false" ca="false" dt2D="false" dtr="false" t="normal">E85</f>
        <v>B2</v>
      </c>
      <c r="F90" s="181" t="str">
        <f aca="false" ca="false" dt2D="false" dtr="false" t="normal">F85</f>
        <v>G2</v>
      </c>
      <c r="G90" s="181" t="str">
        <f aca="false" ca="false" dt2D="false" dtr="false" t="normal">G85</f>
        <v>G1</v>
      </c>
      <c r="H90" s="45" t="n"/>
      <c r="I90" s="45" t="n"/>
      <c r="J90" s="45" t="n"/>
      <c r="K90" s="45" t="n"/>
      <c r="L90" s="45" t="n"/>
      <c r="M90" s="45" t="n"/>
      <c r="N90" s="49" t="n"/>
      <c r="P90" s="182" t="n">
        <f aca="false" ca="false" dt2D="false" dtr="false" t="normal">MID(H83, 8, 1)</f>
        <v>0</v>
      </c>
      <c r="Q90" s="183" t="n">
        <f aca="false" ca="false" dt2D="false" dtr="false" t="normal">P90</f>
        <v>0</v>
      </c>
      <c r="R90" s="184" t="s">
        <v>208</v>
      </c>
      <c r="S90" s="185" t="s">
        <v>196</v>
      </c>
      <c r="T90" s="182" t="n">
        <f aca="false" ca="false" dt2D="false" dtr="false" t="normal">MID(I83, 8, 1)</f>
        <v>0</v>
      </c>
      <c r="U90" s="183" t="n">
        <f aca="false" ca="false" dt2D="false" dtr="false" t="normal">T90</f>
        <v>0</v>
      </c>
      <c r="V90" s="184" t="s">
        <v>208</v>
      </c>
      <c r="W90" s="185" t="s">
        <v>196</v>
      </c>
      <c r="X90" s="182" t="n">
        <f aca="false" ca="false" dt2D="false" dtr="false" t="normal">MID(J83, 8, 1)</f>
        <v>0</v>
      </c>
      <c r="Y90" s="183" t="n">
        <f aca="false" ca="false" dt2D="false" dtr="false" t="normal">X90</f>
        <v>0</v>
      </c>
      <c r="Z90" s="184" t="s">
        <v>208</v>
      </c>
      <c r="AA90" s="185" t="s">
        <v>196</v>
      </c>
      <c r="AB90" s="182" t="n">
        <f aca="false" ca="false" dt2D="false" dtr="false" t="normal">MID(K83, 8, 1)</f>
        <v>0</v>
      </c>
      <c r="AC90" s="183" t="n">
        <f aca="false" ca="false" dt2D="false" dtr="false" t="normal">AB90</f>
        <v>0</v>
      </c>
      <c r="AD90" s="184" t="s">
        <v>208</v>
      </c>
      <c r="AE90" s="185" t="s">
        <v>196</v>
      </c>
      <c r="AF90" s="182" t="n">
        <f aca="false" ca="false" dt2D="false" dtr="false" t="normal">MID(L83, 8, 1)</f>
        <v>0</v>
      </c>
      <c r="AG90" s="183" t="n">
        <f aca="false" ca="false" dt2D="false" dtr="false" t="normal">AF90</f>
        <v>0</v>
      </c>
      <c r="AH90" s="184" t="s">
        <v>208</v>
      </c>
      <c r="AI90" s="185" t="s">
        <v>196</v>
      </c>
      <c r="AJ90" s="10996" t="s"/>
      <c r="AK90" s="10997" t="s"/>
    </row>
    <row hidden="false" ht="15.75" outlineLevel="0" r="91">
      <c r="C91" s="93" t="n"/>
      <c r="D91" s="7585" t="n"/>
      <c r="E91" s="7585" t="n"/>
      <c r="F91" s="7585" t="n"/>
      <c r="G91" s="7585" t="n"/>
      <c r="H91" s="94" t="n"/>
      <c r="I91" s="94" t="s">
        <v>161</v>
      </c>
      <c r="N91" s="60" t="n"/>
      <c r="P91" s="95" t="str">
        <f aca="false" ca="false" dt2D="false" dtr="false" t="normal">RIGHT(D93, 1)&amp;E93&amp;"-"&amp;F93&amp;"-"&amp;G93</f>
        <v>7B2-03-01</v>
      </c>
      <c r="Q91" s="10998" t="s"/>
      <c r="R91" s="97" t="s">
        <v>4429</v>
      </c>
      <c r="S91" s="97" t="s"/>
      <c r="T91" s="97" t="s"/>
      <c r="U91" s="97" t="s"/>
      <c r="V91" s="97" t="s"/>
      <c r="W91" s="97" t="s"/>
      <c r="X91" s="97" t="s"/>
      <c r="Y91" s="97" t="s"/>
      <c r="Z91" s="97" t="s"/>
      <c r="AA91" s="97" t="s"/>
      <c r="AB91" s="97" t="s"/>
      <c r="AC91" s="97" t="s"/>
      <c r="AD91" s="97" t="s"/>
      <c r="AE91" s="97" t="s"/>
      <c r="AF91" s="97" t="s"/>
      <c r="AG91" s="97" t="s"/>
      <c r="AH91" s="97" t="s"/>
      <c r="AI91" s="97" t="s"/>
      <c r="AJ91" s="97" t="s"/>
      <c r="AK91" s="97" t="s"/>
    </row>
    <row hidden="false" ht="15.75" outlineLevel="0" r="92">
      <c r="C92" s="98" t="n"/>
      <c r="D92" s="7606" t="s">
        <v>4430</v>
      </c>
      <c r="E92" s="10999" t="s"/>
      <c r="F92" s="11000" t="s"/>
      <c r="G92" s="11001" t="s"/>
      <c r="H92" s="53" t="s">
        <v>165</v>
      </c>
      <c r="I92" s="53" t="s">
        <v>166</v>
      </c>
      <c r="N92" s="63" t="n"/>
      <c r="P92" s="103" t="s">
        <v>4431</v>
      </c>
      <c r="Q92" s="11002" t="s"/>
      <c r="R92" s="11003" t="s"/>
      <c r="S92" s="11004" t="s"/>
      <c r="T92" s="103" t="s">
        <v>4432</v>
      </c>
      <c r="U92" s="11005" t="s"/>
      <c r="V92" s="11006" t="s"/>
      <c r="W92" s="11007" t="s"/>
      <c r="X92" s="120" t="n"/>
      <c r="Y92" s="121" t="n"/>
      <c r="Z92" s="121" t="n"/>
      <c r="AA92" s="121" t="n"/>
      <c r="AB92" s="121" t="n"/>
      <c r="AC92" s="121" t="n"/>
      <c r="AD92" s="121" t="n"/>
      <c r="AE92" s="121" t="n"/>
      <c r="AF92" s="121" t="n"/>
      <c r="AG92" s="121" t="n"/>
      <c r="AH92" s="121" t="n"/>
      <c r="AI92" s="121" t="n"/>
      <c r="AJ92" s="121" t="n"/>
      <c r="AK92" s="121" t="n"/>
    </row>
    <row hidden="false" ht="15.75" outlineLevel="0" r="93">
      <c r="C93" s="98" t="s">
        <v>176</v>
      </c>
      <c r="D93" s="122" t="s">
        <v>177</v>
      </c>
      <c r="E93" s="123" t="s">
        <v>167</v>
      </c>
      <c r="F93" s="123" t="s">
        <v>307</v>
      </c>
      <c r="G93" s="124" t="s">
        <v>179</v>
      </c>
      <c r="H93" s="273" t="n">
        <f aca="false" ca="false" dt2D="false" dtr="false" t="normal">MID($A$14, 8, 2)</f>
        <v>0</v>
      </c>
      <c r="I93" s="7553" t="str">
        <f aca="false" ca="false" dt2D="false" dtr="false" t="normal">MID($A$14, 10, 2)</f>
        <v>BD</v>
      </c>
      <c r="N93" s="63" t="s">
        <v>180</v>
      </c>
      <c r="P93" s="129" t="s">
        <v>180</v>
      </c>
      <c r="Q93" s="130" t="s">
        <v>181</v>
      </c>
      <c r="R93" s="121" t="s">
        <v>182</v>
      </c>
      <c r="S93" s="131" t="n"/>
      <c r="T93" s="116" t="s">
        <v>183</v>
      </c>
      <c r="U93" s="11008" t="s"/>
      <c r="V93" s="11009" t="s"/>
      <c r="W93" s="11010" t="s"/>
      <c r="X93" s="120" t="n"/>
      <c r="Y93" s="121" t="n"/>
      <c r="Z93" s="121" t="n"/>
      <c r="AA93" s="121" t="n"/>
      <c r="AB93" s="121" t="n"/>
      <c r="AC93" s="121" t="n"/>
      <c r="AD93" s="121" t="n"/>
      <c r="AE93" s="121" t="n"/>
      <c r="AF93" s="121" t="n"/>
      <c r="AG93" s="121" t="n"/>
      <c r="AH93" s="121" t="n"/>
      <c r="AI93" s="121" t="n"/>
      <c r="AJ93" s="121" t="n"/>
      <c r="AK93" s="121" t="n"/>
    </row>
    <row hidden="false" ht="15" outlineLevel="0" r="94">
      <c r="C94" s="98" t="s">
        <v>185</v>
      </c>
      <c r="D94" s="149" t="n">
        <f aca="false" ca="false" dt2D="false" dtr="false" t="normal">HEX2BIN(D93, 8)</f>
        <v>111</v>
      </c>
      <c r="E94" s="149" t="n">
        <f aca="false" ca="false" dt2D="false" dtr="false" t="normal">HEX2BIN(E93, 8)</f>
        <v>10110010</v>
      </c>
      <c r="F94" s="149" t="n">
        <f aca="false" ca="false" dt2D="false" dtr="false" t="normal">HEX2BIN(F93, 8)</f>
        <v>11</v>
      </c>
      <c r="G94" s="149" t="n">
        <f aca="false" ca="false" dt2D="false" dtr="false" t="normal">HEX2BIN(G93, 8)</f>
        <v>1</v>
      </c>
      <c r="H94" s="53" t="n">
        <f aca="false" ca="false" dt2D="false" dtr="false" t="normal">HEX2BIN(H93, 8)</f>
        <v>0</v>
      </c>
      <c r="I94" s="53" t="n"/>
      <c r="N94" s="63" t="n"/>
      <c r="P94" s="136" t="n">
        <f aca="false" ca="false" dt2D="false" dtr="false" t="normal">MID(H94, 1, 1)</f>
        <v>0</v>
      </c>
      <c r="Q94" s="137" t="n">
        <f aca="false" ca="false" dt2D="false" dtr="false" t="normal">P94</f>
        <v>0</v>
      </c>
      <c r="R94" s="120" t="s">
        <v>186</v>
      </c>
      <c r="S94" s="131" t="s">
        <v>196</v>
      </c>
      <c r="T94" s="11011" t="s"/>
      <c r="U94" s="142" t="s"/>
      <c r="V94" s="142" t="s"/>
      <c r="W94" s="11012" t="s"/>
      <c r="X94" s="121" t="n"/>
      <c r="Y94" s="121" t="n"/>
      <c r="Z94" s="121" t="n"/>
      <c r="AA94" s="121" t="n"/>
      <c r="AB94" s="121" t="n"/>
      <c r="AC94" s="121" t="n"/>
      <c r="AD94" s="121" t="n"/>
      <c r="AE94" s="121" t="n"/>
      <c r="AF94" s="121" t="n"/>
      <c r="AG94" s="121" t="n"/>
      <c r="AH94" s="121" t="n"/>
      <c r="AI94" s="121" t="n"/>
      <c r="AJ94" s="121" t="n"/>
      <c r="AK94" s="121" t="n"/>
    </row>
    <row hidden="false" ht="15" outlineLevel="0" r="95">
      <c r="C95" s="98" t="s">
        <v>191</v>
      </c>
      <c r="D95" s="149" t="n">
        <f aca="false" ca="false" dt2D="false" dtr="false" t="normal">HEX2DEC(D93)</f>
        <v>7</v>
      </c>
      <c r="E95" s="149" t="n">
        <f aca="false" ca="false" dt2D="false" dtr="false" t="normal">HEX2DEC(E93)</f>
        <v>178</v>
      </c>
      <c r="F95" s="149" t="n">
        <f aca="false" ca="false" dt2D="false" dtr="false" t="normal">HEX2DEC(F93)</f>
        <v>3</v>
      </c>
      <c r="G95" s="149" t="n">
        <f aca="false" ca="false" dt2D="false" dtr="false" t="normal">HEX2DEC(G93)</f>
        <v>1</v>
      </c>
      <c r="H95" s="53" t="n">
        <f aca="false" ca="false" dt2D="false" dtr="false" t="normal">HEX2DEC(H93)</f>
        <v>0</v>
      </c>
      <c r="I95" s="149" t="n">
        <f aca="false" ca="false" dt2D="false" dtr="false" t="normal">SUM(D95:H95)</f>
        <v>189</v>
      </c>
      <c r="N95" s="63" t="n"/>
      <c r="P95" s="136" t="n">
        <f aca="false" ca="false" dt2D="false" dtr="false" t="normal">MID(H94, 2, 1)</f>
        <v>0</v>
      </c>
      <c r="Q95" s="137" t="n">
        <f aca="false" ca="false" dt2D="false" dtr="false" t="normal">P95</f>
        <v>0</v>
      </c>
      <c r="R95" s="120" t="s">
        <v>192</v>
      </c>
      <c r="S95" s="131" t="s">
        <v>196</v>
      </c>
      <c r="T95" s="11013" t="s"/>
      <c r="U95" s="142" t="s"/>
      <c r="V95" s="142" t="s"/>
      <c r="W95" s="11014" t="s"/>
      <c r="X95" s="121" t="n"/>
      <c r="Y95" s="121" t="n"/>
      <c r="Z95" s="121" t="n"/>
      <c r="AA95" s="121" t="n"/>
      <c r="AB95" s="121" t="n"/>
      <c r="AC95" s="121" t="n"/>
      <c r="AD95" s="121" t="n"/>
      <c r="AE95" s="121" t="n"/>
      <c r="AF95" s="121" t="n"/>
      <c r="AG95" s="121" t="n"/>
      <c r="AH95" s="121" t="n"/>
      <c r="AI95" s="121" t="n"/>
      <c r="AJ95" s="121" t="n"/>
      <c r="AK95" s="121" t="n"/>
    </row>
    <row hidden="false" ht="15" outlineLevel="0" r="96">
      <c r="C96" s="98" t="s">
        <v>194</v>
      </c>
      <c r="D96" s="149" t="n">
        <f aca="false" ca="false" dt2D="false" dtr="false" t="normal">D93</f>
        <v>7</v>
      </c>
      <c r="E96" s="149" t="str">
        <f aca="false" ca="false" dt2D="false" dtr="false" t="normal">E93</f>
        <v>B2</v>
      </c>
      <c r="F96" s="53" t="str">
        <f aca="false" ca="false" dt2D="false" dtr="false" t="normal">MID($A$14, 4, 2)</f>
        <v>G3</v>
      </c>
      <c r="G96" s="53" t="str">
        <f aca="false" ca="false" dt2D="false" dtr="false" t="normal">MID($A$14, 6, 2)</f>
        <v>G1</v>
      </c>
      <c r="N96" s="63" t="n"/>
      <c r="P96" s="136" t="n">
        <f aca="false" ca="false" dt2D="false" dtr="false" t="normal">MID(H94, 3, 1)</f>
        <v>0</v>
      </c>
      <c r="Q96" s="137" t="n">
        <f aca="false" ca="false" dt2D="false" dtr="false" t="normal">P96</f>
        <v>0</v>
      </c>
      <c r="R96" s="120" t="s">
        <v>195</v>
      </c>
      <c r="S96" s="131" t="s">
        <v>196</v>
      </c>
      <c r="T96" s="11015" t="s"/>
      <c r="U96" s="142" t="s"/>
      <c r="V96" s="142" t="s"/>
      <c r="W96" s="11016" t="s"/>
      <c r="X96" s="121" t="n"/>
      <c r="Y96" s="121" t="n"/>
      <c r="Z96" s="121" t="n"/>
      <c r="AA96" s="121" t="n"/>
      <c r="AB96" s="121" t="n"/>
      <c r="AC96" s="121" t="n"/>
      <c r="AD96" s="121" t="n"/>
      <c r="AE96" s="121" t="n"/>
      <c r="AF96" s="121" t="n"/>
      <c r="AG96" s="121" t="n"/>
      <c r="AH96" s="121" t="n"/>
      <c r="AI96" s="121" t="n"/>
      <c r="AJ96" s="121" t="n"/>
      <c r="AK96" s="121" t="n"/>
    </row>
    <row hidden="false" ht="15.75" outlineLevel="0" r="97">
      <c r="C97" s="98" t="n"/>
      <c r="N97" s="63" t="n"/>
      <c r="P97" s="136" t="n">
        <f aca="false" ca="false" dt2D="false" dtr="false" t="normal">MID(H94, 4, 1)</f>
        <v>0</v>
      </c>
      <c r="Q97" s="137" t="n">
        <f aca="false" ca="false" dt2D="false" dtr="false" t="normal">P97</f>
        <v>0</v>
      </c>
      <c r="R97" s="120" t="s">
        <v>197</v>
      </c>
      <c r="S97" s="131" t="s">
        <v>196</v>
      </c>
      <c r="T97" s="11017" t="s"/>
      <c r="U97" s="142" t="s"/>
      <c r="V97" s="142" t="s"/>
      <c r="W97" s="11018" t="s"/>
      <c r="X97" s="121" t="n"/>
      <c r="Y97" s="121" t="n"/>
      <c r="Z97" s="121" t="n"/>
      <c r="AA97" s="121" t="n"/>
      <c r="AB97" s="121" t="n"/>
      <c r="AC97" s="121" t="n"/>
      <c r="AD97" s="121" t="n"/>
      <c r="AE97" s="121" t="n"/>
      <c r="AF97" s="121" t="n"/>
      <c r="AG97" s="121" t="n"/>
      <c r="AH97" s="121" t="n"/>
      <c r="AI97" s="121" t="n"/>
      <c r="AJ97" s="121" t="n"/>
      <c r="AK97" s="121" t="n"/>
    </row>
    <row hidden="false" ht="15.75" outlineLevel="0" r="98">
      <c r="C98" s="98" t="s">
        <v>176</v>
      </c>
      <c r="D98" s="122" t="n">
        <f aca="false" ca="false" dt2D="false" dtr="false" t="normal">D93</f>
        <v>7</v>
      </c>
      <c r="E98" s="123" t="str">
        <f aca="false" ca="false" dt2D="false" dtr="false" t="normal">E93</f>
        <v>B2</v>
      </c>
      <c r="F98" s="123" t="n">
        <f aca="false" ca="false" dt2D="false" dtr="false" t="normal">F93</f>
        <v>3</v>
      </c>
      <c r="G98" s="124" t="n">
        <f aca="false" ca="false" dt2D="false" dtr="false" t="normal">G93</f>
        <v>1</v>
      </c>
      <c r="H98" s="162" t="n">
        <f aca="false" ca="false" dt2D="false" dtr="false" t="normal">BIN2HEX(H99, 2)</f>
        <v>0</v>
      </c>
      <c r="I98" s="166" t="str">
        <f aca="false" ca="false" dt2D="false" dtr="false" t="normal">IF(LEN(I99)&gt;2, MID(I99, 2, 2), I99)</f>
        <v>BD</v>
      </c>
      <c r="N98" s="63" t="s">
        <v>181</v>
      </c>
      <c r="P98" s="136" t="n">
        <f aca="false" ca="false" dt2D="false" dtr="false" t="normal">MID(H94, 5, 1)</f>
        <v>0</v>
      </c>
      <c r="Q98" s="137" t="n">
        <f aca="false" ca="false" dt2D="false" dtr="false" t="normal">P98</f>
        <v>0</v>
      </c>
      <c r="R98" s="120" t="s">
        <v>200</v>
      </c>
      <c r="S98" s="131" t="s">
        <v>196</v>
      </c>
      <c r="T98" s="11019" t="s"/>
      <c r="U98" s="142" t="s"/>
      <c r="V98" s="142" t="s"/>
      <c r="W98" s="11020" t="s"/>
      <c r="X98" s="121" t="n"/>
      <c r="Y98" s="121" t="n"/>
      <c r="Z98" s="121" t="n"/>
      <c r="AA98" s="121" t="n"/>
      <c r="AB98" s="121" t="n"/>
      <c r="AC98" s="121" t="n"/>
      <c r="AD98" s="121" t="n"/>
      <c r="AE98" s="121" t="n"/>
      <c r="AF98" s="121" t="n"/>
      <c r="AG98" s="121" t="n"/>
      <c r="AH98" s="121" t="n"/>
      <c r="AI98" s="121" t="n"/>
      <c r="AJ98" s="121" t="n"/>
      <c r="AK98" s="121" t="n"/>
    </row>
    <row hidden="false" ht="15" outlineLevel="0" r="99">
      <c r="C99" s="98" t="s">
        <v>185</v>
      </c>
      <c r="D99" s="149" t="n">
        <f aca="false" ca="false" dt2D="false" dtr="false" t="normal">HEX2BIN(D98, 8)</f>
        <v>111</v>
      </c>
      <c r="E99" s="149" t="n">
        <f aca="false" ca="false" dt2D="false" dtr="false" t="normal">HEX2BIN(E98, 8)</f>
        <v>10110010</v>
      </c>
      <c r="F99" s="149" t="n">
        <f aca="false" ca="false" dt2D="false" dtr="false" t="normal">HEX2BIN(F98, 8)</f>
        <v>11</v>
      </c>
      <c r="G99" s="149" t="n">
        <f aca="false" ca="false" dt2D="false" dtr="false" t="normal">HEX2BIN(G98, 8)</f>
        <v>1</v>
      </c>
      <c r="H99" s="53" t="n">
        <f aca="false" ca="false" dt2D="false" dtr="false" t="normal">Q94&amp;Q95&amp;Q96&amp;Q97&amp;Q98&amp;Q99&amp;Q100&amp;Q101</f>
        <v>0</v>
      </c>
      <c r="I99" s="53" t="str">
        <f aca="false" ca="false" dt2D="false" dtr="false" t="normal">DEC2HEX(I100)</f>
        <v>BD</v>
      </c>
      <c r="N99" s="63" t="n"/>
      <c r="P99" s="136" t="n">
        <f aca="false" ca="false" dt2D="false" dtr="false" t="normal">MID(H94, 6, 1)</f>
        <v>0</v>
      </c>
      <c r="Q99" s="137" t="n">
        <f aca="false" ca="false" dt2D="false" dtr="false" t="normal">P99</f>
        <v>0</v>
      </c>
      <c r="R99" s="120" t="s">
        <v>203</v>
      </c>
      <c r="S99" s="131" t="s">
        <v>196</v>
      </c>
      <c r="T99" s="11021" t="s"/>
      <c r="U99" s="142" t="s"/>
      <c r="V99" s="142" t="s"/>
      <c r="W99" s="11022" t="s"/>
      <c r="X99" s="121" t="n"/>
      <c r="Y99" s="121" t="n"/>
      <c r="Z99" s="121" t="n"/>
      <c r="AA99" s="121" t="n"/>
      <c r="AB99" s="121" t="n"/>
      <c r="AC99" s="121" t="n"/>
      <c r="AD99" s="121" t="n"/>
      <c r="AE99" s="121" t="n"/>
      <c r="AF99" s="121" t="n"/>
      <c r="AG99" s="121" t="n"/>
      <c r="AH99" s="121" t="n"/>
      <c r="AI99" s="121" t="n"/>
      <c r="AJ99" s="121" t="n"/>
      <c r="AK99" s="121" t="n"/>
    </row>
    <row hidden="false" ht="15" outlineLevel="0" r="100">
      <c r="C100" s="98" t="s">
        <v>191</v>
      </c>
      <c r="D100" s="149" t="n">
        <f aca="false" ca="false" dt2D="false" dtr="false" t="normal">HEX2DEC(D98)</f>
        <v>7</v>
      </c>
      <c r="E100" s="149" t="n">
        <f aca="false" ca="false" dt2D="false" dtr="false" t="normal">HEX2DEC(E98)</f>
        <v>178</v>
      </c>
      <c r="F100" s="149" t="n">
        <f aca="false" ca="false" dt2D="false" dtr="false" t="normal">HEX2DEC(F98)</f>
        <v>3</v>
      </c>
      <c r="G100" s="149" t="n">
        <f aca="false" ca="false" dt2D="false" dtr="false" t="normal">HEX2DEC(G98)</f>
        <v>1</v>
      </c>
      <c r="H100" s="53" t="n">
        <f aca="false" ca="false" dt2D="false" dtr="false" t="normal">HEX2DEC(H98)</f>
        <v>0</v>
      </c>
      <c r="I100" s="149" t="n">
        <f aca="false" ca="false" dt2D="false" dtr="false" t="normal">SUM(D100:H100)</f>
        <v>189</v>
      </c>
      <c r="N100" s="63" t="n"/>
      <c r="P100" s="136" t="n">
        <f aca="false" ca="false" dt2D="false" dtr="false" t="normal">MID(H94, 7, 1)</f>
        <v>0</v>
      </c>
      <c r="Q100" s="137" t="n">
        <f aca="false" ca="false" dt2D="false" dtr="false" t="normal">P100</f>
        <v>0</v>
      </c>
      <c r="R100" s="120" t="s">
        <v>206</v>
      </c>
      <c r="S100" s="131" t="s">
        <v>196</v>
      </c>
      <c r="T100" s="11023" t="s"/>
      <c r="U100" s="142" t="s"/>
      <c r="V100" s="142" t="s"/>
      <c r="W100" s="11024" t="s"/>
      <c r="X100" s="121" t="n"/>
      <c r="Y100" s="121" t="n"/>
      <c r="Z100" s="121" t="n"/>
      <c r="AA100" s="121" t="n"/>
      <c r="AB100" s="121" t="n"/>
      <c r="AC100" s="121" t="n"/>
      <c r="AD100" s="121" t="n"/>
      <c r="AE100" s="121" t="n"/>
      <c r="AF100" s="121" t="n"/>
      <c r="AG100" s="121" t="n"/>
      <c r="AH100" s="121" t="n"/>
      <c r="AI100" s="121" t="n"/>
      <c r="AJ100" s="121" t="n"/>
      <c r="AK100" s="121" t="n"/>
    </row>
    <row hidden="false" ht="15.75" outlineLevel="0" r="101">
      <c r="C101" s="180" t="s">
        <v>194</v>
      </c>
      <c r="D101" s="181" t="n">
        <f aca="false" ca="false" dt2D="false" dtr="false" t="normal">D96</f>
        <v>7</v>
      </c>
      <c r="E101" s="181" t="str">
        <f aca="false" ca="false" dt2D="false" dtr="false" t="normal">E96</f>
        <v>B2</v>
      </c>
      <c r="F101" s="181" t="str">
        <f aca="false" ca="false" dt2D="false" dtr="false" t="normal">F96</f>
        <v>G3</v>
      </c>
      <c r="G101" s="181" t="str">
        <f aca="false" ca="false" dt2D="false" dtr="false" t="normal">G96</f>
        <v>G1</v>
      </c>
      <c r="H101" s="45" t="n"/>
      <c r="I101" s="45" t="n"/>
      <c r="J101" s="45" t="n"/>
      <c r="K101" s="45" t="n"/>
      <c r="L101" s="45" t="n"/>
      <c r="M101" s="45" t="n"/>
      <c r="N101" s="49" t="n"/>
      <c r="P101" s="182" t="n">
        <f aca="false" ca="false" dt2D="false" dtr="false" t="normal">MID(H94, 8, 1)</f>
        <v>0</v>
      </c>
      <c r="Q101" s="183" t="n">
        <f aca="false" ca="false" dt2D="false" dtr="false" t="normal">P101</f>
        <v>0</v>
      </c>
      <c r="R101" s="184" t="s">
        <v>208</v>
      </c>
      <c r="S101" s="185" t="s">
        <v>196</v>
      </c>
      <c r="T101" s="11025" t="s"/>
      <c r="U101" s="11026" t="s"/>
      <c r="V101" s="11027" t="s"/>
      <c r="W101" s="11028" t="s"/>
      <c r="X101" s="121" t="n"/>
      <c r="Y101" s="121" t="n"/>
      <c r="Z101" s="121" t="n"/>
      <c r="AA101" s="121" t="n"/>
      <c r="AB101" s="121" t="n"/>
      <c r="AC101" s="121" t="n"/>
      <c r="AD101" s="121" t="n"/>
      <c r="AE101" s="121" t="n"/>
      <c r="AF101" s="121" t="n"/>
      <c r="AG101" s="121" t="n"/>
      <c r="AH101" s="121" t="n"/>
      <c r="AI101" s="121" t="n"/>
      <c r="AJ101" s="121" t="n"/>
      <c r="AK101" s="121" t="n"/>
    </row>
    <row hidden="false" ht="15" outlineLevel="0" r="102">
      <c r="D102" s="0" t="n"/>
      <c r="E102" s="0" t="n"/>
      <c r="F102" s="0" t="n"/>
      <c r="G102" s="0" t="n"/>
    </row>
    <row hidden="false" ht="15" outlineLevel="0" r="103">
      <c r="D103" s="0" t="n"/>
      <c r="E103" s="0" t="n"/>
      <c r="F103" s="0" t="n"/>
      <c r="G103" s="0" t="n"/>
    </row>
    <row hidden="false" ht="15" outlineLevel="0" r="104">
      <c r="D104" s="0" t="n"/>
      <c r="E104" s="0" t="n"/>
      <c r="F104" s="0" t="n"/>
      <c r="G104" s="0" t="n"/>
    </row>
    <row customHeight="true" hidden="false" ht="15" outlineLevel="0" r="105">
      <c r="D105" s="0" t="n"/>
      <c r="E105" s="0" t="n"/>
      <c r="F105" s="0" t="n"/>
      <c r="G105" s="0" t="n"/>
    </row>
    <row outlineLevel="0" r="106">
      <c r="D106" s="0" t="n"/>
      <c r="E106" s="0" t="n"/>
      <c r="F106" s="0" t="n"/>
      <c r="G106" s="0" t="n"/>
    </row>
    <row customHeight="true" hidden="true" ht="15" outlineLevel="0" r="107">
      <c r="D107" s="0" t="n"/>
      <c r="E107" s="0" t="n"/>
      <c r="F107" s="0" t="n"/>
      <c r="G107" s="0" t="n"/>
    </row>
    <row outlineLevel="0" r="108">
      <c r="D108" s="0" t="n"/>
      <c r="E108" s="0" t="n"/>
      <c r="F108" s="0" t="n"/>
      <c r="G108" s="0" t="n"/>
    </row>
    <row customHeight="true" hidden="true" ht="15.75" outlineLevel="0" r="109">
      <c r="D109" s="0" t="n"/>
      <c r="E109" s="0" t="n"/>
      <c r="F109" s="0" t="n"/>
      <c r="G109" s="0" t="n"/>
    </row>
    <row outlineLevel="0" r="110">
      <c r="D110" s="0" t="n"/>
      <c r="E110" s="0" t="n"/>
      <c r="F110" s="0" t="n"/>
      <c r="G110" s="0" t="n"/>
    </row>
    <row customHeight="true" hidden="true" ht="15" outlineLevel="0" r="111">
      <c r="D111" s="0" t="n"/>
      <c r="E111" s="0" t="n"/>
      <c r="F111" s="0" t="n"/>
      <c r="G111" s="0" t="n"/>
    </row>
    <row outlineLevel="0" r="112">
      <c r="D112" s="0" t="n"/>
      <c r="E112" s="0" t="n"/>
      <c r="F112" s="0" t="n"/>
      <c r="G112" s="0" t="n"/>
    </row>
    <row customHeight="true" hidden="true" ht="15.75" outlineLevel="0" r="137"/>
    <row customHeight="true" hidden="true" ht="15" outlineLevel="0" r="138"/>
    <row customHeight="true" hidden="true" ht="15" outlineLevel="0" r="139"/>
    <row customHeight="true" hidden="true" ht="15" outlineLevel="0" r="140"/>
    <row customHeight="true" hidden="true" ht="15.75" outlineLevel="0" r="141"/>
    <row customHeight="true" hidden="true" ht="15.75" outlineLevel="0" r="142"/>
    <row customHeight="true" hidden="true" ht="15" outlineLevel="0" r="143"/>
    <row customHeight="true" hidden="true" ht="15" outlineLevel="0" r="144"/>
    <row customHeight="true" hidden="true" ht="15.75" outlineLevel="0" r="145"/>
    <row customHeight="true" hidden="true" ht="15.75" outlineLevel="0" r="148"/>
    <row customHeight="true" hidden="true" ht="15" outlineLevel="0" r="149"/>
    <row customHeight="true" hidden="true" ht="15" outlineLevel="0" r="150"/>
    <row customHeight="true" hidden="true" ht="15" outlineLevel="0" r="151"/>
    <row customHeight="true" hidden="true" ht="15.75" outlineLevel="0" r="152"/>
    <row customHeight="true" hidden="true" ht="15.75" outlineLevel="0" r="153"/>
    <row customHeight="true" hidden="true" ht="15" outlineLevel="0" r="154"/>
    <row customHeight="true" hidden="true" ht="15" outlineLevel="0" r="155"/>
    <row customHeight="true" hidden="true" ht="15.75" outlineLevel="0" r="156"/>
    <row customHeight="true" hidden="true" ht="15.75" outlineLevel="0" r="159"/>
    <row customHeight="true" hidden="true" ht="15" outlineLevel="0" r="160"/>
    <row customHeight="true" hidden="true" ht="15" outlineLevel="0" r="161"/>
    <row customHeight="true" hidden="true" ht="15" outlineLevel="0" r="162"/>
    <row customHeight="true" hidden="true" ht="15.75" outlineLevel="0" r="163"/>
    <row customHeight="true" hidden="true" ht="15.75" outlineLevel="0" r="164"/>
    <row customHeight="true" hidden="true" ht="15" outlineLevel="0" r="165"/>
    <row customHeight="true" hidden="true" ht="15" outlineLevel="0" r="166"/>
    <row customHeight="true" hidden="true" ht="15.75" outlineLevel="0" r="167"/>
    <row customHeight="true" hidden="true" ht="15.75" outlineLevel="0" r="170"/>
    <row customHeight="true" hidden="true" ht="15" outlineLevel="0" r="171"/>
    <row customHeight="true" hidden="true" ht="15" outlineLevel="0" r="172"/>
    <row customHeight="true" hidden="true" ht="15" outlineLevel="0" r="173"/>
    <row customHeight="true" hidden="true" ht="15.75" outlineLevel="0" r="174"/>
    <row customHeight="true" hidden="true" ht="15.75" outlineLevel="0" r="175"/>
    <row customHeight="true" hidden="true" ht="15" outlineLevel="0" r="176"/>
    <row customHeight="true" hidden="true" ht="15" outlineLevel="0" r="177"/>
    <row customHeight="true" hidden="true" ht="15.75" outlineLevel="0" r="178"/>
    <row customHeight="true" hidden="true" ht="15.75" outlineLevel="0" r="181"/>
    <row customHeight="true" hidden="true" ht="15" outlineLevel="0" r="182"/>
    <row customHeight="true" hidden="true" ht="15" outlineLevel="0" r="183"/>
    <row customHeight="true" hidden="true" ht="15" outlineLevel="0" r="184"/>
    <row customHeight="true" hidden="true" ht="15.75" outlineLevel="0" r="185"/>
    <row customHeight="true" hidden="true" ht="15.75" outlineLevel="0" r="186"/>
    <row customHeight="true" hidden="true" ht="15" outlineLevel="0" r="187"/>
    <row customHeight="true" hidden="true" ht="15" outlineLevel="0" r="188"/>
    <row customHeight="true" hidden="true" ht="15.75" outlineLevel="0" r="189"/>
    <row customHeight="true" hidden="true" ht="15" outlineLevel="0" r="195"/>
    <row customHeight="true" hidden="true" ht="15" outlineLevel="0" r="198"/>
    <row customHeight="true" hidden="true" ht="15" outlineLevel="0" r="199"/>
    <row customHeight="true" hidden="true" ht="15" outlineLevel="0" r="226"/>
    <row customHeight="true" hidden="true" ht="15" outlineLevel="0" r="260"/>
    <row customHeight="true" hidden="true" ht="15" outlineLevel="0" r="265"/>
    <row customHeight="true" hidden="true" ht="15" outlineLevel="0" r="282"/>
    <row customHeight="true" hidden="true" ht="15.75" outlineLevel="0" r="285"/>
    <row customHeight="true" hidden="true" ht="15" outlineLevel="0" r="292"/>
    <row customHeight="true" hidden="true" ht="15" outlineLevel="0" r="303"/>
    <row customHeight="true" hidden="true" ht="15" outlineLevel="0" r="314"/>
    <row customHeight="true" hidden="true" ht="15" outlineLevel="0" r="316"/>
    <row customHeight="true" hidden="true" ht="15" outlineLevel="0" r="320"/>
    <row customHeight="true" hidden="true" ht="15" outlineLevel="0" r="337"/>
    <row customHeight="true" hidden="true" ht="15" outlineLevel="0" r="348"/>
    <row customHeight="true" hidden="true" ht="15" outlineLevel="0" r="353"/>
    <row customHeight="true" hidden="true" ht="15" outlineLevel="0" r="359"/>
    <row customHeight="true" hidden="true" ht="15.75" outlineLevel="0" r="362"/>
    <row customHeight="true" hidden="true" ht="15" outlineLevel="0" r="370"/>
    <row customHeight="true" hidden="true" ht="15" outlineLevel="0" r="382"/>
    <row customHeight="true" hidden="true" ht="15" outlineLevel="0" r="393"/>
    <row customHeight="true" hidden="true" ht="15" outlineLevel="0" r="397"/>
  </sheetData>
  <mergeCells count="86">
    <mergeCell ref="AJ38:AK46"/>
    <mergeCell ref="AJ37:AK37"/>
    <mergeCell ref="AF37:AI37"/>
    <mergeCell ref="R36:AK36"/>
    <mergeCell ref="AB37:AE37"/>
    <mergeCell ref="X37:AA37"/>
    <mergeCell ref="T37:W37"/>
    <mergeCell ref="P37:S37"/>
    <mergeCell ref="P36:Q36"/>
    <mergeCell ref="D37:G37"/>
    <mergeCell ref="AJ27:AK35"/>
    <mergeCell ref="P47:Q47"/>
    <mergeCell ref="P58:Q58"/>
    <mergeCell ref="P69:Q69"/>
    <mergeCell ref="P80:Q80"/>
    <mergeCell ref="P14:Q14"/>
    <mergeCell ref="P92:S92"/>
    <mergeCell ref="P91:Q91"/>
    <mergeCell ref="T93:W101"/>
    <mergeCell ref="T92:W92"/>
    <mergeCell ref="R91:AK91"/>
    <mergeCell ref="AJ82:AK90"/>
    <mergeCell ref="P81:S81"/>
    <mergeCell ref="AF81:AI81"/>
    <mergeCell ref="AJ81:AK81"/>
    <mergeCell ref="X81:AA81"/>
    <mergeCell ref="AB81:AE81"/>
    <mergeCell ref="T81:W81"/>
    <mergeCell ref="R80:AK80"/>
    <mergeCell ref="D70:G70"/>
    <mergeCell ref="D81:G81"/>
    <mergeCell ref="D92:G92"/>
    <mergeCell ref="X70:AA70"/>
    <mergeCell ref="P70:S70"/>
    <mergeCell ref="T70:W70"/>
    <mergeCell ref="X71:AA79"/>
    <mergeCell ref="D59:G59"/>
    <mergeCell ref="P59:S59"/>
    <mergeCell ref="T59:W59"/>
    <mergeCell ref="X59:AA59"/>
    <mergeCell ref="D48:G48"/>
    <mergeCell ref="P48:S48"/>
    <mergeCell ref="AB48:AE48"/>
    <mergeCell ref="AJ48:AK48"/>
    <mergeCell ref="X48:AA48"/>
    <mergeCell ref="AF48:AI48"/>
    <mergeCell ref="T48:W48"/>
    <mergeCell ref="R47:AK47"/>
    <mergeCell ref="AJ59:AK59"/>
    <mergeCell ref="AJ60:AK68"/>
    <mergeCell ref="AF59:AI59"/>
    <mergeCell ref="R69:AK69"/>
    <mergeCell ref="AB59:AE59"/>
    <mergeCell ref="R58:AK58"/>
    <mergeCell ref="AJ49:AK57"/>
    <mergeCell ref="A1:B1"/>
    <mergeCell ref="C2:E2"/>
    <mergeCell ref="G2:M2"/>
    <mergeCell ref="D4:G4"/>
    <mergeCell ref="P4:S4"/>
    <mergeCell ref="R3:AK3"/>
    <mergeCell ref="AJ4:AK4"/>
    <mergeCell ref="P3:Q3"/>
    <mergeCell ref="T4:W4"/>
    <mergeCell ref="X4:AA4"/>
    <mergeCell ref="AB4:AE4"/>
    <mergeCell ref="AF4:AI4"/>
    <mergeCell ref="D26:G26"/>
    <mergeCell ref="P26:S26"/>
    <mergeCell ref="P25:Q25"/>
    <mergeCell ref="R25:AK25"/>
    <mergeCell ref="T26:W26"/>
    <mergeCell ref="D15:G15"/>
    <mergeCell ref="P15:S15"/>
    <mergeCell ref="T15:W15"/>
    <mergeCell ref="X26:AA26"/>
    <mergeCell ref="X15:AA15"/>
    <mergeCell ref="AB26:AE26"/>
    <mergeCell ref="AF26:AI26"/>
    <mergeCell ref="AJ26:AK26"/>
    <mergeCell ref="AB15:AE15"/>
    <mergeCell ref="R14:AK14"/>
    <mergeCell ref="AJ5:AK13"/>
    <mergeCell ref="AJ15:AK15"/>
    <mergeCell ref="AF15:AI15"/>
    <mergeCell ref="AJ16:AK24"/>
  </mergeCells>
  <conditionalFormatting pivot="false" sqref="B3:B70">
    <cfRule aboveAverage="true" bottom="false" dxfId="1" equalAverage="false" percent="false" priority="39" stopIfTrue="false" text="7B2" type="beginsWith">
      <formula>LEFT(B3,LEN("7B2"))="7B2"</formula>
    </cfRule>
  </conditionalFormatting>
  <conditionalFormatting pivot="false" sqref="B3:B70">
    <cfRule aboveAverage="true" bottom="false" dxfId="3" equalAverage="false" percent="false" priority="38" stopIfTrue="false" text=";Block" type="containsText">
      <formula>NOT(ISERROR(SEARCH(";Block",B3)))</formula>
    </cfRule>
  </conditionalFormatting>
  <conditionalFormatting pivot="false" sqref="B3:B70">
    <cfRule aboveAverage="true" bottom="false" dxfId="4" equalAverage="false" percent="false" priority="37" stopIfTrue="false" type="expression">
      <formula>IF(A3&lt;&gt;B3, 1, 0)</formula>
    </cfRule>
  </conditionalFormatting>
  <conditionalFormatting pivot="false" sqref="AG29:AG35 AG40:AG46 AG51:AG57 AG62:AG68 AG84:AG90">
    <cfRule aboveAverage="true" bottom="false" dxfId="0" equalAverage="false" percent="false" priority="36" stopIfTrue="false" type="expression">
      <formula>AG29:AG124&lt;&gt;AF29:AF124</formula>
    </cfRule>
  </conditionalFormatting>
  <conditionalFormatting pivot="false" sqref="Q29:Q35 U29:U35 Y29:Y35 AC29:AC35">
    <cfRule aboveAverage="true" bottom="false" dxfId="0" equalAverage="false" percent="false" priority="35" stopIfTrue="false" type="expression">
      <formula>Q29:Q124&lt;&gt;P29:P124</formula>
    </cfRule>
  </conditionalFormatting>
  <conditionalFormatting pivot="false" sqref="Q28 U28 Y28 AC28 AG28">
    <cfRule aboveAverage="true" bottom="false" dxfId="0" equalAverage="false" percent="false" priority="34" stopIfTrue="false" type="expression">
      <formula>Q28:Q35&lt;&gt;P28:P35</formula>
    </cfRule>
  </conditionalFormatting>
  <conditionalFormatting pivot="false" sqref="Q40:Q46 U40:U46 Y40:Y46 AC40:AC46">
    <cfRule aboveAverage="true" bottom="false" dxfId="0" equalAverage="false" percent="false" priority="33" stopIfTrue="false" type="expression">
      <formula>Q40:Q135&lt;&gt;P40:P135</formula>
    </cfRule>
  </conditionalFormatting>
  <conditionalFormatting pivot="false" sqref="Q39 U39 Y39 AC39 AG39">
    <cfRule aboveAverage="true" bottom="false" dxfId="0" equalAverage="false" percent="false" priority="32" stopIfTrue="false" type="expression">
      <formula>Q39:Q46&lt;&gt;P39:P46</formula>
    </cfRule>
  </conditionalFormatting>
  <conditionalFormatting pivot="false" sqref="Q51:Q57 U51:U57 Y51:Y57 AC51:AC57">
    <cfRule aboveAverage="true" bottom="false" dxfId="0" equalAverage="false" percent="false" priority="31" stopIfTrue="false" type="expression">
      <formula>Q51:Q146&lt;&gt;P51:P146</formula>
    </cfRule>
  </conditionalFormatting>
  <conditionalFormatting pivot="false" sqref="Q50 U50 Y50 AC50 AG50">
    <cfRule aboveAverage="true" bottom="false" dxfId="0" equalAverage="false" percent="false" priority="30" stopIfTrue="false" type="expression">
      <formula>Q50:Q57&lt;&gt;P50:P57</formula>
    </cfRule>
  </conditionalFormatting>
  <conditionalFormatting pivot="false" sqref="Q62:Q68 U62:U68 Y62:Y68 AC62:AC68">
    <cfRule aboveAverage="true" bottom="false" dxfId="0" equalAverage="false" percent="false" priority="29" stopIfTrue="false" type="expression">
      <formula>Q62:Q157&lt;&gt;P62:P157</formula>
    </cfRule>
  </conditionalFormatting>
  <conditionalFormatting pivot="false" sqref="Q61 U61 Y61 AC61 AG61">
    <cfRule aboveAverage="true" bottom="false" dxfId="0" equalAverage="false" percent="false" priority="28" stopIfTrue="false" type="expression">
      <formula>Q61:Q68&lt;&gt;P61:P68</formula>
    </cfRule>
  </conditionalFormatting>
  <conditionalFormatting pivot="false" sqref="Q73:Q79 U73:U79">
    <cfRule aboveAverage="true" bottom="false" dxfId="0" equalAverage="false" percent="false" priority="27" stopIfTrue="false" type="expression">
      <formula>Q73:Q168&lt;&gt;P73:P168</formula>
    </cfRule>
  </conditionalFormatting>
  <conditionalFormatting pivot="false" sqref="Q72 U72">
    <cfRule aboveAverage="true" bottom="false" dxfId="0" equalAverage="false" percent="false" priority="26" stopIfTrue="false" type="expression">
      <formula>Q72:Q79&lt;&gt;P72:P79</formula>
    </cfRule>
  </conditionalFormatting>
  <conditionalFormatting pivot="false" sqref="Q84:Q90 U84:U90 Y84:Y90 AC84:AC90">
    <cfRule aboveAverage="true" bottom="false" dxfId="0" equalAverage="false" percent="false" priority="25" stopIfTrue="false" type="expression">
      <formula>Q84:Q179&lt;&gt;P84:P179</formula>
    </cfRule>
  </conditionalFormatting>
  <conditionalFormatting pivot="false" sqref="Q83 U83 Y83 AC83 AG83">
    <cfRule aboveAverage="true" bottom="false" dxfId="0" equalAverage="false" percent="false" priority="24" stopIfTrue="false" type="expression">
      <formula>Q83:Q90&lt;&gt;P83:P90</formula>
    </cfRule>
  </conditionalFormatting>
  <conditionalFormatting pivot="false" sqref="Q95:Q101">
    <cfRule aboveAverage="true" bottom="false" dxfId="0" equalAverage="false" percent="false" priority="23" stopIfTrue="false" type="expression">
      <formula>Q95:Q190&lt;&gt;P95:P190</formula>
    </cfRule>
  </conditionalFormatting>
  <conditionalFormatting pivot="false" sqref="Q94">
    <cfRule aboveAverage="true" bottom="false" dxfId="0" equalAverage="false" percent="false" priority="22" stopIfTrue="false" type="expression">
      <formula>Q94:Q101&lt;&gt;P94:P101</formula>
    </cfRule>
  </conditionalFormatting>
  <conditionalFormatting pivot="false" sqref="A3:A56">
    <cfRule aboveAverage="true" bottom="false" dxfId="7" equalAverage="false" percent="false" priority="21" stopIfTrue="false" type="notContainsBlanks">
      <formula>LEN(TRIM(A3))&gt;0</formula>
    </cfRule>
  </conditionalFormatting>
  <conditionalFormatting pivot="false" sqref="AC8:AC12">
    <cfRule aboveAverage="true" bottom="false" dxfId="0" equalAverage="false" percent="false" priority="20" stopIfTrue="false" type="expression">
      <formula>AC8:AC14&lt;&gt;AB8:AB14</formula>
    </cfRule>
  </conditionalFormatting>
  <conditionalFormatting pivot="false" sqref="Q6:Q12 AC6:AC7">
    <cfRule aboveAverage="true" bottom="false" dxfId="0" equalAverage="false" percent="false" priority="19" stopIfTrue="false" type="expression">
      <formula>Q6:Q13&lt;&gt;P6:P13</formula>
    </cfRule>
  </conditionalFormatting>
  <conditionalFormatting pivot="false" sqref="U6:U12">
    <cfRule aboveAverage="true" bottom="false" dxfId="0" equalAverage="false" percent="false" priority="18" stopIfTrue="false" type="expression">
      <formula>U6:U13&lt;&gt;T6:T13</formula>
    </cfRule>
  </conditionalFormatting>
  <conditionalFormatting pivot="false" sqref="Y6:Y12">
    <cfRule aboveAverage="true" bottom="false" dxfId="0" equalAverage="false" percent="false" priority="17" stopIfTrue="false" type="expression">
      <formula>Y6:Y13&lt;&gt;X6:X13</formula>
    </cfRule>
  </conditionalFormatting>
  <conditionalFormatting pivot="false" sqref="AG6:AG12">
    <cfRule aboveAverage="true" bottom="false" dxfId="0" equalAverage="false" percent="false" priority="16" stopIfTrue="false" type="expression">
      <formula>AG6:AG13&lt;&gt;AF6:AF13</formula>
    </cfRule>
  </conditionalFormatting>
  <conditionalFormatting pivot="false" sqref="AC19:AC23">
    <cfRule aboveAverage="true" bottom="false" dxfId="0" equalAverage="false" percent="false" priority="15" stopIfTrue="false" type="expression">
      <formula>AC19:AC25&lt;&gt;AB19:AB25</formula>
    </cfRule>
  </conditionalFormatting>
  <conditionalFormatting pivot="false" sqref="Q17:Q23 AC17:AC18">
    <cfRule aboveAverage="true" bottom="false" dxfId="0" equalAverage="false" percent="false" priority="14" stopIfTrue="false" type="expression">
      <formula>Q17:Q24&lt;&gt;P17:P24</formula>
    </cfRule>
  </conditionalFormatting>
  <conditionalFormatting pivot="false" sqref="U17:U23">
    <cfRule aboveAverage="true" bottom="false" dxfId="0" equalAverage="false" percent="false" priority="13" stopIfTrue="false" type="expression">
      <formula>U17:U24&lt;&gt;T17:T24</formula>
    </cfRule>
  </conditionalFormatting>
  <conditionalFormatting pivot="false" sqref="Y17:Y23">
    <cfRule aboveAverage="true" bottom="false" dxfId="0" equalAverage="false" percent="false" priority="12" stopIfTrue="false" type="expression">
      <formula>Y17:Y24&lt;&gt;X17:X24</formula>
    </cfRule>
  </conditionalFormatting>
  <conditionalFormatting pivot="false" sqref="AG17:AG23">
    <cfRule aboveAverage="true" bottom="false" dxfId="0" equalAverage="false" percent="false" priority="11" stopIfTrue="false" type="expression">
      <formula>AG17:AG24&lt;&gt;AF17:AF24</formula>
    </cfRule>
  </conditionalFormatting>
  <conditionalFormatting pivot="false" sqref="Q24">
    <cfRule aboveAverage="true" bottom="false" dxfId="0" equalAverage="false" percent="false" priority="10" stopIfTrue="false" type="expression">
      <formula>Q24:Q119&lt;&gt;P24:P119</formula>
    </cfRule>
  </conditionalFormatting>
  <conditionalFormatting pivot="false" sqref="Q13">
    <cfRule aboveAverage="true" bottom="false" dxfId="0" equalAverage="false" percent="false" priority="9" stopIfTrue="false" type="expression">
      <formula>Q13:Q108&lt;&gt;P13:P108</formula>
    </cfRule>
  </conditionalFormatting>
  <conditionalFormatting pivot="false" sqref="U13">
    <cfRule aboveAverage="true" bottom="false" dxfId="0" equalAverage="false" percent="false" priority="8" stopIfTrue="false" type="expression">
      <formula>U13:U108&lt;&gt;T13:T108</formula>
    </cfRule>
  </conditionalFormatting>
  <conditionalFormatting pivot="false" sqref="Y13">
    <cfRule aboveAverage="true" bottom="false" dxfId="0" equalAverage="false" percent="false" priority="7" stopIfTrue="false" type="expression">
      <formula>Y13:Y108&lt;&gt;X13:X108</formula>
    </cfRule>
  </conditionalFormatting>
  <conditionalFormatting pivot="false" sqref="AC13">
    <cfRule aboveAverage="true" bottom="false" dxfId="0" equalAverage="false" percent="false" priority="6" stopIfTrue="false" type="expression">
      <formula>AC13:AC108&lt;&gt;AB13:AB108</formula>
    </cfRule>
  </conditionalFormatting>
  <conditionalFormatting pivot="false" sqref="AG13">
    <cfRule aboveAverage="true" bottom="false" dxfId="0" equalAverage="false" percent="false" priority="5" stopIfTrue="false" type="expression">
      <formula>AG13:AG108&lt;&gt;AF13:AF108</formula>
    </cfRule>
  </conditionalFormatting>
  <conditionalFormatting pivot="false" sqref="Y24">
    <cfRule aboveAverage="true" bottom="false" dxfId="0" equalAverage="false" percent="false" priority="4" stopIfTrue="false" type="expression">
      <formula>Y24:Y119&lt;&gt;X24:X119</formula>
    </cfRule>
  </conditionalFormatting>
  <conditionalFormatting pivot="false" sqref="U24">
    <cfRule aboveAverage="true" bottom="false" dxfId="0" equalAverage="false" percent="false" priority="3" stopIfTrue="false" type="expression">
      <formula>U24:U119&lt;&gt;T24:T119</formula>
    </cfRule>
  </conditionalFormatting>
  <conditionalFormatting pivot="false" sqref="AC24">
    <cfRule aboveAverage="true" bottom="false" dxfId="0" equalAverage="false" percent="false" priority="2" stopIfTrue="false" type="expression">
      <formula>AC24:AC119&lt;&gt;AB24:AB119</formula>
    </cfRule>
  </conditionalFormatting>
  <conditionalFormatting pivot="false" sqref="AG24">
    <cfRule aboveAverage="true" bottom="false" dxfId="0" equalAverage="false" percent="false" priority="1" stopIfTrue="false" type="expression">
      <formula>AG24:AG119&lt;&gt;AF24:AF119</formula>
    </cfRule>
  </conditionalFormatting>
  <dataValidations>
    <dataValidation allowBlank="true" error="This is a Binary value, which can be either 0 or 1." errorStyle="stop" errorTitle="Wrong Value" imeMode="noControl" operator="between" showDropDown="false" showErrorMessage="true" showInputMessage="true" sqref="U6:U13 U17:U24 U28:U35 U39:U46 U50:U57 U61:U68 U83:U90 U72:U79 AG83:AG90 AG61:AG68 AG50:AG57 AG28:AG35 AG6:AG13 AC39:AC46 AC17:AC24 AC61:AC68 AC83:AC90 AC28:AC35 AC6:AC13 AG39:AG46 AC50:AC57 AG17:AG24 Y6:Y13 Y17:Y24 Y28:Y35 Y39:Y46 Y61:Y68 Y83:Y90 Y50:Y57 Q94:Q101 Q83:Q90 Q72:Q79 Q61:Q68 Q17:Q24 Q39:Q46 Q28:Q35 Q50:Q57 Q6:Q13" type="whole">
      <formula1>0</formula1>
      <formula2>1</formula2>
    </dataValidation>
  </dataValidations>
  <hyperlinks>
    <hyperlink display="https://www.mazda3revolution.com/threads/change-configuration-explore-different-functions-asbuilt.169393/" r:id="rId1" ref="P1"/>
  </hyperlinks>
  <pageMargins bottom="0.75" footer="0.30000001192092896" header="0.30000001192092896" left="0.70000004768371582" right="0.70000004768371582" top="0.75"/>
</worksheet>
</file>

<file path=xl/worksheets/sheet18.xml><?xml version="1.0" encoding="utf-8"?>
<worksheet xmlns="http://schemas.openxmlformats.org/spreadsheetml/2006/main" xmlns:a="http://schemas.openxmlformats.org/drawingml/2006/main" xmlns:a15="http://schemas.microsoft.com/office/drawing/2012/main" xmlns:asvg="http://schemas.microsoft.com/office/drawing/2016/SVG/main" xmlns:c="http://schemas.openxmlformats.org/drawingml/2006/chart" xmlns:co="http://ncloudtech.com" xmlns:co-ooxml="http://ncloudtech.com/ooxml" xmlns:m="http://schemas.openxmlformats.org/officeDocument/2006/math" xmlns:mc="http://schemas.openxmlformats.org/markup-compatibility/2006" xmlns:o="urn:schemas-microsoft-com:office:office" xmlns:p="http://schemas.openxmlformats.org/presentationml/2006/main" xmlns:pic="http://schemas.openxmlformats.org/drawingml/2006/picture" xmlns:r="http://schemas.openxmlformats.org/officeDocument/2006/relationships" xmlns:s="http://schemas.openxmlformats.org/officeDocument/2006/sharedTypes" xmlns:sl="http://schemas.openxmlformats.org/schemaLibrary/2006/main" xmlns:v="urn:schemas-microsoft-com:vml" xmlns:w="http://schemas.openxmlformats.org/wordprocessingml/2006/main" xmlns:w10="urn:schemas-microsoft-com:office:word" xmlns:w14="http://schemas.microsoft.com/office/word/2010/wordml" xmlns:w15="http://schemas.microsoft.com/office/word/2012/wordml" xmlns:wp="http://schemas.openxmlformats.org/drawingml/2006/wordprocessingDrawing" xmlns:wpg="http://schemas.microsoft.com/office/word/2010/wordprocessingGroup" xmlns:wps="http://schemas.microsoft.com/office/word/2010/wordprocessingShape" xmlns:x="urn:schemas-microsoft-com:office:excel" xmlns:x12ac="http://schemas.microsoft.com/office/spreadsheetml/2011/1/ac" xmlns:x14="http://schemas.microsoft.com/office/spreadsheetml/2009/9/main" xmlns:xdr="http://schemas.openxmlformats.org/drawingml/2006/spreadsheetDrawing" xmlns:xm="http://schemas.microsoft.com/office/excel/2006/main" mc:Ignorable="co co-ooxml w14 x14 w15">
  <sheetPr>
    <outlinePr summaryBelow="true" summaryRight="true"/>
  </sheetPr>
  <dimension ref="A1:AN38"/>
  <sheetViews>
    <sheetView showZeros="true" workbookViewId="0"/>
  </sheetViews>
  <sheetFormatPr baseColWidth="8" customHeight="false" defaultColWidth="9.1406253092569258" defaultRowHeight="15" zeroHeight="true"/>
  <cols>
    <col bestFit="true" customWidth="true" max="2" min="1" outlineLevel="0" width="21.1406246325922"/>
    <col bestFit="true" customWidth="true" max="3" min="3" outlineLevel="0" width="4.5703126546284629"/>
    <col bestFit="true" customWidth="true" max="5" min="4" outlineLevel="0" width="9.0000001691661815"/>
    <col customWidth="true" max="13" min="6" outlineLevel="0" width="9.1406253092569258"/>
    <col bestFit="true" customWidth="true" max="14" min="14" outlineLevel="0" width="5.4257812982387943"/>
    <col customWidth="true" max="15" min="15" outlineLevel="0" width="1.7109374563868438"/>
    <col bestFit="true" customWidth="true" max="16" min="16" outlineLevel="0" width="5.4257812982387943"/>
    <col bestFit="true" customWidth="true" max="17" min="17" outlineLevel="0" width="5.28515615814805"/>
    <col bestFit="true" customWidth="true" max="18" min="18" outlineLevel="0" width="3.4257812982387938"/>
    <col customWidth="true" max="19" min="19" outlineLevel="0" width="19.425781636571156"/>
    <col bestFit="true" customWidth="true" max="20" min="20" outlineLevel="0" width="5.4257812982387943"/>
    <col bestFit="true" customWidth="true" max="21" min="21" outlineLevel="0" width="5.28515615814805"/>
    <col customWidth="true" max="22" min="22" outlineLevel="0" width="3.4257812982387938"/>
    <col customWidth="true" max="23" min="23" outlineLevel="0" width="20.000000676664726"/>
    <col bestFit="true" customWidth="true" max="24" min="24" outlineLevel="0" width="5.4257812982387943"/>
    <col bestFit="true" customWidth="true" max="25" min="25" outlineLevel="0" width="5.28515615814805"/>
    <col customWidth="true" max="26" min="26" outlineLevel="0" width="3.4257812982387938"/>
    <col bestFit="true" customWidth="true" max="27" min="27" outlineLevel="0" width="19.285155819815685"/>
    <col bestFit="true" customWidth="true" max="28" min="28" outlineLevel="0" width="5.4257812982387943"/>
    <col bestFit="true" customWidth="true" max="29" min="29" outlineLevel="0" width="5.28515615814805"/>
    <col customWidth="true" max="30" min="30" outlineLevel="0" width="3.4257812982387938"/>
    <col bestFit="true" customWidth="true" max="31" min="31" outlineLevel="0" width="19.285155819815685"/>
    <col bestFit="true" customWidth="true" max="32" min="32" outlineLevel="0" width="5.4257812982387943"/>
    <col bestFit="true" customWidth="true" max="33" min="33" outlineLevel="0" width="5.28515615814805"/>
    <col customWidth="true" max="34" min="34" outlineLevel="0" width="3.4257812982387938"/>
    <col customWidth="true" max="35" min="35" outlineLevel="0" width="19.425781636571156"/>
    <col customWidth="true" max="40" min="36" outlineLevel="0" width="9.1406253092569258"/>
    <col bestFit="true" customWidth="true" hidden="true" max="16384" min="41" outlineLevel="0" width="9.1406253092569258"/>
  </cols>
  <sheetData>
    <row hidden="false" ht="15" outlineLevel="0" r="1">
      <c r="A1" s="85" t="s">
        <v>155</v>
      </c>
      <c r="B1" s="11029" t="s"/>
      <c r="C1" s="62" t="s">
        <v>156</v>
      </c>
      <c r="D1" s="62" t="s"/>
      <c r="E1" s="62" t="s"/>
      <c r="F1" s="62" t="s"/>
      <c r="G1" s="62" t="s"/>
      <c r="H1" s="62" t="s"/>
      <c r="I1" s="62" t="s"/>
      <c r="J1" s="62" t="s"/>
      <c r="K1" s="62" t="s"/>
      <c r="L1" s="62" t="s"/>
      <c r="M1" s="62" t="s"/>
      <c r="N1" s="62" t="s"/>
      <c r="O1" s="62" t="s"/>
      <c r="P1" s="62" t="s"/>
      <c r="Q1" s="62" t="s"/>
      <c r="R1" s="62" t="s"/>
      <c r="S1" s="62" t="s"/>
      <c r="T1" s="62" t="s"/>
      <c r="U1" s="62" t="s"/>
      <c r="V1" s="62" t="s"/>
      <c r="W1" s="62" t="s"/>
      <c r="X1" s="62" t="s"/>
      <c r="Y1" s="62" t="s"/>
      <c r="Z1" s="62" t="s"/>
      <c r="AA1" s="62" t="s"/>
      <c r="AB1" s="62" t="s"/>
      <c r="AC1" s="62" t="s"/>
      <c r="AD1" s="62" t="s"/>
      <c r="AE1" s="62" t="s"/>
      <c r="AF1" s="62" t="s"/>
      <c r="AG1" s="62" t="s"/>
      <c r="AH1" s="62" t="s"/>
      <c r="AI1" s="62" t="s"/>
      <c r="AJ1" s="62" t="s"/>
      <c r="AK1" s="62" t="s"/>
    </row>
    <row hidden="false" ht="15.75" outlineLevel="0" r="2">
      <c r="A2" s="88" t="s">
        <v>157</v>
      </c>
      <c r="B2" s="89" t="s">
        <v>158</v>
      </c>
      <c r="C2" s="230" t="s">
        <v>159</v>
      </c>
      <c r="D2" s="11030" t="s"/>
      <c r="E2" s="11031" t="s"/>
      <c r="S2" s="87" t="n"/>
    </row>
    <row hidden="false" ht="15.75" outlineLevel="0" r="3">
      <c r="A3" s="91" t="s">
        <v>160</v>
      </c>
      <c r="B3" s="92" t="s">
        <v>160</v>
      </c>
      <c r="C3" s="93" t="n"/>
      <c r="D3" s="94" t="n"/>
      <c r="E3" s="94" t="n"/>
      <c r="F3" s="94" t="n"/>
      <c r="G3" s="94" t="n"/>
      <c r="H3" s="94" t="n"/>
      <c r="I3" s="94" t="n"/>
      <c r="J3" s="94" t="n"/>
      <c r="K3" s="94" t="n"/>
      <c r="L3" s="94" t="n"/>
      <c r="M3" s="94" t="s">
        <v>161</v>
      </c>
      <c r="N3" s="60" t="n"/>
      <c r="P3" s="95" t="str">
        <f aca="false" ca="false" dt2D="false" dtr="false" t="normal">RIGHT(D5, 1)&amp;E5&amp;"-"&amp;F5&amp;"-"&amp;G5</f>
        <v>737-01-01</v>
      </c>
      <c r="Q3" s="11032" t="s"/>
      <c r="R3" s="234" t="s">
        <v>4433</v>
      </c>
      <c r="S3" s="11033" t="s"/>
      <c r="T3" s="11034" t="s"/>
      <c r="U3" s="11035" t="s"/>
      <c r="V3" s="11036" t="s"/>
      <c r="W3" s="11037" t="s"/>
      <c r="X3" s="11038" t="s"/>
      <c r="Y3" s="11039" t="s"/>
      <c r="Z3" s="11040" t="s"/>
      <c r="AA3" s="11041" t="s"/>
      <c r="AB3" s="11042" t="s"/>
      <c r="AC3" s="11043" t="s"/>
      <c r="AD3" s="11044" t="s"/>
      <c r="AE3" s="11045" t="s"/>
      <c r="AF3" s="11046" t="s"/>
      <c r="AG3" s="11047" t="s"/>
      <c r="AH3" s="11048" t="s"/>
      <c r="AI3" s="11049" t="s"/>
      <c r="AJ3" s="11050" t="s"/>
      <c r="AK3" s="11051" t="s"/>
    </row>
    <row hidden="false" ht="15.75" outlineLevel="0" r="4">
      <c r="A4" s="91" t="s">
        <v>4434</v>
      </c>
      <c r="B4" s="92" t="str">
        <f aca="false" ca="false" dt2D="false" dtr="false" t="normal">RIGHT(D13, 1)&amp;E13&amp;F13&amp;G13&amp;H10&amp;I10&amp;J10&amp;K10&amp;L10&amp;M10</f>
        <v>737G1G1000000000040</v>
      </c>
      <c r="C4" s="98" t="n"/>
      <c r="D4" s="99" t="s">
        <v>4435</v>
      </c>
      <c r="E4" s="11052" t="s"/>
      <c r="F4" s="11053" t="s"/>
      <c r="G4" s="11054" t="s"/>
      <c r="H4" s="53" t="s">
        <v>165</v>
      </c>
      <c r="I4" s="53" t="s">
        <v>166</v>
      </c>
      <c r="J4" s="53" t="s">
        <v>167</v>
      </c>
      <c r="K4" s="53" t="s">
        <v>168</v>
      </c>
      <c r="L4" s="53" t="s">
        <v>169</v>
      </c>
      <c r="M4" s="53" t="s">
        <v>221</v>
      </c>
      <c r="N4" s="63" t="n"/>
      <c r="P4" s="103" t="s">
        <v>4436</v>
      </c>
      <c r="Q4" s="11055" t="s"/>
      <c r="R4" s="11056" t="s"/>
      <c r="S4" s="11057" t="s"/>
      <c r="T4" s="103" t="s">
        <v>4437</v>
      </c>
      <c r="U4" s="11058" t="s"/>
      <c r="V4" s="11059" t="s"/>
      <c r="W4" s="11060" t="s"/>
      <c r="X4" s="103" t="s">
        <v>4438</v>
      </c>
      <c r="Y4" s="11061" t="s"/>
      <c r="Z4" s="11062" t="s"/>
      <c r="AA4" s="11063" t="s"/>
      <c r="AB4" s="103" t="s">
        <v>4439</v>
      </c>
      <c r="AC4" s="11064" t="s"/>
      <c r="AD4" s="11065" t="s"/>
      <c r="AE4" s="11066" t="s"/>
      <c r="AF4" s="103" t="s">
        <v>4440</v>
      </c>
      <c r="AG4" s="11067" t="s"/>
      <c r="AH4" s="11068" t="s"/>
      <c r="AI4" s="11069" t="s"/>
      <c r="AJ4" s="103" t="s">
        <v>4441</v>
      </c>
      <c r="AK4" s="11070" t="s"/>
    </row>
    <row hidden="false" ht="15.75" outlineLevel="0" r="5">
      <c r="A5" s="91" t="s">
        <v>4442</v>
      </c>
      <c r="B5" s="92" t="str">
        <f aca="false" ca="false" dt2D="false" dtr="false" t="normal">RIGHT(D24, 1)&amp;E24&amp;F24&amp;G24&amp;H21&amp;I21&amp;J21&amp;K21</f>
        <v>737G1G200000041</v>
      </c>
      <c r="C5" s="98" t="s">
        <v>176</v>
      </c>
      <c r="D5" s="122" t="s">
        <v>177</v>
      </c>
      <c r="E5" s="123" t="s">
        <v>851</v>
      </c>
      <c r="F5" s="123" t="s">
        <v>179</v>
      </c>
      <c r="G5" s="124" t="s">
        <v>179</v>
      </c>
      <c r="H5" s="125" t="n">
        <f aca="false" ca="false" dt2D="false" dtr="false" t="normal">MID($A$4, 8, 2)</f>
        <v>0</v>
      </c>
      <c r="I5" s="126" t="n">
        <f aca="false" ca="false" dt2D="false" dtr="false" t="normal">MID($A$4, 10, 2)</f>
        <v>0</v>
      </c>
      <c r="J5" s="126" t="n">
        <f aca="false" ca="false" dt2D="false" dtr="false" t="normal">MID($A$4, 12, 2)</f>
        <v>0</v>
      </c>
      <c r="K5" s="126" t="n">
        <f aca="false" ca="false" dt2D="false" dtr="false" t="normal">MID($A$4, 14, 2)</f>
        <v>0</v>
      </c>
      <c r="L5" s="274" t="n">
        <f aca="false" ca="false" dt2D="false" dtr="false" t="normal">MID($A$4, 16, 2)</f>
        <v>0</v>
      </c>
      <c r="M5" s="128" t="n">
        <f aca="false" ca="false" dt2D="false" dtr="false" t="normal">MID($A$4, 18, 2)</f>
        <v>40</v>
      </c>
      <c r="N5" s="63" t="s">
        <v>180</v>
      </c>
      <c r="P5" s="129" t="s">
        <v>180</v>
      </c>
      <c r="Q5" s="130" t="s">
        <v>181</v>
      </c>
      <c r="R5" s="121" t="s">
        <v>182</v>
      </c>
      <c r="S5" s="131" t="n"/>
      <c r="T5" s="129" t="s">
        <v>180</v>
      </c>
      <c r="U5" s="130" t="s">
        <v>181</v>
      </c>
      <c r="V5" s="121" t="s">
        <v>182</v>
      </c>
      <c r="W5" s="131" t="n"/>
      <c r="X5" s="129" t="s">
        <v>180</v>
      </c>
      <c r="Y5" s="130" t="s">
        <v>181</v>
      </c>
      <c r="Z5" s="121" t="s">
        <v>182</v>
      </c>
      <c r="AA5" s="131" t="n"/>
      <c r="AB5" s="129" t="s">
        <v>180</v>
      </c>
      <c r="AC5" s="130" t="s">
        <v>181</v>
      </c>
      <c r="AD5" s="121" t="s">
        <v>182</v>
      </c>
      <c r="AE5" s="131" t="n"/>
      <c r="AF5" s="129" t="s">
        <v>180</v>
      </c>
      <c r="AG5" s="130" t="s">
        <v>181</v>
      </c>
      <c r="AH5" s="121" t="s">
        <v>182</v>
      </c>
      <c r="AI5" s="121" t="n"/>
      <c r="AJ5" s="116" t="s">
        <v>183</v>
      </c>
      <c r="AK5" s="11071" t="s"/>
    </row>
    <row hidden="false" ht="15" outlineLevel="0" r="6">
      <c r="A6" s="91" t="s">
        <v>175</v>
      </c>
      <c r="B6" s="92" t="s">
        <v>175</v>
      </c>
      <c r="C6" s="98" t="s">
        <v>185</v>
      </c>
      <c r="D6" s="53" t="n">
        <f aca="false" ca="false" dt2D="false" dtr="false" t="normal">HEX2BIN(D5, 8)</f>
        <v>111</v>
      </c>
      <c r="E6" s="53" t="n">
        <f aca="false" ca="false" dt2D="false" dtr="false" t="normal">HEX2BIN(E5, 8)</f>
        <v>110111</v>
      </c>
      <c r="F6" s="53" t="n">
        <f aca="false" ca="false" dt2D="false" dtr="false" t="normal">HEX2BIN(F5, 8)</f>
        <v>1</v>
      </c>
      <c r="G6" s="53" t="n">
        <f aca="false" ca="false" dt2D="false" dtr="false" t="normal">HEX2BIN(G5, 8)</f>
        <v>1</v>
      </c>
      <c r="H6" s="53" t="n">
        <f aca="false" ca="false" dt2D="false" dtr="false" t="normal">HEX2BIN(H5, 8)</f>
        <v>0</v>
      </c>
      <c r="I6" s="53" t="n">
        <f aca="false" ca="false" dt2D="false" dtr="false" t="normal">HEX2BIN(I5, 8)</f>
        <v>0</v>
      </c>
      <c r="J6" s="53" t="n">
        <f aca="false" ca="false" dt2D="false" dtr="false" t="normal">HEX2BIN(J5, 8)</f>
        <v>0</v>
      </c>
      <c r="K6" s="53" t="n">
        <f aca="false" ca="false" dt2D="false" dtr="false" t="normal">HEX2BIN(K5, 8)</f>
        <v>0</v>
      </c>
      <c r="L6" s="53" t="n">
        <f aca="false" ca="false" dt2D="false" dtr="false" t="normal">HEX2BIN(L5, 8)</f>
        <v>0</v>
      </c>
      <c r="M6" s="53" t="n"/>
      <c r="N6" s="63" t="n"/>
      <c r="P6" s="136" t="n">
        <f aca="false" ca="false" dt2D="false" dtr="false" t="normal">MID(H6, 1, 1)</f>
        <v>0</v>
      </c>
      <c r="Q6" s="137" t="n">
        <f aca="false" ca="false" dt2D="false" dtr="false" t="normal">P6</f>
        <v>0</v>
      </c>
      <c r="R6" s="120" t="s">
        <v>186</v>
      </c>
      <c r="S6" s="139" t="s">
        <v>4443</v>
      </c>
      <c r="T6" s="136" t="n">
        <f aca="false" ca="false" dt2D="false" dtr="false" t="normal">MID(I6, 1, 1)</f>
        <v>0</v>
      </c>
      <c r="U6" s="137" t="n">
        <f aca="false" ca="false" dt2D="false" dtr="false" t="normal">T6</f>
        <v>0</v>
      </c>
      <c r="V6" s="120" t="s">
        <v>186</v>
      </c>
      <c r="W6" s="131" t="s">
        <v>196</v>
      </c>
      <c r="X6" s="136" t="n">
        <f aca="false" ca="false" dt2D="false" dtr="false" t="normal">MID(J6, 1, 1)</f>
        <v>0</v>
      </c>
      <c r="Y6" s="137" t="n">
        <f aca="false" ca="false" dt2D="false" dtr="false" t="normal">X6</f>
        <v>0</v>
      </c>
      <c r="Z6" s="120" t="s">
        <v>186</v>
      </c>
      <c r="AA6" s="131" t="s">
        <v>196</v>
      </c>
      <c r="AB6" s="136" t="n">
        <f aca="false" ca="false" dt2D="false" dtr="false" t="normal">MID(K6, 1, 1)</f>
        <v>0</v>
      </c>
      <c r="AC6" s="137" t="n">
        <f aca="false" ca="false" dt2D="false" dtr="false" t="normal">AB6</f>
        <v>0</v>
      </c>
      <c r="AD6" s="120" t="s">
        <v>186</v>
      </c>
      <c r="AE6" s="131" t="s">
        <v>196</v>
      </c>
      <c r="AF6" s="136" t="n">
        <f aca="false" ca="false" dt2D="false" dtr="false" t="normal">MID(L6, 1, 1)</f>
        <v>0</v>
      </c>
      <c r="AG6" s="137" t="n">
        <f aca="false" ca="false" dt2D="false" dtr="false" t="normal">AF6</f>
        <v>0</v>
      </c>
      <c r="AH6" s="120" t="s">
        <v>186</v>
      </c>
      <c r="AI6" s="131" t="s">
        <v>196</v>
      </c>
      <c r="AJ6" s="11072" t="s"/>
      <c r="AK6" s="11073" t="s"/>
    </row>
    <row hidden="false" ht="15" outlineLevel="0" r="7">
      <c r="A7" s="91" t="s">
        <v>4444</v>
      </c>
      <c r="B7" s="92" t="str">
        <f aca="false" ca="false" dt2D="false" dtr="false" t="normal">RIGHT(D35, 1)&amp;E35&amp;F35&amp;G35&amp;H32&amp;I32&amp;J32&amp;K32</f>
        <v>737G2G100000041</v>
      </c>
      <c r="C7" s="98" t="s">
        <v>191</v>
      </c>
      <c r="D7" s="53" t="n">
        <f aca="false" ca="false" dt2D="false" dtr="false" t="normal">HEX2DEC(D5)</f>
        <v>7</v>
      </c>
      <c r="E7" s="53" t="n">
        <f aca="false" ca="false" dt2D="false" dtr="false" t="normal">HEX2DEC(E5)</f>
        <v>55</v>
      </c>
      <c r="F7" s="53" t="n">
        <f aca="false" ca="false" dt2D="false" dtr="false" t="normal">HEX2DEC(F5)</f>
        <v>1</v>
      </c>
      <c r="G7" s="53" t="n">
        <f aca="false" ca="false" dt2D="false" dtr="false" t="normal">HEX2DEC(G5)</f>
        <v>1</v>
      </c>
      <c r="H7" s="53" t="n">
        <f aca="false" ca="false" dt2D="false" dtr="false" t="normal">HEX2DEC(H5)</f>
        <v>0</v>
      </c>
      <c r="I7" s="53" t="n">
        <f aca="false" ca="false" dt2D="false" dtr="false" t="normal">HEX2DEC(I5)</f>
        <v>0</v>
      </c>
      <c r="J7" s="53" t="n">
        <f aca="false" ca="false" dt2D="false" dtr="false" t="normal">HEX2DEC(J5)</f>
        <v>0</v>
      </c>
      <c r="K7" s="53" t="n">
        <f aca="false" ca="false" dt2D="false" dtr="false" t="normal">HEX2DEC(K5)</f>
        <v>0</v>
      </c>
      <c r="L7" s="53" t="n">
        <f aca="false" ca="false" dt2D="false" dtr="false" t="normal">HEX2DEC(L5)</f>
        <v>0</v>
      </c>
      <c r="M7" s="53" t="n">
        <f aca="false" ca="false" dt2D="false" dtr="false" t="normal">SUM(D7:L7)</f>
        <v>64</v>
      </c>
      <c r="N7" s="63" t="n"/>
      <c r="P7" s="136" t="n">
        <f aca="false" ca="false" dt2D="false" dtr="false" t="normal">MID(H6, 2, 1)</f>
        <v>0</v>
      </c>
      <c r="Q7" s="137" t="n">
        <f aca="false" ca="false" dt2D="false" dtr="false" t="normal">P7</f>
        <v>0</v>
      </c>
      <c r="R7" s="120" t="s">
        <v>192</v>
      </c>
      <c r="S7" s="131" t="s">
        <v>196</v>
      </c>
      <c r="T7" s="136" t="n">
        <f aca="false" ca="false" dt2D="false" dtr="false" t="normal">MID(I6, 2, 1)</f>
        <v>0</v>
      </c>
      <c r="U7" s="137" t="n">
        <f aca="false" ca="false" dt2D="false" dtr="false" t="normal">T7</f>
        <v>0</v>
      </c>
      <c r="V7" s="120" t="s">
        <v>192</v>
      </c>
      <c r="W7" s="131" t="s">
        <v>196</v>
      </c>
      <c r="X7" s="136" t="n">
        <f aca="false" ca="false" dt2D="false" dtr="false" t="normal">MID(J6, 2, 1)</f>
        <v>0</v>
      </c>
      <c r="Y7" s="137" t="n">
        <f aca="false" ca="false" dt2D="false" dtr="false" t="normal">X7</f>
        <v>0</v>
      </c>
      <c r="Z7" s="120" t="s">
        <v>192</v>
      </c>
      <c r="AA7" s="131" t="s">
        <v>196</v>
      </c>
      <c r="AB7" s="136" t="n">
        <f aca="false" ca="false" dt2D="false" dtr="false" t="normal">MID(K6, 2, 1)</f>
        <v>0</v>
      </c>
      <c r="AC7" s="137" t="n">
        <f aca="false" ca="false" dt2D="false" dtr="false" t="normal">AB7</f>
        <v>0</v>
      </c>
      <c r="AD7" s="120" t="s">
        <v>192</v>
      </c>
      <c r="AE7" s="131" t="s">
        <v>196</v>
      </c>
      <c r="AF7" s="136" t="n">
        <f aca="false" ca="false" dt2D="false" dtr="false" t="normal">MID(L6, 2, 1)</f>
        <v>0</v>
      </c>
      <c r="AG7" s="137" t="n">
        <f aca="false" ca="false" dt2D="false" dtr="false" t="normal">AF7</f>
        <v>0</v>
      </c>
      <c r="AH7" s="120" t="s">
        <v>192</v>
      </c>
      <c r="AI7" s="131" t="s">
        <v>196</v>
      </c>
      <c r="AJ7" s="11074" t="s"/>
      <c r="AK7" s="11075" t="s"/>
    </row>
    <row hidden="false" ht="15" outlineLevel="0" r="8">
      <c r="A8" s="581" t="s">
        <v>242</v>
      </c>
      <c r="B8" s="92" t="s">
        <v>242</v>
      </c>
      <c r="C8" s="98" t="s">
        <v>194</v>
      </c>
      <c r="D8" s="149" t="n">
        <f aca="false" ca="false" dt2D="false" dtr="false" t="normal">D5</f>
        <v>7</v>
      </c>
      <c r="E8" s="149" t="n">
        <f aca="false" ca="false" dt2D="false" dtr="false" t="normal">E5</f>
        <v>37</v>
      </c>
      <c r="F8" s="53" t="str">
        <f aca="false" ca="false" dt2D="false" dtr="false" t="normal">MID($A$4, 4, 2)</f>
        <v>G1</v>
      </c>
      <c r="G8" s="53" t="str">
        <f aca="false" ca="false" dt2D="false" dtr="false" t="normal">MID($A$4, 6, 2)</f>
        <v>G1</v>
      </c>
      <c r="N8" s="63" t="n"/>
      <c r="P8" s="136" t="n">
        <f aca="false" ca="false" dt2D="false" dtr="false" t="normal">MID(H6, 3, 1)</f>
        <v>0</v>
      </c>
      <c r="Q8" s="137" t="n">
        <f aca="false" ca="false" dt2D="false" dtr="false" t="normal">P8</f>
        <v>0</v>
      </c>
      <c r="R8" s="120" t="s">
        <v>195</v>
      </c>
      <c r="S8" s="131" t="s">
        <v>196</v>
      </c>
      <c r="T8" s="136" t="n">
        <f aca="false" ca="false" dt2D="false" dtr="false" t="normal">MID(I6, 3, 1)</f>
        <v>0</v>
      </c>
      <c r="U8" s="137" t="n">
        <f aca="false" ca="false" dt2D="false" dtr="false" t="normal">T8</f>
        <v>0</v>
      </c>
      <c r="V8" s="120" t="s">
        <v>195</v>
      </c>
      <c r="W8" s="131" t="s">
        <v>196</v>
      </c>
      <c r="X8" s="136" t="n">
        <f aca="false" ca="false" dt2D="false" dtr="false" t="normal">MID(J6, 3, 1)</f>
        <v>0</v>
      </c>
      <c r="Y8" s="137" t="n">
        <f aca="false" ca="false" dt2D="false" dtr="false" t="normal">X8</f>
        <v>0</v>
      </c>
      <c r="Z8" s="120" t="s">
        <v>195</v>
      </c>
      <c r="AA8" s="131" t="s">
        <v>196</v>
      </c>
      <c r="AB8" s="136" t="n">
        <f aca="false" ca="false" dt2D="false" dtr="false" t="normal">MID(K6, 3, 1)</f>
        <v>0</v>
      </c>
      <c r="AC8" s="137" t="n">
        <f aca="false" ca="false" dt2D="false" dtr="false" t="normal">AB8</f>
        <v>0</v>
      </c>
      <c r="AD8" s="120" t="s">
        <v>195</v>
      </c>
      <c r="AE8" s="131" t="s">
        <v>196</v>
      </c>
      <c r="AF8" s="136" t="n">
        <f aca="false" ca="false" dt2D="false" dtr="false" t="normal">MID(L6, 3, 1)</f>
        <v>0</v>
      </c>
      <c r="AG8" s="137" t="n">
        <f aca="false" ca="false" dt2D="false" dtr="false" t="normal">AF8</f>
        <v>0</v>
      </c>
      <c r="AH8" s="120" t="s">
        <v>195</v>
      </c>
      <c r="AI8" s="131" t="s">
        <v>196</v>
      </c>
      <c r="AJ8" s="11076" t="s"/>
      <c r="AK8" s="11077" t="s"/>
    </row>
    <row hidden="false" ht="15.75" outlineLevel="0" r="9">
      <c r="A9" s="581" t="s">
        <v>4445</v>
      </c>
      <c r="B9" s="92" t="str">
        <f aca="false" ca="false" dt2D="false" dtr="false" t="normal">A9</f>
        <v>737G3G1FFFFFFFFFF3D</v>
      </c>
      <c r="C9" s="98" t="n"/>
      <c r="N9" s="63" t="n"/>
      <c r="P9" s="136" t="n">
        <f aca="false" ca="false" dt2D="false" dtr="false" t="normal">MID(H6, 4, 1)</f>
        <v>0</v>
      </c>
      <c r="Q9" s="137" t="n">
        <f aca="false" ca="false" dt2D="false" dtr="false" t="normal">P9</f>
        <v>0</v>
      </c>
      <c r="R9" s="120" t="s">
        <v>197</v>
      </c>
      <c r="S9" s="131" t="s">
        <v>196</v>
      </c>
      <c r="T9" s="136" t="n">
        <f aca="false" ca="false" dt2D="false" dtr="false" t="normal">MID(I6, 4, 1)</f>
        <v>0</v>
      </c>
      <c r="U9" s="137" t="n">
        <f aca="false" ca="false" dt2D="false" dtr="false" t="normal">T9</f>
        <v>0</v>
      </c>
      <c r="V9" s="120" t="s">
        <v>197</v>
      </c>
      <c r="W9" s="131" t="s">
        <v>196</v>
      </c>
      <c r="X9" s="136" t="n">
        <f aca="false" ca="false" dt2D="false" dtr="false" t="normal">MID(J6, 4, 1)</f>
        <v>0</v>
      </c>
      <c r="Y9" s="137" t="n">
        <f aca="false" ca="false" dt2D="false" dtr="false" t="normal">X9</f>
        <v>0</v>
      </c>
      <c r="Z9" s="120" t="s">
        <v>197</v>
      </c>
      <c r="AA9" s="131" t="s">
        <v>196</v>
      </c>
      <c r="AB9" s="136" t="n">
        <f aca="false" ca="false" dt2D="false" dtr="false" t="normal">MID(K6, 4, 1)</f>
        <v>0</v>
      </c>
      <c r="AC9" s="137" t="n">
        <f aca="false" ca="false" dt2D="false" dtr="false" t="normal">AB9</f>
        <v>0</v>
      </c>
      <c r="AD9" s="120" t="s">
        <v>197</v>
      </c>
      <c r="AE9" s="131" t="s">
        <v>196</v>
      </c>
      <c r="AF9" s="136" t="n">
        <f aca="false" ca="false" dt2D="false" dtr="false" t="normal">MID(L6, 4, 1)</f>
        <v>0</v>
      </c>
      <c r="AG9" s="137" t="n">
        <f aca="false" ca="false" dt2D="false" dtr="false" t="normal">AF9</f>
        <v>0</v>
      </c>
      <c r="AH9" s="120" t="s">
        <v>197</v>
      </c>
      <c r="AI9" s="131" t="s">
        <v>196</v>
      </c>
      <c r="AJ9" s="11078" t="s"/>
      <c r="AK9" s="11079" t="s"/>
    </row>
    <row hidden="false" ht="15.75" outlineLevel="0" r="10">
      <c r="A10" s="11080" t="s">
        <v>4446</v>
      </c>
      <c r="B10" s="92" t="str">
        <f aca="false" ca="false" dt2D="false" dtr="false" t="normal">A10</f>
        <v>737G3G2FFFFFFFFFF3E</v>
      </c>
      <c r="C10" s="98" t="s">
        <v>176</v>
      </c>
      <c r="D10" s="159" t="n">
        <f aca="false" ca="false" dt2D="false" dtr="false" t="normal">D5</f>
        <v>7</v>
      </c>
      <c r="E10" s="160" t="n">
        <f aca="false" ca="false" dt2D="false" dtr="false" t="normal">E5</f>
        <v>37</v>
      </c>
      <c r="F10" s="160" t="n">
        <f aca="false" ca="false" dt2D="false" dtr="false" t="normal">F5</f>
        <v>1</v>
      </c>
      <c r="G10" s="161" t="n">
        <f aca="false" ca="false" dt2D="false" dtr="false" t="normal">G5</f>
        <v>1</v>
      </c>
      <c r="H10" s="162" t="n">
        <f aca="false" ca="false" dt2D="false" dtr="false" t="normal">BIN2HEX(H11, 2)</f>
        <v>0</v>
      </c>
      <c r="I10" s="163" t="n">
        <f aca="false" ca="false" dt2D="false" dtr="false" t="normal">BIN2HEX(I11, 2)</f>
        <v>0</v>
      </c>
      <c r="J10" s="164" t="n">
        <f aca="false" ca="false" dt2D="false" dtr="false" t="normal">BIN2HEX(J11, 2)</f>
        <v>0</v>
      </c>
      <c r="K10" s="165" t="n">
        <f aca="false" ca="false" dt2D="false" dtr="false" t="normal">BIN2HEX(K11, 2)</f>
        <v>0</v>
      </c>
      <c r="L10" s="288" t="n">
        <f aca="false" ca="false" dt2D="false" dtr="false" t="normal">BIN2HEX(L11, 2)</f>
        <v>0</v>
      </c>
      <c r="M10" s="166" t="n">
        <f aca="false" ca="false" dt2D="false" dtr="false" t="normal">IF(LEN(M11)&gt;2, MID(M11, 2, 2), M11)</f>
        <v>40</v>
      </c>
      <c r="N10" s="63" t="s">
        <v>181</v>
      </c>
      <c r="P10" s="136" t="n">
        <f aca="false" ca="false" dt2D="false" dtr="false" t="normal">MID(H6, 5, 1)</f>
        <v>0</v>
      </c>
      <c r="Q10" s="137" t="n">
        <f aca="false" ca="false" dt2D="false" dtr="false" t="normal">P10</f>
        <v>0</v>
      </c>
      <c r="R10" s="120" t="s">
        <v>200</v>
      </c>
      <c r="S10" s="131" t="s">
        <v>196</v>
      </c>
      <c r="T10" s="136" t="n">
        <f aca="false" ca="false" dt2D="false" dtr="false" t="normal">MID(I6, 5, 1)</f>
        <v>0</v>
      </c>
      <c r="U10" s="137" t="n">
        <f aca="false" ca="false" dt2D="false" dtr="false" t="normal">T10</f>
        <v>0</v>
      </c>
      <c r="V10" s="120" t="s">
        <v>200</v>
      </c>
      <c r="W10" s="131" t="s">
        <v>196</v>
      </c>
      <c r="X10" s="136" t="n">
        <f aca="false" ca="false" dt2D="false" dtr="false" t="normal">MID(J6, 5, 1)</f>
        <v>0</v>
      </c>
      <c r="Y10" s="137" t="n">
        <f aca="false" ca="false" dt2D="false" dtr="false" t="normal">X10</f>
        <v>0</v>
      </c>
      <c r="Z10" s="120" t="s">
        <v>200</v>
      </c>
      <c r="AA10" s="131" t="s">
        <v>196</v>
      </c>
      <c r="AB10" s="136" t="n">
        <f aca="false" ca="false" dt2D="false" dtr="false" t="normal">MID(K6, 5, 1)</f>
        <v>0</v>
      </c>
      <c r="AC10" s="137" t="n">
        <f aca="false" ca="false" dt2D="false" dtr="false" t="normal">AB10</f>
        <v>0</v>
      </c>
      <c r="AD10" s="120" t="s">
        <v>200</v>
      </c>
      <c r="AE10" s="131" t="s">
        <v>196</v>
      </c>
      <c r="AF10" s="136" t="n">
        <f aca="false" ca="false" dt2D="false" dtr="false" t="normal">MID(L6, 5, 1)</f>
        <v>0</v>
      </c>
      <c r="AG10" s="137" t="n">
        <f aca="false" ca="false" dt2D="false" dtr="false" t="normal">AF10</f>
        <v>0</v>
      </c>
      <c r="AH10" s="120" t="s">
        <v>200</v>
      </c>
      <c r="AI10" s="131" t="s">
        <v>196</v>
      </c>
      <c r="AJ10" s="11081" t="s"/>
      <c r="AK10" s="11082" t="s"/>
    </row>
    <row hidden="false" ht="15" outlineLevel="0" r="11">
      <c r="A11" s="11080" t="s">
        <v>4447</v>
      </c>
      <c r="B11" s="92" t="str">
        <f aca="false" ca="false" dt2D="false" dtr="false" t="normal">A11</f>
        <v>737G3G3FFFFFFFFFF3F</v>
      </c>
      <c r="C11" s="98" t="s">
        <v>185</v>
      </c>
      <c r="D11" s="53" t="n">
        <f aca="false" ca="false" dt2D="false" dtr="false" t="normal">HEX2BIN(D10, 8)</f>
        <v>111</v>
      </c>
      <c r="E11" s="53" t="n">
        <f aca="false" ca="false" dt2D="false" dtr="false" t="normal">HEX2BIN(E10, 8)</f>
        <v>110111</v>
      </c>
      <c r="F11" s="53" t="n">
        <f aca="false" ca="false" dt2D="false" dtr="false" t="normal">HEX2BIN(F10, 8)</f>
        <v>1</v>
      </c>
      <c r="G11" s="53" t="n">
        <f aca="false" ca="false" dt2D="false" dtr="false" t="normal">HEX2BIN(G10, 8)</f>
        <v>1</v>
      </c>
      <c r="H11" s="171" t="n">
        <f aca="false" ca="false" dt2D="false" dtr="false" t="normal">Q6&amp;Q7&amp;Q8&amp;Q9&amp;Q10&amp;Q11&amp;Q12&amp;Q13</f>
        <v>0</v>
      </c>
      <c r="I11" s="53" t="n">
        <f aca="false" ca="false" dt2D="false" dtr="false" t="normal">U6&amp;U7&amp;U8&amp;U9&amp;U10&amp;U11&amp;U12&amp;U13</f>
        <v>0</v>
      </c>
      <c r="J11" s="171" t="n">
        <f aca="false" ca="false" dt2D="false" dtr="false" t="normal">Y6&amp;Y7&amp;Y8&amp;Y9&amp;Y10&amp;Y11&amp;Y12&amp;Y13</f>
        <v>0</v>
      </c>
      <c r="K11" s="171" t="n">
        <f aca="false" ca="false" dt2D="false" dtr="false" t="normal">AC6&amp;AC7&amp;AC8&amp;AC9&amp;AC10&amp;AC11&amp;AC12&amp;AC13</f>
        <v>0</v>
      </c>
      <c r="L11" s="53" t="n">
        <f aca="false" ca="false" dt2D="false" dtr="false" t="normal">AG6&amp;AG7&amp;AG8&amp;AG9&amp;AG10&amp;AG11&amp;AG12&amp;AG13</f>
        <v>0</v>
      </c>
      <c r="M11" s="53" t="n">
        <f aca="false" ca="false" dt2D="false" dtr="false" t="normal">DEC2HEX(M12)</f>
        <v>40</v>
      </c>
      <c r="N11" s="63" t="n"/>
      <c r="P11" s="136" t="n">
        <f aca="false" ca="false" dt2D="false" dtr="false" t="normal">MID(H6, 6, 1)</f>
        <v>0</v>
      </c>
      <c r="Q11" s="137" t="n">
        <f aca="false" ca="false" dt2D="false" dtr="false" t="normal">P11</f>
        <v>0</v>
      </c>
      <c r="R11" s="120" t="s">
        <v>203</v>
      </c>
      <c r="S11" s="131" t="s">
        <v>196</v>
      </c>
      <c r="T11" s="136" t="n">
        <f aca="false" ca="false" dt2D="false" dtr="false" t="normal">MID(I6, 6, 1)</f>
        <v>0</v>
      </c>
      <c r="U11" s="137" t="n">
        <f aca="false" ca="false" dt2D="false" dtr="false" t="normal">T11</f>
        <v>0</v>
      </c>
      <c r="V11" s="120" t="s">
        <v>203</v>
      </c>
      <c r="W11" s="131" t="s">
        <v>196</v>
      </c>
      <c r="X11" s="136" t="n">
        <f aca="false" ca="false" dt2D="false" dtr="false" t="normal">MID(J6, 6, 1)</f>
        <v>0</v>
      </c>
      <c r="Y11" s="137" t="n">
        <f aca="false" ca="false" dt2D="false" dtr="false" t="normal">X11</f>
        <v>0</v>
      </c>
      <c r="Z11" s="120" t="s">
        <v>203</v>
      </c>
      <c r="AA11" s="131" t="s">
        <v>196</v>
      </c>
      <c r="AB11" s="136" t="n">
        <f aca="false" ca="false" dt2D="false" dtr="false" t="normal">MID(K6, 6, 1)</f>
        <v>0</v>
      </c>
      <c r="AC11" s="137" t="n">
        <f aca="false" ca="false" dt2D="false" dtr="false" t="normal">AB11</f>
        <v>0</v>
      </c>
      <c r="AD11" s="120" t="s">
        <v>203</v>
      </c>
      <c r="AE11" s="131" t="s">
        <v>196</v>
      </c>
      <c r="AF11" s="136" t="n">
        <f aca="false" ca="false" dt2D="false" dtr="false" t="normal">MID(L6, 6, 1)</f>
        <v>0</v>
      </c>
      <c r="AG11" s="137" t="n">
        <f aca="false" ca="false" dt2D="false" dtr="false" t="normal">AF11</f>
        <v>0</v>
      </c>
      <c r="AH11" s="120" t="s">
        <v>203</v>
      </c>
      <c r="AI11" s="131" t="s">
        <v>196</v>
      </c>
      <c r="AJ11" s="11083" t="s"/>
      <c r="AK11" s="11084" t="s"/>
    </row>
    <row hidden="false" ht="15" outlineLevel="0" r="12">
      <c r="A12" s="11080" t="s">
        <v>4448</v>
      </c>
      <c r="B12" s="92" t="str">
        <f aca="false" ca="false" dt2D="false" dtr="false" t="normal">A12</f>
        <v>737G3G4FFFFFFFFFF40</v>
      </c>
      <c r="C12" s="98" t="s">
        <v>191</v>
      </c>
      <c r="D12" s="53" t="n">
        <f aca="false" ca="false" dt2D="false" dtr="false" t="normal">HEX2DEC(D10)</f>
        <v>7</v>
      </c>
      <c r="E12" s="53" t="n">
        <f aca="false" ca="false" dt2D="false" dtr="false" t="normal">HEX2DEC(E10)</f>
        <v>55</v>
      </c>
      <c r="F12" s="53" t="n">
        <f aca="false" ca="false" dt2D="false" dtr="false" t="normal">HEX2DEC(F10)</f>
        <v>1</v>
      </c>
      <c r="G12" s="53" t="n">
        <f aca="false" ca="false" dt2D="false" dtr="false" t="normal">HEX2DEC(G10)</f>
        <v>1</v>
      </c>
      <c r="H12" s="53" t="n">
        <f aca="false" ca="false" dt2D="false" dtr="false" t="normal">HEX2DEC(H10)</f>
        <v>0</v>
      </c>
      <c r="I12" s="53" t="n">
        <f aca="false" ca="false" dt2D="false" dtr="false" t="normal">HEX2DEC(I10)</f>
        <v>0</v>
      </c>
      <c r="J12" s="53" t="n">
        <f aca="false" ca="false" dt2D="false" dtr="false" t="normal">HEX2DEC(J10)</f>
        <v>0</v>
      </c>
      <c r="K12" s="53" t="n">
        <f aca="false" ca="false" dt2D="false" dtr="false" t="normal">HEX2DEC(K10)</f>
        <v>0</v>
      </c>
      <c r="L12" s="53" t="n">
        <f aca="false" ca="false" dt2D="false" dtr="false" t="normal">HEX2DEC(L10)</f>
        <v>0</v>
      </c>
      <c r="M12" s="53" t="n">
        <f aca="false" ca="false" dt2D="false" dtr="false" t="normal">SUM(D12:L12)</f>
        <v>64</v>
      </c>
      <c r="N12" s="63" t="n"/>
      <c r="P12" s="136" t="n">
        <f aca="false" ca="false" dt2D="false" dtr="false" t="normal">MID(H6, 7, 1)</f>
        <v>0</v>
      </c>
      <c r="Q12" s="137" t="n">
        <f aca="false" ca="false" dt2D="false" dtr="false" t="normal">P12</f>
        <v>0</v>
      </c>
      <c r="R12" s="120" t="s">
        <v>206</v>
      </c>
      <c r="S12" s="131" t="s">
        <v>196</v>
      </c>
      <c r="T12" s="136" t="n">
        <f aca="false" ca="false" dt2D="false" dtr="false" t="normal">MID(I6, 7, 1)</f>
        <v>0</v>
      </c>
      <c r="U12" s="137" t="n">
        <f aca="false" ca="false" dt2D="false" dtr="false" t="normal">T12</f>
        <v>0</v>
      </c>
      <c r="V12" s="120" t="s">
        <v>206</v>
      </c>
      <c r="W12" s="131" t="s">
        <v>196</v>
      </c>
      <c r="X12" s="136" t="n">
        <f aca="false" ca="false" dt2D="false" dtr="false" t="normal">MID(J6, 7, 1)</f>
        <v>0</v>
      </c>
      <c r="Y12" s="137" t="n">
        <f aca="false" ca="false" dt2D="false" dtr="false" t="normal">X12</f>
        <v>0</v>
      </c>
      <c r="Z12" s="120" t="s">
        <v>206</v>
      </c>
      <c r="AA12" s="131" t="s">
        <v>196</v>
      </c>
      <c r="AB12" s="136" t="n">
        <f aca="false" ca="false" dt2D="false" dtr="false" t="normal">MID(K6, 7, 1)</f>
        <v>0</v>
      </c>
      <c r="AC12" s="137" t="n">
        <f aca="false" ca="false" dt2D="false" dtr="false" t="normal">AB12</f>
        <v>0</v>
      </c>
      <c r="AD12" s="120" t="s">
        <v>206</v>
      </c>
      <c r="AE12" s="131" t="s">
        <v>196</v>
      </c>
      <c r="AF12" s="136" t="n">
        <f aca="false" ca="false" dt2D="false" dtr="false" t="normal">MID(L6, 7, 1)</f>
        <v>0</v>
      </c>
      <c r="AG12" s="137" t="n">
        <f aca="false" ca="false" dt2D="false" dtr="false" t="normal">AF12</f>
        <v>0</v>
      </c>
      <c r="AH12" s="120" t="s">
        <v>206</v>
      </c>
      <c r="AI12" s="131" t="s">
        <v>196</v>
      </c>
      <c r="AJ12" s="11085" t="s"/>
      <c r="AK12" s="11086" t="s"/>
    </row>
    <row hidden="false" ht="15.75" outlineLevel="0" r="13">
      <c r="A13" s="11087" t="s">
        <v>4449</v>
      </c>
      <c r="B13" s="92" t="str">
        <f aca="false" ca="false" dt2D="false" dtr="false" t="normal">A13</f>
        <v>737G3G5FFFFFFFF42</v>
      </c>
      <c r="C13" s="180" t="s">
        <v>194</v>
      </c>
      <c r="D13" s="181" t="n">
        <f aca="false" ca="false" dt2D="false" dtr="false" t="normal">D8</f>
        <v>7</v>
      </c>
      <c r="E13" s="181" t="n">
        <f aca="false" ca="false" dt2D="false" dtr="false" t="normal">E8</f>
        <v>37</v>
      </c>
      <c r="F13" s="181" t="str">
        <f aca="false" ca="false" dt2D="false" dtr="false" t="normal">F8</f>
        <v>G1</v>
      </c>
      <c r="G13" s="181" t="str">
        <f aca="false" ca="false" dt2D="false" dtr="false" t="normal">G8</f>
        <v>G1</v>
      </c>
      <c r="H13" s="45" t="n"/>
      <c r="I13" s="45" t="n"/>
      <c r="J13" s="45" t="n"/>
      <c r="K13" s="45" t="n"/>
      <c r="L13" s="45" t="n"/>
      <c r="M13" s="45" t="n"/>
      <c r="N13" s="49" t="n"/>
      <c r="P13" s="182" t="n">
        <f aca="false" ca="false" dt2D="false" dtr="false" t="normal">MID(H6, 8, 1)</f>
        <v>0</v>
      </c>
      <c r="Q13" s="137" t="n">
        <f aca="false" ca="false" dt2D="false" dtr="false" t="normal">P13</f>
        <v>0</v>
      </c>
      <c r="R13" s="184" t="s">
        <v>208</v>
      </c>
      <c r="S13" s="185" t="s">
        <v>196</v>
      </c>
      <c r="T13" s="182" t="n">
        <f aca="false" ca="false" dt2D="false" dtr="false" t="normal">MID(I6, 8, 1)</f>
        <v>0</v>
      </c>
      <c r="U13" s="137" t="n">
        <f aca="false" ca="false" dt2D="false" dtr="false" t="normal">T13</f>
        <v>0</v>
      </c>
      <c r="V13" s="184" t="s">
        <v>208</v>
      </c>
      <c r="W13" s="185" t="s">
        <v>196</v>
      </c>
      <c r="X13" s="182" t="n">
        <f aca="false" ca="false" dt2D="false" dtr="false" t="normal">MID(J6, 8, 1)</f>
        <v>0</v>
      </c>
      <c r="Y13" s="137" t="n">
        <f aca="false" ca="false" dt2D="false" dtr="false" t="normal">X13</f>
        <v>0</v>
      </c>
      <c r="Z13" s="184" t="s">
        <v>208</v>
      </c>
      <c r="AA13" s="185" t="s">
        <v>196</v>
      </c>
      <c r="AB13" s="182" t="n">
        <f aca="false" ca="false" dt2D="false" dtr="false" t="normal">MID(K6, 8, 1)</f>
        <v>0</v>
      </c>
      <c r="AC13" s="137" t="n">
        <f aca="false" ca="false" dt2D="false" dtr="false" t="normal">AB13</f>
        <v>0</v>
      </c>
      <c r="AD13" s="184" t="s">
        <v>208</v>
      </c>
      <c r="AE13" s="185" t="s">
        <v>196</v>
      </c>
      <c r="AF13" s="182" t="n">
        <f aca="false" ca="false" dt2D="false" dtr="false" t="normal">MID(L6, 8, 1)</f>
        <v>0</v>
      </c>
      <c r="AG13" s="137" t="n">
        <f aca="false" ca="false" dt2D="false" dtr="false" t="normal">AF13</f>
        <v>0</v>
      </c>
      <c r="AH13" s="184" t="s">
        <v>208</v>
      </c>
      <c r="AI13" s="185" t="s">
        <v>196</v>
      </c>
      <c r="AJ13" s="11088" t="s"/>
      <c r="AK13" s="11089" t="s"/>
    </row>
    <row hidden="false" ht="15.75" outlineLevel="0" r="14">
      <c r="C14" s="93" t="n"/>
      <c r="D14" s="94" t="n"/>
      <c r="E14" s="94" t="n"/>
      <c r="F14" s="94" t="n"/>
      <c r="G14" s="94" t="n"/>
      <c r="H14" s="94" t="n"/>
      <c r="I14" s="94" t="n"/>
      <c r="J14" s="94" t="n"/>
      <c r="K14" s="94" t="s">
        <v>161</v>
      </c>
      <c r="L14" s="94" t="n"/>
      <c r="N14" s="60" t="n"/>
      <c r="P14" s="95" t="str">
        <f aca="false" ca="false" dt2D="false" dtr="false" t="normal">RIGHT(D16, 1)&amp;E16&amp;"-"&amp;F16&amp;"-"&amp;G16</f>
        <v>737-01-02</v>
      </c>
      <c r="Q14" s="11090" t="s"/>
      <c r="R14" s="97" t="s">
        <v>4450</v>
      </c>
      <c r="S14" s="97" t="s"/>
      <c r="T14" s="97" t="s"/>
      <c r="U14" s="97" t="s"/>
      <c r="V14" s="97" t="s"/>
      <c r="W14" s="97" t="s"/>
      <c r="X14" s="97" t="s"/>
      <c r="Y14" s="97" t="s"/>
      <c r="Z14" s="97" t="s"/>
      <c r="AA14" s="97" t="s"/>
      <c r="AB14" s="97" t="s"/>
      <c r="AC14" s="97" t="s"/>
      <c r="AD14" s="97" t="s"/>
      <c r="AE14" s="97" t="s"/>
      <c r="AF14" s="97" t="s"/>
      <c r="AG14" s="97" t="s"/>
      <c r="AH14" s="97" t="s"/>
      <c r="AI14" s="97" t="s"/>
      <c r="AJ14" s="97" t="s"/>
      <c r="AK14" s="97" t="s"/>
    </row>
    <row hidden="false" ht="15.75" outlineLevel="0" r="15">
      <c r="C15" s="98" t="n"/>
      <c r="D15" s="99" t="s">
        <v>4451</v>
      </c>
      <c r="E15" s="11091" t="s"/>
      <c r="F15" s="11092" t="s"/>
      <c r="G15" s="11093" t="s"/>
      <c r="H15" s="53" t="s">
        <v>165</v>
      </c>
      <c r="I15" s="53" t="s">
        <v>166</v>
      </c>
      <c r="J15" s="53" t="s">
        <v>167</v>
      </c>
      <c r="K15" s="53" t="s">
        <v>168</v>
      </c>
      <c r="N15" s="63" t="n"/>
      <c r="P15" s="103" t="s">
        <v>4452</v>
      </c>
      <c r="Q15" s="11094" t="s"/>
      <c r="R15" s="11095" t="s"/>
      <c r="S15" s="11096" t="s"/>
      <c r="T15" s="103" t="s">
        <v>4453</v>
      </c>
      <c r="U15" s="11097" t="s"/>
      <c r="V15" s="11098" t="s"/>
      <c r="W15" s="11099" t="s"/>
      <c r="X15" s="103" t="s">
        <v>4454</v>
      </c>
      <c r="Y15" s="11100" t="s"/>
      <c r="Z15" s="11101" t="s"/>
      <c r="AA15" s="11102" t="s"/>
      <c r="AB15" s="7087" t="s">
        <v>4455</v>
      </c>
      <c r="AC15" s="11103" t="s"/>
      <c r="AD15" s="11104" t="s"/>
      <c r="AE15" s="11105" t="s"/>
      <c r="AF15" s="120" t="n"/>
      <c r="AG15" s="121" t="n"/>
      <c r="AH15" s="121" t="n"/>
      <c r="AI15" s="121" t="n"/>
      <c r="AJ15" s="121" t="n"/>
      <c r="AK15" s="121" t="n"/>
    </row>
    <row hidden="false" ht="15.75" outlineLevel="0" r="16">
      <c r="C16" s="98" t="s">
        <v>176</v>
      </c>
      <c r="D16" s="122" t="s">
        <v>177</v>
      </c>
      <c r="E16" s="123" t="s">
        <v>851</v>
      </c>
      <c r="F16" s="123" t="s">
        <v>179</v>
      </c>
      <c r="G16" s="124" t="s">
        <v>216</v>
      </c>
      <c r="H16" s="125" t="n">
        <f aca="false" ca="false" dt2D="false" dtr="false" t="normal">MID($A$5, 8, 2)</f>
        <v>0</v>
      </c>
      <c r="I16" s="126" t="n">
        <f aca="false" ca="false" dt2D="false" dtr="false" t="normal">MID($A$5, 10, 2)</f>
        <v>0</v>
      </c>
      <c r="J16" s="127" t="n">
        <f aca="false" ca="false" dt2D="false" dtr="false" t="normal">MID($A$5, 12, 2)</f>
        <v>0</v>
      </c>
      <c r="K16" s="128" t="n">
        <f aca="false" ca="false" dt2D="false" dtr="false" t="normal">MID($A$5, 14, 2)</f>
        <v>41</v>
      </c>
      <c r="N16" s="63" t="s">
        <v>180</v>
      </c>
      <c r="P16" s="129" t="s">
        <v>180</v>
      </c>
      <c r="Q16" s="130" t="s">
        <v>181</v>
      </c>
      <c r="R16" s="121" t="s">
        <v>182</v>
      </c>
      <c r="S16" s="131" t="n"/>
      <c r="T16" s="129" t="s">
        <v>180</v>
      </c>
      <c r="U16" s="130" t="s">
        <v>181</v>
      </c>
      <c r="V16" s="121" t="s">
        <v>182</v>
      </c>
      <c r="W16" s="131" t="n"/>
      <c r="X16" s="129" t="s">
        <v>180</v>
      </c>
      <c r="Y16" s="130" t="s">
        <v>181</v>
      </c>
      <c r="Z16" s="121" t="s">
        <v>182</v>
      </c>
      <c r="AA16" s="131" t="n"/>
      <c r="AB16" s="116" t="s">
        <v>183</v>
      </c>
      <c r="AC16" s="11106" t="s"/>
      <c r="AD16" s="11107" t="s"/>
      <c r="AE16" s="11108" t="s"/>
      <c r="AF16" s="120" t="n"/>
      <c r="AG16" s="121" t="n"/>
      <c r="AH16" s="121" t="n"/>
      <c r="AI16" s="121" t="n"/>
      <c r="AJ16" s="121" t="n"/>
      <c r="AK16" s="121" t="n"/>
    </row>
    <row hidden="false" ht="15" outlineLevel="0" r="17">
      <c r="C17" s="98" t="s">
        <v>185</v>
      </c>
      <c r="D17" s="53" t="n">
        <f aca="false" ca="false" dt2D="false" dtr="false" t="normal">HEX2BIN(D16, 8)</f>
        <v>111</v>
      </c>
      <c r="E17" s="53" t="n">
        <f aca="false" ca="false" dt2D="false" dtr="false" t="normal">HEX2BIN(E16, 8)</f>
        <v>110111</v>
      </c>
      <c r="F17" s="53" t="n">
        <f aca="false" ca="false" dt2D="false" dtr="false" t="normal">HEX2BIN(F16, 8)</f>
        <v>1</v>
      </c>
      <c r="G17" s="53" t="n">
        <f aca="false" ca="false" dt2D="false" dtr="false" t="normal">HEX2BIN(G16, 8)</f>
        <v>10</v>
      </c>
      <c r="H17" s="53" t="n">
        <f aca="false" ca="false" dt2D="false" dtr="false" t="normal">HEX2BIN(H16, 8)</f>
        <v>0</v>
      </c>
      <c r="I17" s="53" t="n">
        <f aca="false" ca="false" dt2D="false" dtr="false" t="normal">HEX2BIN(I16, 8)</f>
        <v>0</v>
      </c>
      <c r="J17" s="53" t="n">
        <f aca="false" ca="false" dt2D="false" dtr="false" t="normal">HEX2BIN(J16, 8)</f>
        <v>0</v>
      </c>
      <c r="N17" s="63" t="n"/>
      <c r="P17" s="136" t="n">
        <f aca="false" ca="false" dt2D="false" dtr="false" t="normal">MID(H17, 1, 1)</f>
        <v>0</v>
      </c>
      <c r="Q17" s="137" t="n">
        <f aca="false" ca="false" dt2D="false" dtr="false" t="normal">P17</f>
        <v>0</v>
      </c>
      <c r="R17" s="120" t="s">
        <v>186</v>
      </c>
      <c r="S17" s="131" t="s">
        <v>196</v>
      </c>
      <c r="T17" s="136" t="n">
        <f aca="false" ca="false" dt2D="false" dtr="false" t="normal">MID(I17, 1, 1)</f>
        <v>0</v>
      </c>
      <c r="U17" s="137" t="n">
        <f aca="false" ca="false" dt2D="false" dtr="false" t="normal">T17</f>
        <v>0</v>
      </c>
      <c r="V17" s="120" t="s">
        <v>186</v>
      </c>
      <c r="W17" s="131" t="s">
        <v>196</v>
      </c>
      <c r="X17" s="136" t="n">
        <f aca="false" ca="false" dt2D="false" dtr="false" t="normal">MID(J17, 1, 1)</f>
        <v>0</v>
      </c>
      <c r="Y17" s="137" t="n">
        <f aca="false" ca="false" dt2D="false" dtr="false" t="normal">X17</f>
        <v>0</v>
      </c>
      <c r="Z17" s="120" t="s">
        <v>186</v>
      </c>
      <c r="AA17" s="131" t="s">
        <v>196</v>
      </c>
      <c r="AB17" s="11109" t="s"/>
      <c r="AC17" s="142" t="s"/>
      <c r="AD17" s="142" t="s"/>
      <c r="AE17" s="11110" t="s"/>
      <c r="AF17" s="120" t="n"/>
      <c r="AG17" s="121" t="n"/>
      <c r="AH17" s="121" t="n"/>
      <c r="AI17" s="121" t="n"/>
      <c r="AJ17" s="121" t="n"/>
      <c r="AK17" s="121" t="n"/>
    </row>
    <row hidden="false" ht="15" outlineLevel="0" r="18">
      <c r="C18" s="98" t="s">
        <v>191</v>
      </c>
      <c r="D18" s="53" t="n">
        <f aca="false" ca="false" dt2D="false" dtr="false" t="normal">HEX2DEC(D16)</f>
        <v>7</v>
      </c>
      <c r="E18" s="53" t="n">
        <f aca="false" ca="false" dt2D="false" dtr="false" t="normal">HEX2DEC(E16)</f>
        <v>55</v>
      </c>
      <c r="F18" s="53" t="n">
        <f aca="false" ca="false" dt2D="false" dtr="false" t="normal">HEX2DEC(F16)</f>
        <v>1</v>
      </c>
      <c r="G18" s="53" t="n">
        <f aca="false" ca="false" dt2D="false" dtr="false" t="normal">HEX2DEC(G16)</f>
        <v>2</v>
      </c>
      <c r="H18" s="53" t="n">
        <f aca="false" ca="false" dt2D="false" dtr="false" t="normal">HEX2DEC(H16)</f>
        <v>0</v>
      </c>
      <c r="I18" s="53" t="n">
        <f aca="false" ca="false" dt2D="false" dtr="false" t="normal">HEX2DEC(I16)</f>
        <v>0</v>
      </c>
      <c r="J18" s="53" t="n">
        <f aca="false" ca="false" dt2D="false" dtr="false" t="normal">HEX2DEC(J16)</f>
        <v>0</v>
      </c>
      <c r="K18" s="53" t="n">
        <f aca="false" ca="false" dt2D="false" dtr="false" t="normal">SUM(D18:J18)</f>
        <v>65</v>
      </c>
      <c r="N18" s="63" t="n"/>
      <c r="P18" s="136" t="n">
        <f aca="false" ca="false" dt2D="false" dtr="false" t="normal">MID(H17, 2, 1)</f>
        <v>0</v>
      </c>
      <c r="Q18" s="137" t="n">
        <f aca="false" ca="false" dt2D="false" dtr="false" t="normal">P18</f>
        <v>0</v>
      </c>
      <c r="R18" s="120" t="s">
        <v>192</v>
      </c>
      <c r="S18" s="131" t="s">
        <v>196</v>
      </c>
      <c r="T18" s="136" t="n">
        <f aca="false" ca="false" dt2D="false" dtr="false" t="normal">MID(I17, 2, 1)</f>
        <v>0</v>
      </c>
      <c r="U18" s="137" t="n">
        <f aca="false" ca="false" dt2D="false" dtr="false" t="normal">T18</f>
        <v>0</v>
      </c>
      <c r="V18" s="120" t="s">
        <v>192</v>
      </c>
      <c r="W18" s="131" t="s">
        <v>196</v>
      </c>
      <c r="X18" s="136" t="n">
        <f aca="false" ca="false" dt2D="false" dtr="false" t="normal">MID(J17, 2, 1)</f>
        <v>0</v>
      </c>
      <c r="Y18" s="137" t="n">
        <f aca="false" ca="false" dt2D="false" dtr="false" t="normal">X18</f>
        <v>0</v>
      </c>
      <c r="Z18" s="120" t="s">
        <v>192</v>
      </c>
      <c r="AA18" s="131" t="s">
        <v>196</v>
      </c>
      <c r="AB18" s="11111" t="s"/>
      <c r="AC18" s="142" t="s"/>
      <c r="AD18" s="142" t="s"/>
      <c r="AE18" s="11112" t="s"/>
      <c r="AF18" s="120" t="n"/>
      <c r="AG18" s="121" t="n"/>
      <c r="AH18" s="121" t="n"/>
      <c r="AI18" s="121" t="n"/>
      <c r="AJ18" s="121" t="n"/>
      <c r="AK18" s="121" t="n"/>
    </row>
    <row hidden="false" ht="15" outlineLevel="0" r="19">
      <c r="C19" s="98" t="s">
        <v>194</v>
      </c>
      <c r="D19" s="53" t="n">
        <f aca="false" ca="false" dt2D="false" dtr="false" t="normal">D16</f>
        <v>7</v>
      </c>
      <c r="E19" s="53" t="n">
        <f aca="false" ca="false" dt2D="false" dtr="false" t="normal">E16</f>
        <v>37</v>
      </c>
      <c r="F19" s="53" t="str">
        <f aca="false" ca="false" dt2D="false" dtr="false" t="normal">MID($A$5, 4, 2)</f>
        <v>G1</v>
      </c>
      <c r="G19" s="53" t="str">
        <f aca="false" ca="false" dt2D="false" dtr="false" t="normal">MID($A$5, 6, 2)</f>
        <v>G2</v>
      </c>
      <c r="N19" s="63" t="n"/>
      <c r="P19" s="136" t="n">
        <f aca="false" ca="false" dt2D="false" dtr="false" t="normal">MID(H17, 3, 1)</f>
        <v>0</v>
      </c>
      <c r="Q19" s="137" t="n">
        <f aca="false" ca="false" dt2D="false" dtr="false" t="normal">P19</f>
        <v>0</v>
      </c>
      <c r="R19" s="120" t="s">
        <v>195</v>
      </c>
      <c r="S19" s="131" t="s">
        <v>196</v>
      </c>
      <c r="T19" s="136" t="n">
        <f aca="false" ca="false" dt2D="false" dtr="false" t="normal">MID(I17, 3, 1)</f>
        <v>0</v>
      </c>
      <c r="U19" s="137" t="n">
        <f aca="false" ca="false" dt2D="false" dtr="false" t="normal">T19</f>
        <v>0</v>
      </c>
      <c r="V19" s="120" t="s">
        <v>195</v>
      </c>
      <c r="W19" s="131" t="s">
        <v>196</v>
      </c>
      <c r="X19" s="136" t="n">
        <f aca="false" ca="false" dt2D="false" dtr="false" t="normal">MID(J17, 3, 1)</f>
        <v>0</v>
      </c>
      <c r="Y19" s="137" t="n">
        <f aca="false" ca="false" dt2D="false" dtr="false" t="normal">X19</f>
        <v>0</v>
      </c>
      <c r="Z19" s="120" t="s">
        <v>195</v>
      </c>
      <c r="AA19" s="131" t="s">
        <v>196</v>
      </c>
      <c r="AB19" s="11113" t="s"/>
      <c r="AC19" s="142" t="s"/>
      <c r="AD19" s="142" t="s"/>
      <c r="AE19" s="11114" t="s"/>
      <c r="AF19" s="120" t="n"/>
      <c r="AG19" s="121" t="n"/>
      <c r="AH19" s="121" t="n"/>
      <c r="AI19" s="121" t="n"/>
      <c r="AJ19" s="121" t="n"/>
      <c r="AK19" s="121" t="n"/>
    </row>
    <row hidden="false" ht="15.75" outlineLevel="0" r="20">
      <c r="C20" s="98" t="n"/>
      <c r="N20" s="63" t="n"/>
      <c r="P20" s="136" t="n">
        <f aca="false" ca="false" dt2D="false" dtr="false" t="normal">MID(H17, 4, 1)</f>
        <v>0</v>
      </c>
      <c r="Q20" s="137" t="n">
        <f aca="false" ca="false" dt2D="false" dtr="false" t="normal">P20</f>
        <v>0</v>
      </c>
      <c r="R20" s="120" t="s">
        <v>197</v>
      </c>
      <c r="S20" s="131" t="s">
        <v>196</v>
      </c>
      <c r="T20" s="136" t="n">
        <f aca="false" ca="false" dt2D="false" dtr="false" t="normal">MID(I17, 4, 1)</f>
        <v>0</v>
      </c>
      <c r="U20" s="137" t="n">
        <f aca="false" ca="false" dt2D="false" dtr="false" t="normal">T20</f>
        <v>0</v>
      </c>
      <c r="V20" s="120" t="s">
        <v>197</v>
      </c>
      <c r="W20" s="131" t="s">
        <v>196</v>
      </c>
      <c r="X20" s="136" t="n">
        <f aca="false" ca="false" dt2D="false" dtr="false" t="normal">MID(J17, 4, 1)</f>
        <v>0</v>
      </c>
      <c r="Y20" s="137" t="n">
        <f aca="false" ca="false" dt2D="false" dtr="false" t="normal">X20</f>
        <v>0</v>
      </c>
      <c r="Z20" s="120" t="s">
        <v>197</v>
      </c>
      <c r="AA20" s="131" t="s">
        <v>196</v>
      </c>
      <c r="AB20" s="11115" t="s"/>
      <c r="AC20" s="142" t="s"/>
      <c r="AD20" s="142" t="s"/>
      <c r="AE20" s="11116" t="s"/>
      <c r="AF20" s="120" t="n"/>
      <c r="AG20" s="121" t="n"/>
      <c r="AH20" s="121" t="n"/>
      <c r="AI20" s="121" t="n"/>
      <c r="AJ20" s="121" t="n"/>
      <c r="AK20" s="121" t="n"/>
    </row>
    <row hidden="false" ht="15.75" outlineLevel="0" r="21">
      <c r="C21" s="98" t="s">
        <v>176</v>
      </c>
      <c r="D21" s="159" t="n">
        <f aca="false" ca="false" dt2D="false" dtr="false" t="normal">D16</f>
        <v>7</v>
      </c>
      <c r="E21" s="160" t="n">
        <f aca="false" ca="false" dt2D="false" dtr="false" t="normal">E16</f>
        <v>37</v>
      </c>
      <c r="F21" s="160" t="n">
        <f aca="false" ca="false" dt2D="false" dtr="false" t="normal">F16</f>
        <v>1</v>
      </c>
      <c r="G21" s="161" t="n">
        <f aca="false" ca="false" dt2D="false" dtr="false" t="normal">G16</f>
        <v>2</v>
      </c>
      <c r="H21" s="162" t="n">
        <f aca="false" ca="false" dt2D="false" dtr="false" t="normal">BIN2HEX(H22, 2)</f>
        <v>0</v>
      </c>
      <c r="I21" s="163" t="n">
        <f aca="false" ca="false" dt2D="false" dtr="false" t="normal">BIN2HEX(I22, 2)</f>
        <v>0</v>
      </c>
      <c r="J21" s="164" t="n">
        <f aca="false" ca="false" dt2D="false" dtr="false" t="normal">BIN2HEX(J22, 2)</f>
        <v>0</v>
      </c>
      <c r="K21" s="7229" t="n">
        <f aca="false" ca="false" dt2D="false" dtr="false" t="normal">IF(LEN(K22)&gt;2, MID(K22, 2, 2), K22)</f>
        <v>41</v>
      </c>
      <c r="N21" s="63" t="s">
        <v>181</v>
      </c>
      <c r="P21" s="136" t="n">
        <f aca="false" ca="false" dt2D="false" dtr="false" t="normal">MID(H17, 5, 1)</f>
        <v>0</v>
      </c>
      <c r="Q21" s="137" t="n">
        <f aca="false" ca="false" dt2D="false" dtr="false" t="normal">P21</f>
        <v>0</v>
      </c>
      <c r="R21" s="120" t="s">
        <v>200</v>
      </c>
      <c r="S21" s="131" t="s">
        <v>196</v>
      </c>
      <c r="T21" s="136" t="n">
        <f aca="false" ca="false" dt2D="false" dtr="false" t="normal">MID(I17, 5, 1)</f>
        <v>0</v>
      </c>
      <c r="U21" s="137" t="n">
        <f aca="false" ca="false" dt2D="false" dtr="false" t="normal">T21</f>
        <v>0</v>
      </c>
      <c r="V21" s="120" t="s">
        <v>200</v>
      </c>
      <c r="W21" s="131" t="s">
        <v>196</v>
      </c>
      <c r="X21" s="136" t="n">
        <f aca="false" ca="false" dt2D="false" dtr="false" t="normal">MID(J17, 5, 1)</f>
        <v>0</v>
      </c>
      <c r="Y21" s="137" t="n">
        <f aca="false" ca="false" dt2D="false" dtr="false" t="normal">X21</f>
        <v>0</v>
      </c>
      <c r="Z21" s="120" t="s">
        <v>200</v>
      </c>
      <c r="AA21" s="131" t="s">
        <v>196</v>
      </c>
      <c r="AB21" s="11117" t="s"/>
      <c r="AC21" s="142" t="s"/>
      <c r="AD21" s="142" t="s"/>
      <c r="AE21" s="11118" t="s"/>
      <c r="AF21" s="120" t="n"/>
      <c r="AG21" s="121" t="n"/>
      <c r="AH21" s="121" t="n"/>
      <c r="AI21" s="121" t="n"/>
      <c r="AJ21" s="121" t="n"/>
      <c r="AK21" s="121" t="n"/>
    </row>
    <row hidden="false" ht="15" outlineLevel="0" r="22">
      <c r="C22" s="98" t="s">
        <v>185</v>
      </c>
      <c r="D22" s="53" t="n">
        <f aca="false" ca="false" dt2D="false" dtr="false" t="normal">HEX2BIN(D21, 8)</f>
        <v>111</v>
      </c>
      <c r="E22" s="53" t="n">
        <f aca="false" ca="false" dt2D="false" dtr="false" t="normal">HEX2BIN(E21, 8)</f>
        <v>110111</v>
      </c>
      <c r="F22" s="53" t="n">
        <f aca="false" ca="false" dt2D="false" dtr="false" t="normal">HEX2BIN(F21, 8)</f>
        <v>1</v>
      </c>
      <c r="G22" s="53" t="n">
        <f aca="false" ca="false" dt2D="false" dtr="false" t="normal">HEX2BIN(G21, 8)</f>
        <v>10</v>
      </c>
      <c r="H22" s="171" t="n">
        <f aca="false" ca="false" dt2D="false" dtr="false" t="normal">Q17&amp;Q18&amp;Q19&amp;Q20&amp;Q21&amp;Q22&amp;Q23&amp;Q24</f>
        <v>0</v>
      </c>
      <c r="I22" s="53" t="n">
        <f aca="false" ca="false" dt2D="false" dtr="false" t="normal">U17&amp;U18&amp;U19&amp;U20&amp;U21&amp;U22&amp;U23&amp;U24</f>
        <v>0</v>
      </c>
      <c r="J22" s="171" t="n">
        <f aca="false" ca="false" dt2D="false" dtr="false" t="normal">Y17&amp;Y18&amp;Y19&amp;Y20&amp;Y21&amp;Y22&amp;Y23&amp;Y24</f>
        <v>0</v>
      </c>
      <c r="K22" s="53" t="n">
        <f aca="false" ca="false" dt2D="false" dtr="false" t="normal">DEC2HEX(K23)</f>
        <v>41</v>
      </c>
      <c r="N22" s="63" t="n"/>
      <c r="P22" s="136" t="n">
        <f aca="false" ca="false" dt2D="false" dtr="false" t="normal">MID(H17, 6, 1)</f>
        <v>0</v>
      </c>
      <c r="Q22" s="137" t="n">
        <f aca="false" ca="false" dt2D="false" dtr="false" t="normal">P22</f>
        <v>0</v>
      </c>
      <c r="R22" s="120" t="s">
        <v>203</v>
      </c>
      <c r="S22" s="131" t="s">
        <v>196</v>
      </c>
      <c r="T22" s="136" t="n">
        <f aca="false" ca="false" dt2D="false" dtr="false" t="normal">MID(I17, 6, 1)</f>
        <v>0</v>
      </c>
      <c r="U22" s="137" t="n">
        <f aca="false" ca="false" dt2D="false" dtr="false" t="normal">T22</f>
        <v>0</v>
      </c>
      <c r="V22" s="120" t="s">
        <v>203</v>
      </c>
      <c r="W22" s="131" t="s">
        <v>196</v>
      </c>
      <c r="X22" s="136" t="n">
        <f aca="false" ca="false" dt2D="false" dtr="false" t="normal">MID(J17, 6, 1)</f>
        <v>0</v>
      </c>
      <c r="Y22" s="137" t="n">
        <f aca="false" ca="false" dt2D="false" dtr="false" t="normal">X22</f>
        <v>0</v>
      </c>
      <c r="Z22" s="120" t="s">
        <v>203</v>
      </c>
      <c r="AA22" s="131" t="s">
        <v>196</v>
      </c>
      <c r="AB22" s="11119" t="s"/>
      <c r="AC22" s="142" t="s"/>
      <c r="AD22" s="142" t="s"/>
      <c r="AE22" s="11120" t="s"/>
      <c r="AF22" s="120" t="n"/>
      <c r="AG22" s="121" t="n"/>
      <c r="AH22" s="121" t="n"/>
      <c r="AI22" s="121" t="n"/>
      <c r="AJ22" s="121" t="n"/>
      <c r="AK22" s="121" t="n"/>
    </row>
    <row hidden="false" ht="15" outlineLevel="0" r="23">
      <c r="C23" s="98" t="s">
        <v>191</v>
      </c>
      <c r="D23" s="53" t="n">
        <f aca="false" ca="false" dt2D="false" dtr="false" t="normal">HEX2DEC(D21)</f>
        <v>7</v>
      </c>
      <c r="E23" s="53" t="n">
        <f aca="false" ca="false" dt2D="false" dtr="false" t="normal">HEX2DEC(E21)</f>
        <v>55</v>
      </c>
      <c r="F23" s="53" t="n">
        <f aca="false" ca="false" dt2D="false" dtr="false" t="normal">HEX2DEC(F21)</f>
        <v>1</v>
      </c>
      <c r="G23" s="53" t="n">
        <f aca="false" ca="false" dt2D="false" dtr="false" t="normal">HEX2DEC(G21)</f>
        <v>2</v>
      </c>
      <c r="H23" s="53" t="n">
        <f aca="false" ca="false" dt2D="false" dtr="false" t="normal">HEX2DEC(H21)</f>
        <v>0</v>
      </c>
      <c r="I23" s="53" t="n">
        <f aca="false" ca="false" dt2D="false" dtr="false" t="normal">HEX2DEC(I21)</f>
        <v>0</v>
      </c>
      <c r="J23" s="53" t="n">
        <f aca="false" ca="false" dt2D="false" dtr="false" t="normal">HEX2DEC(J21)</f>
        <v>0</v>
      </c>
      <c r="K23" s="53" t="n">
        <f aca="false" ca="false" dt2D="false" dtr="false" t="normal">SUM(D23:J23)</f>
        <v>65</v>
      </c>
      <c r="N23" s="63" t="n"/>
      <c r="P23" s="136" t="n">
        <f aca="false" ca="false" dt2D="false" dtr="false" t="normal">MID(H17, 7, 1)</f>
        <v>0</v>
      </c>
      <c r="Q23" s="137" t="n">
        <f aca="false" ca="false" dt2D="false" dtr="false" t="normal">P23</f>
        <v>0</v>
      </c>
      <c r="R23" s="120" t="s">
        <v>206</v>
      </c>
      <c r="S23" s="131" t="s">
        <v>196</v>
      </c>
      <c r="T23" s="136" t="n">
        <f aca="false" ca="false" dt2D="false" dtr="false" t="normal">MID(I17, 7, 1)</f>
        <v>0</v>
      </c>
      <c r="U23" s="137" t="n">
        <f aca="false" ca="false" dt2D="false" dtr="false" t="normal">T23</f>
        <v>0</v>
      </c>
      <c r="V23" s="120" t="s">
        <v>206</v>
      </c>
      <c r="W23" s="131" t="s">
        <v>196</v>
      </c>
      <c r="X23" s="136" t="n">
        <f aca="false" ca="false" dt2D="false" dtr="false" t="normal">MID(J17, 7, 1)</f>
        <v>0</v>
      </c>
      <c r="Y23" s="137" t="n">
        <f aca="false" ca="false" dt2D="false" dtr="false" t="normal">X23</f>
        <v>0</v>
      </c>
      <c r="Z23" s="120" t="s">
        <v>206</v>
      </c>
      <c r="AA23" s="131" t="s">
        <v>196</v>
      </c>
      <c r="AB23" s="11121" t="s"/>
      <c r="AC23" s="142" t="s"/>
      <c r="AD23" s="142" t="s"/>
      <c r="AE23" s="11122" t="s"/>
      <c r="AF23" s="120" t="n"/>
      <c r="AG23" s="121" t="n"/>
      <c r="AH23" s="121" t="n"/>
      <c r="AI23" s="121" t="n"/>
      <c r="AJ23" s="121" t="n"/>
      <c r="AK23" s="121" t="n"/>
    </row>
    <row hidden="false" ht="15.75" outlineLevel="0" r="24">
      <c r="C24" s="180" t="s">
        <v>194</v>
      </c>
      <c r="D24" s="7530" t="n">
        <f aca="false" ca="false" dt2D="false" dtr="false" t="normal">D19</f>
        <v>7</v>
      </c>
      <c r="E24" s="7530" t="n">
        <f aca="false" ca="false" dt2D="false" dtr="false" t="normal">E19</f>
        <v>37</v>
      </c>
      <c r="F24" s="7530" t="str">
        <f aca="false" ca="false" dt2D="false" dtr="false" t="normal">F19</f>
        <v>G1</v>
      </c>
      <c r="G24" s="7530" t="str">
        <f aca="false" ca="false" dt2D="false" dtr="false" t="normal">G19</f>
        <v>G2</v>
      </c>
      <c r="H24" s="45" t="n"/>
      <c r="I24" s="45" t="n"/>
      <c r="J24" s="45" t="n"/>
      <c r="K24" s="45" t="n"/>
      <c r="L24" s="45" t="n"/>
      <c r="M24" s="45" t="n"/>
      <c r="N24" s="49" t="n"/>
      <c r="P24" s="182" t="n">
        <f aca="false" ca="false" dt2D="false" dtr="false" t="normal">MID(H17, 8, 1)</f>
        <v>0</v>
      </c>
      <c r="Q24" s="137" t="n">
        <f aca="false" ca="false" dt2D="false" dtr="false" t="normal">P24</f>
        <v>0</v>
      </c>
      <c r="R24" s="184" t="s">
        <v>208</v>
      </c>
      <c r="S24" s="185" t="s">
        <v>196</v>
      </c>
      <c r="T24" s="182" t="n">
        <f aca="false" ca="false" dt2D="false" dtr="false" t="normal">MID(I17, 8, 1)</f>
        <v>0</v>
      </c>
      <c r="U24" s="137" t="n">
        <f aca="false" ca="false" dt2D="false" dtr="false" t="normal">T24</f>
        <v>0</v>
      </c>
      <c r="V24" s="184" t="s">
        <v>208</v>
      </c>
      <c r="W24" s="185" t="s">
        <v>196</v>
      </c>
      <c r="X24" s="182" t="n">
        <f aca="false" ca="false" dt2D="false" dtr="false" t="normal">MID(J17, 8, 1)</f>
        <v>0</v>
      </c>
      <c r="Y24" s="137" t="n">
        <f aca="false" ca="false" dt2D="false" dtr="false" t="normal">X24</f>
        <v>0</v>
      </c>
      <c r="Z24" s="184" t="s">
        <v>208</v>
      </c>
      <c r="AA24" s="185" t="s">
        <v>196</v>
      </c>
      <c r="AB24" s="11123" t="s"/>
      <c r="AC24" s="11124" t="s"/>
      <c r="AD24" s="11125" t="s"/>
      <c r="AE24" s="11126" t="s"/>
      <c r="AF24" s="120" t="n"/>
      <c r="AG24" s="121" t="n"/>
      <c r="AH24" s="121" t="n"/>
      <c r="AI24" s="121" t="n"/>
      <c r="AJ24" s="121" t="n"/>
      <c r="AK24" s="121" t="n"/>
    </row>
    <row hidden="false" ht="15.75" outlineLevel="0" r="25">
      <c r="C25" s="93" t="n"/>
      <c r="D25" s="94" t="n"/>
      <c r="E25" s="94" t="n"/>
      <c r="F25" s="94" t="n"/>
      <c r="G25" s="94" t="n"/>
      <c r="H25" s="94" t="n"/>
      <c r="I25" s="94" t="n"/>
      <c r="J25" s="94" t="n"/>
      <c r="K25" s="94" t="s">
        <v>161</v>
      </c>
      <c r="L25" s="94" t="n"/>
      <c r="N25" s="60" t="n"/>
      <c r="P25" s="95" t="str">
        <f aca="false" ca="false" dt2D="false" dtr="false" t="normal">RIGHT(D27, 1)&amp;E27&amp;"-"&amp;F27&amp;"-"&amp;G27</f>
        <v>737-02-01</v>
      </c>
      <c r="Q25" s="11127" t="s"/>
      <c r="R25" s="97" t="s">
        <v>4456</v>
      </c>
      <c r="S25" s="97" t="s"/>
      <c r="T25" s="97" t="s"/>
      <c r="U25" s="97" t="s"/>
      <c r="V25" s="97" t="s"/>
      <c r="W25" s="97" t="s"/>
      <c r="X25" s="97" t="s"/>
      <c r="Y25" s="97" t="s"/>
      <c r="Z25" s="97" t="s"/>
      <c r="AA25" s="97" t="s"/>
      <c r="AB25" s="97" t="s"/>
      <c r="AC25" s="97" t="s"/>
      <c r="AD25" s="97" t="s"/>
      <c r="AE25" s="97" t="s"/>
      <c r="AF25" s="97" t="s"/>
      <c r="AG25" s="97" t="s"/>
      <c r="AH25" s="97" t="s"/>
      <c r="AI25" s="97" t="s"/>
      <c r="AJ25" s="97" t="s"/>
      <c r="AK25" s="97" t="s"/>
    </row>
    <row hidden="false" ht="15.75" outlineLevel="0" r="26">
      <c r="C26" s="98" t="n"/>
      <c r="D26" s="99" t="s">
        <v>4457</v>
      </c>
      <c r="E26" s="11128" t="s"/>
      <c r="F26" s="11129" t="s"/>
      <c r="G26" s="11130" t="s"/>
      <c r="H26" s="53" t="s">
        <v>165</v>
      </c>
      <c r="I26" s="53" t="s">
        <v>166</v>
      </c>
      <c r="J26" s="53" t="s">
        <v>167</v>
      </c>
      <c r="K26" s="53" t="s">
        <v>168</v>
      </c>
      <c r="N26" s="63" t="n"/>
      <c r="P26" s="103" t="s">
        <v>4458</v>
      </c>
      <c r="Q26" s="11131" t="s"/>
      <c r="R26" s="11132" t="s"/>
      <c r="S26" s="11133" t="s"/>
      <c r="T26" s="103" t="s">
        <v>4459</v>
      </c>
      <c r="U26" s="11134" t="s"/>
      <c r="V26" s="11135" t="s"/>
      <c r="W26" s="11136" t="s"/>
      <c r="X26" s="103" t="s">
        <v>4460</v>
      </c>
      <c r="Y26" s="11137" t="s"/>
      <c r="Z26" s="11138" t="s"/>
      <c r="AA26" s="11139" t="s"/>
      <c r="AB26" s="7087" t="s">
        <v>4461</v>
      </c>
      <c r="AC26" s="11140" t="s"/>
      <c r="AD26" s="11141" t="s"/>
      <c r="AE26" s="11142" t="s"/>
      <c r="AF26" s="120" t="n"/>
      <c r="AG26" s="121" t="n"/>
      <c r="AH26" s="121" t="n"/>
      <c r="AI26" s="121" t="n"/>
      <c r="AJ26" s="121" t="n"/>
      <c r="AK26" s="121" t="n"/>
    </row>
    <row hidden="false" ht="15.75" outlineLevel="0" r="27">
      <c r="C27" s="98" t="s">
        <v>176</v>
      </c>
      <c r="D27" s="122" t="s">
        <v>177</v>
      </c>
      <c r="E27" s="123" t="s">
        <v>851</v>
      </c>
      <c r="F27" s="123" t="s">
        <v>216</v>
      </c>
      <c r="G27" s="124" t="s">
        <v>179</v>
      </c>
      <c r="H27" s="125" t="n">
        <f aca="false" ca="false" dt2D="false" dtr="false" t="normal">MID($A$7, 8, 2)</f>
        <v>0</v>
      </c>
      <c r="I27" s="126" t="n">
        <f aca="false" ca="false" dt2D="false" dtr="false" t="normal">MID($A$7, 10, 2)</f>
        <v>0</v>
      </c>
      <c r="J27" s="127" t="n">
        <f aca="false" ca="false" dt2D="false" dtr="false" t="normal">MID($A$7, 12, 2)</f>
        <v>0</v>
      </c>
      <c r="K27" s="128" t="n">
        <f aca="false" ca="false" dt2D="false" dtr="false" t="normal">MID($A$7, 14, 2)</f>
        <v>41</v>
      </c>
      <c r="N27" s="63" t="s">
        <v>180</v>
      </c>
      <c r="P27" s="129" t="s">
        <v>180</v>
      </c>
      <c r="Q27" s="130" t="s">
        <v>181</v>
      </c>
      <c r="R27" s="121" t="s">
        <v>182</v>
      </c>
      <c r="S27" s="131" t="n"/>
      <c r="T27" s="129" t="s">
        <v>180</v>
      </c>
      <c r="U27" s="130" t="s">
        <v>181</v>
      </c>
      <c r="V27" s="121" t="s">
        <v>182</v>
      </c>
      <c r="W27" s="131" t="n"/>
      <c r="X27" s="129" t="s">
        <v>180</v>
      </c>
      <c r="Y27" s="130" t="s">
        <v>181</v>
      </c>
      <c r="Z27" s="121" t="s">
        <v>182</v>
      </c>
      <c r="AA27" s="131" t="n"/>
      <c r="AB27" s="116" t="s">
        <v>183</v>
      </c>
      <c r="AC27" s="11143" t="s"/>
      <c r="AD27" s="11144" t="s"/>
      <c r="AE27" s="11145" t="s"/>
      <c r="AF27" s="120" t="n"/>
      <c r="AG27" s="121" t="n"/>
      <c r="AH27" s="121" t="n"/>
      <c r="AI27" s="121" t="n"/>
      <c r="AJ27" s="121" t="n"/>
      <c r="AK27" s="121" t="n"/>
    </row>
    <row customHeight="true" hidden="false" ht="15" outlineLevel="0" r="28">
      <c r="C28" s="98" t="s">
        <v>185</v>
      </c>
      <c r="D28" s="53" t="n">
        <f aca="false" ca="false" dt2D="false" dtr="false" t="normal">HEX2BIN(D27, 8)</f>
        <v>111</v>
      </c>
      <c r="E28" s="53" t="n">
        <f aca="false" ca="false" dt2D="false" dtr="false" t="normal">HEX2BIN(E27, 8)</f>
        <v>110111</v>
      </c>
      <c r="F28" s="53" t="n">
        <f aca="false" ca="false" dt2D="false" dtr="false" t="normal">HEX2BIN(F27, 8)</f>
        <v>10</v>
      </c>
      <c r="G28" s="53" t="n">
        <f aca="false" ca="false" dt2D="false" dtr="false" t="normal">HEX2BIN(G27, 8)</f>
        <v>1</v>
      </c>
      <c r="H28" s="53" t="n">
        <f aca="false" ca="false" dt2D="false" dtr="false" t="normal">HEX2BIN(H27, 8)</f>
        <v>0</v>
      </c>
      <c r="I28" s="53" t="n">
        <f aca="false" ca="false" dt2D="false" dtr="false" t="normal">HEX2BIN(I27, 8)</f>
        <v>0</v>
      </c>
      <c r="J28" s="53" t="n">
        <f aca="false" ca="false" dt2D="false" dtr="false" t="normal">HEX2BIN(J27, 8)</f>
        <v>0</v>
      </c>
      <c r="N28" s="63" t="n"/>
      <c r="P28" s="136" t="n">
        <f aca="false" ca="false" dt2D="false" dtr="false" t="normal">MID(H28, 1, 1)</f>
        <v>0</v>
      </c>
      <c r="Q28" s="137" t="n">
        <f aca="false" ca="false" dt2D="false" dtr="false" t="normal">P28</f>
        <v>0</v>
      </c>
      <c r="R28" s="120" t="s">
        <v>186</v>
      </c>
      <c r="S28" s="131" t="s">
        <v>196</v>
      </c>
      <c r="T28" s="136" t="n">
        <f aca="false" ca="false" dt2D="false" dtr="false" t="normal">MID(I28, 1, 1)</f>
        <v>0</v>
      </c>
      <c r="U28" s="137" t="n">
        <f aca="false" ca="false" dt2D="false" dtr="false" t="normal">T28</f>
        <v>0</v>
      </c>
      <c r="V28" s="120" t="s">
        <v>186</v>
      </c>
      <c r="W28" s="131" t="s">
        <v>196</v>
      </c>
      <c r="X28" s="136" t="n">
        <f aca="false" ca="false" dt2D="false" dtr="false" t="normal">MID(J28, 1, 1)</f>
        <v>0</v>
      </c>
      <c r="Y28" s="137" t="n">
        <f aca="false" ca="false" dt2D="false" dtr="false" t="normal">X28</f>
        <v>0</v>
      </c>
      <c r="Z28" s="120" t="s">
        <v>186</v>
      </c>
      <c r="AA28" s="131" t="s">
        <v>196</v>
      </c>
      <c r="AB28" s="11146" t="s"/>
      <c r="AC28" s="142" t="s"/>
      <c r="AD28" s="142" t="s"/>
      <c r="AE28" s="11147" t="s"/>
      <c r="AF28" s="120" t="n"/>
      <c r="AG28" s="121" t="n"/>
      <c r="AH28" s="121" t="n"/>
      <c r="AI28" s="121" t="n"/>
      <c r="AJ28" s="121" t="n"/>
      <c r="AK28" s="121" t="n"/>
    </row>
    <row hidden="false" ht="15" outlineLevel="0" r="29">
      <c r="C29" s="98" t="s">
        <v>191</v>
      </c>
      <c r="D29" s="53" t="n">
        <f aca="false" ca="false" dt2D="false" dtr="false" t="normal">HEX2DEC(D27)</f>
        <v>7</v>
      </c>
      <c r="E29" s="53" t="n">
        <f aca="false" ca="false" dt2D="false" dtr="false" t="normal">HEX2DEC(E27)</f>
        <v>55</v>
      </c>
      <c r="F29" s="53" t="n">
        <f aca="false" ca="false" dt2D="false" dtr="false" t="normal">HEX2DEC(F27)</f>
        <v>2</v>
      </c>
      <c r="G29" s="53" t="n">
        <f aca="false" ca="false" dt2D="false" dtr="false" t="normal">HEX2DEC(G27)</f>
        <v>1</v>
      </c>
      <c r="H29" s="53" t="n">
        <f aca="false" ca="false" dt2D="false" dtr="false" t="normal">HEX2DEC(H27)</f>
        <v>0</v>
      </c>
      <c r="I29" s="53" t="n">
        <f aca="false" ca="false" dt2D="false" dtr="false" t="normal">HEX2DEC(I27)</f>
        <v>0</v>
      </c>
      <c r="J29" s="53" t="n">
        <f aca="false" ca="false" dt2D="false" dtr="false" t="normal">HEX2DEC(J27)</f>
        <v>0</v>
      </c>
      <c r="K29" s="53" t="n">
        <f aca="false" ca="false" dt2D="false" dtr="false" t="normal">SUM(D29:J29)</f>
        <v>65</v>
      </c>
      <c r="N29" s="63" t="n"/>
      <c r="P29" s="136" t="n">
        <f aca="false" ca="false" dt2D="false" dtr="false" t="normal">MID(H28, 2, 1)</f>
        <v>0</v>
      </c>
      <c r="Q29" s="137" t="n">
        <f aca="false" ca="false" dt2D="false" dtr="false" t="normal">P29</f>
        <v>0</v>
      </c>
      <c r="R29" s="120" t="s">
        <v>192</v>
      </c>
      <c r="S29" s="131" t="s">
        <v>196</v>
      </c>
      <c r="T29" s="136" t="n">
        <f aca="false" ca="false" dt2D="false" dtr="false" t="normal">MID(I28, 2, 1)</f>
        <v>0</v>
      </c>
      <c r="U29" s="137" t="n">
        <f aca="false" ca="false" dt2D="false" dtr="false" t="normal">T29</f>
        <v>0</v>
      </c>
      <c r="V29" s="120" t="s">
        <v>192</v>
      </c>
      <c r="W29" s="131" t="s">
        <v>196</v>
      </c>
      <c r="X29" s="136" t="n">
        <f aca="false" ca="false" dt2D="false" dtr="false" t="normal">MID(J28, 2, 1)</f>
        <v>0</v>
      </c>
      <c r="Y29" s="137" t="n">
        <f aca="false" ca="false" dt2D="false" dtr="false" t="normal">X29</f>
        <v>0</v>
      </c>
      <c r="Z29" s="120" t="s">
        <v>192</v>
      </c>
      <c r="AA29" s="131" t="s">
        <v>196</v>
      </c>
      <c r="AB29" s="11148" t="s"/>
      <c r="AC29" s="142" t="s"/>
      <c r="AD29" s="142" t="s"/>
      <c r="AE29" s="11149" t="s"/>
      <c r="AF29" s="120" t="n"/>
      <c r="AG29" s="121" t="n"/>
      <c r="AH29" s="121" t="n"/>
      <c r="AI29" s="121" t="n"/>
      <c r="AJ29" s="121" t="n"/>
      <c r="AK29" s="121" t="n"/>
    </row>
    <row hidden="false" ht="15" outlineLevel="0" r="30">
      <c r="C30" s="98" t="s">
        <v>194</v>
      </c>
      <c r="D30" s="149" t="n">
        <f aca="false" ca="false" dt2D="false" dtr="false" t="normal">D27</f>
        <v>7</v>
      </c>
      <c r="E30" s="149" t="n">
        <f aca="false" ca="false" dt2D="false" dtr="false" t="normal">E27</f>
        <v>37</v>
      </c>
      <c r="F30" s="53" t="str">
        <f aca="false" ca="false" dt2D="false" dtr="false" t="normal">MID($A$7, 4, 2)</f>
        <v>G2</v>
      </c>
      <c r="G30" s="53" t="str">
        <f aca="false" ca="false" dt2D="false" dtr="false" t="normal">MID($A$7, 6, 2)</f>
        <v>G1</v>
      </c>
      <c r="N30" s="63" t="n"/>
      <c r="P30" s="136" t="n">
        <f aca="false" ca="false" dt2D="false" dtr="false" t="normal">MID(H28, 3, 1)</f>
        <v>0</v>
      </c>
      <c r="Q30" s="137" t="n">
        <f aca="false" ca="false" dt2D="false" dtr="false" t="normal">P30</f>
        <v>0</v>
      </c>
      <c r="R30" s="120" t="s">
        <v>195</v>
      </c>
      <c r="S30" s="131" t="s">
        <v>196</v>
      </c>
      <c r="T30" s="136" t="n">
        <f aca="false" ca="false" dt2D="false" dtr="false" t="normal">MID(I28, 3, 1)</f>
        <v>0</v>
      </c>
      <c r="U30" s="137" t="n">
        <f aca="false" ca="false" dt2D="false" dtr="false" t="normal">T30</f>
        <v>0</v>
      </c>
      <c r="V30" s="120" t="s">
        <v>195</v>
      </c>
      <c r="W30" s="131" t="s">
        <v>196</v>
      </c>
      <c r="X30" s="136" t="n">
        <f aca="false" ca="false" dt2D="false" dtr="false" t="normal">MID(J28, 3, 1)</f>
        <v>0</v>
      </c>
      <c r="Y30" s="137" t="n">
        <f aca="false" ca="false" dt2D="false" dtr="false" t="normal">X30</f>
        <v>0</v>
      </c>
      <c r="Z30" s="120" t="s">
        <v>195</v>
      </c>
      <c r="AA30" s="131" t="s">
        <v>196</v>
      </c>
      <c r="AB30" s="11150" t="s"/>
      <c r="AC30" s="142" t="s"/>
      <c r="AD30" s="142" t="s"/>
      <c r="AE30" s="11151" t="s"/>
      <c r="AF30" s="120" t="n"/>
      <c r="AG30" s="121" t="n"/>
      <c r="AH30" s="121" t="n"/>
      <c r="AI30" s="121" t="n"/>
      <c r="AJ30" s="121" t="n"/>
      <c r="AK30" s="121" t="n"/>
    </row>
    <row customHeight="true" hidden="false" ht="15.75" outlineLevel="0" r="31">
      <c r="C31" s="98" t="n"/>
      <c r="N31" s="63" t="n"/>
      <c r="P31" s="136" t="n">
        <f aca="false" ca="false" dt2D="false" dtr="false" t="normal">MID(H28, 4, 1)</f>
        <v>0</v>
      </c>
      <c r="Q31" s="137" t="n">
        <f aca="false" ca="false" dt2D="false" dtr="false" t="normal">P31</f>
        <v>0</v>
      </c>
      <c r="R31" s="120" t="s">
        <v>197</v>
      </c>
      <c r="S31" s="131" t="s">
        <v>196</v>
      </c>
      <c r="T31" s="136" t="n">
        <f aca="false" ca="false" dt2D="false" dtr="false" t="normal">MID(I28, 4, 1)</f>
        <v>0</v>
      </c>
      <c r="U31" s="137" t="n">
        <f aca="false" ca="false" dt2D="false" dtr="false" t="normal">T31</f>
        <v>0</v>
      </c>
      <c r="V31" s="120" t="s">
        <v>197</v>
      </c>
      <c r="W31" s="131" t="s">
        <v>196</v>
      </c>
      <c r="X31" s="136" t="n">
        <f aca="false" ca="false" dt2D="false" dtr="false" t="normal">MID(J28, 4, 1)</f>
        <v>0</v>
      </c>
      <c r="Y31" s="137" t="n">
        <f aca="false" ca="false" dt2D="false" dtr="false" t="normal">X31</f>
        <v>0</v>
      </c>
      <c r="Z31" s="120" t="s">
        <v>197</v>
      </c>
      <c r="AA31" s="131" t="s">
        <v>196</v>
      </c>
      <c r="AB31" s="11152" t="s"/>
      <c r="AC31" s="142" t="s"/>
      <c r="AD31" s="142" t="s"/>
      <c r="AE31" s="11153" t="s"/>
      <c r="AF31" s="120" t="n"/>
      <c r="AG31" s="121" t="n"/>
      <c r="AH31" s="121" t="n"/>
      <c r="AI31" s="121" t="n"/>
      <c r="AJ31" s="121" t="n"/>
      <c r="AK31" s="121" t="n"/>
    </row>
    <row hidden="false" ht="15.75" outlineLevel="0" r="32">
      <c r="C32" s="98" t="s">
        <v>176</v>
      </c>
      <c r="D32" s="159" t="n">
        <f aca="false" ca="false" dt2D="false" dtr="false" t="normal">D27</f>
        <v>7</v>
      </c>
      <c r="E32" s="160" t="n">
        <f aca="false" ca="false" dt2D="false" dtr="false" t="normal">E27</f>
        <v>37</v>
      </c>
      <c r="F32" s="160" t="n">
        <f aca="false" ca="false" dt2D="false" dtr="false" t="normal">F27</f>
        <v>2</v>
      </c>
      <c r="G32" s="161" t="n">
        <f aca="false" ca="false" dt2D="false" dtr="false" t="normal">G27</f>
        <v>1</v>
      </c>
      <c r="H32" s="162" t="n">
        <f aca="false" ca="false" dt2D="false" dtr="false" t="normal">BIN2HEX(H33, 2)</f>
        <v>0</v>
      </c>
      <c r="I32" s="163" t="n">
        <f aca="false" ca="false" dt2D="false" dtr="false" t="normal">BIN2HEX(I33, 2)</f>
        <v>0</v>
      </c>
      <c r="J32" s="164" t="n">
        <f aca="false" ca="false" dt2D="false" dtr="false" t="normal">BIN2HEX(J33, 2)</f>
        <v>0</v>
      </c>
      <c r="K32" s="7229" t="n">
        <f aca="false" ca="false" dt2D="false" dtr="false" t="normal">IF(LEN(K33)&gt;2, MID(K33, 2, 2), K33)</f>
        <v>41</v>
      </c>
      <c r="N32" s="63" t="s">
        <v>181</v>
      </c>
      <c r="P32" s="136" t="n">
        <f aca="false" ca="false" dt2D="false" dtr="false" t="normal">MID(H28, 5, 1)</f>
        <v>0</v>
      </c>
      <c r="Q32" s="137" t="n">
        <f aca="false" ca="false" dt2D="false" dtr="false" t="normal">P32</f>
        <v>0</v>
      </c>
      <c r="R32" s="120" t="s">
        <v>200</v>
      </c>
      <c r="S32" s="131" t="s">
        <v>196</v>
      </c>
      <c r="T32" s="136" t="n">
        <f aca="false" ca="false" dt2D="false" dtr="false" t="normal">MID(I28, 5, 1)</f>
        <v>0</v>
      </c>
      <c r="U32" s="137" t="n">
        <f aca="false" ca="false" dt2D="false" dtr="false" t="normal">T32</f>
        <v>0</v>
      </c>
      <c r="V32" s="120" t="s">
        <v>200</v>
      </c>
      <c r="W32" s="131" t="s">
        <v>196</v>
      </c>
      <c r="X32" s="136" t="n">
        <f aca="false" ca="false" dt2D="false" dtr="false" t="normal">MID(J28, 5, 1)</f>
        <v>0</v>
      </c>
      <c r="Y32" s="137" t="n">
        <f aca="false" ca="false" dt2D="false" dtr="false" t="normal">X32</f>
        <v>0</v>
      </c>
      <c r="Z32" s="120" t="s">
        <v>200</v>
      </c>
      <c r="AA32" s="131" t="s">
        <v>196</v>
      </c>
      <c r="AB32" s="11154" t="s"/>
      <c r="AC32" s="142" t="s"/>
      <c r="AD32" s="142" t="s"/>
      <c r="AE32" s="11155" t="s"/>
      <c r="AF32" s="120" t="n"/>
      <c r="AG32" s="121" t="n"/>
      <c r="AH32" s="121" t="n"/>
      <c r="AI32" s="121" t="n"/>
      <c r="AJ32" s="121" t="n"/>
      <c r="AK32" s="121" t="n"/>
    </row>
    <row hidden="false" ht="15" outlineLevel="0" r="33">
      <c r="C33" s="98" t="s">
        <v>185</v>
      </c>
      <c r="D33" s="53" t="n">
        <f aca="false" ca="false" dt2D="false" dtr="false" t="normal">HEX2BIN(D32, 8)</f>
        <v>111</v>
      </c>
      <c r="E33" s="53" t="n">
        <f aca="false" ca="false" dt2D="false" dtr="false" t="normal">HEX2BIN(E32, 8)</f>
        <v>110111</v>
      </c>
      <c r="F33" s="53" t="n">
        <f aca="false" ca="false" dt2D="false" dtr="false" t="normal">HEX2BIN(F32, 8)</f>
        <v>10</v>
      </c>
      <c r="G33" s="53" t="n">
        <f aca="false" ca="false" dt2D="false" dtr="false" t="normal">HEX2BIN(G32, 8)</f>
        <v>1</v>
      </c>
      <c r="H33" s="171" t="n">
        <f aca="false" ca="false" dt2D="false" dtr="false" t="normal">Q28&amp;Q29&amp;Q30&amp;Q31&amp;Q32&amp;Q33&amp;Q34&amp;Q35</f>
        <v>0</v>
      </c>
      <c r="I33" s="53" t="n">
        <f aca="false" ca="false" dt2D="false" dtr="false" t="normal">U28&amp;U29&amp;U30&amp;U31&amp;U32&amp;U33&amp;U34&amp;U35</f>
        <v>0</v>
      </c>
      <c r="J33" s="171" t="n">
        <f aca="false" ca="false" dt2D="false" dtr="false" t="normal">Y28&amp;Y29&amp;Y30&amp;Y31&amp;Y32&amp;Y33&amp;Y34&amp;Y35</f>
        <v>0</v>
      </c>
      <c r="K33" s="53" t="n">
        <f aca="false" ca="false" dt2D="false" dtr="false" t="normal">DEC2HEX(K34)</f>
        <v>41</v>
      </c>
      <c r="N33" s="63" t="n"/>
      <c r="P33" s="136" t="n">
        <f aca="false" ca="false" dt2D="false" dtr="false" t="normal">MID(H28, 6, 1)</f>
        <v>0</v>
      </c>
      <c r="Q33" s="137" t="n">
        <f aca="false" ca="false" dt2D="false" dtr="false" t="normal">P33</f>
        <v>0</v>
      </c>
      <c r="R33" s="120" t="s">
        <v>203</v>
      </c>
      <c r="S33" s="131" t="s">
        <v>196</v>
      </c>
      <c r="T33" s="136" t="n">
        <f aca="false" ca="false" dt2D="false" dtr="false" t="normal">MID(I28, 6, 1)</f>
        <v>0</v>
      </c>
      <c r="U33" s="137" t="n">
        <f aca="false" ca="false" dt2D="false" dtr="false" t="normal">T33</f>
        <v>0</v>
      </c>
      <c r="V33" s="120" t="s">
        <v>203</v>
      </c>
      <c r="W33" s="131" t="s">
        <v>196</v>
      </c>
      <c r="X33" s="136" t="n">
        <f aca="false" ca="false" dt2D="false" dtr="false" t="normal">MID(J28, 6, 1)</f>
        <v>0</v>
      </c>
      <c r="Y33" s="137" t="n">
        <f aca="false" ca="false" dt2D="false" dtr="false" t="normal">X33</f>
        <v>0</v>
      </c>
      <c r="Z33" s="120" t="s">
        <v>203</v>
      </c>
      <c r="AA33" s="131" t="s">
        <v>196</v>
      </c>
      <c r="AB33" s="11156" t="s"/>
      <c r="AC33" s="142" t="s"/>
      <c r="AD33" s="142" t="s"/>
      <c r="AE33" s="11157" t="s"/>
      <c r="AF33" s="120" t="n"/>
      <c r="AG33" s="121" t="n"/>
      <c r="AH33" s="121" t="n"/>
      <c r="AI33" s="121" t="n"/>
      <c r="AJ33" s="121" t="n"/>
      <c r="AK33" s="121" t="n"/>
    </row>
    <row hidden="false" ht="15" outlineLevel="0" r="34">
      <c r="C34" s="98" t="s">
        <v>191</v>
      </c>
      <c r="D34" s="53" t="n">
        <f aca="false" ca="false" dt2D="false" dtr="false" t="normal">HEX2DEC(D32)</f>
        <v>7</v>
      </c>
      <c r="E34" s="53" t="n">
        <f aca="false" ca="false" dt2D="false" dtr="false" t="normal">HEX2DEC(E32)</f>
        <v>55</v>
      </c>
      <c r="F34" s="53" t="n">
        <f aca="false" ca="false" dt2D="false" dtr="false" t="normal">HEX2DEC(F32)</f>
        <v>2</v>
      </c>
      <c r="G34" s="53" t="n">
        <f aca="false" ca="false" dt2D="false" dtr="false" t="normal">HEX2DEC(G32)</f>
        <v>1</v>
      </c>
      <c r="H34" s="53" t="n">
        <f aca="false" ca="false" dt2D="false" dtr="false" t="normal">HEX2DEC(H32)</f>
        <v>0</v>
      </c>
      <c r="I34" s="53" t="n">
        <f aca="false" ca="false" dt2D="false" dtr="false" t="normal">HEX2DEC(I32)</f>
        <v>0</v>
      </c>
      <c r="J34" s="53" t="n">
        <f aca="false" ca="false" dt2D="false" dtr="false" t="normal">HEX2DEC(J32)</f>
        <v>0</v>
      </c>
      <c r="K34" s="53" t="n">
        <f aca="false" ca="false" dt2D="false" dtr="false" t="normal">SUM(D34:J34)</f>
        <v>65</v>
      </c>
      <c r="N34" s="63" t="n"/>
      <c r="P34" s="136" t="n">
        <f aca="false" ca="false" dt2D="false" dtr="false" t="normal">MID(H28, 7, 1)</f>
        <v>0</v>
      </c>
      <c r="Q34" s="137" t="n">
        <f aca="false" ca="false" dt2D="false" dtr="false" t="normal">P34</f>
        <v>0</v>
      </c>
      <c r="R34" s="120" t="s">
        <v>206</v>
      </c>
      <c r="S34" s="131" t="s">
        <v>196</v>
      </c>
      <c r="T34" s="136" t="n">
        <f aca="false" ca="false" dt2D="false" dtr="false" t="normal">MID(I28, 7, 1)</f>
        <v>0</v>
      </c>
      <c r="U34" s="137" t="n">
        <f aca="false" ca="false" dt2D="false" dtr="false" t="normal">T34</f>
        <v>0</v>
      </c>
      <c r="V34" s="120" t="s">
        <v>206</v>
      </c>
      <c r="W34" s="131" t="s">
        <v>196</v>
      </c>
      <c r="X34" s="136" t="n">
        <f aca="false" ca="false" dt2D="false" dtr="false" t="normal">MID(J28, 7, 1)</f>
        <v>0</v>
      </c>
      <c r="Y34" s="137" t="n">
        <f aca="false" ca="false" dt2D="false" dtr="false" t="normal">X34</f>
        <v>0</v>
      </c>
      <c r="Z34" s="120" t="s">
        <v>206</v>
      </c>
      <c r="AA34" s="131" t="s">
        <v>196</v>
      </c>
      <c r="AB34" s="11158" t="s"/>
      <c r="AC34" s="142" t="s"/>
      <c r="AD34" s="142" t="s"/>
      <c r="AE34" s="11159" t="s"/>
      <c r="AF34" s="120" t="n"/>
      <c r="AG34" s="121" t="n"/>
      <c r="AH34" s="121" t="n"/>
      <c r="AI34" s="121" t="n"/>
      <c r="AJ34" s="121" t="n"/>
      <c r="AK34" s="121" t="n"/>
    </row>
    <row hidden="false" ht="15.75" outlineLevel="0" r="35">
      <c r="C35" s="180" t="s">
        <v>194</v>
      </c>
      <c r="D35" s="181" t="n">
        <f aca="false" ca="false" dt2D="false" dtr="false" t="normal">D30</f>
        <v>7</v>
      </c>
      <c r="E35" s="181" t="n">
        <f aca="false" ca="false" dt2D="false" dtr="false" t="normal">E30</f>
        <v>37</v>
      </c>
      <c r="F35" s="181" t="str">
        <f aca="false" ca="false" dt2D="false" dtr="false" t="normal">F30</f>
        <v>G2</v>
      </c>
      <c r="G35" s="181" t="str">
        <f aca="false" ca="false" dt2D="false" dtr="false" t="normal">G30</f>
        <v>G1</v>
      </c>
      <c r="H35" s="45" t="n"/>
      <c r="I35" s="45" t="n"/>
      <c r="J35" s="45" t="n"/>
      <c r="K35" s="45" t="n"/>
      <c r="L35" s="45" t="n"/>
      <c r="M35" s="45" t="n"/>
      <c r="N35" s="49" t="n"/>
      <c r="P35" s="182" t="n">
        <f aca="false" ca="false" dt2D="false" dtr="false" t="normal">MID(H28, 8, 1)</f>
        <v>0</v>
      </c>
      <c r="Q35" s="137" t="n">
        <f aca="false" ca="false" dt2D="false" dtr="false" t="normal">P35</f>
        <v>0</v>
      </c>
      <c r="R35" s="184" t="s">
        <v>208</v>
      </c>
      <c r="S35" s="185" t="s">
        <v>196</v>
      </c>
      <c r="T35" s="182" t="n">
        <f aca="false" ca="false" dt2D="false" dtr="false" t="normal">MID(I28, 8, 1)</f>
        <v>0</v>
      </c>
      <c r="U35" s="137" t="n">
        <f aca="false" ca="false" dt2D="false" dtr="false" t="normal">T35</f>
        <v>0</v>
      </c>
      <c r="V35" s="184" t="s">
        <v>208</v>
      </c>
      <c r="W35" s="185" t="s">
        <v>196</v>
      </c>
      <c r="X35" s="182" t="n">
        <f aca="false" ca="false" dt2D="false" dtr="false" t="normal">MID(J28, 8, 1)</f>
        <v>0</v>
      </c>
      <c r="Y35" s="137" t="n">
        <f aca="false" ca="false" dt2D="false" dtr="false" t="normal">X35</f>
        <v>0</v>
      </c>
      <c r="Z35" s="184" t="s">
        <v>208</v>
      </c>
      <c r="AA35" s="185" t="s">
        <v>196</v>
      </c>
      <c r="AB35" s="11160" t="s"/>
      <c r="AC35" s="11161" t="s"/>
      <c r="AD35" s="11162" t="s"/>
      <c r="AE35" s="11163" t="s"/>
      <c r="AF35" s="120" t="n"/>
      <c r="AG35" s="121" t="n"/>
      <c r="AH35" s="121" t="n"/>
      <c r="AI35" s="121" t="n"/>
      <c r="AJ35" s="121" t="n"/>
      <c r="AK35" s="121" t="n"/>
    </row>
    <row hidden="false" ht="15" outlineLevel="0" r="36"/>
    <row hidden="false" ht="15" outlineLevel="0" r="37"/>
    <row hidden="false" ht="15" outlineLevel="0" r="38"/>
  </sheetData>
  <mergeCells count="29">
    <mergeCell ref="C1:AK1"/>
    <mergeCell ref="A1:B1"/>
    <mergeCell ref="C2:E2"/>
    <mergeCell ref="R3:AK3"/>
    <mergeCell ref="AJ4:AK4"/>
    <mergeCell ref="AF4:AI4"/>
    <mergeCell ref="P3:Q3"/>
    <mergeCell ref="P4:S4"/>
    <mergeCell ref="D4:G4"/>
    <mergeCell ref="X4:AA4"/>
    <mergeCell ref="T4:W4"/>
    <mergeCell ref="AB4:AE4"/>
    <mergeCell ref="AJ5:AK13"/>
    <mergeCell ref="AB27:AE35"/>
    <mergeCell ref="P26:S26"/>
    <mergeCell ref="D26:G26"/>
    <mergeCell ref="R25:AK25"/>
    <mergeCell ref="T26:W26"/>
    <mergeCell ref="X26:AA26"/>
    <mergeCell ref="AB26:AE26"/>
    <mergeCell ref="AB16:AE24"/>
    <mergeCell ref="D15:G15"/>
    <mergeCell ref="P15:S15"/>
    <mergeCell ref="T15:W15"/>
    <mergeCell ref="X15:AA15"/>
    <mergeCell ref="AB15:AE15"/>
    <mergeCell ref="P14:Q14"/>
    <mergeCell ref="R14:AK14"/>
    <mergeCell ref="P25:Q25"/>
  </mergeCells>
  <conditionalFormatting pivot="false" sqref="Q29:Q35 U29:U35 Y29:Y35">
    <cfRule aboveAverage="true" bottom="false" dxfId="0" equalAverage="false" percent="false" priority="14" stopIfTrue="false" type="expression">
      <formula>Q29:Q47&lt;&gt;P29:P47</formula>
    </cfRule>
  </conditionalFormatting>
  <conditionalFormatting pivot="false" sqref="AC8:AC13 Q18:Q24 U18:U24 Y18:Y24">
    <cfRule aboveAverage="true" bottom="false" dxfId="0" equalAverage="false" percent="false" priority="13" stopIfTrue="false" type="expression">
      <formula>Q8:Q14&lt;&gt;P8:P14</formula>
    </cfRule>
  </conditionalFormatting>
  <conditionalFormatting pivot="false" sqref="Q6:Q13 AC6:AC7 Q17 U17 Y17 Q28 U28 Y28">
    <cfRule aboveAverage="true" bottom="false" dxfId="0" equalAverage="false" percent="false" priority="12" stopIfTrue="false" type="expression">
      <formula>Q6:Q13&lt;&gt;P6:P13</formula>
    </cfRule>
  </conditionalFormatting>
  <conditionalFormatting pivot="false" sqref="U6:U13">
    <cfRule aboveAverage="true" bottom="false" dxfId="0" equalAverage="false" percent="false" priority="11" stopIfTrue="false" type="expression">
      <formula>U6:U13&lt;&gt;T6:T13</formula>
    </cfRule>
  </conditionalFormatting>
  <conditionalFormatting pivot="false" sqref="Y6:Y13">
    <cfRule aboveAverage="true" bottom="false" dxfId="0" equalAverage="false" percent="false" priority="10" stopIfTrue="false" type="expression">
      <formula>Y6:Y13&lt;&gt;X6:X13</formula>
    </cfRule>
  </conditionalFormatting>
  <conditionalFormatting pivot="false" sqref="AG6:AG13">
    <cfRule aboveAverage="true" bottom="false" dxfId="0" equalAverage="false" percent="false" priority="9" stopIfTrue="false" type="expression">
      <formula>AG6:AG13&lt;&gt;AF6:AF13</formula>
    </cfRule>
  </conditionalFormatting>
  <conditionalFormatting pivot="false" sqref="B3:B13">
    <cfRule aboveAverage="true" bottom="false" dxfId="1" equalAverage="false" percent="false" priority="8" stopIfTrue="false" text="737G3" type="beginsWith">
      <formula>LEFT(B3,LEN("737G3"))="737G3"</formula>
    </cfRule>
  </conditionalFormatting>
  <conditionalFormatting pivot="false" sqref="B3:B13">
    <cfRule aboveAverage="true" bottom="false" dxfId="1" equalAverage="false" percent="false" priority="7" stopIfTrue="false" text="73703" type="beginsWith">
      <formula>LEFT(B3,LEN("73703"))="73703"</formula>
    </cfRule>
  </conditionalFormatting>
  <conditionalFormatting pivot="false" sqref="B3:B13">
    <cfRule aboveAverage="true" bottom="false" dxfId="1" equalAverage="false" percent="false" priority="6" stopIfTrue="false" text="737G2" type="beginsWith">
      <formula>LEFT(B3,LEN("737G2"))="737G2"</formula>
    </cfRule>
  </conditionalFormatting>
  <conditionalFormatting pivot="false" sqref="B3:B13">
    <cfRule aboveAverage="true" bottom="false" dxfId="1" equalAverage="false" percent="false" priority="5" stopIfTrue="false" text="73702" type="beginsWith">
      <formula>LEFT(B3,LEN("73702"))="73702"</formula>
    </cfRule>
  </conditionalFormatting>
  <conditionalFormatting pivot="false" sqref="B3:B13">
    <cfRule aboveAverage="true" bottom="false" dxfId="2" equalAverage="false" percent="false" priority="4" stopIfTrue="false" text="737G1" type="beginsWith">
      <formula>LEFT(B3,LEN("737G1"))="737G1"</formula>
    </cfRule>
  </conditionalFormatting>
  <conditionalFormatting pivot="false" sqref="B3:B13">
    <cfRule aboveAverage="true" bottom="false" dxfId="1" equalAverage="false" percent="false" priority="3" stopIfTrue="false" text="73701" type="beginsWith">
      <formula>LEFT(B3,LEN("73701"))="73701"</formula>
    </cfRule>
  </conditionalFormatting>
  <conditionalFormatting pivot="false" sqref="B3:B13">
    <cfRule aboveAverage="true" bottom="false" dxfId="3" equalAverage="false" percent="false" priority="2" stopIfTrue="false" text=";Block" type="containsText">
      <formula>NOT(ISERROR(SEARCH(";Block",B3)))</formula>
    </cfRule>
  </conditionalFormatting>
  <conditionalFormatting pivot="false" sqref="B3:B13">
    <cfRule aboveAverage="true" bottom="false" dxfId="4" equalAverage="false" percent="false" priority="1" stopIfTrue="false" type="expression">
      <formula>IF(A3&lt;&gt;B3, 1, 0)</formula>
    </cfRule>
  </conditionalFormatting>
  <dataValidations>
    <dataValidation allowBlank="true" error="This is a Binary value, which can be either 0 or 1." errorStyle="stop" errorTitle="Wrong Value" imeMode="noControl" operator="between" showDropDown="false" showErrorMessage="true" showInputMessage="true" sqref="AG6:AG13 Y6:Y13 Y17:Y24 U28:U35 U6:U13 Q28:Q35 Q6:Q13 U17:U24 Y28:Y35 AC6:AC13 Q17:Q24" type="whole">
      <formula1>0</formula1>
      <formula2>1</formula2>
    </dataValidation>
  </dataValidations>
  <hyperlinks>
    <hyperlink display="https://www.mazda3revolution.com/threads/change-configuration-explore-different-functions-asbuilt.169393/" r:id="rId1" ref="C1"/>
  </hyperlinks>
  <pageMargins bottom="0.75" footer="0.30000001192092896" header="0.30000001192092896" left="0.70000004768371582" right="0.70000004768371582" top="0.75"/>
  <pageSetup fitToHeight="0" fitToWidth="0" orientation="portrait" paperHeight="297mm" paperSize="9" paperWidth="210mm" scale="100"/>
</worksheet>
</file>

<file path=docProps/app.xml><?xml version="1.0" encoding="utf-8"?>
<Properties xmlns="http://schemas.openxmlformats.org/officeDocument/2006/extended-properties">
  <Template>Normal.dotm</Template>
  <TotalTime>0</TotalTime>
  <DocSecurity>0</DocSecurity>
  <ScaleCrop>false</ScaleCrop>
  <Application>MyOffice-CoreFramework-iOS/39-1403.1128.10324.1037.1@e8ff5f727e334356b492384cca4cf28c85978f47</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2016-09-30T03:14:20Z</dcterms:created>
  <dcterms:modified xsi:type="dcterms:W3CDTF">2025-09-03T20:22:40Z</dcterms:modified>
</cp:coreProperties>
</file>